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7D927C15-65E0-471C-91A7-5594068E4EEB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78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7" i="1" l="1"/>
  <c r="F26" i="1"/>
  <c r="C26" i="1"/>
  <c r="C25" i="1" s="1"/>
  <c r="F25" i="1"/>
  <c r="X280" i="1" l="1"/>
  <c r="Y280" i="1" s="1"/>
  <c r="X281" i="1"/>
  <c r="Y281" i="1" s="1"/>
  <c r="D19" i="69" l="1"/>
  <c r="B10" i="69"/>
  <c r="C10" i="69"/>
  <c r="X278" i="1"/>
  <c r="Y278" i="1" s="1"/>
  <c r="X279" i="1"/>
  <c r="Y279" i="1" s="1"/>
  <c r="C6" i="1"/>
  <c r="F7" i="1"/>
  <c r="H6" i="1" l="1"/>
  <c r="H14" i="1"/>
  <c r="H16" i="1"/>
  <c r="C5" i="1" l="1"/>
  <c r="B19" i="69" s="1"/>
  <c r="C4" i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2" i="69"/>
  <c r="B21" i="69"/>
  <c r="B16" i="69"/>
  <c r="C4" i="69"/>
  <c r="B4" i="69"/>
  <c r="B15" i="69"/>
  <c r="B17" i="69"/>
  <c r="G6" i="1"/>
  <c r="F4" i="1"/>
  <c r="C19" i="69" l="1"/>
  <c r="B7" i="69"/>
  <c r="C14" i="69"/>
  <c r="X255" i="1" l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3" i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X244" i="1"/>
  <c r="X245" i="1"/>
  <c r="Y245" i="1" s="1"/>
  <c r="X246" i="1"/>
  <c r="Y246" i="1" s="1"/>
  <c r="X247" i="1"/>
  <c r="Y247" i="1" s="1"/>
  <c r="X248" i="1"/>
  <c r="Y248" i="1" s="1"/>
  <c r="X249" i="1"/>
  <c r="X250" i="1"/>
  <c r="Y250" i="1" s="1"/>
  <c r="X251" i="1"/>
  <c r="Y251" i="1" s="1"/>
  <c r="X252" i="1"/>
  <c r="Y252" i="1" s="1"/>
  <c r="X253" i="1"/>
  <c r="Y253" i="1" s="1"/>
  <c r="X254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249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254" i="1"/>
  <c r="Y162" i="1"/>
  <c r="Y21" i="1"/>
  <c r="Y22" i="1"/>
  <c r="Y196" i="1"/>
  <c r="Y195" i="1"/>
  <c r="Y226" i="1"/>
  <c r="Y17" i="1"/>
  <c r="Y244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681_truncated_offmin0.01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<sst xmlns="http://schemas.openxmlformats.org/spreadsheetml/2006/main" count="1169" uniqueCount="649">
  <si>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</si>
  <si>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</si>
  <si>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</si>
  <si>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</si>
  <si>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</si>
  <si>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</si>
  <si>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</si>
  <si>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</si>
  <si>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</si>
  <si>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</si>
  <si>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</si>
  <si>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</si>
  <si>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</si>
  <si>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</si>
  <si>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</si>
  <si>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</si>
  <si>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</si>
  <si>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</si>
  <si>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</si>
  <si>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</si>
  <si>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</si>
  <si>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</si>
  <si>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</si>
  <si>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</si>
  <si>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</si>
  <si>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</si>
  <si>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</si>
  <si>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</si>
  <si>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</si>
  <si>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</si>
  <si>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</si>
  <si>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</si>
  <si>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</si>
  <si>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</si>
  <si>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</si>
  <si>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</si>
  <si>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</si>
  <si>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</si>
  <si>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</si>
  <si>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</si>
  <si>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</si>
  <si>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</si>
  <si>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</si>
  <si>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</si>
  <si>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</si>
  <si>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</si>
  <si>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</si>
  <si>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</si>
  <si>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</si>
  <si>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</si>
  <si>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</si>
  <si>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</si>
  <si>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</si>
  <si>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</si>
  <si>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</si>
  <si>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</si>
  <si>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</si>
  <si>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</si>
  <si>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</si>
  <si>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</si>
  <si>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</si>
  <si>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</si>
  <si>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</si>
  <si>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</si>
  <si>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</si>
  <si>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</si>
  <si>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</si>
  <si>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</si>
  <si>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</si>
  <si>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</si>
  <si>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</si>
  <si>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</si>
  <si>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</si>
  <si>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</si>
  <si>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</si>
  <si>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</si>
  <si>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</si>
  <si>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</si>
  <si>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</si>
  <si>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</si>
  <si>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</si>
  <si>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</si>
  <si>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</si>
  <si>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</si>
  <si>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</si>
  <si>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</si>
  <si>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</si>
  <si>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</si>
  <si>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</si>
  <si>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</si>
  <si>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</si>
  <si>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</si>
  <si>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</si>
  <si>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</si>
  <si>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</si>
  <si>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</si>
  <si>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</si>
  <si>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</si>
  <si>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</si>
  <si>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</si>
  <si>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</si>
  <si>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</si>
  <si>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</si>
  <si>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</si>
  <si>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</si>
  <si>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</si>
  <si>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</si>
  <si>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</si>
  <si>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</si>
  <si>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</si>
  <si>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</si>
  <si>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</si>
  <si>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</si>
  <si>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</si>
  <si>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</si>
  <si>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</si>
  <si>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</si>
  <si>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</si>
  <si>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</si>
  <si>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</si>
  <si>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</si>
  <si>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</si>
  <si>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</si>
  <si>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</si>
  <si>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</si>
  <si>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</si>
  <si>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</si>
  <si>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</si>
  <si>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</si>
  <si>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</si>
  <si>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</si>
  <si>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</si>
  <si>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</si>
  <si>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</si>
  <si>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</si>
  <si>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</si>
  <si>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</si>
  <si>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</si>
  <si>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</si>
  <si>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</si>
  <si>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</si>
  <si>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</si>
  <si>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</si>
  <si>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</si>
  <si>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</si>
  <si>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</si>
  <si>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</si>
  <si>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</si>
  <si>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</si>
  <si>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</si>
  <si>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</si>
  <si>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</si>
  <si>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</si>
  <si>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</si>
  <si>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</si>
  <si>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</si>
  <si>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</si>
  <si>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</si>
  <si>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</si>
  <si>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</si>
  <si>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</si>
  <si>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</si>
  <si>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</si>
  <si>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</si>
  <si>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</si>
  <si>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</si>
  <si>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</si>
  <si>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</si>
  <si>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</si>
  <si>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</si>
  <si>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</si>
  <si>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</si>
  <si>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</si>
  <si>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</si>
  <si>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</si>
  <si>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</si>
  <si>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</si>
  <si>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</si>
  <si>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</si>
  <si>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</si>
  <si>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</si>
  <si>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</si>
  <si>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</si>
  <si>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</si>
  <si>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</si>
  <si>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</si>
  <si>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</si>
  <si>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</si>
  <si>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</si>
  <si>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</si>
  <si>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</si>
  <si>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</si>
  <si>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</si>
  <si>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</si>
  <si>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</si>
  <si>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</si>
  <si>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</si>
  <si>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</si>
  <si>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</si>
  <si>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</si>
  <si>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</si>
  <si>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</si>
  <si>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</si>
  <si>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</si>
  <si>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</si>
  <si>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</si>
  <si>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</si>
  <si>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</si>
  <si>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</si>
  <si>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</si>
  <si>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</si>
  <si>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</si>
  <si>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</si>
  <si>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</si>
  <si>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</si>
  <si>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</si>
  <si>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</si>
  <si>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</si>
  <si>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</si>
  <si>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</si>
  <si>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</si>
  <si>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</si>
  <si>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</si>
  <si>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</si>
  <si>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</si>
  <si>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</si>
  <si>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</si>
  <si>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</si>
  <si>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</si>
  <si>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</si>
  <si>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</si>
  <si>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</si>
  <si>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</si>
  <si>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</si>
  <si>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</si>
  <si>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</si>
  <si>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</si>
  <si>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</si>
  <si>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</si>
  <si>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</si>
  <si>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</si>
  <si>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</si>
  <si>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</si>
  <si>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</si>
  <si>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</si>
  <si>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</si>
  <si>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</si>
  <si>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</si>
  <si>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</si>
  <si>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</si>
  <si>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</si>
  <si>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</si>
  <si>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</si>
  <si>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</si>
  <si>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</si>
  <si>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</si>
  <si>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</si>
  <si>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</si>
  <si>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</si>
  <si>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</si>
  <si>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</si>
  <si>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</si>
  <si>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</si>
  <si>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</si>
  <si>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</si>
  <si>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</si>
  <si>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</si>
  <si>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</si>
  <si>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</si>
  <si>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</si>
  <si>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</si>
  <si>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</si>
  <si>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</si>
  <si>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</si>
  <si>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</si>
  <si>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</si>
  <si>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</si>
  <si>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</si>
  <si>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</si>
  <si>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</si>
  <si>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</si>
  <si>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</si>
  <si>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</si>
  <si>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</si>
  <si>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</si>
  <si>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</si>
  <si>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</si>
  <si>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</si>
  <si>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</si>
  <si>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</si>
  <si>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</si>
  <si>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</si>
  <si>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</si>
  <si>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</si>
  <si>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</si>
  <si>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</si>
  <si>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</si>
  <si>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</si>
  <si>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</si>
  <si>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</si>
  <si>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</si>
  <si>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</si>
  <si>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</si>
  <si>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</si>
  <si>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</si>
  <si>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</si>
  <si>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</si>
  <si>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</si>
  <si>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</si>
  <si>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</si>
  <si>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</si>
  <si>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</si>
  <si>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</si>
  <si>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</si>
  <si>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</si>
  <si>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</si>
  <si>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</si>
  <si>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</si>
  <si>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</si>
  <si>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</si>
  <si>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</si>
  <si>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</si>
  <si>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</si>
  <si>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</si>
  <si>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</si>
  <si>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</si>
  <si>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</si>
  <si>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</si>
  <si>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</si>
  <si>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</si>
  <si>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</si>
  <si>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</si>
  <si>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</si>
  <si>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</si>
  <si>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</si>
  <si>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</si>
  <si>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</si>
  <si>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</si>
  <si>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</si>
  <si>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</si>
  <si>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</si>
  <si>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</si>
  <si>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</si>
  <si>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</si>
  <si>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</si>
  <si>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</si>
  <si>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</si>
  <si>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</si>
  <si>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</si>
  <si>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</si>
  <si>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</si>
  <si>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</si>
  <si>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</si>
  <si>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</si>
  <si>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</si>
  <si>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</si>
  <si>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</si>
  <si>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</si>
  <si>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</si>
  <si>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</si>
  <si>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</si>
  <si>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</si>
  <si>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</si>
  <si>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</si>
  <si>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</si>
  <si>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</si>
  <si>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</si>
  <si>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</si>
  <si>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</si>
  <si>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</si>
  <si>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</si>
  <si>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</si>
  <si>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</si>
  <si>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</si>
  <si>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</si>
  <si>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</si>
  <si>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</si>
  <si>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</si>
  <si>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</si>
  <si>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</si>
  <si>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</si>
  <si>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</si>
  <si>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</si>
  <si>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</si>
  <si>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</si>
  <si>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</si>
  <si>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</si>
  <si>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</si>
  <si>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</si>
  <si>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</si>
  <si>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</si>
  <si>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</si>
  <si>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</si>
  <si>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</si>
  <si>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</si>
  <si>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</si>
  <si>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</si>
  <si>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</si>
  <si>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</si>
  <si>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</si>
  <si>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</si>
  <si>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</si>
  <si>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</si>
  <si>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</si>
  <si>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</si>
  <si>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</si>
  <si>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</si>
  <si>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</si>
  <si>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</si>
  <si>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</si>
  <si>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</si>
  <si>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</si>
  <si>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</si>
  <si>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</si>
  <si>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</si>
  <si>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</si>
  <si>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</si>
  <si>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</si>
  <si>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</si>
  <si>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</si>
  <si>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</si>
  <si>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</si>
  <si>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</si>
  <si>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</si>
  <si>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</si>
  <si>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</si>
  <si>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</si>
  <si>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</si>
  <si>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</si>
  <si>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</si>
  <si>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</si>
  <si>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</si>
  <si>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</si>
  <si>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</si>
  <si>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</si>
  <si>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</si>
  <si>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</si>
  <si>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</si>
  <si>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</si>
  <si>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</si>
  <si>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</si>
  <si>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</si>
  <si>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</si>
  <si>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</si>
  <si>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</si>
  <si>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</si>
  <si>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</si>
  <si>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</si>
  <si>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</si>
  <si>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</si>
  <si>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</si>
  <si>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</si>
  <si>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</si>
  <si>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</si>
  <si>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</si>
  <si>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</si>
  <si>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</si>
  <si>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</si>
  <si>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</si>
  <si>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</si>
  <si>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</si>
  <si>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</si>
  <si>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</si>
  <si>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</si>
  <si>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</si>
  <si>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</si>
  <si>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</si>
  <si>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</si>
  <si>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</si>
  <si>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</si>
  <si>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</si>
  <si>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</si>
  <si>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</si>
  <si>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</si>
  <si>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</si>
  <si>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</si>
  <si>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</si>
  <si>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</si>
  <si>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</si>
  <si>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</si>
  <si>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</si>
  <si>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</si>
  <si>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</si>
  <si>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</si>
  <si>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</si>
  <si>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</si>
  <si>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</si>
  <si>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</si>
  <si>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</si>
  <si>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</si>
  <si>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</si>
  <si>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</si>
  <si>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</si>
  <si>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</si>
  <si>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</si>
  <si>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</si>
  <si>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</si>
  <si>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</si>
  <si>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</si>
  <si>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</si>
  <si>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</si>
  <si>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</si>
  <si>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</si>
  <si>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</si>
  <si>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</si>
  <si>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</si>
  <si>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</si>
  <si>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</si>
  <si>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</si>
  <si>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</si>
  <si>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</si>
  <si>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</si>
  <si>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</si>
  <si>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</si>
  <si>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</si>
  <si>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</si>
  <si>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</si>
  <si>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</si>
  <si>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</si>
  <si>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</si>
  <si>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</si>
  <si>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</si>
  <si>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</si>
  <si>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</si>
  <si>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</si>
  <si>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</si>
  <si>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</si>
  <si>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</si>
  <si>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</si>
  <si>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</si>
  <si>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</si>
  <si>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</si>
  <si>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</si>
  <si>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</si>
  <si>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</si>
  <si>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</si>
  <si>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</si>
  <si>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</si>
  <si>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</si>
  <si>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</si>
  <si>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</si>
  <si>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</si>
  <si>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</si>
  <si>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</si>
  <si>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</si>
  <si>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</si>
  <si>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</si>
  <si>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</si>
  <si>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</si>
  <si>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</si>
  <si>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</si>
  <si>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</si>
  <si>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</si>
  <si>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</si>
  <si>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</si>
  <si>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</si>
  <si>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</si>
  <si>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</si>
  <si>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</si>
  <si>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</si>
  <si>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</si>
  <si>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</si>
  <si>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</si>
  <si>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</si>
  <si>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</si>
  <si>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</si>
  <si>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</si>
  <si>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</si>
  <si>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</si>
  <si>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</si>
  <si>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</si>
  <si>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</si>
  <si>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</si>
  <si>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</si>
  <si>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</si>
  <si>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</si>
  <si>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</si>
  <si>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</si>
  <si>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</si>
  <si>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</si>
  <si>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</si>
  <si>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</si>
  <si>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</si>
  <si>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</si>
  <si>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</si>
  <si>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</si>
  <si>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</si>
  <si>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</si>
  <si>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</si>
  <si>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</si>
  <si>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</si>
  <si>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</si>
  <si>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</si>
  <si>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</si>
  <si>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</si>
  <si>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</si>
  <si>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</si>
  <si>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</si>
  <si>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</si>
  <si>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</si>
  <si>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</si>
  <si>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</si>
  <si>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</si>
  <si>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</si>
  <si>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</si>
  <si>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</si>
  <si>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</si>
  <si>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</si>
  <si>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</si>
  <si>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</si>
  <si>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</si>
  <si>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</si>
  <si>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</si>
  <si>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</si>
  <si>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</si>
  <si>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</si>
  <si>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</si>
  <si>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</si>
  <si>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</si>
  <si>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</si>
  <si>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</si>
  <si>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</si>
  <si>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</si>
  <si>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</si>
  <si>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</si>
  <si>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</si>
  <si>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</si>
  <si>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</si>
  <si>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</si>
  <si>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</si>
  <si>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</si>
  <si>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</si>
  <si>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</si>
  <si>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</si>
  <si>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</si>
  <si>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</si>
  <si>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r>
      <t>S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</si>
  <si>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</si>
  <si>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IPTS-23087</t>
  </si>
  <si>
    <t>Mar</t>
  </si>
  <si>
    <t>Wed</t>
  </si>
  <si>
    <t>24_03_2021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</si>
  <si>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</si>
  <si>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</si>
  <si>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</si>
  <si>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</si>
  <si>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</si>
  <si>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5_P2HMA_57h63d_132m110h_5min-174681-1.</t>
  </si>
  <si>
    <t>2019-11-21T08:41:00.432169667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</si>
</sst>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121.18324134067032</c:v>
                </c:pt>
                <c:pt idx="4">
                  <c:v>121.18324134067032</c:v>
                </c:pt>
                <c:pt idx="5">
                  <c:v>136.95716317835726</c:v>
                </c:pt>
                <c:pt idx="6">
                  <c:v>136.95716317835726</c:v>
                </c:pt>
                <c:pt idx="7">
                  <c:v>145.73501810240376</c:v>
                </c:pt>
                <c:pt idx="8">
                  <c:v>145.73501810240376</c:v>
                </c:pt>
                <c:pt idx="9">
                  <c:v>152.16627897102518</c:v>
                </c:pt>
                <c:pt idx="10">
                  <c:v>152.16627897102518</c:v>
                </c:pt>
                <c:pt idx="11">
                  <c:v>157.39995102274867</c:v>
                </c:pt>
                <c:pt idx="12">
                  <c:v>157.39995102274867</c:v>
                </c:pt>
                <c:pt idx="13">
                  <c:v>161.91925589590716</c:v>
                </c:pt>
                <c:pt idx="14">
                  <c:v>161.91925589590716</c:v>
                </c:pt>
                <c:pt idx="15">
                  <c:v>165.97914180529116</c:v>
                </c:pt>
                <c:pt idx="16">
                  <c:v>165.97914180529116</c:v>
                </c:pt>
                <c:pt idx="17">
                  <c:v>169.73453779404815</c:v>
                </c:pt>
                <c:pt idx="18">
                  <c:v>169.73453779404815</c:v>
                </c:pt>
                <c:pt idx="19">
                  <c:v>173.29029179099103</c:v>
                </c:pt>
                <c:pt idx="20">
                  <c:v>173.29029179099103</c:v>
                </c:pt>
                <c:pt idx="21">
                  <c:v>176.72447061184198</c:v>
                </c:pt>
                <c:pt idx="22">
                  <c:v>176.72447061184198</c:v>
                </c:pt>
                <c:pt idx="23">
                  <c:v>180.10096104491043</c:v>
                </c:pt>
                <c:pt idx="24">
                  <c:v>180.10096104491043</c:v>
                </c:pt>
                <c:pt idx="25">
                  <c:v>181.94621664504422</c:v>
                </c:pt>
                <c:pt idx="26">
                  <c:v>181.94621664504422</c:v>
                </c:pt>
                <c:pt idx="27">
                  <c:v>185.63672784531178</c:v>
                </c:pt>
                <c:pt idx="28">
                  <c:v>185.63672784531178</c:v>
                </c:pt>
                <c:pt idx="29">
                  <c:v>189.32723904557935</c:v>
                </c:pt>
                <c:pt idx="30">
                  <c:v>189.32723904557935</c:v>
                </c:pt>
                <c:pt idx="31">
                  <c:v>193.01775024584691</c:v>
                </c:pt>
                <c:pt idx="32">
                  <c:v>193.01775024584691</c:v>
                </c:pt>
                <c:pt idx="33">
                  <c:v>196.70826144611448</c:v>
                </c:pt>
                <c:pt idx="34">
                  <c:v>196.70826144611448</c:v>
                </c:pt>
                <c:pt idx="35">
                  <c:v>200.39877264638204</c:v>
                </c:pt>
                <c:pt idx="36">
                  <c:v>200.39877264638204</c:v>
                </c:pt>
                <c:pt idx="37">
                  <c:v>204.08928384664961</c:v>
                </c:pt>
                <c:pt idx="38">
                  <c:v>204.08928384664961</c:v>
                </c:pt>
                <c:pt idx="39">
                  <c:v>207.77979504691717</c:v>
                </c:pt>
                <c:pt idx="40">
                  <c:v>207.77979504691717</c:v>
                </c:pt>
                <c:pt idx="41">
                  <c:v>211.47030624718474</c:v>
                </c:pt>
                <c:pt idx="42">
                  <c:v>211.47030624718474</c:v>
                </c:pt>
                <c:pt idx="43">
                  <c:v>215.1608174474523</c:v>
                </c:pt>
                <c:pt idx="44">
                  <c:v>215.1608174474523</c:v>
                </c:pt>
                <c:pt idx="45">
                  <c:v>218.85132864771987</c:v>
                </c:pt>
                <c:pt idx="46">
                  <c:v>218.85132864771987</c:v>
                </c:pt>
                <c:pt idx="47">
                  <c:v>222.54183984798743</c:v>
                </c:pt>
                <c:pt idx="48">
                  <c:v>222.54183984798743</c:v>
                </c:pt>
                <c:pt idx="49">
                  <c:v>226.232351048255</c:v>
                </c:pt>
                <c:pt idx="50">
                  <c:v>226.232351048255</c:v>
                </c:pt>
                <c:pt idx="51">
                  <c:v>229.92286224852256</c:v>
                </c:pt>
                <c:pt idx="52">
                  <c:v>229.92286224852256</c:v>
                </c:pt>
                <c:pt idx="53">
                  <c:v>233.61337344879013</c:v>
                </c:pt>
                <c:pt idx="54">
                  <c:v>233.61337344879013</c:v>
                </c:pt>
                <c:pt idx="55">
                  <c:v>237.30388464905769</c:v>
                </c:pt>
                <c:pt idx="56">
                  <c:v>237.30388464905769</c:v>
                </c:pt>
                <c:pt idx="57">
                  <c:v>240.99439584932526</c:v>
                </c:pt>
                <c:pt idx="58">
                  <c:v>240.99439584932526</c:v>
                </c:pt>
                <c:pt idx="59">
                  <c:v>244.68490704959282</c:v>
                </c:pt>
                <c:pt idx="60">
                  <c:v>244.68490704959282</c:v>
                </c:pt>
                <c:pt idx="61">
                  <c:v>248.37541824986039</c:v>
                </c:pt>
                <c:pt idx="62">
                  <c:v>248.37541824986039</c:v>
                </c:pt>
                <c:pt idx="63">
                  <c:v>252.06592945012795</c:v>
                </c:pt>
                <c:pt idx="64">
                  <c:v>252.06592945012795</c:v>
                </c:pt>
                <c:pt idx="65">
                  <c:v>255.75644065039552</c:v>
                </c:pt>
                <c:pt idx="66">
                  <c:v>255.75644065039552</c:v>
                </c:pt>
                <c:pt idx="67">
                  <c:v>259.44695185066308</c:v>
                </c:pt>
                <c:pt idx="68">
                  <c:v>259.44695185066308</c:v>
                </c:pt>
                <c:pt idx="69">
                  <c:v>261.29220745079687</c:v>
                </c:pt>
                <c:pt idx="70">
                  <c:v>261.29220745079687</c:v>
                </c:pt>
                <c:pt idx="71">
                  <c:v>265.65014584042086</c:v>
                </c:pt>
                <c:pt idx="72">
                  <c:v>265.65014584042086</c:v>
                </c:pt>
                <c:pt idx="73">
                  <c:v>270.08254096100154</c:v>
                </c:pt>
                <c:pt idx="74">
                  <c:v>270.08254096100154</c:v>
                </c:pt>
                <c:pt idx="75">
                  <c:v>274.67184963949649</c:v>
                </c:pt>
                <c:pt idx="76">
                  <c:v>274.67184963949649</c:v>
                </c:pt>
                <c:pt idx="77">
                  <c:v>279.51883045346887</c:v>
                </c:pt>
                <c:pt idx="78">
                  <c:v>279.51883045346887</c:v>
                </c:pt>
                <c:pt idx="79">
                  <c:v>284.75880758733547</c:v>
                </c:pt>
                <c:pt idx="80">
                  <c:v>284.75880758733547</c:v>
                </c:pt>
                <c:pt idx="81">
                  <c:v>290.59174346900301</c:v>
                </c:pt>
                <c:pt idx="82">
                  <c:v>290.59174346900301</c:v>
                </c:pt>
                <c:pt idx="83">
                  <c:v>297.34669237379842</c:v>
                </c:pt>
                <c:pt idx="84">
                  <c:v>297.34669237379842</c:v>
                </c:pt>
                <c:pt idx="85">
                  <c:v>305.64733447204407</c:v>
                </c:pt>
                <c:pt idx="86">
                  <c:v>305.64733447204407</c:v>
                </c:pt>
                <c:pt idx="87">
                  <c:v>316.97665753998729</c:v>
                </c:pt>
                <c:pt idx="88">
                  <c:v>316.97665753998729</c:v>
                </c:pt>
                <c:pt idx="89">
                  <c:v>337.33560150681899</c:v>
                </c:pt>
                <c:pt idx="90">
                  <c:v>337.33560150681899</c:v>
                </c:pt>
                <c:pt idx="91">
                  <c:v>364.6761974555194</c:v>
                </c:pt>
                <c:pt idx="92">
                  <c:v>364.6761974555194</c:v>
                </c:pt>
                <c:pt idx="93">
                  <c:v>1256.4365685054709</c:v>
                </c:pt>
                <c:pt idx="94">
                  <c:v>1256.4365685054709</c:v>
                </c:pt>
                <c:pt idx="95">
                  <c:v>1259.878731681619</c:v>
                </c:pt>
                <c:pt idx="96">
                  <c:v>1259.878731681619</c:v>
                </c:pt>
                <c:pt idx="97">
                  <c:v>1262.4419094323669</c:v>
                </c:pt>
                <c:pt idx="98">
                  <c:v>1262.4419094323669</c:v>
                </c:pt>
                <c:pt idx="99">
                  <c:v>1263.8682638084138</c:v>
                </c:pt>
                <c:pt idx="100">
                  <c:v>1263.8682638084138</c:v>
                </c:pt>
                <c:pt idx="101">
                  <c:v>1264.913309228147</c:v>
                </c:pt>
                <c:pt idx="102">
                  <c:v>1264.913309228147</c:v>
                </c:pt>
                <c:pt idx="103">
                  <c:v>1265.7637528841842</c:v>
                </c:pt>
                <c:pt idx="104">
                  <c:v>1265.7637528841842</c:v>
                </c:pt>
                <c:pt idx="105">
                  <c:v>1266.4981157026971</c:v>
                </c:pt>
                <c:pt idx="106">
                  <c:v>1266.4981157026971</c:v>
                </c:pt>
                <c:pt idx="107">
                  <c:v>1267.1578254020721</c:v>
                </c:pt>
                <c:pt idx="108">
                  <c:v>1267.1578254020721</c:v>
                </c:pt>
                <c:pt idx="109">
                  <c:v>1267.7680571214048</c:v>
                </c:pt>
                <c:pt idx="110">
                  <c:v>1267.7680571214048</c:v>
                </c:pt>
                <c:pt idx="111">
                  <c:v>1268.3458480871443</c:v>
                </c:pt>
                <c:pt idx="112">
                  <c:v>1268.3458480871443</c:v>
                </c:pt>
                <c:pt idx="113">
                  <c:v>1268.9038837384091</c:v>
                </c:pt>
                <c:pt idx="114">
                  <c:v>1268.9038837384091</c:v>
                </c:pt>
                <c:pt idx="115">
                  <c:v>1269.4525453358679</c:v>
                </c:pt>
                <c:pt idx="116">
                  <c:v>1269.4525453358679</c:v>
                </c:pt>
                <c:pt idx="117">
                  <c:v>1269.6798180631406</c:v>
                </c:pt>
                <c:pt idx="118">
                  <c:v>1269.6798180631406</c:v>
                </c:pt>
                <c:pt idx="119">
                  <c:v>1270.1343635176861</c:v>
                </c:pt>
                <c:pt idx="120">
                  <c:v>1270.1343635176861</c:v>
                </c:pt>
                <c:pt idx="121">
                  <c:v>1270.5889089722316</c:v>
                </c:pt>
                <c:pt idx="122">
                  <c:v>1270.5889089722316</c:v>
                </c:pt>
                <c:pt idx="123">
                  <c:v>1271.0434544267771</c:v>
                </c:pt>
                <c:pt idx="124">
                  <c:v>1271.0434544267771</c:v>
                </c:pt>
                <c:pt idx="125">
                  <c:v>1271.4979998813226</c:v>
                </c:pt>
                <c:pt idx="126">
                  <c:v>1271.4979998813226</c:v>
                </c:pt>
                <c:pt idx="127">
                  <c:v>1271.9525453358681</c:v>
                </c:pt>
                <c:pt idx="128">
                  <c:v>1271.9525453358681</c:v>
                </c:pt>
                <c:pt idx="129">
                  <c:v>1272.4070907904136</c:v>
                </c:pt>
                <c:pt idx="130">
                  <c:v>1272.4070907904136</c:v>
                </c:pt>
                <c:pt idx="131">
                  <c:v>1272.8616362449591</c:v>
                </c:pt>
                <c:pt idx="132">
                  <c:v>1272.8616362449591</c:v>
                </c:pt>
                <c:pt idx="133">
                  <c:v>1273.3161816995046</c:v>
                </c:pt>
                <c:pt idx="134">
                  <c:v>1273.3161816995046</c:v>
                </c:pt>
                <c:pt idx="135">
                  <c:v>1273.7707271540501</c:v>
                </c:pt>
                <c:pt idx="136">
                  <c:v>1273.7707271540501</c:v>
                </c:pt>
                <c:pt idx="137">
                  <c:v>1274.2252726085956</c:v>
                </c:pt>
                <c:pt idx="138">
                  <c:v>1274.2252726085956</c:v>
                </c:pt>
                <c:pt idx="139">
                  <c:v>1274.6798180631411</c:v>
                </c:pt>
                <c:pt idx="140">
                  <c:v>1274.6798180631411</c:v>
                </c:pt>
                <c:pt idx="141">
                  <c:v>1275.1343635176866</c:v>
                </c:pt>
                <c:pt idx="142">
                  <c:v>1275.1343635176866</c:v>
                </c:pt>
                <c:pt idx="143">
                  <c:v>1275.588908972232</c:v>
                </c:pt>
                <c:pt idx="144">
                  <c:v>1275.588908972232</c:v>
                </c:pt>
                <c:pt idx="145">
                  <c:v>1276.0434544267775</c:v>
                </c:pt>
                <c:pt idx="146">
                  <c:v>1276.0434544267775</c:v>
                </c:pt>
                <c:pt idx="147">
                  <c:v>1276.497999881323</c:v>
                </c:pt>
                <c:pt idx="148">
                  <c:v>1276.497999881323</c:v>
                </c:pt>
                <c:pt idx="149">
                  <c:v>1276.9525453358685</c:v>
                </c:pt>
                <c:pt idx="150">
                  <c:v>1276.9525453358685</c:v>
                </c:pt>
                <c:pt idx="151">
                  <c:v>1277.407090790414</c:v>
                </c:pt>
                <c:pt idx="152">
                  <c:v>1277.407090790414</c:v>
                </c:pt>
                <c:pt idx="153">
                  <c:v>1277.8616362449595</c:v>
                </c:pt>
                <c:pt idx="154">
                  <c:v>1277.8616362449595</c:v>
                </c:pt>
                <c:pt idx="155">
                  <c:v>1278.316181699505</c:v>
                </c:pt>
                <c:pt idx="156">
                  <c:v>1278.316181699505</c:v>
                </c:pt>
                <c:pt idx="157">
                  <c:v>1278.7707271540505</c:v>
                </c:pt>
                <c:pt idx="158">
                  <c:v>1278.7707271540505</c:v>
                </c:pt>
                <c:pt idx="159">
                  <c:v>1279.225272608596</c:v>
                </c:pt>
                <c:pt idx="160">
                  <c:v>1279.225272608596</c:v>
                </c:pt>
                <c:pt idx="161">
                  <c:v>1279.4525453358688</c:v>
                </c:pt>
                <c:pt idx="162">
                  <c:v>1279.4525453358688</c:v>
                </c:pt>
                <c:pt idx="163">
                  <c:v>1279.7268761345981</c:v>
                </c:pt>
                <c:pt idx="164">
                  <c:v>1279.7268761345981</c:v>
                </c:pt>
                <c:pt idx="165">
                  <c:v>1280.0058939602304</c:v>
                </c:pt>
                <c:pt idx="166">
                  <c:v>1280.0058939602304</c:v>
                </c:pt>
                <c:pt idx="167">
                  <c:v>1280.2947894431002</c:v>
                </c:pt>
                <c:pt idx="168">
                  <c:v>1280.2947894431002</c:v>
                </c:pt>
                <c:pt idx="169">
                  <c:v>1280.5999053027665</c:v>
                </c:pt>
                <c:pt idx="170">
                  <c:v>1280.5999053027665</c:v>
                </c:pt>
                <c:pt idx="171">
                  <c:v>1280.929760152454</c:v>
                </c:pt>
                <c:pt idx="172">
                  <c:v>1280.929760152454</c:v>
                </c:pt>
                <c:pt idx="173">
                  <c:v>1281.2969415617106</c:v>
                </c:pt>
                <c:pt idx="174">
                  <c:v>1281.2969415617106</c:v>
                </c:pt>
                <c:pt idx="175">
                  <c:v>1281.7221633897293</c:v>
                </c:pt>
                <c:pt idx="176">
                  <c:v>1281.7221633897293</c:v>
                </c:pt>
                <c:pt idx="177">
                  <c:v>1282.244686099596</c:v>
                </c:pt>
                <c:pt idx="178">
                  <c:v>1282.244686099596</c:v>
                </c:pt>
                <c:pt idx="179">
                  <c:v>1282.9578632876196</c:v>
                </c:pt>
                <c:pt idx="180">
                  <c:v>1282.9578632876196</c:v>
                </c:pt>
                <c:pt idx="181">
                  <c:v>1284.2394521629935</c:v>
                </c:pt>
                <c:pt idx="182">
                  <c:v>1284.2394521629935</c:v>
                </c:pt>
                <c:pt idx="183">
                  <c:v>1285.9605337510677</c:v>
                </c:pt>
                <c:pt idx="184">
                  <c:v>1285.9605337510677</c:v>
                </c:pt>
                <c:pt idx="185">
                  <c:v>1314.2074020004336</c:v>
                </c:pt>
                <c:pt idx="186">
                  <c:v>1314.2074020004336</c:v>
                </c:pt>
                <c:pt idx="187">
                  <c:v>1315.9284835885078</c:v>
                </c:pt>
                <c:pt idx="188">
                  <c:v>1315.9284835885078</c:v>
                </c:pt>
                <c:pt idx="189">
                  <c:v>1317.2100724638817</c:v>
                </c:pt>
                <c:pt idx="190">
                  <c:v>1317.2100724638817</c:v>
                </c:pt>
                <c:pt idx="191">
                  <c:v>1317.9232496519053</c:v>
                </c:pt>
                <c:pt idx="192">
                  <c:v>1317.9232496519053</c:v>
                </c:pt>
                <c:pt idx="193">
                  <c:v>1318.445772361772</c:v>
                </c:pt>
                <c:pt idx="194">
                  <c:v>1318.445772361772</c:v>
                </c:pt>
                <c:pt idx="195">
                  <c:v>1318.8709941897907</c:v>
                </c:pt>
                <c:pt idx="196">
                  <c:v>1318.8709941897907</c:v>
                </c:pt>
                <c:pt idx="197">
                  <c:v>1319.2381755990473</c:v>
                </c:pt>
                <c:pt idx="198">
                  <c:v>1319.2381755990473</c:v>
                </c:pt>
                <c:pt idx="199">
                  <c:v>1319.5680304487348</c:v>
                </c:pt>
                <c:pt idx="200">
                  <c:v>1319.5680304487348</c:v>
                </c:pt>
                <c:pt idx="201">
                  <c:v>1319.8731463084011</c:v>
                </c:pt>
                <c:pt idx="202">
                  <c:v>1319.8731463084011</c:v>
                </c:pt>
                <c:pt idx="203">
                  <c:v>1320.1620417912709</c:v>
                </c:pt>
                <c:pt idx="204">
                  <c:v>1320.1620417912709</c:v>
                </c:pt>
                <c:pt idx="205">
                  <c:v>1320.4410596169032</c:v>
                </c:pt>
                <c:pt idx="206">
                  <c:v>1320.4410596169032</c:v>
                </c:pt>
                <c:pt idx="207">
                  <c:v>1320.7153904156326</c:v>
                </c:pt>
                <c:pt idx="208">
                  <c:v>1320.7153904156326</c:v>
                </c:pt>
                <c:pt idx="209">
                  <c:v>1320.9897212143619</c:v>
                </c:pt>
                <c:pt idx="210">
                  <c:v>1320.9897212143619</c:v>
                </c:pt>
                <c:pt idx="211">
                  <c:v>1321.2687390399942</c:v>
                </c:pt>
                <c:pt idx="212">
                  <c:v>1321.2687390399942</c:v>
                </c:pt>
                <c:pt idx="213">
                  <c:v>1321.557634522864</c:v>
                </c:pt>
                <c:pt idx="214">
                  <c:v>1321.557634522864</c:v>
                </c:pt>
                <c:pt idx="215">
                  <c:v>1321.8627503825303</c:v>
                </c:pt>
                <c:pt idx="216">
                  <c:v>1321.8627503825303</c:v>
                </c:pt>
                <c:pt idx="217">
                  <c:v>1322.1926052322178</c:v>
                </c:pt>
                <c:pt idx="218">
                  <c:v>1322.1926052322178</c:v>
                </c:pt>
                <c:pt idx="219">
                  <c:v>1322.5597866414744</c:v>
                </c:pt>
                <c:pt idx="220">
                  <c:v>1322.5597866414744</c:v>
                </c:pt>
                <c:pt idx="221">
                  <c:v>1322.9850084694931</c:v>
                </c:pt>
                <c:pt idx="222">
                  <c:v>1322.9850084694931</c:v>
                </c:pt>
                <c:pt idx="223">
                  <c:v>1323.5075311793598</c:v>
                </c:pt>
                <c:pt idx="224">
                  <c:v>1323.5075311793598</c:v>
                </c:pt>
                <c:pt idx="225">
                  <c:v>1324.2207083673834</c:v>
                </c:pt>
                <c:pt idx="226">
                  <c:v>1324.2207083673834</c:v>
                </c:pt>
                <c:pt idx="227">
                  <c:v>1325.5022972427573</c:v>
                </c:pt>
                <c:pt idx="228">
                  <c:v>1325.5022972427573</c:v>
                </c:pt>
                <c:pt idx="229">
                  <c:v>1327.2233788308315</c:v>
                </c:pt>
                <c:pt idx="230">
                  <c:v>1327.2233788308315</c:v>
                </c:pt>
                <c:pt idx="231">
                  <c:v>1427.2233788308315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8.0157015825948357E-9</c:v>
                </c:pt>
                <c:pt idx="3">
                  <c:v>8.0157015825948357E-9</c:v>
                </c:pt>
                <c:pt idx="4">
                  <c:v>6.6027652211741557E-8</c:v>
                </c:pt>
                <c:pt idx="5">
                  <c:v>6.6027652211741557E-8</c:v>
                </c:pt>
                <c:pt idx="6">
                  <c:v>1.4995064966662397E-7</c:v>
                </c:pt>
                <c:pt idx="7">
                  <c:v>1.4995064966662397E-7</c:v>
                </c:pt>
                <c:pt idx="8">
                  <c:v>2.4491391183189889E-7</c:v>
                </c:pt>
                <c:pt idx="9">
                  <c:v>2.4491391183189889E-7</c:v>
                </c:pt>
                <c:pt idx="10">
                  <c:v>3.45133408139704E-7</c:v>
                </c:pt>
                <c:pt idx="11">
                  <c:v>3.45133408139704E-7</c:v>
                </c:pt>
                <c:pt idx="12">
                  <c:v>4.4796125530833264E-7</c:v>
                </c:pt>
                <c:pt idx="13">
                  <c:v>4.4796125530833264E-7</c:v>
                </c:pt>
                <c:pt idx="14">
                  <c:v>5.5207745295146568E-7</c:v>
                </c:pt>
                <c:pt idx="15">
                  <c:v>5.5207745295146568E-7</c:v>
                </c:pt>
                <c:pt idx="16">
                  <c:v>6.5680019552888946E-7</c:v>
                </c:pt>
                <c:pt idx="17">
                  <c:v>6.5680019552888946E-7</c:v>
                </c:pt>
                <c:pt idx="18">
                  <c:v>7.6178008626453001E-7</c:v>
                </c:pt>
                <c:pt idx="19">
                  <c:v>7.6178008626453001E-7</c:v>
                </c:pt>
                <c:pt idx="20">
                  <c:v>8.6684905221572686E-7</c:v>
                </c:pt>
                <c:pt idx="21">
                  <c:v>8.6684905221572686E-7</c:v>
                </c:pt>
                <c:pt idx="22">
                  <c:v>9.7193857261427773E-7</c:v>
                </c:pt>
                <c:pt idx="23">
                  <c:v>9.7193857261427773E-7</c:v>
                </c:pt>
                <c:pt idx="24">
                  <c:v>1.0496901576446533E-6</c:v>
                </c:pt>
                <c:pt idx="25">
                  <c:v>1.0496901576446533E-6</c:v>
                </c:pt>
                <c:pt idx="26">
                  <c:v>1.1349874216282023E-6</c:v>
                </c:pt>
                <c:pt idx="27">
                  <c:v>1.1349874216282023E-6</c:v>
                </c:pt>
                <c:pt idx="28">
                  <c:v>1.2462753537661014E-6</c:v>
                </c:pt>
                <c:pt idx="29">
                  <c:v>1.2462753537661014E-6</c:v>
                </c:pt>
                <c:pt idx="30">
                  <c:v>1.3527600942871214E-6</c:v>
                </c:pt>
                <c:pt idx="31">
                  <c:v>1.3527600942871214E-6</c:v>
                </c:pt>
                <c:pt idx="32">
                  <c:v>1.4524806529502458E-6</c:v>
                </c:pt>
                <c:pt idx="33">
                  <c:v>1.4524806529502458E-6</c:v>
                </c:pt>
                <c:pt idx="34">
                  <c:v>1.5438180177524784E-6</c:v>
                </c:pt>
                <c:pt idx="35">
                  <c:v>1.5438180177524784E-6</c:v>
                </c:pt>
                <c:pt idx="36">
                  <c:v>1.6255608683413448E-6</c:v>
                </c:pt>
                <c:pt idx="37">
                  <c:v>1.6255608683413448E-6</c:v>
                </c:pt>
                <c:pt idx="38">
                  <c:v>1.6969357621559827E-6</c:v>
                </c:pt>
                <c:pt idx="39">
                  <c:v>1.6969357621559827E-6</c:v>
                </c:pt>
                <c:pt idx="40">
                  <c:v>1.7576024036361756E-6</c:v>
                </c:pt>
                <c:pt idx="41">
                  <c:v>1.7576024036361756E-6</c:v>
                </c:pt>
                <c:pt idx="42">
                  <c:v>1.8076183883416735E-6</c:v>
                </c:pt>
                <c:pt idx="43">
                  <c:v>1.8076183883416735E-6</c:v>
                </c:pt>
                <c:pt idx="44">
                  <c:v>1.8473806566380405E-6</c:v>
                </c:pt>
                <c:pt idx="45">
                  <c:v>1.8473806566380405E-6</c:v>
                </c:pt>
                <c:pt idx="46">
                  <c:v>1.8775524686213573E-6</c:v>
                </c:pt>
                <c:pt idx="47">
                  <c:v>1.8775524686213573E-6</c:v>
                </c:pt>
                <c:pt idx="48">
                  <c:v>1.8989849448848498E-6</c:v>
                </c:pt>
                <c:pt idx="49">
                  <c:v>1.8989849448848498E-6</c:v>
                </c:pt>
                <c:pt idx="50">
                  <c:v>1.9126412605500296E-6</c:v>
                </c:pt>
                <c:pt idx="51">
                  <c:v>1.9126412605500296E-6</c:v>
                </c:pt>
                <c:pt idx="52">
                  <c:v>1.9195297584148989E-6</c:v>
                </c:pt>
                <c:pt idx="53">
                  <c:v>1.9195297584148989E-6</c:v>
                </c:pt>
                <c:pt idx="54">
                  <c:v>1.9206499733524451E-6</c:v>
                </c:pt>
                <c:pt idx="55">
                  <c:v>1.9206499733524451E-6</c:v>
                </c:pt>
                <c:pt idx="56">
                  <c:v>1.9169532450394719E-6</c:v>
                </c:pt>
                <c:pt idx="57">
                  <c:v>1.9169532450394719E-6</c:v>
                </c:pt>
                <c:pt idx="58">
                  <c:v>1.9093175773510445E-6</c:v>
                </c:pt>
                <c:pt idx="59">
                  <c:v>1.9093175773510445E-6</c:v>
                </c:pt>
                <c:pt idx="60">
                  <c:v>1.8985349010184043E-6</c:v>
                </c:pt>
                <c:pt idx="61">
                  <c:v>1.8985349010184043E-6</c:v>
                </c:pt>
                <c:pt idx="62">
                  <c:v>1.8853080025898466E-6</c:v>
                </c:pt>
                <c:pt idx="63">
                  <c:v>1.8853080025898466E-6</c:v>
                </c:pt>
                <c:pt idx="64">
                  <c:v>1.870254073271933E-6</c:v>
                </c:pt>
                <c:pt idx="65">
                  <c:v>1.870254073271933E-6</c:v>
                </c:pt>
                <c:pt idx="66">
                  <c:v>1.8539119984941203E-6</c:v>
                </c:pt>
                <c:pt idx="67">
                  <c:v>1.8539119984941203E-6</c:v>
                </c:pt>
                <c:pt idx="68">
                  <c:v>1.8410947428522846E-6</c:v>
                </c:pt>
                <c:pt idx="69">
                  <c:v>1.8410947428522846E-6</c:v>
                </c:pt>
                <c:pt idx="70">
                  <c:v>1.8266043568195132E-6</c:v>
                </c:pt>
                <c:pt idx="71">
                  <c:v>1.8266043568195132E-6</c:v>
                </c:pt>
                <c:pt idx="72">
                  <c:v>1.805626265438931E-6</c:v>
                </c:pt>
                <c:pt idx="73">
                  <c:v>1.805626265438931E-6</c:v>
                </c:pt>
                <c:pt idx="74">
                  <c:v>1.7843995206467145E-6</c:v>
                </c:pt>
                <c:pt idx="75">
                  <c:v>1.7843995206467145E-6</c:v>
                </c:pt>
                <c:pt idx="76">
                  <c:v>1.763040132921398E-6</c:v>
                </c:pt>
                <c:pt idx="77">
                  <c:v>1.763040132921398E-6</c:v>
                </c:pt>
                <c:pt idx="78">
                  <c:v>1.7416450056199712E-6</c:v>
                </c:pt>
                <c:pt idx="79">
                  <c:v>1.7416450056199712E-6</c:v>
                </c:pt>
                <c:pt idx="80">
                  <c:v>1.7203240293942376E-6</c:v>
                </c:pt>
                <c:pt idx="81">
                  <c:v>1.7203240293942376E-6</c:v>
                </c:pt>
                <c:pt idx="82">
                  <c:v>1.6992402543285417E-6</c:v>
                </c:pt>
                <c:pt idx="83">
                  <c:v>1.6992402543285417E-6</c:v>
                </c:pt>
                <c:pt idx="84">
                  <c:v>1.6786782554570566E-6</c:v>
                </c:pt>
                <c:pt idx="85">
                  <c:v>1.6786782554570566E-6</c:v>
                </c:pt>
                <c:pt idx="86">
                  <c:v>1.6591891850697074E-6</c:v>
                </c:pt>
                <c:pt idx="87">
                  <c:v>1.6591891850697074E-6</c:v>
                </c:pt>
                <c:pt idx="88">
                  <c:v>1.6419641452992065E-6</c:v>
                </c:pt>
                <c:pt idx="89">
                  <c:v>1.6419641452992065E-6</c:v>
                </c:pt>
                <c:pt idx="90">
                  <c:v>1.630057029256684E-6</c:v>
                </c:pt>
                <c:pt idx="91">
                  <c:v>1.630057029256684E-6</c:v>
                </c:pt>
                <c:pt idx="92">
                  <c:v>1.6284117819277478E-6</c:v>
                </c:pt>
                <c:pt idx="93">
                  <c:v>1.6284117819277478E-6</c:v>
                </c:pt>
                <c:pt idx="94">
                  <c:v>1.6287872822105684E-6</c:v>
                </c:pt>
                <c:pt idx="95">
                  <c:v>1.6287872822105684E-6</c:v>
                </c:pt>
                <c:pt idx="96">
                  <c:v>1.6315048863583467E-6</c:v>
                </c:pt>
                <c:pt idx="97">
                  <c:v>1.6315048863583467E-6</c:v>
                </c:pt>
                <c:pt idx="98">
                  <c:v>1.6354363088239583E-6</c:v>
                </c:pt>
                <c:pt idx="99">
                  <c:v>1.6354363088239583E-6</c:v>
                </c:pt>
                <c:pt idx="100">
                  <c:v>1.6398849190214795E-6</c:v>
                </c:pt>
                <c:pt idx="101">
                  <c:v>1.6398849190214795E-6</c:v>
                </c:pt>
                <c:pt idx="102">
                  <c:v>1.6445797606170577E-6</c:v>
                </c:pt>
                <c:pt idx="103">
                  <c:v>1.6445797606170577E-6</c:v>
                </c:pt>
                <c:pt idx="104">
                  <c:v>1.6493967919518426E-6</c:v>
                </c:pt>
                <c:pt idx="105">
                  <c:v>1.6493967919518426E-6</c:v>
                </c:pt>
                <c:pt idx="106">
                  <c:v>1.6542741768268089E-6</c:v>
                </c:pt>
                <c:pt idx="107">
                  <c:v>1.6542741768268089E-6</c:v>
                </c:pt>
                <c:pt idx="108">
                  <c:v>1.6591799756580612E-6</c:v>
                </c:pt>
                <c:pt idx="109">
                  <c:v>1.6591799756580612E-6</c:v>
                </c:pt>
                <c:pt idx="110">
                  <c:v>1.6640978207469171E-6</c:v>
                </c:pt>
                <c:pt idx="111">
                  <c:v>1.6640978207469171E-6</c:v>
                </c:pt>
                <c:pt idx="112">
                  <c:v>1.6690198386169436E-6</c:v>
                </c:pt>
                <c:pt idx="113">
                  <c:v>1.6690198386169436E-6</c:v>
                </c:pt>
                <c:pt idx="114">
                  <c:v>1.6739428193722167E-6</c:v>
                </c:pt>
                <c:pt idx="115">
                  <c:v>1.6739428193722167E-6</c:v>
                </c:pt>
                <c:pt idx="116">
                  <c:v>1.6774312444747129E-6</c:v>
                </c:pt>
                <c:pt idx="117">
                  <c:v>1.6774312444747129E-6</c:v>
                </c:pt>
                <c:pt idx="118">
                  <c:v>1.6805001481956705E-6</c:v>
                </c:pt>
                <c:pt idx="119">
                  <c:v>1.6805001481956705E-6</c:v>
                </c:pt>
                <c:pt idx="120">
                  <c:v>1.684552832544751E-6</c:v>
                </c:pt>
                <c:pt idx="121">
                  <c:v>1.684552832544751E-6</c:v>
                </c:pt>
                <c:pt idx="122">
                  <c:v>1.6885268223934456E-6</c:v>
                </c:pt>
                <c:pt idx="123">
                  <c:v>1.6885268223934456E-6</c:v>
                </c:pt>
                <c:pt idx="124">
                  <c:v>1.6923969629136185E-6</c:v>
                </c:pt>
                <c:pt idx="125">
                  <c:v>1.6923969629136185E-6</c:v>
                </c:pt>
                <c:pt idx="126">
                  <c:v>1.6961611338401138E-6</c:v>
                </c:pt>
                <c:pt idx="127">
                  <c:v>1.6961611338401138E-6</c:v>
                </c:pt>
                <c:pt idx="128">
                  <c:v>1.6998582847553837E-6</c:v>
                </c:pt>
                <c:pt idx="129">
                  <c:v>1.6998582847553837E-6</c:v>
                </c:pt>
                <c:pt idx="130">
                  <c:v>1.7035976247094699E-6</c:v>
                </c:pt>
                <c:pt idx="131">
                  <c:v>1.7035976247094699E-6</c:v>
                </c:pt>
                <c:pt idx="132">
                  <c:v>1.7076031205246694E-6</c:v>
                </c:pt>
                <c:pt idx="133">
                  <c:v>1.7076031205246694E-6</c:v>
                </c:pt>
                <c:pt idx="134">
                  <c:v>1.7122761226801186E-6</c:v>
                </c:pt>
                <c:pt idx="135">
                  <c:v>1.7122761226801186E-6</c:v>
                </c:pt>
                <c:pt idx="136">
                  <c:v>1.7182748715334494E-6</c:v>
                </c:pt>
                <c:pt idx="137">
                  <c:v>1.7182748715334494E-6</c:v>
                </c:pt>
                <c:pt idx="138">
                  <c:v>1.7266020622761209E-6</c:v>
                </c:pt>
                <c:pt idx="139">
                  <c:v>1.7266020622761209E-6</c:v>
                </c:pt>
                <c:pt idx="140">
                  <c:v>1.7386809538508215E-6</c:v>
                </c:pt>
                <c:pt idx="141">
                  <c:v>1.7386809538508215E-6</c:v>
                </c:pt>
                <c:pt idx="142">
                  <c:v>1.756389107334747E-6</c:v>
                </c:pt>
                <c:pt idx="143">
                  <c:v>1.756389107334747E-6</c:v>
                </c:pt>
                <c:pt idx="144">
                  <c:v>1.7820114783659351E-6</c:v>
                </c:pt>
                <c:pt idx="145">
                  <c:v>1.7820114783659351E-6</c:v>
                </c:pt>
                <c:pt idx="146">
                  <c:v>1.8180774350928323E-6</c:v>
                </c:pt>
                <c:pt idx="147">
                  <c:v>1.8180774350928323E-6</c:v>
                </c:pt>
                <c:pt idx="148">
                  <c:v>1.8670644725745729E-6</c:v>
                </c:pt>
                <c:pt idx="149">
                  <c:v>1.8670644725745729E-6</c:v>
                </c:pt>
                <c:pt idx="150">
                  <c:v>1.9309856334698912E-6</c:v>
                </c:pt>
                <c:pt idx="151">
                  <c:v>1.9309856334698912E-6</c:v>
                </c:pt>
                <c:pt idx="152">
                  <c:v>2.010921336803667E-6</c:v>
                </c:pt>
                <c:pt idx="153">
                  <c:v>2.010921336803667E-6</c:v>
                </c:pt>
                <c:pt idx="154">
                  <c:v>2.1065955156374323E-6</c:v>
                </c:pt>
                <c:pt idx="155">
                  <c:v>2.1065955156374323E-6</c:v>
                </c:pt>
                <c:pt idx="156">
                  <c:v>2.2161133764350934E-6</c:v>
                </c:pt>
                <c:pt idx="157">
                  <c:v>2.2161133764350934E-6</c:v>
                </c:pt>
                <c:pt idx="158">
                  <c:v>2.3359604833684522E-6</c:v>
                </c:pt>
                <c:pt idx="159">
                  <c:v>2.3359604833684522E-6</c:v>
                </c:pt>
                <c:pt idx="160">
                  <c:v>2.4297542276575569E-6</c:v>
                </c:pt>
                <c:pt idx="161">
                  <c:v>2.4297542276575569E-6</c:v>
                </c:pt>
                <c:pt idx="162">
                  <c:v>2.5000403822831728E-6</c:v>
                </c:pt>
                <c:pt idx="163">
                  <c:v>2.5000403822831728E-6</c:v>
                </c:pt>
                <c:pt idx="164">
                  <c:v>2.5757225525322249E-6</c:v>
                </c:pt>
                <c:pt idx="165">
                  <c:v>2.5757225525322249E-6</c:v>
                </c:pt>
                <c:pt idx="166">
                  <c:v>2.6513899201141974E-6</c:v>
                </c:pt>
                <c:pt idx="167">
                  <c:v>2.6513899201141974E-6</c:v>
                </c:pt>
                <c:pt idx="168">
                  <c:v>2.7269931385250332E-6</c:v>
                </c:pt>
                <c:pt idx="169">
                  <c:v>2.7269931385250332E-6</c:v>
                </c:pt>
                <c:pt idx="170">
                  <c:v>2.802411166912967E-6</c:v>
                </c:pt>
                <c:pt idx="171">
                  <c:v>2.802411166912967E-6</c:v>
                </c:pt>
                <c:pt idx="172">
                  <c:v>2.8773923806993435E-6</c:v>
                </c:pt>
                <c:pt idx="173">
                  <c:v>2.8773923806993435E-6</c:v>
                </c:pt>
                <c:pt idx="174">
                  <c:v>2.9514457649592163E-6</c:v>
                </c:pt>
                <c:pt idx="175">
                  <c:v>2.9514457649592163E-6</c:v>
                </c:pt>
                <c:pt idx="176">
                  <c:v>3.0236206968941626E-6</c:v>
                </c:pt>
                <c:pt idx="177">
                  <c:v>3.0236206968941626E-6</c:v>
                </c:pt>
                <c:pt idx="178">
                  <c:v>3.0920102541720052E-6</c:v>
                </c:pt>
                <c:pt idx="179">
                  <c:v>3.0920102541720052E-6</c:v>
                </c:pt>
                <c:pt idx="180">
                  <c:v>3.1524489597356358E-6</c:v>
                </c:pt>
                <c:pt idx="181">
                  <c:v>3.1524489597356358E-6</c:v>
                </c:pt>
                <c:pt idx="182">
                  <c:v>3.1942273436063003E-6</c:v>
                </c:pt>
                <c:pt idx="183">
                  <c:v>3.1942273436063003E-6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3.1954457490555711E-6</c:v>
                </c:pt>
                <c:pt idx="187">
                  <c:v>3.1954457490555711E-6</c:v>
                </c:pt>
                <c:pt idx="188">
                  <c:v>3.1624853178046591E-6</c:v>
                </c:pt>
                <c:pt idx="189">
                  <c:v>3.1624853178046591E-6</c:v>
                </c:pt>
                <c:pt idx="190">
                  <c:v>3.1148031047781536E-6</c:v>
                </c:pt>
                <c:pt idx="191">
                  <c:v>3.1148031047781536E-6</c:v>
                </c:pt>
                <c:pt idx="192">
                  <c:v>3.0608481861792212E-6</c:v>
                </c:pt>
                <c:pt idx="193">
                  <c:v>3.0608481861792212E-6</c:v>
                </c:pt>
                <c:pt idx="194">
                  <c:v>3.0039068528465205E-6</c:v>
                </c:pt>
                <c:pt idx="195">
                  <c:v>3.0039068528465205E-6</c:v>
                </c:pt>
                <c:pt idx="196">
                  <c:v>2.945483542640192E-6</c:v>
                </c:pt>
                <c:pt idx="197">
                  <c:v>2.945483542640192E-6</c:v>
                </c:pt>
                <c:pt idx="198">
                  <c:v>2.8863282352025779E-6</c:v>
                </c:pt>
                <c:pt idx="199">
                  <c:v>2.8863282352025779E-6</c:v>
                </c:pt>
                <c:pt idx="200">
                  <c:v>2.8268283094166677E-6</c:v>
                </c:pt>
                <c:pt idx="201">
                  <c:v>2.8268283094166677E-6</c:v>
                </c:pt>
                <c:pt idx="202">
                  <c:v>2.7671822807312982E-6</c:v>
                </c:pt>
                <c:pt idx="203">
                  <c:v>2.7671822807312982E-6</c:v>
                </c:pt>
                <c:pt idx="204">
                  <c:v>2.70748564251657E-6</c:v>
                </c:pt>
                <c:pt idx="205">
                  <c:v>2.70748564251657E-6</c:v>
                </c:pt>
                <c:pt idx="206">
                  <c:v>2.6477773259589909E-6</c:v>
                </c:pt>
                <c:pt idx="207">
                  <c:v>2.6477773259589909E-6</c:v>
                </c:pt>
                <c:pt idx="208">
                  <c:v>2.5880677080911941E-6</c:v>
                </c:pt>
                <c:pt idx="209">
                  <c:v>2.5880677080911941E-6</c:v>
                </c:pt>
                <c:pt idx="210">
                  <c:v>2.5283593915336151E-6</c:v>
                </c:pt>
                <c:pt idx="211">
                  <c:v>2.5283593915336151E-6</c:v>
                </c:pt>
                <c:pt idx="212">
                  <c:v>2.4686627533188868E-6</c:v>
                </c:pt>
                <c:pt idx="213">
                  <c:v>2.4686627533188868E-6</c:v>
                </c:pt>
                <c:pt idx="214">
                  <c:v>2.4090167246335174E-6</c:v>
                </c:pt>
                <c:pt idx="215">
                  <c:v>2.4090167246335174E-6</c:v>
                </c:pt>
                <c:pt idx="216">
                  <c:v>2.3495167988476071E-6</c:v>
                </c:pt>
                <c:pt idx="217">
                  <c:v>2.3495167988476071E-6</c:v>
                </c:pt>
                <c:pt idx="218">
                  <c:v>2.290361491409993E-6</c:v>
                </c:pt>
                <c:pt idx="219">
                  <c:v>2.290361491409993E-6</c:v>
                </c:pt>
                <c:pt idx="220">
                  <c:v>2.2319381812036645E-6</c:v>
                </c:pt>
                <c:pt idx="221">
                  <c:v>2.2319381812036645E-6</c:v>
                </c:pt>
                <c:pt idx="222">
                  <c:v>2.1749968478709638E-6</c:v>
                </c:pt>
                <c:pt idx="223">
                  <c:v>2.1749968478709638E-6</c:v>
                </c:pt>
                <c:pt idx="224">
                  <c:v>2.1210419292720315E-6</c:v>
                </c:pt>
                <c:pt idx="225">
                  <c:v>2.1210419292720315E-6</c:v>
                </c:pt>
                <c:pt idx="226">
                  <c:v>2.073359716245526E-6</c:v>
                </c:pt>
                <c:pt idx="227">
                  <c:v>2.073359716245526E-6</c:v>
                </c:pt>
                <c:pt idx="228">
                  <c:v>2.040399284994614E-6</c:v>
                </c:pt>
                <c:pt idx="229">
                  <c:v>2.040399284994614E-6</c:v>
                </c:pt>
                <c:pt idx="230">
                  <c:v>2.0358450340501852E-6</c:v>
                </c:pt>
                <c:pt idx="231">
                  <c:v>2.0358450340501852E-6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4.6137210909501176E-9</c:v>
                </c:pt>
                <c:pt idx="1">
                  <c:v>4.7974953275625412E-9</c:v>
                </c:pt>
                <c:pt idx="2">
                  <c:v>4.9880339417805145E-9</c:v>
                </c:pt>
                <c:pt idx="3">
                  <c:v>5.1854172998385274E-9</c:v>
                </c:pt>
                <c:pt idx="4">
                  <c:v>5.3896681967991054E-9</c:v>
                </c:pt>
                <c:pt idx="5">
                  <c:v>5.6007126806643126E-9</c:v>
                </c:pt>
                <c:pt idx="6">
                  <c:v>5.8183208115764779E-9</c:v>
                </c:pt>
                <c:pt idx="7">
                  <c:v>6.0420158212376932E-9</c:v>
                </c:pt>
                <c:pt idx="8">
                  <c:v>6.2709196490029632E-9</c:v>
                </c:pt>
                <c:pt idx="9">
                  <c:v>6.5034771963670611E-9</c:v>
                </c:pt>
                <c:pt idx="10">
                  <c:v>6.7369425002252265E-9</c:v>
                </c:pt>
                <c:pt idx="11">
                  <c:v>6.9663889804476085E-9</c:v>
                </c:pt>
                <c:pt idx="12">
                  <c:v>7.1828272736005275E-9</c:v>
                </c:pt>
                <c:pt idx="13">
                  <c:v>7.3702205108330501E-9</c:v>
                </c:pt>
                <c:pt idx="14">
                  <c:v>7.5037134855148815E-9</c:v>
                </c:pt>
                <c:pt idx="15">
                  <c:v>7.5598172848969534E-9</c:v>
                </c:pt>
                <c:pt idx="16">
                  <c:v>7.5542011972810397E-9</c:v>
                </c:pt>
                <c:pt idx="17">
                  <c:v>7.5808952380089887E-9</c:v>
                </c:pt>
                <c:pt idx="18">
                  <c:v>7.7235436842641531E-9</c:v>
                </c:pt>
                <c:pt idx="19">
                  <c:v>7.7995305282044597E-9</c:v>
                </c:pt>
                <c:pt idx="20">
                  <c:v>7.3681087969806974E-9</c:v>
                </c:pt>
                <c:pt idx="21">
                  <c:v>6.3280310290028693E-9</c:v>
                </c:pt>
                <c:pt idx="22">
                  <c:v>5.1903740825383535E-9</c:v>
                </c:pt>
                <c:pt idx="23">
                  <c:v>4.4306980917024609E-9</c:v>
                </c:pt>
                <c:pt idx="24">
                  <c:v>4.0556876312850351E-9</c:v>
                </c:pt>
                <c:pt idx="25">
                  <c:v>3.8693435526464851E-9</c:v>
                </c:pt>
                <c:pt idx="26">
                  <c:v>3.7381663543109198E-9</c:v>
                </c:pt>
                <c:pt idx="27">
                  <c:v>3.6096026459764992E-9</c:v>
                </c:pt>
                <c:pt idx="28">
                  <c:v>3.4641150805287374E-9</c:v>
                </c:pt>
                <c:pt idx="29">
                  <c:v>3.2957514235326345E-9</c:v>
                </c:pt>
                <c:pt idx="30">
                  <c:v>3.1027373083243726E-9</c:v>
                </c:pt>
                <c:pt idx="31">
                  <c:v>2.8858296139934955E-9</c:v>
                </c:pt>
                <c:pt idx="32">
                  <c:v>2.6475681332636733E-9</c:v>
                </c:pt>
                <c:pt idx="33">
                  <c:v>2.3919239166533309E-9</c:v>
                </c:pt>
                <c:pt idx="34">
                  <c:v>2.1240654258330899E-9</c:v>
                </c:pt>
                <c:pt idx="35">
                  <c:v>1.8501330199850389E-9</c:v>
                </c:pt>
                <c:pt idx="36">
                  <c:v>1.5769768964508599E-9</c:v>
                </c:pt>
                <c:pt idx="37">
                  <c:v>1.3118458690335352E-9</c:v>
                </c:pt>
                <c:pt idx="38">
                  <c:v>1.0620343534863519E-9</c:v>
                </c:pt>
                <c:pt idx="39">
                  <c:v>8.3450827170123558E-10</c:v>
                </c:pt>
                <c:pt idx="40">
                  <c:v>6.3553838736945597E-10</c:v>
                </c:pt>
                <c:pt idx="41">
                  <c:v>4.7037179964235146E-10</c:v>
                </c:pt>
                <c:pt idx="42">
                  <c:v>3.429691080123578E-10</c:v>
                </c:pt>
                <c:pt idx="43">
                  <c:v>2.5582709115071344E-10</c:v>
                </c:pt>
                <c:pt idx="44">
                  <c:v>2.0989635328297717E-10</c:v>
                </c:pt>
                <c:pt idx="45">
                  <c:v>2.0443832271556453E-10</c:v>
                </c:pt>
                <c:pt idx="46">
                  <c:v>2.3780846340955064E-10</c:v>
                </c:pt>
                <c:pt idx="47">
                  <c:v>3.0646194174678041E-10</c:v>
                </c:pt>
                <c:pt idx="48">
                  <c:v>4.0600691996934449E-10</c:v>
                </c:pt>
                <c:pt idx="49">
                  <c:v>5.3119685249054675E-10</c:v>
                </c:pt>
                <c:pt idx="50">
                  <c:v>6.7616222550949151E-10</c:v>
                </c:pt>
                <c:pt idx="51">
                  <c:v>8.3463502295281927E-10</c:v>
                </c:pt>
                <c:pt idx="52">
                  <c:v>1.0001576590602528E-9</c:v>
                </c:pt>
                <c:pt idx="53">
                  <c:v>1.166272687539641E-9</c:v>
                </c:pt>
                <c:pt idx="54">
                  <c:v>1.326693262998764E-9</c:v>
                </c:pt>
                <c:pt idx="55">
                  <c:v>1.4754568394720116E-9</c:v>
                </c:pt>
                <c:pt idx="56">
                  <c:v>1.6070658617104863E-9</c:v>
                </c:pt>
                <c:pt idx="57">
                  <c:v>1.7166193702420791E-9</c:v>
                </c:pt>
                <c:pt idx="58">
                  <c:v>1.7999386381227246E-9</c:v>
                </c:pt>
                <c:pt idx="59">
                  <c:v>1.8536884016321479E-9</c:v>
                </c:pt>
                <c:pt idx="60">
                  <c:v>1.8754931450589635E-9</c:v>
                </c:pt>
                <c:pt idx="61">
                  <c:v>1.8640454583154248E-9</c:v>
                </c:pt>
                <c:pt idx="62">
                  <c:v>1.8192009527579283E-9</c:v>
                </c:pt>
                <c:pt idx="63">
                  <c:v>1.7420518614469112E-9</c:v>
                </c:pt>
                <c:pt idx="64">
                  <c:v>1.6349695806030033E-9</c:v>
                </c:pt>
                <c:pt idx="65">
                  <c:v>1.5016053701454835E-9</c:v>
                </c:pt>
                <c:pt idx="66">
                  <c:v>1.3468385615489181E-9</c:v>
                </c:pt>
                <c:pt idx="67">
                  <c:v>1.176663207562173E-9</c:v>
                </c:pt>
                <c:pt idx="68">
                  <c:v>9.9800728612118909E-10</c:v>
                </c:pt>
                <c:pt idx="69">
                  <c:v>8.184832985558911E-10</c:v>
                </c:pt>
                <c:pt idx="70">
                  <c:v>6.4607505766959339E-10</c:v>
                </c:pt>
                <c:pt idx="71">
                  <c:v>4.8877206359832834E-10</c:v>
                </c:pt>
                <c:pt idx="72">
                  <c:v>3.541693162607973E-10</c:v>
                </c:pt>
                <c:pt idx="73">
                  <c:v>2.4905579814210227E-10</c:v>
                </c:pt>
                <c:pt idx="74">
                  <c:v>1.7901834939683257E-10</c:v>
                </c:pt>
                <c:pt idx="75">
                  <c:v>1.4808861914474419E-10</c:v>
                </c:pt>
                <c:pt idx="76">
                  <c:v>1.5845898440086584E-10</c:v>
                </c:pt>
                <c:pt idx="77">
                  <c:v>2.1028898454297277E-10</c:v>
                </c:pt>
                <c:pt idx="78">
                  <c:v>3.0161752884377511E-10</c:v>
                </c:pt>
                <c:pt idx="79">
                  <c:v>4.2838878371672763E-10</c:v>
                </c:pt>
                <c:pt idx="80">
                  <c:v>5.845922022525365E-10</c:v>
                </c:pt>
                <c:pt idx="81">
                  <c:v>7.6251046184057837E-10</c:v>
                </c:pt>
                <c:pt idx="82">
                  <c:v>9.5306370125226083E-10</c:v>
                </c:pt>
                <c:pt idx="83">
                  <c:v>1.1462345880216008E-9</c:v>
                </c:pt>
                <c:pt idx="84">
                  <c:v>1.331556253161714E-9</c:v>
                </c:pt>
                <c:pt idx="85">
                  <c:v>1.4986435689627082E-9</c:v>
                </c:pt>
                <c:pt idx="86">
                  <c:v>1.6377470622610645E-9</c:v>
                </c:pt>
                <c:pt idx="87">
                  <c:v>1.7403074115695423E-9</c:v>
                </c:pt>
                <c:pt idx="88">
                  <c:v>1.7994866133490177E-9</c:v>
                </c:pt>
                <c:pt idx="89">
                  <c:v>1.8106494668101313E-9</c:v>
                </c:pt>
                <c:pt idx="90">
                  <c:v>1.7717663150868188E-9</c:v>
                </c:pt>
                <c:pt idx="91">
                  <c:v>1.6837057012167302E-9</c:v>
                </c:pt>
                <c:pt idx="92">
                  <c:v>1.5503847581586193E-9</c:v>
                </c:pt>
                <c:pt idx="93">
                  <c:v>1.3787469619371378E-9</c:v>
                </c:pt>
                <c:pt idx="94">
                  <c:v>1.1785424897511167E-9</c:v>
                </c:pt>
                <c:pt idx="95">
                  <c:v>9.6189666592226346E-10</c:v>
                </c:pt>
                <c:pt idx="96">
                  <c:v>7.4266703253237745E-10</c:v>
                </c:pt>
                <c:pt idx="97">
                  <c:v>5.3560871110891007E-10</c:v>
                </c:pt>
                <c:pt idx="98">
                  <c:v>3.5538921924729562E-10</c:v>
                </c:pt>
                <c:pt idx="99">
                  <c:v>2.1551512181543174E-10</c:v>
                </c:pt>
                <c:pt idx="100">
                  <c:v>1.2725069095639778E-10</c:v>
                </c:pt>
                <c:pt idx="101">
                  <c:v>9.8620012591319042E-11</c:v>
                </c:pt>
                <c:pt idx="102">
                  <c:v>1.3358632006712971E-10</c:v>
                </c:pt>
                <c:pt idx="103">
                  <c:v>2.3149463807859834E-10</c:v>
                </c:pt>
                <c:pt idx="104">
                  <c:v>3.8684650426187723E-10</c:v>
                </c:pt>
                <c:pt idx="105">
                  <c:v>5.8945048322563219E-10</c:v>
                </c:pt>
                <c:pt idx="106">
                  <c:v>8.2496225070841609E-10</c:v>
                </c:pt>
                <c:pt idx="107">
                  <c:v>1.0757963814075615E-9</c:v>
                </c:pt>
                <c:pt idx="108">
                  <c:v>1.3223614142583323E-9</c:v>
                </c:pt>
                <c:pt idx="109">
                  <c:v>1.5445422980491663E-9</c:v>
                </c:pt>
                <c:pt idx="110">
                  <c:v>1.7233310081080804E-9</c:v>
                </c:pt>
                <c:pt idx="111">
                  <c:v>1.8424874641822274E-9</c:v>
                </c:pt>
                <c:pt idx="112">
                  <c:v>1.8900992565461548E-9</c:v>
                </c:pt>
                <c:pt idx="113">
                  <c:v>1.8599010616023236E-9</c:v>
                </c:pt>
                <c:pt idx="114">
                  <c:v>1.7522148912037279E-9</c:v>
                </c:pt>
                <c:pt idx="115">
                  <c:v>1.5743833366240717E-9</c:v>
                </c:pt>
                <c:pt idx="116">
                  <c:v>1.340593029781752E-9</c:v>
                </c:pt>
                <c:pt idx="117">
                  <c:v>1.0710273037897908E-9</c:v>
                </c:pt>
                <c:pt idx="118">
                  <c:v>7.9034608468288821E-10</c:v>
                </c:pt>
                <c:pt idx="119">
                  <c:v>5.2556456795539376E-10</c:v>
                </c:pt>
                <c:pt idx="120">
                  <c:v>3.0348318578872927E-10</c:v>
                </c:pt>
                <c:pt idx="121">
                  <c:v>1.4789875516139236E-10</c:v>
                </c:pt>
                <c:pt idx="122">
                  <c:v>7.6887137760287099E-11</c:v>
                </c:pt>
                <c:pt idx="123">
                  <c:v>1.0047812291042798E-10</c:v>
                </c:pt>
                <c:pt idx="124">
                  <c:v>2.1903392298244846E-10</c:v>
                </c:pt>
                <c:pt idx="125">
                  <c:v>4.2259000958983927E-10</c:v>
                </c:pt>
                <c:pt idx="126">
                  <c:v>6.9132463178494584E-10</c:v>
                </c:pt>
                <c:pt idx="127">
                  <c:v>9.9720139971926758E-10</c:v>
                </c:pt>
                <c:pt idx="128">
                  <c:v>1.3066922395485284E-9</c:v>
                </c:pt>
                <c:pt idx="129">
                  <c:v>1.5843516897018286E-9</c:v>
                </c:pt>
                <c:pt idx="130">
                  <c:v>1.7968927330544744E-9</c:v>
                </c:pt>
                <c:pt idx="131">
                  <c:v>1.9173218157404012E-9</c:v>
                </c:pt>
                <c:pt idx="132">
                  <c:v>1.9286371045967849E-9</c:v>
                </c:pt>
                <c:pt idx="133">
                  <c:v>1.8265890376737635E-9</c:v>
                </c:pt>
                <c:pt idx="134">
                  <c:v>1.6210547499577691E-9</c:v>
                </c:pt>
                <c:pt idx="135">
                  <c:v>1.335694821742399E-9</c:v>
                </c:pt>
                <c:pt idx="136">
                  <c:v>1.0057432721201133E-9</c:v>
                </c:pt>
                <c:pt idx="137">
                  <c:v>6.7402074898578025E-10</c:v>
                </c:pt>
                <c:pt idx="138">
                  <c:v>3.8553290543172555E-10</c:v>
                </c:pt>
                <c:pt idx="139">
                  <c:v>1.8128208212025184E-10</c:v>
                </c:pt>
                <c:pt idx="140">
                  <c:v>9.2130640666064548E-11</c:v>
                </c:pt>
                <c:pt idx="141">
                  <c:v>1.3365752941950583E-10</c:v>
                </c:pt>
                <c:pt idx="142">
                  <c:v>3.0290692901150362E-10</c:v>
                </c:pt>
                <c:pt idx="143">
                  <c:v>5.7772455179600127E-10</c:v>
                </c:pt>
                <c:pt idx="144">
                  <c:v>9.1902996355577184E-10</c:v>
                </c:pt>
                <c:pt idx="145">
                  <c:v>1.275928501701182E-9</c:v>
                </c:pt>
                <c:pt idx="146">
                  <c:v>1.5930912911337245E-9</c:v>
                </c:pt>
                <c:pt idx="147">
                  <c:v>1.8194022640267951E-9</c:v>
                </c:pt>
                <c:pt idx="148">
                  <c:v>1.916559469014924E-9</c:v>
                </c:pt>
                <c:pt idx="149">
                  <c:v>1.8661852265904209E-9</c:v>
                </c:pt>
                <c:pt idx="150">
                  <c:v>1.6746167369666215E-9</c:v>
                </c:pt>
                <c:pt idx="151">
                  <c:v>1.3711294830830464E-9</c:v>
                </c:pt>
                <c:pt idx="152">
                  <c:v>1.0072746146664586E-9</c:v>
                </c:pt>
                <c:pt idx="153">
                  <c:v>6.4676788505444887E-10</c:v>
                </c:pt>
                <c:pt idx="154">
                  <c:v>3.5503118508889076E-10</c:v>
                </c:pt>
                <c:pt idx="155">
                  <c:v>1.8705682530297958E-10</c:v>
                </c:pt>
                <c:pt idx="156">
                  <c:v>1.7636043759230773E-10</c:v>
                </c:pt>
                <c:pt idx="157">
                  <c:v>3.273325181653194E-10</c:v>
                </c:pt>
                <c:pt idx="158">
                  <c:v>6.1285681470114613E-10</c:v>
                </c:pt>
                <c:pt idx="159">
                  <c:v>9.7815879844808147E-10</c:v>
                </c:pt>
                <c:pt idx="160">
                  <c:v>1.3506235886447974E-9</c:v>
                </c:pt>
                <c:pt idx="161">
                  <c:v>1.65401613825759E-9</c:v>
                </c:pt>
                <c:pt idx="162">
                  <c:v>1.8244265672999149E-9</c:v>
                </c:pt>
                <c:pt idx="163">
                  <c:v>1.8246152549062355E-9</c:v>
                </c:pt>
                <c:pt idx="164">
                  <c:v>1.6534434982790149E-9</c:v>
                </c:pt>
                <c:pt idx="165">
                  <c:v>1.3478331474895412E-9</c:v>
                </c:pt>
                <c:pt idx="166">
                  <c:v>9.7614375097098251E-10</c:v>
                </c:pt>
                <c:pt idx="167">
                  <c:v>6.2376165136508731E-10</c:v>
                </c:pt>
                <c:pt idx="168">
                  <c:v>3.7367382493067848E-10</c:v>
                </c:pt>
                <c:pt idx="169">
                  <c:v>2.8635574791044388E-10</c:v>
                </c:pt>
                <c:pt idx="170">
                  <c:v>3.8395132846425108E-10</c:v>
                </c:pt>
                <c:pt idx="171">
                  <c:v>6.4313950840101842E-10</c:v>
                </c:pt>
                <c:pt idx="172">
                  <c:v>9.9924299598167806E-10</c:v>
                </c:pt>
                <c:pt idx="173">
                  <c:v>1.3613812230525102E-9</c:v>
                </c:pt>
                <c:pt idx="174">
                  <c:v>1.6354586202227216E-9</c:v>
                </c:pt>
                <c:pt idx="175">
                  <c:v>1.7493261505756404E-9</c:v>
                </c:pt>
                <c:pt idx="176">
                  <c:v>1.6733174777491027E-9</c:v>
                </c:pt>
                <c:pt idx="177">
                  <c:v>1.4300272570025234E-9</c:v>
                </c:pt>
                <c:pt idx="178">
                  <c:v>1.0897124272637517E-9</c:v>
                </c:pt>
                <c:pt idx="179">
                  <c:v>7.5157543013692829E-10</c:v>
                </c:pt>
                <c:pt idx="180">
                  <c:v>5.1545607199798153E-10</c:v>
                </c:pt>
                <c:pt idx="181">
                  <c:v>4.5184226732627541E-10</c:v>
                </c:pt>
                <c:pt idx="182">
                  <c:v>5.7939031132257126E-10</c:v>
                </c:pt>
                <c:pt idx="183">
                  <c:v>8.5759801397616988E-10</c:v>
                </c:pt>
                <c:pt idx="184">
                  <c:v>1.1980318558575118E-9</c:v>
                </c:pt>
                <c:pt idx="185">
                  <c:v>1.4916698789036734E-9</c:v>
                </c:pt>
                <c:pt idx="186">
                  <c:v>1.6443003286901192E-9</c:v>
                </c:pt>
                <c:pt idx="187">
                  <c:v>1.6084918131578181E-9</c:v>
                </c:pt>
                <c:pt idx="188">
                  <c:v>1.4008858494250954E-9</c:v>
                </c:pt>
                <c:pt idx="189">
                  <c:v>1.0978128700075848E-9</c:v>
                </c:pt>
                <c:pt idx="190">
                  <c:v>8.0945396908760752E-10</c:v>
                </c:pt>
                <c:pt idx="191">
                  <c:v>6.4066537428050972E-10</c:v>
                </c:pt>
                <c:pt idx="192">
                  <c:v>6.5224241524862394E-10</c:v>
                </c:pt>
                <c:pt idx="193">
                  <c:v>8.3733930657066051E-10</c:v>
                </c:pt>
                <c:pt idx="194">
                  <c:v>1.1230167053811553E-9</c:v>
                </c:pt>
                <c:pt idx="195">
                  <c:v>1.3976944874877207E-9</c:v>
                </c:pt>
                <c:pt idx="196">
                  <c:v>1.5549056541829459E-9</c:v>
                </c:pt>
                <c:pt idx="197">
                  <c:v>1.5366007622874318E-9</c:v>
                </c:pt>
                <c:pt idx="198">
                  <c:v>1.3564999672343653E-9</c:v>
                </c:pt>
                <c:pt idx="199">
                  <c:v>1.0967668397798392E-9</c:v>
                </c:pt>
                <c:pt idx="200">
                  <c:v>8.7217426602278398E-10</c:v>
                </c:pt>
                <c:pt idx="201">
                  <c:v>7.8071664977840104E-10</c:v>
                </c:pt>
                <c:pt idx="202">
                  <c:v>8.6005830001427021E-10</c:v>
                </c:pt>
                <c:pt idx="203">
                  <c:v>1.0702617318787328E-9</c:v>
                </c:pt>
                <c:pt idx="204">
                  <c:v>1.3119386691661376E-9</c:v>
                </c:pt>
                <c:pt idx="205">
                  <c:v>1.4727333686039334E-9</c:v>
                </c:pt>
                <c:pt idx="206">
                  <c:v>1.480941802048849E-9</c:v>
                </c:pt>
                <c:pt idx="207">
                  <c:v>1.3403144749572541E-9</c:v>
                </c:pt>
                <c:pt idx="208">
                  <c:v>1.1280025394407405E-9</c:v>
                </c:pt>
                <c:pt idx="209">
                  <c:v>9.5535374249856907E-10</c:v>
                </c:pt>
                <c:pt idx="210">
                  <c:v>9.1051642110217645E-10</c:v>
                </c:pt>
                <c:pt idx="211">
                  <c:v>1.0124467828891614E-9</c:v>
                </c:pt>
                <c:pt idx="212">
                  <c:v>1.2013350309770621E-9</c:v>
                </c:pt>
                <c:pt idx="213">
                  <c:v>1.3717851878599131E-9</c:v>
                </c:pt>
                <c:pt idx="214">
                  <c:v>1.4315493413570914E-9</c:v>
                </c:pt>
                <c:pt idx="215">
                  <c:v>1.3532929689907067E-9</c:v>
                </c:pt>
                <c:pt idx="216">
                  <c:v>1.1893981578111535E-9</c:v>
                </c:pt>
                <c:pt idx="217">
                  <c:v>1.0402138809235107E-9</c:v>
                </c:pt>
                <c:pt idx="218">
                  <c:v>9.9362617897447425E-10</c:v>
                </c:pt>
                <c:pt idx="219">
                  <c:v>1.0720576356901189E-9</c:v>
                </c:pt>
                <c:pt idx="220">
                  <c:v>1.2198502589055844E-9</c:v>
                </c:pt>
                <c:pt idx="221">
                  <c:v>1.3397395466801371E-9</c:v>
                </c:pt>
                <c:pt idx="222">
                  <c:v>1.3558715255159802E-9</c:v>
                </c:pt>
                <c:pt idx="223">
                  <c:v>1.2626400410489623E-9</c:v>
                </c:pt>
                <c:pt idx="224">
                  <c:v>1.1266924671744288E-9</c:v>
                </c:pt>
                <c:pt idx="225">
                  <c:v>1.0401539935489336E-9</c:v>
                </c:pt>
                <c:pt idx="226">
                  <c:v>1.0567269560501382E-9</c:v>
                </c:pt>
                <c:pt idx="227">
                  <c:v>1.1552725552074023E-9</c:v>
                </c:pt>
                <c:pt idx="228">
                  <c:v>1.2570605567514301E-9</c:v>
                </c:pt>
                <c:pt idx="229">
                  <c:v>1.2845058456636732E-9</c:v>
                </c:pt>
                <c:pt idx="230">
                  <c:v>1.2182135808009659E-9</c:v>
                </c:pt>
                <c:pt idx="231">
                  <c:v>1.1094739600395588E-9</c:v>
                </c:pt>
                <c:pt idx="232">
                  <c:v>1.0386089292365021E-9</c:v>
                </c:pt>
                <c:pt idx="233">
                  <c:v>1.0516022076728875E-9</c:v>
                </c:pt>
                <c:pt idx="234">
                  <c:v>1.1252030496906422E-9</c:v>
                </c:pt>
                <c:pt idx="235">
                  <c:v>1.1884567333853162E-9</c:v>
                </c:pt>
                <c:pt idx="236">
                  <c:v>1.1826620242142567E-9</c:v>
                </c:pt>
                <c:pt idx="237">
                  <c:v>1.1094980285061741E-9</c:v>
                </c:pt>
                <c:pt idx="238">
                  <c:v>1.0266979333886615E-9</c:v>
                </c:pt>
                <c:pt idx="239">
                  <c:v>9.9569381229016297E-10</c:v>
                </c:pt>
                <c:pt idx="240">
                  <c:v>1.0278378767351482E-9</c:v>
                </c:pt>
                <c:pt idx="241">
                  <c:v>1.077115158408324E-9</c:v>
                </c:pt>
                <c:pt idx="242">
                  <c:v>1.0849666498161701E-9</c:v>
                </c:pt>
                <c:pt idx="243">
                  <c:v>1.034713106326006E-9</c:v>
                </c:pt>
                <c:pt idx="244">
                  <c:v>9.6438558350698128E-10</c:v>
                </c:pt>
                <c:pt idx="245">
                  <c:v>9.2701132608178959E-10</c:v>
                </c:pt>
                <c:pt idx="246">
                  <c:v>9.3853345901295471E-10</c:v>
                </c:pt>
                <c:pt idx="247">
                  <c:v>9.6503221335219332E-10</c:v>
                </c:pt>
                <c:pt idx="248">
                  <c:v>9.6040674155219878E-10</c:v>
                </c:pt>
                <c:pt idx="249">
                  <c:v>9.1395608759609813E-10</c:v>
                </c:pt>
                <c:pt idx="250">
                  <c:v>8.5822765620923511E-10</c:v>
                </c:pt>
                <c:pt idx="251">
                  <c:v>8.3103516158448298E-10</c:v>
                </c:pt>
                <c:pt idx="252">
                  <c:v>8.3487882192786108E-10</c:v>
                </c:pt>
                <c:pt idx="253">
                  <c:v>8.3797435576134905E-10</c:v>
                </c:pt>
                <c:pt idx="254">
                  <c:v>8.1288660759499684E-10</c:v>
                </c:pt>
                <c:pt idx="255">
                  <c:v>7.6660697319426335E-10</c:v>
                </c:pt>
                <c:pt idx="256">
                  <c:v>7.2841755217447337E-10</c:v>
                </c:pt>
                <c:pt idx="257">
                  <c:v>7.1326777498448237E-10</c:v>
                </c:pt>
                <c:pt idx="258">
                  <c:v>7.0622545199776737E-10</c:v>
                </c:pt>
                <c:pt idx="259">
                  <c:v>6.8466947336661185E-10</c:v>
                </c:pt>
                <c:pt idx="260">
                  <c:v>6.4707827558991396E-10</c:v>
                </c:pt>
                <c:pt idx="261">
                  <c:v>6.1167259540270719E-10</c:v>
                </c:pt>
                <c:pt idx="262">
                  <c:v>5.9009711871281593E-10</c:v>
                </c:pt>
                <c:pt idx="263">
                  <c:v>5.7342570043307261E-10</c:v>
                </c:pt>
                <c:pt idx="264">
                  <c:v>5.4762591372348681E-10</c:v>
                </c:pt>
                <c:pt idx="265">
                  <c:v>5.1370967021745602E-10</c:v>
                </c:pt>
                <c:pt idx="266">
                  <c:v>4.8384652345511082E-10</c:v>
                </c:pt>
                <c:pt idx="267">
                  <c:v>4.6200853187529016E-10</c:v>
                </c:pt>
                <c:pt idx="268">
                  <c:v>4.3942357819816865E-10</c:v>
                </c:pt>
                <c:pt idx="269">
                  <c:v>4.0993961692227068E-10</c:v>
                </c:pt>
                <c:pt idx="270">
                  <c:v>3.7944485830790303E-10</c:v>
                </c:pt>
                <c:pt idx="271">
                  <c:v>3.5511650171448359E-10</c:v>
                </c:pt>
                <c:pt idx="272">
                  <c:v>3.3368220577319087E-10</c:v>
                </c:pt>
                <c:pt idx="273">
                  <c:v>3.0797738392027467E-10</c:v>
                </c:pt>
                <c:pt idx="274">
                  <c:v>2.7939337758235416E-10</c:v>
                </c:pt>
                <c:pt idx="275">
                  <c:v>2.5483862097888267E-10</c:v>
                </c:pt>
                <c:pt idx="276">
                  <c:v>2.3465999013457727E-10</c:v>
                </c:pt>
                <c:pt idx="277">
                  <c:v>2.1292255022299415E-10</c:v>
                </c:pt>
                <c:pt idx="278">
                  <c:v>1.884215334385761E-10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6.2842553382465765E-10</c:v>
                  </c:pt>
                  <c:pt idx="1">
                    <c:v>4.3651328634920145E-10</c:v>
                  </c:pt>
                  <c:pt idx="2">
                    <c:v>4.1747059095967085E-10</c:v>
                  </c:pt>
                  <c:pt idx="3">
                    <c:v>3.8160712920644746E-10</c:v>
                  </c:pt>
                  <c:pt idx="4">
                    <c:v>4.0507699120291489E-10</c:v>
                  </c:pt>
                  <c:pt idx="5">
                    <c:v>4.2699063087547504E-10</c:v>
                  </c:pt>
                  <c:pt idx="6">
                    <c:v>4.104525950715368E-10</c:v>
                  </c:pt>
                  <c:pt idx="7">
                    <c:v>3.8379216958751147E-10</c:v>
                  </c:pt>
                  <c:pt idx="8">
                    <c:v>3.8832914666196271E-10</c:v>
                  </c:pt>
                  <c:pt idx="9">
                    <c:v>3.9849002225946248E-10</c:v>
                  </c:pt>
                  <c:pt idx="10">
                    <c:v>4.1498958763401531E-10</c:v>
                  </c:pt>
                  <c:pt idx="11">
                    <c:v>4.115105469252346E-10</c:v>
                  </c:pt>
                  <c:pt idx="12">
                    <c:v>3.2564645671028022E-10</c:v>
                  </c:pt>
                  <c:pt idx="13">
                    <c:v>3.1271374876993125E-10</c:v>
                  </c:pt>
                  <c:pt idx="14">
                    <c:v>3.3320626716137242E-10</c:v>
                  </c:pt>
                  <c:pt idx="15">
                    <c:v>3.3604179276100938E-10</c:v>
                  </c:pt>
                  <c:pt idx="16">
                    <c:v>3.288696916031791E-10</c:v>
                  </c:pt>
                  <c:pt idx="17">
                    <c:v>5.3618887810410034E-10</c:v>
                  </c:pt>
                  <c:pt idx="18">
                    <c:v>5.020840559087047E-10</c:v>
                  </c:pt>
                  <c:pt idx="19">
                    <c:v>4.8670275791137699E-10</c:v>
                  </c:pt>
                  <c:pt idx="20">
                    <c:v>4.4688658864943719E-10</c:v>
                  </c:pt>
                  <c:pt idx="21">
                    <c:v>3.9687443808892836E-10</c:v>
                  </c:pt>
                  <c:pt idx="22">
                    <c:v>4.0157366827408874E-10</c:v>
                  </c:pt>
                  <c:pt idx="23">
                    <c:v>3.8522463842069231E-10</c:v>
                  </c:pt>
                  <c:pt idx="24">
                    <c:v>3.3939120159713374E-10</c:v>
                  </c:pt>
                  <c:pt idx="25">
                    <c:v>3.4687058038294017E-10</c:v>
                  </c:pt>
                  <c:pt idx="26">
                    <c:v>3.3346096338103912E-10</c:v>
                  </c:pt>
                  <c:pt idx="27">
                    <c:v>3.2954299013046656E-10</c:v>
                  </c:pt>
                  <c:pt idx="28">
                    <c:v>3.0562623410536378E-10</c:v>
                  </c:pt>
                  <c:pt idx="29">
                    <c:v>3.3474128912019326E-10</c:v>
                  </c:pt>
                  <c:pt idx="30">
                    <c:v>2.9971039244238204E-10</c:v>
                  </c:pt>
                  <c:pt idx="31">
                    <c:v>2.6313319714512233E-10</c:v>
                  </c:pt>
                  <c:pt idx="32">
                    <c:v>2.694558037027587E-10</c:v>
                  </c:pt>
                  <c:pt idx="33">
                    <c:v>1.4664524331643702E-10</c:v>
                  </c:pt>
                  <c:pt idx="34">
                    <c:v>1.3095644129260613E-10</c:v>
                  </c:pt>
                  <c:pt idx="35">
                    <c:v>1.2025073231626794E-10</c:v>
                  </c:pt>
                  <c:pt idx="36">
                    <c:v>1.1683168027207468E-10</c:v>
                  </c:pt>
                  <c:pt idx="37">
                    <c:v>1.3070812423737076E-10</c:v>
                  </c:pt>
                  <c:pt idx="38">
                    <c:v>1.1383803907513613E-10</c:v>
                  </c:pt>
                  <c:pt idx="39">
                    <c:v>1.0049436925632995E-10</c:v>
                  </c:pt>
                  <c:pt idx="40">
                    <c:v>8.9486773218661961E-11</c:v>
                  </c:pt>
                  <c:pt idx="41">
                    <c:v>8.6359217784492516E-11</c:v>
                  </c:pt>
                  <c:pt idx="42">
                    <c:v>7.1862881022542727E-11</c:v>
                  </c:pt>
                  <c:pt idx="43">
                    <c:v>6.9809097363560385E-11</c:v>
                  </c:pt>
                  <c:pt idx="44">
                    <c:v>6.6029784017316414E-11</c:v>
                  </c:pt>
                  <c:pt idx="45">
                    <c:v>6.3516679869111089E-11</c:v>
                  </c:pt>
                  <c:pt idx="46">
                    <c:v>6.7703499191329583E-11</c:v>
                  </c:pt>
                  <c:pt idx="47">
                    <c:v>7.484650337237272E-11</c:v>
                  </c:pt>
                  <c:pt idx="48">
                    <c:v>8.3662290707689115E-11</c:v>
                  </c:pt>
                  <c:pt idx="49">
                    <c:v>8.6311132004174475E-11</c:v>
                  </c:pt>
                  <c:pt idx="50">
                    <c:v>8.8630349677889449E-11</c:v>
                  </c:pt>
                  <c:pt idx="51">
                    <c:v>1.0014934481570565E-10</c:v>
                  </c:pt>
                  <c:pt idx="52">
                    <c:v>1.1677286890766896E-10</c:v>
                  </c:pt>
                  <c:pt idx="53">
                    <c:v>1.228434082392648E-10</c:v>
                  </c:pt>
                  <c:pt idx="54">
                    <c:v>1.1378674089240743E-10</c:v>
                  </c:pt>
                  <c:pt idx="55">
                    <c:v>1.1618112485851895E-10</c:v>
                  </c:pt>
                  <c:pt idx="56">
                    <c:v>1.3809042358044717E-10</c:v>
                  </c:pt>
                  <c:pt idx="57">
                    <c:v>1.3363942977019737E-10</c:v>
                  </c:pt>
                  <c:pt idx="58">
                    <c:v>1.2671200685427344E-10</c:v>
                  </c:pt>
                  <c:pt idx="59">
                    <c:v>1.4587964083994441E-10</c:v>
                  </c:pt>
                  <c:pt idx="60">
                    <c:v>1.0235553320721719E-10</c:v>
                  </c:pt>
                  <c:pt idx="61">
                    <c:v>1.0776548323235838E-10</c:v>
                  </c:pt>
                  <c:pt idx="62">
                    <c:v>9.4118454823520474E-11</c:v>
                  </c:pt>
                  <c:pt idx="63">
                    <c:v>9.853709454528999E-11</c:v>
                  </c:pt>
                  <c:pt idx="64">
                    <c:v>9.1696117435839415E-11</c:v>
                  </c:pt>
                  <c:pt idx="65">
                    <c:v>9.5910462034946523E-11</c:v>
                  </c:pt>
                  <c:pt idx="66">
                    <c:v>1.2933902799767381E-10</c:v>
                  </c:pt>
                  <c:pt idx="67">
                    <c:v>1.2613518723454764E-10</c:v>
                  </c:pt>
                  <c:pt idx="68">
                    <c:v>9.9311261273746533E-11</c:v>
                  </c:pt>
                  <c:pt idx="69">
                    <c:v>1.0157182010193768E-10</c:v>
                  </c:pt>
                  <c:pt idx="70">
                    <c:v>8.920482858422391E-11</c:v>
                  </c:pt>
                  <c:pt idx="71">
                    <c:v>7.7768505583423194E-11</c:v>
                  </c:pt>
                  <c:pt idx="72">
                    <c:v>8.2165445987923816E-11</c:v>
                  </c:pt>
                  <c:pt idx="73">
                    <c:v>6.1030402405097741E-11</c:v>
                  </c:pt>
                  <c:pt idx="74">
                    <c:v>5.7040940247182218E-11</c:v>
                  </c:pt>
                  <c:pt idx="75">
                    <c:v>4.9341272675139367E-11</c:v>
                  </c:pt>
                  <c:pt idx="76">
                    <c:v>4.6652768943258858E-11</c:v>
                  </c:pt>
                  <c:pt idx="77">
                    <c:v>5.5927699359760983E-11</c:v>
                  </c:pt>
                  <c:pt idx="78">
                    <c:v>6.7458411539471801E-11</c:v>
                  </c:pt>
                  <c:pt idx="79">
                    <c:v>7.5135003786189667E-11</c:v>
                  </c:pt>
                  <c:pt idx="80">
                    <c:v>8.9362424415903096E-11</c:v>
                  </c:pt>
                  <c:pt idx="81">
                    <c:v>9.3993942416733093E-11</c:v>
                  </c:pt>
                  <c:pt idx="82">
                    <c:v>1.0248662010640965E-10</c:v>
                  </c:pt>
                  <c:pt idx="83">
                    <c:v>1.0804709014672785E-10</c:v>
                  </c:pt>
                  <c:pt idx="84">
                    <c:v>1.2691710864542437E-10</c:v>
                  </c:pt>
                  <c:pt idx="85">
                    <c:v>1.2914565926954122E-10</c:v>
                  </c:pt>
                  <c:pt idx="86">
                    <c:v>1.297321347219993E-10</c:v>
                  </c:pt>
                  <c:pt idx="87">
                    <c:v>1.4763824768254288E-10</c:v>
                  </c:pt>
                  <c:pt idx="88">
                    <c:v>1.4691996616227548E-10</c:v>
                  </c:pt>
                  <c:pt idx="89">
                    <c:v>1.5084433162611461E-10</c:v>
                  </c:pt>
                  <c:pt idx="90">
                    <c:v>1.4320809675810193E-10</c:v>
                  </c:pt>
                  <c:pt idx="91">
                    <c:v>1.4560289430923617E-10</c:v>
                  </c:pt>
                  <c:pt idx="92">
                    <c:v>1.4715251150316777E-10</c:v>
                  </c:pt>
                  <c:pt idx="93">
                    <c:v>1.4342147826950588E-10</c:v>
                  </c:pt>
                  <c:pt idx="94">
                    <c:v>1.2762173386960423E-10</c:v>
                  </c:pt>
                  <c:pt idx="95">
                    <c:v>1.1945051439224895E-10</c:v>
                  </c:pt>
                  <c:pt idx="96">
                    <c:v>1.027738524423628E-10</c:v>
                  </c:pt>
                  <c:pt idx="97">
                    <c:v>8.7050334475817021E-11</c:v>
                  </c:pt>
                  <c:pt idx="98">
                    <c:v>3.5365003881931459E-11</c:v>
                  </c:pt>
                  <c:pt idx="99">
                    <c:v>3.196975181859352E-11</c:v>
                  </c:pt>
                  <c:pt idx="100">
                    <c:v>2.5496772837426657E-11</c:v>
                  </c:pt>
                  <c:pt idx="101">
                    <c:v>2.1983217726420221E-11</c:v>
                  </c:pt>
                  <c:pt idx="102">
                    <c:v>2.49005819636637E-11</c:v>
                  </c:pt>
                  <c:pt idx="103">
                    <c:v>2.805991764279453E-11</c:v>
                  </c:pt>
                  <c:pt idx="104">
                    <c:v>3.2971759768732326E-11</c:v>
                  </c:pt>
                  <c:pt idx="105">
                    <c:v>3.94785364150249E-11</c:v>
                  </c:pt>
                  <c:pt idx="106">
                    <c:v>4.7027845636322388E-11</c:v>
                  </c:pt>
                  <c:pt idx="107">
                    <c:v>6.0420272889208197E-11</c:v>
                  </c:pt>
                  <c:pt idx="108">
                    <c:v>6.8503702925937758E-11</c:v>
                  </c:pt>
                  <c:pt idx="109">
                    <c:v>7.3303924658632389E-11</c:v>
                  </c:pt>
                  <c:pt idx="110">
                    <c:v>7.9397124047901188E-11</c:v>
                  </c:pt>
                  <c:pt idx="111">
                    <c:v>7.7765872373159167E-11</c:v>
                  </c:pt>
                  <c:pt idx="112">
                    <c:v>7.9283909570726651E-11</c:v>
                  </c:pt>
                  <c:pt idx="113">
                    <c:v>7.9277735501498474E-11</c:v>
                  </c:pt>
                  <c:pt idx="114">
                    <c:v>8.141866903393868E-11</c:v>
                  </c:pt>
                  <c:pt idx="115">
                    <c:v>7.2646205456122566E-11</c:v>
                  </c:pt>
                  <c:pt idx="116">
                    <c:v>6.6789003178941354E-11</c:v>
                  </c:pt>
                  <c:pt idx="117">
                    <c:v>6.6727071170996335E-11</c:v>
                  </c:pt>
                  <c:pt idx="118">
                    <c:v>6.0632770672107988E-11</c:v>
                  </c:pt>
                  <c:pt idx="119">
                    <c:v>5.2423117993488746E-11</c:v>
                  </c:pt>
                  <c:pt idx="120">
                    <c:v>4.7982990842074567E-11</c:v>
                  </c:pt>
                  <c:pt idx="121">
                    <c:v>4.2254432665317454E-11</c:v>
                  </c:pt>
                  <c:pt idx="122">
                    <c:v>4.522733320603122E-11</c:v>
                  </c:pt>
                  <c:pt idx="123">
                    <c:v>3.743913056803823E-11</c:v>
                  </c:pt>
                  <c:pt idx="124">
                    <c:v>4.9733446839271245E-11</c:v>
                  </c:pt>
                  <c:pt idx="125">
                    <c:v>5.7364564378665313E-11</c:v>
                  </c:pt>
                  <c:pt idx="126">
                    <c:v>6.7990489686743769E-11</c:v>
                  </c:pt>
                  <c:pt idx="127">
                    <c:v>7.4324782230406277E-11</c:v>
                  </c:pt>
                  <c:pt idx="128">
                    <c:v>9.1047899093638339E-11</c:v>
                  </c:pt>
                  <c:pt idx="129">
                    <c:v>9.6556186010027713E-11</c:v>
                  </c:pt>
                  <c:pt idx="130">
                    <c:v>1.0321192851419249E-10</c:v>
                  </c:pt>
                  <c:pt idx="131">
                    <c:v>1.1018875566441225E-10</c:v>
                  </c:pt>
                  <c:pt idx="132">
                    <c:v>9.8935541436460869E-11</c:v>
                  </c:pt>
                  <c:pt idx="133">
                    <c:v>1.0716429499494719E-10</c:v>
                  </c:pt>
                  <c:pt idx="134">
                    <c:v>1.062257010157333E-10</c:v>
                  </c:pt>
                  <c:pt idx="135">
                    <c:v>9.5055552141697497E-11</c:v>
                  </c:pt>
                  <c:pt idx="136">
                    <c:v>8.998779018593576E-11</c:v>
                  </c:pt>
                  <c:pt idx="137">
                    <c:v>8.7130259846267639E-11</c:v>
                  </c:pt>
                  <c:pt idx="138">
                    <c:v>6.7804321292391319E-11</c:v>
                  </c:pt>
                  <c:pt idx="139">
                    <c:v>6.4887138363249862E-11</c:v>
                  </c:pt>
                  <c:pt idx="140">
                    <c:v>6.4901488198751581E-11</c:v>
                  </c:pt>
                  <c:pt idx="141">
                    <c:v>7.2206567045742381E-11</c:v>
                  </c:pt>
                  <c:pt idx="142">
                    <c:v>7.6394879541026785E-11</c:v>
                  </c:pt>
                  <c:pt idx="143">
                    <c:v>9.5109552153726277E-11</c:v>
                  </c:pt>
                  <c:pt idx="144">
                    <c:v>1.0982836360300074E-10</c:v>
                  </c:pt>
                  <c:pt idx="145">
                    <c:v>1.1634323719230887E-10</c:v>
                  </c:pt>
                  <c:pt idx="146">
                    <c:v>1.4346550250737935E-10</c:v>
                  </c:pt>
                  <c:pt idx="147">
                    <c:v>1.3825865964643348E-10</c:v>
                  </c:pt>
                  <c:pt idx="148">
                    <c:v>1.3645622847614507E-10</c:v>
                  </c:pt>
                  <c:pt idx="149">
                    <c:v>1.4050937739408372E-10</c:v>
                  </c:pt>
                  <c:pt idx="150">
                    <c:v>1.3201758983021269E-10</c:v>
                  </c:pt>
                  <c:pt idx="151">
                    <c:v>1.3069416281682816E-10</c:v>
                  </c:pt>
                  <c:pt idx="152">
                    <c:v>1.2651320445753169E-10</c:v>
                  </c:pt>
                  <c:pt idx="153">
                    <c:v>9.6367334800754749E-11</c:v>
                  </c:pt>
                  <c:pt idx="154">
                    <c:v>1.0417749273326752E-10</c:v>
                  </c:pt>
                  <c:pt idx="155">
                    <c:v>9.0123383001938759E-11</c:v>
                  </c:pt>
                  <c:pt idx="156">
                    <c:v>8.8670662433786241E-11</c:v>
                  </c:pt>
                  <c:pt idx="157">
                    <c:v>1.0034834445418793E-10</c:v>
                  </c:pt>
                  <c:pt idx="158">
                    <c:v>1.3632237460164743E-10</c:v>
                  </c:pt>
                  <c:pt idx="159">
                    <c:v>1.2591313450422027E-10</c:v>
                  </c:pt>
                  <c:pt idx="160">
                    <c:v>1.4812739911648537E-10</c:v>
                  </c:pt>
                  <c:pt idx="161">
                    <c:v>1.7416027706226387E-10</c:v>
                  </c:pt>
                  <c:pt idx="162">
                    <c:v>1.6855827409039343E-10</c:v>
                  </c:pt>
                  <c:pt idx="163">
                    <c:v>1.7975376466553543E-10</c:v>
                  </c:pt>
                  <c:pt idx="164">
                    <c:v>1.4780423076158469E-10</c:v>
                  </c:pt>
                  <c:pt idx="165">
                    <c:v>1.6470271460988917E-10</c:v>
                  </c:pt>
                  <c:pt idx="166">
                    <c:v>1.4203849556086774E-10</c:v>
                  </c:pt>
                  <c:pt idx="167">
                    <c:v>6.077682344892218E-11</c:v>
                  </c:pt>
                  <c:pt idx="168">
                    <c:v>5.5455905918327492E-11</c:v>
                  </c:pt>
                  <c:pt idx="169">
                    <c:v>4.6909502051496639E-11</c:v>
                  </c:pt>
                  <c:pt idx="170">
                    <c:v>4.9617070403584103E-11</c:v>
                  </c:pt>
                  <c:pt idx="171">
                    <c:v>5.40638400030783E-11</c:v>
                  </c:pt>
                  <c:pt idx="172">
                    <c:v>6.7621736754595283E-11</c:v>
                  </c:pt>
                  <c:pt idx="173">
                    <c:v>7.5036914940464661E-11</c:v>
                  </c:pt>
                  <c:pt idx="174">
                    <c:v>8.9600578092703737E-11</c:v>
                  </c:pt>
                  <c:pt idx="175">
                    <c:v>9.2334300944957839E-11</c:v>
                  </c:pt>
                  <c:pt idx="176">
                    <c:v>8.5057235411135572E-11</c:v>
                  </c:pt>
                  <c:pt idx="177">
                    <c:v>8.4294959542623348E-11</c:v>
                  </c:pt>
                  <c:pt idx="178">
                    <c:v>7.9987839155731691E-11</c:v>
                  </c:pt>
                  <c:pt idx="179">
                    <c:v>6.6898720228501892E-11</c:v>
                  </c:pt>
                  <c:pt idx="180">
                    <c:v>6.0031799628363613E-11</c:v>
                  </c:pt>
                  <c:pt idx="181">
                    <c:v>6.2068350439825751E-11</c:v>
                  </c:pt>
                  <c:pt idx="182">
                    <c:v>6.2788147533242014E-11</c:v>
                  </c:pt>
                  <c:pt idx="183">
                    <c:v>7.7527676431269048E-11</c:v>
                  </c:pt>
                  <c:pt idx="184">
                    <c:v>8.2157099909725602E-11</c:v>
                  </c:pt>
                  <c:pt idx="185">
                    <c:v>9.163050677506347E-11</c:v>
                  </c:pt>
                  <c:pt idx="186">
                    <c:v>1.0848728166280665E-10</c:v>
                  </c:pt>
                  <c:pt idx="187">
                    <c:v>1.0131346898732484E-10</c:v>
                  </c:pt>
                  <c:pt idx="188">
                    <c:v>1.0030119106468173E-10</c:v>
                  </c:pt>
                  <c:pt idx="189">
                    <c:v>9.1820573211165627E-11</c:v>
                  </c:pt>
                  <c:pt idx="190">
                    <c:v>8.2503205226874466E-11</c:v>
                  </c:pt>
                  <c:pt idx="191">
                    <c:v>8.1819936380369114E-11</c:v>
                  </c:pt>
                  <c:pt idx="192">
                    <c:v>7.7430527560783398E-11</c:v>
                  </c:pt>
                  <c:pt idx="193">
                    <c:v>8.5547743774937592E-11</c:v>
                  </c:pt>
                  <c:pt idx="194">
                    <c:v>9.0195695576099514E-11</c:v>
                  </c:pt>
                  <c:pt idx="195">
                    <c:v>1.071439525691252E-10</c:v>
                  </c:pt>
                  <c:pt idx="196">
                    <c:v>1.131855570833379E-10</c:v>
                  </c:pt>
                  <c:pt idx="197">
                    <c:v>1.2278041011443626E-10</c:v>
                  </c:pt>
                  <c:pt idx="198">
                    <c:v>1.1056960106214097E-10</c:v>
                  </c:pt>
                  <c:pt idx="199">
                    <c:v>1.0818042391053303E-10</c:v>
                  </c:pt>
                  <c:pt idx="200">
                    <c:v>1.0103816809083771E-10</c:v>
                  </c:pt>
                  <c:pt idx="201">
                    <c:v>1.0143721801438865E-10</c:v>
                  </c:pt>
                  <c:pt idx="202">
                    <c:v>9.8302593861449856E-11</c:v>
                  </c:pt>
                  <c:pt idx="203">
                    <c:v>1.1068468538724291E-10</c:v>
                  </c:pt>
                  <c:pt idx="204">
                    <c:v>1.3749959874279928E-10</c:v>
                  </c:pt>
                  <c:pt idx="205">
                    <c:v>1.3657349942479406E-10</c:v>
                  </c:pt>
                  <c:pt idx="206">
                    <c:v>1.3626834537211119E-10</c:v>
                  </c:pt>
                  <c:pt idx="207">
                    <c:v>1.414900595603388E-10</c:v>
                  </c:pt>
                  <c:pt idx="208">
                    <c:v>1.2276881231371183E-10</c:v>
                  </c:pt>
                  <c:pt idx="209">
                    <c:v>1.1640327929780136E-10</c:v>
                  </c:pt>
                  <c:pt idx="210">
                    <c:v>1.2190434121557783E-10</c:v>
                  </c:pt>
                  <c:pt idx="211">
                    <c:v>1.2298813533611685E-10</c:v>
                  </c:pt>
                  <c:pt idx="212">
                    <c:v>1.4007829732677239E-10</c:v>
                  </c:pt>
                  <c:pt idx="213">
                    <c:v>1.4822497724277557E-10</c:v>
                  </c:pt>
                  <c:pt idx="214">
                    <c:v>1.5075631482316153E-10</c:v>
                  </c:pt>
                  <c:pt idx="215">
                    <c:v>1.7894794461935176E-10</c:v>
                  </c:pt>
                  <c:pt idx="216">
                    <c:v>1.5475956120104502E-10</c:v>
                  </c:pt>
                  <c:pt idx="217">
                    <c:v>1.3756445196943526E-10</c:v>
                  </c:pt>
                  <c:pt idx="218">
                    <c:v>1.3646218147483496E-10</c:v>
                  </c:pt>
                  <c:pt idx="219">
                    <c:v>1.4981274343788505E-10</c:v>
                  </c:pt>
                  <c:pt idx="220">
                    <c:v>1.7896502976800995E-10</c:v>
                  </c:pt>
                  <c:pt idx="221">
                    <c:v>1.8089370972600021E-10</c:v>
                  </c:pt>
                  <c:pt idx="222">
                    <c:v>1.6461246079812348E-10</c:v>
                  </c:pt>
                  <c:pt idx="223">
                    <c:v>1.6393801711163125E-10</c:v>
                  </c:pt>
                  <c:pt idx="224">
                    <c:v>1.9026152721135675E-10</c:v>
                  </c:pt>
                  <c:pt idx="225">
                    <c:v>1.7984079491506615E-10</c:v>
                  </c:pt>
                  <c:pt idx="226">
                    <c:v>1.3902245333014494E-10</c:v>
                  </c:pt>
                  <c:pt idx="227">
                    <c:v>1.7440526937586366E-10</c:v>
                  </c:pt>
                  <c:pt idx="228">
                    <c:v>1.6791624448507999E-10</c:v>
                  </c:pt>
                  <c:pt idx="229">
                    <c:v>1.6364572666636186E-10</c:v>
                  </c:pt>
                  <c:pt idx="230">
                    <c:v>1.9385323721834162E-10</c:v>
                  </c:pt>
                  <c:pt idx="231">
                    <c:v>1.9893527136402187E-10</c:v>
                  </c:pt>
                  <c:pt idx="232">
                    <c:v>1.8904050917117237E-10</c:v>
                  </c:pt>
                  <c:pt idx="233">
                    <c:v>1.9174915755404326E-10</c:v>
                  </c:pt>
                  <c:pt idx="234">
                    <c:v>2.1927152732701142E-10</c:v>
                  </c:pt>
                  <c:pt idx="235">
                    <c:v>2.5813134403424679E-10</c:v>
                  </c:pt>
                  <c:pt idx="236">
                    <c:v>2.207825105166757E-10</c:v>
                  </c:pt>
                  <c:pt idx="237">
                    <c:v>1.302005289799147E-10</c:v>
                  </c:pt>
                  <c:pt idx="238">
                    <c:v>1.2030470736391651E-10</c:v>
                  </c:pt>
                  <c:pt idx="239">
                    <c:v>1.1544716773943673E-10</c:v>
                  </c:pt>
                  <c:pt idx="240">
                    <c:v>1.1781280969975046E-10</c:v>
                  </c:pt>
                  <c:pt idx="241">
                    <c:v>1.3561987250010928E-10</c:v>
                  </c:pt>
                  <c:pt idx="242">
                    <c:v>1.32195867282769E-10</c:v>
                  </c:pt>
                  <c:pt idx="243">
                    <c:v>1.3665075401592521E-10</c:v>
                  </c:pt>
                  <c:pt idx="244">
                    <c:v>1.3164868807809575E-10</c:v>
                  </c:pt>
                  <c:pt idx="245">
                    <c:v>1.2576092013591681E-10</c:v>
                  </c:pt>
                  <c:pt idx="246">
                    <c:v>1.1974707705890292E-10</c:v>
                  </c:pt>
                  <c:pt idx="247">
                    <c:v>1.3144136549783554E-10</c:v>
                  </c:pt>
                  <c:pt idx="248">
                    <c:v>1.4369669715333468E-10</c:v>
                  </c:pt>
                  <c:pt idx="249">
                    <c:v>1.3001494216675769E-10</c:v>
                  </c:pt>
                  <c:pt idx="250">
                    <c:v>1.4761628952625993E-10</c:v>
                  </c:pt>
                  <c:pt idx="251">
                    <c:v>1.4426199405062025E-10</c:v>
                  </c:pt>
                  <c:pt idx="252">
                    <c:v>1.5318042885545165E-10</c:v>
                  </c:pt>
                  <c:pt idx="253">
                    <c:v>1.5857986310827511E-10</c:v>
                  </c:pt>
                  <c:pt idx="254">
                    <c:v>1.6149543129919406E-10</c:v>
                  </c:pt>
                  <c:pt idx="255">
                    <c:v>1.6935751668960785E-10</c:v>
                  </c:pt>
                  <c:pt idx="256">
                    <c:v>1.6916950393513417E-10</c:v>
                  </c:pt>
                  <c:pt idx="257">
                    <c:v>1.8135069271282208E-10</c:v>
                  </c:pt>
                  <c:pt idx="258">
                    <c:v>1.7662509340279926E-10</c:v>
                  </c:pt>
                  <c:pt idx="259">
                    <c:v>1.9713177637442458E-10</c:v>
                  </c:pt>
                  <c:pt idx="260">
                    <c:v>2.1685753315851733E-10</c:v>
                  </c:pt>
                  <c:pt idx="261">
                    <c:v>1.8882600159502092E-10</c:v>
                  </c:pt>
                  <c:pt idx="262">
                    <c:v>1.9592799774763514E-10</c:v>
                  </c:pt>
                  <c:pt idx="263">
                    <c:v>1.756871592564381E-10</c:v>
                  </c:pt>
                  <c:pt idx="264">
                    <c:v>2.2606765889733916E-10</c:v>
                  </c:pt>
                  <c:pt idx="265">
                    <c:v>2.082370295990615E-10</c:v>
                  </c:pt>
                  <c:pt idx="266">
                    <c:v>2.1245738830453404E-10</c:v>
                  </c:pt>
                  <c:pt idx="267">
                    <c:v>2.2791707460376567E-10</c:v>
                  </c:pt>
                  <c:pt idx="268">
                    <c:v>2.5402586120180902E-10</c:v>
                  </c:pt>
                  <c:pt idx="269">
                    <c:v>2.6354446041555648E-10</c:v>
                  </c:pt>
                  <c:pt idx="270">
                    <c:v>2.1763079975846494E-10</c:v>
                  </c:pt>
                  <c:pt idx="271">
                    <c:v>2.4090573180167139E-10</c:v>
                  </c:pt>
                  <c:pt idx="272">
                    <c:v>2.3175303879640498E-10</c:v>
                  </c:pt>
                  <c:pt idx="273">
                    <c:v>2.3607276699790335E-10</c:v>
                  </c:pt>
                  <c:pt idx="274">
                    <c:v>2.6616337818948905E-10</c:v>
                  </c:pt>
                  <c:pt idx="275">
                    <c:v>2.6610025555950165E-10</c:v>
                  </c:pt>
                  <c:pt idx="276">
                    <c:v>2.8994368701626004E-10</c:v>
                  </c:pt>
                  <c:pt idx="277">
                    <c:v>2.6932066896641621E-10</c:v>
                  </c:pt>
                  <c:pt idx="278">
                    <c:v>2.9567923730276723E-10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6.2842553382465765E-10</c:v>
                  </c:pt>
                  <c:pt idx="1">
                    <c:v>4.3651328634920145E-10</c:v>
                  </c:pt>
                  <c:pt idx="2">
                    <c:v>4.1747059095967085E-10</c:v>
                  </c:pt>
                  <c:pt idx="3">
                    <c:v>3.8160712920644746E-10</c:v>
                  </c:pt>
                  <c:pt idx="4">
                    <c:v>4.0507699120291489E-10</c:v>
                  </c:pt>
                  <c:pt idx="5">
                    <c:v>4.2699063087547504E-10</c:v>
                  </c:pt>
                  <c:pt idx="6">
                    <c:v>4.104525950715368E-10</c:v>
                  </c:pt>
                  <c:pt idx="7">
                    <c:v>3.8379216958751147E-10</c:v>
                  </c:pt>
                  <c:pt idx="8">
                    <c:v>3.8832914666196271E-10</c:v>
                  </c:pt>
                  <c:pt idx="9">
                    <c:v>3.9849002225946248E-10</c:v>
                  </c:pt>
                  <c:pt idx="10">
                    <c:v>4.1498958763401531E-10</c:v>
                  </c:pt>
                  <c:pt idx="11">
                    <c:v>4.115105469252346E-10</c:v>
                  </c:pt>
                  <c:pt idx="12">
                    <c:v>3.2564645671028022E-10</c:v>
                  </c:pt>
                  <c:pt idx="13">
                    <c:v>3.1271374876993125E-10</c:v>
                  </c:pt>
                  <c:pt idx="14">
                    <c:v>3.3320626716137242E-10</c:v>
                  </c:pt>
                  <c:pt idx="15">
                    <c:v>3.3604179276100938E-10</c:v>
                  </c:pt>
                  <c:pt idx="16">
                    <c:v>3.288696916031791E-10</c:v>
                  </c:pt>
                  <c:pt idx="17">
                    <c:v>5.3618887810410034E-10</c:v>
                  </c:pt>
                  <c:pt idx="18">
                    <c:v>5.020840559087047E-10</c:v>
                  </c:pt>
                  <c:pt idx="19">
                    <c:v>4.8670275791137699E-10</c:v>
                  </c:pt>
                  <c:pt idx="20">
                    <c:v>4.4688658864943719E-10</c:v>
                  </c:pt>
                  <c:pt idx="21">
                    <c:v>3.9687443808892836E-10</c:v>
                  </c:pt>
                  <c:pt idx="22">
                    <c:v>4.0157366827408874E-10</c:v>
                  </c:pt>
                  <c:pt idx="23">
                    <c:v>3.8522463842069231E-10</c:v>
                  </c:pt>
                  <c:pt idx="24">
                    <c:v>3.3939120159713374E-10</c:v>
                  </c:pt>
                  <c:pt idx="25">
                    <c:v>3.4687058038294017E-10</c:v>
                  </c:pt>
                  <c:pt idx="26">
                    <c:v>3.3346096338103912E-10</c:v>
                  </c:pt>
                  <c:pt idx="27">
                    <c:v>3.2954299013046656E-10</c:v>
                  </c:pt>
                  <c:pt idx="28">
                    <c:v>3.0562623410536378E-10</c:v>
                  </c:pt>
                  <c:pt idx="29">
                    <c:v>3.3474128912019326E-10</c:v>
                  </c:pt>
                  <c:pt idx="30">
                    <c:v>2.9971039244238204E-10</c:v>
                  </c:pt>
                  <c:pt idx="31">
                    <c:v>2.6313319714512233E-10</c:v>
                  </c:pt>
                  <c:pt idx="32">
                    <c:v>2.694558037027587E-10</c:v>
                  </c:pt>
                  <c:pt idx="33">
                    <c:v>1.4664524331643702E-10</c:v>
                  </c:pt>
                  <c:pt idx="34">
                    <c:v>1.3095644129260613E-10</c:v>
                  </c:pt>
                  <c:pt idx="35">
                    <c:v>1.2025073231626794E-10</c:v>
                  </c:pt>
                  <c:pt idx="36">
                    <c:v>1.1683168027207468E-10</c:v>
                  </c:pt>
                  <c:pt idx="37">
                    <c:v>1.3070812423737076E-10</c:v>
                  </c:pt>
                  <c:pt idx="38">
                    <c:v>1.1383803907513613E-10</c:v>
                  </c:pt>
                  <c:pt idx="39">
                    <c:v>1.0049436925632995E-10</c:v>
                  </c:pt>
                  <c:pt idx="40">
                    <c:v>8.9486773218661961E-11</c:v>
                  </c:pt>
                  <c:pt idx="41">
                    <c:v>8.6359217784492516E-11</c:v>
                  </c:pt>
                  <c:pt idx="42">
                    <c:v>7.1862881022542727E-11</c:v>
                  </c:pt>
                  <c:pt idx="43">
                    <c:v>6.9809097363560385E-11</c:v>
                  </c:pt>
                  <c:pt idx="44">
                    <c:v>6.6029784017316414E-11</c:v>
                  </c:pt>
                  <c:pt idx="45">
                    <c:v>6.3516679869111089E-11</c:v>
                  </c:pt>
                  <c:pt idx="46">
                    <c:v>6.7703499191329583E-11</c:v>
                  </c:pt>
                  <c:pt idx="47">
                    <c:v>7.484650337237272E-11</c:v>
                  </c:pt>
                  <c:pt idx="48">
                    <c:v>8.3662290707689115E-11</c:v>
                  </c:pt>
                  <c:pt idx="49">
                    <c:v>8.6311132004174475E-11</c:v>
                  </c:pt>
                  <c:pt idx="50">
                    <c:v>8.8630349677889449E-11</c:v>
                  </c:pt>
                  <c:pt idx="51">
                    <c:v>1.0014934481570565E-10</c:v>
                  </c:pt>
                  <c:pt idx="52">
                    <c:v>1.1677286890766896E-10</c:v>
                  </c:pt>
                  <c:pt idx="53">
                    <c:v>1.228434082392648E-10</c:v>
                  </c:pt>
                  <c:pt idx="54">
                    <c:v>1.1378674089240743E-10</c:v>
                  </c:pt>
                  <c:pt idx="55">
                    <c:v>1.1618112485851895E-10</c:v>
                  </c:pt>
                  <c:pt idx="56">
                    <c:v>1.3809042358044717E-10</c:v>
                  </c:pt>
                  <c:pt idx="57">
                    <c:v>1.3363942977019737E-10</c:v>
                  </c:pt>
                  <c:pt idx="58">
                    <c:v>1.2671200685427344E-10</c:v>
                  </c:pt>
                  <c:pt idx="59">
                    <c:v>1.4587964083994441E-10</c:v>
                  </c:pt>
                  <c:pt idx="60">
                    <c:v>1.0235553320721719E-10</c:v>
                  </c:pt>
                  <c:pt idx="61">
                    <c:v>1.0776548323235838E-10</c:v>
                  </c:pt>
                  <c:pt idx="62">
                    <c:v>9.4118454823520474E-11</c:v>
                  </c:pt>
                  <c:pt idx="63">
                    <c:v>9.853709454528999E-11</c:v>
                  </c:pt>
                  <c:pt idx="64">
                    <c:v>9.1696117435839415E-11</c:v>
                  </c:pt>
                  <c:pt idx="65">
                    <c:v>9.5910462034946523E-11</c:v>
                  </c:pt>
                  <c:pt idx="66">
                    <c:v>1.2933902799767381E-10</c:v>
                  </c:pt>
                  <c:pt idx="67">
                    <c:v>1.2613518723454764E-10</c:v>
                  </c:pt>
                  <c:pt idx="68">
                    <c:v>9.9311261273746533E-11</c:v>
                  </c:pt>
                  <c:pt idx="69">
                    <c:v>1.0157182010193768E-10</c:v>
                  </c:pt>
                  <c:pt idx="70">
                    <c:v>8.920482858422391E-11</c:v>
                  </c:pt>
                  <c:pt idx="71">
                    <c:v>7.7768505583423194E-11</c:v>
                  </c:pt>
                  <c:pt idx="72">
                    <c:v>8.2165445987923816E-11</c:v>
                  </c:pt>
                  <c:pt idx="73">
                    <c:v>6.1030402405097741E-11</c:v>
                  </c:pt>
                  <c:pt idx="74">
                    <c:v>5.7040940247182218E-11</c:v>
                  </c:pt>
                  <c:pt idx="75">
                    <c:v>4.9341272675139367E-11</c:v>
                  </c:pt>
                  <c:pt idx="76">
                    <c:v>4.6652768943258858E-11</c:v>
                  </c:pt>
                  <c:pt idx="77">
                    <c:v>5.5927699359760983E-11</c:v>
                  </c:pt>
                  <c:pt idx="78">
                    <c:v>6.7458411539471801E-11</c:v>
                  </c:pt>
                  <c:pt idx="79">
                    <c:v>7.5135003786189667E-11</c:v>
                  </c:pt>
                  <c:pt idx="80">
                    <c:v>8.9362424415903096E-11</c:v>
                  </c:pt>
                  <c:pt idx="81">
                    <c:v>9.3993942416733093E-11</c:v>
                  </c:pt>
                  <c:pt idx="82">
                    <c:v>1.0248662010640965E-10</c:v>
                  </c:pt>
                  <c:pt idx="83">
                    <c:v>1.0804709014672785E-10</c:v>
                  </c:pt>
                  <c:pt idx="84">
                    <c:v>1.2691710864542437E-10</c:v>
                  </c:pt>
                  <c:pt idx="85">
                    <c:v>1.2914565926954122E-10</c:v>
                  </c:pt>
                  <c:pt idx="86">
                    <c:v>1.297321347219993E-10</c:v>
                  </c:pt>
                  <c:pt idx="87">
                    <c:v>1.4763824768254288E-10</c:v>
                  </c:pt>
                  <c:pt idx="88">
                    <c:v>1.4691996616227548E-10</c:v>
                  </c:pt>
                  <c:pt idx="89">
                    <c:v>1.5084433162611461E-10</c:v>
                  </c:pt>
                  <c:pt idx="90">
                    <c:v>1.4320809675810193E-10</c:v>
                  </c:pt>
                  <c:pt idx="91">
                    <c:v>1.4560289430923617E-10</c:v>
                  </c:pt>
                  <c:pt idx="92">
                    <c:v>1.4715251150316777E-10</c:v>
                  </c:pt>
                  <c:pt idx="93">
                    <c:v>1.4342147826950588E-10</c:v>
                  </c:pt>
                  <c:pt idx="94">
                    <c:v>1.2762173386960423E-10</c:v>
                  </c:pt>
                  <c:pt idx="95">
                    <c:v>1.1945051439224895E-10</c:v>
                  </c:pt>
                  <c:pt idx="96">
                    <c:v>1.027738524423628E-10</c:v>
                  </c:pt>
                  <c:pt idx="97">
                    <c:v>8.7050334475817021E-11</c:v>
                  </c:pt>
                  <c:pt idx="98">
                    <c:v>3.5365003881931459E-11</c:v>
                  </c:pt>
                  <c:pt idx="99">
                    <c:v>3.196975181859352E-11</c:v>
                  </c:pt>
                  <c:pt idx="100">
                    <c:v>2.5496772837426657E-11</c:v>
                  </c:pt>
                  <c:pt idx="101">
                    <c:v>2.1983217726420221E-11</c:v>
                  </c:pt>
                  <c:pt idx="102">
                    <c:v>2.49005819636637E-11</c:v>
                  </c:pt>
                  <c:pt idx="103">
                    <c:v>2.805991764279453E-11</c:v>
                  </c:pt>
                  <c:pt idx="104">
                    <c:v>3.2971759768732326E-11</c:v>
                  </c:pt>
                  <c:pt idx="105">
                    <c:v>3.94785364150249E-11</c:v>
                  </c:pt>
                  <c:pt idx="106">
                    <c:v>4.7027845636322388E-11</c:v>
                  </c:pt>
                  <c:pt idx="107">
                    <c:v>6.0420272889208197E-11</c:v>
                  </c:pt>
                  <c:pt idx="108">
                    <c:v>6.8503702925937758E-11</c:v>
                  </c:pt>
                  <c:pt idx="109">
                    <c:v>7.3303924658632389E-11</c:v>
                  </c:pt>
                  <c:pt idx="110">
                    <c:v>7.9397124047901188E-11</c:v>
                  </c:pt>
                  <c:pt idx="111">
                    <c:v>7.7765872373159167E-11</c:v>
                  </c:pt>
                  <c:pt idx="112">
                    <c:v>7.9283909570726651E-11</c:v>
                  </c:pt>
                  <c:pt idx="113">
                    <c:v>7.9277735501498474E-11</c:v>
                  </c:pt>
                  <c:pt idx="114">
                    <c:v>8.141866903393868E-11</c:v>
                  </c:pt>
                  <c:pt idx="115">
                    <c:v>7.2646205456122566E-11</c:v>
                  </c:pt>
                  <c:pt idx="116">
                    <c:v>6.6789003178941354E-11</c:v>
                  </c:pt>
                  <c:pt idx="117">
                    <c:v>6.6727071170996335E-11</c:v>
                  </c:pt>
                  <c:pt idx="118">
                    <c:v>6.0632770672107988E-11</c:v>
                  </c:pt>
                  <c:pt idx="119">
                    <c:v>5.2423117993488746E-11</c:v>
                  </c:pt>
                  <c:pt idx="120">
                    <c:v>4.7982990842074567E-11</c:v>
                  </c:pt>
                  <c:pt idx="121">
                    <c:v>4.2254432665317454E-11</c:v>
                  </c:pt>
                  <c:pt idx="122">
                    <c:v>4.522733320603122E-11</c:v>
                  </c:pt>
                  <c:pt idx="123">
                    <c:v>3.743913056803823E-11</c:v>
                  </c:pt>
                  <c:pt idx="124">
                    <c:v>4.9733446839271245E-11</c:v>
                  </c:pt>
                  <c:pt idx="125">
                    <c:v>5.7364564378665313E-11</c:v>
                  </c:pt>
                  <c:pt idx="126">
                    <c:v>6.7990489686743769E-11</c:v>
                  </c:pt>
                  <c:pt idx="127">
                    <c:v>7.4324782230406277E-11</c:v>
                  </c:pt>
                  <c:pt idx="128">
                    <c:v>9.1047899093638339E-11</c:v>
                  </c:pt>
                  <c:pt idx="129">
                    <c:v>9.6556186010027713E-11</c:v>
                  </c:pt>
                  <c:pt idx="130">
                    <c:v>1.0321192851419249E-10</c:v>
                  </c:pt>
                  <c:pt idx="131">
                    <c:v>1.1018875566441225E-10</c:v>
                  </c:pt>
                  <c:pt idx="132">
                    <c:v>9.8935541436460869E-11</c:v>
                  </c:pt>
                  <c:pt idx="133">
                    <c:v>1.0716429499494719E-10</c:v>
                  </c:pt>
                  <c:pt idx="134">
                    <c:v>1.062257010157333E-10</c:v>
                  </c:pt>
                  <c:pt idx="135">
                    <c:v>9.5055552141697497E-11</c:v>
                  </c:pt>
                  <c:pt idx="136">
                    <c:v>8.998779018593576E-11</c:v>
                  </c:pt>
                  <c:pt idx="137">
                    <c:v>8.7130259846267639E-11</c:v>
                  </c:pt>
                  <c:pt idx="138">
                    <c:v>6.7804321292391319E-11</c:v>
                  </c:pt>
                  <c:pt idx="139">
                    <c:v>6.4887138363249862E-11</c:v>
                  </c:pt>
                  <c:pt idx="140">
                    <c:v>6.4901488198751581E-11</c:v>
                  </c:pt>
                  <c:pt idx="141">
                    <c:v>7.2206567045742381E-11</c:v>
                  </c:pt>
                  <c:pt idx="142">
                    <c:v>7.6394879541026785E-11</c:v>
                  </c:pt>
                  <c:pt idx="143">
                    <c:v>9.5109552153726277E-11</c:v>
                  </c:pt>
                  <c:pt idx="144">
                    <c:v>1.0982836360300074E-10</c:v>
                  </c:pt>
                  <c:pt idx="145">
                    <c:v>1.1634323719230887E-10</c:v>
                  </c:pt>
                  <c:pt idx="146">
                    <c:v>1.4346550250737935E-10</c:v>
                  </c:pt>
                  <c:pt idx="147">
                    <c:v>1.3825865964643348E-10</c:v>
                  </c:pt>
                  <c:pt idx="148">
                    <c:v>1.3645622847614507E-10</c:v>
                  </c:pt>
                  <c:pt idx="149">
                    <c:v>1.4050937739408372E-10</c:v>
                  </c:pt>
                  <c:pt idx="150">
                    <c:v>1.3201758983021269E-10</c:v>
                  </c:pt>
                  <c:pt idx="151">
                    <c:v>1.3069416281682816E-10</c:v>
                  </c:pt>
                  <c:pt idx="152">
                    <c:v>1.2651320445753169E-10</c:v>
                  </c:pt>
                  <c:pt idx="153">
                    <c:v>9.6367334800754749E-11</c:v>
                  </c:pt>
                  <c:pt idx="154">
                    <c:v>1.0417749273326752E-10</c:v>
                  </c:pt>
                  <c:pt idx="155">
                    <c:v>9.0123383001938759E-11</c:v>
                  </c:pt>
                  <c:pt idx="156">
                    <c:v>8.8670662433786241E-11</c:v>
                  </c:pt>
                  <c:pt idx="157">
                    <c:v>1.0034834445418793E-10</c:v>
                  </c:pt>
                  <c:pt idx="158">
                    <c:v>1.3632237460164743E-10</c:v>
                  </c:pt>
                  <c:pt idx="159">
                    <c:v>1.2591313450422027E-10</c:v>
                  </c:pt>
                  <c:pt idx="160">
                    <c:v>1.4812739911648537E-10</c:v>
                  </c:pt>
                  <c:pt idx="161">
                    <c:v>1.7416027706226387E-10</c:v>
                  </c:pt>
                  <c:pt idx="162">
                    <c:v>1.6855827409039343E-10</c:v>
                  </c:pt>
                  <c:pt idx="163">
                    <c:v>1.7975376466553543E-10</c:v>
                  </c:pt>
                  <c:pt idx="164">
                    <c:v>1.4780423076158469E-10</c:v>
                  </c:pt>
                  <c:pt idx="165">
                    <c:v>1.6470271460988917E-10</c:v>
                  </c:pt>
                  <c:pt idx="166">
                    <c:v>1.4203849556086774E-10</c:v>
                  </c:pt>
                  <c:pt idx="167">
                    <c:v>6.077682344892218E-11</c:v>
                  </c:pt>
                  <c:pt idx="168">
                    <c:v>5.5455905918327492E-11</c:v>
                  </c:pt>
                  <c:pt idx="169">
                    <c:v>4.6909502051496639E-11</c:v>
                  </c:pt>
                  <c:pt idx="170">
                    <c:v>4.9617070403584103E-11</c:v>
                  </c:pt>
                  <c:pt idx="171">
                    <c:v>5.40638400030783E-11</c:v>
                  </c:pt>
                  <c:pt idx="172">
                    <c:v>6.7621736754595283E-11</c:v>
                  </c:pt>
                  <c:pt idx="173">
                    <c:v>7.5036914940464661E-11</c:v>
                  </c:pt>
                  <c:pt idx="174">
                    <c:v>8.9600578092703737E-11</c:v>
                  </c:pt>
                  <c:pt idx="175">
                    <c:v>9.2334300944957839E-11</c:v>
                  </c:pt>
                  <c:pt idx="176">
                    <c:v>8.5057235411135572E-11</c:v>
                  </c:pt>
                  <c:pt idx="177">
                    <c:v>8.4294959542623348E-11</c:v>
                  </c:pt>
                  <c:pt idx="178">
                    <c:v>7.9987839155731691E-11</c:v>
                  </c:pt>
                  <c:pt idx="179">
                    <c:v>6.6898720228501892E-11</c:v>
                  </c:pt>
                  <c:pt idx="180">
                    <c:v>6.0031799628363613E-11</c:v>
                  </c:pt>
                  <c:pt idx="181">
                    <c:v>6.2068350439825751E-11</c:v>
                  </c:pt>
                  <c:pt idx="182">
                    <c:v>6.2788147533242014E-11</c:v>
                  </c:pt>
                  <c:pt idx="183">
                    <c:v>7.7527676431269048E-11</c:v>
                  </c:pt>
                  <c:pt idx="184">
                    <c:v>8.2157099909725602E-11</c:v>
                  </c:pt>
                  <c:pt idx="185">
                    <c:v>9.163050677506347E-11</c:v>
                  </c:pt>
                  <c:pt idx="186">
                    <c:v>1.0848728166280665E-10</c:v>
                  </c:pt>
                  <c:pt idx="187">
                    <c:v>1.0131346898732484E-10</c:v>
                  </c:pt>
                  <c:pt idx="188">
                    <c:v>1.0030119106468173E-10</c:v>
                  </c:pt>
                  <c:pt idx="189">
                    <c:v>9.1820573211165627E-11</c:v>
                  </c:pt>
                  <c:pt idx="190">
                    <c:v>8.2503205226874466E-11</c:v>
                  </c:pt>
                  <c:pt idx="191">
                    <c:v>8.1819936380369114E-11</c:v>
                  </c:pt>
                  <c:pt idx="192">
                    <c:v>7.7430527560783398E-11</c:v>
                  </c:pt>
                  <c:pt idx="193">
                    <c:v>8.5547743774937592E-11</c:v>
                  </c:pt>
                  <c:pt idx="194">
                    <c:v>9.0195695576099514E-11</c:v>
                  </c:pt>
                  <c:pt idx="195">
                    <c:v>1.071439525691252E-10</c:v>
                  </c:pt>
                  <c:pt idx="196">
                    <c:v>1.131855570833379E-10</c:v>
                  </c:pt>
                  <c:pt idx="197">
                    <c:v>1.2278041011443626E-10</c:v>
                  </c:pt>
                  <c:pt idx="198">
                    <c:v>1.1056960106214097E-10</c:v>
                  </c:pt>
                  <c:pt idx="199">
                    <c:v>1.0818042391053303E-10</c:v>
                  </c:pt>
                  <c:pt idx="200">
                    <c:v>1.0103816809083771E-10</c:v>
                  </c:pt>
                  <c:pt idx="201">
                    <c:v>1.0143721801438865E-10</c:v>
                  </c:pt>
                  <c:pt idx="202">
                    <c:v>9.8302593861449856E-11</c:v>
                  </c:pt>
                  <c:pt idx="203">
                    <c:v>1.1068468538724291E-10</c:v>
                  </c:pt>
                  <c:pt idx="204">
                    <c:v>1.3749959874279928E-10</c:v>
                  </c:pt>
                  <c:pt idx="205">
                    <c:v>1.3657349942479406E-10</c:v>
                  </c:pt>
                  <c:pt idx="206">
                    <c:v>1.3626834537211119E-10</c:v>
                  </c:pt>
                  <c:pt idx="207">
                    <c:v>1.414900595603388E-10</c:v>
                  </c:pt>
                  <c:pt idx="208">
                    <c:v>1.2276881231371183E-10</c:v>
                  </c:pt>
                  <c:pt idx="209">
                    <c:v>1.1640327929780136E-10</c:v>
                  </c:pt>
                  <c:pt idx="210">
                    <c:v>1.2190434121557783E-10</c:v>
                  </c:pt>
                  <c:pt idx="211">
                    <c:v>1.2298813533611685E-10</c:v>
                  </c:pt>
                  <c:pt idx="212">
                    <c:v>1.4007829732677239E-10</c:v>
                  </c:pt>
                  <c:pt idx="213">
                    <c:v>1.4822497724277557E-10</c:v>
                  </c:pt>
                  <c:pt idx="214">
                    <c:v>1.5075631482316153E-10</c:v>
                  </c:pt>
                  <c:pt idx="215">
                    <c:v>1.7894794461935176E-10</c:v>
                  </c:pt>
                  <c:pt idx="216">
                    <c:v>1.5475956120104502E-10</c:v>
                  </c:pt>
                  <c:pt idx="217">
                    <c:v>1.3756445196943526E-10</c:v>
                  </c:pt>
                  <c:pt idx="218">
                    <c:v>1.3646218147483496E-10</c:v>
                  </c:pt>
                  <c:pt idx="219">
                    <c:v>1.4981274343788505E-10</c:v>
                  </c:pt>
                  <c:pt idx="220">
                    <c:v>1.7896502976800995E-10</c:v>
                  </c:pt>
                  <c:pt idx="221">
                    <c:v>1.8089370972600021E-10</c:v>
                  </c:pt>
                  <c:pt idx="222">
                    <c:v>1.6461246079812348E-10</c:v>
                  </c:pt>
                  <c:pt idx="223">
                    <c:v>1.6393801711163125E-10</c:v>
                  </c:pt>
                  <c:pt idx="224">
                    <c:v>1.9026152721135675E-10</c:v>
                  </c:pt>
                  <c:pt idx="225">
                    <c:v>1.7984079491506615E-10</c:v>
                  </c:pt>
                  <c:pt idx="226">
                    <c:v>1.3902245333014494E-10</c:v>
                  </c:pt>
                  <c:pt idx="227">
                    <c:v>1.7440526937586366E-10</c:v>
                  </c:pt>
                  <c:pt idx="228">
                    <c:v>1.6791624448507999E-10</c:v>
                  </c:pt>
                  <c:pt idx="229">
                    <c:v>1.6364572666636186E-10</c:v>
                  </c:pt>
                  <c:pt idx="230">
                    <c:v>1.9385323721834162E-10</c:v>
                  </c:pt>
                  <c:pt idx="231">
                    <c:v>1.9893527136402187E-10</c:v>
                  </c:pt>
                  <c:pt idx="232">
                    <c:v>1.8904050917117237E-10</c:v>
                  </c:pt>
                  <c:pt idx="233">
                    <c:v>1.9174915755404326E-10</c:v>
                  </c:pt>
                  <c:pt idx="234">
                    <c:v>2.1927152732701142E-10</c:v>
                  </c:pt>
                  <c:pt idx="235">
                    <c:v>2.5813134403424679E-10</c:v>
                  </c:pt>
                  <c:pt idx="236">
                    <c:v>2.207825105166757E-10</c:v>
                  </c:pt>
                  <c:pt idx="237">
                    <c:v>1.302005289799147E-10</c:v>
                  </c:pt>
                  <c:pt idx="238">
                    <c:v>1.2030470736391651E-10</c:v>
                  </c:pt>
                  <c:pt idx="239">
                    <c:v>1.1544716773943673E-10</c:v>
                  </c:pt>
                  <c:pt idx="240">
                    <c:v>1.1781280969975046E-10</c:v>
                  </c:pt>
                  <c:pt idx="241">
                    <c:v>1.3561987250010928E-10</c:v>
                  </c:pt>
                  <c:pt idx="242">
                    <c:v>1.32195867282769E-10</c:v>
                  </c:pt>
                  <c:pt idx="243">
                    <c:v>1.3665075401592521E-10</c:v>
                  </c:pt>
                  <c:pt idx="244">
                    <c:v>1.3164868807809575E-10</c:v>
                  </c:pt>
                  <c:pt idx="245">
                    <c:v>1.2576092013591681E-10</c:v>
                  </c:pt>
                  <c:pt idx="246">
                    <c:v>1.1974707705890292E-10</c:v>
                  </c:pt>
                  <c:pt idx="247">
                    <c:v>1.3144136549783554E-10</c:v>
                  </c:pt>
                  <c:pt idx="248">
                    <c:v>1.4369669715333468E-10</c:v>
                  </c:pt>
                  <c:pt idx="249">
                    <c:v>1.3001494216675769E-10</c:v>
                  </c:pt>
                  <c:pt idx="250">
                    <c:v>1.4761628952625993E-10</c:v>
                  </c:pt>
                  <c:pt idx="251">
                    <c:v>1.4426199405062025E-10</c:v>
                  </c:pt>
                  <c:pt idx="252">
                    <c:v>1.5318042885545165E-10</c:v>
                  </c:pt>
                  <c:pt idx="253">
                    <c:v>1.5857986310827511E-10</c:v>
                  </c:pt>
                  <c:pt idx="254">
                    <c:v>1.6149543129919406E-10</c:v>
                  </c:pt>
                  <c:pt idx="255">
                    <c:v>1.6935751668960785E-10</c:v>
                  </c:pt>
                  <c:pt idx="256">
                    <c:v>1.6916950393513417E-10</c:v>
                  </c:pt>
                  <c:pt idx="257">
                    <c:v>1.8135069271282208E-10</c:v>
                  </c:pt>
                  <c:pt idx="258">
                    <c:v>1.7662509340279926E-10</c:v>
                  </c:pt>
                  <c:pt idx="259">
                    <c:v>1.9713177637442458E-10</c:v>
                  </c:pt>
                  <c:pt idx="260">
                    <c:v>2.1685753315851733E-10</c:v>
                  </c:pt>
                  <c:pt idx="261">
                    <c:v>1.8882600159502092E-10</c:v>
                  </c:pt>
                  <c:pt idx="262">
                    <c:v>1.9592799774763514E-10</c:v>
                  </c:pt>
                  <c:pt idx="263">
                    <c:v>1.756871592564381E-10</c:v>
                  </c:pt>
                  <c:pt idx="264">
                    <c:v>2.2606765889733916E-10</c:v>
                  </c:pt>
                  <c:pt idx="265">
                    <c:v>2.082370295990615E-10</c:v>
                  </c:pt>
                  <c:pt idx="266">
                    <c:v>2.1245738830453404E-10</c:v>
                  </c:pt>
                  <c:pt idx="267">
                    <c:v>2.2791707460376567E-10</c:v>
                  </c:pt>
                  <c:pt idx="268">
                    <c:v>2.5402586120180902E-10</c:v>
                  </c:pt>
                  <c:pt idx="269">
                    <c:v>2.6354446041555648E-10</c:v>
                  </c:pt>
                  <c:pt idx="270">
                    <c:v>2.1763079975846494E-10</c:v>
                  </c:pt>
                  <c:pt idx="271">
                    <c:v>2.4090573180167139E-10</c:v>
                  </c:pt>
                  <c:pt idx="272">
                    <c:v>2.3175303879640498E-10</c:v>
                  </c:pt>
                  <c:pt idx="273">
                    <c:v>2.3607276699790335E-10</c:v>
                  </c:pt>
                  <c:pt idx="274">
                    <c:v>2.6616337818948905E-10</c:v>
                  </c:pt>
                  <c:pt idx="275">
                    <c:v>2.6610025555950165E-10</c:v>
                  </c:pt>
                  <c:pt idx="276">
                    <c:v>2.8994368701626004E-10</c:v>
                  </c:pt>
                  <c:pt idx="277">
                    <c:v>2.6932066896641621E-10</c:v>
                  </c:pt>
                  <c:pt idx="278">
                    <c:v>2.9567923730276723E-10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6.3565494515879549E-9</c:v>
                </c:pt>
                <c:pt idx="1">
                  <c:v>4.4323184578918583E-9</c:v>
                </c:pt>
                <c:pt idx="2">
                  <c:v>5.1071762225417559E-9</c:v>
                </c:pt>
                <c:pt idx="3">
                  <c:v>4.7928772930062492E-9</c:v>
                </c:pt>
                <c:pt idx="4">
                  <c:v>5.4603100768194902E-9</c:v>
                </c:pt>
                <c:pt idx="5">
                  <c:v>6.3923573888988656E-9</c:v>
                </c:pt>
                <c:pt idx="6">
                  <c:v>6.1406535571703967E-9</c:v>
                </c:pt>
                <c:pt idx="7">
                  <c:v>5.9113645027731763E-9</c:v>
                </c:pt>
                <c:pt idx="8">
                  <c:v>6.175403730078893E-9</c:v>
                </c:pt>
                <c:pt idx="9">
                  <c:v>6.2770967250488206E-9</c:v>
                </c:pt>
                <c:pt idx="10">
                  <c:v>6.9462069006533043E-9</c:v>
                </c:pt>
                <c:pt idx="11">
                  <c:v>6.9343958952124572E-9</c:v>
                </c:pt>
                <c:pt idx="12">
                  <c:v>7.3846333915101145E-9</c:v>
                </c:pt>
                <c:pt idx="13">
                  <c:v>7.4029860761812159E-9</c:v>
                </c:pt>
                <c:pt idx="14">
                  <c:v>8.3306820470078915E-9</c:v>
                </c:pt>
                <c:pt idx="15">
                  <c:v>8.4511999387424051E-9</c:v>
                </c:pt>
                <c:pt idx="16">
                  <c:v>8.286576629836465E-9</c:v>
                </c:pt>
                <c:pt idx="17">
                  <c:v>9.2004437790722284E-9</c:v>
                </c:pt>
                <c:pt idx="18">
                  <c:v>8.0275036679266158E-9</c:v>
                </c:pt>
                <c:pt idx="19">
                  <c:v>7.8819886114754042E-9</c:v>
                </c:pt>
                <c:pt idx="20">
                  <c:v>6.3496598017769582E-9</c:v>
                </c:pt>
                <c:pt idx="21">
                  <c:v>4.9855233863184561E-9</c:v>
                </c:pt>
                <c:pt idx="22">
                  <c:v>5.4260775195880918E-9</c:v>
                </c:pt>
                <c:pt idx="23">
                  <c:v>4.988170908598715E-9</c:v>
                </c:pt>
                <c:pt idx="24">
                  <c:v>4.0507141508284818E-9</c:v>
                </c:pt>
                <c:pt idx="25">
                  <c:v>3.9513840342745572E-9</c:v>
                </c:pt>
                <c:pt idx="26">
                  <c:v>3.8634504371878293E-9</c:v>
                </c:pt>
                <c:pt idx="27">
                  <c:v>3.7790403478121155E-9</c:v>
                </c:pt>
                <c:pt idx="28">
                  <c:v>3.4022890576418638E-9</c:v>
                </c:pt>
                <c:pt idx="29">
                  <c:v>3.8638945332204876E-9</c:v>
                </c:pt>
                <c:pt idx="30">
                  <c:v>3.1170640702384114E-9</c:v>
                </c:pt>
                <c:pt idx="31">
                  <c:v>2.2821472360509423E-9</c:v>
                </c:pt>
                <c:pt idx="32">
                  <c:v>2.5050432342623566E-9</c:v>
                </c:pt>
                <c:pt idx="33">
                  <c:v>2.3956275599833751E-9</c:v>
                </c:pt>
                <c:pt idx="34">
                  <c:v>1.8722098173112107E-9</c:v>
                </c:pt>
                <c:pt idx="35">
                  <c:v>1.5340926063399616E-9</c:v>
                </c:pt>
                <c:pt idx="36">
                  <c:v>1.4640928708747003E-9</c:v>
                </c:pt>
                <c:pt idx="37">
                  <c:v>1.2982915936867406E-9</c:v>
                </c:pt>
                <c:pt idx="38">
                  <c:v>9.7947295724919317E-10</c:v>
                </c:pt>
                <c:pt idx="39">
                  <c:v>6.9747975899133774E-10</c:v>
                </c:pt>
                <c:pt idx="40">
                  <c:v>5.3745764172937302E-10</c:v>
                </c:pt>
                <c:pt idx="41">
                  <c:v>4.4237839564689051E-10</c:v>
                </c:pt>
                <c:pt idx="42">
                  <c:v>1.3448235407006286E-10</c:v>
                </c:pt>
                <c:pt idx="43">
                  <c:v>1.948740161230286E-10</c:v>
                </c:pt>
                <c:pt idx="44">
                  <c:v>1.7014201967494518E-10</c:v>
                </c:pt>
                <c:pt idx="45">
                  <c:v>1.3868289054238086E-10</c:v>
                </c:pt>
                <c:pt idx="46">
                  <c:v>2.2759866960529406E-10</c:v>
                </c:pt>
                <c:pt idx="47">
                  <c:v>2.7979745838175959E-10</c:v>
                </c:pt>
                <c:pt idx="48">
                  <c:v>4.9638914781373374E-10</c:v>
                </c:pt>
                <c:pt idx="49">
                  <c:v>6.042099235485773E-10</c:v>
                </c:pt>
                <c:pt idx="50">
                  <c:v>5.696309223600231E-10</c:v>
                </c:pt>
                <c:pt idx="51">
                  <c:v>8.3021318428429458E-10</c:v>
                </c:pt>
                <c:pt idx="52">
                  <c:v>1.1990167547685178E-9</c:v>
                </c:pt>
                <c:pt idx="53">
                  <c:v>1.4048973081365378E-9</c:v>
                </c:pt>
                <c:pt idx="54">
                  <c:v>1.1892637129799298E-9</c:v>
                </c:pt>
                <c:pt idx="55">
                  <c:v>1.2489208166088329E-9</c:v>
                </c:pt>
                <c:pt idx="56">
                  <c:v>1.8605980449320006E-9</c:v>
                </c:pt>
                <c:pt idx="57">
                  <c:v>1.6810676308578368E-9</c:v>
                </c:pt>
                <c:pt idx="58">
                  <c:v>1.5574762157988438E-9</c:v>
                </c:pt>
                <c:pt idx="59">
                  <c:v>2.1109852968235327E-9</c:v>
                </c:pt>
                <c:pt idx="60">
                  <c:v>1.8668133175143864E-9</c:v>
                </c:pt>
                <c:pt idx="61">
                  <c:v>2.0176966195375399E-9</c:v>
                </c:pt>
                <c:pt idx="62">
                  <c:v>1.6666550783608803E-9</c:v>
                </c:pt>
                <c:pt idx="63">
                  <c:v>1.8083846253179721E-9</c:v>
                </c:pt>
                <c:pt idx="64">
                  <c:v>1.5541249613190762E-9</c:v>
                </c:pt>
                <c:pt idx="65">
                  <c:v>1.6731626447683191E-9</c:v>
                </c:pt>
                <c:pt idx="66">
                  <c:v>1.4375044576982091E-9</c:v>
                </c:pt>
                <c:pt idx="67">
                  <c:v>1.2936500922738647E-9</c:v>
                </c:pt>
                <c:pt idx="68">
                  <c:v>8.6603534576552731E-10</c:v>
                </c:pt>
                <c:pt idx="69">
                  <c:v>8.476542011223214E-10</c:v>
                </c:pt>
                <c:pt idx="70">
                  <c:v>6.363664141604548E-10</c:v>
                </c:pt>
                <c:pt idx="71">
                  <c:v>4.8971680942364205E-10</c:v>
                </c:pt>
                <c:pt idx="72">
                  <c:v>5.1866774148849527E-10</c:v>
                </c:pt>
                <c:pt idx="73">
                  <c:v>2.4441795487575593E-10</c:v>
                </c:pt>
                <c:pt idx="74">
                  <c:v>1.8933786773582521E-10</c:v>
                </c:pt>
                <c:pt idx="75">
                  <c:v>1.1327209445420302E-10</c:v>
                </c:pt>
                <c:pt idx="76">
                  <c:v>1.2696151981734954E-10</c:v>
                </c:pt>
                <c:pt idx="77">
                  <c:v>1.4180764013688762E-10</c:v>
                </c:pt>
                <c:pt idx="78">
                  <c:v>3.4970984876655012E-10</c:v>
                </c:pt>
                <c:pt idx="79">
                  <c:v>4.4718235004322254E-10</c:v>
                </c:pt>
                <c:pt idx="80">
                  <c:v>6.0110808723478089E-10</c:v>
                </c:pt>
                <c:pt idx="81">
                  <c:v>7.2726386259708869E-10</c:v>
                </c:pt>
                <c:pt idx="82">
                  <c:v>8.146124974641944E-10</c:v>
                </c:pt>
                <c:pt idx="83">
                  <c:v>9.9952671351735166E-10</c:v>
                </c:pt>
                <c:pt idx="84">
                  <c:v>1.3536775032947123E-9</c:v>
                </c:pt>
                <c:pt idx="85">
                  <c:v>1.4473998747278267E-9</c:v>
                </c:pt>
                <c:pt idx="86">
                  <c:v>1.4096097829036078E-9</c:v>
                </c:pt>
                <c:pt idx="87">
                  <c:v>1.7940959828691418E-9</c:v>
                </c:pt>
                <c:pt idx="88">
                  <c:v>1.7893948412039721E-9</c:v>
                </c:pt>
                <c:pt idx="89">
                  <c:v>1.8494314650994181E-9</c:v>
                </c:pt>
                <c:pt idx="90">
                  <c:v>1.704522929778021E-9</c:v>
                </c:pt>
                <c:pt idx="91">
                  <c:v>1.7344960175381951E-9</c:v>
                </c:pt>
                <c:pt idx="92">
                  <c:v>1.7153042412373194E-9</c:v>
                </c:pt>
                <c:pt idx="93">
                  <c:v>1.5873161557005194E-9</c:v>
                </c:pt>
                <c:pt idx="94">
                  <c:v>1.2852476403121082E-9</c:v>
                </c:pt>
                <c:pt idx="95">
                  <c:v>1.0841002316264575E-9</c:v>
                </c:pt>
                <c:pt idx="96">
                  <c:v>7.9193210724732E-10</c:v>
                </c:pt>
                <c:pt idx="97">
                  <c:v>5.2929654465277081E-10</c:v>
                </c:pt>
                <c:pt idx="98">
                  <c:v>4.4879602487674302E-10</c:v>
                </c:pt>
                <c:pt idx="99">
                  <c:v>3.6570367263366299E-10</c:v>
                </c:pt>
                <c:pt idx="100">
                  <c:v>2.4567275581590274E-10</c:v>
                </c:pt>
                <c:pt idx="101">
                  <c:v>1.7880344688514576E-10</c:v>
                </c:pt>
                <c:pt idx="102">
                  <c:v>2.4439645571978287E-10</c:v>
                </c:pt>
                <c:pt idx="103">
                  <c:v>3.1099173669444997E-10</c:v>
                </c:pt>
                <c:pt idx="104">
                  <c:v>4.257503672188324E-10</c:v>
                </c:pt>
                <c:pt idx="105">
                  <c:v>5.8404597592618919E-10</c:v>
                </c:pt>
                <c:pt idx="106">
                  <c:v>7.6799954147300441E-10</c:v>
                </c:pt>
                <c:pt idx="107">
                  <c:v>1.1038302705632766E-9</c:v>
                </c:pt>
                <c:pt idx="108">
                  <c:v>1.3360560445146999E-9</c:v>
                </c:pt>
                <c:pt idx="109">
                  <c:v>1.480596905732734E-9</c:v>
                </c:pt>
                <c:pt idx="110">
                  <c:v>1.7047827988644856E-9</c:v>
                </c:pt>
                <c:pt idx="111">
                  <c:v>1.7209980112183175E-9</c:v>
                </c:pt>
                <c:pt idx="112">
                  <c:v>1.7535986235360659E-9</c:v>
                </c:pt>
                <c:pt idx="113">
                  <c:v>1.7315523785387264E-9</c:v>
                </c:pt>
                <c:pt idx="114">
                  <c:v>1.7336477586011022E-9</c:v>
                </c:pt>
                <c:pt idx="115">
                  <c:v>1.4198630009899282E-9</c:v>
                </c:pt>
                <c:pt idx="116">
                  <c:v>1.2060522079329798E-9</c:v>
                </c:pt>
                <c:pt idx="117">
                  <c:v>1.0852818904942528E-9</c:v>
                </c:pt>
                <c:pt idx="118">
                  <c:v>8.7660955317206352E-10</c:v>
                </c:pt>
                <c:pt idx="119">
                  <c:v>6.7394737271314476E-10</c:v>
                </c:pt>
                <c:pt idx="120">
                  <c:v>5.757640908833801E-10</c:v>
                </c:pt>
                <c:pt idx="121">
                  <c:v>3.9472777356456211E-10</c:v>
                </c:pt>
                <c:pt idx="122">
                  <c:v>3.9966392510897061E-10</c:v>
                </c:pt>
                <c:pt idx="123">
                  <c:v>2.9849291871118374E-10</c:v>
                </c:pt>
                <c:pt idx="124">
                  <c:v>5.2140596241511909E-10</c:v>
                </c:pt>
                <c:pt idx="125">
                  <c:v>6.2844704187621829E-10</c:v>
                </c:pt>
                <c:pt idx="126">
                  <c:v>8.6810284023202392E-10</c:v>
                </c:pt>
                <c:pt idx="127">
                  <c:v>1.0201300497148211E-9</c:v>
                </c:pt>
                <c:pt idx="128">
                  <c:v>1.4356142381769864E-9</c:v>
                </c:pt>
                <c:pt idx="129">
                  <c:v>1.5714277832315031E-9</c:v>
                </c:pt>
                <c:pt idx="130">
                  <c:v>1.6203644761883599E-9</c:v>
                </c:pt>
                <c:pt idx="131">
                  <c:v>1.7392263925012823E-9</c:v>
                </c:pt>
                <c:pt idx="132">
                  <c:v>1.5103201220068052E-9</c:v>
                </c:pt>
                <c:pt idx="133">
                  <c:v>1.6482317992951873E-9</c:v>
                </c:pt>
                <c:pt idx="134">
                  <c:v>1.5121583413468381E-9</c:v>
                </c:pt>
                <c:pt idx="135">
                  <c:v>1.1454668139144925E-9</c:v>
                </c:pt>
                <c:pt idx="136">
                  <c:v>9.2452009458103626E-10</c:v>
                </c:pt>
                <c:pt idx="137">
                  <c:v>8.8754648673205102E-10</c:v>
                </c:pt>
                <c:pt idx="138">
                  <c:v>5.1314100817363122E-10</c:v>
                </c:pt>
                <c:pt idx="139">
                  <c:v>3.9475473033630469E-10</c:v>
                </c:pt>
                <c:pt idx="140">
                  <c:v>4.001487990134408E-10</c:v>
                </c:pt>
                <c:pt idx="141">
                  <c:v>5.0489937282306938E-10</c:v>
                </c:pt>
                <c:pt idx="142">
                  <c:v>5.7399624472534937E-10</c:v>
                </c:pt>
                <c:pt idx="143">
                  <c:v>8.4349397900353842E-10</c:v>
                </c:pt>
                <c:pt idx="144">
                  <c:v>1.0926782463362219E-9</c:v>
                </c:pt>
                <c:pt idx="145">
                  <c:v>1.2988786996720053E-9</c:v>
                </c:pt>
                <c:pt idx="146">
                  <c:v>1.7713459109982693E-9</c:v>
                </c:pt>
                <c:pt idx="147">
                  <c:v>1.651047527916965E-9</c:v>
                </c:pt>
                <c:pt idx="148">
                  <c:v>1.6941968193258494E-9</c:v>
                </c:pt>
                <c:pt idx="149">
                  <c:v>1.6034244177158727E-9</c:v>
                </c:pt>
                <c:pt idx="150">
                  <c:v>1.3725396356700875E-9</c:v>
                </c:pt>
                <c:pt idx="151">
                  <c:v>1.2670241567455377E-9</c:v>
                </c:pt>
                <c:pt idx="152">
                  <c:v>1.1867310015958016E-9</c:v>
                </c:pt>
                <c:pt idx="153">
                  <c:v>6.6714181975459162E-10</c:v>
                </c:pt>
                <c:pt idx="154">
                  <c:v>7.4870356199208102E-10</c:v>
                </c:pt>
                <c:pt idx="155">
                  <c:v>5.2387221262807595E-10</c:v>
                </c:pt>
                <c:pt idx="156">
                  <c:v>3.9008245171035372E-10</c:v>
                </c:pt>
                <c:pt idx="157">
                  <c:v>5.9165112021959117E-10</c:v>
                </c:pt>
                <c:pt idx="158">
                  <c:v>1.1417445369818886E-9</c:v>
                </c:pt>
                <c:pt idx="159">
                  <c:v>9.4384147370013217E-10</c:v>
                </c:pt>
                <c:pt idx="160">
                  <c:v>1.2015407203903543E-9</c:v>
                </c:pt>
                <c:pt idx="161">
                  <c:v>1.6247234113945383E-9</c:v>
                </c:pt>
                <c:pt idx="162">
                  <c:v>1.4386749925485185E-9</c:v>
                </c:pt>
                <c:pt idx="163">
                  <c:v>1.5918572219030594E-9</c:v>
                </c:pt>
                <c:pt idx="164">
                  <c:v>9.8724262016196143E-10</c:v>
                </c:pt>
                <c:pt idx="165">
                  <c:v>1.1299909317185061E-9</c:v>
                </c:pt>
                <c:pt idx="166">
                  <c:v>8.0419874761037839E-10</c:v>
                </c:pt>
                <c:pt idx="167">
                  <c:v>7.8109382302518168E-10</c:v>
                </c:pt>
                <c:pt idx="168">
                  <c:v>6.1536190321128111E-10</c:v>
                </c:pt>
                <c:pt idx="169">
                  <c:v>4.6219061094440675E-10</c:v>
                </c:pt>
                <c:pt idx="170">
                  <c:v>5.7205838078089831E-10</c:v>
                </c:pt>
                <c:pt idx="171">
                  <c:v>6.9810481803193535E-10</c:v>
                </c:pt>
                <c:pt idx="172">
                  <c:v>9.7446972434147941E-10</c:v>
                </c:pt>
                <c:pt idx="173">
                  <c:v>1.2050230441244939E-9</c:v>
                </c:pt>
                <c:pt idx="174">
                  <c:v>1.5952711707983724E-9</c:v>
                </c:pt>
                <c:pt idx="175">
                  <c:v>1.6977940670544639E-9</c:v>
                </c:pt>
                <c:pt idx="176">
                  <c:v>1.4402430704623824E-9</c:v>
                </c:pt>
                <c:pt idx="177">
                  <c:v>1.3913471041695977E-9</c:v>
                </c:pt>
                <c:pt idx="178">
                  <c:v>1.2057686918576969E-9</c:v>
                </c:pt>
                <c:pt idx="179">
                  <c:v>8.2598497367757675E-10</c:v>
                </c:pt>
                <c:pt idx="180">
                  <c:v>7.3482802815064258E-10</c:v>
                </c:pt>
                <c:pt idx="181">
                  <c:v>6.3776761090705531E-10</c:v>
                </c:pt>
                <c:pt idx="182">
                  <c:v>6.7004653388578673E-10</c:v>
                </c:pt>
                <c:pt idx="183">
                  <c:v>1.0083446527339147E-9</c:v>
                </c:pt>
                <c:pt idx="184">
                  <c:v>1.0973095290764599E-9</c:v>
                </c:pt>
                <c:pt idx="185">
                  <c:v>1.3083403704289143E-9</c:v>
                </c:pt>
                <c:pt idx="186">
                  <c:v>1.697265885441396E-9</c:v>
                </c:pt>
                <c:pt idx="187">
                  <c:v>1.4356341142848506E-9</c:v>
                </c:pt>
                <c:pt idx="188">
                  <c:v>1.3924215628356816E-9</c:v>
                </c:pt>
                <c:pt idx="189">
                  <c:v>1.2120239465594956E-9</c:v>
                </c:pt>
                <c:pt idx="190">
                  <c:v>8.2894036266920884E-10</c:v>
                </c:pt>
                <c:pt idx="191">
                  <c:v>7.3450464180318186E-10</c:v>
                </c:pt>
                <c:pt idx="192">
                  <c:v>7.594177311519471E-10</c:v>
                </c:pt>
                <c:pt idx="193">
                  <c:v>8.5452868321424928E-10</c:v>
                </c:pt>
                <c:pt idx="194">
                  <c:v>9.1232763283363063E-10</c:v>
                </c:pt>
                <c:pt idx="195">
                  <c:v>1.2001787797540943E-9</c:v>
                </c:pt>
                <c:pt idx="196">
                  <c:v>1.3568499414175395E-9</c:v>
                </c:pt>
                <c:pt idx="197">
                  <c:v>1.5268347038213468E-9</c:v>
                </c:pt>
                <c:pt idx="198">
                  <c:v>1.1892210864449184E-9</c:v>
                </c:pt>
                <c:pt idx="199">
                  <c:v>9.4126631233066172E-10</c:v>
                </c:pt>
                <c:pt idx="200">
                  <c:v>8.038999560506938E-10</c:v>
                </c:pt>
                <c:pt idx="201">
                  <c:v>8.7519279305491394E-10</c:v>
                </c:pt>
                <c:pt idx="202">
                  <c:v>7.8087825302397075E-10</c:v>
                </c:pt>
                <c:pt idx="203">
                  <c:v>8.885324513284504E-10</c:v>
                </c:pt>
                <c:pt idx="204">
                  <c:v>1.3141750317063713E-9</c:v>
                </c:pt>
                <c:pt idx="205">
                  <c:v>1.2291659688158122E-9</c:v>
                </c:pt>
                <c:pt idx="206">
                  <c:v>1.2356863253236551E-9</c:v>
                </c:pt>
                <c:pt idx="207">
                  <c:v>1.2334273630179484E-9</c:v>
                </c:pt>
                <c:pt idx="208">
                  <c:v>8.256748839646005E-10</c:v>
                </c:pt>
                <c:pt idx="209">
                  <c:v>7.778421276744226E-10</c:v>
                </c:pt>
                <c:pt idx="210">
                  <c:v>7.8568912668963059E-10</c:v>
                </c:pt>
                <c:pt idx="211">
                  <c:v>8.1244694584761989E-10</c:v>
                </c:pt>
                <c:pt idx="212">
                  <c:v>9.597598666759731E-10</c:v>
                </c:pt>
                <c:pt idx="213">
                  <c:v>1.0551735328176656E-9</c:v>
                </c:pt>
                <c:pt idx="214">
                  <c:v>1.2399959688705191E-9</c:v>
                </c:pt>
                <c:pt idx="215">
                  <c:v>1.4900960000702086E-9</c:v>
                </c:pt>
                <c:pt idx="216">
                  <c:v>1.0658302141873083E-9</c:v>
                </c:pt>
                <c:pt idx="217">
                  <c:v>7.9541342743323046E-10</c:v>
                </c:pt>
                <c:pt idx="218">
                  <c:v>5.9660425064196846E-10</c:v>
                </c:pt>
                <c:pt idx="219">
                  <c:v>8.3354923268373773E-10</c:v>
                </c:pt>
                <c:pt idx="220">
                  <c:v>1.3418316913165115E-9</c:v>
                </c:pt>
                <c:pt idx="221">
                  <c:v>1.4011993556387222E-9</c:v>
                </c:pt>
                <c:pt idx="222">
                  <c:v>1.0612881772556283E-9</c:v>
                </c:pt>
                <c:pt idx="223">
                  <c:v>1.0474272509971986E-9</c:v>
                </c:pt>
                <c:pt idx="224">
                  <c:v>1.4206990266770481E-9</c:v>
                </c:pt>
                <c:pt idx="225">
                  <c:v>1.0511804634159144E-9</c:v>
                </c:pt>
                <c:pt idx="226">
                  <c:v>5.1879282890573023E-10</c:v>
                </c:pt>
                <c:pt idx="227">
                  <c:v>1.0936321522069128E-9</c:v>
                </c:pt>
                <c:pt idx="228">
                  <c:v>8.2090941309511864E-10</c:v>
                </c:pt>
                <c:pt idx="229">
                  <c:v>6.9914659228926993E-10</c:v>
                </c:pt>
                <c:pt idx="230">
                  <c:v>1.15672583458014E-9</c:v>
                </c:pt>
                <c:pt idx="231">
                  <c:v>1.0298869179372928E-9</c:v>
                </c:pt>
                <c:pt idx="232">
                  <c:v>9.1057855361927524E-10</c:v>
                </c:pt>
                <c:pt idx="233">
                  <c:v>8.8429022383158177E-10</c:v>
                </c:pt>
                <c:pt idx="234">
                  <c:v>1.0305105466261914E-9</c:v>
                </c:pt>
                <c:pt idx="235">
                  <c:v>1.4900076176378764E-9</c:v>
                </c:pt>
                <c:pt idx="236">
                  <c:v>1.0112794053580645E-9</c:v>
                </c:pt>
                <c:pt idx="237">
                  <c:v>1.1266967992687552E-9</c:v>
                </c:pt>
                <c:pt idx="238">
                  <c:v>9.8833179341851098E-10</c:v>
                </c:pt>
                <c:pt idx="239">
                  <c:v>1.0321226964290456E-9</c:v>
                </c:pt>
                <c:pt idx="240">
                  <c:v>1.0715822538803217E-9</c:v>
                </c:pt>
                <c:pt idx="241">
                  <c:v>1.2281026907547464E-9</c:v>
                </c:pt>
                <c:pt idx="242">
                  <c:v>1.2031066191469132E-9</c:v>
                </c:pt>
                <c:pt idx="243">
                  <c:v>1.219561096543176E-9</c:v>
                </c:pt>
                <c:pt idx="244">
                  <c:v>1.0802842767294595E-9</c:v>
                </c:pt>
                <c:pt idx="245">
                  <c:v>9.2815604954553478E-10</c:v>
                </c:pt>
                <c:pt idx="246">
                  <c:v>8.9571819063215891E-10</c:v>
                </c:pt>
                <c:pt idx="247">
                  <c:v>9.628025278549686E-10</c:v>
                </c:pt>
                <c:pt idx="248">
                  <c:v>1.198819596018366E-9</c:v>
                </c:pt>
                <c:pt idx="249">
                  <c:v>9.4094093711601878E-10</c:v>
                </c:pt>
                <c:pt idx="250">
                  <c:v>1.0009881604254005E-9</c:v>
                </c:pt>
                <c:pt idx="251">
                  <c:v>9.6109679029697303E-10</c:v>
                </c:pt>
                <c:pt idx="252">
                  <c:v>1.0691224448915669E-9</c:v>
                </c:pt>
                <c:pt idx="253">
                  <c:v>1.1190980031093692E-9</c:v>
                </c:pt>
                <c:pt idx="254">
                  <c:v>1.1334233477979489E-9</c:v>
                </c:pt>
                <c:pt idx="255">
                  <c:v>1.1140423249218198E-9</c:v>
                </c:pt>
                <c:pt idx="256">
                  <c:v>1.0687864507606516E-9</c:v>
                </c:pt>
                <c:pt idx="257">
                  <c:v>1.2776720310199463E-9</c:v>
                </c:pt>
                <c:pt idx="258">
                  <c:v>1.26507836887735E-9</c:v>
                </c:pt>
                <c:pt idx="259">
                  <c:v>1.3917811107629421E-9</c:v>
                </c:pt>
                <c:pt idx="260">
                  <c:v>1.4409012068869749E-9</c:v>
                </c:pt>
                <c:pt idx="261">
                  <c:v>1.3108817475847464E-9</c:v>
                </c:pt>
                <c:pt idx="262">
                  <c:v>1.1741275306286574E-9</c:v>
                </c:pt>
                <c:pt idx="263">
                  <c:v>9.274273972879108E-10</c:v>
                </c:pt>
                <c:pt idx="264">
                  <c:v>1.5355025886099111E-9</c:v>
                </c:pt>
                <c:pt idx="265">
                  <c:v>1.2660601679847949E-9</c:v>
                </c:pt>
                <c:pt idx="266">
                  <c:v>1.1494433343028749E-9</c:v>
                </c:pt>
                <c:pt idx="267">
                  <c:v>1.388131436258354E-9</c:v>
                </c:pt>
                <c:pt idx="268">
                  <c:v>1.489679381369914E-9</c:v>
                </c:pt>
                <c:pt idx="269">
                  <c:v>1.6292912494829698E-9</c:v>
                </c:pt>
                <c:pt idx="270">
                  <c:v>1.0927163301742279E-9</c:v>
                </c:pt>
                <c:pt idx="271">
                  <c:v>1.1935051713166409E-9</c:v>
                </c:pt>
                <c:pt idx="272">
                  <c:v>1.0436068076166043E-9</c:v>
                </c:pt>
                <c:pt idx="273">
                  <c:v>8.7366453274435788E-10</c:v>
                </c:pt>
                <c:pt idx="274">
                  <c:v>1.09757715323443E-9</c:v>
                </c:pt>
                <c:pt idx="275">
                  <c:v>1.2243571393479207E-9</c:v>
                </c:pt>
                <c:pt idx="276">
                  <c:v>1.4902169123089671E-9</c:v>
                </c:pt>
                <c:pt idx="277">
                  <c:v>8.5152555423061429E-10</c:v>
                </c:pt>
                <c:pt idx="278">
                  <c:v>1.2147265097914669E-9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8.26E-03</c:v>
                </c:pt>
                <c:pt idx="1">
                  <c:v>8.35E-03</c:v>
                </c:pt>
                <c:pt idx="2">
                  <c:v>8.43E-03</c:v>
                </c:pt>
                <c:pt idx="3">
                  <c:v>8.51E-03</c:v>
                </c:pt>
                <c:pt idx="4">
                  <c:v>8.60E-03</c:v>
                </c:pt>
                <c:pt idx="5">
                  <c:v>8.69E-03</c:v>
                </c:pt>
                <c:pt idx="6">
                  <c:v>8.77E-03</c:v>
                </c:pt>
                <c:pt idx="7">
                  <c:v>8.86E-03</c:v>
                </c:pt>
                <c:pt idx="8">
                  <c:v>8.95E-03</c:v>
                </c:pt>
                <c:pt idx="9">
                  <c:v>9.04E-03</c:v>
                </c:pt>
                <c:pt idx="10">
                  <c:v>9.13E-03</c:v>
                </c:pt>
                <c:pt idx="11">
                  <c:v>9.22E-03</c:v>
                </c:pt>
                <c:pt idx="12">
                  <c:v>9.31E-03</c:v>
                </c:pt>
                <c:pt idx="13">
                  <c:v>9.41E-03</c:v>
                </c:pt>
                <c:pt idx="14">
                  <c:v>9.50E-03</c:v>
                </c:pt>
                <c:pt idx="15">
                  <c:v>9.59E-03</c:v>
                </c:pt>
                <c:pt idx="16">
                  <c:v>9.69E-03</c:v>
                </c:pt>
                <c:pt idx="17">
                  <c:v>9.79E-03</c:v>
                </c:pt>
                <c:pt idx="18">
                  <c:v>9.89E-03</c:v>
                </c:pt>
                <c:pt idx="19">
                  <c:v>9.98E-03</c:v>
                </c:pt>
                <c:pt idx="20">
                  <c:v>1.01E-02</c:v>
                </c:pt>
                <c:pt idx="21">
                  <c:v>1.02E-02</c:v>
                </c:pt>
                <c:pt idx="22">
                  <c:v>1.03E-02</c:v>
                </c:pt>
                <c:pt idx="23">
                  <c:v>1.04E-02</c:v>
                </c:pt>
                <c:pt idx="24">
                  <c:v>1.05E-02</c:v>
                </c:pt>
                <c:pt idx="25">
                  <c:v>1.06E-02</c:v>
                </c:pt>
                <c:pt idx="26">
                  <c:v>1.07E-02</c:v>
                </c:pt>
                <c:pt idx="27">
                  <c:v>1.08E-02</c:v>
                </c:pt>
                <c:pt idx="28">
                  <c:v>1.09E-02</c:v>
                </c:pt>
                <c:pt idx="29">
                  <c:v>1.10E-02</c:v>
                </c:pt>
                <c:pt idx="30">
                  <c:v>1.11E-02</c:v>
                </c:pt>
                <c:pt idx="31">
                  <c:v>1.13E-02</c:v>
                </c:pt>
                <c:pt idx="32">
                  <c:v>1.14E-02</c:v>
                </c:pt>
                <c:pt idx="33">
                  <c:v>1.15E-02</c:v>
                </c:pt>
                <c:pt idx="34">
                  <c:v>1.16E-02</c:v>
                </c:pt>
                <c:pt idx="35">
                  <c:v>1.17E-02</c:v>
                </c:pt>
                <c:pt idx="36">
                  <c:v>1.18E-02</c:v>
                </c:pt>
                <c:pt idx="37">
                  <c:v>1.19E-02</c:v>
                </c:pt>
                <c:pt idx="38">
                  <c:v>1.21E-02</c:v>
                </c:pt>
                <c:pt idx="39">
                  <c:v>1.22E-02</c:v>
                </c:pt>
                <c:pt idx="40">
                  <c:v>1.23E-02</c:v>
                </c:pt>
                <c:pt idx="41">
                  <c:v>1.24E-02</c:v>
                </c:pt>
                <c:pt idx="42">
                  <c:v>1.26E-02</c:v>
                </c:pt>
                <c:pt idx="43">
                  <c:v>1.27E-02</c:v>
                </c:pt>
                <c:pt idx="44">
                  <c:v>1.28E-02</c:v>
                </c:pt>
                <c:pt idx="45">
                  <c:v>1.29E-02</c:v>
                </c:pt>
                <c:pt idx="46">
                  <c:v>1.31E-02</c:v>
                </c:pt>
                <c:pt idx="47">
                  <c:v>1.32E-02</c:v>
                </c:pt>
                <c:pt idx="48">
                  <c:v>1.33E-02</c:v>
                </c:pt>
                <c:pt idx="49">
                  <c:v>1.35E-02</c:v>
                </c:pt>
                <c:pt idx="50">
                  <c:v>1.36E-02</c:v>
                </c:pt>
                <c:pt idx="51">
                  <c:v>1.37E-02</c:v>
                </c:pt>
                <c:pt idx="52">
                  <c:v>1.39E-02</c:v>
                </c:pt>
                <c:pt idx="53">
                  <c:v>1.40E-02</c:v>
                </c:pt>
                <c:pt idx="54">
                  <c:v>1.41E-02</c:v>
                </c:pt>
                <c:pt idx="55">
                  <c:v>1.43E-02</c:v>
                </c:pt>
                <c:pt idx="56">
                  <c:v>1.44E-02</c:v>
                </c:pt>
                <c:pt idx="57">
                  <c:v>1.46E-02</c:v>
                </c:pt>
                <c:pt idx="58">
                  <c:v>1.47E-02</c:v>
                </c:pt>
                <c:pt idx="59">
                  <c:v>1.49E-02</c:v>
                </c:pt>
                <c:pt idx="60">
                  <c:v>1.50E-02</c:v>
                </c:pt>
                <c:pt idx="61">
                  <c:v>1.52E-02</c:v>
                </c:pt>
                <c:pt idx="62">
                  <c:v>1.53E-02</c:v>
                </c:pt>
                <c:pt idx="63">
                  <c:v>1.55E-02</c:v>
                </c:pt>
                <c:pt idx="64">
                  <c:v>1.56E-02</c:v>
                </c:pt>
                <c:pt idx="65">
                  <c:v>1.58E-02</c:v>
                </c:pt>
                <c:pt idx="66">
                  <c:v>1.59E-02</c:v>
                </c:pt>
                <c:pt idx="67">
                  <c:v>1.61E-02</c:v>
                </c:pt>
                <c:pt idx="68">
                  <c:v>1.63E-02</c:v>
                </c:pt>
                <c:pt idx="69">
                  <c:v>1.64E-02</c:v>
                </c:pt>
                <c:pt idx="70">
                  <c:v>1.66E-02</c:v>
                </c:pt>
                <c:pt idx="71">
                  <c:v>1.68E-02</c:v>
                </c:pt>
                <c:pt idx="72">
                  <c:v>1.69E-02</c:v>
                </c:pt>
                <c:pt idx="73">
                  <c:v>1.71E-02</c:v>
                </c:pt>
                <c:pt idx="74">
                  <c:v>1.73E-02</c:v>
                </c:pt>
                <c:pt idx="75">
                  <c:v>1.74E-02</c:v>
                </c:pt>
                <c:pt idx="76">
                  <c:v>1.76E-02</c:v>
                </c:pt>
                <c:pt idx="77">
                  <c:v>1.78E-02</c:v>
                </c:pt>
                <c:pt idx="78">
                  <c:v>1.80E-02</c:v>
                </c:pt>
                <c:pt idx="79">
                  <c:v>1.81E-02</c:v>
                </c:pt>
                <c:pt idx="80">
                  <c:v>1.83E-02</c:v>
                </c:pt>
                <c:pt idx="81">
                  <c:v>1.85E-02</c:v>
                </c:pt>
                <c:pt idx="82">
                  <c:v>1.87E-02</c:v>
                </c:pt>
                <c:pt idx="83">
                  <c:v>1.89E-02</c:v>
                </c:pt>
                <c:pt idx="84">
                  <c:v>1.91E-02</c:v>
                </c:pt>
                <c:pt idx="85">
                  <c:v>1.93E-02</c:v>
                </c:pt>
                <c:pt idx="86">
                  <c:v>1.94E-02</c:v>
                </c:pt>
                <c:pt idx="87">
                  <c:v>1.96E-02</c:v>
                </c:pt>
                <c:pt idx="88">
                  <c:v>1.98E-02</c:v>
                </c:pt>
                <c:pt idx="89">
                  <c:v>2.00E-02</c:v>
                </c:pt>
                <c:pt idx="90">
                  <c:v>2.02E-02</c:v>
                </c:pt>
                <c:pt idx="91">
                  <c:v>2.04E-02</c:v>
                </c:pt>
                <c:pt idx="92">
                  <c:v>2.06E-02</c:v>
                </c:pt>
                <c:pt idx="93">
                  <c:v>2.08E-02</c:v>
                </c:pt>
                <c:pt idx="94">
                  <c:v>2.11E-02</c:v>
                </c:pt>
                <c:pt idx="95">
                  <c:v>2.13E-02</c:v>
                </c:pt>
                <c:pt idx="96">
                  <c:v>2.15E-02</c:v>
                </c:pt>
                <c:pt idx="97">
                  <c:v>2.17E-02</c:v>
                </c:pt>
                <c:pt idx="98">
                  <c:v>2.19E-02</c:v>
                </c:pt>
                <c:pt idx="99">
                  <c:v>2.21E-02</c:v>
                </c:pt>
                <c:pt idx="100">
                  <c:v>2.24E-02</c:v>
                </c:pt>
                <c:pt idx="101">
                  <c:v>2.26E-02</c:v>
                </c:pt>
                <c:pt idx="102">
                  <c:v>2.28E-02</c:v>
                </c:pt>
                <c:pt idx="103">
                  <c:v>2.30E-02</c:v>
                </c:pt>
                <c:pt idx="104">
                  <c:v>2.33E-02</c:v>
                </c:pt>
                <c:pt idx="105">
                  <c:v>2.35E-02</c:v>
                </c:pt>
                <c:pt idx="106">
                  <c:v>2.37E-02</c:v>
                </c:pt>
                <c:pt idx="107">
                  <c:v>2.40E-02</c:v>
                </c:pt>
                <c:pt idx="108">
                  <c:v>2.42E-02</c:v>
                </c:pt>
                <c:pt idx="109">
                  <c:v>2.44E-02</c:v>
                </c:pt>
                <c:pt idx="110">
                  <c:v>2.47E-02</c:v>
                </c:pt>
                <c:pt idx="111">
                  <c:v>2.49E-02</c:v>
                </c:pt>
                <c:pt idx="112">
                  <c:v>2.52E-02</c:v>
                </c:pt>
                <c:pt idx="113">
                  <c:v>2.54E-02</c:v>
                </c:pt>
                <c:pt idx="114">
                  <c:v>2.57E-02</c:v>
                </c:pt>
                <c:pt idx="115">
                  <c:v>2.60E-02</c:v>
                </c:pt>
                <c:pt idx="116">
                  <c:v>2.62E-02</c:v>
                </c:pt>
                <c:pt idx="117">
                  <c:v>2.65E-02</c:v>
                </c:pt>
                <c:pt idx="118">
                  <c:v>2.67E-02</c:v>
                </c:pt>
                <c:pt idx="119">
                  <c:v>2.70E-02</c:v>
                </c:pt>
                <c:pt idx="120">
                  <c:v>2.73E-02</c:v>
                </c:pt>
                <c:pt idx="121">
                  <c:v>2.75E-02</c:v>
                </c:pt>
                <c:pt idx="122">
                  <c:v>2.78E-02</c:v>
                </c:pt>
                <c:pt idx="123">
                  <c:v>2.81E-02</c:v>
                </c:pt>
                <c:pt idx="124">
                  <c:v>2.84E-02</c:v>
                </c:pt>
                <c:pt idx="125">
                  <c:v>2.87E-02</c:v>
                </c:pt>
                <c:pt idx="126">
                  <c:v>2.90E-02</c:v>
                </c:pt>
                <c:pt idx="127">
                  <c:v>2.92E-02</c:v>
                </c:pt>
                <c:pt idx="128">
                  <c:v>2.95E-02</c:v>
                </c:pt>
                <c:pt idx="129">
                  <c:v>2.98E-02</c:v>
                </c:pt>
                <c:pt idx="130">
                  <c:v>3.01E-02</c:v>
                </c:pt>
                <c:pt idx="131">
                  <c:v>3.04E-02</c:v>
                </c:pt>
                <c:pt idx="132">
                  <c:v>3.07E-02</c:v>
                </c:pt>
                <c:pt idx="133">
                  <c:v>3.10E-02</c:v>
                </c:pt>
                <c:pt idx="134">
                  <c:v>3.14E-02</c:v>
                </c:pt>
                <c:pt idx="135">
                  <c:v>3.17E-02</c:v>
                </c:pt>
                <c:pt idx="136">
                  <c:v>3.20E-02</c:v>
                </c:pt>
                <c:pt idx="137">
                  <c:v>3.23E-02</c:v>
                </c:pt>
                <c:pt idx="138">
                  <c:v>3.26E-02</c:v>
                </c:pt>
                <c:pt idx="139">
                  <c:v>3.30E-02</c:v>
                </c:pt>
                <c:pt idx="140">
                  <c:v>3.33E-02</c:v>
                </c:pt>
                <c:pt idx="141">
                  <c:v>3.36E-02</c:v>
                </c:pt>
                <c:pt idx="142">
                  <c:v>3.40E-02</c:v>
                </c:pt>
                <c:pt idx="143">
                  <c:v>3.43E-02</c:v>
                </c:pt>
                <c:pt idx="144">
                  <c:v>3.46E-02</c:v>
                </c:pt>
                <c:pt idx="145">
                  <c:v>3.50E-02</c:v>
                </c:pt>
                <c:pt idx="146">
                  <c:v>3.53E-02</c:v>
                </c:pt>
                <c:pt idx="147">
                  <c:v>3.57E-02</c:v>
                </c:pt>
                <c:pt idx="148">
                  <c:v>3.60E-02</c:v>
                </c:pt>
                <c:pt idx="149">
                  <c:v>3.64E-02</c:v>
                </c:pt>
                <c:pt idx="150">
                  <c:v>3.68E-02</c:v>
                </c:pt>
                <c:pt idx="151">
                  <c:v>3.71E-02</c:v>
                </c:pt>
                <c:pt idx="152">
                  <c:v>3.75E-02</c:v>
                </c:pt>
                <c:pt idx="153">
                  <c:v>3.79E-02</c:v>
                </c:pt>
                <c:pt idx="154">
                  <c:v>3.83E-02</c:v>
                </c:pt>
                <c:pt idx="155">
                  <c:v>3.86E-02</c:v>
                </c:pt>
                <c:pt idx="156">
                  <c:v>3.90E-02</c:v>
                </c:pt>
                <c:pt idx="157">
                  <c:v>3.94E-02</c:v>
                </c:pt>
                <c:pt idx="158">
                  <c:v>3.98E-02</c:v>
                </c:pt>
                <c:pt idx="159">
                  <c:v>4.02E-02</c:v>
                </c:pt>
                <c:pt idx="160">
                  <c:v>4.06E-02</c:v>
                </c:pt>
                <c:pt idx="161">
                  <c:v>4.10E-02</c:v>
                </c:pt>
                <c:pt idx="162">
                  <c:v>4.14E-02</c:v>
                </c:pt>
                <c:pt idx="163">
                  <c:v>4.18E-02</c:v>
                </c:pt>
                <c:pt idx="164">
                  <c:v>4.23E-02</c:v>
                </c:pt>
                <c:pt idx="165">
                  <c:v>4.27E-02</c:v>
                </c:pt>
                <c:pt idx="166">
                  <c:v>4.31E-02</c:v>
                </c:pt>
                <c:pt idx="167">
                  <c:v>4.35E-02</c:v>
                </c:pt>
                <c:pt idx="168">
                  <c:v>4.40E-02</c:v>
                </c:pt>
                <c:pt idx="169">
                  <c:v>4.44E-02</c:v>
                </c:pt>
                <c:pt idx="170">
                  <c:v>4.49E-02</c:v>
                </c:pt>
                <c:pt idx="171">
                  <c:v>4.53E-02</c:v>
                </c:pt>
                <c:pt idx="172">
                  <c:v>4.58E-02</c:v>
                </c:pt>
                <c:pt idx="173">
                  <c:v>4.62E-02</c:v>
                </c:pt>
                <c:pt idx="174">
                  <c:v>4.67E-02</c:v>
                </c:pt>
                <c:pt idx="175">
                  <c:v>4.71E-02</c:v>
                </c:pt>
                <c:pt idx="176">
                  <c:v>4.76E-02</c:v>
                </c:pt>
                <c:pt idx="177">
                  <c:v>4.81E-02</c:v>
                </c:pt>
                <c:pt idx="178">
                  <c:v>4.86E-02</c:v>
                </c:pt>
                <c:pt idx="179">
                  <c:v>4.91E-02</c:v>
                </c:pt>
                <c:pt idx="180">
                  <c:v>4.96E-02</c:v>
                </c:pt>
                <c:pt idx="181">
                  <c:v>5.00E-02</c:v>
                </c:pt>
                <c:pt idx="182">
                  <c:v>5.05E-02</c:v>
                </c:pt>
                <c:pt idx="183">
                  <c:v>5.11E-02</c:v>
                </c:pt>
                <c:pt idx="184">
                  <c:v>5.16E-02</c:v>
                </c:pt>
                <c:pt idx="185">
                  <c:v>5.21E-02</c:v>
                </c:pt>
                <c:pt idx="186">
                  <c:v>5.26E-02</c:v>
                </c:pt>
                <c:pt idx="187">
                  <c:v>5.31E-02</c:v>
                </c:pt>
                <c:pt idx="188">
                  <c:v>5.37E-02</c:v>
                </c:pt>
                <c:pt idx="189">
                  <c:v>5.42E-02</c:v>
                </c:pt>
                <c:pt idx="190">
                  <c:v>5.47E-02</c:v>
                </c:pt>
                <c:pt idx="191">
                  <c:v>5.53E-02</c:v>
                </c:pt>
                <c:pt idx="192">
                  <c:v>5.58E-02</c:v>
                </c:pt>
                <c:pt idx="193">
                  <c:v>5.64E-02</c:v>
                </c:pt>
                <c:pt idx="194">
                  <c:v>5.70E-02</c:v>
                </c:pt>
                <c:pt idx="195">
                  <c:v>5.75E-02</c:v>
                </c:pt>
                <c:pt idx="196">
                  <c:v>5.81E-02</c:v>
                </c:pt>
                <c:pt idx="197">
                  <c:v>5.87E-02</c:v>
                </c:pt>
                <c:pt idx="198">
                  <c:v>5.93E-02</c:v>
                </c:pt>
                <c:pt idx="199">
                  <c:v>5.99E-02</c:v>
                </c:pt>
                <c:pt idx="200">
                  <c:v>6.05E-02</c:v>
                </c:pt>
                <c:pt idx="201">
                  <c:v>6.11E-02</c:v>
                </c:pt>
                <c:pt idx="202">
                  <c:v>6.17E-02</c:v>
                </c:pt>
                <c:pt idx="203">
                  <c:v>6.23E-02</c:v>
                </c:pt>
                <c:pt idx="204">
                  <c:v>6.29E-02</c:v>
                </c:pt>
                <c:pt idx="205">
                  <c:v>6.35E-02</c:v>
                </c:pt>
                <c:pt idx="206">
                  <c:v>6.42E-02</c:v>
                </c:pt>
                <c:pt idx="207">
                  <c:v>6.48E-02</c:v>
                </c:pt>
                <c:pt idx="208">
                  <c:v>6.55E-02</c:v>
                </c:pt>
                <c:pt idx="209">
                  <c:v>6.61E-02</c:v>
                </c:pt>
                <c:pt idx="210">
                  <c:v>6.68E-02</c:v>
                </c:pt>
                <c:pt idx="211">
                  <c:v>6.75E-02</c:v>
                </c:pt>
                <c:pt idx="212">
                  <c:v>6.81E-02</c:v>
                </c:pt>
                <c:pt idx="213">
                  <c:v>6.88E-02</c:v>
                </c:pt>
                <c:pt idx="214">
                  <c:v>6.95E-02</c:v>
                </c:pt>
                <c:pt idx="215">
                  <c:v>7.02E-02</c:v>
                </c:pt>
                <c:pt idx="216">
                  <c:v>7.09E-02</c:v>
                </c:pt>
                <c:pt idx="217">
                  <c:v>7.16E-02</c:v>
                </c:pt>
                <c:pt idx="218">
                  <c:v>7.23E-02</c:v>
                </c:pt>
                <c:pt idx="219">
                  <c:v>7.30E-02</c:v>
                </c:pt>
                <c:pt idx="220">
                  <c:v>7.38E-02</c:v>
                </c:pt>
                <c:pt idx="221">
                  <c:v>7.45E-02</c:v>
                </c:pt>
                <c:pt idx="222">
                  <c:v>7.53E-02</c:v>
                </c:pt>
                <c:pt idx="223">
                  <c:v>7.60E-02</c:v>
                </c:pt>
                <c:pt idx="224">
                  <c:v>7.68E-02</c:v>
                </c:pt>
                <c:pt idx="225">
                  <c:v>7.75E-02</c:v>
                </c:pt>
                <c:pt idx="226">
                  <c:v>7.83E-02</c:v>
                </c:pt>
                <c:pt idx="227">
                  <c:v>7.91E-02</c:v>
                </c:pt>
                <c:pt idx="228">
                  <c:v>7.99E-02</c:v>
                </c:pt>
                <c:pt idx="229">
                  <c:v>8.07E-02</c:v>
                </c:pt>
                <c:pt idx="230">
                  <c:v>8.15E-02</c:v>
                </c:pt>
                <c:pt idx="231">
                  <c:v>8.23E-02</c:v>
                </c:pt>
                <c:pt idx="232">
                  <c:v>8.31E-02</c:v>
                </c:pt>
                <c:pt idx="233">
                  <c:v>8.40E-02</c:v>
                </c:pt>
                <c:pt idx="234">
                  <c:v>8.48E-02</c:v>
                </c:pt>
                <c:pt idx="235">
                  <c:v>8.57E-02</c:v>
                </c:pt>
                <c:pt idx="236">
                  <c:v>8.65E-02</c:v>
                </c:pt>
                <c:pt idx="237">
                  <c:v>8.74E-02</c:v>
                </c:pt>
                <c:pt idx="238">
                  <c:v>8.82E-02</c:v>
                </c:pt>
                <c:pt idx="239">
                  <c:v>8.91E-02</c:v>
                </c:pt>
                <c:pt idx="240">
                  <c:v>9.00E-02</c:v>
                </c:pt>
                <c:pt idx="241">
                  <c:v>9.09E-02</c:v>
                </c:pt>
                <c:pt idx="242">
                  <c:v>9.18E-02</c:v>
                </c:pt>
                <c:pt idx="243">
                  <c:v>9.27E-02</c:v>
                </c:pt>
                <c:pt idx="244">
                  <c:v>9.37E-02</c:v>
                </c:pt>
                <c:pt idx="245">
                  <c:v>9.46E-02</c:v>
                </c:pt>
                <c:pt idx="246">
                  <c:v>9.56E-02</c:v>
                </c:pt>
                <c:pt idx="247">
                  <c:v>9.65E-02</c:v>
                </c:pt>
                <c:pt idx="248">
                  <c:v>9.75E-02</c:v>
                </c:pt>
                <c:pt idx="249">
                  <c:v>9.85E-02</c:v>
                </c:pt>
                <c:pt idx="250">
                  <c:v>9.94E-02</c:v>
                </c:pt>
                <c:pt idx="251">
                  <c:v>1.00E-01</c:v>
                </c:pt>
                <c:pt idx="252">
                  <c:v>1.01E-01</c:v>
                </c:pt>
                <c:pt idx="253">
                  <c:v>1.02E-01</c:v>
                </c:pt>
                <c:pt idx="254">
                  <c:v>1.03E-01</c:v>
                </c:pt>
                <c:pt idx="255">
                  <c:v>1.05E-01</c:v>
                </c:pt>
                <c:pt idx="256">
                  <c:v>1.06E-01</c:v>
                </c:pt>
                <c:pt idx="257">
                  <c:v>1.07E-01</c:v>
                </c:pt>
                <c:pt idx="258">
                  <c:v>1.08E-01</c:v>
                </c:pt>
                <c:pt idx="259">
                  <c:v>1.09E-01</c:v>
                </c:pt>
                <c:pt idx="260">
                  <c:v>1.10E-01</c:v>
                </c:pt>
                <c:pt idx="261">
                  <c:v>1.11E-01</c:v>
                </c:pt>
                <c:pt idx="262">
                  <c:v>1.12E-01</c:v>
                </c:pt>
                <c:pt idx="263">
                  <c:v>1.13E-01</c:v>
                </c:pt>
                <c:pt idx="264">
                  <c:v>1.14E-01</c:v>
                </c:pt>
                <c:pt idx="265">
                  <c:v>1.15E-01</c:v>
                </c:pt>
                <c:pt idx="266">
                  <c:v>1.17E-01</c:v>
                </c:pt>
                <c:pt idx="267">
                  <c:v>1.18E-01</c:v>
                </c:pt>
                <c:pt idx="268">
                  <c:v>1.19E-01</c:v>
                </c:pt>
                <c:pt idx="269">
                  <c:v>1.20E-01</c:v>
                </c:pt>
                <c:pt idx="270">
                  <c:v>1.21E-01</c:v>
                </c:pt>
                <c:pt idx="271">
                  <c:v>1.23E-01</c:v>
                </c:pt>
                <c:pt idx="272">
                  <c:v>1.24E-01</c:v>
                </c:pt>
                <c:pt idx="273">
                  <c:v>1.25E-01</c:v>
                </c:pt>
                <c:pt idx="274">
                  <c:v>1.26E-01</c:v>
                </c:pt>
                <c:pt idx="275">
                  <c:v>1.28E-01</c:v>
                </c:pt>
                <c:pt idx="276">
                  <c:v>1.29E-01</c:v>
                </c:pt>
                <c:pt idx="277">
                  <c:v>1.30E-01</c:v>
                </c:pt>
                <c:pt idx="278">
                  <c:v>1.31E-01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4.6137244392074584E-9</c:v>
                </c:pt>
                <c:pt idx="1">
                  <c:v>4.7974993545385004E-9</c:v>
                </c:pt>
                <c:pt idx="2">
                  <c:v>4.9880387578203008E-9</c:v>
                </c:pt>
                <c:pt idx="3">
                  <c:v>5.185423009147743E-9</c:v>
                </c:pt>
                <c:pt idx="4">
                  <c:v>5.3896748647116971E-9</c:v>
                </c:pt>
                <c:pt idx="5">
                  <c:v>5.6007202635937308E-9</c:v>
                </c:pt>
                <c:pt idx="6">
                  <c:v>5.818329005590143E-9</c:v>
                </c:pt>
                <c:pt idx="7">
                  <c:v>6.0420237289869065E-9</c:v>
                </c:pt>
                <c:pt idx="8">
                  <c:v>6.2709250296169334E-9</c:v>
                </c:pt>
                <c:pt idx="9">
                  <c:v>6.5034747192791981E-9</c:v>
                </c:pt>
                <c:pt idx="10">
                  <c:v>6.7369195470072417E-9</c:v>
                </c:pt>
                <c:pt idx="11">
                  <c:v>6.9663155985148657E-9</c:v>
                </c:pt>
                <c:pt idx="12">
                  <c:v>7.1826356424979195E-9</c:v>
                </c:pt>
                <c:pt idx="13">
                  <c:v>7.3697828363249511E-9</c:v>
                </c:pt>
                <c:pt idx="14">
                  <c:v>7.5028928029596092E-9</c:v>
                </c:pt>
                <c:pt idx="15">
                  <c:v>7.5587558232422829E-9</c:v>
                </c:pt>
                <c:pt idx="16">
                  <c:v>7.5537036848561949E-9</c:v>
                </c:pt>
                <c:pt idx="17">
                  <c:v>7.5819807954725545E-9</c:v>
                </c:pt>
                <c:pt idx="18">
                  <c:v>7.7259154074443032E-9</c:v>
                </c:pt>
                <c:pt idx="19">
                  <c:v>7.8012175457959229E-9</c:v>
                </c:pt>
                <c:pt idx="20">
                  <c:v>7.3673994571188568E-9</c:v>
                </c:pt>
                <c:pt idx="21">
                  <c:v>6.32493150585135E-9</c:v>
                </c:pt>
                <c:pt idx="22">
                  <c:v>5.1859510992140943E-9</c:v>
                </c:pt>
                <c:pt idx="23">
                  <c:v>4.4258458993820348E-9</c:v>
                </c:pt>
                <c:pt idx="24">
                  <c:v>4.0507225755910005E-9</c:v>
                </c:pt>
                <c:pt idx="25">
                  <c:v>3.8642560203261806E-9</c:v>
                </c:pt>
                <c:pt idx="26">
                  <c:v>3.7328848755937324E-9</c:v>
                </c:pt>
                <c:pt idx="27">
                  <c:v>3.6040887096067587E-9</c:v>
                </c:pt>
                <c:pt idx="28">
                  <c:v>3.4583766394399385E-9</c:v>
                </c:pt>
                <c:pt idx="29">
                  <c:v>3.2898434416310094E-9</c:v>
                </c:pt>
                <c:pt idx="30">
                  <c:v>3.0967631838382699E-9</c:v>
                </c:pt>
                <c:pt idx="31">
                  <c:v>2.8799424076033447E-9</c:v>
                </c:pt>
                <c:pt idx="32">
                  <c:v>2.6419690152112148E-9</c:v>
                </c:pt>
                <c:pt idx="33">
                  <c:v>2.3868559666063941E-9</c:v>
                </c:pt>
                <c:pt idx="34">
                  <c:v>2.1198016541588955E-9</c:v>
                </c:pt>
                <c:pt idx="35">
                  <c:v>1.846958388198977E-9</c:v>
                </c:pt>
                <c:pt idx="36">
                  <c:v>1.5751652158392241E-9</c:v>
                </c:pt>
                <c:pt idx="37">
                  <c:v>1.3116336022317489E-9</c:v>
                </c:pt>
                <c:pt idx="38">
                  <c:v>1.0635942888025786E-9</c:v>
                </c:pt>
                <c:pt idx="39">
                  <c:v>8.3792652342770848E-10</c:v>
                </c:pt>
                <c:pt idx="40">
                  <c:v>6.4079801531606204E-10</c:v>
                </c:pt>
                <c:pt idx="41">
                  <c:v>4.773455117397224E-10</c:v>
                </c:pt>
                <c:pt idx="42">
                  <c:v>3.5142216849679576E-10</c:v>
                </c:pt>
                <c:pt idx="43">
                  <c:v>2.6543000525415942E-10</c:v>
                </c:pt>
                <c:pt idx="44">
                  <c:v>2.2024549116183388E-10</c:v>
                </c:pt>
                <c:pt idx="45">
                  <c:v>2.1508284998897976E-10</c:v>
                </c:pt>
                <c:pt idx="46">
                  <c:v>2.4827381508105062E-10</c:v>
                </c:pt>
                <c:pt idx="47">
                  <c:v>3.1628152398752032E-10</c:v>
                </c:pt>
                <c:pt idx="48">
                  <c:v>4.1474370762719668E-10</c:v>
                </c:pt>
                <c:pt idx="49">
                  <c:v>5.3846218507157628E-10</c:v>
                </c:pt>
                <c:pt idx="50">
                  <c:v>6.8162948670559517E-10</c:v>
                </c:pt>
                <c:pt idx="51">
                  <c:v>8.3804850866329081E-10</c:v>
                </c:pt>
                <c:pt idx="52">
                  <c:v>1.0013374619207256E-9</c:v>
                </c:pt>
                <c:pt idx="53">
                  <c:v>1.1651166840549162E-9</c:v>
                </c:pt>
                <c:pt idx="54">
                  <c:v>1.3231773106537128E-9</c:v>
                </c:pt>
                <c:pt idx="55">
                  <c:v>1.4696341295222068E-9</c:v>
                </c:pt>
                <c:pt idx="56">
                  <c:v>1.5990660888671899E-9</c:v>
                </c:pt>
                <c:pt idx="57">
                  <c:v>1.7066480264342734E-9</c:v>
                </c:pt>
                <c:pt idx="58">
                  <c:v>1.7882763572068442E-9</c:v>
                </c:pt>
                <c:pt idx="59">
                  <c:v>1.8406899097461422E-9</c:v>
                </c:pt>
                <c:pt idx="60">
                  <c:v>1.8615850380232739E-9</c:v>
                </c:pt>
                <c:pt idx="61">
                  <c:v>1.8497217656601513E-9</c:v>
                </c:pt>
                <c:pt idx="62">
                  <c:v>1.8050152950524963E-9</c:v>
                </c:pt>
                <c:pt idx="63">
                  <c:v>1.7286050058048964E-9</c:v>
                </c:pt>
                <c:pt idx="64">
                  <c:v>1.6228913900699335E-9</c:v>
                </c:pt>
                <c:pt idx="65">
                  <c:v>1.4915305568283479E-9</c:v>
                </c:pt>
                <c:pt idx="66">
                  <c:v>1.3393762968755329E-9</c:v>
                </c:pt>
                <c:pt idx="67">
                  <c:v>1.1723614829736598E-9</c:v>
                </c:pt>
                <c:pt idx="68">
                  <c:v>9.9731387216831978E-10</c:v>
                </c:pt>
                <c:pt idx="69">
                  <c:v>8.2170608909026997E-10</c:v>
                </c:pt>
                <c:pt idx="70">
                  <c:v>6.5334534321107269E-10</c:v>
                </c:pt>
                <c:pt idx="71">
                  <c:v>5.0001468293435578E-10</c:v>
                </c:pt>
                <c:pt idx="72">
                  <c:v>3.6908355067716275E-10</c:v>
                </c:pt>
                <c:pt idx="73">
                  <c:v>2.6711023573663668E-10</c:v>
                </c:pt>
                <c:pt idx="74">
                  <c:v>1.9946179721639613E-10</c:v>
                </c:pt>
                <c:pt idx="75">
                  <c:v>1.6997762544201816E-10</c:v>
                </c:pt>
                <c:pt idx="76">
                  <c:v>1.807008816913652E-10</c:v>
                </c:pt>
                <c:pt idx="77">
                  <c:v>2.3169783943574881E-10</c:v>
                </c:pt>
                <c:pt idx="78">
                  <c:v>3.2097922276019965E-10</c:v>
                </c:pt>
                <c:pt idx="79">
                  <c:v>4.4453080343268804E-10</c:v>
                </c:pt>
                <c:pt idx="80">
                  <c:v>5.9645362988053897E-10</c:v>
                </c:pt>
                <c:pt idx="81">
                  <c:v>7.6920804301043764E-10</c:v>
                </c:pt>
                <c:pt idx="82">
                  <c:v>9.5395057065723579E-10</c:v>
                </c:pt>
                <c:pt idx="83">
                  <c:v>1.1409490331836311E-9</c:v>
                </c:pt>
                <c:pt idx="84">
                  <c:v>1.3200585993679195E-9</c:v>
                </c:pt>
                <c:pt idx="85">
                  <c:v>1.4812397251213065E-9</c:v>
                </c:pt>
                <c:pt idx="86">
                  <c:v>1.6150974188277709E-9</c:v>
                </c:pt>
                <c:pt idx="87">
                  <c:v>1.7134196666241223E-9</c:v>
                </c:pt>
                <c:pt idx="88">
                  <c:v>1.769690855285664E-9</c:v>
                </c:pt>
                <c:pt idx="89">
                  <c:v>1.7795536715141301E-9</c:v>
                </c:pt>
                <c:pt idx="90">
                  <c:v>1.7411905749560918E-9</c:v>
                </c:pt>
                <c:pt idx="91">
                  <c:v>1.655594241977472E-9</c:v>
                </c:pt>
                <c:pt idx="92">
                  <c:v>1.5266963044847121E-9</c:v>
                </c:pt>
                <c:pt idx="93">
                  <c:v>1.3613263438769163E-9</c:v>
                </c:pt>
                <c:pt idx="94">
                  <c:v>1.1689794106159725E-9</c:v>
                </c:pt>
                <c:pt idx="95">
                  <c:v>9.6138092654282639E-10</c:v>
                </c:pt>
                <c:pt idx="96">
                  <c:v>7.5185266161344546E-10</c:v>
                </c:pt>
                <c:pt idx="97">
                  <c:v>5.54501684891962E-10</c:v>
                </c:pt>
                <c:pt idx="98">
                  <c:v>3.8327406571228582E-10</c:v>
                </c:pt>
                <c:pt idx="99">
                  <c:v>2.5093418004978804E-10</c:v>
                </c:pt>
                <c:pt idx="100">
                  <c:v>1.6804597700037518E-10</c:v>
                </c:pt>
                <c:pt idx="101">
                  <c:v>1.4204183360333199E-10</c:v>
                </c:pt>
                <c:pt idx="102">
                  <c:v>1.7646573132916439E-10</c:v>
                </c:pt>
                <c:pt idx="103">
                  <c:v>2.704696033469482E-10</c:v>
                </c:pt>
                <c:pt idx="104">
                  <c:v>4.1862530096069437E-10</c:v>
                </c:pt>
                <c:pt idx="105">
                  <c:v>6.110913691698249E-10</c:v>
                </c:pt>
                <c:pt idx="106">
                  <c:v>8.3414613149683583E-10</c:v>
                </c:pt>
                <c:pt idx="107">
                  <c:v>1.0710691481046387E-9</c:v>
                </c:pt>
                <c:pt idx="108">
                  <c:v>1.3033243247482715E-9</c:v>
                </c:pt>
                <c:pt idx="109">
                  <c:v>1.5119716431561829E-9</c:v>
                </c:pt>
                <c:pt idx="110">
                  <c:v>1.6792118237066586E-9</c:v>
                </c:pt>
                <c:pt idx="111">
                  <c:v>1.7899500331925835E-9</c:v>
                </c:pt>
                <c:pt idx="112">
                  <c:v>1.83325182396859E-9</c:v>
                </c:pt>
                <c:pt idx="113">
                  <c:v>1.8035581438242829E-9</c:v>
                </c:pt>
                <c:pt idx="114">
                  <c:v>1.7015284783676834E-9</c:v>
                </c:pt>
                <c:pt idx="115">
                  <c:v>1.5343945599580241E-9</c:v>
                </c:pt>
                <c:pt idx="116">
                  <c:v>1.3157341891761867E-9</c:v>
                </c:pt>
                <c:pt idx="117">
                  <c:v>1.0646172062988349E-9</c:v>
                </c:pt>
                <c:pt idx="118">
                  <c:v>8.0413305158001458E-10</c:v>
                </c:pt>
                <c:pt idx="119">
                  <c:v>5.5937811556962755E-10</c:v>
                </c:pt>
                <c:pt idx="120">
                  <c:v>3.5505415993112129E-10</c:v>
                </c:pt>
                <c:pt idx="121">
                  <c:v>2.128964591432213E-10</c:v>
                </c:pt>
                <c:pt idx="122">
                  <c:v>1.4920048647242326E-10</c:v>
                </c:pt>
                <c:pt idx="123">
                  <c:v>1.7273820464091837E-10</c:v>
                </c:pt>
                <c:pt idx="124">
                  <c:v>2.8334183668298796E-10</c:v>
                </c:pt>
                <c:pt idx="125">
                  <c:v>4.7138196181765477E-10</c:v>
                </c:pt>
                <c:pt idx="126">
                  <c:v>7.1828135517898665E-10</c:v>
                </c:pt>
                <c:pt idx="127">
                  <c:v>9.9809487253562393E-10</c:v>
                </c:pt>
                <c:pt idx="128">
                  <c:v>1.2800611726863973E-9</c:v>
                </c:pt>
                <c:pt idx="129">
                  <c:v>1.5319080204761742E-9</c:v>
                </c:pt>
                <c:pt idx="130">
                  <c:v>1.7235829560934517E-9</c:v>
                </c:pt>
                <c:pt idx="131">
                  <c:v>1.8309977641865463E-9</c:v>
                </c:pt>
                <c:pt idx="132">
                  <c:v>1.839329603413241E-9</c:v>
                </c:pt>
                <c:pt idx="133">
                  <c:v>1.7454237473336742E-9</c:v>
                </c:pt>
                <c:pt idx="134">
                  <c:v>1.5589006714915315E-9</c:v>
                </c:pt>
                <c:pt idx="135">
                  <c:v>1.3016880742762276E-9</c:v>
                </c:pt>
                <c:pt idx="136">
                  <c:v>1.0058740699766273E-9</c:v>
                </c:pt>
                <c:pt idx="137">
                  <c:v>7.0999893069836452E-10</c:v>
                </c:pt>
                <c:pt idx="138">
                  <c:v>4.5414483371533332E-10</c:v>
                </c:pt>
                <c:pt idx="139">
                  <c:v>2.7441012188305165E-10</c:v>
                </c:pt>
                <c:pt idx="140">
                  <c:v>1.9752394655685871E-10</c:v>
                </c:pt>
                <c:pt idx="141">
                  <c:v>2.3642798628966603E-10</c:v>
                </c:pt>
                <c:pt idx="142">
                  <c:v>3.875952229407057E-10</c:v>
                </c:pt>
                <c:pt idx="143">
                  <c:v>6.3066306337991805E-10</c:v>
                </c:pt>
                <c:pt idx="144">
                  <c:v>9.3064594095014287E-10</c:v>
                </c:pt>
                <c:pt idx="145">
                  <c:v>1.2426011077877249E-9</c:v>
                </c:pt>
                <c:pt idx="146">
                  <c:v>1.5182082420275176E-9</c:v>
                </c:pt>
                <c:pt idx="147">
                  <c:v>1.7133546629216224E-9</c:v>
                </c:pt>
                <c:pt idx="148">
                  <c:v>1.7955582006337808E-9</c:v>
                </c:pt>
                <c:pt idx="149">
                  <c:v>1.7499644605619357E-9</c:v>
                </c:pt>
                <c:pt idx="150">
                  <c:v>1.5832208415272722E-9</c:v>
                </c:pt>
                <c:pt idx="151">
                  <c:v>1.3215899264428116E-9</c:v>
                </c:pt>
                <c:pt idx="152">
                  <c:v>1.010072511099607E-9</c:v>
                </c:pt>
                <c:pt idx="153">
                  <c:v>7.034313901723829E-10</c:v>
                </c:pt>
                <c:pt idx="154">
                  <c:v>4.5712811109202638E-10</c:v>
                </c:pt>
                <c:pt idx="155">
                  <c:v>3.1703270672147664E-10</c:v>
                </c:pt>
                <c:pt idx="156">
                  <c:v>3.1027797976980772E-10</c:v>
                </c:pt>
                <c:pt idx="157">
                  <c:v>4.391678534194542E-10</c:v>
                </c:pt>
                <c:pt idx="158">
                  <c:v>6.7962414503639092E-10</c:v>
                </c:pt>
                <c:pt idx="159">
                  <c:v>9.8486328230260052E-10</c:v>
                </c:pt>
                <c:pt idx="160">
                  <c:v>1.2939610900439961E-9</c:v>
                </c:pt>
                <c:pt idx="161">
                  <c:v>1.5438878787774194E-9</c:v>
                </c:pt>
                <c:pt idx="162">
                  <c:v>1.6827095059208669E-9</c:v>
                </c:pt>
                <c:pt idx="163">
                  <c:v>1.6811720194307451E-9</c:v>
                </c:pt>
                <c:pt idx="164">
                  <c:v>1.539976857330131E-9</c:v>
                </c:pt>
                <c:pt idx="165">
                  <c:v>1.2907667842551414E-9</c:v>
                </c:pt>
                <c:pt idx="166">
                  <c:v>9.9010293298646586E-10</c:v>
                </c:pt>
                <c:pt idx="167">
                  <c:v>7.0729998711156563E-10</c:v>
                </c:pt>
                <c:pt idx="168">
                  <c:v>5.0855742121214668E-10</c:v>
                </c:pt>
                <c:pt idx="169">
                  <c:v>4.409781373824358E-10</c:v>
                </c:pt>
                <c:pt idx="170">
                  <c:v>5.2043957705721802E-10</c:v>
                </c:pt>
                <c:pt idx="171">
                  <c:v>7.2666662864321061E-10</c:v>
                </c:pt>
                <c:pt idx="172">
                  <c:v>1.0072834973665222E-9</c:v>
                </c:pt>
                <c:pt idx="173">
                  <c:v>1.2904006735001139E-9</c:v>
                </c:pt>
                <c:pt idx="174">
                  <c:v>1.5029572551764317E-9</c:v>
                </c:pt>
                <c:pt idx="175">
                  <c:v>1.5902266883072627E-9</c:v>
                </c:pt>
                <c:pt idx="176">
                  <c:v>1.5311804571714473E-9</c:v>
                </c:pt>
                <c:pt idx="177">
                  <c:v>1.3451276923478367E-9</c:v>
                </c:pt>
                <c:pt idx="178">
                  <c:v>1.0871766697516711E-9</c:v>
                </c:pt>
                <c:pt idx="179">
                  <c:v>8.3314136541033272E-10</c:v>
                </c:pt>
                <c:pt idx="180">
                  <c:v>6.5772779803570183E-10</c:v>
                </c:pt>
                <c:pt idx="181">
                  <c:v>6.1219851136081747E-10</c:v>
                </c:pt>
                <c:pt idx="182">
                  <c:v>7.0837074992637672E-10</c:v>
                </c:pt>
                <c:pt idx="183">
                  <c:v>9.1433187257820155E-10</c:v>
                </c:pt>
                <c:pt idx="184">
                  <c:v>1.163886557905571E-9</c:v>
                </c:pt>
                <c:pt idx="185">
                  <c:v>1.3773950652016433E-9</c:v>
                </c:pt>
                <c:pt idx="186">
                  <c:v>1.4876915289810453E-9</c:v>
                </c:pt>
                <c:pt idx="187">
                  <c:v>1.4625999372380371E-9</c:v>
                </c:pt>
                <c:pt idx="188">
                  <c:v>1.3161519455674415E-9</c:v>
                </c:pt>
                <c:pt idx="189">
                  <c:v>1.104046930054016E-9</c:v>
                </c:pt>
                <c:pt idx="190">
                  <c:v>9.0424273601204137E-10</c:v>
                </c:pt>
                <c:pt idx="191">
                  <c:v>7.8905192157796412E-10</c:v>
                </c:pt>
                <c:pt idx="192">
                  <c:v>7.9868537754608202E-10</c:v>
                </c:pt>
                <c:pt idx="193">
                  <c:v>9.2625642191850568E-10</c:v>
                </c:pt>
                <c:pt idx="194">
                  <c:v>1.1204439765152984E-9</c:v>
                </c:pt>
                <c:pt idx="195">
                  <c:v>1.3054434219156586E-9</c:v>
                </c:pt>
                <c:pt idx="196">
                  <c:v>1.4109040557931028E-9</c:v>
                </c:pt>
                <c:pt idx="197">
                  <c:v>1.400220429665441E-9</c:v>
                </c:pt>
                <c:pt idx="198">
                  <c:v>1.2845834922479942E-9</c:v>
                </c:pt>
                <c:pt idx="199">
                  <c:v>1.1189205524888556E-9</c:v>
                </c:pt>
                <c:pt idx="200">
                  <c:v>9.7735611767315883E-10</c:v>
                </c:pt>
                <c:pt idx="201">
                  <c:v>9.2118784084967775E-10</c:v>
                </c:pt>
                <c:pt idx="202">
                  <c:v>9.721374779526019E-10</c:v>
                </c:pt>
                <c:pt idx="203">
                  <c:v>1.1032798859523278E-9</c:v>
                </c:pt>
                <c:pt idx="204">
                  <c:v>1.2522008049320889E-9</c:v>
                </c:pt>
                <c:pt idx="205">
                  <c:v>1.3506751317861213E-9</c:v>
                </c:pt>
                <c:pt idx="206">
                  <c:v>1.3570365855208375E-9</c:v>
                </c:pt>
                <c:pt idx="207">
                  <c:v>1.2755939853628171E-9</c:v>
                </c:pt>
                <c:pt idx="208">
                  <c:v>1.1533287621217218E-9</c:v>
                </c:pt>
                <c:pt idx="209">
                  <c:v>1.0552540978352031E-9</c:v>
                </c:pt>
                <c:pt idx="210">
                  <c:v>1.0308207749307975E-9</c:v>
                </c:pt>
                <c:pt idx="211">
                  <c:v>1.0887920325595314E-9</c:v>
                </c:pt>
                <c:pt idx="212">
                  <c:v>1.1939638670693201E-9</c:v>
                </c:pt>
                <c:pt idx="213">
                  <c:v>1.2875955833605231E-9</c:v>
                </c:pt>
                <c:pt idx="214">
                  <c:v>1.3203768962869802E-9</c:v>
                </c:pt>
                <c:pt idx="215">
                  <c:v>1.2794910459727924E-9</c:v>
                </c:pt>
                <c:pt idx="216">
                  <c:v>1.1943722568661169E-9</c:v>
                </c:pt>
                <c:pt idx="217">
                  <c:v>1.1179032951776237E-9</c:v>
                </c:pt>
                <c:pt idx="218">
                  <c:v>1.0942960421604398E-9</c:v>
                </c:pt>
                <c:pt idx="219">
                  <c:v>1.1330550793598968E-9</c:v>
                </c:pt>
                <c:pt idx="220">
                  <c:v>1.2048779870993543E-9</c:v>
                </c:pt>
                <c:pt idx="221">
                  <c:v>1.2617695127753543E-9</c:v>
                </c:pt>
                <c:pt idx="222">
                  <c:v>1.2682785588401022E-9</c:v>
                </c:pt>
                <c:pt idx="223">
                  <c:v>1.2235423187146632E-9</c:v>
                </c:pt>
                <c:pt idx="224">
                  <c:v>1.1598594524772808E-9</c:v>
                </c:pt>
                <c:pt idx="225">
                  <c:v>1.1192476800709573E-9</c:v>
                </c:pt>
                <c:pt idx="226">
                  <c:v>1.1244231740355809E-9</c:v>
                </c:pt>
                <c:pt idx="227">
                  <c:v>1.1643912490673019E-9</c:v>
                </c:pt>
                <c:pt idx="228">
                  <c:v>1.2043556230007049E-9</c:v>
                </c:pt>
                <c:pt idx="229">
                  <c:v>1.212108706280001E-9</c:v>
                </c:pt>
                <c:pt idx="230">
                  <c:v>1.181162593513576E-9</c:v>
                </c:pt>
                <c:pt idx="231">
                  <c:v>1.133633504630938E-9</c:v>
                </c:pt>
                <c:pt idx="232">
                  <c:v>1.101496391378834E-9</c:v>
                </c:pt>
                <c:pt idx="233">
                  <c:v>1.1014454303952268E-9</c:v>
                </c:pt>
                <c:pt idx="234">
                  <c:v>1.1231950695614927E-9</c:v>
                </c:pt>
                <c:pt idx="235">
                  <c:v>1.1398360356042934E-9</c:v>
                </c:pt>
                <c:pt idx="236">
                  <c:v>1.1308103164731628E-9</c:v>
                </c:pt>
                <c:pt idx="237">
                  <c:v>1.0980548452440054E-9</c:v>
                </c:pt>
                <c:pt idx="238">
                  <c:v>1.0622931493262916E-9</c:v>
                </c:pt>
                <c:pt idx="239">
                  <c:v>1.0438025896078331E-9</c:v>
                </c:pt>
                <c:pt idx="240">
                  <c:v>1.0451490261113514E-9</c:v>
                </c:pt>
                <c:pt idx="241">
                  <c:v>1.0508065914225101E-9</c:v>
                </c:pt>
                <c:pt idx="242">
                  <c:v>1.0427891363446324E-9</c:v>
                </c:pt>
                <c:pt idx="243">
                  <c:v>1.0170132430914299E-9</c:v>
                </c:pt>
                <c:pt idx="244">
                  <c:v>9.8537750940999527E-10</c:v>
                </c:pt>
                <c:pt idx="245">
                  <c:v>9.6284103610429327E-10</c:v>
                </c:pt>
                <c:pt idx="246">
                  <c:v>9.5303360056037296E-10</c:v>
                </c:pt>
                <c:pt idx="247">
                  <c:v>9.4631738344144896E-10</c:v>
                </c:pt>
                <c:pt idx="248">
                  <c:v>9.3093330859294145E-10</c:v>
                </c:pt>
                <c:pt idx="249">
                  <c:v>9.0483362207488089E-10</c:v>
                </c:pt>
                <c:pt idx="250">
                  <c:v>8.7625906304134033E-10</c:v>
                </c:pt>
                <c:pt idx="251">
                  <c:v>8.5381179686463995E-10</c:v>
                </c:pt>
                <c:pt idx="252">
                  <c:v>8.3760781169469613E-10</c:v>
                </c:pt>
                <c:pt idx="253">
                  <c:v>8.206533069859679E-10</c:v>
                </c:pt>
                <c:pt idx="254">
                  <c:v>7.9754166698072781E-10</c:v>
                </c:pt>
                <c:pt idx="255">
                  <c:v>7.6996821207921863E-10</c:v>
                </c:pt>
                <c:pt idx="256">
                  <c:v>7.434952652100265E-10</c:v>
                </c:pt>
                <c:pt idx="257">
                  <c:v>7.2062816549510277E-10</c:v>
                </c:pt>
                <c:pt idx="258">
                  <c:v>6.9871050948986485E-10</c:v>
                </c:pt>
                <c:pt idx="259">
                  <c:v>6.7418887896484581E-10</c:v>
                </c:pt>
                <c:pt idx="260">
                  <c:v>6.4700974198131884E-10</c:v>
                </c:pt>
                <c:pt idx="261">
                  <c:v>6.1985735247319802E-10</c:v>
                </c:pt>
                <c:pt idx="262">
                  <c:v>5.9424454429970816E-10</c:v>
                </c:pt>
                <c:pt idx="263">
                  <c:v>5.6901019145833855E-10</c:v>
                </c:pt>
                <c:pt idx="264">
                  <c:v>5.4259401399713768E-10</c:v>
                </c:pt>
                <c:pt idx="265">
                  <c:v>5.1525715859539883E-10</c:v>
                </c:pt>
                <c:pt idx="266">
                  <c:v>4.8830067267109467E-10</c:v>
                </c:pt>
                <c:pt idx="267">
                  <c:v>4.6205671745498965E-10</c:v>
                </c:pt>
                <c:pt idx="268">
                  <c:v>4.3575549428513733E-10</c:v>
                </c:pt>
                <c:pt idx="269">
                  <c:v>4.0902803031887337E-10</c:v>
                </c:pt>
                <c:pt idx="270">
                  <c:v>3.8247017337076157E-10</c:v>
                </c:pt>
                <c:pt idx="271">
                  <c:v>3.566262783968027E-10</c:v>
                </c:pt>
                <c:pt idx="272">
                  <c:v>3.3127207291628305E-10</c:v>
                </c:pt>
                <c:pt idx="273">
                  <c:v>3.06034716727877E-10</c:v>
                </c:pt>
                <c:pt idx="274">
                  <c:v>2.8111087528213558E-10</c:v>
                </c:pt>
                <c:pt idx="275">
                  <c:v>2.5695513637694573E-10</c:v>
                </c:pt>
                <c:pt idx="276">
                  <c:v>2.3364677446861883E-10</c:v>
                </c:pt>
                <c:pt idx="277">
                  <c:v>2.1095418999001581E-10</c:v>
                </c:pt>
                <c:pt idx="278">
                  <c:v>1.88890591695275E-10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1077</c:v>
                </c:pt>
                <c:pt idx="1">
                  <c:v>1081</c:v>
                </c:pt>
                <c:pt idx="2">
                  <c:v>1085</c:v>
                </c:pt>
                <c:pt idx="3">
                  <c:v>1089</c:v>
                </c:pt>
                <c:pt idx="4">
                  <c:v>1093</c:v>
                </c:pt>
                <c:pt idx="5">
                  <c:v>1097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5.6854436718787928</c:v>
                </c:pt>
                <c:pt idx="1">
                  <c:v>4.3498923987959648</c:v>
                </c:pt>
                <c:pt idx="2">
                  <c:v>3.5278402050722955</c:v>
                </c:pt>
                <c:pt idx="3">
                  <c:v>3.2225491883683928</c:v>
                </c:pt>
                <c:pt idx="4">
                  <c:v>3.4356521402886866</c:v>
                </c:pt>
                <c:pt idx="5">
                  <c:v>4.1673343373447045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60</c:v>
                </c:pt>
                <c:pt idx="1">
                  <c:v>68</c:v>
                </c:pt>
                <c:pt idx="2">
                  <c:v>76</c:v>
                </c:pt>
                <c:pt idx="3">
                  <c:v>84</c:v>
                </c:pt>
                <c:pt idx="4">
                  <c:v>92</c:v>
                </c:pt>
                <c:pt idx="5">
                  <c:v>100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3.8254549633863566</c:v>
                </c:pt>
                <c:pt idx="1">
                  <c:v>3.4639559217912432</c:v>
                </c:pt>
                <c:pt idx="2">
                  <c:v>3.2599576590565262</c:v>
                </c:pt>
                <c:pt idx="3">
                  <c:v>3.2305625719217685</c:v>
                </c:pt>
                <c:pt idx="4">
                  <c:v>3.3801826047628651</c:v>
                </c:pt>
                <c:pt idx="5">
                  <c:v>3.7017933865257975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0.09</c:v>
                </c:pt>
                <c:pt idx="1">
                  <c:v>0.13</c:v>
                </c:pt>
                <c:pt idx="2">
                  <c:v>0.16999999999999998</c:v>
                </c:pt>
                <c:pt idx="3">
                  <c:v>0.20999999999999996</c:v>
                </c:pt>
                <c:pt idx="4">
                  <c:v>0.24999999999999997</c:v>
                </c:pt>
                <c:pt idx="5">
                  <c:v>0.28999999999999998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4.8342915673352271</c:v>
                </c:pt>
                <c:pt idx="1">
                  <c:v>3.7316254106087854</c:v>
                </c:pt>
                <c:pt idx="2">
                  <c:v>3.2309385754724778</c:v>
                </c:pt>
                <c:pt idx="3">
                  <c:v>3.5390594875828016</c:v>
                </c:pt>
                <c:pt idx="4">
                  <c:v>4.8944372114921126</c:v>
                </c:pt>
                <c:pt idx="5">
                  <c:v>7.5683076083036696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-0.01</c:v>
                </c:pt>
                <c:pt idx="1">
                  <c:v>2E-3</c:v>
                </c:pt>
                <c:pt idx="2">
                  <c:v>1.4E-2</c:v>
                </c:pt>
                <c:pt idx="3">
                  <c:v>2.6000000000000002E-2</c:v>
                </c:pt>
                <c:pt idx="4">
                  <c:v>3.7999999999999999E-2</c:v>
                </c:pt>
                <c:pt idx="5">
                  <c:v>0.05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3.9085639734699109</c:v>
                </c:pt>
                <c:pt idx="1">
                  <c:v>3.3284639013665962</c:v>
                </c:pt>
                <c:pt idx="2">
                  <c:v>3.2741137637197077</c:v>
                </c:pt>
                <c:pt idx="3">
                  <c:v>3.7672147155319791</c:v>
                </c:pt>
                <c:pt idx="4">
                  <c:v>4.8371141179494082</c:v>
                </c:pt>
                <c:pt idx="5">
                  <c:v>6.5137441658602295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43</c:v>
                </c:pt>
                <c:pt idx="1">
                  <c:v>49</c:v>
                </c:pt>
                <c:pt idx="2">
                  <c:v>55</c:v>
                </c:pt>
                <c:pt idx="3">
                  <c:v>61</c:v>
                </c:pt>
                <c:pt idx="4">
                  <c:v>67</c:v>
                </c:pt>
                <c:pt idx="5">
                  <c:v>73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5.02710445951341</c:v>
                </c:pt>
                <c:pt idx="1">
                  <c:v>3.9880442462865289</c:v>
                </c:pt>
                <c:pt idx="2">
                  <c:v>3.4076573115334825</c:v>
                </c:pt>
                <c:pt idx="3">
                  <c:v>3.2346417584440106</c:v>
                </c:pt>
                <c:pt idx="4">
                  <c:v>3.4071309469884548</c:v>
                </c:pt>
                <c:pt idx="5">
                  <c:v>3.863191983278087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</c:v>
                </c:pt>
                <c:pt idx="1">
                  <c:v>30</c:v>
                </c:pt>
                <c:pt idx="2">
                  <c:v>55</c:v>
                </c:pt>
                <c:pt idx="3">
                  <c:v>80</c:v>
                </c:pt>
                <c:pt idx="4">
                  <c:v>105</c:v>
                </c:pt>
                <c:pt idx="5">
                  <c:v>130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3.786026920993641</c:v>
                </c:pt>
                <c:pt idx="1">
                  <c:v>3.5749998819456943</c:v>
                </c:pt>
                <c:pt idx="2">
                  <c:v>3.2968173974631569</c:v>
                </c:pt>
                <c:pt idx="3">
                  <c:v>3.2301750306265657</c:v>
                </c:pt>
                <c:pt idx="4">
                  <c:v>3.3310150447104698</c:v>
                </c:pt>
                <c:pt idx="5">
                  <c:v>3.5239596622544882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2.024E-6</c:v>
                </c:pt>
                <c:pt idx="2">
                  <c:v>2.0480000000000001E-6</c:v>
                </c:pt>
                <c:pt idx="3">
                  <c:v>2.0719999999999998E-6</c:v>
                </c:pt>
                <c:pt idx="4">
                  <c:v>2.0959999999999999E-6</c:v>
                </c:pt>
                <c:pt idx="5">
                  <c:v>2.12E-6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3.4760085555923919</c:v>
                </c:pt>
                <c:pt idx="1">
                  <c:v>3.2562300483828324</c:v>
                </c:pt>
                <c:pt idx="2">
                  <c:v>3.2338224259569484</c:v>
                </c:pt>
                <c:pt idx="3">
                  <c:v>3.535264817164669</c:v>
                </c:pt>
                <c:pt idx="4">
                  <c:v>3.8679075047443385</c:v>
                </c:pt>
                <c:pt idx="5">
                  <c:v>4.5861360278646721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1.7999999999999999E-6</c:v>
                </c:pt>
                <c:pt idx="1">
                  <c:v>1.84E-6</c:v>
                </c:pt>
                <c:pt idx="2">
                  <c:v>1.88E-6</c:v>
                </c:pt>
                <c:pt idx="3">
                  <c:v>1.9199999999999998E-6</c:v>
                </c:pt>
                <c:pt idx="4">
                  <c:v>1.9599999999999999E-6</c:v>
                </c:pt>
                <c:pt idx="5">
                  <c:v>1.9999999999999999E-6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4.8448245001594632</c:v>
                </c:pt>
                <c:pt idx="1">
                  <c:v>4.2750774968721865</c:v>
                </c:pt>
                <c:pt idx="2">
                  <c:v>3.8272190350729502</c:v>
                </c:pt>
                <c:pt idx="3">
                  <c:v>3.5208546666612284</c:v>
                </c:pt>
                <c:pt idx="4">
                  <c:v>3.3770855102619652</c:v>
                </c:pt>
                <c:pt idx="5">
                  <c:v>3.4185298942847115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1.5799999999999999E-6</c:v>
                </c:pt>
                <c:pt idx="1">
                  <c:v>1.5999999999999999E-6</c:v>
                </c:pt>
                <c:pt idx="2">
                  <c:v>1.6199999999999999E-6</c:v>
                </c:pt>
                <c:pt idx="3">
                  <c:v>1.64E-6</c:v>
                </c:pt>
                <c:pt idx="4">
                  <c:v>1.66E-6</c:v>
                </c:pt>
                <c:pt idx="5">
                  <c:v>1.68E-6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4.5734016648419349</c:v>
                </c:pt>
                <c:pt idx="1">
                  <c:v>3.9279285303166236</c:v>
                </c:pt>
                <c:pt idx="2">
                  <c:v>3.5214068758192481</c:v>
                </c:pt>
                <c:pt idx="3">
                  <c:v>3.3544203805416446</c:v>
                </c:pt>
                <c:pt idx="4">
                  <c:v>3.4293756240417226</c:v>
                </c:pt>
                <c:pt idx="5">
                  <c:v>3.7504405677199433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6E28A759-B78B-492D-B92F-94CF27EA506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E13" sqref="E13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SUM(Y3:Y281)/278</f>
        <v>3.2316636560774574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8.2642749047700005E-3</v>
      </c>
      <c r="J3" s="109">
        <v>6.3565494515879549E-9</v>
      </c>
      <c r="K3" s="109">
        <v>6.2842553382465765E-10</v>
      </c>
      <c r="L3" s="152">
        <v>4.6137210909501176E-9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4.6135706876800601E-9</v>
      </c>
      <c r="V3" s="127">
        <v>4.6137210909501176E-9</v>
      </c>
      <c r="W3" s="128">
        <v>4.6138848872495391E-9</v>
      </c>
      <c r="X3" s="128">
        <f t="shared" ref="X3:X66" si="0">(U3+2*V3+W3)/4</f>
        <v>4.6137244392074584E-9</v>
      </c>
      <c r="Y3" s="139">
        <f t="shared" ref="Y3:Y66" si="1">(J3-X3)*(J3-X3)/(K3*K3)</f>
        <v>7.6913030361039265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2.0489689559959286E-6</v>
      </c>
      <c r="D4" s="19">
        <v>9.9999999999999994E-12</v>
      </c>
      <c r="E4" s="19">
        <v>5.0000000000000001E-9</v>
      </c>
      <c r="F4" s="149">
        <f>H4*H8</f>
        <v>81.191246405886133</v>
      </c>
      <c r="G4" s="107">
        <v>61.540491419625845</v>
      </c>
      <c r="H4" s="107">
        <v>81.191246405886133</v>
      </c>
      <c r="I4" s="109">
        <v>8.3469176538099998E-3</v>
      </c>
      <c r="J4" s="109">
        <v>4.4323184578918583E-9</v>
      </c>
      <c r="K4" s="109">
        <v>4.3651328634920145E-10</v>
      </c>
      <c r="L4" s="152">
        <v>4.7974953275625412E-9</v>
      </c>
      <c r="M4" s="27"/>
      <c r="N4" s="18">
        <v>8.0157015825948357E-9</v>
      </c>
      <c r="O4" s="18">
        <v>3.9120658998460512E-14</v>
      </c>
      <c r="P4" s="18">
        <v>1.9560329499230255E-11</v>
      </c>
      <c r="Q4" s="28">
        <v>21.183241340670328</v>
      </c>
      <c r="R4" s="60">
        <v>100</v>
      </c>
      <c r="S4" s="57">
        <v>0</v>
      </c>
      <c r="U4" s="127">
        <v>4.7973795400835381E-9</v>
      </c>
      <c r="V4" s="127">
        <v>4.7974953275625412E-9</v>
      </c>
      <c r="W4" s="128">
        <v>4.7976272229453802E-9</v>
      </c>
      <c r="X4" s="128">
        <f t="shared" si="0"/>
        <v>4.7974993545385004E-9</v>
      </c>
      <c r="Y4" s="139">
        <f t="shared" si="1"/>
        <v>0.69987610654437493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1.6284117819277478E-6</v>
      </c>
      <c r="D5" s="101">
        <v>1.5392483148537927E-10</v>
      </c>
      <c r="E5" s="101">
        <v>5.0509225500401457E-8</v>
      </c>
      <c r="F5" s="149">
        <f>(H10-H4)*H8</f>
        <v>1008.1603378850713</v>
      </c>
      <c r="G5" s="107">
        <v>79.428529530939599</v>
      </c>
      <c r="H5" s="111" t="s">
        <v>599</v>
      </c>
      <c r="I5" s="109">
        <v>8.4303868303500003E-3</v>
      </c>
      <c r="J5" s="109">
        <v>5.1071762225417559E-9</v>
      </c>
      <c r="K5" s="109">
        <v>4.1747059095967085E-10</v>
      </c>
      <c r="L5" s="152">
        <v>4.9880339417805145E-9</v>
      </c>
      <c r="M5" s="27"/>
      <c r="N5" s="18">
        <v>6.6027652211741557E-8</v>
      </c>
      <c r="O5" s="18">
        <v>3.2224818252381934E-13</v>
      </c>
      <c r="P5" s="18">
        <v>1.6112409126190968E-10</v>
      </c>
      <c r="Q5" s="28">
        <v>15.773921837686938</v>
      </c>
      <c r="R5" s="60">
        <v>100</v>
      </c>
      <c r="S5" s="57">
        <v>8.0157015825948357E-9</v>
      </c>
      <c r="U5" s="127">
        <v>4.9879711508070624E-9</v>
      </c>
      <c r="V5" s="127">
        <v>4.9880339417805145E-9</v>
      </c>
      <c r="W5" s="128">
        <v>4.9881159969131136E-9</v>
      </c>
      <c r="X5" s="128">
        <f t="shared" si="0"/>
        <v>4.9880387578203008E-9</v>
      </c>
      <c r="Y5" s="139">
        <f t="shared" si="1"/>
        <v>8.1441344462160337E-2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1.7243969448656413E-6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0.02</v>
      </c>
      <c r="I6" s="109">
        <v>8.5146906986500008E-3</v>
      </c>
      <c r="J6" s="109">
        <v>4.7928772930062492E-9</v>
      </c>
      <c r="K6" s="109">
        <v>3.8160712920644746E-10</v>
      </c>
      <c r="L6" s="152">
        <v>5.1854172998385274E-9</v>
      </c>
      <c r="M6" s="27"/>
      <c r="N6" s="18">
        <v>1.4995064966662397E-7</v>
      </c>
      <c r="O6" s="18">
        <v>7.318346587332186E-13</v>
      </c>
      <c r="P6" s="18">
        <v>3.6591732936660931E-10</v>
      </c>
      <c r="Q6" s="28">
        <v>8.7778549240464869</v>
      </c>
      <c r="R6" s="60">
        <v>121.18324134067032</v>
      </c>
      <c r="S6" s="57">
        <v>8.0157015825948357E-9</v>
      </c>
      <c r="U6" s="127">
        <v>5.1854343055416064E-9</v>
      </c>
      <c r="V6" s="127">
        <v>5.1854172998385274E-9</v>
      </c>
      <c r="W6" s="128">
        <v>5.1854231313723118E-9</v>
      </c>
      <c r="X6" s="128">
        <f t="shared" si="0"/>
        <v>5.185423009147743E-9</v>
      </c>
      <c r="Y6" s="139">
        <f t="shared" si="1"/>
        <v>1.058150704129424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41.262845079762997</v>
      </c>
      <c r="G7" s="102">
        <v>5</v>
      </c>
      <c r="H7" s="134" t="s">
        <v>600</v>
      </c>
      <c r="I7" s="109">
        <v>8.5998376056400008E-3</v>
      </c>
      <c r="J7" s="109">
        <v>5.4603100768194902E-9</v>
      </c>
      <c r="K7" s="109">
        <v>4.0507699120291489E-10</v>
      </c>
      <c r="L7" s="152">
        <v>5.3896681967991054E-9</v>
      </c>
      <c r="M7" s="27"/>
      <c r="N7" s="18">
        <v>2.4491391183189889E-7</v>
      </c>
      <c r="O7" s="18">
        <v>1.1953031846344163E-12</v>
      </c>
      <c r="P7" s="18">
        <v>5.9765159231720819E-10</v>
      </c>
      <c r="Q7" s="28">
        <v>6.4312608686214086</v>
      </c>
      <c r="R7" s="60">
        <v>121.18324134067032</v>
      </c>
      <c r="S7" s="57">
        <v>6.6027652211741557E-8</v>
      </c>
      <c r="U7" s="127">
        <v>5.3898044763697366E-9</v>
      </c>
      <c r="V7" s="127">
        <v>5.3896681967991054E-9</v>
      </c>
      <c r="W7" s="128">
        <v>5.3895585888788384E-9</v>
      </c>
      <c r="X7" s="128">
        <f t="shared" si="0"/>
        <v>5.3896748647116971E-9</v>
      </c>
      <c r="Y7" s="139">
        <f t="shared" si="1"/>
        <v>3.0406564660886436E-2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2.0358450340501852E-6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8.6858359817000002E-3</v>
      </c>
      <c r="J8" s="109">
        <v>6.3923573888988656E-9</v>
      </c>
      <c r="K8" s="109">
        <v>4.2699063087547504E-10</v>
      </c>
      <c r="L8" s="152">
        <v>5.6007126806643126E-9</v>
      </c>
      <c r="M8" s="27"/>
      <c r="N8" s="18">
        <v>3.45133408139704E-7</v>
      </c>
      <c r="O8" s="18">
        <v>1.6844247792517059E-12</v>
      </c>
      <c r="P8" s="18">
        <v>8.422123896258529E-10</v>
      </c>
      <c r="Q8" s="28">
        <v>5.2336720517234987</v>
      </c>
      <c r="R8" s="60">
        <v>136.95716317835726</v>
      </c>
      <c r="S8" s="57">
        <v>6.6027652211741557E-8</v>
      </c>
      <c r="U8" s="127">
        <v>5.6010273683078359E-9</v>
      </c>
      <c r="V8" s="127">
        <v>5.6007126806643126E-9</v>
      </c>
      <c r="W8" s="128">
        <v>5.6004283247384605E-9</v>
      </c>
      <c r="X8" s="128">
        <f t="shared" si="0"/>
        <v>5.6007202635937308E-9</v>
      </c>
      <c r="Y8" s="139">
        <f t="shared" si="1"/>
        <v>3.4372855682865411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8.7726943415100001E-3</v>
      </c>
      <c r="J9" s="109">
        <v>6.1406535571703967E-9</v>
      </c>
      <c r="K9" s="109">
        <v>4.104525950715368E-10</v>
      </c>
      <c r="L9" s="152">
        <v>5.8183208115764779E-9</v>
      </c>
      <c r="M9" s="27"/>
      <c r="N9" s="18">
        <v>4.4796125530833264E-7</v>
      </c>
      <c r="O9" s="18">
        <v>2.1862764391693533E-12</v>
      </c>
      <c r="P9" s="18">
        <v>1.0931382195846767E-9</v>
      </c>
      <c r="Q9" s="28">
        <v>4.5193048731584797</v>
      </c>
      <c r="R9" s="60">
        <v>136.95716317835726</v>
      </c>
      <c r="S9" s="57">
        <v>1.4995064966662397E-7</v>
      </c>
      <c r="U9" s="127">
        <v>5.8189044531888177E-9</v>
      </c>
      <c r="V9" s="127">
        <v>5.8183208115764779E-9</v>
      </c>
      <c r="W9" s="128">
        <v>5.8177699460187978E-9</v>
      </c>
      <c r="X9" s="128">
        <f t="shared" si="0"/>
        <v>5.818329005590143E-9</v>
      </c>
      <c r="Y9" s="139">
        <f t="shared" si="1"/>
        <v>0.61668127641725556</v>
      </c>
      <c r="AA9" s="73"/>
      <c r="AB9" s="176"/>
      <c r="AC9" s="176"/>
      <c r="AD9" s="176"/>
      <c r="AJ9" s="135"/>
    </row>
    <row r="10" spans="1:36" x14ac:dyDescent="0.35">
      <c r="A10" s="69">
        <v>4.3996139304297239</v>
      </c>
      <c r="B10" s="101"/>
      <c r="C10" s="101"/>
      <c r="D10" s="101"/>
      <c r="E10" s="101"/>
      <c r="F10" s="102"/>
      <c r="G10" s="102"/>
      <c r="H10" s="107">
        <v>1089.3515842909574</v>
      </c>
      <c r="I10" s="109">
        <v>8.86042128493E-3</v>
      </c>
      <c r="J10" s="109">
        <v>5.9113645027731763E-9</v>
      </c>
      <c r="K10" s="109">
        <v>3.8379216958751147E-10</v>
      </c>
      <c r="L10" s="152">
        <v>6.0420158212376932E-9</v>
      </c>
      <c r="M10" s="27"/>
      <c r="N10" s="18">
        <v>5.5207745295146568E-7</v>
      </c>
      <c r="O10" s="18">
        <v>2.694415897985731E-12</v>
      </c>
      <c r="P10" s="18">
        <v>1.3472079489928657E-9</v>
      </c>
      <c r="Q10" s="28">
        <v>4.0598859093839987</v>
      </c>
      <c r="R10" s="60">
        <v>145.73501810240376</v>
      </c>
      <c r="S10" s="57">
        <v>1.4995064966662397E-7</v>
      </c>
      <c r="U10" s="127">
        <v>6.0430107395078542E-9</v>
      </c>
      <c r="V10" s="127">
        <v>6.0420158212376932E-9</v>
      </c>
      <c r="W10" s="128">
        <v>6.0410525339643853E-9</v>
      </c>
      <c r="X10" s="128">
        <f t="shared" si="0"/>
        <v>6.0420237289869065E-9</v>
      </c>
      <c r="Y10" s="139">
        <f t="shared" si="1"/>
        <v>0.11590120317280683</v>
      </c>
      <c r="AA10" s="73"/>
      <c r="AB10" s="176"/>
      <c r="AC10" s="176"/>
      <c r="AD10" s="176"/>
      <c r="AJ10" s="135"/>
    </row>
    <row r="11" spans="1:36" x14ac:dyDescent="0.35">
      <c r="B11" s="101"/>
      <c r="C11" s="142"/>
      <c r="D11" s="180"/>
      <c r="E11" s="180"/>
      <c r="F11" s="102"/>
      <c r="G11" s="180"/>
      <c r="H11" s="180"/>
      <c r="I11" s="109">
        <v>8.9490254977800006E-3</v>
      </c>
      <c r="J11" s="109">
        <v>6.175403730078893E-9</v>
      </c>
      <c r="K11" s="109">
        <v>3.8832914666196271E-10</v>
      </c>
      <c r="L11" s="152">
        <v>6.2709196490029632E-9</v>
      </c>
      <c r="M11" s="27"/>
      <c r="N11" s="18">
        <v>6.5680019552888946E-7</v>
      </c>
      <c r="O11" s="18">
        <v>3.2055156014291243E-12</v>
      </c>
      <c r="P11" s="18">
        <v>1.6027578007145623E-9</v>
      </c>
      <c r="Q11" s="28">
        <v>3.7553959887569985</v>
      </c>
      <c r="R11" s="60">
        <v>145.73501810240376</v>
      </c>
      <c r="S11" s="57">
        <v>2.4491391183189889E-7</v>
      </c>
      <c r="U11" s="127">
        <v>6.2725566419915015E-9</v>
      </c>
      <c r="V11" s="127">
        <v>6.2709196490029632E-9</v>
      </c>
      <c r="W11" s="128">
        <v>6.2693041784703043E-9</v>
      </c>
      <c r="X11" s="128">
        <f t="shared" si="0"/>
        <v>6.2709250296169334E-9</v>
      </c>
      <c r="Y11" s="139">
        <f t="shared" si="1"/>
        <v>6.0506282072325751E-2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9.0385157527600006E-3</v>
      </c>
      <c r="J12" s="109">
        <v>6.2770967250488206E-9</v>
      </c>
      <c r="K12" s="109">
        <v>3.9849002225946248E-10</v>
      </c>
      <c r="L12" s="152">
        <v>6.5034771963670611E-9</v>
      </c>
      <c r="M12" s="27"/>
      <c r="N12" s="18">
        <v>7.6178008626453001E-7</v>
      </c>
      <c r="O12" s="18">
        <v>3.7178703173384912E-12</v>
      </c>
      <c r="P12" s="18">
        <v>1.8589351586692456E-9</v>
      </c>
      <c r="Q12" s="28">
        <v>3.5557539969428711</v>
      </c>
      <c r="R12" s="60">
        <v>152.16627897102518</v>
      </c>
      <c r="S12" s="57">
        <v>2.4491391183189889E-7</v>
      </c>
      <c r="U12" s="127">
        <v>6.5061447110907321E-9</v>
      </c>
      <c r="V12" s="127">
        <v>6.5034771963670611E-9</v>
      </c>
      <c r="W12" s="128">
        <v>6.5007997732919391E-9</v>
      </c>
      <c r="X12" s="128">
        <f t="shared" si="0"/>
        <v>6.5034747192791981E-9</v>
      </c>
      <c r="Y12" s="139">
        <f t="shared" si="1"/>
        <v>0.32272567068682156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9.1289009102799995E-3</v>
      </c>
      <c r="J13" s="109">
        <v>6.9462069006533043E-9</v>
      </c>
      <c r="K13" s="109">
        <v>4.1498958763401531E-10</v>
      </c>
      <c r="L13" s="152">
        <v>6.7369425002252265E-9</v>
      </c>
      <c r="M13" s="27"/>
      <c r="N13" s="18">
        <v>8.6684905221572686E-7</v>
      </c>
      <c r="O13" s="18">
        <v>4.2306597651421388E-12</v>
      </c>
      <c r="P13" s="18">
        <v>2.1153298825710695E-9</v>
      </c>
      <c r="Q13" s="28">
        <v>3.4341788208509465</v>
      </c>
      <c r="R13" s="60">
        <v>152.16627897102518</v>
      </c>
      <c r="S13" s="57">
        <v>3.45133408139704E-7</v>
      </c>
      <c r="U13" s="127">
        <v>6.7413232907348991E-9</v>
      </c>
      <c r="V13" s="127">
        <v>6.7369425002252265E-9</v>
      </c>
      <c r="W13" s="128">
        <v>6.732469896843614E-9</v>
      </c>
      <c r="X13" s="128">
        <f t="shared" si="0"/>
        <v>6.7369195470072417E-9</v>
      </c>
      <c r="Y13" s="139">
        <f t="shared" si="1"/>
        <v>0.25433818798841107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1.3644558148159582</v>
      </c>
      <c r="I14" s="109">
        <v>9.2201899193900001E-3</v>
      </c>
      <c r="J14" s="109">
        <v>6.9343958952124572E-9</v>
      </c>
      <c r="K14" s="109">
        <v>4.115105469252346E-10</v>
      </c>
      <c r="L14" s="152">
        <v>6.9663889804476085E-9</v>
      </c>
      <c r="M14" s="27"/>
      <c r="N14" s="18">
        <v>9.7193857261427773E-7</v>
      </c>
      <c r="O14" s="18">
        <v>4.7435495289964222E-12</v>
      </c>
      <c r="P14" s="18">
        <v>2.3717747644982111E-9</v>
      </c>
      <c r="Q14" s="28">
        <v>3.3764904330684682</v>
      </c>
      <c r="R14" s="60">
        <v>157.39995102274867</v>
      </c>
      <c r="S14" s="57">
        <v>3.45133408139704E-7</v>
      </c>
      <c r="U14" s="127">
        <v>6.9737399371287263E-9</v>
      </c>
      <c r="V14" s="127">
        <v>6.9663889804476085E-9</v>
      </c>
      <c r="W14" s="128">
        <v>6.9587444960355161E-9</v>
      </c>
      <c r="X14" s="128">
        <f t="shared" si="0"/>
        <v>6.9663155985148657E-9</v>
      </c>
      <c r="Y14" s="139">
        <f t="shared" si="1"/>
        <v>6.0166638834787929E-3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636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9.3123918185800004E-3</v>
      </c>
      <c r="J15" s="109">
        <v>7.3846333915101145E-9</v>
      </c>
      <c r="K15" s="109">
        <v>3.2564645671028022E-10</v>
      </c>
      <c r="L15" s="152">
        <v>7.1828272736005275E-9</v>
      </c>
      <c r="M15" s="27"/>
      <c r="N15" s="18">
        <v>1.0496901576446533E-6</v>
      </c>
      <c r="O15" s="18">
        <v>6.3881163503490096E-12</v>
      </c>
      <c r="P15" s="18">
        <v>2.9648039332652267E-9</v>
      </c>
      <c r="Q15" s="28">
        <v>1.8452556001337757</v>
      </c>
      <c r="R15" s="60">
        <v>157.39995102274867</v>
      </c>
      <c r="S15" s="57">
        <v>4.4796125530833264E-7</v>
      </c>
      <c r="U15" s="127">
        <v>7.1955401340280194E-9</v>
      </c>
      <c r="V15" s="127">
        <v>7.1828272736005275E-9</v>
      </c>
      <c r="W15" s="128">
        <v>7.1693478887626037E-9</v>
      </c>
      <c r="X15" s="128">
        <f t="shared" si="0"/>
        <v>7.1826356424979195E-9</v>
      </c>
      <c r="Y15" s="139">
        <f t="shared" si="1"/>
        <v>0.38476924006028373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1.4899999999999999E-6</v>
      </c>
      <c r="D16" s="157">
        <v>5.6499999999999999E-7</v>
      </c>
      <c r="E16" s="157">
        <v>5.7300000000000002E-6</v>
      </c>
      <c r="F16" s="102"/>
      <c r="G16" s="102"/>
      <c r="H16" s="159">
        <f>H37</f>
        <v>0.33941491614281738</v>
      </c>
      <c r="I16" s="109">
        <v>9.4055157367700006E-3</v>
      </c>
      <c r="J16" s="109">
        <v>7.4029860761812159E-9</v>
      </c>
      <c r="K16" s="109">
        <v>3.1271374876993125E-10</v>
      </c>
      <c r="L16" s="152">
        <v>7.3702205108330501E-9</v>
      </c>
      <c r="M16" s="27"/>
      <c r="N16" s="18">
        <v>1.1349874216282023E-6</v>
      </c>
      <c r="O16" s="18">
        <v>7.1150842317719698E-12</v>
      </c>
      <c r="P16" s="18">
        <v>3.2719892394204809E-9</v>
      </c>
      <c r="Q16" s="28">
        <v>3.6905112002675513</v>
      </c>
      <c r="R16" s="60">
        <v>161.91925589590716</v>
      </c>
      <c r="S16" s="57">
        <v>4.4796125530833264E-7</v>
      </c>
      <c r="U16" s="127">
        <v>7.3927397291626398E-9</v>
      </c>
      <c r="V16" s="127">
        <v>7.3702205108330501E-9</v>
      </c>
      <c r="W16" s="128">
        <v>7.3459505944710628E-9</v>
      </c>
      <c r="X16" s="128">
        <f t="shared" si="0"/>
        <v>7.3697828363249511E-9</v>
      </c>
      <c r="Y16" s="139">
        <f t="shared" si="1"/>
        <v>1.1273712977380144E-2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637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9.4995708941299998E-3</v>
      </c>
      <c r="J17" s="109">
        <v>8.3306820470078915E-9</v>
      </c>
      <c r="K17" s="109">
        <v>3.3320626716137242E-10</v>
      </c>
      <c r="L17" s="152">
        <v>7.5037134855148815E-9</v>
      </c>
      <c r="M17" s="27"/>
      <c r="N17" s="18">
        <v>1.2462753537661014E-6</v>
      </c>
      <c r="O17" s="18">
        <v>8.1744132226696431E-12</v>
      </c>
      <c r="P17" s="18">
        <v>3.7081130968957269E-9</v>
      </c>
      <c r="Q17" s="28">
        <v>3.6905112002675513</v>
      </c>
      <c r="R17" s="60">
        <v>161.91925589590716</v>
      </c>
      <c r="S17" s="57">
        <v>5.5207745295146568E-7</v>
      </c>
      <c r="U17" s="127">
        <v>7.5431054705769911E-9</v>
      </c>
      <c r="V17" s="127">
        <v>7.5037134855148815E-9</v>
      </c>
      <c r="W17" s="128">
        <v>7.4610387702316811E-9</v>
      </c>
      <c r="X17" s="128">
        <f t="shared" si="0"/>
        <v>7.5028928029596092E-9</v>
      </c>
      <c r="Y17" s="139">
        <f t="shared" si="1"/>
        <v>6.1718197732926106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207.25</v>
      </c>
      <c r="D18" s="159">
        <v>44.06</v>
      </c>
      <c r="E18" s="159">
        <v>48.06</v>
      </c>
      <c r="F18" s="104"/>
      <c r="G18" s="104"/>
      <c r="H18" s="160">
        <v>0.16875342600475637</v>
      </c>
      <c r="I18" s="109">
        <v>9.5945666030799997E-3</v>
      </c>
      <c r="J18" s="109">
        <v>8.4511999387424051E-9</v>
      </c>
      <c r="K18" s="109">
        <v>3.3604179276100938E-10</v>
      </c>
      <c r="L18" s="152">
        <v>7.5598172848969534E-9</v>
      </c>
      <c r="N18" s="18">
        <v>1.3527600942871214E-6</v>
      </c>
      <c r="O18" s="18">
        <v>9.3497618887058167E-12</v>
      </c>
      <c r="P18" s="18">
        <v>4.1769743388281161E-9</v>
      </c>
      <c r="Q18" s="28">
        <v>3.6905112002675513</v>
      </c>
      <c r="R18" s="60">
        <v>165.97914180529116</v>
      </c>
      <c r="S18" s="57">
        <v>5.5207745295146568E-7</v>
      </c>
      <c r="U18" s="127">
        <v>7.6228649712355815E-9</v>
      </c>
      <c r="V18" s="127">
        <v>7.5598172848969534E-9</v>
      </c>
      <c r="W18" s="128">
        <v>7.4925237519396451E-9</v>
      </c>
      <c r="X18" s="128">
        <f t="shared" si="0"/>
        <v>7.5587558232422829E-9</v>
      </c>
      <c r="Y18" s="139">
        <f t="shared" si="1"/>
        <v>7.053025834461951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9.69051226911E-3</v>
      </c>
      <c r="J19" s="109">
        <v>8.286576629836465E-9</v>
      </c>
      <c r="K19" s="109">
        <v>3.288696916031791E-10</v>
      </c>
      <c r="L19" s="152">
        <v>7.5542011972810397E-9</v>
      </c>
      <c r="N19" s="18">
        <v>1.4524806529502458E-6</v>
      </c>
      <c r="O19" s="18">
        <v>1.0659339652850041E-11</v>
      </c>
      <c r="P19" s="18">
        <v>4.682643534837007E-9</v>
      </c>
      <c r="Q19" s="28">
        <v>3.6905112002675513</v>
      </c>
      <c r="R19" s="60">
        <v>165.97914180529116</v>
      </c>
      <c r="S19" s="57">
        <v>6.5680019552888946E-7</v>
      </c>
      <c r="U19" s="127">
        <v>7.6370242760343958E-9</v>
      </c>
      <c r="V19" s="127">
        <v>7.5542011972810397E-9</v>
      </c>
      <c r="W19" s="128">
        <v>7.4693880688283027E-9</v>
      </c>
      <c r="X19" s="128">
        <f t="shared" si="0"/>
        <v>7.5537036848561949E-9</v>
      </c>
      <c r="Y19" s="139">
        <f t="shared" si="1"/>
        <v>4.9660338635920533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9.0225334052667777E-3</v>
      </c>
      <c r="I20" s="109">
        <v>9.7874173918000001E-3</v>
      </c>
      <c r="J20" s="109">
        <v>9.2004437790722284E-9</v>
      </c>
      <c r="K20" s="109">
        <v>5.3618887810410034E-10</v>
      </c>
      <c r="L20" s="152">
        <v>7.5808952380089887E-9</v>
      </c>
      <c r="N20" s="18">
        <v>1.5438180177524784E-6</v>
      </c>
      <c r="O20" s="18">
        <v>1.2125627806915857E-11</v>
      </c>
      <c r="P20" s="18">
        <v>5.2308555165282483E-9</v>
      </c>
      <c r="Q20" s="28">
        <v>3.6905112002675513</v>
      </c>
      <c r="R20" s="60">
        <v>169.73453779404815</v>
      </c>
      <c r="S20" s="57">
        <v>6.5680019552888946E-7</v>
      </c>
      <c r="U20" s="127">
        <v>7.657835454170262E-9</v>
      </c>
      <c r="V20" s="127">
        <v>7.5808952380089887E-9</v>
      </c>
      <c r="W20" s="128">
        <v>7.5082972517019752E-9</v>
      </c>
      <c r="X20" s="128">
        <f t="shared" si="0"/>
        <v>7.5819807954725545E-9</v>
      </c>
      <c r="Y20" s="139">
        <f t="shared" si="1"/>
        <v>9.1110816606528786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9.8852915657199995E-3</v>
      </c>
      <c r="J21" s="109">
        <v>8.0275036679266158E-9</v>
      </c>
      <c r="K21" s="109">
        <v>5.020840559087047E-10</v>
      </c>
      <c r="L21" s="152">
        <v>7.7235436842641531E-9</v>
      </c>
      <c r="M21" s="31"/>
      <c r="N21" s="18">
        <v>1.6255608683413448E-6</v>
      </c>
      <c r="O21" s="18">
        <v>1.3775131448127409E-11</v>
      </c>
      <c r="P21" s="30">
        <v>5.8289884164972472E-9</v>
      </c>
      <c r="Q21" s="65">
        <v>3.6905112002675513</v>
      </c>
      <c r="R21" s="62">
        <v>169.73453779404815</v>
      </c>
      <c r="S21" s="61">
        <v>7.6178008626453001E-7</v>
      </c>
      <c r="T21" s="75"/>
      <c r="U21" s="127">
        <v>7.7552921835991007E-9</v>
      </c>
      <c r="V21" s="127">
        <v>7.7235436842641531E-9</v>
      </c>
      <c r="W21" s="128">
        <v>7.7012820776498044E-9</v>
      </c>
      <c r="X21" s="128">
        <f t="shared" si="0"/>
        <v>7.7259154074443032E-9</v>
      </c>
      <c r="Y21" s="139">
        <f t="shared" si="1"/>
        <v>0.36080787196162395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9.9841444813699998E-3</v>
      </c>
      <c r="J22" s="109">
        <v>7.8819886114754042E-9</v>
      </c>
      <c r="K22" s="109">
        <v>4.8670275791137699E-10</v>
      </c>
      <c r="L22" s="152">
        <v>7.7995305282044597E-9</v>
      </c>
      <c r="N22" s="18">
        <v>1.6969357621559827E-6</v>
      </c>
      <c r="O22" s="18">
        <v>1.5637714539932912E-11</v>
      </c>
      <c r="P22" s="18">
        <v>6.4858783923879476E-9</v>
      </c>
      <c r="Q22" s="28">
        <v>3.6905112002675513</v>
      </c>
      <c r="R22" s="60">
        <v>173.29029179099103</v>
      </c>
      <c r="S22" s="57">
        <v>7.6178008626453001E-7</v>
      </c>
      <c r="U22" s="127">
        <v>7.7588230278015206E-9</v>
      </c>
      <c r="V22" s="127">
        <v>7.7995305282044597E-9</v>
      </c>
      <c r="W22" s="128">
        <v>7.8469860989732501E-9</v>
      </c>
      <c r="X22" s="128">
        <f t="shared" si="0"/>
        <v>7.8012175457959229E-9</v>
      </c>
      <c r="Y22" s="139">
        <f t="shared" si="1"/>
        <v>2.754127308425576E-2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1.0083985926200001E-2</v>
      </c>
      <c r="J23" s="109">
        <v>6.3496598017769582E-9</v>
      </c>
      <c r="K23" s="109">
        <v>4.4688658864943719E-10</v>
      </c>
      <c r="L23" s="152">
        <v>7.3681087969806974E-9</v>
      </c>
      <c r="N23" s="18">
        <v>1.7576024036361756E-6</v>
      </c>
      <c r="O23" s="18">
        <v>1.7745518145518774E-11</v>
      </c>
      <c r="P23" s="18">
        <v>7.2114705912487132E-9</v>
      </c>
      <c r="Q23" s="28">
        <v>3.6905112002675513</v>
      </c>
      <c r="R23" s="60">
        <v>173.29029179099103</v>
      </c>
      <c r="S23" s="57">
        <v>8.6684905221572686E-7</v>
      </c>
      <c r="U23" s="127">
        <v>7.2513676176038142E-9</v>
      </c>
      <c r="V23" s="127">
        <v>7.3681087969806974E-9</v>
      </c>
      <c r="W23" s="128">
        <v>7.4820126169102198E-9</v>
      </c>
      <c r="X23" s="128">
        <f t="shared" si="0"/>
        <v>7.3673994571188568E-9</v>
      </c>
      <c r="Y23" s="139">
        <f t="shared" si="1"/>
        <v>5.1865521701211517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1.01848257854E-2</v>
      </c>
      <c r="J24" s="109">
        <v>4.9855233863184561E-9</v>
      </c>
      <c r="K24" s="109">
        <v>3.9687443808892836E-10</v>
      </c>
      <c r="L24" s="152">
        <v>6.3280310290028693E-9</v>
      </c>
      <c r="N24" s="18">
        <v>1.8076183883416735E-6</v>
      </c>
      <c r="O24" s="18">
        <v>2.0131499016657775E-11</v>
      </c>
      <c r="P24" s="18">
        <v>8.0163220916964969E-9</v>
      </c>
      <c r="Q24" s="28">
        <v>3.6905112002675513</v>
      </c>
      <c r="R24" s="60">
        <v>176.72447061184198</v>
      </c>
      <c r="S24" s="57">
        <v>8.6684905221572686E-7</v>
      </c>
      <c r="U24" s="127">
        <v>6.1513825481356642E-9</v>
      </c>
      <c r="V24" s="127">
        <v>6.3280310290028693E-9</v>
      </c>
      <c r="W24" s="128">
        <v>6.4922814172639954E-9</v>
      </c>
      <c r="X24" s="128">
        <f t="shared" si="0"/>
        <v>6.32493150585135E-9</v>
      </c>
      <c r="Y24" s="139">
        <f t="shared" si="1"/>
        <v>11.389891818026353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1.6046562573069151E-6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43.928417817474397</v>
      </c>
      <c r="H25" s="149">
        <v>200</v>
      </c>
      <c r="I25" s="109">
        <v>1.02866740433E-2</v>
      </c>
      <c r="J25" s="109">
        <v>5.4260775195880918E-9</v>
      </c>
      <c r="K25" s="109">
        <v>4.0157366827408874E-10</v>
      </c>
      <c r="L25" s="152">
        <v>5.1903740825383535E-9</v>
      </c>
      <c r="N25" s="18">
        <v>1.8473806566380405E-6</v>
      </c>
      <c r="O25" s="18">
        <v>2.2827660870530706E-11</v>
      </c>
      <c r="P25" s="18">
        <v>8.9109862809522276E-9</v>
      </c>
      <c r="Q25" s="28">
        <v>3.6905112002675513</v>
      </c>
      <c r="R25" s="60">
        <v>176.72447061184198</v>
      </c>
      <c r="S25" s="57">
        <v>9.7193857261427773E-7</v>
      </c>
      <c r="U25" s="127">
        <v>4.9858781592440361E-9</v>
      </c>
      <c r="V25" s="127">
        <v>5.1903740825383535E-9</v>
      </c>
      <c r="W25" s="128">
        <v>5.377178072535633E-9</v>
      </c>
      <c r="X25" s="128">
        <f t="shared" si="0"/>
        <v>5.1859510992140943E-9</v>
      </c>
      <c r="Y25" s="139">
        <f t="shared" si="1"/>
        <v>0.35756041935758365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1.6046562573069151E-6</v>
      </c>
      <c r="D26" s="101">
        <v>1.5392483148537927E-10</v>
      </c>
      <c r="E26" s="101">
        <v>5.0509225500401457E-8</v>
      </c>
      <c r="F26" s="149">
        <f>(H31-H25)*H29</f>
        <v>874.52688970033137</v>
      </c>
      <c r="G26" s="149">
        <v>55.42680874121109</v>
      </c>
      <c r="H26" s="111" t="s">
        <v>599</v>
      </c>
      <c r="I26" s="109">
        <v>1.03895407837E-2</v>
      </c>
      <c r="J26" s="109">
        <v>4.988170908598715E-9</v>
      </c>
      <c r="K26" s="109">
        <v>3.8522463842069231E-10</v>
      </c>
      <c r="L26" s="152">
        <v>4.4306980917024609E-9</v>
      </c>
      <c r="N26" s="18">
        <v>1.8775524686213573E-6</v>
      </c>
      <c r="O26" s="18">
        <v>2.5863080593681816E-11</v>
      </c>
      <c r="P26" s="18">
        <v>9.9053190523206982E-9</v>
      </c>
      <c r="Q26" s="28">
        <v>3.6905112002675513</v>
      </c>
      <c r="R26" s="60">
        <v>180.10096104491043</v>
      </c>
      <c r="S26" s="57">
        <v>9.7193857261427773E-7</v>
      </c>
      <c r="U26" s="127">
        <v>4.2323114146398315E-9</v>
      </c>
      <c r="V26" s="127">
        <v>4.4306980917024609E-9</v>
      </c>
      <c r="W26" s="128">
        <v>4.6096759994833841E-9</v>
      </c>
      <c r="X26" s="128">
        <f t="shared" si="0"/>
        <v>4.4258458993820348E-9</v>
      </c>
      <c r="Y26" s="139">
        <f t="shared" si="1"/>
        <v>2.1308196135644537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1.7243969448656413E-6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0.02</v>
      </c>
      <c r="I27" s="109">
        <v>1.04934361916E-2</v>
      </c>
      <c r="J27" s="109">
        <v>4.0507141508284818E-9</v>
      </c>
      <c r="K27" s="109">
        <v>3.3939120159713374E-10</v>
      </c>
      <c r="L27" s="152">
        <v>4.0556876312850351E-9</v>
      </c>
      <c r="N27" s="18">
        <v>1.8989849448848498E-6</v>
      </c>
      <c r="O27" s="18">
        <v>2.926185378974956E-11</v>
      </c>
      <c r="P27" s="18">
        <v>1.100775448455932E-8</v>
      </c>
      <c r="Q27" s="28">
        <v>3.6905112002675513</v>
      </c>
      <c r="R27" s="60">
        <v>180.10096104491043</v>
      </c>
      <c r="S27" s="57">
        <v>1.0496901576446533E-6</v>
      </c>
      <c r="U27" s="127">
        <v>3.8834911837136982E-9</v>
      </c>
      <c r="V27" s="127">
        <v>4.0556876312850351E-9</v>
      </c>
      <c r="W27" s="128">
        <v>4.2080238560802313E-9</v>
      </c>
      <c r="X27" s="128">
        <f t="shared" si="0"/>
        <v>4.0507225755910005E-9</v>
      </c>
      <c r="Y27" s="139">
        <f t="shared" si="1"/>
        <v>6.1618933365962604E-10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41.262845079762997</v>
      </c>
      <c r="G28" s="102">
        <v>5</v>
      </c>
      <c r="H28" s="134" t="s">
        <v>600</v>
      </c>
      <c r="I28" s="109">
        <v>1.05983705535E-2</v>
      </c>
      <c r="J28" s="109">
        <v>3.9513840342745572E-9</v>
      </c>
      <c r="K28" s="109">
        <v>3.4687058038294017E-10</v>
      </c>
      <c r="L28" s="152">
        <v>3.8693435526464851E-9</v>
      </c>
      <c r="N28" s="18">
        <v>1.9126412605500296E-6</v>
      </c>
      <c r="O28" s="18">
        <v>3.3041096929524073E-11</v>
      </c>
      <c r="P28" s="18">
        <v>1.2224600911850072E-8</v>
      </c>
      <c r="Q28" s="28">
        <v>3.6905112002675513</v>
      </c>
      <c r="R28" s="60">
        <v>181.94621664504422</v>
      </c>
      <c r="S28" s="57">
        <v>1.0496901576446533E-6</v>
      </c>
      <c r="U28" s="127">
        <v>3.7299840953940003E-9</v>
      </c>
      <c r="V28" s="127">
        <v>3.8693435526464851E-9</v>
      </c>
      <c r="W28" s="128">
        <v>3.9883528806177519E-9</v>
      </c>
      <c r="X28" s="128">
        <f t="shared" si="0"/>
        <v>3.8642560203261806E-9</v>
      </c>
      <c r="Y28" s="139">
        <f t="shared" si="1"/>
        <v>6.3092929839246262E-2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2.0533014161526217E-6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1.0704354259E-2</v>
      </c>
      <c r="J29" s="109">
        <v>3.8634504371878293E-9</v>
      </c>
      <c r="K29" s="109">
        <v>3.3346096338103912E-10</v>
      </c>
      <c r="L29" s="152">
        <v>3.7381663543109198E-9</v>
      </c>
      <c r="N29" s="18">
        <v>1.9195297584148989E-6</v>
      </c>
      <c r="O29" s="18">
        <v>3.7209146102266366E-11</v>
      </c>
      <c r="P29" s="18">
        <v>1.3559407555656189E-8</v>
      </c>
      <c r="Q29" s="28">
        <v>3.6905112002675513</v>
      </c>
      <c r="R29" s="60">
        <v>181.94621664504422</v>
      </c>
      <c r="S29" s="57">
        <v>1.1349874216282023E-6</v>
      </c>
      <c r="U29" s="127">
        <v>3.6328137230286995E-9</v>
      </c>
      <c r="V29" s="127">
        <v>3.7381663543109198E-9</v>
      </c>
      <c r="W29" s="128">
        <v>3.8223930707243897E-9</v>
      </c>
      <c r="X29" s="128">
        <f t="shared" si="0"/>
        <v>3.7328848755937324E-9</v>
      </c>
      <c r="Y29" s="139">
        <f t="shared" si="1"/>
        <v>0.15330886948365621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1.08113978016E-2</v>
      </c>
      <c r="J30" s="109">
        <v>3.7790403478121155E-9</v>
      </c>
      <c r="K30" s="109">
        <v>3.2954299013046656E-10</v>
      </c>
      <c r="L30" s="152">
        <v>3.6096026459764992E-9</v>
      </c>
      <c r="N30" s="18">
        <v>1.9206499733524451E-6</v>
      </c>
      <c r="O30" s="18">
        <v>4.1764084965756971E-11</v>
      </c>
      <c r="P30" s="18">
        <v>1.5012447519347011E-8</v>
      </c>
      <c r="Q30" s="28">
        <v>3.6905112002675513</v>
      </c>
      <c r="R30" s="60">
        <v>185.63672784531178</v>
      </c>
      <c r="S30" s="57">
        <v>1.1349874216282023E-6</v>
      </c>
      <c r="U30" s="127">
        <v>3.5383847870684065E-9</v>
      </c>
      <c r="V30" s="127">
        <v>3.6096026459764992E-9</v>
      </c>
      <c r="W30" s="128">
        <v>3.6587647594056298E-9</v>
      </c>
      <c r="X30" s="128">
        <f t="shared" si="0"/>
        <v>3.6040887096067587E-9</v>
      </c>
      <c r="Y30" s="139">
        <f t="shared" si="1"/>
        <v>0.28184599697394513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1074.5268897003314</v>
      </c>
      <c r="I31" s="109">
        <v>1.0919511779600001E-2</v>
      </c>
      <c r="J31" s="109">
        <v>3.4022890576418638E-9</v>
      </c>
      <c r="K31" s="109">
        <v>3.0562623410536378E-10</v>
      </c>
      <c r="L31" s="152">
        <v>3.4641150805287374E-9</v>
      </c>
      <c r="N31" s="18">
        <v>1.9169532450394719E-6</v>
      </c>
      <c r="O31" s="18">
        <v>4.6692717511844881E-11</v>
      </c>
      <c r="P31" s="18">
        <v>1.6580355485798867E-8</v>
      </c>
      <c r="Q31" s="28">
        <v>3.6905112002675513</v>
      </c>
      <c r="R31" s="60">
        <v>185.63672784531178</v>
      </c>
      <c r="S31" s="57">
        <v>1.2462753537661014E-6</v>
      </c>
      <c r="U31" s="127">
        <v>3.4272025257416823E-9</v>
      </c>
      <c r="V31" s="127">
        <v>3.4641150805287374E-9</v>
      </c>
      <c r="W31" s="128">
        <v>3.4780738709605972E-9</v>
      </c>
      <c r="X31" s="128">
        <f t="shared" si="0"/>
        <v>3.4583766394399385E-9</v>
      </c>
      <c r="Y31" s="139">
        <f t="shared" si="1"/>
        <v>3.3678455895817125E-2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1.1028706897400001E-2</v>
      </c>
      <c r="J32" s="109">
        <v>3.8638945332204876E-9</v>
      </c>
      <c r="K32" s="109">
        <v>3.3474128912019326E-10</v>
      </c>
      <c r="L32" s="152">
        <v>3.2957514235326345E-9</v>
      </c>
      <c r="N32" s="18">
        <v>1.9093175773510445E-6</v>
      </c>
      <c r="O32" s="18">
        <v>5.197007578600404E-11</v>
      </c>
      <c r="P32" s="18">
        <v>1.8255948550662063E-8</v>
      </c>
      <c r="Q32" s="28">
        <v>3.6905112002675513</v>
      </c>
      <c r="R32" s="60">
        <v>189.32723904557935</v>
      </c>
      <c r="S32" s="57">
        <v>1.2462753537661014E-6</v>
      </c>
      <c r="U32" s="127">
        <v>3.2931644093789311E-9</v>
      </c>
      <c r="V32" s="127">
        <v>3.2957514235326345E-9</v>
      </c>
      <c r="W32" s="128">
        <v>3.2747065100798379E-9</v>
      </c>
      <c r="X32" s="128">
        <f t="shared" si="0"/>
        <v>3.2898434416310094E-9</v>
      </c>
      <c r="Y32" s="139">
        <f t="shared" si="1"/>
        <v>2.9409153599631925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1.11389939664E-2</v>
      </c>
      <c r="J33" s="109">
        <v>3.1170640702384114E-9</v>
      </c>
      <c r="K33" s="109">
        <v>2.9971039244238204E-10</v>
      </c>
      <c r="L33" s="152">
        <v>3.1027373083243726E-9</v>
      </c>
      <c r="N33" s="18">
        <v>1.8985349010184043E-6</v>
      </c>
      <c r="O33" s="18">
        <v>5.7559520290853209E-11</v>
      </c>
      <c r="P33" s="18">
        <v>2.0028246964439937E-8</v>
      </c>
      <c r="Q33" s="28">
        <v>3.6905112002675513</v>
      </c>
      <c r="R33" s="60">
        <v>189.32723904557935</v>
      </c>
      <c r="S33" s="57">
        <v>1.3527600942871214E-6</v>
      </c>
      <c r="U33" s="127">
        <v>3.1341339935878037E-9</v>
      </c>
      <c r="V33" s="127">
        <v>3.1027373083243726E-9</v>
      </c>
      <c r="W33" s="128">
        <v>3.0474441251165304E-9</v>
      </c>
      <c r="X33" s="128">
        <f t="shared" si="0"/>
        <v>3.0967631838382699E-9</v>
      </c>
      <c r="Y33" s="139">
        <f t="shared" si="1"/>
        <v>4.5880315665706734E-3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1.12503839061E-2</v>
      </c>
      <c r="J34" s="109">
        <v>2.2821472360509423E-9</v>
      </c>
      <c r="K34" s="109">
        <v>2.6313319714512233E-10</v>
      </c>
      <c r="L34" s="152">
        <v>2.8858296139934955E-9</v>
      </c>
      <c r="N34" s="18">
        <v>1.8853080025898466E-6</v>
      </c>
      <c r="O34" s="18">
        <v>6.3413453512381495E-11</v>
      </c>
      <c r="P34" s="18">
        <v>2.18826988783433E-8</v>
      </c>
      <c r="Q34" s="28">
        <v>3.6905112002675513</v>
      </c>
      <c r="R34" s="60">
        <v>193.01775024584691</v>
      </c>
      <c r="S34" s="57">
        <v>1.3527600942871214E-6</v>
      </c>
      <c r="U34" s="127">
        <v>2.9502622229277521E-9</v>
      </c>
      <c r="V34" s="127">
        <v>2.8858296139934955E-9</v>
      </c>
      <c r="W34" s="128">
        <v>2.7978481794986346E-9</v>
      </c>
      <c r="X34" s="128">
        <f t="shared" si="0"/>
        <v>2.8799424076033447E-9</v>
      </c>
      <c r="Y34" s="139">
        <f t="shared" si="1"/>
        <v>5.1612336562331285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1.3644558148159582</v>
      </c>
      <c r="I35" s="109">
        <v>1.1362887745099999E-2</v>
      </c>
      <c r="J35" s="109">
        <v>2.5050432342623566E-9</v>
      </c>
      <c r="K35" s="109">
        <v>2.694558037027587E-10</v>
      </c>
      <c r="L35" s="152">
        <v>2.6475681332636733E-9</v>
      </c>
      <c r="N35" s="18">
        <v>1.870254073271933E-6</v>
      </c>
      <c r="O35" s="18">
        <v>6.9474627341225996E-11</v>
      </c>
      <c r="P35" s="18">
        <v>2.3801600270111298E-8</v>
      </c>
      <c r="Q35" s="28">
        <v>3.6905112002675513</v>
      </c>
      <c r="R35" s="60">
        <v>193.01775024584691</v>
      </c>
      <c r="S35" s="57">
        <v>1.4524806529502458E-6</v>
      </c>
      <c r="U35" s="127">
        <v>2.7432739701100893E-9</v>
      </c>
      <c r="V35" s="127">
        <v>2.6475681332636733E-9</v>
      </c>
      <c r="W35" s="128">
        <v>2.5294658242074227E-9</v>
      </c>
      <c r="X35" s="128">
        <f t="shared" si="0"/>
        <v>2.6419690152112148E-9</v>
      </c>
      <c r="Y35" s="139">
        <f t="shared" si="1"/>
        <v>0.25822326548700564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636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1.14765166226E-2</v>
      </c>
      <c r="J36" s="109">
        <v>2.3956275599833751E-9</v>
      </c>
      <c r="K36" s="109">
        <v>1.4664524331643702E-10</v>
      </c>
      <c r="L36" s="152">
        <v>2.3919239166533309E-9</v>
      </c>
      <c r="N36" s="18">
        <v>1.8539119984941203E-6</v>
      </c>
      <c r="O36" s="18">
        <v>7.5677986005592922E-11</v>
      </c>
      <c r="P36" s="18">
        <v>2.5764688891629112E-8</v>
      </c>
      <c r="Q36" s="28">
        <v>3.6905112002675513</v>
      </c>
      <c r="R36" s="60">
        <v>196.70826144611448</v>
      </c>
      <c r="S36" s="57">
        <v>1.4524806529502458E-6</v>
      </c>
      <c r="U36" s="127">
        <v>2.5161634827542673E-9</v>
      </c>
      <c r="V36" s="127">
        <v>2.3919239166533309E-9</v>
      </c>
      <c r="W36" s="128">
        <v>2.247412550364647E-9</v>
      </c>
      <c r="X36" s="128">
        <f t="shared" si="0"/>
        <v>2.3868559666063941E-9</v>
      </c>
      <c r="Y36" s="139">
        <f t="shared" si="1"/>
        <v>3.5778408719710515E-3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1.4899999999999999E-6</v>
      </c>
      <c r="D37" s="157">
        <v>5.6499999999999999E-7</v>
      </c>
      <c r="E37" s="157">
        <v>5.7300000000000002E-6</v>
      </c>
      <c r="F37" s="102"/>
      <c r="G37" s="102"/>
      <c r="H37" s="160">
        <v>0.33941491614281738</v>
      </c>
      <c r="I37" s="109">
        <v>1.1591281788799999E-2</v>
      </c>
      <c r="J37" s="109">
        <v>1.8722098173112107E-9</v>
      </c>
      <c r="K37" s="109">
        <v>1.3095644129260613E-10</v>
      </c>
      <c r="L37" s="152">
        <v>2.1240654258330899E-9</v>
      </c>
      <c r="N37" s="18">
        <v>1.8410947428522846E-6</v>
      </c>
      <c r="O37" s="18">
        <v>8.0381491736751844E-11</v>
      </c>
      <c r="P37" s="18">
        <v>2.725276330513096E-8</v>
      </c>
      <c r="Q37" s="28">
        <v>1.8452556001337757</v>
      </c>
      <c r="R37" s="60">
        <v>196.70826144611448</v>
      </c>
      <c r="S37" s="57">
        <v>1.5438180177524784E-6</v>
      </c>
      <c r="U37" s="127">
        <v>2.27302248745062E-9</v>
      </c>
      <c r="V37" s="127">
        <v>2.1240654258330899E-9</v>
      </c>
      <c r="W37" s="128">
        <v>1.9580532775187828E-9</v>
      </c>
      <c r="X37" s="128">
        <f t="shared" si="0"/>
        <v>2.1198016541588955E-9</v>
      </c>
      <c r="Y37" s="139">
        <f t="shared" si="1"/>
        <v>3.5745297353229986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637</v>
      </c>
      <c r="D38" s="158" t="s">
        <v>612</v>
      </c>
      <c r="E38" s="158" t="s">
        <v>614</v>
      </c>
      <c r="F38" s="104"/>
      <c r="G38" s="104"/>
      <c r="H38" s="144"/>
      <c r="I38" s="109">
        <v>1.17071946067E-2</v>
      </c>
      <c r="J38" s="109">
        <v>1.5340926063399616E-9</v>
      </c>
      <c r="K38" s="109">
        <v>1.2025073231626794E-10</v>
      </c>
      <c r="L38" s="152">
        <v>1.8501330199850389E-9</v>
      </c>
      <c r="N38" s="18">
        <v>1.8266043568195132E-6</v>
      </c>
      <c r="O38" s="18">
        <v>8.5592420777119357E-11</v>
      </c>
      <c r="P38" s="18">
        <v>2.8901117251758209E-8</v>
      </c>
      <c r="Q38" s="28">
        <v>4.3579383896240005</v>
      </c>
      <c r="R38" s="60">
        <v>200.39877264638204</v>
      </c>
      <c r="S38" s="57">
        <v>1.5438180177524784E-6</v>
      </c>
      <c r="U38" s="127">
        <v>2.0188919579435706E-9</v>
      </c>
      <c r="V38" s="127">
        <v>1.8501330199850389E-9</v>
      </c>
      <c r="W38" s="128">
        <v>1.66867555488226E-9</v>
      </c>
      <c r="X38" s="128">
        <f t="shared" si="0"/>
        <v>1.846958388198977E-9</v>
      </c>
      <c r="Y38" s="139">
        <f t="shared" si="1"/>
        <v>6.7692518784079097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207.25</v>
      </c>
      <c r="D39" s="159">
        <v>44.06</v>
      </c>
      <c r="E39" s="159">
        <v>48.06</v>
      </c>
      <c r="F39" s="104"/>
      <c r="G39" s="104"/>
      <c r="H39" s="108"/>
      <c r="I39" s="109">
        <v>1.18242665528E-2</v>
      </c>
      <c r="J39" s="109">
        <v>1.4640928708747003E-9</v>
      </c>
      <c r="K39" s="109">
        <v>1.1683168027207468E-10</v>
      </c>
      <c r="L39" s="152">
        <v>1.5769768964508599E-9</v>
      </c>
      <c r="N39" s="18">
        <v>1.805626265438931E-6</v>
      </c>
      <c r="O39" s="18">
        <v>9.2998617804805802E-11</v>
      </c>
      <c r="P39" s="18">
        <v>3.124355333123202E-8</v>
      </c>
      <c r="Q39" s="28">
        <v>4.4323951205806793</v>
      </c>
      <c r="R39" s="60">
        <v>200.39877264638204</v>
      </c>
      <c r="S39" s="57">
        <v>1.6255608683413448E-6</v>
      </c>
      <c r="U39" s="127">
        <v>1.7595894701794441E-9</v>
      </c>
      <c r="V39" s="127">
        <v>1.5769768964508599E-9</v>
      </c>
      <c r="W39" s="128">
        <v>1.3871176002757323E-9</v>
      </c>
      <c r="X39" s="128">
        <f t="shared" si="0"/>
        <v>1.5751652158392241E-9</v>
      </c>
      <c r="Y39" s="139">
        <f t="shared" si="1"/>
        <v>0.9038380826473128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1.19425092183E-2</v>
      </c>
      <c r="J40" s="109">
        <v>1.2982915936867406E-9</v>
      </c>
      <c r="K40" s="109">
        <v>1.3070812423737076E-10</v>
      </c>
      <c r="L40" s="152">
        <v>1.3118458690335352E-9</v>
      </c>
      <c r="N40" s="18">
        <v>1.7843995206467145E-6</v>
      </c>
      <c r="O40" s="18">
        <v>1.0039463048616791E-10</v>
      </c>
      <c r="P40" s="18">
        <v>3.3582522873717526E-8</v>
      </c>
      <c r="Q40" s="28">
        <v>4.5893086784949571</v>
      </c>
      <c r="R40" s="60">
        <v>204.08928384664961</v>
      </c>
      <c r="S40" s="57">
        <v>1.6255608683413448E-6</v>
      </c>
      <c r="U40" s="127">
        <v>1.5014926962518959E-9</v>
      </c>
      <c r="V40" s="127">
        <v>1.3118458690335352E-9</v>
      </c>
      <c r="W40" s="128">
        <v>1.1213499746080294E-9</v>
      </c>
      <c r="X40" s="128">
        <f t="shared" si="0"/>
        <v>1.3116336022317489E-9</v>
      </c>
      <c r="Y40" s="139">
        <f t="shared" si="1"/>
        <v>1.0419269332445641E-2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1.2061934310500001E-2</v>
      </c>
      <c r="J41" s="109">
        <v>9.7947295724919317E-10</v>
      </c>
      <c r="K41" s="109">
        <v>1.1383803907513613E-10</v>
      </c>
      <c r="L41" s="152">
        <v>1.0620343534863519E-9</v>
      </c>
      <c r="N41" s="18">
        <v>1.763040132921398E-6</v>
      </c>
      <c r="O41" s="18">
        <v>1.0777838183148093E-10</v>
      </c>
      <c r="P41" s="18">
        <v>3.5917466366317807E-8</v>
      </c>
      <c r="Q41" s="28">
        <v>4.8469808139723645</v>
      </c>
      <c r="R41" s="60">
        <v>204.08928384664961</v>
      </c>
      <c r="S41" s="57">
        <v>1.6969357621559827E-6</v>
      </c>
      <c r="U41" s="127">
        <v>1.2512768115967647E-9</v>
      </c>
      <c r="V41" s="127">
        <v>1.0620343534863519E-9</v>
      </c>
      <c r="W41" s="128">
        <v>8.7903163664084619E-10</v>
      </c>
      <c r="X41" s="128">
        <f t="shared" si="0"/>
        <v>1.0635942888025786E-9</v>
      </c>
      <c r="Y41" s="139">
        <f t="shared" si="1"/>
        <v>0.54605635357896865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1.2182553653599999E-2</v>
      </c>
      <c r="J42" s="109">
        <v>6.9747975899133774E-10</v>
      </c>
      <c r="K42" s="109">
        <v>1.0049436925632995E-10</v>
      </c>
      <c r="L42" s="152">
        <v>8.3450827170123558E-10</v>
      </c>
      <c r="N42" s="18">
        <v>1.7416450056199712E-6</v>
      </c>
      <c r="O42" s="18">
        <v>1.1514005060980859E-10</v>
      </c>
      <c r="P42" s="18">
        <v>3.8245338644365139E-8</v>
      </c>
      <c r="Q42" s="28">
        <v>5.2399771338665904</v>
      </c>
      <c r="R42" s="60">
        <v>207.77979504691717</v>
      </c>
      <c r="S42" s="57">
        <v>1.6969357621559827E-6</v>
      </c>
      <c r="U42" s="127">
        <v>1.0156157402016059E-9</v>
      </c>
      <c r="V42" s="127">
        <v>8.3450827170123558E-10</v>
      </c>
      <c r="W42" s="128">
        <v>6.6707381010675703E-10</v>
      </c>
      <c r="X42" s="128">
        <f t="shared" si="0"/>
        <v>8.3792652342770848E-10</v>
      </c>
      <c r="Y42" s="139">
        <f t="shared" si="1"/>
        <v>1.9531698855288224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1.2304379190100001E-2</v>
      </c>
      <c r="J43" s="109">
        <v>5.3745764172937302E-10</v>
      </c>
      <c r="K43" s="109">
        <v>8.9486773218661961E-11</v>
      </c>
      <c r="L43" s="152">
        <v>6.3553838736945597E-10</v>
      </c>
      <c r="N43" s="18">
        <v>1.7203240293942376E-6</v>
      </c>
      <c r="O43" s="18">
        <v>1.2245652308947954E-10</v>
      </c>
      <c r="P43" s="18">
        <v>4.0558868570657674E-8</v>
      </c>
      <c r="Q43" s="28">
        <v>5.8329358816675168</v>
      </c>
      <c r="R43" s="60">
        <v>207.77979504691717</v>
      </c>
      <c r="S43" s="57">
        <v>1.7576024036361756E-6</v>
      </c>
      <c r="U43" s="127">
        <v>8.008657950967388E-10</v>
      </c>
      <c r="V43" s="127">
        <v>6.3553838736945597E-10</v>
      </c>
      <c r="W43" s="128">
        <v>4.9124949142859741E-10</v>
      </c>
      <c r="X43" s="128">
        <f t="shared" si="0"/>
        <v>6.4079801531606204E-10</v>
      </c>
      <c r="Y43" s="139">
        <f t="shared" si="1"/>
        <v>1.3335900851314921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1.2427422981999999E-2</v>
      </c>
      <c r="J44" s="109">
        <v>4.4237839564689051E-10</v>
      </c>
      <c r="K44" s="109">
        <v>8.6359217784492516E-11</v>
      </c>
      <c r="L44" s="152">
        <v>4.7037179964235146E-10</v>
      </c>
      <c r="N44" s="18">
        <v>1.6992402543285417E-6</v>
      </c>
      <c r="O44" s="18">
        <v>1.2968091994999256E-10</v>
      </c>
      <c r="P44" s="18">
        <v>4.2843255894008005E-8</v>
      </c>
      <c r="Q44" s="28">
        <v>6.7549489047954134</v>
      </c>
      <c r="R44" s="60">
        <v>211.47030624718474</v>
      </c>
      <c r="S44" s="57">
        <v>1.7576024036361756E-6</v>
      </c>
      <c r="U44" s="127">
        <v>6.127553482711362E-10</v>
      </c>
      <c r="V44" s="127">
        <v>4.7037179964235146E-10</v>
      </c>
      <c r="W44" s="128">
        <v>3.5588309940305081E-10</v>
      </c>
      <c r="X44" s="128">
        <f t="shared" si="0"/>
        <v>4.773455117397224E-10</v>
      </c>
      <c r="Y44" s="139">
        <f t="shared" si="1"/>
        <v>0.16394653068871801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1.25516972118E-2</v>
      </c>
      <c r="J45" s="109">
        <v>1.3448235407006286E-10</v>
      </c>
      <c r="K45" s="109">
        <v>7.1862881022542727E-11</v>
      </c>
      <c r="L45" s="152">
        <v>3.429691080123578E-10</v>
      </c>
      <c r="N45" s="18">
        <v>1.6786782554570566E-6</v>
      </c>
      <c r="O45" s="18">
        <v>1.3672121765558395E-10</v>
      </c>
      <c r="P45" s="18">
        <v>4.506941651318117E-8</v>
      </c>
      <c r="Q45" s="28">
        <v>8.300642098245655</v>
      </c>
      <c r="R45" s="60">
        <v>211.47030624718474</v>
      </c>
      <c r="S45" s="57">
        <v>1.8076183883416735E-6</v>
      </c>
      <c r="U45" s="127">
        <v>4.5610533569264878E-10</v>
      </c>
      <c r="V45" s="127">
        <v>3.429691080123578E-10</v>
      </c>
      <c r="W45" s="128">
        <v>2.6364512226981849E-10</v>
      </c>
      <c r="X45" s="128">
        <f t="shared" si="0"/>
        <v>3.5142216849679576E-10</v>
      </c>
      <c r="Y45" s="139">
        <f t="shared" si="1"/>
        <v>9.1131659747793954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1.26772141839E-2</v>
      </c>
      <c r="J46" s="109">
        <v>1.948740161230286E-10</v>
      </c>
      <c r="K46" s="109">
        <v>6.9809097363560385E-11</v>
      </c>
      <c r="L46" s="152">
        <v>2.5582709115071344E-10</v>
      </c>
      <c r="N46" s="18">
        <v>1.6591891850697074E-6</v>
      </c>
      <c r="O46" s="18">
        <v>1.4339187646380416E-10</v>
      </c>
      <c r="P46" s="18">
        <v>4.7178690466066627E-8</v>
      </c>
      <c r="Q46" s="28">
        <v>11.329323067943237</v>
      </c>
      <c r="R46" s="60">
        <v>215.1608174474523</v>
      </c>
      <c r="S46" s="57">
        <v>1.8076183883416735E-6</v>
      </c>
      <c r="U46" s="127">
        <v>3.3460270875181236E-10</v>
      </c>
      <c r="V46" s="127">
        <v>2.5582709115071344E-10</v>
      </c>
      <c r="W46" s="128">
        <v>2.1546312996339833E-10</v>
      </c>
      <c r="X46" s="128">
        <f t="shared" si="0"/>
        <v>2.6543000525415942E-10</v>
      </c>
      <c r="Y46" s="139">
        <f t="shared" si="1"/>
        <v>1.0215125912264729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1.28039863258E-2</v>
      </c>
      <c r="J47" s="109">
        <v>1.7014201967494518E-10</v>
      </c>
      <c r="K47" s="109">
        <v>6.6029784017316414E-11</v>
      </c>
      <c r="L47" s="152">
        <v>2.0989635328297717E-10</v>
      </c>
      <c r="N47" s="18">
        <v>1.6419641452992065E-6</v>
      </c>
      <c r="O47" s="18">
        <v>1.4928687857335929E-10</v>
      </c>
      <c r="P47" s="18">
        <v>4.9042698528007756E-8</v>
      </c>
      <c r="Q47" s="28">
        <v>20.358943966831706</v>
      </c>
      <c r="R47" s="60">
        <v>215.1608174474523</v>
      </c>
      <c r="S47" s="57">
        <v>1.8473806566380405E-6</v>
      </c>
      <c r="U47" s="127">
        <v>2.5064303166383563E-10</v>
      </c>
      <c r="V47" s="127">
        <v>2.0989635328297717E-10</v>
      </c>
      <c r="W47" s="128">
        <v>2.1054622641754562E-10</v>
      </c>
      <c r="X47" s="128">
        <f t="shared" si="0"/>
        <v>2.2024549116183388E-10</v>
      </c>
      <c r="Y47" s="139">
        <f t="shared" si="1"/>
        <v>0.57577908044293546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1.2932026189000001E-2</v>
      </c>
      <c r="J48" s="109">
        <v>1.3868289054238086E-10</v>
      </c>
      <c r="K48" s="109">
        <v>6.3516679869111089E-11</v>
      </c>
      <c r="L48" s="152">
        <v>2.0443832271556453E-10</v>
      </c>
      <c r="N48" s="18">
        <v>1.630057029256684E-6</v>
      </c>
      <c r="O48" s="18">
        <v>1.5336178805521684E-10</v>
      </c>
      <c r="P48" s="18">
        <v>5.0331190409628353E-8</v>
      </c>
      <c r="Q48" s="28">
        <v>27.34059594870039</v>
      </c>
      <c r="R48" s="60">
        <v>218.85132864771987</v>
      </c>
      <c r="S48" s="57">
        <v>1.8473806566380405E-6</v>
      </c>
      <c r="U48" s="127">
        <v>2.0503414461479768E-10</v>
      </c>
      <c r="V48" s="127">
        <v>2.0443832271556453E-10</v>
      </c>
      <c r="W48" s="128">
        <v>2.464206099099923E-10</v>
      </c>
      <c r="X48" s="128">
        <f t="shared" si="0"/>
        <v>2.1508284998897976E-10</v>
      </c>
      <c r="Y48" s="139">
        <f t="shared" si="1"/>
        <v>1.4468072580670859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1.3061346450899999E-2</v>
      </c>
      <c r="J49" s="109">
        <v>2.2759866960529406E-10</v>
      </c>
      <c r="K49" s="109">
        <v>6.7703499191329583E-11</v>
      </c>
      <c r="L49" s="152">
        <v>2.3780846340955064E-10</v>
      </c>
      <c r="N49" s="18">
        <v>1.6284117819277478E-6</v>
      </c>
      <c r="O49" s="18">
        <v>1.5392483148537927E-10</v>
      </c>
      <c r="P49" s="18">
        <v>5.0509225500401457E-8</v>
      </c>
      <c r="Q49" s="28">
        <v>891.76037104995157</v>
      </c>
      <c r="R49" s="60">
        <v>218.85132864771987</v>
      </c>
      <c r="S49" s="57">
        <v>1.8775524686213573E-6</v>
      </c>
      <c r="U49" s="127">
        <v>1.9793100133530731E-10</v>
      </c>
      <c r="V49" s="127">
        <v>2.3780846340955064E-10</v>
      </c>
      <c r="W49" s="128">
        <v>3.19547332169794E-10</v>
      </c>
      <c r="X49" s="128">
        <f t="shared" si="0"/>
        <v>2.4827381508105062E-10</v>
      </c>
      <c r="Y49" s="139">
        <f t="shared" si="1"/>
        <v>9.3255599293141991E-2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1.31919599154E-2</v>
      </c>
      <c r="J50" s="109">
        <v>2.7979745838175959E-10</v>
      </c>
      <c r="K50" s="109">
        <v>7.484650337237272E-11</v>
      </c>
      <c r="L50" s="152">
        <v>3.0646194174678041E-10</v>
      </c>
      <c r="N50" s="18">
        <v>1.6287872822105684E-6</v>
      </c>
      <c r="O50" s="18">
        <v>1.5392483148537927E-10</v>
      </c>
      <c r="P50" s="18">
        <v>5.0509225500401457E-8</v>
      </c>
      <c r="Q50" s="28">
        <v>3.4421631761482474</v>
      </c>
      <c r="R50" s="60">
        <v>222.54183984798743</v>
      </c>
      <c r="S50" s="57">
        <v>1.8775524686213573E-6</v>
      </c>
      <c r="U50" s="127">
        <v>2.2738273240862704E-10</v>
      </c>
      <c r="V50" s="127">
        <v>3.0646194174678041E-10</v>
      </c>
      <c r="W50" s="128">
        <v>4.248194800478935E-10</v>
      </c>
      <c r="X50" s="128">
        <f t="shared" si="0"/>
        <v>3.1628152398752032E-10</v>
      </c>
      <c r="Y50" s="139">
        <f t="shared" si="1"/>
        <v>0.23760929396611008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1.33238795146E-2</v>
      </c>
      <c r="J51" s="109">
        <v>4.9638914781373374E-10</v>
      </c>
      <c r="K51" s="109">
        <v>8.3662290707689115E-11</v>
      </c>
      <c r="L51" s="152">
        <v>4.0600691996934449E-10</v>
      </c>
      <c r="N51" s="18">
        <v>1.6315048863583467E-6</v>
      </c>
      <c r="O51" s="18">
        <v>1.5392483148537927E-10</v>
      </c>
      <c r="P51" s="18">
        <v>5.0509225500401457E-8</v>
      </c>
      <c r="Q51" s="28">
        <v>2.563177750747776</v>
      </c>
      <c r="R51" s="60">
        <v>222.54183984798743</v>
      </c>
      <c r="S51" s="57">
        <v>1.8989849448848498E-6</v>
      </c>
      <c r="U51" s="127">
        <v>2.9054699569775843E-10</v>
      </c>
      <c r="V51" s="127">
        <v>4.0600691996934449E-10</v>
      </c>
      <c r="W51" s="128">
        <v>5.5641399487233952E-10</v>
      </c>
      <c r="X51" s="128">
        <f t="shared" si="0"/>
        <v>4.1474370762719668E-10</v>
      </c>
      <c r="Y51" s="139">
        <f t="shared" si="1"/>
        <v>0.9523670616189196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1.3457118309700001E-2</v>
      </c>
      <c r="J52" s="109">
        <v>6.042099235485773E-10</v>
      </c>
      <c r="K52" s="109">
        <v>8.6311132004174475E-11</v>
      </c>
      <c r="L52" s="152">
        <v>5.3119685249054675E-10</v>
      </c>
      <c r="N52" s="18">
        <v>1.6354363088239583E-6</v>
      </c>
      <c r="O52" s="18">
        <v>1.5392483148537927E-10</v>
      </c>
      <c r="P52" s="18">
        <v>5.0509225500401457E-8</v>
      </c>
      <c r="Q52" s="28">
        <v>1.4263543760469788</v>
      </c>
      <c r="R52" s="60">
        <v>226.232351048255</v>
      </c>
      <c r="S52" s="57">
        <v>1.8989849448848498E-6</v>
      </c>
      <c r="U52" s="127">
        <v>3.8356251863083744E-10</v>
      </c>
      <c r="V52" s="127">
        <v>5.3119685249054675E-10</v>
      </c>
      <c r="W52" s="128">
        <v>7.0789251667437409E-10</v>
      </c>
      <c r="X52" s="128">
        <f t="shared" si="0"/>
        <v>5.3846218507157628E-10</v>
      </c>
      <c r="Y52" s="139">
        <f t="shared" si="1"/>
        <v>0.58026718712642222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1.3591689492799999E-2</v>
      </c>
      <c r="J53" s="109">
        <v>5.696309223600231E-10</v>
      </c>
      <c r="K53" s="109">
        <v>8.8630349677889449E-11</v>
      </c>
      <c r="L53" s="152">
        <v>6.7616222550949151E-10</v>
      </c>
      <c r="N53" s="18">
        <v>1.6398849190214795E-6</v>
      </c>
      <c r="O53" s="18">
        <v>1.5392483148537927E-10</v>
      </c>
      <c r="P53" s="18">
        <v>5.0509225500401457E-8</v>
      </c>
      <c r="Q53" s="28">
        <v>1.0450454197332617</v>
      </c>
      <c r="R53" s="60">
        <v>226.232351048255</v>
      </c>
      <c r="S53" s="57">
        <v>1.9126412605500296E-6</v>
      </c>
      <c r="U53" s="127">
        <v>5.0173789435377776E-10</v>
      </c>
      <c r="V53" s="127">
        <v>6.7616222550949151E-10</v>
      </c>
      <c r="W53" s="128">
        <v>8.724556014496198E-10</v>
      </c>
      <c r="X53" s="128">
        <f t="shared" si="0"/>
        <v>6.8162948670559517E-10</v>
      </c>
      <c r="Y53" s="139">
        <f t="shared" si="1"/>
        <v>1.5968347897732011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1.37276063878E-2</v>
      </c>
      <c r="J54" s="109">
        <v>8.3021318428429458E-10</v>
      </c>
      <c r="K54" s="109">
        <v>1.0014934481570565E-10</v>
      </c>
      <c r="L54" s="152">
        <v>8.3463502295281927E-10</v>
      </c>
      <c r="N54" s="18">
        <v>1.6445797606170577E-6</v>
      </c>
      <c r="O54" s="18">
        <v>1.5392483148537927E-10</v>
      </c>
      <c r="P54" s="18">
        <v>5.0509225500401457E-8</v>
      </c>
      <c r="Q54" s="28">
        <v>0.8504436560372397</v>
      </c>
      <c r="R54" s="60">
        <v>229.92286224852256</v>
      </c>
      <c r="S54" s="57">
        <v>1.9126412605500296E-6</v>
      </c>
      <c r="U54" s="127">
        <v>6.3975040268464333E-10</v>
      </c>
      <c r="V54" s="127">
        <v>8.3463502295281927E-10</v>
      </c>
      <c r="W54" s="128">
        <v>1.0431735860628818E-9</v>
      </c>
      <c r="X54" s="128">
        <f t="shared" si="0"/>
        <v>8.3804850866329081E-10</v>
      </c>
      <c r="Y54" s="139">
        <f t="shared" si="1"/>
        <v>6.1209345634674018E-3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1.3864882451600001E-2</v>
      </c>
      <c r="J55" s="109">
        <v>1.1990167547685178E-9</v>
      </c>
      <c r="K55" s="109">
        <v>1.1677286890766896E-10</v>
      </c>
      <c r="L55" s="152">
        <v>1.0001576590602528E-9</v>
      </c>
      <c r="N55" s="18">
        <v>1.6493967919518426E-6</v>
      </c>
      <c r="O55" s="18">
        <v>1.5392483148537927E-10</v>
      </c>
      <c r="P55" s="18">
        <v>5.0509225500401457E-8</v>
      </c>
      <c r="Q55" s="28">
        <v>0.73436281851289054</v>
      </c>
      <c r="R55" s="60">
        <v>229.92286224852256</v>
      </c>
      <c r="S55" s="57">
        <v>1.9195297584148989E-6</v>
      </c>
      <c r="U55" s="127">
        <v>7.9184350186873605E-10</v>
      </c>
      <c r="V55" s="127">
        <v>1.0001576590602528E-9</v>
      </c>
      <c r="W55" s="128">
        <v>1.2131910276936605E-9</v>
      </c>
      <c r="X55" s="128">
        <f t="shared" si="0"/>
        <v>1.0013374619207256E-9</v>
      </c>
      <c r="Y55" s="139">
        <f t="shared" si="1"/>
        <v>2.8657510302274001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1.40035312762E-2</v>
      </c>
      <c r="J56" s="109">
        <v>1.4048973081365378E-9</v>
      </c>
      <c r="K56" s="109">
        <v>1.228434082392648E-10</v>
      </c>
      <c r="L56" s="152">
        <v>1.166272687539641E-9</v>
      </c>
      <c r="N56" s="18">
        <v>1.6542741768268089E-6</v>
      </c>
      <c r="O56" s="18">
        <v>1.5392483148537927E-10</v>
      </c>
      <c r="P56" s="18">
        <v>5.0509225500401457E-8</v>
      </c>
      <c r="Q56" s="28">
        <v>0.6597096993751439</v>
      </c>
      <c r="R56" s="60">
        <v>233.61337344879013</v>
      </c>
      <c r="S56" s="57">
        <v>1.9195297584148989E-6</v>
      </c>
      <c r="U56" s="127">
        <v>9.5201531029668712E-10</v>
      </c>
      <c r="V56" s="127">
        <v>1.166272687539641E-9</v>
      </c>
      <c r="W56" s="128">
        <v>1.3759060508436953E-9</v>
      </c>
      <c r="X56" s="128">
        <f t="shared" si="0"/>
        <v>1.1651166840549162E-9</v>
      </c>
      <c r="Y56" s="139">
        <f t="shared" si="1"/>
        <v>3.8099954576534913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1.41435665889E-2</v>
      </c>
      <c r="J57" s="109">
        <v>1.1892637129799298E-9</v>
      </c>
      <c r="K57" s="109">
        <v>1.1378674089240743E-10</v>
      </c>
      <c r="L57" s="152">
        <v>1.326693262998764E-9</v>
      </c>
      <c r="N57" s="18">
        <v>1.6591799756580612E-6</v>
      </c>
      <c r="O57" s="18">
        <v>1.5392483148537927E-10</v>
      </c>
      <c r="P57" s="18">
        <v>5.0509225500401457E-8</v>
      </c>
      <c r="Q57" s="28">
        <v>0.61023171933257703</v>
      </c>
      <c r="R57" s="60">
        <v>233.61337344879013</v>
      </c>
      <c r="S57" s="57">
        <v>1.9206499733524451E-6</v>
      </c>
      <c r="U57" s="127">
        <v>1.1141939845005702E-9</v>
      </c>
      <c r="V57" s="127">
        <v>1.326693262998764E-9</v>
      </c>
      <c r="W57" s="128">
        <v>1.5251287321167527E-9</v>
      </c>
      <c r="X57" s="128">
        <f t="shared" si="0"/>
        <v>1.3231773106537128E-9</v>
      </c>
      <c r="Y57" s="139">
        <f t="shared" si="1"/>
        <v>1.3850518724018133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1.42850022548E-2</v>
      </c>
      <c r="J58" s="109">
        <v>1.2489208166088329E-9</v>
      </c>
      <c r="K58" s="109">
        <v>1.1618112485851895E-10</v>
      </c>
      <c r="L58" s="152">
        <v>1.4754568394720116E-9</v>
      </c>
      <c r="N58" s="18">
        <v>1.6640978207469171E-6</v>
      </c>
      <c r="O58" s="18">
        <v>1.5392483148537927E-10</v>
      </c>
      <c r="P58" s="18">
        <v>5.0509225500401457E-8</v>
      </c>
      <c r="Q58" s="28">
        <v>0.57779096573949484</v>
      </c>
      <c r="R58" s="60">
        <v>237.30388464905769</v>
      </c>
      <c r="S58" s="57">
        <v>1.9206499733524451E-6</v>
      </c>
      <c r="U58" s="127">
        <v>1.2723989459122965E-9</v>
      </c>
      <c r="V58" s="127">
        <v>1.4754568394720116E-9</v>
      </c>
      <c r="W58" s="128">
        <v>1.6552238932325083E-9</v>
      </c>
      <c r="X58" s="128">
        <f t="shared" si="0"/>
        <v>1.4696341295222068E-9</v>
      </c>
      <c r="Y58" s="139">
        <f t="shared" si="1"/>
        <v>3.6089918824615608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1.44278522774E-2</v>
      </c>
      <c r="J59" s="109">
        <v>1.8605980449320006E-9</v>
      </c>
      <c r="K59" s="109">
        <v>1.3809042358044717E-10</v>
      </c>
      <c r="L59" s="152">
        <v>1.6070658617104863E-9</v>
      </c>
      <c r="N59" s="18">
        <v>1.6690198386169436E-6</v>
      </c>
      <c r="O59" s="18">
        <v>1.5392483148537927E-10</v>
      </c>
      <c r="P59" s="18">
        <v>5.0509225500401457E-8</v>
      </c>
      <c r="Q59" s="28">
        <v>0.55803565126484422</v>
      </c>
      <c r="R59" s="60">
        <v>237.30388464905769</v>
      </c>
      <c r="S59" s="57">
        <v>1.9169532450394719E-6</v>
      </c>
      <c r="U59" s="127">
        <v>1.4208891106882366E-9</v>
      </c>
      <c r="V59" s="127">
        <v>1.6070658617104863E-9</v>
      </c>
      <c r="W59" s="128">
        <v>1.7612435213595501E-9</v>
      </c>
      <c r="X59" s="128">
        <f t="shared" si="0"/>
        <v>1.5990660888671899E-9</v>
      </c>
      <c r="Y59" s="139">
        <f t="shared" si="1"/>
        <v>3.5869258630205771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1.4572130800099999E-2</v>
      </c>
      <c r="J60" s="109">
        <v>1.6810676308578368E-9</v>
      </c>
      <c r="K60" s="109">
        <v>1.3363942977019737E-10</v>
      </c>
      <c r="L60" s="152">
        <v>1.7166193702420791E-9</v>
      </c>
      <c r="N60" s="18">
        <v>1.6739428193722167E-6</v>
      </c>
      <c r="O60" s="18">
        <v>1.5392483148537927E-10</v>
      </c>
      <c r="P60" s="18">
        <v>5.0509225500401457E-8</v>
      </c>
      <c r="Q60" s="28">
        <v>0.54866159745868937</v>
      </c>
      <c r="R60" s="60">
        <v>240.99439584932526</v>
      </c>
      <c r="S60" s="57">
        <v>1.9169532450394719E-6</v>
      </c>
      <c r="U60" s="127">
        <v>1.5543005682481201E-9</v>
      </c>
      <c r="V60" s="127">
        <v>1.7166193702420791E-9</v>
      </c>
      <c r="W60" s="128">
        <v>1.8390527970048154E-9</v>
      </c>
      <c r="X60" s="128">
        <f t="shared" si="0"/>
        <v>1.7066480264342734E-9</v>
      </c>
      <c r="Y60" s="139">
        <f t="shared" si="1"/>
        <v>3.6639141119767078E-2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1.4717852108099999E-2</v>
      </c>
      <c r="J61" s="109">
        <v>1.5574762157988438E-9</v>
      </c>
      <c r="K61" s="109">
        <v>1.2671200685427344E-10</v>
      </c>
      <c r="L61" s="152">
        <v>1.7999386381227246E-9</v>
      </c>
      <c r="N61" s="18">
        <v>1.6774312444747129E-6</v>
      </c>
      <c r="O61" s="18">
        <v>1.5392462373247677E-10</v>
      </c>
      <c r="P61" s="18">
        <v>5.050914391620612E-8</v>
      </c>
      <c r="Q61" s="28">
        <v>0.22727272727272727</v>
      </c>
      <c r="R61" s="60">
        <v>240.99439584932526</v>
      </c>
      <c r="S61" s="57">
        <v>1.9093175773510445E-6</v>
      </c>
      <c r="U61" s="127">
        <v>1.6677765246660053E-9</v>
      </c>
      <c r="V61" s="127">
        <v>1.7999386381227246E-9</v>
      </c>
      <c r="W61" s="128">
        <v>1.8854516279159225E-9</v>
      </c>
      <c r="X61" s="128">
        <f t="shared" si="0"/>
        <v>1.7882763572068442E-9</v>
      </c>
      <c r="Y61" s="139">
        <f t="shared" si="1"/>
        <v>3.3176961022553995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1.4865030629200001E-2</v>
      </c>
      <c r="J62" s="109">
        <v>2.1109852968235327E-9</v>
      </c>
      <c r="K62" s="109">
        <v>1.4587964083994441E-10</v>
      </c>
      <c r="L62" s="152">
        <v>1.8536884016321479E-9</v>
      </c>
      <c r="N62" s="18">
        <v>1.6805001481956705E-6</v>
      </c>
      <c r="O62" s="18">
        <v>1.5392438425026633E-10</v>
      </c>
      <c r="P62" s="18">
        <v>5.0509049871967987E-8</v>
      </c>
      <c r="Q62" s="28">
        <v>0.45454545454545453</v>
      </c>
      <c r="R62" s="60">
        <v>244.68490704959282</v>
      </c>
      <c r="S62" s="57">
        <v>1.9093175773510445E-6</v>
      </c>
      <c r="U62" s="127">
        <v>1.7570918873122386E-9</v>
      </c>
      <c r="V62" s="127">
        <v>1.8536884016321479E-9</v>
      </c>
      <c r="W62" s="128">
        <v>1.8982909484080346E-9</v>
      </c>
      <c r="X62" s="128">
        <f t="shared" si="0"/>
        <v>1.8406899097461422E-9</v>
      </c>
      <c r="Y62" s="139">
        <f t="shared" si="1"/>
        <v>3.4331114098609277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1.50136809355E-2</v>
      </c>
      <c r="J63" s="109">
        <v>1.8668133175143864E-9</v>
      </c>
      <c r="K63" s="109">
        <v>1.0235553320721719E-10</v>
      </c>
      <c r="L63" s="152">
        <v>1.8754931450589635E-9</v>
      </c>
      <c r="N63" s="18">
        <v>1.684552832544751E-6</v>
      </c>
      <c r="O63" s="18">
        <v>1.5392363528405696E-10</v>
      </c>
      <c r="P63" s="18">
        <v>5.0508755754269556E-8</v>
      </c>
      <c r="Q63" s="28">
        <v>0.45454545454545453</v>
      </c>
      <c r="R63" s="60">
        <v>244.68490704959282</v>
      </c>
      <c r="S63" s="57">
        <v>1.8985349010184043E-6</v>
      </c>
      <c r="U63" s="127">
        <v>1.8187737523486644E-9</v>
      </c>
      <c r="V63" s="127">
        <v>1.8754931450589635E-9</v>
      </c>
      <c r="W63" s="128">
        <v>1.8765801096265044E-9</v>
      </c>
      <c r="X63" s="128">
        <f t="shared" si="0"/>
        <v>1.8615850380232739E-9</v>
      </c>
      <c r="Y63" s="139">
        <f t="shared" si="1"/>
        <v>2.6091253336502939E-3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1.5163817744900001E-2</v>
      </c>
      <c r="J64" s="109">
        <v>2.0176966195375399E-9</v>
      </c>
      <c r="K64" s="109">
        <v>1.0776548323235838E-10</v>
      </c>
      <c r="L64" s="152">
        <v>1.8640454583154248E-9</v>
      </c>
      <c r="N64" s="18">
        <v>1.6885268223934456E-6</v>
      </c>
      <c r="O64" s="18">
        <v>1.5392176934880552E-10</v>
      </c>
      <c r="P64" s="18">
        <v>5.0508023004814749E-8</v>
      </c>
      <c r="Q64" s="28">
        <v>0.45454545454545453</v>
      </c>
      <c r="R64" s="60">
        <v>248.37541824986039</v>
      </c>
      <c r="S64" s="57">
        <v>1.8985349010184043E-6</v>
      </c>
      <c r="U64" s="127">
        <v>1.8502174097843996E-9</v>
      </c>
      <c r="V64" s="127">
        <v>1.8640454583154248E-9</v>
      </c>
      <c r="W64" s="128">
        <v>1.8205787362253562E-9</v>
      </c>
      <c r="X64" s="128">
        <f t="shared" si="0"/>
        <v>1.8497217656601513E-9</v>
      </c>
      <c r="Y64" s="139">
        <f t="shared" si="1"/>
        <v>2.4295686922385342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1.5315455922300001E-2</v>
      </c>
      <c r="J65" s="109">
        <v>1.6666550783608803E-9</v>
      </c>
      <c r="K65" s="109">
        <v>9.4118454823520474E-11</v>
      </c>
      <c r="L65" s="152">
        <v>1.8192009527579283E-9</v>
      </c>
      <c r="N65" s="18">
        <v>1.6923969629136185E-6</v>
      </c>
      <c r="O65" s="18">
        <v>1.5391732796236246E-10</v>
      </c>
      <c r="P65" s="18">
        <v>5.0506278880257284E-8</v>
      </c>
      <c r="Q65" s="28">
        <v>0.45454545454545453</v>
      </c>
      <c r="R65" s="60">
        <v>248.37541824986039</v>
      </c>
      <c r="S65" s="57">
        <v>1.8853080025898466E-6</v>
      </c>
      <c r="U65" s="127">
        <v>1.8497954845143093E-9</v>
      </c>
      <c r="V65" s="127">
        <v>1.8192009527579283E-9</v>
      </c>
      <c r="W65" s="128">
        <v>1.7318637901798191E-9</v>
      </c>
      <c r="X65" s="128">
        <f t="shared" si="0"/>
        <v>1.8050152950524963E-9</v>
      </c>
      <c r="Y65" s="139">
        <f t="shared" si="1"/>
        <v>2.1610901796082991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1.54686104815E-2</v>
      </c>
      <c r="J66" s="109">
        <v>1.8083846253179721E-9</v>
      </c>
      <c r="K66" s="109">
        <v>9.853709454528999E-11</v>
      </c>
      <c r="L66" s="152">
        <v>1.7420518614469112E-9</v>
      </c>
      <c r="N66" s="18">
        <v>1.6961611338401138E-6</v>
      </c>
      <c r="O66" s="18">
        <v>1.5390722782781785E-10</v>
      </c>
      <c r="P66" s="18">
        <v>5.0502312575384026E-8</v>
      </c>
      <c r="Q66" s="28">
        <v>0.45454545454545453</v>
      </c>
      <c r="R66" s="60">
        <v>252.06592945012795</v>
      </c>
      <c r="S66" s="57">
        <v>1.8853080025898466E-6</v>
      </c>
      <c r="U66" s="127">
        <v>1.8169556734932634E-9</v>
      </c>
      <c r="V66" s="127">
        <v>1.7420518614469112E-9</v>
      </c>
      <c r="W66" s="128">
        <v>1.6133606268325002E-9</v>
      </c>
      <c r="X66" s="128">
        <f t="shared" si="0"/>
        <v>1.7286050058048964E-9</v>
      </c>
      <c r="Y66" s="139">
        <f t="shared" si="1"/>
        <v>0.6555176902180031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1.56232965864E-2</v>
      </c>
      <c r="J67" s="109">
        <v>1.5541249613190762E-9</v>
      </c>
      <c r="K67" s="109">
        <v>9.1696117435839415E-11</v>
      </c>
      <c r="L67" s="152">
        <v>1.6349695806030033E-9</v>
      </c>
      <c r="N67" s="18">
        <v>1.6998582847553837E-6</v>
      </c>
      <c r="O67" s="18">
        <v>1.5388528355918637E-10</v>
      </c>
      <c r="P67" s="18">
        <v>5.0493695100118872E-8</v>
      </c>
      <c r="Q67" s="28">
        <v>0.45454545454545453</v>
      </c>
      <c r="R67" s="60">
        <v>252.06592945012795</v>
      </c>
      <c r="S67" s="57">
        <v>1.870254073271933E-6</v>
      </c>
      <c r="U67" s="127">
        <v>1.7523004453350996E-9</v>
      </c>
      <c r="V67" s="127">
        <v>1.6349695806030033E-9</v>
      </c>
      <c r="W67" s="128">
        <v>1.4693259537386273E-9</v>
      </c>
      <c r="X67" s="128">
        <f t="shared" ref="X67:X130" si="2">(U67+2*V67+W67)/4</f>
        <v>1.6228913900699335E-9</v>
      </c>
      <c r="Y67" s="139">
        <f t="shared" ref="Y67:Y130" si="3">(J67-X67)*(J67-X67)/(K67*K67)</f>
        <v>0.56240742639942864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1.5779529552200001E-2</v>
      </c>
      <c r="J68" s="109">
        <v>1.6731626447683191E-9</v>
      </c>
      <c r="K68" s="109">
        <v>9.5910462034946523E-11</v>
      </c>
      <c r="L68" s="152">
        <v>1.5016053701454835E-9</v>
      </c>
      <c r="N68" s="18">
        <v>1.7035976247094699E-6</v>
      </c>
      <c r="O68" s="18">
        <v>1.5383973244666914E-10</v>
      </c>
      <c r="P68" s="18">
        <v>5.0475807259242999E-8</v>
      </c>
      <c r="Q68" s="28">
        <v>0.45454545454545453</v>
      </c>
      <c r="R68" s="60">
        <v>255.75644065039552</v>
      </c>
      <c r="S68" s="57">
        <v>1.870254073271933E-6</v>
      </c>
      <c r="U68" s="127">
        <v>1.657640302073585E-9</v>
      </c>
      <c r="V68" s="127">
        <v>1.5016053701454835E-9</v>
      </c>
      <c r="W68" s="128">
        <v>1.3052711849488393E-9</v>
      </c>
      <c r="X68" s="128">
        <f t="shared" si="2"/>
        <v>1.4915305568283479E-9</v>
      </c>
      <c r="Y68" s="139">
        <f t="shared" si="3"/>
        <v>3.5863542394411736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1.59373248477E-2</v>
      </c>
      <c r="J69" s="109">
        <v>1.4375044576982091E-9</v>
      </c>
      <c r="K69" s="109">
        <v>1.2933902799767381E-10</v>
      </c>
      <c r="L69" s="152">
        <v>1.3468385615489181E-9</v>
      </c>
      <c r="N69" s="18">
        <v>1.7076031205246694E-6</v>
      </c>
      <c r="O69" s="18">
        <v>1.5374939678812531E-10</v>
      </c>
      <c r="P69" s="18">
        <v>5.0440332606788841E-8</v>
      </c>
      <c r="Q69" s="28">
        <v>0.45454545454545453</v>
      </c>
      <c r="R69" s="60">
        <v>255.75644065039552</v>
      </c>
      <c r="S69" s="57">
        <v>1.8539119984941203E-6</v>
      </c>
      <c r="U69" s="127">
        <v>1.5360110527728462E-9</v>
      </c>
      <c r="V69" s="127">
        <v>1.3468385615489181E-9</v>
      </c>
      <c r="W69" s="128">
        <v>1.12781701163145E-9</v>
      </c>
      <c r="X69" s="128">
        <f t="shared" si="2"/>
        <v>1.3393762968755329E-9</v>
      </c>
      <c r="Y69" s="139">
        <f t="shared" si="3"/>
        <v>0.57560973794292059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1.6096698096199999E-2</v>
      </c>
      <c r="J70" s="109">
        <v>1.2936500922738647E-9</v>
      </c>
      <c r="K70" s="109">
        <v>1.2613518723454764E-10</v>
      </c>
      <c r="L70" s="152">
        <v>1.176663207562173E-9</v>
      </c>
      <c r="N70" s="18">
        <v>1.7122761226801186E-6</v>
      </c>
      <c r="O70" s="18">
        <v>1.5357823763804676E-10</v>
      </c>
      <c r="P70" s="18">
        <v>5.0373118712948229E-8</v>
      </c>
      <c r="Q70" s="28">
        <v>0.45454545454545453</v>
      </c>
      <c r="R70" s="60">
        <v>259.44695185066308</v>
      </c>
      <c r="S70" s="57">
        <v>1.8539119984941203E-6</v>
      </c>
      <c r="U70" s="127">
        <v>1.3916453209479085E-9</v>
      </c>
      <c r="V70" s="127">
        <v>1.176663207562173E-9</v>
      </c>
      <c r="W70" s="128">
        <v>9.4447419582238474E-10</v>
      </c>
      <c r="X70" s="128">
        <f t="shared" si="2"/>
        <v>1.1723614829736598E-9</v>
      </c>
      <c r="Y70" s="139">
        <f t="shared" si="3"/>
        <v>0.92462902126893753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1.6257665077200001E-2</v>
      </c>
      <c r="J71" s="109">
        <v>8.6603534576552731E-10</v>
      </c>
      <c r="K71" s="109">
        <v>9.9311261273746533E-11</v>
      </c>
      <c r="L71" s="152">
        <v>9.9800728612118909E-10</v>
      </c>
      <c r="N71" s="18">
        <v>1.7182748715334494E-6</v>
      </c>
      <c r="O71" s="18">
        <v>1.5326841009825541E-10</v>
      </c>
      <c r="P71" s="18">
        <v>5.0251449989079967E-8</v>
      </c>
      <c r="Q71" s="28">
        <v>0.45454545454545453</v>
      </c>
      <c r="R71" s="60">
        <v>259.44695185066308</v>
      </c>
      <c r="S71" s="57">
        <v>1.8410947428522846E-6</v>
      </c>
      <c r="U71" s="127">
        <v>1.2298894583993638E-9</v>
      </c>
      <c r="V71" s="127">
        <v>9.9800728612118909E-10</v>
      </c>
      <c r="W71" s="128">
        <v>7.6335145803153684E-10</v>
      </c>
      <c r="X71" s="128">
        <f t="shared" si="2"/>
        <v>9.9731387216831978E-10</v>
      </c>
      <c r="Y71" s="139">
        <f t="shared" si="3"/>
        <v>1.7473921934438221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1.6420241727999999E-2</v>
      </c>
      <c r="J72" s="109">
        <v>8.476542011223214E-10</v>
      </c>
      <c r="K72" s="109">
        <v>1.0157182010193768E-10</v>
      </c>
      <c r="L72" s="152">
        <v>8.184832985558911E-10</v>
      </c>
      <c r="N72" s="18">
        <v>1.7266020622761209E-6</v>
      </c>
      <c r="O72" s="18">
        <v>1.5273259210709308E-10</v>
      </c>
      <c r="P72" s="18">
        <v>5.0041035216867413E-8</v>
      </c>
      <c r="Q72" s="28">
        <v>0.45454545454545453</v>
      </c>
      <c r="R72" s="60">
        <v>261.29220745079687</v>
      </c>
      <c r="S72" s="57">
        <v>1.8410947428522846E-6</v>
      </c>
      <c r="U72" s="127">
        <v>1.0570593525959718E-9</v>
      </c>
      <c r="V72" s="127">
        <v>8.184832985558911E-10</v>
      </c>
      <c r="W72" s="128">
        <v>5.927984066533261E-10</v>
      </c>
      <c r="X72" s="128">
        <f t="shared" si="2"/>
        <v>8.2170608909026997E-10</v>
      </c>
      <c r="Y72" s="139">
        <f t="shared" si="3"/>
        <v>6.5262703299941313E-2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1.6584444145200002E-2</v>
      </c>
      <c r="J73" s="109">
        <v>6.363664141604548E-10</v>
      </c>
      <c r="K73" s="109">
        <v>8.920482858422391E-11</v>
      </c>
      <c r="L73" s="152">
        <v>6.4607505766959339E-10</v>
      </c>
      <c r="N73" s="18">
        <v>1.7386809538508215E-6</v>
      </c>
      <c r="O73" s="18">
        <v>1.5184729200633146E-10</v>
      </c>
      <c r="P73" s="18">
        <v>4.9693379441746038E-8</v>
      </c>
      <c r="Q73" s="28">
        <v>0.45454545454545453</v>
      </c>
      <c r="R73" s="60">
        <v>261.29220745079687</v>
      </c>
      <c r="S73" s="57">
        <v>1.8266043568195132E-6</v>
      </c>
      <c r="U73" s="127">
        <v>8.8023231323418419E-10</v>
      </c>
      <c r="V73" s="127">
        <v>6.4607505766959339E-10</v>
      </c>
      <c r="W73" s="128">
        <v>4.4099894427091973E-10</v>
      </c>
      <c r="X73" s="128">
        <f t="shared" si="2"/>
        <v>6.5334534321107269E-10</v>
      </c>
      <c r="Y73" s="139">
        <f t="shared" si="3"/>
        <v>3.6227958459109456E-2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1.67502885867E-2</v>
      </c>
      <c r="J74" s="109">
        <v>4.8971680942364205E-10</v>
      </c>
      <c r="K74" s="109">
        <v>7.7768505583423194E-11</v>
      </c>
      <c r="L74" s="152">
        <v>4.8877206359832834E-10</v>
      </c>
      <c r="N74" s="18">
        <v>1.756389107334747E-6</v>
      </c>
      <c r="O74" s="18">
        <v>1.5044983463714939E-10</v>
      </c>
      <c r="P74" s="18">
        <v>4.9144600418153815E-8</v>
      </c>
      <c r="Q74" s="28">
        <v>0.45454545454545453</v>
      </c>
      <c r="R74" s="60">
        <v>265.65014584042086</v>
      </c>
      <c r="S74" s="57">
        <v>1.8266043568195132E-6</v>
      </c>
      <c r="U74" s="127">
        <v>7.0697712826762697E-10</v>
      </c>
      <c r="V74" s="127">
        <v>4.8877206359832834E-10</v>
      </c>
      <c r="W74" s="128">
        <v>3.1553747627313963E-10</v>
      </c>
      <c r="X74" s="128">
        <f t="shared" si="2"/>
        <v>5.0001468293435578E-10</v>
      </c>
      <c r="Y74" s="139">
        <f t="shared" si="3"/>
        <v>1.7534266339446585E-2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1.6917791472599999E-2</v>
      </c>
      <c r="J75" s="109">
        <v>5.1866774148849527E-10</v>
      </c>
      <c r="K75" s="109">
        <v>8.2165445987923816E-11</v>
      </c>
      <c r="L75" s="152">
        <v>3.541693162607973E-10</v>
      </c>
      <c r="N75" s="18">
        <v>1.7820114783659351E-6</v>
      </c>
      <c r="O75" s="18">
        <v>1.4834236768904425E-10</v>
      </c>
      <c r="P75" s="18">
        <v>4.8317001895623606E-8</v>
      </c>
      <c r="Q75" s="28">
        <v>0.45454545454545453</v>
      </c>
      <c r="R75" s="60">
        <v>265.65014584042086</v>
      </c>
      <c r="S75" s="57">
        <v>1.805626265438931E-6</v>
      </c>
      <c r="U75" s="127">
        <v>5.4503008839551282E-10</v>
      </c>
      <c r="V75" s="127">
        <v>3.541693162607973E-10</v>
      </c>
      <c r="W75" s="128">
        <v>2.2296548179154368E-10</v>
      </c>
      <c r="X75" s="128">
        <f t="shared" si="2"/>
        <v>3.6908355067716275E-10</v>
      </c>
      <c r="Y75" s="139">
        <f t="shared" si="3"/>
        <v>3.3143087166974574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1.7086969387300002E-2</v>
      </c>
      <c r="J76" s="109">
        <v>2.4441795487575593E-10</v>
      </c>
      <c r="K76" s="109">
        <v>6.1030402405097741E-11</v>
      </c>
      <c r="L76" s="152">
        <v>2.4905579814210227E-10</v>
      </c>
      <c r="N76" s="18">
        <v>1.8180774350928323E-6</v>
      </c>
      <c r="O76" s="18">
        <v>1.4530598180669824E-10</v>
      </c>
      <c r="P76" s="18">
        <v>4.7124618559637941E-8</v>
      </c>
      <c r="Q76" s="28">
        <v>0.45454545454545453</v>
      </c>
      <c r="R76" s="60">
        <v>270.08254096100154</v>
      </c>
      <c r="S76" s="57">
        <v>1.805626265438931E-6</v>
      </c>
      <c r="U76" s="127">
        <v>4.0193066944859087E-10</v>
      </c>
      <c r="V76" s="127">
        <v>2.4905579814210227E-10</v>
      </c>
      <c r="W76" s="128">
        <v>1.6839867721375132E-10</v>
      </c>
      <c r="X76" s="128">
        <f t="shared" si="2"/>
        <v>2.6711023573663668E-10</v>
      </c>
      <c r="Y76" s="139">
        <f t="shared" si="3"/>
        <v>0.13824958405303611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1.7257839081199999E-2</v>
      </c>
      <c r="J77" s="109">
        <v>1.8933786773582521E-10</v>
      </c>
      <c r="K77" s="109">
        <v>5.7040940247182218E-11</v>
      </c>
      <c r="L77" s="152">
        <v>1.7901834939683257E-10</v>
      </c>
      <c r="N77" s="18">
        <v>1.8670644725745729E-6</v>
      </c>
      <c r="O77" s="18">
        <v>1.4112645118160966E-10</v>
      </c>
      <c r="P77" s="18">
        <v>4.5483324316184636E-8</v>
      </c>
      <c r="Q77" s="28">
        <v>0.45454545454545453</v>
      </c>
      <c r="R77" s="60">
        <v>270.08254096100154</v>
      </c>
      <c r="S77" s="57">
        <v>1.7843995206467145E-6</v>
      </c>
      <c r="U77" s="127">
        <v>2.84635903843126E-10</v>
      </c>
      <c r="V77" s="127">
        <v>1.7901834939683257E-10</v>
      </c>
      <c r="W77" s="128">
        <v>1.5517458622879342E-10</v>
      </c>
      <c r="X77" s="128">
        <f t="shared" si="2"/>
        <v>1.9946179721639613E-10</v>
      </c>
      <c r="Y77" s="139">
        <f t="shared" si="3"/>
        <v>3.1501038490028221E-2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1.7430417472000002E-2</v>
      </c>
      <c r="J78" s="109">
        <v>1.1327209445420302E-10</v>
      </c>
      <c r="K78" s="109">
        <v>4.9341272675139367E-11</v>
      </c>
      <c r="L78" s="152">
        <v>1.4808861914474419E-10</v>
      </c>
      <c r="N78" s="18">
        <v>1.9309856334698912E-6</v>
      </c>
      <c r="O78" s="18">
        <v>1.3563011623289256E-10</v>
      </c>
      <c r="P78" s="18">
        <v>4.3324923356691892E-8</v>
      </c>
      <c r="Q78" s="28">
        <v>0.45454545454545453</v>
      </c>
      <c r="R78" s="60">
        <v>274.67184963949649</v>
      </c>
      <c r="S78" s="57">
        <v>1.7843995206467145E-6</v>
      </c>
      <c r="U78" s="127">
        <v>1.9913648500468384E-10</v>
      </c>
      <c r="V78" s="127">
        <v>1.4808861914474419E-10</v>
      </c>
      <c r="W78" s="128">
        <v>1.8459677847390051E-10</v>
      </c>
      <c r="X78" s="128">
        <f t="shared" si="2"/>
        <v>1.6997762544201816E-10</v>
      </c>
      <c r="Y78" s="139">
        <f t="shared" si="3"/>
        <v>1.3207789801592311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1.7604721646699999E-2</v>
      </c>
      <c r="J79" s="109">
        <v>1.2696151981734954E-10</v>
      </c>
      <c r="K79" s="109">
        <v>4.6652768943258858E-11</v>
      </c>
      <c r="L79" s="152">
        <v>1.5845898440086584E-10</v>
      </c>
      <c r="N79" s="18">
        <v>2.010921336803667E-6</v>
      </c>
      <c r="O79" s="18">
        <v>1.2872462070995875E-10</v>
      </c>
      <c r="P79" s="18">
        <v>4.0613147545803174E-8</v>
      </c>
      <c r="Q79" s="28">
        <v>0.45454545454545453</v>
      </c>
      <c r="R79" s="60">
        <v>274.67184963949649</v>
      </c>
      <c r="S79" s="57">
        <v>1.763040132921398E-6</v>
      </c>
      <c r="U79" s="127">
        <v>1.5009970457090456E-10</v>
      </c>
      <c r="V79" s="127">
        <v>1.5845898440086584E-10</v>
      </c>
      <c r="W79" s="128">
        <v>2.5578585339282451E-10</v>
      </c>
      <c r="X79" s="128">
        <f t="shared" si="2"/>
        <v>1.807008816913652E-10</v>
      </c>
      <c r="Y79" s="139">
        <f t="shared" si="3"/>
        <v>1.3268754533399247</v>
      </c>
      <c r="AA79" s="73"/>
      <c r="AB79" s="176"/>
      <c r="AC79" s="176"/>
      <c r="AD79" s="176"/>
      <c r="AJ79" s="135"/>
    </row>
    <row r="80" spans="2:36" x14ac:dyDescent="0.35">
      <c r="I80" s="109">
        <v>1.77807688631E-2</v>
      </c>
      <c r="J80" s="109">
        <v>1.4180764013688762E-10</v>
      </c>
      <c r="K80" s="109">
        <v>5.5927699359760983E-11</v>
      </c>
      <c r="L80" s="152">
        <v>2.1028898454297277E-10</v>
      </c>
      <c r="N80" s="18">
        <v>2.1065955156374323E-6</v>
      </c>
      <c r="O80" s="18">
        <v>1.2043579780249245E-10</v>
      </c>
      <c r="P80" s="18">
        <v>3.7358141531164883E-8</v>
      </c>
      <c r="Q80" s="28">
        <v>0.45454545454545453</v>
      </c>
      <c r="R80" s="60">
        <v>279.51883045346887</v>
      </c>
      <c r="S80" s="57">
        <v>1.763040132921398E-6</v>
      </c>
      <c r="U80" s="127">
        <v>1.4056404785152399E-10</v>
      </c>
      <c r="V80" s="127">
        <v>2.1028898454297277E-10</v>
      </c>
      <c r="W80" s="128">
        <v>3.6564934080552573E-10</v>
      </c>
      <c r="X80" s="128">
        <f t="shared" si="2"/>
        <v>2.3169783943574881E-10</v>
      </c>
      <c r="Y80" s="139">
        <f t="shared" si="3"/>
        <v>2.5832758117569052</v>
      </c>
      <c r="AA80" s="73"/>
      <c r="AB80" s="176"/>
      <c r="AC80" s="176"/>
      <c r="AD80" s="176"/>
      <c r="AJ80" s="135"/>
    </row>
    <row r="81" spans="2:36" x14ac:dyDescent="0.35">
      <c r="I81" s="109">
        <v>1.7958576551799998E-2</v>
      </c>
      <c r="J81" s="109">
        <v>3.4970984876655012E-10</v>
      </c>
      <c r="K81" s="109">
        <v>6.7458411539471801E-11</v>
      </c>
      <c r="L81" s="152">
        <v>3.0161752884377511E-10</v>
      </c>
      <c r="N81" s="18">
        <v>2.2161133764350934E-6</v>
      </c>
      <c r="O81" s="18">
        <v>1.1093048112340735E-10</v>
      </c>
      <c r="P81" s="18">
        <v>3.3625420575865659E-8</v>
      </c>
      <c r="Q81" s="28">
        <v>0.45454545454545453</v>
      </c>
      <c r="R81" s="60">
        <v>279.51883045346887</v>
      </c>
      <c r="S81" s="57">
        <v>1.7416450056199712E-6</v>
      </c>
      <c r="U81" s="127">
        <v>1.7170763469614658E-10</v>
      </c>
      <c r="V81" s="127">
        <v>3.0161752884377511E-10</v>
      </c>
      <c r="W81" s="128">
        <v>5.0897419865710179E-10</v>
      </c>
      <c r="X81" s="128">
        <f t="shared" si="2"/>
        <v>3.2097922276019965E-10</v>
      </c>
      <c r="Y81" s="139">
        <f t="shared" si="3"/>
        <v>0.18139192789482625</v>
      </c>
      <c r="AA81" s="73"/>
      <c r="AB81" s="176"/>
      <c r="AC81" s="176"/>
      <c r="AD81" s="176"/>
      <c r="AJ81" s="135"/>
    </row>
    <row r="82" spans="2:36" x14ac:dyDescent="0.35">
      <c r="I82" s="109">
        <v>1.8138162317300002E-2</v>
      </c>
      <c r="J82" s="109">
        <v>4.4718235004322254E-10</v>
      </c>
      <c r="K82" s="109">
        <v>7.5135003786189667E-11</v>
      </c>
      <c r="L82" s="152">
        <v>4.2838878371672763E-10</v>
      </c>
      <c r="N82" s="18">
        <v>2.3359604833684522E-6</v>
      </c>
      <c r="O82" s="18">
        <v>1.0051655036892841E-10</v>
      </c>
      <c r="P82" s="18">
        <v>2.9535888489069367E-8</v>
      </c>
      <c r="Q82" s="28">
        <v>0.45454545454545453</v>
      </c>
      <c r="R82" s="60">
        <v>284.75880758733547</v>
      </c>
      <c r="S82" s="57">
        <v>1.7416450056199712E-6</v>
      </c>
      <c r="U82" s="127">
        <v>2.4270803153910224E-10</v>
      </c>
      <c r="V82" s="127">
        <v>4.2838878371672763E-10</v>
      </c>
      <c r="W82" s="128">
        <v>6.7863761475819481E-10</v>
      </c>
      <c r="X82" s="128">
        <f t="shared" si="2"/>
        <v>4.4453080343268804E-10</v>
      </c>
      <c r="Y82" s="139">
        <f t="shared" si="3"/>
        <v>1.2454144673094819E-3</v>
      </c>
      <c r="AA82" s="73"/>
      <c r="AB82" s="176"/>
      <c r="AC82" s="176"/>
      <c r="AD82" s="176"/>
      <c r="AJ82" s="135"/>
    </row>
    <row r="83" spans="2:36" x14ac:dyDescent="0.35">
      <c r="I83" s="109">
        <v>1.8319543940500001E-2</v>
      </c>
      <c r="J83" s="109">
        <v>6.0110808723478089E-10</v>
      </c>
      <c r="K83" s="109">
        <v>8.9362424415903096E-11</v>
      </c>
      <c r="L83" s="152">
        <v>5.845922022525365E-10</v>
      </c>
      <c r="N83" s="18">
        <v>2.4297542276575569E-6</v>
      </c>
      <c r="O83" s="18">
        <v>9.2360844852852474E-11</v>
      </c>
      <c r="P83" s="18">
        <v>2.6333157437289582E-8</v>
      </c>
      <c r="Q83" s="28">
        <v>0.22727272727272727</v>
      </c>
      <c r="R83" s="60">
        <v>284.75880758733547</v>
      </c>
      <c r="S83" s="57">
        <v>1.7203240293942376E-6</v>
      </c>
      <c r="U83" s="127">
        <v>3.5070490487202732E-10</v>
      </c>
      <c r="V83" s="127">
        <v>5.845922022525365E-10</v>
      </c>
      <c r="W83" s="128">
        <v>8.6592521014505573E-10</v>
      </c>
      <c r="X83" s="128">
        <f t="shared" si="2"/>
        <v>5.9645362988053897E-10</v>
      </c>
      <c r="Y83" s="139">
        <f t="shared" si="3"/>
        <v>2.7128652684020489E-3</v>
      </c>
      <c r="AA83" s="73"/>
      <c r="AB83" s="176"/>
      <c r="AC83" s="176"/>
      <c r="AD83" s="176"/>
      <c r="AJ83" s="135"/>
    </row>
    <row r="84" spans="2:36" x14ac:dyDescent="0.35">
      <c r="I84" s="109">
        <v>1.8502739379900001E-2</v>
      </c>
      <c r="J84" s="109">
        <v>7.2726386259708869E-10</v>
      </c>
      <c r="K84" s="109">
        <v>9.3993942416733093E-11</v>
      </c>
      <c r="L84" s="152">
        <v>7.6251046184057837E-10</v>
      </c>
      <c r="N84" s="18">
        <v>2.5000403822831728E-6</v>
      </c>
      <c r="O84" s="18">
        <v>8.6317846783659503E-11</v>
      </c>
      <c r="P84" s="18">
        <v>2.3960082842590184E-8</v>
      </c>
      <c r="Q84" s="28">
        <v>0.27433079872934468</v>
      </c>
      <c r="R84" s="60">
        <v>290.59174346900301</v>
      </c>
      <c r="S84" s="57">
        <v>1.7203240293942376E-6</v>
      </c>
      <c r="U84" s="127">
        <v>4.908703282615568E-10</v>
      </c>
      <c r="V84" s="127">
        <v>7.6251046184057837E-10</v>
      </c>
      <c r="W84" s="128">
        <v>1.0609409200990369E-9</v>
      </c>
      <c r="X84" s="128">
        <f t="shared" si="2"/>
        <v>7.6920804301043764E-10</v>
      </c>
      <c r="Y84" s="139">
        <f t="shared" si="3"/>
        <v>0.19913320973838361</v>
      </c>
      <c r="AA84" s="73"/>
      <c r="AB84" s="176"/>
      <c r="AC84" s="176"/>
      <c r="AD84" s="176"/>
      <c r="AJ84" s="135"/>
    </row>
    <row r="85" spans="2:36" x14ac:dyDescent="0.35">
      <c r="I85" s="109">
        <v>1.8687766773700001E-2</v>
      </c>
      <c r="J85" s="109">
        <v>8.146124974641944E-10</v>
      </c>
      <c r="K85" s="109">
        <v>1.0248662010640965E-10</v>
      </c>
      <c r="L85" s="152">
        <v>9.5306370125226083E-10</v>
      </c>
      <c r="N85" s="18">
        <v>2.5757225525322249E-6</v>
      </c>
      <c r="O85" s="18">
        <v>7.9721203172187416E-11</v>
      </c>
      <c r="P85" s="18">
        <v>2.1369592628059781E-8</v>
      </c>
      <c r="Q85" s="28">
        <v>0.27901782563242211</v>
      </c>
      <c r="R85" s="60">
        <v>290.59174346900301</v>
      </c>
      <c r="S85" s="57">
        <v>1.6992402543285417E-6</v>
      </c>
      <c r="U85" s="127">
        <v>6.5658508540959485E-10</v>
      </c>
      <c r="V85" s="127">
        <v>9.5306370125226083E-10</v>
      </c>
      <c r="W85" s="128">
        <v>1.2530897947148269E-9</v>
      </c>
      <c r="X85" s="128">
        <f t="shared" si="2"/>
        <v>9.5395057065723579E-10</v>
      </c>
      <c r="Y85" s="139">
        <f t="shared" si="3"/>
        <v>1.8484395816628729</v>
      </c>
      <c r="AA85" s="73"/>
      <c r="AB85" s="176"/>
      <c r="AC85" s="176"/>
      <c r="AD85" s="176"/>
      <c r="AJ85" s="135"/>
    </row>
    <row r="86" spans="2:36" x14ac:dyDescent="0.35">
      <c r="I86" s="109">
        <v>1.8874644441399999E-2</v>
      </c>
      <c r="J86" s="109">
        <v>9.9952671351735166E-10</v>
      </c>
      <c r="K86" s="109">
        <v>1.0804709014672785E-10</v>
      </c>
      <c r="L86" s="152">
        <v>1.1462345880216008E-9</v>
      </c>
      <c r="N86" s="18">
        <v>2.6513899201141974E-6</v>
      </c>
      <c r="O86" s="18">
        <v>7.3125849797489764E-11</v>
      </c>
      <c r="P86" s="18">
        <v>1.8779609087216092E-8</v>
      </c>
      <c r="Q86" s="28">
        <v>0.28889548286974742</v>
      </c>
      <c r="R86" s="60">
        <v>297.34669237379842</v>
      </c>
      <c r="S86" s="57">
        <v>1.6992402543285417E-6</v>
      </c>
      <c r="U86" s="127">
        <v>8.3971365576297355E-10</v>
      </c>
      <c r="V86" s="127">
        <v>1.1462345880216008E-9</v>
      </c>
      <c r="W86" s="128">
        <v>1.4316133009283498E-9</v>
      </c>
      <c r="X86" s="128">
        <f t="shared" si="2"/>
        <v>1.1409490331836311E-9</v>
      </c>
      <c r="Y86" s="139">
        <f t="shared" si="3"/>
        <v>1.7132066930215859</v>
      </c>
      <c r="AA86" s="73"/>
      <c r="AB86" s="176"/>
      <c r="AC86" s="176"/>
      <c r="AD86" s="176"/>
      <c r="AJ86" s="135"/>
    </row>
    <row r="87" spans="2:36" x14ac:dyDescent="0.35">
      <c r="I87" s="109">
        <v>1.9063390885799999E-2</v>
      </c>
      <c r="J87" s="109">
        <v>1.3536775032947123E-9</v>
      </c>
      <c r="K87" s="109">
        <v>1.2691710864542437E-10</v>
      </c>
      <c r="L87" s="152">
        <v>1.331556253161714E-9</v>
      </c>
      <c r="N87" s="18">
        <v>2.7269931385250332E-6</v>
      </c>
      <c r="O87" s="18">
        <v>6.6536087821909837E-11</v>
      </c>
      <c r="P87" s="18">
        <v>1.619182127886201E-8</v>
      </c>
      <c r="Q87" s="28">
        <v>0.30511585966628851</v>
      </c>
      <c r="R87" s="60">
        <v>297.34669237379842</v>
      </c>
      <c r="S87" s="57">
        <v>1.6786782554570566E-6</v>
      </c>
      <c r="U87" s="127">
        <v>1.0309660916201941E-9</v>
      </c>
      <c r="V87" s="127">
        <v>1.331556253161714E-9</v>
      </c>
      <c r="W87" s="128">
        <v>1.586155799528056E-9</v>
      </c>
      <c r="X87" s="128">
        <f t="shared" si="2"/>
        <v>1.3200585993679195E-9</v>
      </c>
      <c r="Y87" s="139">
        <f t="shared" si="3"/>
        <v>7.0166006732414146E-2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1.9254024794699998E-2</v>
      </c>
      <c r="J88" s="109">
        <v>1.4473998747278267E-9</v>
      </c>
      <c r="K88" s="109">
        <v>1.2914565926954122E-10</v>
      </c>
      <c r="L88" s="152">
        <v>1.4986435689627082E-9</v>
      </c>
      <c r="N88" s="18">
        <v>2.802411166912967E-6</v>
      </c>
      <c r="O88" s="18">
        <v>5.9962467463007486E-11</v>
      </c>
      <c r="P88" s="18">
        <v>1.3610372254670404E-8</v>
      </c>
      <c r="Q88" s="28">
        <v>0.32985484968757195</v>
      </c>
      <c r="R88" s="60">
        <v>305.64733447204407</v>
      </c>
      <c r="S88" s="57">
        <v>1.6786782554570566E-6</v>
      </c>
      <c r="U88" s="127">
        <v>1.2203317454519414E-9</v>
      </c>
      <c r="V88" s="127">
        <v>1.4986435689627082E-9</v>
      </c>
      <c r="W88" s="128">
        <v>1.707340017107869E-9</v>
      </c>
      <c r="X88" s="128">
        <f t="shared" si="2"/>
        <v>1.4812397251213065E-9</v>
      </c>
      <c r="Y88" s="139">
        <f t="shared" si="3"/>
        <v>6.8658963272449774E-2</v>
      </c>
      <c r="AA88" s="73"/>
      <c r="AB88" s="176"/>
      <c r="AC88" s="176"/>
      <c r="AD88" s="176"/>
      <c r="AJ88" s="135"/>
    </row>
    <row r="89" spans="2:36" x14ac:dyDescent="0.35">
      <c r="I89" s="109">
        <v>1.9446565042599999E-2</v>
      </c>
      <c r="J89" s="109">
        <v>1.4096097829036078E-9</v>
      </c>
      <c r="K89" s="109">
        <v>1.297321347219993E-10</v>
      </c>
      <c r="L89" s="152">
        <v>1.6377470622610645E-9</v>
      </c>
      <c r="N89" s="18">
        <v>2.8773923806993435E-6</v>
      </c>
      <c r="O89" s="18">
        <v>5.3426920936307296E-11</v>
      </c>
      <c r="P89" s="18">
        <v>1.1043874756672797E-8</v>
      </c>
      <c r="Q89" s="28">
        <v>0.36718140925644527</v>
      </c>
      <c r="R89" s="60">
        <v>305.64733447204407</v>
      </c>
      <c r="S89" s="57">
        <v>1.6591891850697074E-6</v>
      </c>
      <c r="U89" s="127">
        <v>1.3975675662096075E-9</v>
      </c>
      <c r="V89" s="127">
        <v>1.6377470622610645E-9</v>
      </c>
      <c r="W89" s="128">
        <v>1.7873279845793477E-9</v>
      </c>
      <c r="X89" s="128">
        <f t="shared" si="2"/>
        <v>1.6150974188277709E-9</v>
      </c>
      <c r="Y89" s="139">
        <f t="shared" si="3"/>
        <v>2.5088590486050757</v>
      </c>
      <c r="AA89" s="73"/>
      <c r="AB89" s="176"/>
      <c r="AC89" s="176"/>
      <c r="AD89" s="176"/>
      <c r="AJ89" s="135"/>
    </row>
    <row r="90" spans="2:36" x14ac:dyDescent="0.35">
      <c r="I90" s="109">
        <v>1.9641030693100001E-2</v>
      </c>
      <c r="J90" s="109">
        <v>1.7940959828691418E-9</v>
      </c>
      <c r="K90" s="109">
        <v>1.4763824768254288E-10</v>
      </c>
      <c r="L90" s="152">
        <v>1.7403074115695423E-9</v>
      </c>
      <c r="N90" s="18">
        <v>2.9514457649592163E-6</v>
      </c>
      <c r="O90" s="18">
        <v>4.69722463071545E-11</v>
      </c>
      <c r="P90" s="18">
        <v>8.5091355090167258E-9</v>
      </c>
      <c r="Q90" s="28">
        <v>0.42522182801861985</v>
      </c>
      <c r="R90" s="60">
        <v>316.97665753998729</v>
      </c>
      <c r="S90" s="57">
        <v>1.6591891850697074E-6</v>
      </c>
      <c r="U90" s="127">
        <v>1.5527220448079081E-9</v>
      </c>
      <c r="V90" s="127">
        <v>1.7403074115695423E-9</v>
      </c>
      <c r="W90" s="128">
        <v>1.8203417985494965E-9</v>
      </c>
      <c r="X90" s="128">
        <f t="shared" si="2"/>
        <v>1.7134196666241223E-9</v>
      </c>
      <c r="Y90" s="139">
        <f t="shared" si="3"/>
        <v>0.29860312988584686</v>
      </c>
      <c r="AA90" s="73"/>
      <c r="AB90" s="176"/>
      <c r="AC90" s="176"/>
      <c r="AD90" s="176"/>
      <c r="AJ90" s="135"/>
    </row>
    <row r="91" spans="2:36" x14ac:dyDescent="0.35">
      <c r="I91" s="109">
        <v>1.9837441000000001E-2</v>
      </c>
      <c r="J91" s="109">
        <v>1.7893948412039721E-9</v>
      </c>
      <c r="K91" s="109">
        <v>1.4691996616227548E-10</v>
      </c>
      <c r="L91" s="152">
        <v>1.7994866133490177E-9</v>
      </c>
      <c r="N91" s="18">
        <v>3.0236206968941626E-6</v>
      </c>
      <c r="O91" s="18">
        <v>4.0681302190590146E-11</v>
      </c>
      <c r="P91" s="18">
        <v>6.038692942470242E-9</v>
      </c>
      <c r="Q91" s="28">
        <v>0.52252270986663085</v>
      </c>
      <c r="R91" s="60">
        <v>316.97665753998729</v>
      </c>
      <c r="S91" s="57">
        <v>1.6419641452992065E-6</v>
      </c>
      <c r="U91" s="127">
        <v>1.6766743850552788E-9</v>
      </c>
      <c r="V91" s="127">
        <v>1.7994866133490177E-9</v>
      </c>
      <c r="W91" s="128">
        <v>1.8031158093893426E-9</v>
      </c>
      <c r="X91" s="128">
        <f t="shared" si="2"/>
        <v>1.769690855285664E-9</v>
      </c>
      <c r="Y91" s="139">
        <f t="shared" si="3"/>
        <v>1.7986494847128828E-2</v>
      </c>
      <c r="AA91" s="73"/>
      <c r="AB91" s="176"/>
      <c r="AC91" s="176"/>
      <c r="AD91" s="176"/>
      <c r="AJ91" s="135"/>
    </row>
    <row r="92" spans="2:36" x14ac:dyDescent="0.35">
      <c r="I92" s="109">
        <v>2.0035815410000001E-2</v>
      </c>
      <c r="J92" s="109">
        <v>1.8494314650994181E-9</v>
      </c>
      <c r="K92" s="109">
        <v>1.5084433162611461E-10</v>
      </c>
      <c r="L92" s="152">
        <v>1.8106494668101313E-9</v>
      </c>
      <c r="N92" s="18">
        <v>3.0920102541720052E-6</v>
      </c>
      <c r="O92" s="18">
        <v>3.4720300614873111E-11</v>
      </c>
      <c r="P92" s="18">
        <v>3.6978182249334949E-9</v>
      </c>
      <c r="Q92" s="28">
        <v>0.71317718802348939</v>
      </c>
      <c r="R92" s="60">
        <v>337.33560150681899</v>
      </c>
      <c r="S92" s="57">
        <v>1.6419641452992065E-6</v>
      </c>
      <c r="U92" s="127">
        <v>1.7616667284139567E-9</v>
      </c>
      <c r="V92" s="127">
        <v>1.8106494668101313E-9</v>
      </c>
      <c r="W92" s="128">
        <v>1.7352490240223005E-9</v>
      </c>
      <c r="X92" s="128">
        <f t="shared" si="2"/>
        <v>1.7795536715141301E-9</v>
      </c>
      <c r="Y92" s="139">
        <f t="shared" si="3"/>
        <v>0.2145953844975384</v>
      </c>
      <c r="AA92" s="73"/>
      <c r="AB92" s="176"/>
      <c r="AC92" s="176"/>
      <c r="AD92" s="176"/>
      <c r="AJ92" s="135"/>
    </row>
    <row r="93" spans="2:36" x14ac:dyDescent="0.35">
      <c r="I93" s="109">
        <v>2.0236173564099999E-2</v>
      </c>
      <c r="J93" s="109">
        <v>1.704522929778021E-9</v>
      </c>
      <c r="K93" s="109">
        <v>1.4320809675810193E-10</v>
      </c>
      <c r="L93" s="152">
        <v>1.7717663150868188E-9</v>
      </c>
      <c r="N93" s="18">
        <v>3.1524489597356358E-6</v>
      </c>
      <c r="O93" s="18">
        <v>2.9452314778447387E-11</v>
      </c>
      <c r="P93" s="18">
        <v>1.6290895557337576E-9</v>
      </c>
      <c r="Q93" s="28">
        <v>1.281588875373888</v>
      </c>
      <c r="R93" s="60">
        <v>337.33560150681899</v>
      </c>
      <c r="S93" s="57">
        <v>1.630057029256684E-6</v>
      </c>
      <c r="U93" s="127">
        <v>1.8018050615144272E-9</v>
      </c>
      <c r="V93" s="127">
        <v>1.7717663150868188E-9</v>
      </c>
      <c r="W93" s="128">
        <v>1.6194246081363021E-9</v>
      </c>
      <c r="X93" s="128">
        <f t="shared" si="2"/>
        <v>1.7411905749560918E-9</v>
      </c>
      <c r="Y93" s="139">
        <f t="shared" si="3"/>
        <v>6.5558784720450181E-2</v>
      </c>
      <c r="AA93" s="73"/>
      <c r="AB93" s="176"/>
      <c r="AC93" s="176"/>
      <c r="AD93" s="176"/>
      <c r="AJ93" s="135"/>
    </row>
    <row r="94" spans="2:36" x14ac:dyDescent="0.35">
      <c r="I94" s="109">
        <v>2.0438535299700002E-2</v>
      </c>
      <c r="J94" s="109">
        <v>1.7344960175381951E-9</v>
      </c>
      <c r="K94" s="109">
        <v>1.4560289430923617E-10</v>
      </c>
      <c r="L94" s="152">
        <v>1.6837057012167302E-9</v>
      </c>
      <c r="N94" s="18">
        <v>3.1942273436063003E-6</v>
      </c>
      <c r="O94" s="18">
        <v>2.5810808355585536E-11</v>
      </c>
      <c r="P94" s="18">
        <v>1.990764596544104E-10</v>
      </c>
      <c r="Q94" s="28">
        <v>1.7210815880741237</v>
      </c>
      <c r="R94" s="60">
        <v>364.6761974555194</v>
      </c>
      <c r="S94" s="57">
        <v>1.630057029256684E-6</v>
      </c>
      <c r="U94" s="127">
        <v>1.7935019024729537E-9</v>
      </c>
      <c r="V94" s="127">
        <v>1.6837057012167302E-9</v>
      </c>
      <c r="W94" s="128">
        <v>1.4614636630034738E-9</v>
      </c>
      <c r="X94" s="128">
        <f t="shared" si="2"/>
        <v>1.655594241977472E-9</v>
      </c>
      <c r="Y94" s="139">
        <f t="shared" si="3"/>
        <v>0.29365238796040966</v>
      </c>
      <c r="AA94" s="73"/>
      <c r="AB94" s="176"/>
      <c r="AC94" s="176"/>
      <c r="AD94" s="176"/>
      <c r="AJ94" s="135"/>
    </row>
    <row r="95" spans="2:36" x14ac:dyDescent="0.35">
      <c r="I95" s="109">
        <v>2.06429206527E-2</v>
      </c>
      <c r="J95" s="109">
        <v>1.7153042412373194E-9</v>
      </c>
      <c r="K95" s="109">
        <v>1.4715251150316777E-10</v>
      </c>
      <c r="L95" s="152">
        <v>1.5503847581586193E-9</v>
      </c>
      <c r="N95" s="18">
        <v>3.1999999999999999E-6</v>
      </c>
      <c r="O95" s="18">
        <v>2.5307649463664093E-11</v>
      </c>
      <c r="P95" s="18">
        <v>1.486857631694136E-12</v>
      </c>
      <c r="Q95" s="28">
        <v>28.246868249365853</v>
      </c>
      <c r="R95" s="60">
        <v>364.6761974555194</v>
      </c>
      <c r="S95" s="57">
        <v>1.6284117819277478E-6</v>
      </c>
      <c r="U95" s="127">
        <v>1.7358314145905179E-9</v>
      </c>
      <c r="V95" s="127">
        <v>1.5503847581586193E-9</v>
      </c>
      <c r="W95" s="128">
        <v>1.270184287031092E-9</v>
      </c>
      <c r="X95" s="128">
        <f t="shared" si="2"/>
        <v>1.5266963044847121E-9</v>
      </c>
      <c r="Y95" s="139">
        <f t="shared" si="3"/>
        <v>1.6427995336216312</v>
      </c>
      <c r="AA95" s="73"/>
      <c r="AB95" s="176"/>
      <c r="AC95" s="176"/>
      <c r="AD95" s="176"/>
      <c r="AJ95" s="135"/>
    </row>
    <row r="96" spans="2:36" x14ac:dyDescent="0.35">
      <c r="I96" s="109">
        <v>2.0849349859299999E-2</v>
      </c>
      <c r="J96" s="109">
        <v>1.5873161557005194E-9</v>
      </c>
      <c r="K96" s="109">
        <v>1.4342147826950588E-10</v>
      </c>
      <c r="L96" s="152">
        <v>1.3787469619371378E-9</v>
      </c>
      <c r="N96" s="18">
        <v>3.1954457490555711E-6</v>
      </c>
      <c r="O96" s="18">
        <v>2.5394460155846639E-11</v>
      </c>
      <c r="P96" s="18">
        <v>1.4888560802367562E-12</v>
      </c>
      <c r="Q96" s="28">
        <v>1.7210815880741237</v>
      </c>
      <c r="R96" s="60">
        <v>1256.4365685054709</v>
      </c>
      <c r="S96" s="57">
        <v>1.6284117819277478E-6</v>
      </c>
      <c r="U96" s="127">
        <v>1.6307660026146585E-9</v>
      </c>
      <c r="V96" s="127">
        <v>1.3787469619371378E-9</v>
      </c>
      <c r="W96" s="128">
        <v>1.0570454490187309E-9</v>
      </c>
      <c r="X96" s="128">
        <f t="shared" si="2"/>
        <v>1.3613263438769163E-9</v>
      </c>
      <c r="Y96" s="139">
        <f t="shared" si="3"/>
        <v>2.4828434214419079</v>
      </c>
      <c r="AA96" s="73"/>
      <c r="AB96" s="176"/>
      <c r="AC96" s="176"/>
      <c r="AD96" s="176"/>
      <c r="AJ96" s="135"/>
    </row>
    <row r="97" spans="9:36" x14ac:dyDescent="0.35">
      <c r="I97" s="109">
        <v>2.1057843357800001E-2</v>
      </c>
      <c r="J97" s="109">
        <v>1.2852476403121082E-9</v>
      </c>
      <c r="K97" s="109">
        <v>1.2762173386960423E-10</v>
      </c>
      <c r="L97" s="152">
        <v>1.1785424897511167E-9</v>
      </c>
      <c r="N97" s="18">
        <v>3.1624853178046591E-6</v>
      </c>
      <c r="O97" s="18">
        <v>2.6022734242286083E-11</v>
      </c>
      <c r="P97" s="18">
        <v>1.5033194303246767E-12</v>
      </c>
      <c r="Q97" s="28">
        <v>1.281588875373888</v>
      </c>
      <c r="R97" s="60">
        <v>1256.4365685054709</v>
      </c>
      <c r="S97" s="57">
        <v>1.6287872822105684E-6</v>
      </c>
      <c r="U97" s="127">
        <v>1.4832637044075176E-9</v>
      </c>
      <c r="V97" s="127">
        <v>1.1785424897511167E-9</v>
      </c>
      <c r="W97" s="128">
        <v>8.3556895855413943E-10</v>
      </c>
      <c r="X97" s="128">
        <f t="shared" si="2"/>
        <v>1.1689794106159725E-9</v>
      </c>
      <c r="Y97" s="139">
        <f t="shared" si="3"/>
        <v>0.82998995925410646</v>
      </c>
      <c r="AA97" s="73"/>
      <c r="AB97" s="176"/>
      <c r="AC97" s="176"/>
      <c r="AD97" s="176"/>
      <c r="AJ97" s="135"/>
    </row>
    <row r="98" spans="9:36" x14ac:dyDescent="0.35">
      <c r="I98" s="109">
        <v>2.12684217914E-2</v>
      </c>
      <c r="J98" s="109">
        <v>1.0841002316264575E-9</v>
      </c>
      <c r="K98" s="109">
        <v>1.1945051439224895E-10</v>
      </c>
      <c r="L98" s="152">
        <v>9.6189666592226346E-10</v>
      </c>
      <c r="N98" s="18">
        <v>3.1148031047781536E-6</v>
      </c>
      <c r="O98" s="18">
        <v>2.6931627047740807E-11</v>
      </c>
      <c r="P98" s="18">
        <v>1.5242428379924715E-12</v>
      </c>
      <c r="Q98" s="28">
        <v>0.71317718802348939</v>
      </c>
      <c r="R98" s="60">
        <v>1259.878731681619</v>
      </c>
      <c r="S98" s="57">
        <v>1.6287872822105684E-6</v>
      </c>
      <c r="U98" s="127">
        <v>1.3011788874206698E-9</v>
      </c>
      <c r="V98" s="127">
        <v>9.6189666592226346E-10</v>
      </c>
      <c r="W98" s="128">
        <v>6.2055148690610888E-10</v>
      </c>
      <c r="X98" s="128">
        <f t="shared" si="2"/>
        <v>9.6138092654282639E-10</v>
      </c>
      <c r="Y98" s="139">
        <f t="shared" si="3"/>
        <v>1.0554793139452114</v>
      </c>
      <c r="AA98" s="73"/>
      <c r="AB98" s="176"/>
      <c r="AC98" s="176"/>
      <c r="AD98" s="176"/>
      <c r="AJ98" s="135"/>
    </row>
    <row r="99" spans="9:36" x14ac:dyDescent="0.35">
      <c r="I99" s="109">
        <v>2.1481106009300002E-2</v>
      </c>
      <c r="J99" s="109">
        <v>7.9193210724732E-10</v>
      </c>
      <c r="K99" s="109">
        <v>1.027738524423628E-10</v>
      </c>
      <c r="L99" s="152">
        <v>7.4266703253237745E-10</v>
      </c>
      <c r="N99" s="18">
        <v>3.0608481861792212E-6</v>
      </c>
      <c r="O99" s="18">
        <v>2.7960086807068764E-11</v>
      </c>
      <c r="P99" s="18">
        <v>1.5479187684049419E-12</v>
      </c>
      <c r="Q99" s="28">
        <v>0.52252270986663085</v>
      </c>
      <c r="R99" s="60">
        <v>1259.878731681619</v>
      </c>
      <c r="S99" s="57">
        <v>1.6315048863583467E-6</v>
      </c>
      <c r="U99" s="127">
        <v>1.0949758470272196E-9</v>
      </c>
      <c r="V99" s="127">
        <v>7.4266703253237745E-10</v>
      </c>
      <c r="W99" s="128">
        <v>4.2710073436180722E-10</v>
      </c>
      <c r="X99" s="128">
        <f t="shared" si="2"/>
        <v>7.5185266161344546E-10</v>
      </c>
      <c r="Y99" s="139">
        <f t="shared" si="3"/>
        <v>0.15208211350013479</v>
      </c>
      <c r="AA99" s="73"/>
      <c r="AB99" s="176"/>
      <c r="AC99" s="176"/>
      <c r="AD99" s="176"/>
      <c r="AJ99" s="135"/>
    </row>
    <row r="100" spans="9:36" x14ac:dyDescent="0.35">
      <c r="I100" s="109">
        <v>2.1695917069400002E-2</v>
      </c>
      <c r="J100" s="109">
        <v>5.2929654465277081E-10</v>
      </c>
      <c r="K100" s="109">
        <v>8.7050334475817021E-11</v>
      </c>
      <c r="L100" s="152">
        <v>5.3560871110891007E-10</v>
      </c>
      <c r="N100" s="18">
        <v>3.0039068528465205E-6</v>
      </c>
      <c r="O100" s="18">
        <v>2.9045472004486553E-11</v>
      </c>
      <c r="P100" s="18">
        <v>1.5729051659491501E-12</v>
      </c>
      <c r="Q100" s="28">
        <v>0.42522182801861985</v>
      </c>
      <c r="R100" s="60">
        <v>1262.4419094323669</v>
      </c>
      <c r="S100" s="57">
        <v>1.6315048863583467E-6</v>
      </c>
      <c r="U100" s="127">
        <v>8.7723640499748214E-10</v>
      </c>
      <c r="V100" s="127">
        <v>5.3560871110891007E-10</v>
      </c>
      <c r="W100" s="128">
        <v>2.695529123525455E-10</v>
      </c>
      <c r="X100" s="128">
        <f t="shared" si="2"/>
        <v>5.54501684891962E-10</v>
      </c>
      <c r="Y100" s="139">
        <f t="shared" si="3"/>
        <v>8.3837312487978419E-2</v>
      </c>
      <c r="AA100" s="73"/>
      <c r="AB100" s="176"/>
      <c r="AC100" s="176"/>
      <c r="AD100" s="176"/>
      <c r="AJ100" s="135"/>
    </row>
    <row r="101" spans="9:36" x14ac:dyDescent="0.35">
      <c r="I101" s="109">
        <v>2.19128762401E-2</v>
      </c>
      <c r="J101" s="109">
        <v>4.4879602487674302E-10</v>
      </c>
      <c r="K101" s="109">
        <v>3.5365003881931459E-11</v>
      </c>
      <c r="L101" s="152">
        <v>3.5538921924729562E-10</v>
      </c>
      <c r="N101" s="18">
        <v>2.945483542640192E-6</v>
      </c>
      <c r="O101" s="18">
        <v>3.015910585130201E-11</v>
      </c>
      <c r="P101" s="18">
        <v>1.5985418690121882E-12</v>
      </c>
      <c r="Q101" s="28">
        <v>0.36718140925644527</v>
      </c>
      <c r="R101" s="60">
        <v>1262.4419094323669</v>
      </c>
      <c r="S101" s="57">
        <v>1.6354363088239583E-6</v>
      </c>
      <c r="U101" s="127">
        <v>6.619683977962449E-10</v>
      </c>
      <c r="V101" s="127">
        <v>3.5538921924729562E-10</v>
      </c>
      <c r="W101" s="128">
        <v>1.6034942655830719E-10</v>
      </c>
      <c r="X101" s="128">
        <f t="shared" si="2"/>
        <v>3.8327406571228582E-10</v>
      </c>
      <c r="Y101" s="139">
        <f t="shared" si="3"/>
        <v>3.4326247481702326</v>
      </c>
      <c r="AA101" s="73"/>
      <c r="AB101" s="176"/>
      <c r="AC101" s="176"/>
      <c r="AD101" s="176"/>
      <c r="AJ101" s="135"/>
    </row>
    <row r="102" spans="9:36" x14ac:dyDescent="0.35">
      <c r="I102" s="109">
        <v>2.21320050025E-2</v>
      </c>
      <c r="J102" s="109">
        <v>3.6570367263366299E-10</v>
      </c>
      <c r="K102" s="109">
        <v>3.196975181859352E-11</v>
      </c>
      <c r="L102" s="152">
        <v>2.1551512181543174E-10</v>
      </c>
      <c r="N102" s="18">
        <v>2.8863282352025779E-6</v>
      </c>
      <c r="O102" s="18">
        <v>3.1286692637272319E-11</v>
      </c>
      <c r="P102" s="18">
        <v>1.6244997794083121E-12</v>
      </c>
      <c r="Q102" s="28">
        <v>0.32985484968757195</v>
      </c>
      <c r="R102" s="60">
        <v>1263.8682638084138</v>
      </c>
      <c r="S102" s="57">
        <v>1.6354363088239583E-6</v>
      </c>
      <c r="U102" s="127">
        <v>4.6374100625122589E-10</v>
      </c>
      <c r="V102" s="127">
        <v>2.1551512181543174E-10</v>
      </c>
      <c r="W102" s="128">
        <v>1.089654703170629E-10</v>
      </c>
      <c r="X102" s="128">
        <f t="shared" si="2"/>
        <v>2.5093418004978804E-10</v>
      </c>
      <c r="Y102" s="139">
        <f t="shared" si="3"/>
        <v>12.887669594427763</v>
      </c>
      <c r="AA102" s="73"/>
      <c r="AB102" s="176"/>
      <c r="AC102" s="176"/>
      <c r="AD102" s="176"/>
      <c r="AJ102" s="135"/>
    </row>
    <row r="103" spans="9:36" x14ac:dyDescent="0.35">
      <c r="I103" s="109">
        <v>2.2353325052600001E-2</v>
      </c>
      <c r="J103" s="109">
        <v>2.4567275581590274E-10</v>
      </c>
      <c r="K103" s="109">
        <v>2.5496772837426657E-11</v>
      </c>
      <c r="L103" s="152">
        <v>1.2725069095639778E-10</v>
      </c>
      <c r="N103" s="18">
        <v>2.8268283094166677E-6</v>
      </c>
      <c r="O103" s="18">
        <v>3.242084835361548E-11</v>
      </c>
      <c r="P103" s="18">
        <v>1.6506089116067295E-12</v>
      </c>
      <c r="Q103" s="28">
        <v>0.30511585966628851</v>
      </c>
      <c r="R103" s="60">
        <v>1263.8682638084138</v>
      </c>
      <c r="S103" s="57">
        <v>1.6398849190214795E-6</v>
      </c>
      <c r="U103" s="127">
        <v>2.9669332595356333E-10</v>
      </c>
      <c r="V103" s="127">
        <v>1.2725069095639778E-10</v>
      </c>
      <c r="W103" s="128">
        <v>1.2098920013514184E-10</v>
      </c>
      <c r="X103" s="128">
        <f t="shared" si="2"/>
        <v>1.6804597700037518E-10</v>
      </c>
      <c r="Y103" s="139">
        <f t="shared" si="3"/>
        <v>9.2694229964186139</v>
      </c>
      <c r="AA103" s="73"/>
      <c r="AB103" s="176"/>
      <c r="AC103" s="176"/>
      <c r="AD103" s="176"/>
      <c r="AJ103" s="135"/>
    </row>
    <row r="104" spans="9:36" x14ac:dyDescent="0.35">
      <c r="I104" s="109">
        <v>2.2576858303100002E-2</v>
      </c>
      <c r="J104" s="109">
        <v>1.7880344688514576E-10</v>
      </c>
      <c r="K104" s="109">
        <v>2.1983217726420221E-11</v>
      </c>
      <c r="L104" s="152">
        <v>9.8620012591319042E-11</v>
      </c>
      <c r="N104" s="18">
        <v>2.7671822807312982E-6</v>
      </c>
      <c r="O104" s="18">
        <v>3.3557789005173389E-11</v>
      </c>
      <c r="P104" s="18">
        <v>1.6767821551442145E-12</v>
      </c>
      <c r="Q104" s="28">
        <v>0.28889548286974742</v>
      </c>
      <c r="R104" s="60">
        <v>1264.913309228147</v>
      </c>
      <c r="S104" s="57">
        <v>1.6398849190214795E-6</v>
      </c>
      <c r="U104" s="127">
        <v>1.734817980802734E-10</v>
      </c>
      <c r="V104" s="127">
        <v>9.8620012591319042E-11</v>
      </c>
      <c r="W104" s="128">
        <v>1.9744551115041644E-10</v>
      </c>
      <c r="X104" s="128">
        <f t="shared" si="2"/>
        <v>1.4204183360333199E-10</v>
      </c>
      <c r="Y104" s="139">
        <f t="shared" si="3"/>
        <v>2.7964470578894587</v>
      </c>
      <c r="AA104" s="73"/>
      <c r="AB104" s="176"/>
      <c r="AC104" s="176"/>
      <c r="AD104" s="176"/>
      <c r="AJ104" s="135"/>
    </row>
    <row r="105" spans="9:36" x14ac:dyDescent="0.35">
      <c r="I105" s="109">
        <v>2.2802626886099998E-2</v>
      </c>
      <c r="J105" s="109">
        <v>2.4439645571978287E-10</v>
      </c>
      <c r="K105" s="109">
        <v>2.49005819636637E-11</v>
      </c>
      <c r="L105" s="152">
        <v>1.3358632006712971E-10</v>
      </c>
      <c r="N105" s="18">
        <v>2.70748564251657E-6</v>
      </c>
      <c r="O105" s="18">
        <v>3.4695694348472758E-11</v>
      </c>
      <c r="P105" s="18">
        <v>1.7029776066235592E-12</v>
      </c>
      <c r="Q105" s="28">
        <v>0.27901782563242211</v>
      </c>
      <c r="R105" s="60">
        <v>1264.913309228147</v>
      </c>
      <c r="S105" s="57">
        <v>1.6445797606170577E-6</v>
      </c>
      <c r="U105" s="127">
        <v>1.0424719058356881E-10</v>
      </c>
      <c r="V105" s="127">
        <v>1.3358632006712971E-10</v>
      </c>
      <c r="W105" s="128">
        <v>3.3444309459882926E-10</v>
      </c>
      <c r="X105" s="128">
        <f t="shared" si="2"/>
        <v>1.7646573132916439E-10</v>
      </c>
      <c r="Y105" s="139">
        <f t="shared" si="3"/>
        <v>7.4424083795316953</v>
      </c>
      <c r="AA105" s="73"/>
      <c r="AB105" s="176"/>
      <c r="AC105" s="176"/>
      <c r="AD105" s="176"/>
      <c r="AJ105" s="135"/>
    </row>
    <row r="106" spans="9:36" x14ac:dyDescent="0.35">
      <c r="I106" s="109">
        <v>2.3030653155000001E-2</v>
      </c>
      <c r="J106" s="109">
        <v>3.1099173669444997E-10</v>
      </c>
      <c r="K106" s="109">
        <v>2.805991764279453E-11</v>
      </c>
      <c r="L106" s="152">
        <v>2.3149463807859834E-10</v>
      </c>
      <c r="N106" s="18">
        <v>2.6477773259589909E-6</v>
      </c>
      <c r="O106" s="18">
        <v>3.5833822298088476E-11</v>
      </c>
      <c r="P106" s="18">
        <v>1.7291781826705961E-12</v>
      </c>
      <c r="Q106" s="28">
        <v>0.27433079872934468</v>
      </c>
      <c r="R106" s="60">
        <v>1265.7637528841842</v>
      </c>
      <c r="S106" s="57">
        <v>1.6445797606170577E-6</v>
      </c>
      <c r="U106" s="127">
        <v>9.5690055941481173E-11</v>
      </c>
      <c r="V106" s="127">
        <v>2.3149463807859834E-10</v>
      </c>
      <c r="W106" s="128">
        <v>5.2319908128911482E-10</v>
      </c>
      <c r="X106" s="128">
        <f t="shared" si="2"/>
        <v>2.704696033469482E-10</v>
      </c>
      <c r="Y106" s="139">
        <f t="shared" si="3"/>
        <v>2.0855078009685126</v>
      </c>
      <c r="AA106" s="73"/>
      <c r="AB106" s="176"/>
      <c r="AC106" s="176"/>
      <c r="AD106" s="176"/>
      <c r="AJ106" s="135"/>
    </row>
    <row r="107" spans="9:36" x14ac:dyDescent="0.35">
      <c r="I107" s="109">
        <v>2.32609596865E-2</v>
      </c>
      <c r="J107" s="109">
        <v>4.257503672188324E-10</v>
      </c>
      <c r="K107" s="109">
        <v>3.2971759768732326E-11</v>
      </c>
      <c r="L107" s="152">
        <v>3.8684650426187723E-10</v>
      </c>
      <c r="N107" s="18">
        <v>2.5880677080911941E-6</v>
      </c>
      <c r="O107" s="18">
        <v>3.6971975052582559E-11</v>
      </c>
      <c r="P107" s="18">
        <v>1.7553793297449081E-12</v>
      </c>
      <c r="Q107" s="28">
        <v>0.27433079872934468</v>
      </c>
      <c r="R107" s="60">
        <v>1265.7637528841842</v>
      </c>
      <c r="S107" s="57">
        <v>1.6493967919518426E-6</v>
      </c>
      <c r="U107" s="127">
        <v>1.5034310035792348E-10</v>
      </c>
      <c r="V107" s="127">
        <v>3.8684650426187723E-10</v>
      </c>
      <c r="W107" s="128">
        <v>7.5046509496109941E-10</v>
      </c>
      <c r="X107" s="128">
        <f t="shared" si="2"/>
        <v>4.1862530096069437E-10</v>
      </c>
      <c r="Y107" s="139">
        <f t="shared" si="3"/>
        <v>4.6697492477744407E-2</v>
      </c>
      <c r="AA107" s="73"/>
      <c r="AB107" s="176"/>
      <c r="AC107" s="176"/>
      <c r="AD107" s="176"/>
      <c r="AJ107" s="135"/>
    </row>
    <row r="108" spans="9:36" x14ac:dyDescent="0.35">
      <c r="I108" s="109">
        <v>2.34935692834E-2</v>
      </c>
      <c r="J108" s="109">
        <v>5.8404597592618919E-10</v>
      </c>
      <c r="K108" s="109">
        <v>3.94785364150249E-11</v>
      </c>
      <c r="L108" s="152">
        <v>5.8945048322563219E-10</v>
      </c>
      <c r="N108" s="18">
        <v>2.5283593915336151E-6</v>
      </c>
      <c r="O108" s="18">
        <v>3.8110103002198277E-11</v>
      </c>
      <c r="P108" s="18">
        <v>1.781579905791945E-12</v>
      </c>
      <c r="Q108" s="28">
        <v>0.27901782563242211</v>
      </c>
      <c r="R108" s="60">
        <v>1266.4981157026971</v>
      </c>
      <c r="S108" s="57">
        <v>1.6493967919518426E-6</v>
      </c>
      <c r="U108" s="127">
        <v>2.6611904275467757E-10</v>
      </c>
      <c r="V108" s="127">
        <v>5.8945048322563219E-10</v>
      </c>
      <c r="W108" s="128">
        <v>9.9934546747335774E-10</v>
      </c>
      <c r="X108" s="128">
        <f t="shared" si="2"/>
        <v>6.110913691698249E-10</v>
      </c>
      <c r="Y108" s="139">
        <f t="shared" si="3"/>
        <v>0.46931508479298339</v>
      </c>
      <c r="AA108" s="73"/>
      <c r="AB108" s="176"/>
      <c r="AC108" s="176"/>
      <c r="AD108" s="176"/>
      <c r="AJ108" s="135"/>
    </row>
    <row r="109" spans="9:36" x14ac:dyDescent="0.35">
      <c r="I109" s="109">
        <v>2.37285049762E-2</v>
      </c>
      <c r="J109" s="109">
        <v>7.6799954147300441E-10</v>
      </c>
      <c r="K109" s="109">
        <v>4.7027845636322388E-11</v>
      </c>
      <c r="L109" s="152">
        <v>8.2496225070841609E-10</v>
      </c>
      <c r="N109" s="18">
        <v>2.4686627533188868E-6</v>
      </c>
      <c r="O109" s="18">
        <v>3.9248008345497645E-11</v>
      </c>
      <c r="P109" s="18">
        <v>1.8077753572712897E-12</v>
      </c>
      <c r="Q109" s="28">
        <v>0.28889548286974742</v>
      </c>
      <c r="R109" s="60">
        <v>1266.4981157026971</v>
      </c>
      <c r="S109" s="57">
        <v>1.6542741768268089E-6</v>
      </c>
      <c r="U109" s="127">
        <v>4.3619405628694889E-10</v>
      </c>
      <c r="V109" s="127">
        <v>8.2496225070841609E-10</v>
      </c>
      <c r="W109" s="128">
        <v>1.2504659682835626E-9</v>
      </c>
      <c r="X109" s="128">
        <f t="shared" si="2"/>
        <v>8.3414613149683583E-10</v>
      </c>
      <c r="Y109" s="139">
        <f t="shared" si="3"/>
        <v>1.978357404910243</v>
      </c>
      <c r="AA109" s="73"/>
      <c r="AB109" s="176"/>
      <c r="AC109" s="176"/>
      <c r="AD109" s="176"/>
      <c r="AJ109" s="135"/>
    </row>
    <row r="110" spans="9:36" x14ac:dyDescent="0.35">
      <c r="I110" s="109">
        <v>2.3965790026000001E-2</v>
      </c>
      <c r="J110" s="109">
        <v>1.1038302705632766E-9</v>
      </c>
      <c r="K110" s="109">
        <v>6.0420272889208197E-11</v>
      </c>
      <c r="L110" s="152">
        <v>1.0757963814075615E-9</v>
      </c>
      <c r="N110" s="18">
        <v>2.4090167246335174E-6</v>
      </c>
      <c r="O110" s="18">
        <v>4.0384948997055555E-11</v>
      </c>
      <c r="P110" s="18">
        <v>1.8339486008087749E-12</v>
      </c>
      <c r="Q110" s="28">
        <v>0.30511585966628851</v>
      </c>
      <c r="R110" s="60">
        <v>1267.1578254020721</v>
      </c>
      <c r="S110" s="57">
        <v>1.6542741768268089E-6</v>
      </c>
      <c r="U110" s="127">
        <v>6.4926172793799687E-10</v>
      </c>
      <c r="V110" s="127">
        <v>1.0757963814075615E-9</v>
      </c>
      <c r="W110" s="128">
        <v>1.4834221016654348E-9</v>
      </c>
      <c r="X110" s="128">
        <f t="shared" si="2"/>
        <v>1.0710691481046387E-9</v>
      </c>
      <c r="Y110" s="139">
        <f t="shared" si="3"/>
        <v>0.2940032838911954</v>
      </c>
      <c r="AA110" s="73"/>
      <c r="AB110" s="176"/>
      <c r="AC110" s="176"/>
      <c r="AD110" s="176"/>
      <c r="AJ110" s="135"/>
    </row>
    <row r="111" spans="9:36" x14ac:dyDescent="0.35">
      <c r="I111" s="109">
        <v>2.42054479262E-2</v>
      </c>
      <c r="J111" s="109">
        <v>1.3360560445146999E-9</v>
      </c>
      <c r="K111" s="109">
        <v>6.8503702925937758E-11</v>
      </c>
      <c r="L111" s="152">
        <v>1.3223614142583323E-9</v>
      </c>
      <c r="N111" s="18">
        <v>2.3495167988476071E-6</v>
      </c>
      <c r="O111" s="18">
        <v>4.1519104713398716E-11</v>
      </c>
      <c r="P111" s="18">
        <v>1.8600577330071923E-12</v>
      </c>
      <c r="Q111" s="28">
        <v>0.32985484968757195</v>
      </c>
      <c r="R111" s="60">
        <v>1267.1578254020721</v>
      </c>
      <c r="S111" s="57">
        <v>1.6591799756580612E-6</v>
      </c>
      <c r="U111" s="127">
        <v>8.9016333560752138E-10</v>
      </c>
      <c r="V111" s="127">
        <v>1.3223614142583323E-9</v>
      </c>
      <c r="W111" s="128">
        <v>1.6784111348689001E-9</v>
      </c>
      <c r="X111" s="128">
        <f t="shared" si="2"/>
        <v>1.3033243247482715E-9</v>
      </c>
      <c r="Y111" s="139">
        <f t="shared" si="3"/>
        <v>0.22830191442944395</v>
      </c>
      <c r="AA111" s="73"/>
      <c r="AB111" s="176"/>
      <c r="AC111" s="176"/>
      <c r="AD111" s="176"/>
      <c r="AJ111" s="135"/>
    </row>
    <row r="112" spans="9:36" x14ac:dyDescent="0.35">
      <c r="I112" s="109">
        <v>2.4447502405500001E-2</v>
      </c>
      <c r="J112" s="109">
        <v>1.480596905732734E-9</v>
      </c>
      <c r="K112" s="109">
        <v>7.3303924658632389E-11</v>
      </c>
      <c r="L112" s="152">
        <v>1.5445422980491663E-9</v>
      </c>
      <c r="N112" s="18">
        <v>2.290361491409993E-6</v>
      </c>
      <c r="O112" s="18">
        <v>4.2646691499369025E-11</v>
      </c>
      <c r="P112" s="18">
        <v>1.8860156434033162E-12</v>
      </c>
      <c r="Q112" s="28">
        <v>0.36718140925644527</v>
      </c>
      <c r="R112" s="60">
        <v>1267.7680571214048</v>
      </c>
      <c r="S112" s="57">
        <v>1.6591799756580612E-6</v>
      </c>
      <c r="U112" s="127">
        <v>1.1408699690714547E-9</v>
      </c>
      <c r="V112" s="127">
        <v>1.5445422980491663E-9</v>
      </c>
      <c r="W112" s="128">
        <v>1.8179320074549433E-9</v>
      </c>
      <c r="X112" s="128">
        <f t="shared" si="2"/>
        <v>1.5119716431561829E-9</v>
      </c>
      <c r="Y112" s="139">
        <f t="shared" si="3"/>
        <v>0.18319167995767685</v>
      </c>
      <c r="AA112" s="73"/>
      <c r="AB112" s="176"/>
      <c r="AC112" s="176"/>
      <c r="AD112" s="176"/>
      <c r="AJ112" s="135"/>
    </row>
    <row r="113" spans="9:36" x14ac:dyDescent="0.35">
      <c r="I113" s="109">
        <v>2.4691977429599998E-2</v>
      </c>
      <c r="J113" s="109">
        <v>1.7047827988644856E-9</v>
      </c>
      <c r="K113" s="109">
        <v>7.9397124047901188E-11</v>
      </c>
      <c r="L113" s="152">
        <v>1.7233310081080804E-9</v>
      </c>
      <c r="N113" s="18">
        <v>2.2319381812036645E-6</v>
      </c>
      <c r="O113" s="18">
        <v>4.3760325346184482E-11</v>
      </c>
      <c r="P113" s="18">
        <v>1.9116523464663543E-12</v>
      </c>
      <c r="Q113" s="28">
        <v>0.42522182801861985</v>
      </c>
      <c r="R113" s="60">
        <v>1267.7680571214048</v>
      </c>
      <c r="S113" s="57">
        <v>1.6640978207469171E-6</v>
      </c>
      <c r="U113" s="127">
        <v>1.3817630241953745E-9</v>
      </c>
      <c r="V113" s="127">
        <v>1.7233310081080804E-9</v>
      </c>
      <c r="W113" s="128">
        <v>1.8884222544150991E-9</v>
      </c>
      <c r="X113" s="128">
        <f t="shared" si="2"/>
        <v>1.6792118237066586E-9</v>
      </c>
      <c r="Y113" s="139">
        <f t="shared" si="3"/>
        <v>0.1037253807157946</v>
      </c>
      <c r="AA113" s="73"/>
      <c r="AB113" s="176"/>
      <c r="AC113" s="176"/>
      <c r="AD113" s="176"/>
      <c r="AJ113" s="135"/>
    </row>
    <row r="114" spans="9:36" x14ac:dyDescent="0.35">
      <c r="I114" s="109">
        <v>2.4938897203899999E-2</v>
      </c>
      <c r="J114" s="109">
        <v>1.7209980112183175E-9</v>
      </c>
      <c r="K114" s="109">
        <v>7.7765872373159167E-11</v>
      </c>
      <c r="L114" s="152">
        <v>1.8424874641822274E-9</v>
      </c>
      <c r="N114" s="18">
        <v>2.1749968478709638E-6</v>
      </c>
      <c r="O114" s="18">
        <v>4.4845710543602274E-11</v>
      </c>
      <c r="P114" s="18">
        <v>1.9366387440105623E-12</v>
      </c>
      <c r="Q114" s="28">
        <v>0.52252270986663085</v>
      </c>
      <c r="R114" s="60">
        <v>1268.3458480871443</v>
      </c>
      <c r="S114" s="57">
        <v>1.6640978207469171E-6</v>
      </c>
      <c r="U114" s="127">
        <v>1.5931335925553805E-9</v>
      </c>
      <c r="V114" s="127">
        <v>1.8424874641822274E-9</v>
      </c>
      <c r="W114" s="128">
        <v>1.8816916118504989E-9</v>
      </c>
      <c r="X114" s="128">
        <f t="shared" si="2"/>
        <v>1.7899500331925835E-9</v>
      </c>
      <c r="Y114" s="139">
        <f t="shared" si="3"/>
        <v>0.78616900157637803</v>
      </c>
      <c r="AA114" s="73"/>
      <c r="AB114" s="176"/>
      <c r="AC114" s="176"/>
      <c r="AD114" s="176"/>
      <c r="AJ114" s="135"/>
    </row>
    <row r="115" spans="9:36" x14ac:dyDescent="0.35">
      <c r="I115" s="109">
        <v>2.51882861759E-2</v>
      </c>
      <c r="J115" s="109">
        <v>1.7535986235360659E-9</v>
      </c>
      <c r="K115" s="109">
        <v>7.9283909570726651E-11</v>
      </c>
      <c r="L115" s="152">
        <v>1.8900992565461548E-9</v>
      </c>
      <c r="N115" s="18">
        <v>2.1210419292720315E-6</v>
      </c>
      <c r="O115" s="18">
        <v>4.5874170302930228E-11</v>
      </c>
      <c r="P115" s="18">
        <v>1.9603146744230327E-12</v>
      </c>
      <c r="Q115" s="28">
        <v>0.71317718802348939</v>
      </c>
      <c r="R115" s="60">
        <v>1268.3458480871443</v>
      </c>
      <c r="S115" s="57">
        <v>1.6690198386169436E-6</v>
      </c>
      <c r="U115" s="127">
        <v>1.7567992121737973E-9</v>
      </c>
      <c r="V115" s="127">
        <v>1.8900992565461548E-9</v>
      </c>
      <c r="W115" s="128">
        <v>1.7960095706082526E-9</v>
      </c>
      <c r="X115" s="128">
        <f t="shared" si="2"/>
        <v>1.83325182396859E-9</v>
      </c>
      <c r="Y115" s="139">
        <f t="shared" si="3"/>
        <v>1.0093373525743399</v>
      </c>
      <c r="AA115" s="73"/>
      <c r="AB115" s="176"/>
      <c r="AC115" s="176"/>
      <c r="AD115" s="176"/>
      <c r="AJ115" s="135"/>
    </row>
    <row r="116" spans="9:36" x14ac:dyDescent="0.35">
      <c r="I116" s="109">
        <v>2.5440169037600002E-2</v>
      </c>
      <c r="J116" s="109">
        <v>1.7315523785387264E-9</v>
      </c>
      <c r="K116" s="109">
        <v>7.9277735501498474E-11</v>
      </c>
      <c r="L116" s="152">
        <v>1.8599010616023236E-9</v>
      </c>
      <c r="N116" s="18">
        <v>2.073359716245526E-6</v>
      </c>
      <c r="O116" s="18">
        <v>4.6783063108384949E-11</v>
      </c>
      <c r="P116" s="18">
        <v>1.9812380820908275E-12</v>
      </c>
      <c r="Q116" s="28">
        <v>1.281588875373888</v>
      </c>
      <c r="R116" s="60">
        <v>1268.9038837384091</v>
      </c>
      <c r="S116" s="57">
        <v>1.6690198386169436E-6</v>
      </c>
      <c r="U116" s="127">
        <v>1.8577189303465439E-9</v>
      </c>
      <c r="V116" s="127">
        <v>1.8599010616023236E-9</v>
      </c>
      <c r="W116" s="128">
        <v>1.6367115217459404E-9</v>
      </c>
      <c r="X116" s="128">
        <f t="shared" si="2"/>
        <v>1.8035581438242829E-9</v>
      </c>
      <c r="Y116" s="139">
        <f t="shared" si="3"/>
        <v>0.82495843627945131</v>
      </c>
      <c r="AA116" s="73"/>
      <c r="AB116" s="176"/>
      <c r="AC116" s="176"/>
      <c r="AD116" s="176"/>
      <c r="AJ116" s="135"/>
    </row>
    <row r="117" spans="9:36" x14ac:dyDescent="0.35">
      <c r="I117" s="109">
        <v>2.5694570728E-2</v>
      </c>
      <c r="J117" s="109">
        <v>1.7336477586011022E-9</v>
      </c>
      <c r="K117" s="109">
        <v>8.141866903393868E-11</v>
      </c>
      <c r="L117" s="152">
        <v>1.7522148912037279E-9</v>
      </c>
      <c r="N117" s="18">
        <v>2.040399284994614E-6</v>
      </c>
      <c r="O117" s="18">
        <v>4.7411337194824393E-11</v>
      </c>
      <c r="P117" s="18">
        <v>1.995701432178748E-12</v>
      </c>
      <c r="Q117" s="28">
        <v>1.7210815880741237</v>
      </c>
      <c r="R117" s="60">
        <v>1268.9038837384091</v>
      </c>
      <c r="S117" s="57">
        <v>1.6739428193722167E-6</v>
      </c>
      <c r="U117" s="127">
        <v>1.885475327756826E-9</v>
      </c>
      <c r="V117" s="127">
        <v>1.7522148912037279E-9</v>
      </c>
      <c r="W117" s="128">
        <v>1.4162088033064525E-9</v>
      </c>
      <c r="X117" s="128">
        <f t="shared" si="2"/>
        <v>1.7015284783676834E-9</v>
      </c>
      <c r="Y117" s="139">
        <f t="shared" si="3"/>
        <v>0.15562652202388885</v>
      </c>
      <c r="AA117" s="73"/>
      <c r="AB117" s="176"/>
      <c r="AC117" s="176"/>
      <c r="AD117" s="176"/>
      <c r="AJ117" s="135"/>
    </row>
    <row r="118" spans="9:36" x14ac:dyDescent="0.35">
      <c r="I118" s="109">
        <v>2.5951516435299998E-2</v>
      </c>
      <c r="J118" s="109">
        <v>1.4198630009899282E-9</v>
      </c>
      <c r="K118" s="109">
        <v>7.2646205456122566E-11</v>
      </c>
      <c r="L118" s="152">
        <v>1.5743833366240717E-9</v>
      </c>
      <c r="N118" s="18">
        <v>2.0358450340501852E-6</v>
      </c>
      <c r="O118" s="18">
        <v>4.7498147887006942E-11</v>
      </c>
      <c r="P118" s="18">
        <v>1.9976998807213682E-12</v>
      </c>
      <c r="Q118" s="28">
        <v>100</v>
      </c>
      <c r="R118" s="60">
        <v>1269.4525453358679</v>
      </c>
      <c r="S118" s="57">
        <v>1.6739428193722167E-6</v>
      </c>
      <c r="U118" s="127">
        <v>1.8354863381053648E-9</v>
      </c>
      <c r="V118" s="127">
        <v>1.5743833366240717E-9</v>
      </c>
      <c r="W118" s="128">
        <v>1.153325228478588E-9</v>
      </c>
      <c r="X118" s="128">
        <f t="shared" si="2"/>
        <v>1.5343945599580241E-9</v>
      </c>
      <c r="Y118" s="139">
        <f t="shared" si="3"/>
        <v>2.485561281936604</v>
      </c>
      <c r="AA118" s="73"/>
      <c r="AB118" s="176"/>
      <c r="AC118" s="176"/>
      <c r="AD118" s="176"/>
      <c r="AJ118" s="135"/>
    </row>
    <row r="119" spans="9:36" x14ac:dyDescent="0.35">
      <c r="I119" s="109">
        <v>2.6211031599700001E-2</v>
      </c>
      <c r="J119" s="109">
        <v>1.2060522079329798E-9</v>
      </c>
      <c r="K119" s="109">
        <v>6.6789003178941354E-11</v>
      </c>
      <c r="L119" s="152">
        <v>1.340593029781752E-9</v>
      </c>
      <c r="R119" s="60">
        <v>1269.4525453358679</v>
      </c>
      <c r="S119" s="57">
        <v>1.6774312444747129E-6</v>
      </c>
      <c r="U119" s="127">
        <v>1.7098125071935289E-9</v>
      </c>
      <c r="V119" s="127">
        <v>1.340593029781752E-9</v>
      </c>
      <c r="W119" s="128">
        <v>8.719381899477137E-10</v>
      </c>
      <c r="X119" s="128">
        <f t="shared" si="2"/>
        <v>1.3157341891761867E-9</v>
      </c>
      <c r="Y119" s="139">
        <f t="shared" si="3"/>
        <v>2.696873961036403</v>
      </c>
      <c r="AA119" s="73"/>
      <c r="AB119" s="176"/>
      <c r="AC119" s="176"/>
      <c r="AD119" s="176"/>
      <c r="AJ119" s="135"/>
    </row>
    <row r="120" spans="9:36" x14ac:dyDescent="0.35">
      <c r="I120" s="109">
        <v>2.6473141915700001E-2</v>
      </c>
      <c r="J120" s="109">
        <v>1.0852818904942528E-9</v>
      </c>
      <c r="K120" s="109">
        <v>6.6727071170996335E-11</v>
      </c>
      <c r="L120" s="152">
        <v>1.0710273037897908E-9</v>
      </c>
      <c r="R120" s="60">
        <v>1269.6798180631406</v>
      </c>
      <c r="S120" s="57">
        <v>1.6774312444747129E-6</v>
      </c>
      <c r="U120" s="127">
        <v>1.5174396355993066E-9</v>
      </c>
      <c r="V120" s="127">
        <v>1.0710273037897908E-9</v>
      </c>
      <c r="W120" s="128">
        <v>5.9897458201645125E-10</v>
      </c>
      <c r="X120" s="128">
        <f t="shared" si="2"/>
        <v>1.0646172062988349E-9</v>
      </c>
      <c r="Y120" s="139">
        <f t="shared" si="3"/>
        <v>9.5907687475753206E-2</v>
      </c>
      <c r="AA120" s="73"/>
      <c r="AB120" s="176"/>
      <c r="AC120" s="176"/>
      <c r="AD120" s="176"/>
      <c r="AJ120" s="135"/>
    </row>
    <row r="121" spans="9:36" x14ac:dyDescent="0.35">
      <c r="I121" s="109">
        <v>2.6737873334799999E-2</v>
      </c>
      <c r="J121" s="109">
        <v>8.7660955317206352E-10</v>
      </c>
      <c r="K121" s="109">
        <v>6.0632770672107988E-11</v>
      </c>
      <c r="L121" s="152">
        <v>7.9034608468288821E-10</v>
      </c>
      <c r="R121" s="60">
        <v>1269.6798180631406</v>
      </c>
      <c r="S121" s="57">
        <v>1.6805001481956705E-6</v>
      </c>
      <c r="U121" s="127">
        <v>1.2739455009748821E-9</v>
      </c>
      <c r="V121" s="127">
        <v>7.9034608468288821E-10</v>
      </c>
      <c r="W121" s="128">
        <v>3.6189453597940011E-10</v>
      </c>
      <c r="X121" s="128">
        <f t="shared" si="2"/>
        <v>8.0413305158001458E-10</v>
      </c>
      <c r="Y121" s="139">
        <f t="shared" si="3"/>
        <v>1.4288268922789262</v>
      </c>
      <c r="AA121" s="73"/>
      <c r="AB121" s="176"/>
      <c r="AC121" s="176"/>
      <c r="AD121" s="176"/>
      <c r="AJ121" s="135"/>
    </row>
    <row r="122" spans="9:36" x14ac:dyDescent="0.35">
      <c r="I122" s="109">
        <v>2.7005252068200002E-2</v>
      </c>
      <c r="J122" s="109">
        <v>6.7394737271314476E-10</v>
      </c>
      <c r="K122" s="109">
        <v>5.2423117993488746E-11</v>
      </c>
      <c r="L122" s="152">
        <v>5.2556456795539376E-10</v>
      </c>
      <c r="R122" s="60">
        <v>1270.1343635176861</v>
      </c>
      <c r="S122" s="57">
        <v>1.6805001481956705E-6</v>
      </c>
      <c r="U122" s="127">
        <v>1.0005045308482201E-9</v>
      </c>
      <c r="V122" s="127">
        <v>5.2556456795539376E-10</v>
      </c>
      <c r="W122" s="128">
        <v>1.8587879551950263E-10</v>
      </c>
      <c r="X122" s="128">
        <f t="shared" si="2"/>
        <v>5.5937811556962755E-10</v>
      </c>
      <c r="Y122" s="139">
        <f t="shared" si="3"/>
        <v>4.7762879141492407</v>
      </c>
      <c r="AA122" s="73"/>
      <c r="AB122" s="176"/>
      <c r="AC122" s="176"/>
      <c r="AD122" s="176"/>
      <c r="AJ122" s="135"/>
    </row>
    <row r="123" spans="9:36" x14ac:dyDescent="0.35">
      <c r="I123" s="109">
        <v>2.7275304588799999E-2</v>
      </c>
      <c r="J123" s="109">
        <v>5.757640908833801E-10</v>
      </c>
      <c r="K123" s="109">
        <v>4.7982990842074567E-11</v>
      </c>
      <c r="L123" s="152">
        <v>3.0348318578872927E-10</v>
      </c>
      <c r="R123" s="60">
        <v>1270.1343635176861</v>
      </c>
      <c r="S123" s="57">
        <v>1.684552832544751E-6</v>
      </c>
      <c r="U123" s="127">
        <v>7.2224557106277155E-10</v>
      </c>
      <c r="V123" s="127">
        <v>3.0348318578872927E-10</v>
      </c>
      <c r="W123" s="128">
        <v>9.1004697084255221E-11</v>
      </c>
      <c r="X123" s="128">
        <f t="shared" si="2"/>
        <v>3.5505415993112129E-10</v>
      </c>
      <c r="Y123" s="139">
        <f t="shared" si="3"/>
        <v>21.15773243062203</v>
      </c>
      <c r="AA123" s="73"/>
      <c r="AB123" s="176"/>
      <c r="AC123" s="176"/>
      <c r="AD123" s="176"/>
      <c r="AJ123" s="135"/>
    </row>
    <row r="124" spans="9:36" x14ac:dyDescent="0.35">
      <c r="I124" s="109">
        <v>2.7548057634700002E-2</v>
      </c>
      <c r="J124" s="109">
        <v>3.9472777356456211E-10</v>
      </c>
      <c r="K124" s="109">
        <v>4.2254432665317454E-11</v>
      </c>
      <c r="L124" s="152">
        <v>1.4789875516139236E-10</v>
      </c>
      <c r="R124" s="60">
        <v>1270.5889089722316</v>
      </c>
      <c r="S124" s="57">
        <v>1.684552832544751E-6</v>
      </c>
      <c r="U124" s="127">
        <v>4.6605150349258776E-10</v>
      </c>
      <c r="V124" s="127">
        <v>1.4789875516139236E-10</v>
      </c>
      <c r="W124" s="128">
        <v>8.9736822757512727E-11</v>
      </c>
      <c r="X124" s="128">
        <f t="shared" si="2"/>
        <v>2.128964591432213E-10</v>
      </c>
      <c r="Y124" s="139">
        <f t="shared" si="3"/>
        <v>18.517945704723303</v>
      </c>
      <c r="AA124" s="73"/>
      <c r="AB124" s="176"/>
      <c r="AC124" s="176"/>
      <c r="AD124" s="176"/>
      <c r="AJ124" s="135"/>
    </row>
    <row r="125" spans="9:36" x14ac:dyDescent="0.35">
      <c r="I125" s="109">
        <v>2.78235382111E-2</v>
      </c>
      <c r="J125" s="109">
        <v>3.9966392510897061E-10</v>
      </c>
      <c r="K125" s="109">
        <v>4.522733320603122E-11</v>
      </c>
      <c r="L125" s="152">
        <v>7.6887137760287099E-11</v>
      </c>
      <c r="R125" s="60">
        <v>1270.5889089722316</v>
      </c>
      <c r="S125" s="57">
        <v>1.6885268223934456E-6</v>
      </c>
      <c r="U125" s="127">
        <v>2.5796772424933296E-10</v>
      </c>
      <c r="V125" s="127">
        <v>7.6887137760287099E-11</v>
      </c>
      <c r="W125" s="128">
        <v>1.8505994611978587E-10</v>
      </c>
      <c r="X125" s="128">
        <f t="shared" si="2"/>
        <v>1.4920048647242326E-10</v>
      </c>
      <c r="Y125" s="139">
        <f t="shared" si="3"/>
        <v>30.668089088182793</v>
      </c>
      <c r="AA125" s="73"/>
      <c r="AB125" s="176"/>
      <c r="AC125" s="176"/>
      <c r="AD125" s="176"/>
      <c r="AJ125" s="135"/>
    </row>
    <row r="126" spans="9:36" x14ac:dyDescent="0.35">
      <c r="I126" s="109">
        <v>2.81017735932E-2</v>
      </c>
      <c r="J126" s="109">
        <v>2.9849291871118374E-10</v>
      </c>
      <c r="K126" s="109">
        <v>3.743913056803823E-11</v>
      </c>
      <c r="L126" s="152">
        <v>1.0047812291042798E-10</v>
      </c>
      <c r="R126" s="60">
        <v>1271.0434544267771</v>
      </c>
      <c r="S126" s="57">
        <v>1.6885268223934456E-6</v>
      </c>
      <c r="U126" s="127">
        <v>1.2045827618036113E-10</v>
      </c>
      <c r="V126" s="127">
        <v>1.0047812291042798E-10</v>
      </c>
      <c r="W126" s="128">
        <v>3.6953829656245639E-10</v>
      </c>
      <c r="X126" s="128">
        <f t="shared" si="2"/>
        <v>1.7273820464091837E-10</v>
      </c>
      <c r="Y126" s="139">
        <f t="shared" si="3"/>
        <v>11.282284285666424</v>
      </c>
      <c r="AA126" s="73"/>
      <c r="AB126" s="176"/>
      <c r="AC126" s="176"/>
      <c r="AD126" s="176"/>
      <c r="AJ126" s="135"/>
    </row>
    <row r="127" spans="9:36" x14ac:dyDescent="0.35">
      <c r="I127" s="109">
        <v>2.8382791329100002E-2</v>
      </c>
      <c r="J127" s="109">
        <v>5.2140596241511909E-10</v>
      </c>
      <c r="K127" s="109">
        <v>4.9733446839271245E-11</v>
      </c>
      <c r="L127" s="152">
        <v>2.1903392298244846E-10</v>
      </c>
      <c r="R127" s="60">
        <v>1271.0434544267771</v>
      </c>
      <c r="S127" s="57">
        <v>1.6923969629136185E-6</v>
      </c>
      <c r="U127" s="127">
        <v>6.9800973848074426E-11</v>
      </c>
      <c r="V127" s="127">
        <v>2.1903392298244846E-10</v>
      </c>
      <c r="W127" s="128">
        <v>6.2549852691898045E-10</v>
      </c>
      <c r="X127" s="128">
        <f t="shared" si="2"/>
        <v>2.8334183668298796E-10</v>
      </c>
      <c r="Y127" s="139">
        <f t="shared" si="3"/>
        <v>22.913466252257709</v>
      </c>
      <c r="AA127" s="73"/>
      <c r="AB127" s="176"/>
      <c r="AC127" s="176"/>
      <c r="AD127" s="176"/>
      <c r="AJ127" s="135"/>
    </row>
    <row r="128" spans="9:36" x14ac:dyDescent="0.35">
      <c r="I128" s="109">
        <v>2.86666192424E-2</v>
      </c>
      <c r="J128" s="109">
        <v>6.2844704187621829E-10</v>
      </c>
      <c r="K128" s="109">
        <v>5.7364564378665313E-11</v>
      </c>
      <c r="L128" s="152">
        <v>4.2259000958983927E-10</v>
      </c>
      <c r="R128" s="60">
        <v>1271.4979998813226</v>
      </c>
      <c r="S128" s="57">
        <v>1.6923969629136185E-6</v>
      </c>
      <c r="U128" s="127">
        <v>1.1393429134151991E-10</v>
      </c>
      <c r="V128" s="127">
        <v>4.2259000958983927E-10</v>
      </c>
      <c r="W128" s="128">
        <v>9.2641353674942065E-10</v>
      </c>
      <c r="X128" s="128">
        <f t="shared" si="2"/>
        <v>4.7138196181765477E-10</v>
      </c>
      <c r="Y128" s="139">
        <f t="shared" si="3"/>
        <v>7.4967301802244144</v>
      </c>
      <c r="AA128" s="73"/>
      <c r="AB128" s="176"/>
      <c r="AC128" s="176"/>
      <c r="AD128" s="176"/>
      <c r="AJ128" s="135"/>
    </row>
    <row r="129" spans="9:36" x14ac:dyDescent="0.35">
      <c r="I129" s="109">
        <v>2.89532854348E-2</v>
      </c>
      <c r="J129" s="109">
        <v>8.6810284023202392E-10</v>
      </c>
      <c r="K129" s="109">
        <v>6.7990489686743769E-11</v>
      </c>
      <c r="L129" s="152">
        <v>6.9132463178494584E-10</v>
      </c>
      <c r="R129" s="60">
        <v>1271.4979998813226</v>
      </c>
      <c r="S129" s="57">
        <v>1.6961611338401138E-6</v>
      </c>
      <c r="U129" s="127">
        <v>2.5105102382455473E-10</v>
      </c>
      <c r="V129" s="127">
        <v>6.9132463178494584E-10</v>
      </c>
      <c r="W129" s="128">
        <v>1.2394251333215001E-9</v>
      </c>
      <c r="X129" s="128">
        <f t="shared" si="2"/>
        <v>7.1828135517898665E-10</v>
      </c>
      <c r="Y129" s="139">
        <f t="shared" si="3"/>
        <v>4.8557001123448291</v>
      </c>
      <c r="AA129" s="73"/>
      <c r="AB129" s="176"/>
      <c r="AC129" s="176"/>
      <c r="AD129" s="176"/>
      <c r="AJ129" s="135"/>
    </row>
    <row r="130" spans="9:36" x14ac:dyDescent="0.35">
      <c r="I130" s="109">
        <v>2.9242818289200001E-2</v>
      </c>
      <c r="J130" s="109">
        <v>1.0201300497148211E-9</v>
      </c>
      <c r="K130" s="109">
        <v>7.4324782230406277E-11</v>
      </c>
      <c r="L130" s="152">
        <v>9.9720139971926758E-10</v>
      </c>
      <c r="R130" s="60">
        <v>1271.9525453358681</v>
      </c>
      <c r="S130" s="57">
        <v>1.6961611338401138E-6</v>
      </c>
      <c r="U130" s="127">
        <v>4.6917465470996483E-10</v>
      </c>
      <c r="V130" s="127">
        <v>9.9720139971926758E-10</v>
      </c>
      <c r="W130" s="127">
        <v>1.5288020359939961E-9</v>
      </c>
      <c r="X130" s="128">
        <f t="shared" si="2"/>
        <v>9.9809487253562393E-10</v>
      </c>
      <c r="Y130" s="139">
        <f t="shared" si="3"/>
        <v>8.7895330401236788E-2</v>
      </c>
      <c r="AA130" s="73"/>
      <c r="AB130" s="176"/>
      <c r="AC130" s="176"/>
      <c r="AD130" s="176"/>
      <c r="AJ130" s="135"/>
    </row>
    <row r="131" spans="9:36" x14ac:dyDescent="0.35">
      <c r="I131" s="109">
        <v>2.9535246472099999E-2</v>
      </c>
      <c r="J131" s="49">
        <v>1.4356142381769864E-9</v>
      </c>
      <c r="K131" s="49">
        <v>9.1047899093638339E-11</v>
      </c>
      <c r="L131" s="152">
        <v>1.3066922395485284E-9</v>
      </c>
      <c r="R131" s="60">
        <v>1271.9525453358681</v>
      </c>
      <c r="S131" s="57">
        <v>1.6998582847553837E-6</v>
      </c>
      <c r="U131" s="127">
        <v>7.4685855348870216E-10</v>
      </c>
      <c r="V131" s="127">
        <v>1.3066922395485284E-9</v>
      </c>
      <c r="W131" s="127">
        <v>1.7600016581598307E-9</v>
      </c>
      <c r="X131" s="128">
        <f t="shared" ref="X131:X194" si="4">(U131+2*V131+W131)/4</f>
        <v>1.2800611726863973E-9</v>
      </c>
      <c r="Y131" s="139">
        <f t="shared" ref="Y131:Y194" si="5">(J131-X131)*(J131-X131)/(K131*K131)</f>
        <v>2.9188870540493603</v>
      </c>
      <c r="AA131" s="73"/>
      <c r="AB131" s="176"/>
      <c r="AC131" s="176"/>
      <c r="AD131" s="176"/>
      <c r="AJ131" s="135"/>
    </row>
    <row r="132" spans="9:36" x14ac:dyDescent="0.35">
      <c r="I132" s="109">
        <v>2.9830598936799999E-2</v>
      </c>
      <c r="J132" s="49">
        <v>1.5714277832315031E-9</v>
      </c>
      <c r="K132" s="49">
        <v>9.6556186010027713E-11</v>
      </c>
      <c r="L132" s="152">
        <v>1.5843516897018286E-9</v>
      </c>
      <c r="R132" s="60">
        <v>1272.4070907904136</v>
      </c>
      <c r="S132" s="57">
        <v>1.6998582847553837E-6</v>
      </c>
      <c r="U132" s="127">
        <v>1.0550260285508419E-9</v>
      </c>
      <c r="V132" s="127">
        <v>1.5843516897018286E-9</v>
      </c>
      <c r="W132" s="127">
        <v>1.9039026739501982E-9</v>
      </c>
      <c r="X132" s="128">
        <f t="shared" si="4"/>
        <v>1.5319080204761742E-9</v>
      </c>
      <c r="Y132" s="139">
        <f t="shared" si="5"/>
        <v>0.1675206896079485</v>
      </c>
      <c r="AA132" s="73"/>
      <c r="AB132" s="176"/>
      <c r="AC132" s="176"/>
      <c r="AD132" s="176"/>
      <c r="AJ132" s="135"/>
    </row>
    <row r="133" spans="9:36" x14ac:dyDescent="0.35">
      <c r="I133" s="109">
        <v>3.01289049262E-2</v>
      </c>
      <c r="J133" s="49">
        <v>1.6203644761883599E-9</v>
      </c>
      <c r="K133" s="49">
        <v>1.0321192851419249E-10</v>
      </c>
      <c r="L133" s="152">
        <v>1.7968927330544744E-9</v>
      </c>
      <c r="R133" s="60">
        <v>1272.4070907904136</v>
      </c>
      <c r="S133" s="57">
        <v>1.7035976247094699E-6</v>
      </c>
      <c r="U133" s="127">
        <v>1.3598349432636127E-9</v>
      </c>
      <c r="V133" s="127">
        <v>1.7968927330544744E-9</v>
      </c>
      <c r="W133" s="127">
        <v>1.9407114150012451E-9</v>
      </c>
      <c r="X133" s="128">
        <f t="shared" si="4"/>
        <v>1.7235829560934517E-9</v>
      </c>
      <c r="Y133" s="139">
        <f t="shared" si="5"/>
        <v>1.0001269542952806</v>
      </c>
      <c r="AA133" s="73"/>
      <c r="AB133" s="176"/>
      <c r="AC133" s="176"/>
      <c r="AD133" s="176"/>
      <c r="AJ133" s="135"/>
    </row>
    <row r="134" spans="9:36" x14ac:dyDescent="0.35">
      <c r="I134" s="109">
        <v>3.0430193975400002E-2</v>
      </c>
      <c r="J134" s="49">
        <v>1.7392263925012823E-9</v>
      </c>
      <c r="K134" s="49">
        <v>1.1018875566441225E-10</v>
      </c>
      <c r="L134" s="152">
        <v>1.9173218157404012E-9</v>
      </c>
      <c r="R134" s="60">
        <v>1272.8616362449591</v>
      </c>
      <c r="S134" s="57">
        <v>1.7035976247094699E-6</v>
      </c>
      <c r="U134" s="127">
        <v>1.6263192201290661E-9</v>
      </c>
      <c r="V134" s="127">
        <v>1.9173218157404012E-9</v>
      </c>
      <c r="W134" s="127">
        <v>1.8630282051363166E-9</v>
      </c>
      <c r="X134" s="128">
        <f t="shared" si="4"/>
        <v>1.8309977641865463E-9</v>
      </c>
      <c r="Y134" s="139">
        <f t="shared" si="5"/>
        <v>0.69364919833132854</v>
      </c>
      <c r="AA134" s="73"/>
      <c r="AB134" s="176"/>
      <c r="AC134" s="176"/>
      <c r="AD134" s="176"/>
      <c r="AJ134" s="135"/>
    </row>
    <row r="135" spans="9:36" x14ac:dyDescent="0.35">
      <c r="I135" s="109">
        <v>3.07344959152E-2</v>
      </c>
      <c r="J135" s="49">
        <v>1.5103201220068052E-9</v>
      </c>
      <c r="K135" s="49">
        <v>9.8935541436460869E-11</v>
      </c>
      <c r="L135" s="152">
        <v>1.9286371045967849E-9</v>
      </c>
      <c r="R135" s="60">
        <v>1272.8616362449591</v>
      </c>
      <c r="S135" s="57">
        <v>1.7076031205246694E-6</v>
      </c>
      <c r="U135" s="127">
        <v>1.8224452702828204E-9</v>
      </c>
      <c r="V135" s="127">
        <v>1.9286371045967849E-9</v>
      </c>
      <c r="W135" s="127">
        <v>1.6775989341765739E-9</v>
      </c>
      <c r="X135" s="128">
        <f t="shared" si="4"/>
        <v>1.839329603413241E-9</v>
      </c>
      <c r="Y135" s="139">
        <f t="shared" si="5"/>
        <v>11.058905770871718</v>
      </c>
      <c r="AA135" s="73"/>
      <c r="AB135" s="176"/>
      <c r="AC135" s="176"/>
      <c r="AD135" s="176"/>
      <c r="AJ135" s="135"/>
    </row>
    <row r="136" spans="9:36" x14ac:dyDescent="0.35">
      <c r="I136" s="109">
        <v>3.1041840874300002E-2</v>
      </c>
      <c r="J136" s="49">
        <v>1.6482317992951873E-9</v>
      </c>
      <c r="K136" s="49">
        <v>1.0716429499494719E-10</v>
      </c>
      <c r="L136" s="152">
        <v>1.8265890376737635E-9</v>
      </c>
      <c r="R136" s="60">
        <v>1273.3161816995046</v>
      </c>
      <c r="S136" s="57">
        <v>1.7076031205246694E-6</v>
      </c>
      <c r="U136" s="127">
        <v>1.9231365072428077E-9</v>
      </c>
      <c r="V136" s="127">
        <v>1.8265890376737635E-9</v>
      </c>
      <c r="W136" s="127">
        <v>1.405380406744362E-9</v>
      </c>
      <c r="X136" s="128">
        <f t="shared" si="4"/>
        <v>1.7454237473336742E-9</v>
      </c>
      <c r="Y136" s="139">
        <f t="shared" si="5"/>
        <v>0.82254629656462908</v>
      </c>
      <c r="AA136" s="73"/>
      <c r="AB136" s="176"/>
      <c r="AC136" s="176"/>
      <c r="AD136" s="176"/>
      <c r="AJ136" s="135"/>
    </row>
    <row r="137" spans="9:36" x14ac:dyDescent="0.35">
      <c r="I137" s="109">
        <v>3.1352259283100002E-2</v>
      </c>
      <c r="J137" s="49">
        <v>1.5121583413468381E-9</v>
      </c>
      <c r="K137" s="49">
        <v>1.062257010157333E-10</v>
      </c>
      <c r="L137" s="152">
        <v>1.6210547499577691E-9</v>
      </c>
      <c r="R137" s="60">
        <v>1273.3161816995046</v>
      </c>
      <c r="S137" s="57">
        <v>1.7122761226801186E-6</v>
      </c>
      <c r="U137" s="127">
        <v>1.9137743523968992E-9</v>
      </c>
      <c r="V137" s="127">
        <v>1.6210547499577691E-9</v>
      </c>
      <c r="W137" s="127">
        <v>1.0797188336536886E-9</v>
      </c>
      <c r="X137" s="128">
        <f t="shared" si="4"/>
        <v>1.5589006714915315E-9</v>
      </c>
      <c r="Y137" s="139">
        <f t="shared" si="5"/>
        <v>0.19362503330143316</v>
      </c>
      <c r="AA137" s="73"/>
      <c r="AB137" s="176"/>
      <c r="AC137" s="176"/>
      <c r="AD137" s="176"/>
      <c r="AJ137" s="135"/>
    </row>
    <row r="138" spans="9:36" x14ac:dyDescent="0.35">
      <c r="I138" s="109">
        <v>3.1665781875900002E-2</v>
      </c>
      <c r="J138" s="49">
        <v>1.1454668139144925E-9</v>
      </c>
      <c r="K138" s="49">
        <v>9.5055552141697497E-11</v>
      </c>
      <c r="L138" s="152">
        <v>1.335694821742399E-9</v>
      </c>
      <c r="R138" s="60">
        <v>1273.7707271540501</v>
      </c>
      <c r="S138" s="57">
        <v>1.7122761226801186E-6</v>
      </c>
      <c r="U138" s="127">
        <v>1.7926891834321006E-9</v>
      </c>
      <c r="V138" s="127">
        <v>1.335694821742399E-9</v>
      </c>
      <c r="W138" s="127">
        <v>7.4267347018801198E-10</v>
      </c>
      <c r="X138" s="128">
        <f t="shared" si="4"/>
        <v>1.3016880742762276E-9</v>
      </c>
      <c r="Y138" s="139">
        <f t="shared" si="5"/>
        <v>2.7010044324895124</v>
      </c>
      <c r="AA138" s="73"/>
      <c r="AB138" s="176"/>
      <c r="AC138" s="176"/>
      <c r="AD138" s="176"/>
      <c r="AJ138" s="135"/>
    </row>
    <row r="139" spans="9:36" x14ac:dyDescent="0.35">
      <c r="I139" s="109">
        <v>3.19824396947E-2</v>
      </c>
      <c r="J139" s="49">
        <v>9.2452009458103626E-10</v>
      </c>
      <c r="K139" s="49">
        <v>8.998779018593576E-11</v>
      </c>
      <c r="L139" s="152">
        <v>1.0057432721201133E-9</v>
      </c>
      <c r="R139" s="60">
        <v>1273.7707271540501</v>
      </c>
      <c r="S139" s="57">
        <v>1.7182748715334494E-6</v>
      </c>
      <c r="U139" s="127">
        <v>1.5722180644044185E-9</v>
      </c>
      <c r="V139" s="127">
        <v>1.0057432721201133E-9</v>
      </c>
      <c r="W139" s="127">
        <v>4.3979167126186375E-10</v>
      </c>
      <c r="X139" s="128">
        <f t="shared" si="4"/>
        <v>1.0058740699766273E-9</v>
      </c>
      <c r="Y139" s="139">
        <f t="shared" si="5"/>
        <v>0.81731672372374053</v>
      </c>
      <c r="AA139" s="73"/>
      <c r="AB139" s="176"/>
      <c r="AC139" s="176"/>
      <c r="AD139" s="176"/>
      <c r="AJ139" s="135"/>
    </row>
    <row r="140" spans="9:36" x14ac:dyDescent="0.35">
      <c r="I140" s="109">
        <v>3.2302264091600003E-2</v>
      </c>
      <c r="J140" s="49">
        <v>8.8754648673205102E-10</v>
      </c>
      <c r="K140" s="49">
        <v>8.7130259846267639E-11</v>
      </c>
      <c r="L140" s="152">
        <v>6.7402074898578025E-10</v>
      </c>
      <c r="R140" s="60">
        <v>1274.2252726085956</v>
      </c>
      <c r="S140" s="57">
        <v>1.7182748715334494E-6</v>
      </c>
      <c r="U140" s="127">
        <v>1.2780334290334309E-9</v>
      </c>
      <c r="V140" s="127">
        <v>6.7402074898578025E-10</v>
      </c>
      <c r="W140" s="127">
        <v>2.1392079578846662E-10</v>
      </c>
      <c r="X140" s="128">
        <f t="shared" si="4"/>
        <v>7.0999893069836452E-10</v>
      </c>
      <c r="Y140" s="139">
        <f t="shared" si="5"/>
        <v>4.1523253875057247</v>
      </c>
      <c r="AA140" s="73"/>
      <c r="AB140" s="176"/>
      <c r="AC140" s="176"/>
      <c r="AD140" s="176"/>
      <c r="AJ140" s="135"/>
    </row>
    <row r="141" spans="9:36" x14ac:dyDescent="0.35">
      <c r="I141" s="109">
        <v>3.2625286732500001E-2</v>
      </c>
      <c r="J141" s="49">
        <v>5.1314100817363122E-10</v>
      </c>
      <c r="K141" s="49">
        <v>6.7804321292391319E-11</v>
      </c>
      <c r="L141" s="152">
        <v>3.8553290543172555E-10</v>
      </c>
      <c r="R141" s="60">
        <v>1274.2252726085956</v>
      </c>
      <c r="S141" s="57">
        <v>1.7266020622761209E-6</v>
      </c>
      <c r="U141" s="127">
        <v>9.4663730903181235E-10</v>
      </c>
      <c r="V141" s="127">
        <v>3.8553290543172555E-10</v>
      </c>
      <c r="W141" s="127">
        <v>9.8876214966069909E-11</v>
      </c>
      <c r="X141" s="128">
        <f t="shared" si="4"/>
        <v>4.5414483371533332E-10</v>
      </c>
      <c r="Y141" s="139">
        <f t="shared" si="5"/>
        <v>0.75706462950616393</v>
      </c>
      <c r="AA141" s="73"/>
      <c r="AB141" s="176"/>
      <c r="AC141" s="176"/>
      <c r="AD141" s="176"/>
      <c r="AJ141" s="135"/>
    </row>
    <row r="142" spans="9:36" x14ac:dyDescent="0.35">
      <c r="I142" s="109">
        <v>3.29515395999E-2</v>
      </c>
      <c r="J142" s="49">
        <v>3.9475473033630469E-10</v>
      </c>
      <c r="K142" s="49">
        <v>6.4887138363249862E-11</v>
      </c>
      <c r="L142" s="152">
        <v>1.8128208212025184E-10</v>
      </c>
      <c r="R142" s="60">
        <v>1274.6798180631411</v>
      </c>
      <c r="S142" s="57">
        <v>1.7266020622761209E-6</v>
      </c>
      <c r="U142" s="127">
        <v>6.2115746356832896E-10</v>
      </c>
      <c r="V142" s="127">
        <v>1.8128208212025184E-10</v>
      </c>
      <c r="W142" s="127">
        <v>1.1391885972337399E-10</v>
      </c>
      <c r="X142" s="128">
        <f t="shared" si="4"/>
        <v>2.7441012188305165E-10</v>
      </c>
      <c r="Y142" s="139">
        <f t="shared" si="5"/>
        <v>3.4398225060193219</v>
      </c>
      <c r="AA142" s="73"/>
      <c r="AB142" s="176"/>
      <c r="AC142" s="176"/>
      <c r="AD142" s="176"/>
      <c r="AJ142" s="135"/>
    </row>
    <row r="143" spans="9:36" x14ac:dyDescent="0.35">
      <c r="I143" s="109">
        <v>3.3281054995899999E-2</v>
      </c>
      <c r="J143" s="49">
        <v>4.001487990134408E-10</v>
      </c>
      <c r="K143" s="49">
        <v>6.4901488198751581E-11</v>
      </c>
      <c r="L143" s="152">
        <v>9.2130640666064548E-11</v>
      </c>
      <c r="R143" s="60">
        <v>1274.6798180631411</v>
      </c>
      <c r="S143" s="57">
        <v>1.7386809538508215E-6</v>
      </c>
      <c r="U143" s="127">
        <v>3.4584892415118636E-10</v>
      </c>
      <c r="V143" s="127">
        <v>9.2130640666064548E-11</v>
      </c>
      <c r="W143" s="127">
        <v>2.5998558074411943E-10</v>
      </c>
      <c r="X143" s="128">
        <f t="shared" si="4"/>
        <v>1.9752394655685871E-10</v>
      </c>
      <c r="Y143" s="139">
        <f t="shared" si="5"/>
        <v>9.7471155051215455</v>
      </c>
      <c r="AA143" s="73"/>
      <c r="AB143" s="176"/>
      <c r="AC143" s="176"/>
      <c r="AD143" s="176"/>
      <c r="AJ143" s="135"/>
    </row>
    <row r="144" spans="9:36" x14ac:dyDescent="0.35">
      <c r="I144" s="109">
        <v>3.3613865545800002E-2</v>
      </c>
      <c r="J144" s="49">
        <v>5.0489937282306938E-10</v>
      </c>
      <c r="K144" s="49">
        <v>7.2206567045742381E-11</v>
      </c>
      <c r="L144" s="152">
        <v>1.3365752941950583E-10</v>
      </c>
      <c r="O144" s="30"/>
      <c r="R144" s="60">
        <v>1275.1343635176866</v>
      </c>
      <c r="S144" s="57">
        <v>1.7386809538508215E-6</v>
      </c>
      <c r="U144" s="127">
        <v>1.5995700989994997E-10</v>
      </c>
      <c r="V144" s="127">
        <v>1.3365752941950583E-10</v>
      </c>
      <c r="W144" s="127">
        <v>5.1843987641970247E-10</v>
      </c>
      <c r="X144" s="128">
        <f t="shared" si="4"/>
        <v>2.3642798628966603E-10</v>
      </c>
      <c r="Y144" s="139">
        <f t="shared" si="5"/>
        <v>13.824283016638894</v>
      </c>
      <c r="AA144" s="73"/>
      <c r="AB144" s="176"/>
      <c r="AC144" s="176"/>
      <c r="AD144" s="176"/>
      <c r="AJ144" s="135"/>
    </row>
    <row r="145" spans="9:36" x14ac:dyDescent="0.35">
      <c r="I145" s="109">
        <v>3.3950004201300003E-2</v>
      </c>
      <c r="J145" s="49">
        <v>5.7399624472534937E-10</v>
      </c>
      <c r="K145" s="49">
        <v>7.6394879541026785E-11</v>
      </c>
      <c r="L145" s="152">
        <v>3.0290692901150362E-10</v>
      </c>
      <c r="R145" s="60">
        <v>1275.1343635176866</v>
      </c>
      <c r="S145" s="57">
        <v>1.756389107334747E-6</v>
      </c>
      <c r="U145" s="127">
        <v>9.1786875700333577E-11</v>
      </c>
      <c r="V145" s="127">
        <v>3.0290692901150362E-10</v>
      </c>
      <c r="W145" s="127">
        <v>8.5278015803948198E-10</v>
      </c>
      <c r="X145" s="128">
        <f t="shared" si="4"/>
        <v>3.875952229407057E-10</v>
      </c>
      <c r="Y145" s="139">
        <f t="shared" si="5"/>
        <v>5.953441307674824</v>
      </c>
      <c r="AA145" s="73"/>
      <c r="AB145" s="176"/>
      <c r="AC145" s="176"/>
      <c r="AD145" s="176"/>
      <c r="AJ145" s="135"/>
    </row>
    <row r="146" spans="9:36" x14ac:dyDescent="0.35">
      <c r="I146" s="109">
        <v>3.4289504243299997E-2</v>
      </c>
      <c r="J146" s="49">
        <v>8.4349397900353842E-10</v>
      </c>
      <c r="K146" s="49">
        <v>9.5109552153726277E-11</v>
      </c>
      <c r="L146" s="152">
        <v>5.7772455179600127E-10</v>
      </c>
      <c r="R146" s="60">
        <v>1275.588908972232</v>
      </c>
      <c r="S146" s="57">
        <v>1.756389107334747E-6</v>
      </c>
      <c r="U146" s="127">
        <v>1.5390238217178331E-10</v>
      </c>
      <c r="V146" s="127">
        <v>5.7772455179600127E-10</v>
      </c>
      <c r="W146" s="127">
        <v>1.2133007677558861E-9</v>
      </c>
      <c r="X146" s="128">
        <f t="shared" si="4"/>
        <v>6.3066306337991805E-10</v>
      </c>
      <c r="Y146" s="139">
        <f t="shared" si="5"/>
        <v>5.0075022539614453</v>
      </c>
      <c r="AA146" s="73"/>
      <c r="AB146" s="176"/>
      <c r="AC146" s="176"/>
      <c r="AD146" s="176"/>
      <c r="AJ146" s="135"/>
    </row>
    <row r="147" spans="9:36" x14ac:dyDescent="0.35">
      <c r="I147" s="109">
        <v>3.46323992857E-2</v>
      </c>
      <c r="J147" s="49">
        <v>1.0926782463362219E-9</v>
      </c>
      <c r="K147" s="49">
        <v>1.0982836360300074E-10</v>
      </c>
      <c r="L147" s="152">
        <v>9.1902996355577184E-10</v>
      </c>
      <c r="R147" s="60">
        <v>1275.588908972232</v>
      </c>
      <c r="S147" s="57">
        <v>1.7820114783659351E-6</v>
      </c>
      <c r="U147" s="127">
        <v>3.4030949686164479E-10</v>
      </c>
      <c r="V147" s="127">
        <v>9.1902996355577184E-10</v>
      </c>
      <c r="W147" s="127">
        <v>1.5442143398273832E-9</v>
      </c>
      <c r="X147" s="128">
        <f t="shared" si="4"/>
        <v>9.3064594095014287E-10</v>
      </c>
      <c r="Y147" s="139">
        <f t="shared" si="5"/>
        <v>2.1765778068404233</v>
      </c>
      <c r="AA147" s="73"/>
      <c r="AB147" s="176"/>
      <c r="AC147" s="176"/>
      <c r="AD147" s="176"/>
      <c r="AJ147" s="135"/>
    </row>
    <row r="148" spans="9:36" x14ac:dyDescent="0.35">
      <c r="I148" s="109">
        <v>3.49787232786E-2</v>
      </c>
      <c r="J148" s="49">
        <v>1.2988786996720053E-9</v>
      </c>
      <c r="K148" s="49">
        <v>1.1634323719230887E-10</v>
      </c>
      <c r="L148" s="152">
        <v>1.275928501701182E-9</v>
      </c>
      <c r="R148" s="60">
        <v>1276.0434544267775</v>
      </c>
      <c r="S148" s="57">
        <v>1.7820114783659351E-6</v>
      </c>
      <c r="U148" s="127">
        <v>6.2625712741727009E-10</v>
      </c>
      <c r="V148" s="127">
        <v>1.275928501701182E-9</v>
      </c>
      <c r="W148" s="127">
        <v>1.7922903003312657E-9</v>
      </c>
      <c r="X148" s="128">
        <f t="shared" si="4"/>
        <v>1.2426011077877249E-9</v>
      </c>
      <c r="Y148" s="139">
        <f t="shared" si="5"/>
        <v>0.23398538090806795</v>
      </c>
      <c r="AA148" s="73"/>
      <c r="AB148" s="176"/>
      <c r="AC148" s="176"/>
      <c r="AD148" s="176"/>
      <c r="AJ148" s="135"/>
    </row>
    <row r="149" spans="9:36" x14ac:dyDescent="0.35">
      <c r="I149" s="109">
        <v>3.5328510511399999E-2</v>
      </c>
      <c r="J149" s="49">
        <v>1.7713459109982693E-9</v>
      </c>
      <c r="K149" s="49">
        <v>1.4346550250737935E-10</v>
      </c>
      <c r="L149" s="152">
        <v>1.5930912911337245E-9</v>
      </c>
      <c r="R149" s="60">
        <v>1276.0434544267775</v>
      </c>
      <c r="S149" s="57">
        <v>1.8180774350928323E-6</v>
      </c>
      <c r="U149" s="127">
        <v>9.7093172385211051E-10</v>
      </c>
      <c r="V149" s="127">
        <v>1.5930912911337245E-9</v>
      </c>
      <c r="W149" s="127">
        <v>1.9157186619905108E-9</v>
      </c>
      <c r="X149" s="128">
        <f t="shared" si="4"/>
        <v>1.5182082420275176E-9</v>
      </c>
      <c r="Y149" s="139">
        <f t="shared" si="5"/>
        <v>3.1132828941520216</v>
      </c>
      <c r="AA149" s="73"/>
      <c r="AB149" s="176"/>
      <c r="AC149" s="176"/>
      <c r="AD149" s="176"/>
      <c r="AJ149" s="135"/>
    </row>
    <row r="150" spans="9:36" x14ac:dyDescent="0.35">
      <c r="I150" s="109">
        <v>3.5681795616499999E-2</v>
      </c>
      <c r="J150" s="49">
        <v>1.651047527916965E-9</v>
      </c>
      <c r="K150" s="49">
        <v>1.3825865964643348E-10</v>
      </c>
      <c r="L150" s="152">
        <v>1.8194022640267951E-9</v>
      </c>
      <c r="R150" s="60">
        <v>1276.497999881323</v>
      </c>
      <c r="S150" s="57">
        <v>1.8180774350928323E-6</v>
      </c>
      <c r="U150" s="127">
        <v>1.3228792485290428E-9</v>
      </c>
      <c r="V150" s="127">
        <v>1.8194022640267951E-9</v>
      </c>
      <c r="W150" s="127">
        <v>1.891734875103857E-9</v>
      </c>
      <c r="X150" s="128">
        <f t="shared" si="4"/>
        <v>1.7133546629216224E-9</v>
      </c>
      <c r="Y150" s="139">
        <f t="shared" si="5"/>
        <v>0.20309109424609789</v>
      </c>
      <c r="AA150" s="73"/>
      <c r="AB150" s="176"/>
      <c r="AC150" s="176"/>
      <c r="AD150" s="176"/>
      <c r="AJ150" s="135"/>
    </row>
    <row r="151" spans="9:36" x14ac:dyDescent="0.35">
      <c r="I151" s="109">
        <v>3.6038613572599999E-2</v>
      </c>
      <c r="J151" s="49">
        <v>1.6941968193258494E-9</v>
      </c>
      <c r="K151" s="49">
        <v>1.3645622847614507E-10</v>
      </c>
      <c r="L151" s="152">
        <v>1.916559469014924E-9</v>
      </c>
      <c r="R151" s="60">
        <v>1276.497999881323</v>
      </c>
      <c r="S151" s="57">
        <v>1.8670644725745729E-6</v>
      </c>
      <c r="U151" s="127">
        <v>1.6275260593304123E-9</v>
      </c>
      <c r="V151" s="127">
        <v>1.916559469014924E-9</v>
      </c>
      <c r="W151" s="127">
        <v>1.721587805174863E-9</v>
      </c>
      <c r="X151" s="128">
        <f t="shared" si="4"/>
        <v>1.7955582006337808E-9</v>
      </c>
      <c r="Y151" s="139">
        <f t="shared" si="5"/>
        <v>0.55177029140961098</v>
      </c>
      <c r="AA151" s="73"/>
      <c r="AB151" s="176"/>
      <c r="AC151" s="176"/>
      <c r="AD151" s="176"/>
      <c r="AJ151" s="135"/>
    </row>
    <row r="152" spans="9:36" x14ac:dyDescent="0.35">
      <c r="I152" s="109">
        <v>3.63989997084E-2</v>
      </c>
      <c r="J152" s="49">
        <v>1.6034244177158727E-9</v>
      </c>
      <c r="K152" s="49">
        <v>1.4050937739408372E-10</v>
      </c>
      <c r="L152" s="152">
        <v>1.8661852265904209E-9</v>
      </c>
      <c r="R152" s="60">
        <v>1276.9525453358685</v>
      </c>
      <c r="S152" s="57">
        <v>1.8670644725745729E-6</v>
      </c>
      <c r="U152" s="127">
        <v>1.835762789797071E-9</v>
      </c>
      <c r="V152" s="127">
        <v>1.8661852265904209E-9</v>
      </c>
      <c r="W152" s="127">
        <v>1.4317245992698304E-9</v>
      </c>
      <c r="X152" s="128">
        <f t="shared" si="4"/>
        <v>1.7499644605619357E-9</v>
      </c>
      <c r="Y152" s="139">
        <f t="shared" si="5"/>
        <v>1.0876821705519131</v>
      </c>
      <c r="AA152" s="73"/>
      <c r="AB152" s="176"/>
      <c r="AC152" s="176"/>
      <c r="AD152" s="176"/>
      <c r="AJ152" s="135"/>
    </row>
    <row r="153" spans="9:36" x14ac:dyDescent="0.35">
      <c r="I153" s="109">
        <v>3.6762989705399998E-2</v>
      </c>
      <c r="J153" s="49">
        <v>1.3725396356700875E-9</v>
      </c>
      <c r="K153" s="49">
        <v>1.3201758983021269E-10</v>
      </c>
      <c r="L153" s="152">
        <v>1.6746167369666215E-9</v>
      </c>
      <c r="R153" s="60">
        <v>1276.9525453358685</v>
      </c>
      <c r="S153" s="57">
        <v>1.9309856334698912E-6</v>
      </c>
      <c r="U153" s="127">
        <v>1.9126800229587342E-9</v>
      </c>
      <c r="V153" s="127">
        <v>1.6746167369666215E-9</v>
      </c>
      <c r="W153" s="127">
        <v>1.0709698692171119E-9</v>
      </c>
      <c r="X153" s="128">
        <f t="shared" si="4"/>
        <v>1.5832208415272722E-9</v>
      </c>
      <c r="Y153" s="139">
        <f t="shared" si="5"/>
        <v>2.5467598304746191</v>
      </c>
      <c r="AA153" s="73"/>
      <c r="AB153" s="176"/>
      <c r="AC153" s="176"/>
      <c r="AD153" s="176"/>
      <c r="AJ153" s="135"/>
    </row>
    <row r="154" spans="9:36" x14ac:dyDescent="0.35">
      <c r="I154" s="109">
        <v>3.7130619602499998E-2</v>
      </c>
      <c r="J154" s="49">
        <v>1.2670241567455377E-9</v>
      </c>
      <c r="K154" s="49">
        <v>1.3069416281682816E-10</v>
      </c>
      <c r="L154" s="152">
        <v>1.3711294830830464E-9</v>
      </c>
      <c r="R154" s="60">
        <v>1277.407090790414</v>
      </c>
      <c r="S154" s="57">
        <v>1.9309856334698912E-6</v>
      </c>
      <c r="U154" s="127">
        <v>1.8426798657252906E-9</v>
      </c>
      <c r="V154" s="127">
        <v>1.3711294830830464E-9</v>
      </c>
      <c r="W154" s="127">
        <v>7.0142087387986305E-10</v>
      </c>
      <c r="X154" s="128">
        <f t="shared" si="4"/>
        <v>1.3215899264428116E-9</v>
      </c>
      <c r="Y154" s="139">
        <f t="shared" si="5"/>
        <v>0.17431236250899435</v>
      </c>
      <c r="AA154" s="73"/>
      <c r="AB154" s="176"/>
      <c r="AC154" s="176"/>
      <c r="AD154" s="176"/>
      <c r="AJ154" s="135"/>
    </row>
    <row r="155" spans="9:36" x14ac:dyDescent="0.35">
      <c r="I155" s="109">
        <v>3.7501925798500001E-2</v>
      </c>
      <c r="J155" s="49">
        <v>1.1867310015958016E-9</v>
      </c>
      <c r="K155" s="49">
        <v>1.2651320445753169E-10</v>
      </c>
      <c r="L155" s="152">
        <v>1.0072746146664586E-9</v>
      </c>
      <c r="R155" s="60">
        <v>1277.407090790414</v>
      </c>
      <c r="S155" s="57">
        <v>2.010921336803667E-6</v>
      </c>
      <c r="U155" s="127">
        <v>1.6352642090466927E-9</v>
      </c>
      <c r="V155" s="127">
        <v>1.0072746146664586E-9</v>
      </c>
      <c r="W155" s="127">
        <v>3.9047660601881743E-10</v>
      </c>
      <c r="X155" s="128">
        <f t="shared" si="4"/>
        <v>1.010072511099607E-9</v>
      </c>
      <c r="Y155" s="139">
        <f t="shared" si="5"/>
        <v>1.9498325588387782</v>
      </c>
      <c r="AA155" s="73"/>
      <c r="AB155" s="176"/>
      <c r="AC155" s="176"/>
      <c r="AD155" s="176"/>
      <c r="AJ155" s="135"/>
    </row>
    <row r="156" spans="9:36" x14ac:dyDescent="0.35">
      <c r="I156" s="109">
        <v>3.7876945056500001E-2</v>
      </c>
      <c r="J156" s="49">
        <v>6.6714181975459162E-10</v>
      </c>
      <c r="K156" s="49">
        <v>9.6367334800754749E-11</v>
      </c>
      <c r="L156" s="152">
        <v>6.4676788505444887E-10</v>
      </c>
      <c r="R156" s="60">
        <v>1277.8616362449595</v>
      </c>
      <c r="S156" s="57">
        <v>2.010921336803667E-6</v>
      </c>
      <c r="U156" s="127">
        <v>1.32360110346074E-9</v>
      </c>
      <c r="V156" s="127">
        <v>6.4676788505444887E-10</v>
      </c>
      <c r="W156" s="127">
        <v>1.9658868711989374E-10</v>
      </c>
      <c r="X156" s="128">
        <f t="shared" si="4"/>
        <v>7.034313901723829E-10</v>
      </c>
      <c r="Y156" s="139">
        <f t="shared" si="5"/>
        <v>0.14180905352028858</v>
      </c>
      <c r="AA156" s="73"/>
      <c r="AB156" s="176"/>
      <c r="AC156" s="176"/>
      <c r="AD156" s="176"/>
      <c r="AJ156" s="135"/>
    </row>
    <row r="157" spans="9:36" x14ac:dyDescent="0.35">
      <c r="I157" s="109">
        <v>3.8255714507099997E-2</v>
      </c>
      <c r="J157" s="49">
        <v>7.4870356199208102E-10</v>
      </c>
      <c r="K157" s="49">
        <v>1.0417749273326752E-10</v>
      </c>
      <c r="L157" s="152">
        <v>3.5503118508889076E-10</v>
      </c>
      <c r="R157" s="60">
        <v>1277.8616362449595</v>
      </c>
      <c r="S157" s="57">
        <v>2.1065955156374323E-6</v>
      </c>
      <c r="U157" s="127">
        <v>9.6030982079933564E-10</v>
      </c>
      <c r="V157" s="127">
        <v>3.5503118508889076E-10</v>
      </c>
      <c r="W157" s="127">
        <v>1.5814025339098844E-10</v>
      </c>
      <c r="X157" s="128">
        <f t="shared" si="4"/>
        <v>4.5712811109202638E-10</v>
      </c>
      <c r="Y157" s="139">
        <f t="shared" si="5"/>
        <v>7.8334686540295042</v>
      </c>
      <c r="AA157" s="73"/>
      <c r="AB157" s="176"/>
      <c r="AC157" s="176"/>
      <c r="AD157" s="176"/>
      <c r="AJ157" s="135"/>
    </row>
    <row r="158" spans="9:36" x14ac:dyDescent="0.35">
      <c r="I158" s="109">
        <v>3.8638271652100001E-2</v>
      </c>
      <c r="J158" s="49">
        <v>5.2387221262807595E-10</v>
      </c>
      <c r="K158" s="49">
        <v>9.0123383001938759E-11</v>
      </c>
      <c r="L158" s="152">
        <v>1.8705682530297958E-10</v>
      </c>
      <c r="R158" s="60">
        <v>1278.316181699505</v>
      </c>
      <c r="S158" s="57">
        <v>2.1065955156374323E-6</v>
      </c>
      <c r="U158" s="127">
        <v>6.0911746230795418E-10</v>
      </c>
      <c r="V158" s="127">
        <v>1.8705682530297958E-10</v>
      </c>
      <c r="W158" s="127">
        <v>2.8489971397199321E-10</v>
      </c>
      <c r="X158" s="128">
        <f t="shared" si="4"/>
        <v>3.1703270672147664E-10</v>
      </c>
      <c r="Y158" s="139">
        <f t="shared" si="5"/>
        <v>5.2673479999254837</v>
      </c>
      <c r="AA158" s="73"/>
      <c r="AB158" s="176"/>
      <c r="AC158" s="176"/>
      <c r="AD158" s="176"/>
      <c r="AJ158" s="135"/>
    </row>
    <row r="159" spans="9:36" x14ac:dyDescent="0.35">
      <c r="I159" s="109">
        <v>3.90246543687E-2</v>
      </c>
      <c r="J159" s="49">
        <v>3.9008245171035372E-10</v>
      </c>
      <c r="K159" s="49">
        <v>8.8670662433786241E-11</v>
      </c>
      <c r="L159" s="152">
        <v>1.7636043759230773E-10</v>
      </c>
      <c r="R159" s="60">
        <v>1278.316181699505</v>
      </c>
      <c r="S159" s="57">
        <v>2.2161133764350934E-6</v>
      </c>
      <c r="U159" s="127">
        <v>3.3381503501295613E-10</v>
      </c>
      <c r="V159" s="127">
        <v>1.7636043759230773E-10</v>
      </c>
      <c r="W159" s="127">
        <v>5.5457600888165923E-10</v>
      </c>
      <c r="X159" s="128">
        <f t="shared" si="4"/>
        <v>3.1027797976980772E-10</v>
      </c>
      <c r="Y159" s="139">
        <f t="shared" si="5"/>
        <v>0.81001777768266436</v>
      </c>
      <c r="AA159" s="73"/>
      <c r="AB159" s="176"/>
      <c r="AC159" s="176"/>
      <c r="AD159" s="176"/>
      <c r="AJ159" s="135"/>
    </row>
    <row r="160" spans="9:36" x14ac:dyDescent="0.35">
      <c r="I160" s="109">
        <v>3.9414900912399999E-2</v>
      </c>
      <c r="J160" s="49">
        <v>5.9165112021959117E-10</v>
      </c>
      <c r="K160" s="49">
        <v>1.0034834445418793E-10</v>
      </c>
      <c r="L160" s="153">
        <v>3.273325181653194E-10</v>
      </c>
      <c r="M160" s="32"/>
      <c r="R160" s="60">
        <v>1278.7707271540505</v>
      </c>
      <c r="S160" s="57">
        <v>2.2161133764350934E-6</v>
      </c>
      <c r="U160" s="127">
        <v>1.8635709224810116E-10</v>
      </c>
      <c r="V160" s="127">
        <v>3.273325181653194E-10</v>
      </c>
      <c r="W160" s="127">
        <v>9.1564928509907686E-10</v>
      </c>
      <c r="X160" s="128">
        <f t="shared" si="4"/>
        <v>4.391678534194542E-10</v>
      </c>
      <c r="Y160" s="139">
        <f t="shared" si="5"/>
        <v>2.309000099518248</v>
      </c>
      <c r="AA160" s="73"/>
      <c r="AB160" s="176"/>
      <c r="AC160" s="176"/>
      <c r="AD160" s="176"/>
      <c r="AJ160" s="135"/>
    </row>
    <row r="161" spans="1:36" x14ac:dyDescent="0.35">
      <c r="I161" s="109">
        <v>3.98090499215E-2</v>
      </c>
      <c r="J161" s="49">
        <v>1.1417445369818886E-9</v>
      </c>
      <c r="K161" s="49">
        <v>1.3632237460164743E-10</v>
      </c>
      <c r="L161" s="153">
        <v>6.1285681470114613E-10</v>
      </c>
      <c r="M161" s="32"/>
      <c r="R161" s="60">
        <v>1278.7707271540505</v>
      </c>
      <c r="S161" s="57">
        <v>2.3359604833684522E-6</v>
      </c>
      <c r="U161" s="127">
        <v>1.9634696960241589E-10</v>
      </c>
      <c r="V161" s="127">
        <v>6.1285681470114613E-10</v>
      </c>
      <c r="W161" s="127">
        <v>1.2964359811408554E-9</v>
      </c>
      <c r="X161" s="128">
        <f t="shared" si="4"/>
        <v>6.7962414503639092E-10</v>
      </c>
      <c r="Y161" s="139">
        <f t="shared" si="5"/>
        <v>11.491480411392667</v>
      </c>
      <c r="AA161" s="73"/>
      <c r="AB161" s="176"/>
      <c r="AC161" s="176"/>
      <c r="AD161" s="176"/>
      <c r="AJ161" s="135"/>
    </row>
    <row r="162" spans="1:36" x14ac:dyDescent="0.35">
      <c r="I162" s="109">
        <v>4.0207140420699998E-2</v>
      </c>
      <c r="J162" s="49">
        <v>9.4384147370013217E-10</v>
      </c>
      <c r="K162" s="49">
        <v>1.2591313450422027E-10</v>
      </c>
      <c r="L162" s="153">
        <v>9.7815879844808147E-10</v>
      </c>
      <c r="M162" s="32"/>
      <c r="R162" s="60">
        <v>1279.225272608596</v>
      </c>
      <c r="S162" s="57">
        <v>2.3359604833684522E-6</v>
      </c>
      <c r="U162" s="127">
        <v>3.6413270510701806E-10</v>
      </c>
      <c r="V162" s="127">
        <v>9.7815879844808147E-10</v>
      </c>
      <c r="W162" s="127">
        <v>1.6190028272072212E-9</v>
      </c>
      <c r="X162" s="128">
        <f t="shared" si="4"/>
        <v>9.8486328230260052E-10</v>
      </c>
      <c r="Y162" s="139">
        <f t="shared" si="5"/>
        <v>0.10614206607930847</v>
      </c>
      <c r="AA162" s="73"/>
      <c r="AB162" s="176"/>
      <c r="AC162" s="176"/>
      <c r="AD162" s="176"/>
      <c r="AJ162" s="135"/>
    </row>
    <row r="163" spans="1:36" x14ac:dyDescent="0.35">
      <c r="I163" s="109">
        <v>4.0609211824900002E-2</v>
      </c>
      <c r="J163" s="49">
        <v>1.2015407203903543E-9</v>
      </c>
      <c r="K163" s="49">
        <v>1.4812739911648537E-10</v>
      </c>
      <c r="L163" s="153">
        <v>1.3506235886447974E-9</v>
      </c>
      <c r="M163" s="32"/>
      <c r="R163" s="60">
        <v>1279.225272608596</v>
      </c>
      <c r="S163" s="57">
        <v>2.4297542276575569E-6</v>
      </c>
      <c r="U163" s="127">
        <v>6.5924267811642893E-10</v>
      </c>
      <c r="V163" s="127">
        <v>1.3506235886447974E-9</v>
      </c>
      <c r="W163" s="127">
        <v>1.8153545047699605E-9</v>
      </c>
      <c r="X163" s="128">
        <f t="shared" si="4"/>
        <v>1.2939610900439961E-9</v>
      </c>
      <c r="Y163" s="139">
        <f t="shared" si="5"/>
        <v>0.38928225533693162</v>
      </c>
      <c r="AA163" s="73"/>
      <c r="AB163" s="176"/>
      <c r="AC163" s="176"/>
      <c r="AD163" s="176"/>
      <c r="AJ163" s="135"/>
    </row>
    <row r="164" spans="1:36" x14ac:dyDescent="0.35">
      <c r="I164" s="109">
        <v>4.1015303943099997E-2</v>
      </c>
      <c r="J164" s="49">
        <v>1.6247234113945383E-9</v>
      </c>
      <c r="K164" s="49">
        <v>1.7416027706226387E-10</v>
      </c>
      <c r="L164" s="153">
        <v>1.65401613825759E-9</v>
      </c>
      <c r="M164" s="32"/>
      <c r="R164" s="60">
        <v>1279.4525453358688</v>
      </c>
      <c r="S164" s="57">
        <v>2.4297542276575569E-6</v>
      </c>
      <c r="U164" s="127">
        <v>1.0249569342128053E-9</v>
      </c>
      <c r="V164" s="127">
        <v>1.65401613825759E-9</v>
      </c>
      <c r="W164" s="127">
        <v>1.8425623043816919E-9</v>
      </c>
      <c r="X164" s="128">
        <f t="shared" si="4"/>
        <v>1.5438878787774194E-9</v>
      </c>
      <c r="Y164" s="139">
        <f t="shared" si="5"/>
        <v>0.21543010568810092</v>
      </c>
      <c r="AA164" s="73"/>
      <c r="AB164" s="176"/>
      <c r="AC164" s="176"/>
      <c r="AD164" s="176"/>
      <c r="AJ164" s="135"/>
    </row>
    <row r="165" spans="1:36" x14ac:dyDescent="0.35">
      <c r="I165" s="109">
        <v>4.1425456982600001E-2</v>
      </c>
      <c r="J165" s="49">
        <v>1.4386749925485185E-9</v>
      </c>
      <c r="K165" s="49">
        <v>1.6855827409039343E-10</v>
      </c>
      <c r="L165" s="153">
        <v>1.8244265672999149E-9</v>
      </c>
      <c r="M165" s="32"/>
      <c r="R165" s="60">
        <v>1279.4525453358688</v>
      </c>
      <c r="S165" s="57">
        <v>2.5000403822831728E-6</v>
      </c>
      <c r="U165" s="127">
        <v>1.3885927368228349E-9</v>
      </c>
      <c r="V165" s="127">
        <v>1.8244265672999149E-9</v>
      </c>
      <c r="W165" s="127">
        <v>1.6933921522608031E-9</v>
      </c>
      <c r="X165" s="128">
        <f t="shared" si="4"/>
        <v>1.6827095059208669E-9</v>
      </c>
      <c r="Y165" s="139">
        <f t="shared" si="5"/>
        <v>2.0960534487056059</v>
      </c>
      <c r="AA165" s="73"/>
      <c r="AB165" s="176"/>
      <c r="AC165" s="176"/>
      <c r="AD165" s="176"/>
      <c r="AJ165" s="135"/>
    </row>
    <row r="166" spans="1:36" x14ac:dyDescent="0.35">
      <c r="I166" s="109">
        <v>4.1839711552400002E-2</v>
      </c>
      <c r="J166" s="49">
        <v>1.5918572219030594E-9</v>
      </c>
      <c r="K166" s="49">
        <v>1.7975376466553543E-10</v>
      </c>
      <c r="L166" s="153">
        <v>1.8246152549062355E-9</v>
      </c>
      <c r="M166" s="32"/>
      <c r="R166" s="60">
        <v>1279.7268761345981</v>
      </c>
      <c r="S166" s="57">
        <v>2.5000403822831728E-6</v>
      </c>
      <c r="U166" s="127">
        <v>1.6758179765157056E-9</v>
      </c>
      <c r="V166" s="127">
        <v>1.8246152549062355E-9</v>
      </c>
      <c r="W166" s="127">
        <v>1.3996395913948037E-9</v>
      </c>
      <c r="X166" s="128">
        <f t="shared" si="4"/>
        <v>1.6811720194307451E-9</v>
      </c>
      <c r="Y166" s="139">
        <f t="shared" si="5"/>
        <v>0.24688280697067636</v>
      </c>
      <c r="AA166" s="73"/>
      <c r="AB166" s="176"/>
      <c r="AC166" s="176"/>
      <c r="AD166" s="176"/>
      <c r="AJ166" s="135"/>
    </row>
    <row r="167" spans="1:36" x14ac:dyDescent="0.35">
      <c r="I167" s="109">
        <v>4.2258108667900002E-2</v>
      </c>
      <c r="J167" s="49">
        <v>9.8724262016196143E-10</v>
      </c>
      <c r="K167" s="49">
        <v>1.4780423076158469E-10</v>
      </c>
      <c r="L167" s="153">
        <v>1.6534434982790149E-9</v>
      </c>
      <c r="M167" s="32"/>
      <c r="R167" s="60">
        <v>1279.7268761345981</v>
      </c>
      <c r="S167" s="57">
        <v>2.5757225525322249E-6</v>
      </c>
      <c r="U167" s="127">
        <v>1.8262665790947577E-9</v>
      </c>
      <c r="V167" s="127">
        <v>1.6534434982790149E-9</v>
      </c>
      <c r="W167" s="127">
        <v>1.026753853667737E-9</v>
      </c>
      <c r="X167" s="128">
        <f t="shared" si="4"/>
        <v>1.539976857330131E-9</v>
      </c>
      <c r="Y167" s="139">
        <f t="shared" si="5"/>
        <v>13.984888284955399</v>
      </c>
      <c r="AA167" s="73"/>
      <c r="AB167" s="176"/>
      <c r="AC167" s="176"/>
      <c r="AD167" s="176"/>
      <c r="AJ167" s="135"/>
    </row>
    <row r="168" spans="1:36" x14ac:dyDescent="0.35">
      <c r="I168" s="109">
        <v>4.2680689754600001E-2</v>
      </c>
      <c r="J168" s="49">
        <v>1.1299909317185061E-9</v>
      </c>
      <c r="K168" s="49">
        <v>1.6470271460988917E-10</v>
      </c>
      <c r="L168" s="153">
        <v>1.3478331474895412E-9</v>
      </c>
      <c r="M168" s="32"/>
      <c r="R168" s="60">
        <v>1280.0058939602304</v>
      </c>
      <c r="S168" s="57">
        <v>2.5757225525322249E-6</v>
      </c>
      <c r="U168" s="127">
        <v>1.8071693514571222E-9</v>
      </c>
      <c r="V168" s="127">
        <v>1.3478331474895412E-9</v>
      </c>
      <c r="W168" s="127">
        <v>6.6023149058436084E-10</v>
      </c>
      <c r="X168" s="128">
        <f t="shared" si="4"/>
        <v>1.2907667842551414E-9</v>
      </c>
      <c r="Y168" s="139">
        <f t="shared" si="5"/>
        <v>0.95288420446711475</v>
      </c>
      <c r="AA168" s="73"/>
      <c r="AB168" s="176"/>
      <c r="AC168" s="176"/>
      <c r="AD168" s="176"/>
      <c r="AJ168" s="135"/>
    </row>
    <row r="169" spans="1:36" x14ac:dyDescent="0.35">
      <c r="I169" s="109">
        <v>4.3107496652199997E-2</v>
      </c>
      <c r="J169" s="49">
        <v>8.0419874761037839E-10</v>
      </c>
      <c r="K169" s="49">
        <v>1.4203849556086774E-10</v>
      </c>
      <c r="L169" s="153">
        <v>9.7614375097098251E-10</v>
      </c>
      <c r="M169" s="32"/>
      <c r="R169" s="60">
        <v>1280.0058939602304</v>
      </c>
      <c r="S169" s="57">
        <v>2.6513899201141974E-6</v>
      </c>
      <c r="U169" s="127">
        <v>1.6218143102404287E-9</v>
      </c>
      <c r="V169" s="127">
        <v>9.7614375097098251E-10</v>
      </c>
      <c r="W169" s="127">
        <v>3.8630991976346991E-10</v>
      </c>
      <c r="X169" s="128">
        <f t="shared" si="4"/>
        <v>9.9010293298646586E-10</v>
      </c>
      <c r="Y169" s="139">
        <f t="shared" si="5"/>
        <v>1.7130348858356883</v>
      </c>
      <c r="AA169" s="73"/>
      <c r="AB169" s="176"/>
      <c r="AC169" s="176"/>
      <c r="AD169" s="176"/>
      <c r="AJ169" s="135"/>
    </row>
    <row r="170" spans="1:36" x14ac:dyDescent="0.35">
      <c r="I170" s="109">
        <v>4.3538571618699999E-2</v>
      </c>
      <c r="J170" s="49">
        <v>7.8109382302518168E-10</v>
      </c>
      <c r="K170" s="49">
        <v>6.077682344892218E-11</v>
      </c>
      <c r="L170" s="153">
        <v>6.2376165136508731E-10</v>
      </c>
      <c r="M170" s="32"/>
      <c r="R170" s="60">
        <v>1280.2947894431002</v>
      </c>
      <c r="S170" s="57">
        <v>2.6513899201141974E-6</v>
      </c>
      <c r="U170" s="127">
        <v>1.3104811825123939E-9</v>
      </c>
      <c r="V170" s="127">
        <v>6.2376165136508731E-10</v>
      </c>
      <c r="W170" s="127">
        <v>2.7119546320369377E-10</v>
      </c>
      <c r="X170" s="128">
        <f t="shared" si="4"/>
        <v>7.0729998711156563E-10</v>
      </c>
      <c r="Y170" s="139">
        <f t="shared" si="5"/>
        <v>1.4742263766242099</v>
      </c>
      <c r="AA170" s="73"/>
      <c r="AB170" s="176"/>
      <c r="AC170" s="176"/>
      <c r="AD170" s="176"/>
      <c r="AJ170" s="135"/>
    </row>
    <row r="171" spans="1:36" x14ac:dyDescent="0.35">
      <c r="I171" s="109">
        <v>4.3973957334899998E-2</v>
      </c>
      <c r="J171" s="49">
        <v>6.1536190321128111E-10</v>
      </c>
      <c r="K171" s="49">
        <v>5.5455905918327492E-11</v>
      </c>
      <c r="L171" s="153">
        <v>3.7367382493067848E-10</v>
      </c>
      <c r="M171" s="32"/>
      <c r="R171" s="60">
        <v>1280.2947894431002</v>
      </c>
      <c r="S171" s="57">
        <v>2.7269931385250332E-6</v>
      </c>
      <c r="U171" s="127">
        <v>9.42976994658516E-10</v>
      </c>
      <c r="V171" s="127">
        <v>3.7367382493067848E-10</v>
      </c>
      <c r="W171" s="127">
        <v>3.4390504032871375E-10</v>
      </c>
      <c r="X171" s="128">
        <f t="shared" si="4"/>
        <v>5.0855742121214668E-10</v>
      </c>
      <c r="Y171" s="139">
        <f t="shared" si="5"/>
        <v>3.7092264462161908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4.4413696908199997E-2</v>
      </c>
      <c r="J172" s="49">
        <v>4.6219061094440675E-10</v>
      </c>
      <c r="K172" s="49">
        <v>4.6909502051496639E-11</v>
      </c>
      <c r="L172" s="153">
        <v>2.8635574791044388E-10</v>
      </c>
      <c r="M172" s="32"/>
      <c r="N172" s="18"/>
      <c r="O172" s="18"/>
      <c r="P172" s="30"/>
      <c r="Q172" s="65"/>
      <c r="R172" s="62">
        <v>1280.5999053027665</v>
      </c>
      <c r="S172" s="61">
        <v>2.7269931385250332E-6</v>
      </c>
      <c r="T172" s="75"/>
      <c r="U172" s="127">
        <v>6.0378982035483315E-10</v>
      </c>
      <c r="V172" s="127">
        <v>2.8635574791044388E-10</v>
      </c>
      <c r="W172" s="127">
        <v>5.8741123335402231E-10</v>
      </c>
      <c r="X172" s="128">
        <f t="shared" si="4"/>
        <v>4.409781373824358E-10</v>
      </c>
      <c r="Y172" s="139">
        <f t="shared" si="5"/>
        <v>0.20448477703806167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4.4857833877300003E-2</v>
      </c>
      <c r="J173" s="49">
        <v>5.7205838078089831E-10</v>
      </c>
      <c r="K173" s="49">
        <v>4.9617070403584103E-11</v>
      </c>
      <c r="L173" s="153">
        <v>3.8395132846425108E-10</v>
      </c>
      <c r="M173" s="32"/>
      <c r="R173" s="60">
        <v>1280.5999053027665</v>
      </c>
      <c r="S173" s="57">
        <v>2.802411166912967E-6</v>
      </c>
      <c r="U173" s="127">
        <v>3.7278005622304063E-10</v>
      </c>
      <c r="V173" s="127">
        <v>3.8395132846425108E-10</v>
      </c>
      <c r="W173" s="127">
        <v>9.4107559507732954E-10</v>
      </c>
      <c r="X173" s="128">
        <f t="shared" si="4"/>
        <v>5.2043957705721802E-10</v>
      </c>
      <c r="Y173" s="139">
        <f t="shared" si="5"/>
        <v>1.0823148932252711</v>
      </c>
      <c r="AA173" s="73"/>
      <c r="AB173" s="176"/>
      <c r="AC173" s="176"/>
      <c r="AD173" s="176"/>
      <c r="AJ173" s="135"/>
    </row>
    <row r="174" spans="1:36" x14ac:dyDescent="0.35">
      <c r="I174" s="109">
        <v>4.5306412216100003E-2</v>
      </c>
      <c r="J174" s="49">
        <v>6.9810481803193535E-10</v>
      </c>
      <c r="K174" s="49">
        <v>5.40638400030783E-11</v>
      </c>
      <c r="L174" s="153">
        <v>6.4313950840101842E-10</v>
      </c>
      <c r="M174" s="32"/>
      <c r="R174" s="60">
        <v>1280.929760152454</v>
      </c>
      <c r="S174" s="57">
        <v>2.802411166912967E-6</v>
      </c>
      <c r="U174" s="127">
        <v>3.0575769966291049E-10</v>
      </c>
      <c r="V174" s="127">
        <v>6.4313950840101842E-10</v>
      </c>
      <c r="W174" s="127">
        <v>1.3146297981078953E-9</v>
      </c>
      <c r="X174" s="128">
        <f t="shared" si="4"/>
        <v>7.2666662864321061E-10</v>
      </c>
      <c r="Y174" s="139">
        <f t="shared" si="5"/>
        <v>0.2790986217328752</v>
      </c>
      <c r="AA174" s="73"/>
      <c r="AB174" s="176"/>
      <c r="AC174" s="176"/>
      <c r="AD174" s="176"/>
      <c r="AJ174" s="135"/>
    </row>
    <row r="175" spans="1:36" x14ac:dyDescent="0.35">
      <c r="I175" s="109">
        <v>4.5759476338200003E-2</v>
      </c>
      <c r="J175" s="49">
        <v>9.7446972434147941E-10</v>
      </c>
      <c r="K175" s="49">
        <v>6.7621736754595283E-11</v>
      </c>
      <c r="L175" s="153">
        <v>9.9924299598167806E-10</v>
      </c>
      <c r="M175" s="32"/>
      <c r="R175" s="60">
        <v>1280.929760152454</v>
      </c>
      <c r="S175" s="57">
        <v>2.8773923806993435E-6</v>
      </c>
      <c r="U175" s="127">
        <v>4.1979196729109588E-10</v>
      </c>
      <c r="V175" s="127">
        <v>9.9924299598167806E-10</v>
      </c>
      <c r="W175" s="127">
        <v>1.6108560302116373E-9</v>
      </c>
      <c r="X175" s="128">
        <f t="shared" si="4"/>
        <v>1.0072834973665222E-9</v>
      </c>
      <c r="Y175" s="139">
        <f t="shared" si="5"/>
        <v>0.23547223069016027</v>
      </c>
      <c r="AA175" s="73"/>
      <c r="AB175" s="176"/>
      <c r="AC175" s="176"/>
      <c r="AD175" s="176"/>
      <c r="AJ175" s="135"/>
    </row>
    <row r="176" spans="1:36" x14ac:dyDescent="0.35">
      <c r="I176" s="109">
        <v>4.6217071101599998E-2</v>
      </c>
      <c r="J176" s="49">
        <v>1.2050230441244939E-9</v>
      </c>
      <c r="K176" s="49">
        <v>7.5036914940464661E-11</v>
      </c>
      <c r="L176" s="153">
        <v>1.3613812230525102E-9</v>
      </c>
      <c r="M176" s="32"/>
      <c r="R176" s="60">
        <v>1281.2969415617106</v>
      </c>
      <c r="S176" s="57">
        <v>2.8773923806993435E-6</v>
      </c>
      <c r="U176" s="127">
        <v>6.8738297562278271E-10</v>
      </c>
      <c r="V176" s="127">
        <v>1.3613812230525102E-9</v>
      </c>
      <c r="W176" s="127">
        <v>1.7514572722726524E-9</v>
      </c>
      <c r="X176" s="128">
        <f t="shared" si="4"/>
        <v>1.2904006735001139E-9</v>
      </c>
      <c r="Y176" s="139">
        <f t="shared" si="5"/>
        <v>1.2946078715993257</v>
      </c>
      <c r="AA176" s="73"/>
      <c r="AB176" s="176"/>
      <c r="AC176" s="176"/>
      <c r="AD176" s="176"/>
      <c r="AJ176" s="135"/>
    </row>
    <row r="177" spans="9:36" x14ac:dyDescent="0.35">
      <c r="I177" s="109">
        <v>4.6679241812599997E-2</v>
      </c>
      <c r="J177" s="49">
        <v>1.5952711707983724E-9</v>
      </c>
      <c r="K177" s="49">
        <v>8.9600578092703737E-11</v>
      </c>
      <c r="L177" s="152">
        <v>1.6354586202227216E-9</v>
      </c>
      <c r="M177" s="33"/>
      <c r="R177" s="60">
        <v>1281.2969415617106</v>
      </c>
      <c r="S177" s="57">
        <v>2.9514457649592163E-6</v>
      </c>
      <c r="U177" s="127">
        <v>1.0417125680100781E-9</v>
      </c>
      <c r="V177" s="127">
        <v>1.6354586202227216E-9</v>
      </c>
      <c r="W177" s="127">
        <v>1.6991992122502056E-9</v>
      </c>
      <c r="X177" s="128">
        <f t="shared" si="4"/>
        <v>1.5029572551764317E-9</v>
      </c>
      <c r="Y177" s="139">
        <f t="shared" si="5"/>
        <v>1.0614822143163543</v>
      </c>
      <c r="AA177" s="73"/>
      <c r="AB177" s="176"/>
      <c r="AC177" s="176"/>
      <c r="AD177" s="176"/>
      <c r="AJ177" s="135"/>
    </row>
    <row r="178" spans="9:36" x14ac:dyDescent="0.35">
      <c r="I178" s="109">
        <v>4.71460342308E-2</v>
      </c>
      <c r="J178" s="49">
        <v>1.6977940670544639E-9</v>
      </c>
      <c r="K178" s="49">
        <v>9.2334300944957839E-11</v>
      </c>
      <c r="L178" s="152">
        <v>1.7493261505756404E-9</v>
      </c>
      <c r="M178" s="33"/>
      <c r="R178" s="60">
        <v>1281.7221633897293</v>
      </c>
      <c r="S178" s="57">
        <v>2.9514457649592163E-6</v>
      </c>
      <c r="U178" s="127">
        <v>1.392452419371486E-9</v>
      </c>
      <c r="V178" s="127">
        <v>1.7493261505756404E-9</v>
      </c>
      <c r="W178" s="127">
        <v>1.4698020327062837E-9</v>
      </c>
      <c r="X178" s="128">
        <f t="shared" si="4"/>
        <v>1.5902266883072627E-9</v>
      </c>
      <c r="Y178" s="139">
        <f t="shared" si="5"/>
        <v>1.3571724661954128</v>
      </c>
      <c r="AA178" s="73"/>
      <c r="AB178" s="176"/>
      <c r="AC178" s="176"/>
      <c r="AD178" s="176"/>
      <c r="AJ178" s="135"/>
    </row>
    <row r="179" spans="9:36" x14ac:dyDescent="0.35">
      <c r="I179" s="109">
        <v>4.7617494573100001E-2</v>
      </c>
      <c r="J179" s="49">
        <v>1.4402430704623824E-9</v>
      </c>
      <c r="K179" s="49">
        <v>8.5057235411135572E-11</v>
      </c>
      <c r="L179" s="152">
        <v>1.6733174777491027E-9</v>
      </c>
      <c r="M179" s="33"/>
      <c r="R179" s="60">
        <v>1281.7221633897293</v>
      </c>
      <c r="S179" s="57">
        <v>3.0236206968941626E-6</v>
      </c>
      <c r="U179" s="127">
        <v>1.6487034007148161E-9</v>
      </c>
      <c r="V179" s="127">
        <v>1.6733174777491027E-9</v>
      </c>
      <c r="W179" s="127">
        <v>1.1293834724727671E-9</v>
      </c>
      <c r="X179" s="128">
        <f t="shared" si="4"/>
        <v>1.5311804571714473E-9</v>
      </c>
      <c r="Y179" s="139">
        <f t="shared" si="5"/>
        <v>1.14304259236364</v>
      </c>
      <c r="AA179" s="73"/>
      <c r="AB179" s="176"/>
      <c r="AC179" s="176"/>
      <c r="AD179" s="176"/>
      <c r="AJ179" s="135"/>
    </row>
    <row r="180" spans="9:36" x14ac:dyDescent="0.35">
      <c r="I180" s="109">
        <v>4.8093669518800002E-2</v>
      </c>
      <c r="J180" s="49">
        <v>1.3913471041695977E-9</v>
      </c>
      <c r="K180" s="49">
        <v>8.4294959542623348E-11</v>
      </c>
      <c r="L180" s="152">
        <v>1.4300272570025234E-9</v>
      </c>
      <c r="M180" s="33"/>
      <c r="R180" s="60">
        <v>1282.244686099596</v>
      </c>
      <c r="S180" s="57">
        <v>3.0236206968941626E-6</v>
      </c>
      <c r="U180" s="127">
        <v>1.7433652187136313E-9</v>
      </c>
      <c r="V180" s="127">
        <v>1.4300272570025234E-9</v>
      </c>
      <c r="W180" s="127">
        <v>7.7709103667266881E-10</v>
      </c>
      <c r="X180" s="128">
        <f t="shared" si="4"/>
        <v>1.3451276923478367E-9</v>
      </c>
      <c r="Y180" s="139">
        <f t="shared" si="5"/>
        <v>0.30063920600131772</v>
      </c>
      <c r="AA180" s="73"/>
      <c r="AB180" s="176"/>
      <c r="AC180" s="176"/>
      <c r="AD180" s="176"/>
      <c r="AJ180" s="135"/>
    </row>
    <row r="181" spans="9:36" x14ac:dyDescent="0.35">
      <c r="I181" s="109">
        <v>4.8574606213999998E-2</v>
      </c>
      <c r="J181" s="49">
        <v>1.2057686918576969E-9</v>
      </c>
      <c r="K181" s="49">
        <v>7.9987839155731691E-11</v>
      </c>
      <c r="L181" s="152">
        <v>1.0897124272637517E-9</v>
      </c>
      <c r="M181" s="33"/>
      <c r="R181" s="60">
        <v>1282.244686099596</v>
      </c>
      <c r="S181" s="57">
        <v>3.0920102541720052E-6</v>
      </c>
      <c r="U181" s="127">
        <v>1.6523064789267157E-9</v>
      </c>
      <c r="V181" s="127">
        <v>1.0897124272637517E-9</v>
      </c>
      <c r="W181" s="127">
        <v>5.169753455524653E-10</v>
      </c>
      <c r="X181" s="128">
        <f t="shared" si="4"/>
        <v>1.0871766697516711E-9</v>
      </c>
      <c r="Y181" s="139">
        <f t="shared" si="5"/>
        <v>2.1981788212135847</v>
      </c>
      <c r="AA181" s="73"/>
      <c r="AB181" s="176"/>
      <c r="AC181" s="176"/>
      <c r="AD181" s="176"/>
      <c r="AJ181" s="135"/>
    </row>
    <row r="182" spans="9:36" x14ac:dyDescent="0.35">
      <c r="I182" s="109">
        <v>4.9060352276099999E-2</v>
      </c>
      <c r="J182" s="49">
        <v>8.2598497367757675E-10</v>
      </c>
      <c r="K182" s="49">
        <v>6.6898720228501892E-11</v>
      </c>
      <c r="L182" s="152">
        <v>7.5157543013692829E-10</v>
      </c>
      <c r="M182" s="33"/>
      <c r="R182" s="60">
        <v>1282.9578632876196</v>
      </c>
      <c r="S182" s="57">
        <v>3.0920102541720052E-6</v>
      </c>
      <c r="U182" s="127">
        <v>1.4025545047522513E-9</v>
      </c>
      <c r="V182" s="127">
        <v>7.5157543013692829E-10</v>
      </c>
      <c r="W182" s="127">
        <v>4.2686009661522294E-10</v>
      </c>
      <c r="X182" s="128">
        <f t="shared" si="4"/>
        <v>8.3314136541033272E-10</v>
      </c>
      <c r="Y182" s="139">
        <f t="shared" si="5"/>
        <v>1.1443334449445723E-2</v>
      </c>
      <c r="AA182" s="73"/>
      <c r="AB182" s="176"/>
      <c r="AC182" s="176"/>
      <c r="AD182" s="176"/>
      <c r="AJ182" s="135"/>
    </row>
    <row r="183" spans="9:36" x14ac:dyDescent="0.35">
      <c r="I183" s="109">
        <v>4.9550955798900002E-2</v>
      </c>
      <c r="J183" s="49">
        <v>7.3482802815064258E-10</v>
      </c>
      <c r="K183" s="49">
        <v>6.0031799628363613E-11</v>
      </c>
      <c r="L183" s="152">
        <v>5.1545607199798153E-10</v>
      </c>
      <c r="M183" s="33"/>
      <c r="R183" s="60">
        <v>1282.9578632876196</v>
      </c>
      <c r="S183" s="57">
        <v>3.1524489597356358E-6</v>
      </c>
      <c r="U183" s="127">
        <v>1.0663401308370985E-9</v>
      </c>
      <c r="V183" s="127">
        <v>5.1545607199798153E-10</v>
      </c>
      <c r="W183" s="127">
        <v>5.3365891730974586E-10</v>
      </c>
      <c r="X183" s="128">
        <f t="shared" si="4"/>
        <v>6.5772779803570183E-10</v>
      </c>
      <c r="Y183" s="139">
        <f t="shared" si="5"/>
        <v>1.6494859585924202</v>
      </c>
      <c r="AA183" s="73"/>
      <c r="AB183" s="176"/>
      <c r="AC183" s="176"/>
      <c r="AD183" s="176"/>
      <c r="AJ183" s="135"/>
    </row>
    <row r="184" spans="9:36" x14ac:dyDescent="0.35">
      <c r="I184" s="109">
        <v>5.0046465356900001E-2</v>
      </c>
      <c r="J184" s="49">
        <v>6.3776761090705531E-10</v>
      </c>
      <c r="K184" s="49">
        <v>6.2068350439825751E-11</v>
      </c>
      <c r="L184" s="152">
        <v>4.5184226732627541E-10</v>
      </c>
      <c r="M184" s="33"/>
      <c r="R184" s="60">
        <v>1284.2394521629935</v>
      </c>
      <c r="S184" s="57">
        <v>3.1524489597356358E-6</v>
      </c>
      <c r="U184" s="127">
        <v>7.4168866952179936E-10</v>
      </c>
      <c r="V184" s="127">
        <v>4.5184226732627541E-10</v>
      </c>
      <c r="W184" s="127">
        <v>8.0342084126891948E-10</v>
      </c>
      <c r="X184" s="128">
        <f t="shared" si="4"/>
        <v>6.1219851136081747E-10</v>
      </c>
      <c r="Y184" s="139">
        <f t="shared" si="5"/>
        <v>0.16970336774449654</v>
      </c>
      <c r="AA184" s="73"/>
      <c r="AB184" s="176"/>
      <c r="AC184" s="176"/>
      <c r="AD184" s="176"/>
      <c r="AJ184" s="135"/>
    </row>
    <row r="185" spans="9:36" x14ac:dyDescent="0.35">
      <c r="I185" s="109">
        <v>5.0546930010399997E-2</v>
      </c>
      <c r="J185" s="49">
        <v>6.7004653388578673E-10</v>
      </c>
      <c r="K185" s="49">
        <v>6.2788147533242014E-11</v>
      </c>
      <c r="L185" s="152">
        <v>5.7939031132257126E-10</v>
      </c>
      <c r="M185" s="33"/>
      <c r="R185" s="60">
        <v>1284.2394521629935</v>
      </c>
      <c r="S185" s="57">
        <v>3.1942273436063003E-6</v>
      </c>
      <c r="U185" s="127">
        <v>5.2435445385803658E-10</v>
      </c>
      <c r="V185" s="127">
        <v>5.7939031132257126E-10</v>
      </c>
      <c r="W185" s="127">
        <v>1.1503479232023275E-9</v>
      </c>
      <c r="X185" s="128">
        <f t="shared" si="4"/>
        <v>7.0837074992637672E-10</v>
      </c>
      <c r="Y185" s="139">
        <f t="shared" si="5"/>
        <v>0.37255570591765558</v>
      </c>
      <c r="AA185" s="73"/>
      <c r="AB185" s="176"/>
      <c r="AC185" s="176"/>
      <c r="AD185" s="176"/>
      <c r="AJ185" s="135"/>
    </row>
    <row r="186" spans="9:36" x14ac:dyDescent="0.35">
      <c r="I186" s="109">
        <v>5.1052399310499999E-2</v>
      </c>
      <c r="J186" s="49">
        <v>1.0083446527339147E-9</v>
      </c>
      <c r="K186" s="49">
        <v>7.7527676431269048E-11</v>
      </c>
      <c r="L186" s="152">
        <v>8.5759801397616988E-10</v>
      </c>
      <c r="M186" s="33"/>
      <c r="R186" s="60">
        <v>1285.9605337510677</v>
      </c>
      <c r="S186" s="57">
        <v>3.1942273436063003E-6</v>
      </c>
      <c r="U186" s="127">
        <v>4.790077825165987E-10</v>
      </c>
      <c r="V186" s="127">
        <v>8.5759801397616988E-10</v>
      </c>
      <c r="W186" s="127">
        <v>1.4631236798438675E-9</v>
      </c>
      <c r="X186" s="128">
        <f t="shared" si="4"/>
        <v>9.1433187257820155E-10</v>
      </c>
      <c r="Y186" s="139">
        <f t="shared" si="5"/>
        <v>1.4704838386313988</v>
      </c>
      <c r="AA186" s="73"/>
      <c r="AB186" s="176"/>
      <c r="AC186" s="176"/>
      <c r="AD186" s="176"/>
      <c r="AJ186" s="135"/>
    </row>
    <row r="187" spans="9:36" x14ac:dyDescent="0.35">
      <c r="I187" s="109">
        <v>5.1562923303600003E-2</v>
      </c>
      <c r="J187" s="49">
        <v>1.0973095290764599E-9</v>
      </c>
      <c r="K187" s="49">
        <v>8.2157099909725602E-11</v>
      </c>
      <c r="L187" s="152">
        <v>1.1980318558575118E-9</v>
      </c>
      <c r="M187" s="33"/>
      <c r="R187" s="60">
        <v>1285.9605337510677</v>
      </c>
      <c r="S187" s="57">
        <v>3.1999999999999999E-6</v>
      </c>
      <c r="U187" s="127">
        <v>6.1855613104794044E-10</v>
      </c>
      <c r="V187" s="127">
        <v>1.1980318558575118E-9</v>
      </c>
      <c r="W187" s="127">
        <v>1.6409263888593195E-9</v>
      </c>
      <c r="X187" s="128">
        <f t="shared" si="4"/>
        <v>1.163886557905571E-9</v>
      </c>
      <c r="Y187" s="139">
        <f t="shared" si="5"/>
        <v>0.65668730158067978</v>
      </c>
      <c r="AA187" s="73"/>
      <c r="AB187" s="176"/>
      <c r="AC187" s="176"/>
      <c r="AD187" s="176"/>
      <c r="AJ187" s="135"/>
    </row>
    <row r="188" spans="9:36" x14ac:dyDescent="0.35">
      <c r="I188" s="109">
        <v>5.2078552536699997E-2</v>
      </c>
      <c r="J188" s="49">
        <v>1.3083403704289143E-9</v>
      </c>
      <c r="K188" s="49">
        <v>9.163050677506347E-11</v>
      </c>
      <c r="L188" s="152">
        <v>1.4916698789036734E-9</v>
      </c>
      <c r="M188" s="33"/>
      <c r="R188" s="60">
        <v>1314.2074020004336</v>
      </c>
      <c r="S188" s="57">
        <v>3.1999999999999999E-6</v>
      </c>
      <c r="U188" s="127">
        <v>8.9869460502069726E-10</v>
      </c>
      <c r="V188" s="127">
        <v>1.4916698789036734E-9</v>
      </c>
      <c r="W188" s="127">
        <v>1.627545897978529E-9</v>
      </c>
      <c r="X188" s="128">
        <f t="shared" si="4"/>
        <v>1.3773950652016433E-9</v>
      </c>
      <c r="Y188" s="139">
        <f t="shared" si="5"/>
        <v>0.56794495092734154</v>
      </c>
      <c r="AA188" s="73"/>
      <c r="AB188" s="176"/>
      <c r="AC188" s="176"/>
      <c r="AD188" s="176"/>
      <c r="AJ188" s="135"/>
    </row>
    <row r="189" spans="9:36" x14ac:dyDescent="0.35">
      <c r="I189" s="109">
        <v>5.2599338062100001E-2</v>
      </c>
      <c r="J189" s="49">
        <v>1.697265885441396E-9</v>
      </c>
      <c r="K189" s="49">
        <v>1.0848728166280665E-10</v>
      </c>
      <c r="L189" s="152">
        <v>1.6443003286901192E-9</v>
      </c>
      <c r="M189" s="33"/>
      <c r="R189" s="60">
        <v>1314.2074020004336</v>
      </c>
      <c r="S189" s="57">
        <v>3.1954457490555711E-6</v>
      </c>
      <c r="U189" s="127">
        <v>1.2304614004918211E-9</v>
      </c>
      <c r="V189" s="127">
        <v>1.6443003286901192E-9</v>
      </c>
      <c r="W189" s="127">
        <v>1.4317040580521214E-9</v>
      </c>
      <c r="X189" s="128">
        <f t="shared" si="4"/>
        <v>1.4876915289810453E-9</v>
      </c>
      <c r="Y189" s="139">
        <f t="shared" si="5"/>
        <v>3.7318022982489705</v>
      </c>
      <c r="AA189" s="73"/>
      <c r="AB189" s="176"/>
      <c r="AC189" s="176"/>
      <c r="AD189" s="176"/>
      <c r="AJ189" s="135"/>
    </row>
    <row r="190" spans="9:36" x14ac:dyDescent="0.35">
      <c r="I190" s="109">
        <v>5.31253314427E-2</v>
      </c>
      <c r="J190" s="49">
        <v>1.4356341142848506E-9</v>
      </c>
      <c r="K190" s="49">
        <v>1.0131346898732484E-10</v>
      </c>
      <c r="L190" s="152">
        <v>1.6084918131578181E-9</v>
      </c>
      <c r="M190" s="33"/>
      <c r="R190" s="60">
        <v>1315.9284835885078</v>
      </c>
      <c r="S190" s="57">
        <v>3.1954457490555711E-6</v>
      </c>
      <c r="U190" s="127">
        <v>1.5078675017999739E-9</v>
      </c>
      <c r="V190" s="127">
        <v>1.6084918131578181E-9</v>
      </c>
      <c r="W190" s="127">
        <v>1.1255486208365389E-9</v>
      </c>
      <c r="X190" s="128">
        <f t="shared" si="4"/>
        <v>1.4625999372380371E-9</v>
      </c>
      <c r="Y190" s="139">
        <f t="shared" si="5"/>
        <v>7.0842354318046141E-2</v>
      </c>
      <c r="AA190" s="73"/>
      <c r="AB190" s="176"/>
      <c r="AC190" s="176"/>
      <c r="AD190" s="176"/>
      <c r="AJ190" s="135"/>
    </row>
    <row r="191" spans="9:36" x14ac:dyDescent="0.35">
      <c r="I191" s="109">
        <v>5.3656584757100001E-2</v>
      </c>
      <c r="J191" s="49">
        <v>1.3924215628356816E-9</v>
      </c>
      <c r="K191" s="49">
        <v>1.0030119106468173E-10</v>
      </c>
      <c r="L191" s="152">
        <v>1.4008858494250954E-9</v>
      </c>
      <c r="M191" s="33"/>
      <c r="R191" s="60">
        <v>1315.9284835885078</v>
      </c>
      <c r="S191" s="57">
        <v>3.1624853178046591E-6</v>
      </c>
      <c r="U191" s="127">
        <v>1.6423676356566198E-9</v>
      </c>
      <c r="V191" s="127">
        <v>1.4008858494250954E-9</v>
      </c>
      <c r="W191" s="127">
        <v>8.2046844776295505E-10</v>
      </c>
      <c r="X191" s="128">
        <f t="shared" si="4"/>
        <v>1.3161519455674415E-9</v>
      </c>
      <c r="Y191" s="139">
        <f t="shared" si="5"/>
        <v>0.57821712980766704</v>
      </c>
      <c r="AA191" s="73"/>
      <c r="AB191" s="176"/>
      <c r="AC191" s="176"/>
      <c r="AD191" s="176"/>
      <c r="AJ191" s="135"/>
    </row>
    <row r="192" spans="9:36" x14ac:dyDescent="0.35">
      <c r="I192" s="109">
        <v>5.4193150604700001E-2</v>
      </c>
      <c r="J192" s="49">
        <v>1.2120239465594956E-9</v>
      </c>
      <c r="K192" s="49">
        <v>9.1820573211165627E-11</v>
      </c>
      <c r="L192" s="152">
        <v>1.0978128700075848E-9</v>
      </c>
      <c r="M192" s="33"/>
      <c r="R192" s="60">
        <v>1317.2100724638817</v>
      </c>
      <c r="S192" s="57">
        <v>3.1624853178046591E-6</v>
      </c>
      <c r="U192" s="127">
        <v>1.5929289284422665E-9</v>
      </c>
      <c r="V192" s="127">
        <v>1.0978128700075848E-9</v>
      </c>
      <c r="W192" s="127">
        <v>6.2763305175862752E-10</v>
      </c>
      <c r="X192" s="128">
        <f t="shared" si="4"/>
        <v>1.104046930054016E-9</v>
      </c>
      <c r="Y192" s="139">
        <f t="shared" si="5"/>
        <v>1.3828741151930455</v>
      </c>
      <c r="AA192" s="73"/>
      <c r="AB192" s="176"/>
      <c r="AC192" s="176"/>
      <c r="AD192" s="176"/>
      <c r="AJ192" s="135"/>
    </row>
    <row r="193" spans="9:36" x14ac:dyDescent="0.35">
      <c r="I193" s="109">
        <v>5.4735082110700002E-2</v>
      </c>
      <c r="J193" s="49">
        <v>8.2894036266920884E-10</v>
      </c>
      <c r="K193" s="49">
        <v>8.2503205226874466E-11</v>
      </c>
      <c r="L193" s="152">
        <v>8.0945396908760752E-10</v>
      </c>
      <c r="M193" s="33"/>
      <c r="R193" s="60">
        <v>1317.2100724638817</v>
      </c>
      <c r="S193" s="57">
        <v>3.1148031047781536E-6</v>
      </c>
      <c r="U193" s="127">
        <v>1.3810604102065401E-9</v>
      </c>
      <c r="V193" s="127">
        <v>8.0945396908760752E-10</v>
      </c>
      <c r="W193" s="127">
        <v>6.1700259566641012E-10</v>
      </c>
      <c r="X193" s="128">
        <f t="shared" si="4"/>
        <v>9.0424273601204137E-10</v>
      </c>
      <c r="Y193" s="139">
        <f t="shared" si="5"/>
        <v>0.83305885751619946</v>
      </c>
      <c r="AA193" s="73"/>
      <c r="AB193" s="176"/>
      <c r="AC193" s="176"/>
      <c r="AD193" s="176"/>
      <c r="AJ193" s="135"/>
    </row>
    <row r="194" spans="9:36" x14ac:dyDescent="0.35">
      <c r="I194" s="109">
        <v>5.5282432931799998E-2</v>
      </c>
      <c r="J194" s="49">
        <v>7.3450464180318186E-10</v>
      </c>
      <c r="K194" s="49">
        <v>8.1819936380369114E-11</v>
      </c>
      <c r="L194" s="152">
        <v>6.4066537428050972E-10</v>
      </c>
      <c r="M194" s="33"/>
      <c r="R194" s="60">
        <v>1317.9232496519053</v>
      </c>
      <c r="S194" s="57">
        <v>3.1148031047781536E-6</v>
      </c>
      <c r="U194" s="127">
        <v>1.0846062985489727E-9</v>
      </c>
      <c r="V194" s="127">
        <v>6.4066537428050972E-10</v>
      </c>
      <c r="W194" s="127">
        <v>7.9027063920186403E-10</v>
      </c>
      <c r="X194" s="128">
        <f t="shared" si="4"/>
        <v>7.8905192157796412E-10</v>
      </c>
      <c r="Y194" s="139">
        <f t="shared" si="5"/>
        <v>0.44445512684730376</v>
      </c>
      <c r="AA194" s="73"/>
      <c r="AB194" s="176"/>
      <c r="AC194" s="176"/>
      <c r="AD194" s="176"/>
      <c r="AJ194" s="135"/>
    </row>
    <row r="195" spans="9:36" x14ac:dyDescent="0.35">
      <c r="I195" s="109">
        <v>5.5835257261100002E-2</v>
      </c>
      <c r="J195" s="49">
        <v>7.594177311519471E-10</v>
      </c>
      <c r="K195" s="49">
        <v>7.7430527560783398E-11</v>
      </c>
      <c r="L195" s="152">
        <v>6.5224241524862394E-10</v>
      </c>
      <c r="M195" s="33"/>
      <c r="R195" s="60">
        <v>1317.9232496519053</v>
      </c>
      <c r="S195" s="57">
        <v>3.0608481861792212E-6</v>
      </c>
      <c r="U195" s="127">
        <v>8.1123881787177099E-10</v>
      </c>
      <c r="V195" s="127">
        <v>6.5224241524862394E-10</v>
      </c>
      <c r="W195" s="127">
        <v>1.0790178618153095E-9</v>
      </c>
      <c r="X195" s="128">
        <f t="shared" ref="X195:X254" si="6">(U195+2*V195+W195)/4</f>
        <v>7.9868537754608202E-10</v>
      </c>
      <c r="Y195" s="139">
        <f t="shared" ref="Y195:Y254" si="7">(J195-X195)*(J195-X195)/(K195*K195)</f>
        <v>0.25718480527692716</v>
      </c>
      <c r="AA195" s="73"/>
      <c r="AB195" s="176"/>
      <c r="AC195" s="176"/>
      <c r="AD195" s="176"/>
      <c r="AJ195" s="135"/>
    </row>
    <row r="196" spans="9:36" x14ac:dyDescent="0.35">
      <c r="I196" s="109">
        <v>5.6393609833799999E-2</v>
      </c>
      <c r="J196" s="49">
        <v>8.5452868321424928E-10</v>
      </c>
      <c r="K196" s="49">
        <v>8.5547743774937592E-11</v>
      </c>
      <c r="L196" s="152">
        <v>8.3733930657066051E-10</v>
      </c>
      <c r="M196" s="33"/>
      <c r="R196" s="60">
        <v>1318.445772361772</v>
      </c>
      <c r="S196" s="57">
        <v>3.0608481861792212E-6</v>
      </c>
      <c r="U196" s="127">
        <v>6.6010739537018761E-10</v>
      </c>
      <c r="V196" s="127">
        <v>8.3733930657066051E-10</v>
      </c>
      <c r="W196" s="127">
        <v>1.3702396791625142E-9</v>
      </c>
      <c r="X196" s="128">
        <f t="shared" si="6"/>
        <v>9.2625642191850568E-10</v>
      </c>
      <c r="Y196" s="139">
        <f t="shared" si="7"/>
        <v>0.70300296850330612</v>
      </c>
      <c r="AA196" s="73"/>
      <c r="AB196" s="176"/>
      <c r="AC196" s="176"/>
      <c r="AD196" s="176"/>
      <c r="AJ196" s="135"/>
    </row>
    <row r="197" spans="9:36" x14ac:dyDescent="0.35">
      <c r="I197" s="109">
        <v>5.69575459321E-2</v>
      </c>
      <c r="J197" s="49">
        <v>9.1232763283363063E-10</v>
      </c>
      <c r="K197" s="49">
        <v>9.0195695576099514E-11</v>
      </c>
      <c r="L197" s="152">
        <v>1.1230167053811553E-9</v>
      </c>
      <c r="M197" s="33"/>
      <c r="R197" s="60">
        <v>1318.445772361772</v>
      </c>
      <c r="S197" s="57">
        <v>3.0039068528465205E-6</v>
      </c>
      <c r="U197" s="127">
        <v>6.8520776092734836E-10</v>
      </c>
      <c r="V197" s="127">
        <v>1.1230167053811553E-9</v>
      </c>
      <c r="W197" s="127">
        <v>1.5505347343715352E-9</v>
      </c>
      <c r="X197" s="128">
        <f t="shared" si="6"/>
        <v>1.1204439765152984E-9</v>
      </c>
      <c r="Y197" s="139">
        <f t="shared" si="7"/>
        <v>5.3240331434865142</v>
      </c>
      <c r="AA197" s="73"/>
      <c r="AB197" s="176"/>
      <c r="AC197" s="176"/>
      <c r="AD197" s="176"/>
      <c r="AJ197" s="135"/>
    </row>
    <row r="198" spans="9:36" x14ac:dyDescent="0.35">
      <c r="I198" s="109">
        <v>5.7527121391400003E-2</v>
      </c>
      <c r="J198" s="49">
        <v>1.2001787797540943E-9</v>
      </c>
      <c r="K198" s="49">
        <v>1.071439525691252E-10</v>
      </c>
      <c r="L198" s="152">
        <v>1.3976944874877207E-9</v>
      </c>
      <c r="M198" s="33"/>
      <c r="R198" s="60">
        <v>1318.8709941897907</v>
      </c>
      <c r="S198" s="57">
        <v>3.0039068528465205E-6</v>
      </c>
      <c r="U198" s="127">
        <v>8.744419681397889E-10</v>
      </c>
      <c r="V198" s="127">
        <v>1.3976944874877207E-9</v>
      </c>
      <c r="W198" s="127">
        <v>1.5519427445474047E-9</v>
      </c>
      <c r="X198" s="128">
        <f t="shared" si="6"/>
        <v>1.3054434219156586E-9</v>
      </c>
      <c r="Y198" s="139">
        <f t="shared" si="7"/>
        <v>0.96522755111111957</v>
      </c>
      <c r="AA198" s="73"/>
      <c r="AB198" s="176"/>
      <c r="AC198" s="176"/>
      <c r="AD198" s="176"/>
      <c r="AJ198" s="135"/>
    </row>
    <row r="199" spans="9:36" x14ac:dyDescent="0.35">
      <c r="I199" s="109">
        <v>5.81023926053E-2</v>
      </c>
      <c r="J199" s="49">
        <v>1.3568499414175395E-9</v>
      </c>
      <c r="K199" s="49">
        <v>1.131855570833379E-10</v>
      </c>
      <c r="L199" s="152">
        <v>1.5549056541829459E-9</v>
      </c>
      <c r="M199" s="33"/>
      <c r="R199" s="60">
        <v>1318.8709941897907</v>
      </c>
      <c r="S199" s="57">
        <v>2.945483542640192E-6</v>
      </c>
      <c r="U199" s="127">
        <v>1.153311123974467E-9</v>
      </c>
      <c r="V199" s="127">
        <v>1.5549056541829459E-9</v>
      </c>
      <c r="W199" s="127">
        <v>1.3804937908320523E-9</v>
      </c>
      <c r="X199" s="128">
        <f t="shared" si="6"/>
        <v>1.4109040557931028E-9</v>
      </c>
      <c r="Y199" s="139">
        <f t="shared" si="7"/>
        <v>0.22807384648823598</v>
      </c>
      <c r="AA199" s="73"/>
      <c r="AB199" s="176"/>
      <c r="AC199" s="176"/>
      <c r="AD199" s="176"/>
      <c r="AJ199" s="135"/>
    </row>
    <row r="200" spans="9:36" x14ac:dyDescent="0.35">
      <c r="I200" s="109">
        <v>5.8683416531400003E-2</v>
      </c>
      <c r="J200" s="49">
        <v>1.5268347038213468E-9</v>
      </c>
      <c r="K200" s="49">
        <v>1.2278041011443626E-10</v>
      </c>
      <c r="L200" s="152">
        <v>1.5366007622874318E-9</v>
      </c>
      <c r="M200" s="33"/>
      <c r="R200" s="60">
        <v>1319.2381755990473</v>
      </c>
      <c r="S200" s="57">
        <v>2.945483542640192E-6</v>
      </c>
      <c r="U200" s="127">
        <v>1.4133956932270313E-9</v>
      </c>
      <c r="V200" s="127">
        <v>1.5366007622874318E-9</v>
      </c>
      <c r="W200" s="127">
        <v>1.1142845008598689E-9</v>
      </c>
      <c r="X200" s="128">
        <f t="shared" si="6"/>
        <v>1.400220429665441E-9</v>
      </c>
      <c r="Y200" s="139">
        <f t="shared" si="7"/>
        <v>1.0634257688868145</v>
      </c>
      <c r="AA200" s="73"/>
      <c r="AB200" s="176"/>
      <c r="AC200" s="176"/>
      <c r="AD200" s="176"/>
      <c r="AJ200" s="135"/>
    </row>
    <row r="201" spans="9:36" x14ac:dyDescent="0.35">
      <c r="I201" s="109">
        <v>5.92702506967E-2</v>
      </c>
      <c r="J201" s="49">
        <v>1.1892210864449184E-9</v>
      </c>
      <c r="K201" s="49">
        <v>1.1056960106214097E-10</v>
      </c>
      <c r="L201" s="152">
        <v>1.3564999672343653E-9</v>
      </c>
      <c r="M201" s="33"/>
      <c r="R201" s="60">
        <v>1319.2381755990473</v>
      </c>
      <c r="S201" s="57">
        <v>2.8863282352025779E-6</v>
      </c>
      <c r="U201" s="127">
        <v>1.5538973886429251E-9</v>
      </c>
      <c r="V201" s="127">
        <v>1.3564999672343653E-9</v>
      </c>
      <c r="W201" s="127">
        <v>8.7143664588032044E-10</v>
      </c>
      <c r="X201" s="128">
        <f t="shared" si="6"/>
        <v>1.2845834922479942E-9</v>
      </c>
      <c r="Y201" s="139">
        <f t="shared" si="7"/>
        <v>0.74384579546198693</v>
      </c>
      <c r="AA201" s="73"/>
      <c r="AB201" s="176"/>
      <c r="AC201" s="176"/>
      <c r="AD201" s="176"/>
      <c r="AJ201" s="135"/>
    </row>
    <row r="202" spans="9:36" x14ac:dyDescent="0.35">
      <c r="I202" s="109">
        <v>5.9862953203699998E-2</v>
      </c>
      <c r="J202" s="49">
        <v>9.4126631233066172E-10</v>
      </c>
      <c r="K202" s="49">
        <v>1.0818042391053303E-10</v>
      </c>
      <c r="L202" s="152">
        <v>1.0967668397798392E-9</v>
      </c>
      <c r="M202" s="33"/>
      <c r="R202" s="60">
        <v>1319.5680304487348</v>
      </c>
      <c r="S202" s="57">
        <v>2.8863282352025779E-6</v>
      </c>
      <c r="U202" s="127">
        <v>1.5236841759580916E-9</v>
      </c>
      <c r="V202" s="127">
        <v>1.0967668397798392E-9</v>
      </c>
      <c r="W202" s="127">
        <v>7.5846435443765248E-10</v>
      </c>
      <c r="X202" s="128">
        <f t="shared" si="6"/>
        <v>1.1189205524888556E-9</v>
      </c>
      <c r="Y202" s="139">
        <f t="shared" si="7"/>
        <v>2.6968314058004541</v>
      </c>
      <c r="AA202" s="73"/>
      <c r="AB202" s="176"/>
      <c r="AC202" s="176"/>
      <c r="AD202" s="176"/>
      <c r="AJ202" s="135"/>
    </row>
    <row r="203" spans="9:36" x14ac:dyDescent="0.35">
      <c r="I203" s="109">
        <v>6.0461582735700001E-2</v>
      </c>
      <c r="J203" s="49">
        <v>8.038999560506938E-10</v>
      </c>
      <c r="K203" s="49">
        <v>1.0103816809083771E-10</v>
      </c>
      <c r="L203" s="152">
        <v>8.7217426602278398E-10</v>
      </c>
      <c r="M203" s="33"/>
      <c r="R203" s="60">
        <v>1319.5680304487348</v>
      </c>
      <c r="S203" s="57">
        <v>2.8268283094166677E-6</v>
      </c>
      <c r="U203" s="127">
        <v>1.3420487911774404E-9</v>
      </c>
      <c r="V203" s="127">
        <v>8.7217426602278398E-10</v>
      </c>
      <c r="W203" s="127">
        <v>8.2302714746962692E-10</v>
      </c>
      <c r="X203" s="128">
        <f t="shared" si="6"/>
        <v>9.7735611767315883E-10</v>
      </c>
      <c r="Y203" s="139">
        <f t="shared" si="7"/>
        <v>2.9471927252180432</v>
      </c>
      <c r="AA203" s="73"/>
      <c r="AB203" s="176"/>
      <c r="AC203" s="176"/>
      <c r="AD203" s="176"/>
      <c r="AJ203" s="135"/>
    </row>
    <row r="204" spans="9:36" x14ac:dyDescent="0.35">
      <c r="I204" s="109">
        <v>6.1066198563099999E-2</v>
      </c>
      <c r="J204" s="49">
        <v>8.7519279305491394E-10</v>
      </c>
      <c r="K204" s="49">
        <v>1.0143721801438865E-10</v>
      </c>
      <c r="L204" s="152">
        <v>7.8071664977840104E-10</v>
      </c>
      <c r="M204" s="33"/>
      <c r="R204" s="60">
        <v>1319.8731463084011</v>
      </c>
      <c r="S204" s="57">
        <v>2.8268283094166677E-6</v>
      </c>
      <c r="U204" s="127">
        <v>1.0912677098309926E-9</v>
      </c>
      <c r="V204" s="127">
        <v>7.8071664977840104E-10</v>
      </c>
      <c r="W204" s="127">
        <v>1.0320503540109162E-9</v>
      </c>
      <c r="X204" s="128">
        <f t="shared" si="6"/>
        <v>9.2118784084967775E-10</v>
      </c>
      <c r="Y204" s="139">
        <f t="shared" si="7"/>
        <v>0.20560207302708811</v>
      </c>
      <c r="AA204" s="73"/>
      <c r="AB204" s="176"/>
      <c r="AC204" s="176"/>
      <c r="AD204" s="176"/>
      <c r="AJ204" s="135"/>
    </row>
    <row r="205" spans="9:36" x14ac:dyDescent="0.35">
      <c r="I205" s="109">
        <v>6.1676860548700002E-2</v>
      </c>
      <c r="J205" s="49">
        <v>7.8087825302397075E-10</v>
      </c>
      <c r="K205" s="49">
        <v>9.8302593861449856E-11</v>
      </c>
      <c r="L205" s="152">
        <v>8.6005830001427021E-10</v>
      </c>
      <c r="M205" s="33"/>
      <c r="R205" s="60">
        <v>1319.8731463084011</v>
      </c>
      <c r="S205" s="57">
        <v>2.7671822807312982E-6</v>
      </c>
      <c r="U205" s="127">
        <v>8.818805937104239E-10</v>
      </c>
      <c r="V205" s="127">
        <v>8.6005830001427021E-10</v>
      </c>
      <c r="W205" s="127">
        <v>1.2865527180714431E-9</v>
      </c>
      <c r="X205" s="128">
        <f t="shared" si="6"/>
        <v>9.721374779526019E-10</v>
      </c>
      <c r="Y205" s="139">
        <f t="shared" si="7"/>
        <v>3.7854265861019272</v>
      </c>
      <c r="AA205" s="73"/>
      <c r="AB205" s="176"/>
      <c r="AC205" s="176"/>
      <c r="AD205" s="176"/>
      <c r="AJ205" s="135"/>
    </row>
    <row r="206" spans="9:36" x14ac:dyDescent="0.35">
      <c r="I206" s="109">
        <v>6.2293629154200003E-2</v>
      </c>
      <c r="J206" s="49">
        <v>8.885324513284504E-10</v>
      </c>
      <c r="K206" s="49">
        <v>1.1068468538724291E-10</v>
      </c>
      <c r="L206" s="152">
        <v>1.0702617318787328E-9</v>
      </c>
      <c r="M206" s="33"/>
      <c r="R206" s="60">
        <v>1320.1620417912709</v>
      </c>
      <c r="S206" s="57">
        <v>2.7671822807312982E-6</v>
      </c>
      <c r="U206" s="127">
        <v>8.0477346719281717E-10</v>
      </c>
      <c r="V206" s="127">
        <v>1.0702617318787328E-9</v>
      </c>
      <c r="W206" s="127">
        <v>1.467822612859028E-9</v>
      </c>
      <c r="X206" s="128">
        <f t="shared" si="6"/>
        <v>1.1032798859523278E-9</v>
      </c>
      <c r="Y206" s="139">
        <f t="shared" si="7"/>
        <v>3.7642711480003612</v>
      </c>
      <c r="AA206" s="73"/>
      <c r="AB206" s="176"/>
      <c r="AC206" s="176"/>
      <c r="AD206" s="176"/>
      <c r="AJ206" s="135"/>
    </row>
    <row r="207" spans="9:36" x14ac:dyDescent="0.35">
      <c r="I207" s="109">
        <v>6.2916565445699998E-2</v>
      </c>
      <c r="J207" s="49">
        <v>1.3141750317063713E-9</v>
      </c>
      <c r="K207" s="49">
        <v>1.3749959874279928E-10</v>
      </c>
      <c r="L207" s="152">
        <v>1.3119386691661376E-9</v>
      </c>
      <c r="M207" s="33"/>
      <c r="R207" s="60">
        <v>1320.1620417912709</v>
      </c>
      <c r="S207" s="57">
        <v>2.70748564251657E-6</v>
      </c>
      <c r="U207" s="127">
        <v>8.9085915148031901E-10</v>
      </c>
      <c r="V207" s="127">
        <v>1.3119386691661376E-9</v>
      </c>
      <c r="W207" s="127">
        <v>1.4940667299157613E-9</v>
      </c>
      <c r="X207" s="128">
        <f t="shared" si="6"/>
        <v>1.2522008049320889E-9</v>
      </c>
      <c r="Y207" s="139">
        <f t="shared" si="7"/>
        <v>0.2031511908021931</v>
      </c>
      <c r="AA207" s="73"/>
      <c r="AB207" s="176"/>
      <c r="AC207" s="176"/>
      <c r="AD207" s="176"/>
      <c r="AJ207" s="135"/>
    </row>
    <row r="208" spans="9:36" x14ac:dyDescent="0.35">
      <c r="I208" s="109">
        <v>6.3545731100199995E-2</v>
      </c>
      <c r="J208" s="49">
        <v>1.2291659688158122E-9</v>
      </c>
      <c r="K208" s="49">
        <v>1.3657349942479406E-10</v>
      </c>
      <c r="L208" s="152">
        <v>1.4727333686039334E-9</v>
      </c>
      <c r="M208" s="33"/>
      <c r="R208" s="60">
        <v>1320.4410596169032</v>
      </c>
      <c r="S208" s="57">
        <v>2.70748564251657E-6</v>
      </c>
      <c r="U208" s="127">
        <v>1.0970032997772899E-9</v>
      </c>
      <c r="V208" s="127">
        <v>1.4727333686039334E-9</v>
      </c>
      <c r="W208" s="127">
        <v>1.3602304901593285E-9</v>
      </c>
      <c r="X208" s="128">
        <f t="shared" si="6"/>
        <v>1.3506751317861213E-9</v>
      </c>
      <c r="Y208" s="139">
        <f t="shared" si="7"/>
        <v>0.79156244884951965</v>
      </c>
      <c r="AA208" s="73"/>
      <c r="AB208" s="176"/>
      <c r="AC208" s="176"/>
      <c r="AD208" s="176"/>
      <c r="AJ208" s="135"/>
    </row>
    <row r="209" spans="9:36" x14ac:dyDescent="0.35">
      <c r="I209" s="109">
        <v>6.4181188411200005E-2</v>
      </c>
      <c r="J209" s="49">
        <v>1.2356863253236551E-9</v>
      </c>
      <c r="K209" s="49">
        <v>1.3626834537211119E-10</v>
      </c>
      <c r="L209" s="152">
        <v>1.480941802048849E-9</v>
      </c>
      <c r="M209" s="33"/>
      <c r="R209" s="60">
        <v>1320.4410596169032</v>
      </c>
      <c r="S209" s="57">
        <v>2.6477773259589909E-6</v>
      </c>
      <c r="U209" s="127">
        <v>1.3257880267854597E-9</v>
      </c>
      <c r="V209" s="127">
        <v>1.480941802048849E-9</v>
      </c>
      <c r="W209" s="127">
        <v>1.1404747112001925E-9</v>
      </c>
      <c r="X209" s="128">
        <f t="shared" si="6"/>
        <v>1.3570365855208375E-9</v>
      </c>
      <c r="Y209" s="139">
        <f t="shared" si="7"/>
        <v>0.79303336319391438</v>
      </c>
      <c r="AA209" s="73"/>
      <c r="AB209" s="176"/>
      <c r="AC209" s="176"/>
      <c r="AD209" s="176"/>
      <c r="AJ209" s="135"/>
    </row>
    <row r="210" spans="9:36" x14ac:dyDescent="0.35">
      <c r="I210" s="109">
        <v>6.4823000295299998E-2</v>
      </c>
      <c r="J210" s="49">
        <v>1.2334273630179484E-9</v>
      </c>
      <c r="K210" s="49">
        <v>1.414900595603388E-10</v>
      </c>
      <c r="L210" s="153">
        <v>1.3403144749572541E-9</v>
      </c>
      <c r="M210" s="18"/>
      <c r="R210" s="60">
        <v>1320.7153904156326</v>
      </c>
      <c r="S210" s="57">
        <v>2.6477773259589909E-6</v>
      </c>
      <c r="U210" s="127">
        <v>1.4711341431982209E-9</v>
      </c>
      <c r="V210" s="127">
        <v>1.3403144749572541E-9</v>
      </c>
      <c r="W210" s="127">
        <v>9.5061284833853988E-10</v>
      </c>
      <c r="X210" s="128">
        <f t="shared" si="6"/>
        <v>1.2755939853628171E-9</v>
      </c>
      <c r="Y210" s="139">
        <f t="shared" si="7"/>
        <v>8.8814887452918392E-2</v>
      </c>
      <c r="AA210" s="73"/>
      <c r="AB210" s="176"/>
      <c r="AC210" s="176"/>
      <c r="AD210" s="176"/>
      <c r="AJ210" s="135"/>
    </row>
    <row r="211" spans="9:36" x14ac:dyDescent="0.35">
      <c r="I211" s="49">
        <v>6.5471230298199998E-2</v>
      </c>
      <c r="J211" s="49">
        <v>8.256748839646005E-10</v>
      </c>
      <c r="K211" s="49">
        <v>1.2276881231371183E-10</v>
      </c>
      <c r="L211" s="153">
        <v>1.1280025394407405E-9</v>
      </c>
      <c r="M211" s="18"/>
      <c r="R211" s="60">
        <v>1320.7153904156326</v>
      </c>
      <c r="S211" s="57">
        <v>2.5880677080911941E-6</v>
      </c>
      <c r="U211" s="127">
        <v>1.4688731223591054E-9</v>
      </c>
      <c r="V211" s="127">
        <v>1.1280025394407405E-9</v>
      </c>
      <c r="W211" s="127">
        <v>8.8843684724630118E-10</v>
      </c>
      <c r="X211" s="128">
        <f t="shared" si="6"/>
        <v>1.1533287621217218E-9</v>
      </c>
      <c r="Y211" s="139">
        <f t="shared" si="7"/>
        <v>7.1228617742145666</v>
      </c>
      <c r="AA211" s="73"/>
      <c r="AB211" s="176"/>
      <c r="AC211" s="176"/>
      <c r="AD211" s="176"/>
      <c r="AJ211" s="135"/>
    </row>
    <row r="212" spans="9:36" x14ac:dyDescent="0.35">
      <c r="I212" s="49">
        <v>6.61259426012E-2</v>
      </c>
      <c r="J212" s="49">
        <v>7.778421276744226E-10</v>
      </c>
      <c r="K212" s="49">
        <v>1.1640327929780136E-10</v>
      </c>
      <c r="L212" s="153">
        <v>9.5535374249856907E-10</v>
      </c>
      <c r="M212" s="18"/>
      <c r="R212" s="60">
        <v>1320.9897212143619</v>
      </c>
      <c r="S212" s="57">
        <v>2.5880677080911941E-6</v>
      </c>
      <c r="U212" s="127">
        <v>1.3277454027460883E-9</v>
      </c>
      <c r="V212" s="127">
        <v>9.5535374249856907E-10</v>
      </c>
      <c r="W212" s="127">
        <v>9.8256350359758575E-10</v>
      </c>
      <c r="X212" s="128">
        <f t="shared" si="6"/>
        <v>1.0552540978352031E-9</v>
      </c>
      <c r="Y212" s="139">
        <f t="shared" si="7"/>
        <v>5.6796289296072189</v>
      </c>
      <c r="AA212" s="73"/>
      <c r="AB212" s="176"/>
      <c r="AC212" s="176"/>
      <c r="AD212" s="176"/>
      <c r="AJ212" s="135"/>
    </row>
    <row r="213" spans="9:36" x14ac:dyDescent="0.35">
      <c r="I213" s="49">
        <v>6.6787202027199996E-2</v>
      </c>
      <c r="J213" s="49">
        <v>7.8568912668963059E-10</v>
      </c>
      <c r="K213" s="49">
        <v>1.2190434121557783E-10</v>
      </c>
      <c r="L213" s="153">
        <v>9.1051642110217645E-10</v>
      </c>
      <c r="M213" s="18"/>
      <c r="R213" s="60">
        <v>1320.9897212143619</v>
      </c>
      <c r="S213" s="57">
        <v>2.5283593915336151E-6</v>
      </c>
      <c r="U213" s="127">
        <v>1.1247178868743888E-9</v>
      </c>
      <c r="V213" s="127">
        <v>9.1051642110217645E-10</v>
      </c>
      <c r="W213" s="127">
        <v>1.1775323706444485E-9</v>
      </c>
      <c r="X213" s="128">
        <f t="shared" si="6"/>
        <v>1.0308207749307975E-9</v>
      </c>
      <c r="Y213" s="139">
        <f t="shared" si="7"/>
        <v>4.0435277420160638</v>
      </c>
      <c r="AA213" s="73"/>
      <c r="AB213" s="176"/>
      <c r="AC213" s="176"/>
      <c r="AD213" s="176"/>
      <c r="AJ213" s="135"/>
    </row>
    <row r="214" spans="9:36" x14ac:dyDescent="0.35">
      <c r="I214" s="49">
        <v>6.7455074047499994E-2</v>
      </c>
      <c r="J214" s="49">
        <v>8.1244694584761989E-10</v>
      </c>
      <c r="K214" s="49">
        <v>1.2298813533611685E-10</v>
      </c>
      <c r="L214" s="153">
        <v>1.0124467828891614E-9</v>
      </c>
      <c r="M214" s="18"/>
      <c r="R214" s="60">
        <v>1321.2687390399942</v>
      </c>
      <c r="S214" s="57">
        <v>2.5283593915336151E-6</v>
      </c>
      <c r="U214" s="127">
        <v>9.657850805829167E-10</v>
      </c>
      <c r="V214" s="127">
        <v>1.0124467828891614E-9</v>
      </c>
      <c r="W214" s="127">
        <v>1.3644894838768858E-9</v>
      </c>
      <c r="X214" s="128">
        <f t="shared" si="6"/>
        <v>1.0887920325595314E-9</v>
      </c>
      <c r="Y214" s="139">
        <f t="shared" si="7"/>
        <v>5.0486708858323768</v>
      </c>
      <c r="AA214" s="73"/>
      <c r="AB214" s="176"/>
      <c r="AC214" s="176"/>
      <c r="AD214" s="176"/>
      <c r="AJ214" s="135"/>
    </row>
    <row r="215" spans="9:36" x14ac:dyDescent="0.35">
      <c r="I215" s="49">
        <v>6.8129624787999998E-2</v>
      </c>
      <c r="J215" s="49">
        <v>9.597598666759731E-10</v>
      </c>
      <c r="K215" s="49">
        <v>1.4007829732677239E-10</v>
      </c>
      <c r="L215" s="153">
        <v>1.2013350309770621E-9</v>
      </c>
      <c r="M215" s="18"/>
      <c r="R215" s="60">
        <v>1321.2687390399942</v>
      </c>
      <c r="S215" s="57">
        <v>2.4686627533188868E-6</v>
      </c>
      <c r="U215" s="127">
        <v>9.3135756248141886E-10</v>
      </c>
      <c r="V215" s="127">
        <v>1.2013350309770621E-9</v>
      </c>
      <c r="W215" s="127">
        <v>1.4418278438417372E-9</v>
      </c>
      <c r="X215" s="128">
        <f t="shared" si="6"/>
        <v>1.1939638670693201E-9</v>
      </c>
      <c r="Y215" s="139">
        <f t="shared" si="7"/>
        <v>2.7954189790660884</v>
      </c>
      <c r="AA215" s="73"/>
      <c r="AB215" s="176"/>
      <c r="AC215" s="176"/>
      <c r="AD215" s="176"/>
      <c r="AJ215" s="135"/>
    </row>
    <row r="216" spans="9:36" x14ac:dyDescent="0.35">
      <c r="I216" s="49">
        <v>6.8810921035900002E-2</v>
      </c>
      <c r="J216" s="49">
        <v>1.0551735328176656E-9</v>
      </c>
      <c r="K216" s="49">
        <v>1.4822497724277557E-10</v>
      </c>
      <c r="L216" s="153">
        <v>1.3717851878599131E-9</v>
      </c>
      <c r="M216" s="18"/>
      <c r="R216" s="60">
        <v>1321.557634522864</v>
      </c>
      <c r="S216" s="57">
        <v>2.4686627533188868E-6</v>
      </c>
      <c r="U216" s="127">
        <v>1.0344581978124715E-9</v>
      </c>
      <c r="V216" s="127">
        <v>1.3717851878599131E-9</v>
      </c>
      <c r="W216" s="127">
        <v>1.3723537599097948E-9</v>
      </c>
      <c r="X216" s="128">
        <f t="shared" si="6"/>
        <v>1.2875955833605231E-9</v>
      </c>
      <c r="Y216" s="139">
        <f t="shared" si="7"/>
        <v>2.4587358421075263</v>
      </c>
      <c r="AA216" s="73"/>
      <c r="AB216" s="176"/>
      <c r="AC216" s="176"/>
      <c r="AD216" s="176"/>
      <c r="AJ216" s="135"/>
    </row>
    <row r="217" spans="9:36" x14ac:dyDescent="0.35">
      <c r="I217" s="49">
        <v>6.9499030246199994E-2</v>
      </c>
      <c r="J217" s="49">
        <v>1.2399959688705191E-9</v>
      </c>
      <c r="K217" s="49">
        <v>1.5075631482316153E-10</v>
      </c>
      <c r="L217" s="153">
        <v>1.4315493413570914E-9</v>
      </c>
      <c r="M217" s="18"/>
      <c r="R217" s="60">
        <v>1321.557634522864</v>
      </c>
      <c r="S217" s="57">
        <v>2.4090167246335174E-6</v>
      </c>
      <c r="U217" s="127">
        <v>1.2144762643679754E-9</v>
      </c>
      <c r="V217" s="127">
        <v>1.4315493413570914E-9</v>
      </c>
      <c r="W217" s="127">
        <v>1.2039326380657628E-9</v>
      </c>
      <c r="X217" s="128">
        <f t="shared" si="6"/>
        <v>1.3203768962869802E-9</v>
      </c>
      <c r="Y217" s="139">
        <f t="shared" si="7"/>
        <v>0.28428569035483953</v>
      </c>
      <c r="AA217" s="73"/>
      <c r="AB217" s="176"/>
      <c r="AC217" s="176"/>
      <c r="AD217" s="176"/>
      <c r="AJ217" s="135"/>
    </row>
    <row r="218" spans="9:36" x14ac:dyDescent="0.35">
      <c r="I218" s="49">
        <v>7.0194020548699998E-2</v>
      </c>
      <c r="J218" s="49">
        <v>1.4900960000702086E-9</v>
      </c>
      <c r="K218" s="49">
        <v>1.7894794461935176E-10</v>
      </c>
      <c r="L218" s="153">
        <v>1.3532929689907067E-9</v>
      </c>
      <c r="M218" s="18"/>
      <c r="R218" s="60">
        <v>1321.8627503825303</v>
      </c>
      <c r="S218" s="57">
        <v>2.4090167246335174E-6</v>
      </c>
      <c r="U218" s="127">
        <v>1.3708753821226205E-9</v>
      </c>
      <c r="V218" s="127">
        <v>1.3532929689907067E-9</v>
      </c>
      <c r="W218" s="127">
        <v>1.040502863787136E-9</v>
      </c>
      <c r="X218" s="128">
        <f t="shared" si="6"/>
        <v>1.2794910459727924E-9</v>
      </c>
      <c r="Y218" s="139">
        <f t="shared" si="7"/>
        <v>1.3851083166885494</v>
      </c>
      <c r="AA218" s="73"/>
      <c r="AB218" s="176"/>
      <c r="AC218" s="176"/>
      <c r="AD218" s="176"/>
      <c r="AJ218" s="135"/>
    </row>
    <row r="219" spans="9:36" x14ac:dyDescent="0.35">
      <c r="I219" s="49">
        <v>7.0895960754200002E-2</v>
      </c>
      <c r="J219" s="49">
        <v>1.0658302141873083E-9</v>
      </c>
      <c r="K219" s="49">
        <v>1.5475956120104502E-10</v>
      </c>
      <c r="L219" s="153">
        <v>1.1893981578111535E-9</v>
      </c>
      <c r="M219" s="18"/>
      <c r="R219" s="60">
        <v>1321.8627503825303</v>
      </c>
      <c r="S219" s="57">
        <v>2.3495167988476071E-6</v>
      </c>
      <c r="U219" s="127">
        <v>1.4192049759494889E-9</v>
      </c>
      <c r="V219" s="127">
        <v>1.1893981578111535E-9</v>
      </c>
      <c r="W219" s="127">
        <v>9.7948773589267123E-10</v>
      </c>
      <c r="X219" s="128">
        <f t="shared" si="6"/>
        <v>1.1943722568661169E-9</v>
      </c>
      <c r="Y219" s="139">
        <f t="shared" si="7"/>
        <v>0.6898829547701989</v>
      </c>
      <c r="AA219" s="73"/>
      <c r="AB219" s="176"/>
      <c r="AC219" s="176"/>
      <c r="AD219" s="176"/>
      <c r="AJ219" s="135"/>
    </row>
    <row r="220" spans="9:36" x14ac:dyDescent="0.35">
      <c r="I220" s="49">
        <v>7.1604920361700006E-2</v>
      </c>
      <c r="J220" s="49">
        <v>7.9541342743323046E-10</v>
      </c>
      <c r="K220" s="49">
        <v>1.3756445196943526E-10</v>
      </c>
      <c r="L220" s="153">
        <v>1.0402138809235107E-9</v>
      </c>
      <c r="M220" s="18"/>
      <c r="R220" s="60">
        <v>1322.1926052322178</v>
      </c>
      <c r="S220" s="57">
        <v>2.3495167988476071E-6</v>
      </c>
      <c r="U220" s="127">
        <v>1.338329836454727E-9</v>
      </c>
      <c r="V220" s="127">
        <v>1.0402138809235107E-9</v>
      </c>
      <c r="W220" s="127">
        <v>1.0528555824087464E-9</v>
      </c>
      <c r="X220" s="128">
        <f t="shared" si="6"/>
        <v>1.1179032951776237E-9</v>
      </c>
      <c r="Y220" s="139">
        <f t="shared" si="7"/>
        <v>5.4956580666417185</v>
      </c>
      <c r="AA220" s="73"/>
      <c r="AB220" s="176"/>
      <c r="AC220" s="176"/>
      <c r="AD220" s="176"/>
      <c r="AJ220" s="135"/>
    </row>
    <row r="221" spans="9:36" x14ac:dyDescent="0.35">
      <c r="I221" s="49">
        <v>7.23209695653E-2</v>
      </c>
      <c r="J221" s="49">
        <v>5.9660425064196846E-10</v>
      </c>
      <c r="K221" s="49">
        <v>1.3646218147483496E-10</v>
      </c>
      <c r="L221" s="153">
        <v>9.9362617897447425E-10</v>
      </c>
      <c r="M221" s="18"/>
      <c r="R221" s="60">
        <v>1322.1926052322178</v>
      </c>
      <c r="S221" s="57">
        <v>2.290361491409993E-6</v>
      </c>
      <c r="U221" s="127">
        <v>1.1815119284989824E-9</v>
      </c>
      <c r="V221" s="127">
        <v>9.9362617897447425E-10</v>
      </c>
      <c r="W221" s="127">
        <v>1.2084198821938285E-9</v>
      </c>
      <c r="X221" s="128">
        <f t="shared" si="6"/>
        <v>1.0942960421604398E-9</v>
      </c>
      <c r="Y221" s="139">
        <f t="shared" si="7"/>
        <v>13.301368848976862</v>
      </c>
      <c r="AA221" s="73"/>
      <c r="AB221" s="176"/>
      <c r="AC221" s="176"/>
      <c r="AD221" s="176"/>
      <c r="AJ221" s="135"/>
    </row>
    <row r="222" spans="9:36" x14ac:dyDescent="0.35">
      <c r="I222" s="49">
        <v>7.3044179261E-2</v>
      </c>
      <c r="J222" s="49">
        <v>8.3354923268373773E-10</v>
      </c>
      <c r="K222" s="49">
        <v>1.4981274343788505E-10</v>
      </c>
      <c r="L222" s="153">
        <v>1.0720576356901189E-9</v>
      </c>
      <c r="M222" s="18"/>
      <c r="R222" s="60">
        <v>1322.5597866414744</v>
      </c>
      <c r="S222" s="57">
        <v>2.290361491409993E-6</v>
      </c>
      <c r="U222" s="127">
        <v>1.044064001033719E-9</v>
      </c>
      <c r="V222" s="127">
        <v>1.0720576356901189E-9</v>
      </c>
      <c r="W222" s="127">
        <v>1.3440410450256302E-9</v>
      </c>
      <c r="X222" s="128">
        <f t="shared" si="6"/>
        <v>1.1330550793598968E-9</v>
      </c>
      <c r="Y222" s="139">
        <f t="shared" si="7"/>
        <v>3.9968062446290866</v>
      </c>
      <c r="AA222" s="73"/>
      <c r="AB222" s="176"/>
      <c r="AC222" s="176"/>
      <c r="AD222" s="176"/>
      <c r="AJ222" s="135"/>
    </row>
    <row r="223" spans="9:36" x14ac:dyDescent="0.35">
      <c r="I223" s="49">
        <v>7.3774621053599998E-2</v>
      </c>
      <c r="J223" s="49">
        <v>1.3418316913165115E-9</v>
      </c>
      <c r="K223" s="49">
        <v>1.7896502976800995E-10</v>
      </c>
      <c r="L223" s="153">
        <v>1.2198502589055844E-9</v>
      </c>
      <c r="M223" s="18"/>
      <c r="R223" s="60">
        <v>1322.5597866414744</v>
      </c>
      <c r="S223" s="57">
        <v>2.2319381812036645E-6</v>
      </c>
      <c r="U223" s="127">
        <v>1.0059708766818876E-9</v>
      </c>
      <c r="V223" s="127">
        <v>1.2198502589055844E-9</v>
      </c>
      <c r="W223" s="127">
        <v>1.3738405539043608E-9</v>
      </c>
      <c r="X223" s="128">
        <f t="shared" si="6"/>
        <v>1.2048779870993543E-9</v>
      </c>
      <c r="Y223" s="139">
        <f t="shared" si="7"/>
        <v>0.58561367876109338</v>
      </c>
      <c r="AA223" s="73"/>
      <c r="AB223" s="176"/>
      <c r="AC223" s="176"/>
      <c r="AD223" s="176"/>
      <c r="AJ223" s="135"/>
    </row>
    <row r="224" spans="9:36" x14ac:dyDescent="0.35">
      <c r="I224" s="49">
        <v>7.4512367264100002E-2</v>
      </c>
      <c r="J224" s="49">
        <v>1.4011993556387222E-9</v>
      </c>
      <c r="K224" s="49">
        <v>1.8089370972600021E-10</v>
      </c>
      <c r="L224" s="153">
        <v>1.3397395466801371E-9</v>
      </c>
      <c r="M224" s="18"/>
      <c r="R224" s="60">
        <v>1322.9850084694931</v>
      </c>
      <c r="S224" s="57">
        <v>2.2319381812036645E-6</v>
      </c>
      <c r="U224" s="127">
        <v>1.0838343413627127E-9</v>
      </c>
      <c r="V224" s="127">
        <v>1.3397395466801371E-9</v>
      </c>
      <c r="W224" s="127">
        <v>1.2837646163784306E-9</v>
      </c>
      <c r="X224" s="128">
        <f t="shared" si="6"/>
        <v>1.2617695127753543E-9</v>
      </c>
      <c r="Y224" s="139">
        <f t="shared" si="7"/>
        <v>0.59410683020850652</v>
      </c>
      <c r="AA224" s="73"/>
      <c r="AB224" s="176"/>
      <c r="AC224" s="176"/>
      <c r="AD224" s="176"/>
      <c r="AJ224" s="135"/>
    </row>
    <row r="225" spans="9:36" x14ac:dyDescent="0.35">
      <c r="I225" s="49">
        <v>7.5257490936799995E-2</v>
      </c>
      <c r="J225" s="49">
        <v>1.0612881772556283E-9</v>
      </c>
      <c r="K225" s="49">
        <v>1.6461246079812348E-10</v>
      </c>
      <c r="L225" s="153">
        <v>1.3558715255159802E-9</v>
      </c>
      <c r="M225" s="18"/>
      <c r="R225" s="60">
        <v>1322.9850084694931</v>
      </c>
      <c r="S225" s="57">
        <v>2.1749968478709638E-6</v>
      </c>
      <c r="U225" s="127">
        <v>1.2220039503616057E-9</v>
      </c>
      <c r="V225" s="127">
        <v>1.3558715255159802E-9</v>
      </c>
      <c r="W225" s="127">
        <v>1.1393672339668425E-9</v>
      </c>
      <c r="X225" s="128">
        <f t="shared" si="6"/>
        <v>1.2682785588401022E-9</v>
      </c>
      <c r="Y225" s="139">
        <f t="shared" si="7"/>
        <v>1.5811567114483827</v>
      </c>
      <c r="AA225" s="73"/>
      <c r="AB225" s="176"/>
      <c r="AC225" s="176"/>
      <c r="AD225" s="176"/>
      <c r="AJ225" s="135"/>
    </row>
    <row r="226" spans="9:36" x14ac:dyDescent="0.35">
      <c r="I226" s="49">
        <v>7.6010065846099997E-2</v>
      </c>
      <c r="J226" s="49">
        <v>1.0474272509971986E-9</v>
      </c>
      <c r="K226" s="49">
        <v>1.6393801711163125E-10</v>
      </c>
      <c r="L226" s="153">
        <v>1.2626400410489623E-9</v>
      </c>
      <c r="M226" s="18"/>
      <c r="R226" s="60">
        <v>1323.5075311793598</v>
      </c>
      <c r="S226" s="57">
        <v>2.1749968478709638E-6</v>
      </c>
      <c r="U226" s="127">
        <v>1.3290945235278297E-9</v>
      </c>
      <c r="V226" s="127">
        <v>1.2626400410489623E-9</v>
      </c>
      <c r="W226" s="127">
        <v>1.039794669232898E-9</v>
      </c>
      <c r="X226" s="128">
        <f t="shared" si="6"/>
        <v>1.2235423187146632E-9</v>
      </c>
      <c r="Y226" s="139">
        <f t="shared" si="7"/>
        <v>1.1540740413312804</v>
      </c>
      <c r="AA226" s="73"/>
      <c r="AB226" s="176"/>
      <c r="AC226" s="176"/>
      <c r="AD226" s="176"/>
      <c r="AJ226" s="135"/>
    </row>
    <row r="227" spans="9:36" x14ac:dyDescent="0.35">
      <c r="I227" s="49">
        <v>7.6770166504600001E-2</v>
      </c>
      <c r="J227" s="49">
        <v>1.4206990266770481E-9</v>
      </c>
      <c r="K227" s="49">
        <v>1.9026152721135675E-10</v>
      </c>
      <c r="L227" s="153">
        <v>1.1266924671744288E-9</v>
      </c>
      <c r="M227" s="18"/>
      <c r="R227" s="60">
        <v>1323.5075311793598</v>
      </c>
      <c r="S227" s="57">
        <v>2.1210419292720315E-6</v>
      </c>
      <c r="U227" s="127">
        <v>1.3371482121398021E-9</v>
      </c>
      <c r="V227" s="127">
        <v>1.1266924671744288E-9</v>
      </c>
      <c r="W227" s="127">
        <v>1.0489046634204636E-9</v>
      </c>
      <c r="X227" s="128">
        <f t="shared" si="6"/>
        <v>1.1598594524772808E-9</v>
      </c>
      <c r="Y227" s="139">
        <f t="shared" si="7"/>
        <v>1.8795115904501027</v>
      </c>
      <c r="AA227" s="73"/>
      <c r="AB227" s="176"/>
      <c r="AC227" s="176"/>
      <c r="AD227" s="176"/>
      <c r="AJ227" s="135"/>
    </row>
    <row r="228" spans="9:36" x14ac:dyDescent="0.35">
      <c r="I228" s="49">
        <v>7.7537868169599997E-2</v>
      </c>
      <c r="J228" s="49">
        <v>1.0511804634159144E-9</v>
      </c>
      <c r="K228" s="49">
        <v>1.7984079491506615E-10</v>
      </c>
      <c r="L228" s="153">
        <v>1.0401539935489336E-9</v>
      </c>
      <c r="M228" s="18"/>
      <c r="R228" s="60">
        <v>1324.2207083673834</v>
      </c>
      <c r="S228" s="57">
        <v>2.1210419292720315E-6</v>
      </c>
      <c r="U228" s="127">
        <v>1.2451586786522419E-9</v>
      </c>
      <c r="V228" s="127">
        <v>1.0401539935489336E-9</v>
      </c>
      <c r="W228" s="127">
        <v>1.1515240545337197E-9</v>
      </c>
      <c r="X228" s="128">
        <f t="shared" si="6"/>
        <v>1.1192476800709573E-9</v>
      </c>
      <c r="Y228" s="139">
        <f t="shared" si="7"/>
        <v>0.14325162505060679</v>
      </c>
      <c r="AA228" s="73"/>
      <c r="AB228" s="176"/>
      <c r="AC228" s="176"/>
      <c r="AD228" s="176"/>
      <c r="AJ228" s="135"/>
    </row>
    <row r="229" spans="9:36" x14ac:dyDescent="0.35">
      <c r="I229" s="49">
        <v>7.8313246851300006E-2</v>
      </c>
      <c r="J229" s="49">
        <v>5.1879282890573023E-10</v>
      </c>
      <c r="K229" s="49">
        <v>1.3902245333014494E-10</v>
      </c>
      <c r="L229" s="153">
        <v>1.0567269560501382E-9</v>
      </c>
      <c r="M229" s="18"/>
      <c r="R229" s="60">
        <v>1324.2207083673834</v>
      </c>
      <c r="S229" s="57">
        <v>2.073359716245526E-6</v>
      </c>
      <c r="U229" s="127">
        <v>1.1179024058536052E-9</v>
      </c>
      <c r="V229" s="127">
        <v>1.0567269560501382E-9</v>
      </c>
      <c r="W229" s="127">
        <v>1.2663363781884422E-9</v>
      </c>
      <c r="X229" s="128">
        <f t="shared" si="6"/>
        <v>1.1244231740355809E-9</v>
      </c>
      <c r="Y229" s="139">
        <f t="shared" si="7"/>
        <v>18.97777783737401</v>
      </c>
      <c r="AA229" s="73"/>
      <c r="AB229" s="176"/>
      <c r="AC229" s="176"/>
      <c r="AD229" s="176"/>
      <c r="AJ229" s="135"/>
    </row>
    <row r="230" spans="9:36" x14ac:dyDescent="0.35">
      <c r="I230" s="49">
        <v>7.90963793198E-2</v>
      </c>
      <c r="J230" s="49">
        <v>1.0936321522069128E-9</v>
      </c>
      <c r="K230" s="49">
        <v>1.7440526937586366E-10</v>
      </c>
      <c r="L230" s="153">
        <v>1.1552725552074023E-9</v>
      </c>
      <c r="M230" s="27"/>
      <c r="R230" s="60">
        <v>1325.5022972427573</v>
      </c>
      <c r="S230" s="57">
        <v>2.073359716245526E-6</v>
      </c>
      <c r="U230" s="127">
        <v>1.0404400142734264E-9</v>
      </c>
      <c r="V230" s="127">
        <v>1.1552725552074023E-9</v>
      </c>
      <c r="W230" s="127">
        <v>1.3065798715809765E-9</v>
      </c>
      <c r="X230" s="128">
        <f t="shared" si="6"/>
        <v>1.1643912490673019E-9</v>
      </c>
      <c r="Y230" s="139">
        <f t="shared" si="7"/>
        <v>0.16460588482842103</v>
      </c>
      <c r="AA230" s="73"/>
      <c r="AB230" s="176"/>
      <c r="AC230" s="176"/>
      <c r="AD230" s="176"/>
      <c r="AJ230" s="135"/>
    </row>
    <row r="231" spans="9:36" x14ac:dyDescent="0.35">
      <c r="I231" s="49">
        <v>7.9887343112999998E-2</v>
      </c>
      <c r="J231" s="49">
        <v>8.2090941309511864E-10</v>
      </c>
      <c r="K231" s="49">
        <v>1.6791624448507999E-10</v>
      </c>
      <c r="L231" s="153">
        <v>1.2570605567514301E-9</v>
      </c>
      <c r="M231" s="27"/>
      <c r="R231" s="60">
        <v>1325.5022972427573</v>
      </c>
      <c r="S231" s="57">
        <v>2.040399284994614E-6</v>
      </c>
      <c r="U231" s="127">
        <v>1.0592145164322658E-9</v>
      </c>
      <c r="V231" s="127">
        <v>1.2570605567514301E-9</v>
      </c>
      <c r="W231" s="127">
        <v>1.2440868620676933E-9</v>
      </c>
      <c r="X231" s="128">
        <f t="shared" si="6"/>
        <v>1.2043556230007049E-9</v>
      </c>
      <c r="Y231" s="139">
        <f t="shared" si="7"/>
        <v>5.2146297000049078</v>
      </c>
      <c r="AA231" s="73"/>
      <c r="AB231" s="176"/>
      <c r="AC231" s="176"/>
      <c r="AD231" s="176"/>
      <c r="AJ231" s="135"/>
    </row>
    <row r="232" spans="9:36" x14ac:dyDescent="0.35">
      <c r="I232" s="49">
        <v>8.0686216544199996E-2</v>
      </c>
      <c r="J232" s="49">
        <v>6.9914659228926993E-10</v>
      </c>
      <c r="K232" s="49">
        <v>1.6364572666636186E-10</v>
      </c>
      <c r="L232" s="153">
        <v>1.2845058456636732E-9</v>
      </c>
      <c r="M232" s="27"/>
      <c r="R232" s="60">
        <v>1327.2233788308315</v>
      </c>
      <c r="S232" s="57">
        <v>2.040399284994614E-6</v>
      </c>
      <c r="U232" s="127">
        <v>1.1508768059552114E-9</v>
      </c>
      <c r="V232" s="127">
        <v>1.2845058456636732E-9</v>
      </c>
      <c r="W232" s="127">
        <v>1.1285463278374459E-9</v>
      </c>
      <c r="X232" s="128">
        <f t="shared" si="6"/>
        <v>1.212108706280001E-9</v>
      </c>
      <c r="Y232" s="139">
        <f t="shared" si="7"/>
        <v>9.8256489377320566</v>
      </c>
      <c r="AA232" s="73"/>
      <c r="AB232" s="176"/>
      <c r="AC232" s="176"/>
      <c r="AD232" s="176"/>
      <c r="AJ232" s="135"/>
    </row>
    <row r="233" spans="9:36" x14ac:dyDescent="0.35">
      <c r="I233" s="49">
        <v>8.14930787096E-2</v>
      </c>
      <c r="J233" s="49">
        <v>1.15672583458014E-9</v>
      </c>
      <c r="K233" s="49">
        <v>1.9385323721834162E-10</v>
      </c>
      <c r="L233" s="153">
        <v>1.2182135808009659E-9</v>
      </c>
      <c r="M233" s="27"/>
      <c r="R233" s="60">
        <v>1327.2233788308315</v>
      </c>
      <c r="S233" s="57">
        <v>2.0358450340501852E-6</v>
      </c>
      <c r="U233" s="127">
        <v>1.2411671163007492E-9</v>
      </c>
      <c r="V233" s="127">
        <v>1.2182135808009659E-9</v>
      </c>
      <c r="W233" s="127">
        <v>1.047056096151623E-9</v>
      </c>
      <c r="X233" s="128">
        <f t="shared" si="6"/>
        <v>1.181162593513576E-9</v>
      </c>
      <c r="Y233" s="139">
        <f t="shared" si="7"/>
        <v>1.5890629191180332E-2</v>
      </c>
      <c r="AA233" s="73"/>
      <c r="AB233" s="176"/>
      <c r="AC233" s="176"/>
      <c r="AD233" s="176"/>
      <c r="AJ233" s="135"/>
    </row>
    <row r="234" spans="9:36" x14ac:dyDescent="0.35">
      <c r="I234" s="49">
        <v>8.2308009496700002E-2</v>
      </c>
      <c r="J234" s="49">
        <v>1.0298869179372928E-9</v>
      </c>
      <c r="K234" s="49">
        <v>1.9893527136402187E-10</v>
      </c>
      <c r="L234" s="153">
        <v>1.1094739600395588E-9</v>
      </c>
      <c r="M234" s="27"/>
      <c r="R234" s="60">
        <v>1427.2233788308315</v>
      </c>
      <c r="S234" s="57">
        <v>2.0358450340501852E-6</v>
      </c>
      <c r="U234" s="127">
        <v>1.2603143957955893E-9</v>
      </c>
      <c r="V234" s="127">
        <v>1.1094739600395588E-9</v>
      </c>
      <c r="W234" s="127">
        <v>1.055271702649045E-9</v>
      </c>
      <c r="X234" s="128">
        <f t="shared" si="6"/>
        <v>1.133633504630938E-9</v>
      </c>
      <c r="Y234" s="139">
        <f t="shared" si="7"/>
        <v>0.27197191107964186</v>
      </c>
      <c r="AA234" s="73"/>
      <c r="AB234" s="176"/>
      <c r="AC234" s="176"/>
      <c r="AD234" s="176"/>
      <c r="AJ234" s="135"/>
    </row>
    <row r="235" spans="9:36" x14ac:dyDescent="0.35">
      <c r="I235" s="49">
        <v>8.31310895917E-2</v>
      </c>
      <c r="J235" s="49">
        <v>9.1057855361927524E-10</v>
      </c>
      <c r="K235" s="49">
        <v>1.8904050917117237E-10</v>
      </c>
      <c r="L235" s="153">
        <v>1.0386089292365021E-9</v>
      </c>
      <c r="M235" s="27"/>
      <c r="U235" s="127">
        <v>1.1941424088774212E-9</v>
      </c>
      <c r="V235" s="127">
        <v>1.0386089292365021E-9</v>
      </c>
      <c r="W235" s="127">
        <v>1.1346252981649106E-9</v>
      </c>
      <c r="X235" s="128">
        <f t="shared" si="6"/>
        <v>1.101496391378834E-9</v>
      </c>
      <c r="Y235" s="139">
        <f t="shared" si="7"/>
        <v>1.0199602752801942</v>
      </c>
      <c r="AA235" s="73"/>
      <c r="AB235" s="176"/>
      <c r="AC235" s="176"/>
      <c r="AD235" s="176"/>
      <c r="AJ235" s="135"/>
    </row>
    <row r="236" spans="9:36" x14ac:dyDescent="0.35">
      <c r="I236" s="49">
        <v>8.3962400487599995E-2</v>
      </c>
      <c r="J236" s="49">
        <v>8.8429022383158177E-10</v>
      </c>
      <c r="K236" s="49">
        <v>1.9174915755404326E-10</v>
      </c>
      <c r="L236" s="153">
        <v>1.0516022076728875E-9</v>
      </c>
      <c r="M236" s="27"/>
      <c r="U236" s="127">
        <v>1.0925385136595227E-9</v>
      </c>
      <c r="V236" s="127">
        <v>1.0516022076728875E-9</v>
      </c>
      <c r="W236" s="127">
        <v>1.2100387925756091E-9</v>
      </c>
      <c r="X236" s="128">
        <f t="shared" si="6"/>
        <v>1.1014454303952268E-9</v>
      </c>
      <c r="Y236" s="139">
        <f t="shared" si="7"/>
        <v>1.2825478116994145</v>
      </c>
      <c r="AA236" s="73"/>
      <c r="AB236" s="176"/>
      <c r="AC236" s="176"/>
      <c r="AD236" s="176"/>
      <c r="AJ236" s="135"/>
    </row>
    <row r="237" spans="9:36" x14ac:dyDescent="0.35">
      <c r="I237" s="49">
        <v>8.4802024492500003E-2</v>
      </c>
      <c r="J237" s="49">
        <v>1.0305105466261914E-9</v>
      </c>
      <c r="K237" s="49">
        <v>2.1927152732701142E-10</v>
      </c>
      <c r="L237" s="153">
        <v>1.1252030496906422E-9</v>
      </c>
      <c r="M237" s="27"/>
      <c r="U237" s="127">
        <v>1.0289253184006683E-9</v>
      </c>
      <c r="V237" s="127">
        <v>1.1252030496906422E-9</v>
      </c>
      <c r="W237" s="127">
        <v>1.2134488604640186E-9</v>
      </c>
      <c r="X237" s="128">
        <f t="shared" si="6"/>
        <v>1.1231950695614927E-9</v>
      </c>
      <c r="Y237" s="139">
        <f t="shared" si="7"/>
        <v>0.1786693076122027</v>
      </c>
      <c r="AA237" s="73"/>
      <c r="AB237" s="176"/>
      <c r="AC237" s="176"/>
      <c r="AD237" s="176"/>
      <c r="AJ237" s="135"/>
    </row>
    <row r="238" spans="9:36" x14ac:dyDescent="0.35">
      <c r="I238" s="49">
        <v>8.5650044737399997E-2</v>
      </c>
      <c r="J238" s="49">
        <v>1.4900076176378764E-9</v>
      </c>
      <c r="K238" s="49">
        <v>2.5813134403424679E-10</v>
      </c>
      <c r="L238" s="153">
        <v>1.1884567333853162E-9</v>
      </c>
      <c r="M238" s="27"/>
      <c r="U238" s="127">
        <v>1.0424297374137613E-9</v>
      </c>
      <c r="V238" s="127">
        <v>1.1884567333853162E-9</v>
      </c>
      <c r="W238" s="127">
        <v>1.1400009382327802E-9</v>
      </c>
      <c r="X238" s="128">
        <f t="shared" si="6"/>
        <v>1.1398360356042934E-9</v>
      </c>
      <c r="Y238" s="139">
        <f t="shared" si="7"/>
        <v>1.8402647661350933</v>
      </c>
      <c r="AA238" s="73"/>
      <c r="AB238" s="176"/>
      <c r="AC238" s="176"/>
      <c r="AD238" s="176"/>
      <c r="AJ238" s="135"/>
    </row>
    <row r="239" spans="9:36" x14ac:dyDescent="0.35">
      <c r="I239" s="49">
        <v>8.6506545184799999E-2</v>
      </c>
      <c r="J239" s="49">
        <v>1.0112794053580645E-9</v>
      </c>
      <c r="K239" s="49">
        <v>2.207825105166757E-10</v>
      </c>
      <c r="L239" s="153">
        <v>1.1826620242142567E-9</v>
      </c>
      <c r="M239" s="27"/>
      <c r="U239" s="127">
        <v>1.1085596528635045E-9</v>
      </c>
      <c r="V239" s="127">
        <v>1.1826620242142567E-9</v>
      </c>
      <c r="W239" s="127">
        <v>1.0493575646006326E-9</v>
      </c>
      <c r="X239" s="128">
        <f t="shared" si="6"/>
        <v>1.1308103164731628E-9</v>
      </c>
      <c r="Y239" s="139">
        <f t="shared" si="7"/>
        <v>0.29311033038885959</v>
      </c>
      <c r="AA239" s="73"/>
      <c r="AB239" s="176"/>
      <c r="AC239" s="176"/>
      <c r="AD239" s="176"/>
      <c r="AJ239" s="135"/>
    </row>
    <row r="240" spans="9:36" x14ac:dyDescent="0.35">
      <c r="I240" s="49">
        <v>8.7371610636599997E-2</v>
      </c>
      <c r="J240" s="49">
        <v>1.1266967992687552E-9</v>
      </c>
      <c r="K240" s="49">
        <v>1.302005289799147E-10</v>
      </c>
      <c r="L240" s="153">
        <v>1.1094980285061741E-9</v>
      </c>
      <c r="M240" s="27"/>
      <c r="U240" s="127">
        <v>1.1617222421510299E-9</v>
      </c>
      <c r="V240" s="127">
        <v>1.1094980285061741E-9</v>
      </c>
      <c r="W240" s="127">
        <v>1.011501081812643E-9</v>
      </c>
      <c r="X240" s="128">
        <f t="shared" si="6"/>
        <v>1.0980548452440054E-9</v>
      </c>
      <c r="Y240" s="139">
        <f t="shared" si="7"/>
        <v>4.8392692821901256E-2</v>
      </c>
      <c r="AA240" s="73"/>
      <c r="AB240" s="176"/>
      <c r="AC240" s="176"/>
      <c r="AD240" s="176"/>
      <c r="AJ240" s="135"/>
    </row>
    <row r="241" spans="9:36" x14ac:dyDescent="0.35">
      <c r="I241" s="49">
        <v>8.8245326742999994E-2</v>
      </c>
      <c r="J241" s="49">
        <v>9.8833179341851098E-10</v>
      </c>
      <c r="K241" s="49">
        <v>1.2030470736391651E-10</v>
      </c>
      <c r="L241" s="153">
        <v>1.0266979333886615E-9</v>
      </c>
      <c r="M241" s="27"/>
      <c r="U241" s="127">
        <v>1.1506233533920327E-9</v>
      </c>
      <c r="V241" s="127">
        <v>1.0266979333886615E-9</v>
      </c>
      <c r="W241" s="127">
        <v>1.0451533771358108E-9</v>
      </c>
      <c r="X241" s="128">
        <f t="shared" si="6"/>
        <v>1.0622931493262916E-9</v>
      </c>
      <c r="Y241" s="139">
        <f t="shared" si="7"/>
        <v>0.37795882186301222</v>
      </c>
      <c r="AA241" s="73"/>
      <c r="AB241" s="176"/>
      <c r="AC241" s="176"/>
      <c r="AD241" s="176"/>
      <c r="AJ241" s="135"/>
    </row>
    <row r="242" spans="9:36" x14ac:dyDescent="0.35">
      <c r="I242" s="49">
        <v>8.9127780010400004E-2</v>
      </c>
      <c r="J242" s="49">
        <v>1.0321226964290456E-9</v>
      </c>
      <c r="K242" s="49">
        <v>1.1544716773943673E-10</v>
      </c>
      <c r="L242" s="153">
        <v>9.9569381229016297E-10</v>
      </c>
      <c r="M242" s="27"/>
      <c r="U242" s="127">
        <v>1.0800492371319828E-9</v>
      </c>
      <c r="V242" s="127">
        <v>9.9569381229016297E-10</v>
      </c>
      <c r="W242" s="127">
        <v>1.1037734967190242E-9</v>
      </c>
      <c r="X242" s="128">
        <f t="shared" si="6"/>
        <v>1.0438025896078331E-9</v>
      </c>
      <c r="Y242" s="139">
        <f t="shared" si="7"/>
        <v>1.0235549808219144E-2</v>
      </c>
      <c r="AA242" s="73"/>
      <c r="AB242" s="176"/>
      <c r="AC242" s="176"/>
      <c r="AD242" s="176"/>
      <c r="AJ242" s="135"/>
    </row>
    <row r="243" spans="9:36" x14ac:dyDescent="0.35">
      <c r="I243" s="49">
        <v>9.00190578105E-2</v>
      </c>
      <c r="J243" s="49">
        <v>1.0715822538803217E-9</v>
      </c>
      <c r="K243" s="49">
        <v>1.1781280969975046E-10</v>
      </c>
      <c r="L243" s="153">
        <v>1.0278378767351482E-9</v>
      </c>
      <c r="M243" s="27"/>
      <c r="U243" s="127">
        <v>1.0038917097267226E-9</v>
      </c>
      <c r="V243" s="127">
        <v>1.0278378767351482E-9</v>
      </c>
      <c r="W243" s="127">
        <v>1.1210286412483867E-9</v>
      </c>
      <c r="X243" s="128">
        <f t="shared" si="6"/>
        <v>1.0451490261113514E-9</v>
      </c>
      <c r="Y243" s="139">
        <f t="shared" si="7"/>
        <v>5.0340250150597107E-2</v>
      </c>
      <c r="AA243" s="73"/>
      <c r="AB243" s="176"/>
      <c r="AC243" s="176"/>
      <c r="AD243" s="176"/>
      <c r="AJ243" s="135"/>
    </row>
    <row r="244" spans="9:36" x14ac:dyDescent="0.35">
      <c r="I244" s="49">
        <v>9.0919248388599994E-2</v>
      </c>
      <c r="J244" s="49">
        <v>1.2281026907547464E-9</v>
      </c>
      <c r="K244" s="49">
        <v>1.3561987250010928E-10</v>
      </c>
      <c r="L244" s="153">
        <v>1.077115158408324E-9</v>
      </c>
      <c r="M244" s="27"/>
      <c r="U244" s="127">
        <v>9.7627494742020204E-10</v>
      </c>
      <c r="V244" s="127">
        <v>1.077115158408324E-9</v>
      </c>
      <c r="W244" s="127">
        <v>1.0727211014531904E-9</v>
      </c>
      <c r="X244" s="128">
        <f t="shared" si="6"/>
        <v>1.0508065914225101E-9</v>
      </c>
      <c r="Y244" s="139">
        <f t="shared" si="7"/>
        <v>1.709037917183271</v>
      </c>
      <c r="AA244" s="73"/>
      <c r="AB244" s="176"/>
      <c r="AC244" s="176"/>
      <c r="AD244" s="176"/>
      <c r="AJ244" s="135"/>
    </row>
    <row r="245" spans="9:36" x14ac:dyDescent="0.35">
      <c r="I245" s="49">
        <v>9.18284408725E-2</v>
      </c>
      <c r="J245" s="49">
        <v>1.2031066191469132E-9</v>
      </c>
      <c r="K245" s="49">
        <v>1.32195867282769E-10</v>
      </c>
      <c r="L245" s="153">
        <v>1.0849666498161701E-9</v>
      </c>
      <c r="M245" s="27"/>
      <c r="U245" s="127">
        <v>1.0043895475521963E-9</v>
      </c>
      <c r="V245" s="127">
        <v>1.0849666498161701E-9</v>
      </c>
      <c r="W245" s="127">
        <v>9.968336981939933E-10</v>
      </c>
      <c r="X245" s="128">
        <f t="shared" si="6"/>
        <v>1.0427891363446324E-9</v>
      </c>
      <c r="Y245" s="139">
        <f t="shared" si="7"/>
        <v>1.4707065060888618</v>
      </c>
      <c r="AA245" s="73"/>
      <c r="AB245" s="176"/>
      <c r="AC245" s="176"/>
      <c r="AD245" s="176"/>
      <c r="AJ245" s="135"/>
    </row>
    <row r="246" spans="9:36" x14ac:dyDescent="0.35">
      <c r="I246" s="49">
        <v>9.2746725281199996E-2</v>
      </c>
      <c r="J246" s="49">
        <v>1.219561096543176E-9</v>
      </c>
      <c r="K246" s="49">
        <v>1.3665075401592521E-10</v>
      </c>
      <c r="L246" s="153">
        <v>1.034713106326006E-9</v>
      </c>
      <c r="M246" s="27"/>
      <c r="U246" s="127">
        <v>1.0449581556276095E-9</v>
      </c>
      <c r="V246" s="127">
        <v>1.034713106326006E-9</v>
      </c>
      <c r="W246" s="127">
        <v>9.5366860408609774E-10</v>
      </c>
      <c r="X246" s="128">
        <f t="shared" si="6"/>
        <v>1.0170132430914299E-9</v>
      </c>
      <c r="Y246" s="139">
        <f t="shared" si="7"/>
        <v>2.1970059101499748</v>
      </c>
      <c r="AA246" s="73"/>
      <c r="AB246" s="176"/>
      <c r="AC246" s="176"/>
      <c r="AD246" s="176"/>
      <c r="AJ246" s="135"/>
    </row>
    <row r="247" spans="9:36" x14ac:dyDescent="0.35">
      <c r="I247" s="49">
        <v>9.3674192534E-2</v>
      </c>
      <c r="J247" s="49">
        <v>1.0802842767294595E-9</v>
      </c>
      <c r="K247" s="49">
        <v>1.3164868807809575E-10</v>
      </c>
      <c r="L247" s="153">
        <v>9.6438558350698128E-10</v>
      </c>
      <c r="M247" s="27"/>
      <c r="U247" s="127">
        <v>1.0464029401325328E-9</v>
      </c>
      <c r="V247" s="127">
        <v>9.6438558350698128E-10</v>
      </c>
      <c r="W247" s="127">
        <v>9.6633593049348568E-10</v>
      </c>
      <c r="X247" s="128">
        <f t="shared" si="6"/>
        <v>9.8537750940999527E-10</v>
      </c>
      <c r="Y247" s="139">
        <f t="shared" si="7"/>
        <v>0.51971025990932174</v>
      </c>
      <c r="AA247" s="73"/>
      <c r="AB247" s="176"/>
      <c r="AC247" s="176"/>
      <c r="AD247" s="176"/>
      <c r="AJ247" s="135"/>
    </row>
    <row r="248" spans="9:36" x14ac:dyDescent="0.35">
      <c r="I248" s="49">
        <v>9.4610934459399998E-2</v>
      </c>
      <c r="J248" s="49">
        <v>9.2815604954553478E-10</v>
      </c>
      <c r="K248" s="49">
        <v>1.2576092013591681E-10</v>
      </c>
      <c r="L248" s="153">
        <v>9.2701132608178959E-10</v>
      </c>
      <c r="M248" s="27"/>
      <c r="U248" s="127">
        <v>9.9660637824992544E-10</v>
      </c>
      <c r="V248" s="127">
        <v>9.2701132608178959E-10</v>
      </c>
      <c r="W248" s="127">
        <v>1.0007351140036682E-9</v>
      </c>
      <c r="X248" s="128">
        <f t="shared" si="6"/>
        <v>9.6284103610429327E-10</v>
      </c>
      <c r="Y248" s="139">
        <f t="shared" si="7"/>
        <v>7.6066187321696802E-2</v>
      </c>
      <c r="AA248" s="73"/>
      <c r="AB248" s="176"/>
      <c r="AC248" s="176"/>
      <c r="AD248" s="176"/>
      <c r="AJ248" s="135"/>
    </row>
    <row r="249" spans="9:36" x14ac:dyDescent="0.35">
      <c r="I249" s="49">
        <v>9.5557043804E-2</v>
      </c>
      <c r="J249" s="49">
        <v>8.9571819063215891E-10</v>
      </c>
      <c r="K249" s="49">
        <v>1.1974707705890292E-10</v>
      </c>
      <c r="L249" s="153">
        <v>9.3853345901295471E-10</v>
      </c>
      <c r="M249" s="27"/>
      <c r="U249" s="127">
        <v>9.314191075933195E-10</v>
      </c>
      <c r="V249" s="127">
        <v>9.3853345901295471E-10</v>
      </c>
      <c r="W249" s="127">
        <v>1.0036483766222627E-9</v>
      </c>
      <c r="X249" s="128">
        <f t="shared" si="6"/>
        <v>9.5303360056037296E-10</v>
      </c>
      <c r="Y249" s="139">
        <f t="shared" si="7"/>
        <v>0.22909360325133227</v>
      </c>
      <c r="AA249" s="73"/>
      <c r="AB249" s="176"/>
      <c r="AC249" s="176"/>
      <c r="AD249" s="176"/>
      <c r="AJ249" s="135"/>
    </row>
    <row r="250" spans="9:36" x14ac:dyDescent="0.35">
      <c r="I250" s="49">
        <v>9.6512614242E-2</v>
      </c>
      <c r="J250" s="49">
        <v>9.628025278549686E-10</v>
      </c>
      <c r="K250" s="49">
        <v>1.3144136549783554E-10</v>
      </c>
      <c r="L250" s="153">
        <v>9.6503221335219332E-10</v>
      </c>
      <c r="M250" s="27"/>
      <c r="U250" s="127">
        <v>8.972248703261352E-10</v>
      </c>
      <c r="V250" s="127">
        <v>9.6503221335219332E-10</v>
      </c>
      <c r="W250" s="127">
        <v>9.5798023673527391E-10</v>
      </c>
      <c r="X250" s="128">
        <f t="shared" si="6"/>
        <v>9.4631738344144896E-10</v>
      </c>
      <c r="Y250" s="139">
        <f t="shared" si="7"/>
        <v>1.5729734332315125E-2</v>
      </c>
      <c r="AA250" s="73"/>
      <c r="AB250" s="176"/>
      <c r="AC250" s="176"/>
      <c r="AD250" s="176"/>
      <c r="AJ250" s="135"/>
    </row>
    <row r="251" spans="9:36" x14ac:dyDescent="0.35">
      <c r="I251" s="49">
        <v>9.7477740384400005E-2</v>
      </c>
      <c r="J251" s="49">
        <v>1.198819596018366E-9</v>
      </c>
      <c r="K251" s="49">
        <v>1.4369669715333468E-10</v>
      </c>
      <c r="L251" s="153">
        <v>9.6040674155219878E-10</v>
      </c>
      <c r="M251" s="27"/>
      <c r="U251" s="127">
        <v>9.0555598185768801E-10</v>
      </c>
      <c r="V251" s="127">
        <v>9.6040674155219878E-10</v>
      </c>
      <c r="W251" s="127">
        <v>8.9736376940968021E-10</v>
      </c>
      <c r="X251" s="128">
        <f t="shared" si="6"/>
        <v>9.3093330859294145E-10</v>
      </c>
      <c r="Y251" s="139">
        <f t="shared" si="7"/>
        <v>3.4754207910434864</v>
      </c>
      <c r="AA251" s="73"/>
      <c r="AB251" s="176"/>
      <c r="AC251" s="176"/>
      <c r="AD251" s="176"/>
      <c r="AJ251" s="135"/>
    </row>
    <row r="252" spans="9:36" x14ac:dyDescent="0.35">
      <c r="I252" s="49">
        <v>9.8452517788299998E-2</v>
      </c>
      <c r="J252" s="49">
        <v>9.4094093711601878E-10</v>
      </c>
      <c r="K252" s="49">
        <v>1.3001494216675769E-10</v>
      </c>
      <c r="L252" s="153">
        <v>9.1395608759609813E-10</v>
      </c>
      <c r="M252" s="27"/>
      <c r="U252" s="127">
        <v>9.2470444253217982E-10</v>
      </c>
      <c r="V252" s="127">
        <v>9.1395608759609813E-10</v>
      </c>
      <c r="W252" s="127">
        <v>8.6671787057514737E-10</v>
      </c>
      <c r="X252" s="128">
        <f t="shared" si="6"/>
        <v>9.0483362207488089E-10</v>
      </c>
      <c r="Y252" s="139">
        <f t="shared" si="7"/>
        <v>7.7126541329772105E-2</v>
      </c>
      <c r="AA252" s="73"/>
      <c r="AB252" s="176"/>
      <c r="AC252" s="176"/>
      <c r="AD252" s="176"/>
      <c r="AJ252" s="135"/>
    </row>
    <row r="253" spans="9:36" x14ac:dyDescent="0.35">
      <c r="I253" s="49">
        <v>9.9437042966199998E-2</v>
      </c>
      <c r="J253" s="49">
        <v>1.0009881604254005E-9</v>
      </c>
      <c r="K253" s="49">
        <v>1.4761628952625993E-10</v>
      </c>
      <c r="L253" s="153">
        <v>8.5822765620923511E-10</v>
      </c>
      <c r="M253" s="27"/>
      <c r="U253" s="127">
        <v>9.1495751156006551E-10</v>
      </c>
      <c r="V253" s="127">
        <v>8.5822765620923511E-10</v>
      </c>
      <c r="W253" s="127">
        <v>8.7362342818682589E-10</v>
      </c>
      <c r="X253" s="128">
        <f t="shared" si="6"/>
        <v>8.7625906304134033E-10</v>
      </c>
      <c r="Y253" s="139">
        <f t="shared" si="7"/>
        <v>0.71394867117602723</v>
      </c>
      <c r="AA253" s="73"/>
      <c r="AB253" s="176"/>
      <c r="AC253" s="176"/>
      <c r="AD253" s="176"/>
      <c r="AJ253" s="135"/>
    </row>
    <row r="254" spans="9:36" x14ac:dyDescent="0.35">
      <c r="I254" s="49">
        <v>0.10043141339599999</v>
      </c>
      <c r="J254" s="49">
        <v>9.6109679029697303E-10</v>
      </c>
      <c r="K254" s="49">
        <v>1.4426199405062025E-10</v>
      </c>
      <c r="L254" s="153">
        <v>8.3103516158448298E-10</v>
      </c>
      <c r="M254" s="27"/>
      <c r="U254" s="127">
        <v>8.6940876885277825E-10</v>
      </c>
      <c r="V254" s="127">
        <v>8.3103516158448298E-10</v>
      </c>
      <c r="W254" s="127">
        <v>8.8376809543681561E-10</v>
      </c>
      <c r="X254" s="128">
        <f t="shared" si="6"/>
        <v>8.5381179686463995E-10</v>
      </c>
      <c r="Y254" s="139">
        <f t="shared" si="7"/>
        <v>0.5530623518468224</v>
      </c>
      <c r="AA254" s="73"/>
      <c r="AB254" s="176"/>
      <c r="AC254" s="176"/>
      <c r="AD254" s="176"/>
      <c r="AJ254" s="135"/>
    </row>
    <row r="255" spans="9:36" x14ac:dyDescent="0.35">
      <c r="I255" s="49">
        <v>0.10143572753000001</v>
      </c>
      <c r="J255" s="49">
        <v>1.0691224448915669E-9</v>
      </c>
      <c r="K255" s="49">
        <v>1.5318042885545165E-10</v>
      </c>
      <c r="L255" s="153">
        <v>8.3487882192786108E-10</v>
      </c>
      <c r="M255" s="27"/>
      <c r="U255" s="127">
        <v>8.1788324289775372E-10</v>
      </c>
      <c r="V255" s="127">
        <v>8.3487882192786108E-10</v>
      </c>
      <c r="W255" s="127">
        <v>8.6279036002530824E-10</v>
      </c>
      <c r="X255" s="128">
        <f t="shared" ref="X255:X277" si="8">(U255+2*V255+W255)/4</f>
        <v>8.3760781169469613E-10</v>
      </c>
      <c r="Y255" s="139">
        <f t="shared" ref="Y255:Y277" si="9">(J255-X255)*(J255-X255)/(K255*K255)</f>
        <v>2.2842852246554539</v>
      </c>
      <c r="AA255" s="73"/>
      <c r="AB255" s="176"/>
      <c r="AC255" s="176"/>
      <c r="AD255" s="176"/>
      <c r="AJ255" s="135"/>
    </row>
    <row r="256" spans="9:36" x14ac:dyDescent="0.35">
      <c r="I256" s="49">
        <v>0.10245008480499999</v>
      </c>
      <c r="J256" s="49">
        <v>1.1190980031093692E-9</v>
      </c>
      <c r="K256" s="49">
        <v>1.5857986310827511E-10</v>
      </c>
      <c r="L256" s="153">
        <v>8.3797435576134905E-10</v>
      </c>
      <c r="M256" s="27"/>
      <c r="U256" s="127">
        <v>7.9211640796162088E-10</v>
      </c>
      <c r="V256" s="127">
        <v>8.3797435576134905E-10</v>
      </c>
      <c r="W256" s="127">
        <v>8.1454810845955271E-10</v>
      </c>
      <c r="X256" s="128">
        <f t="shared" si="8"/>
        <v>8.206533069859679E-10</v>
      </c>
      <c r="Y256" s="139">
        <f t="shared" si="9"/>
        <v>3.5418621392547567</v>
      </c>
      <c r="AA256" s="73"/>
      <c r="AB256" s="176"/>
      <c r="AC256" s="176"/>
      <c r="AD256" s="176"/>
      <c r="AJ256" s="135"/>
    </row>
    <row r="257" spans="9:36" x14ac:dyDescent="0.35">
      <c r="I257" s="49">
        <v>0.103474585653</v>
      </c>
      <c r="J257" s="49">
        <v>1.1334233477979489E-9</v>
      </c>
      <c r="K257" s="49">
        <v>1.6149543129919406E-10</v>
      </c>
      <c r="L257" s="153">
        <v>8.1288660759499684E-10</v>
      </c>
      <c r="M257" s="27"/>
      <c r="U257" s="127">
        <v>7.9194519011347648E-10</v>
      </c>
      <c r="V257" s="127">
        <v>8.1288660759499684E-10</v>
      </c>
      <c r="W257" s="127">
        <v>7.7244826261944087E-10</v>
      </c>
      <c r="X257" s="128">
        <f t="shared" si="8"/>
        <v>7.9754166698072781E-10</v>
      </c>
      <c r="Y257" s="139">
        <f t="shared" si="9"/>
        <v>4.3256577461587877</v>
      </c>
      <c r="AA257" s="73"/>
      <c r="AB257" s="176"/>
      <c r="AC257" s="176"/>
      <c r="AD257" s="176"/>
      <c r="AJ257" s="136"/>
    </row>
    <row r="258" spans="9:36" x14ac:dyDescent="0.35">
      <c r="I258" s="49">
        <v>0.10450933151</v>
      </c>
      <c r="J258" s="49">
        <v>1.1140423249218198E-9</v>
      </c>
      <c r="K258" s="49">
        <v>1.6935751668960785E-10</v>
      </c>
      <c r="L258" s="153">
        <v>7.6660697319426335E-10</v>
      </c>
      <c r="M258" s="27"/>
      <c r="U258" s="127">
        <v>7.8915665907544131E-10</v>
      </c>
      <c r="V258" s="127">
        <v>7.6660697319426335E-10</v>
      </c>
      <c r="W258" s="127">
        <v>7.5750224285290682E-10</v>
      </c>
      <c r="X258" s="128">
        <f t="shared" si="8"/>
        <v>7.6996821207921863E-10</v>
      </c>
      <c r="Y258" s="139">
        <f t="shared" si="9"/>
        <v>4.127575668195016</v>
      </c>
      <c r="AA258" s="73"/>
      <c r="AB258" s="176"/>
      <c r="AC258" s="176"/>
      <c r="AD258" s="176"/>
      <c r="AJ258" s="136"/>
    </row>
    <row r="259" spans="9:36" x14ac:dyDescent="0.35">
      <c r="I259" s="49">
        <v>0.10555442482500001</v>
      </c>
      <c r="J259" s="49">
        <v>1.0687864507606516E-9</v>
      </c>
      <c r="K259" s="49">
        <v>1.6916950393513417E-10</v>
      </c>
      <c r="L259" s="153">
        <v>7.2841755217447337E-10</v>
      </c>
      <c r="M259" s="27"/>
      <c r="U259" s="127">
        <v>7.618241147350864E-10</v>
      </c>
      <c r="V259" s="127">
        <v>7.2841755217447337E-10</v>
      </c>
      <c r="W259" s="127">
        <v>7.5532184175607286E-10</v>
      </c>
      <c r="X259" s="128">
        <f t="shared" si="8"/>
        <v>7.434952652100265E-10</v>
      </c>
      <c r="Y259" s="139">
        <f t="shared" si="9"/>
        <v>3.697434072702928</v>
      </c>
      <c r="AA259" s="73"/>
      <c r="AB259" s="176"/>
      <c r="AC259" s="176"/>
      <c r="AD259" s="176"/>
      <c r="AJ259" s="136"/>
    </row>
    <row r="260" spans="9:36" x14ac:dyDescent="0.35">
      <c r="I260" s="49">
        <v>0.10660996907299999</v>
      </c>
      <c r="J260" s="49">
        <v>1.2776720310199463E-9</v>
      </c>
      <c r="K260" s="49">
        <v>1.8135069271282208E-10</v>
      </c>
      <c r="L260" s="153">
        <v>7.1326777498448237E-10</v>
      </c>
      <c r="M260" s="27"/>
      <c r="U260" s="127">
        <v>7.1798992175760823E-10</v>
      </c>
      <c r="V260" s="127">
        <v>7.1326777498448237E-10</v>
      </c>
      <c r="W260" s="127">
        <v>7.3798719025383831E-10</v>
      </c>
      <c r="X260" s="128">
        <f t="shared" si="8"/>
        <v>7.2062816549510277E-10</v>
      </c>
      <c r="Y260" s="139">
        <f t="shared" si="9"/>
        <v>9.4349663194609619</v>
      </c>
      <c r="AA260" s="73"/>
      <c r="AB260" s="176"/>
      <c r="AC260" s="176"/>
      <c r="AD260" s="176"/>
      <c r="AJ260" s="136"/>
    </row>
    <row r="261" spans="9:36" x14ac:dyDescent="0.35">
      <c r="I261" s="49">
        <v>0.107676068764</v>
      </c>
      <c r="J261" s="49">
        <v>1.26507836887735E-9</v>
      </c>
      <c r="K261" s="49">
        <v>1.7662509340279926E-10</v>
      </c>
      <c r="L261" s="153">
        <v>7.0622545199776737E-10</v>
      </c>
      <c r="M261" s="27"/>
      <c r="U261" s="127">
        <v>6.8254644211598131E-10</v>
      </c>
      <c r="V261" s="127">
        <v>7.0622545199776737E-10</v>
      </c>
      <c r="W261" s="127">
        <v>6.9984469184794324E-10</v>
      </c>
      <c r="X261" s="128">
        <f t="shared" si="8"/>
        <v>6.9871050948986485E-10</v>
      </c>
      <c r="Y261" s="139">
        <f t="shared" si="9"/>
        <v>10.28235018408223</v>
      </c>
      <c r="AA261" s="73"/>
      <c r="AB261" s="176"/>
      <c r="AC261" s="176"/>
      <c r="AD261" s="176"/>
      <c r="AJ261" s="136"/>
    </row>
    <row r="262" spans="9:36" x14ac:dyDescent="0.35">
      <c r="I262" s="49">
        <v>0.108752829451</v>
      </c>
      <c r="J262" s="49">
        <v>1.3917811107629421E-9</v>
      </c>
      <c r="K262" s="49">
        <v>1.9713177637442458E-10</v>
      </c>
      <c r="L262" s="153">
        <v>6.8466947336661185E-10</v>
      </c>
      <c r="M262" s="27"/>
      <c r="U262" s="127">
        <v>6.6611276617486355E-10</v>
      </c>
      <c r="V262" s="127">
        <v>6.8466947336661185E-10</v>
      </c>
      <c r="W262" s="127">
        <v>6.6130380295129621E-10</v>
      </c>
      <c r="X262" s="128">
        <f t="shared" si="8"/>
        <v>6.7418887896484581E-10</v>
      </c>
      <c r="Y262" s="139">
        <f t="shared" si="9"/>
        <v>13.250802669468904</v>
      </c>
      <c r="AA262" s="73"/>
      <c r="AB262" s="176"/>
      <c r="AC262" s="176"/>
      <c r="AD262" s="176"/>
      <c r="AJ262" s="136"/>
    </row>
    <row r="263" spans="9:36" x14ac:dyDescent="0.35">
      <c r="I263" s="49">
        <v>0.109840357746</v>
      </c>
      <c r="J263" s="49">
        <v>1.4409012068869749E-9</v>
      </c>
      <c r="K263" s="49">
        <v>2.1685753315851733E-10</v>
      </c>
      <c r="L263" s="153">
        <v>6.4707827558991396E-10</v>
      </c>
      <c r="M263" s="27"/>
      <c r="U263" s="127">
        <v>6.5468444355459267E-10</v>
      </c>
      <c r="V263" s="127">
        <v>6.4707827558991396E-10</v>
      </c>
      <c r="W263" s="127">
        <v>6.3919797319085498E-10</v>
      </c>
      <c r="X263" s="128">
        <f t="shared" si="8"/>
        <v>6.4700974198131884E-10</v>
      </c>
      <c r="Y263" s="139">
        <f t="shared" si="9"/>
        <v>13.402111889672817</v>
      </c>
      <c r="AA263" s="73"/>
      <c r="AB263" s="176"/>
      <c r="AC263" s="176"/>
      <c r="AD263" s="176"/>
      <c r="AJ263" s="136"/>
    </row>
    <row r="264" spans="9:36" x14ac:dyDescent="0.35">
      <c r="I264" s="49">
        <v>0.110938761323</v>
      </c>
      <c r="J264" s="49">
        <v>1.3108817475847464E-9</v>
      </c>
      <c r="K264" s="49">
        <v>1.8882600159502092E-10</v>
      </c>
      <c r="L264" s="153">
        <v>6.1167259540270719E-10</v>
      </c>
      <c r="M264" s="27"/>
      <c r="U264" s="127">
        <v>6.303530053640777E-10</v>
      </c>
      <c r="V264" s="127">
        <v>6.1167259540270719E-10</v>
      </c>
      <c r="W264" s="127">
        <v>6.2573121372329987E-10</v>
      </c>
      <c r="X264" s="128">
        <f t="shared" si="8"/>
        <v>6.1985735247319802E-10</v>
      </c>
      <c r="Y264" s="139">
        <f t="shared" si="9"/>
        <v>13.392546560054793</v>
      </c>
      <c r="AA264" s="73"/>
      <c r="AB264" s="176"/>
      <c r="AC264" s="176"/>
      <c r="AD264" s="176"/>
      <c r="AJ264" s="136"/>
    </row>
    <row r="265" spans="9:36" x14ac:dyDescent="0.35">
      <c r="I265" s="49">
        <v>0.11204814893700001</v>
      </c>
      <c r="J265" s="49">
        <v>1.1741275306286574E-9</v>
      </c>
      <c r="K265" s="49">
        <v>1.9592799774763514E-10</v>
      </c>
      <c r="L265" s="153">
        <v>5.9009711871281593E-10</v>
      </c>
      <c r="M265" s="27"/>
      <c r="U265" s="127">
        <v>5.9399651619482941E-10</v>
      </c>
      <c r="V265" s="127">
        <v>5.9009711871281593E-10</v>
      </c>
      <c r="W265" s="127">
        <v>6.0278742357837157E-10</v>
      </c>
      <c r="X265" s="128">
        <f t="shared" si="8"/>
        <v>5.9424454429970816E-10</v>
      </c>
      <c r="Y265" s="139">
        <f t="shared" si="9"/>
        <v>8.7596697489054947</v>
      </c>
      <c r="AA265" s="73"/>
      <c r="AB265" s="176"/>
      <c r="AC265" s="176"/>
      <c r="AD265" s="176"/>
      <c r="AJ265" s="136"/>
    </row>
    <row r="266" spans="9:36" x14ac:dyDescent="0.35">
      <c r="I266" s="49">
        <v>0.11316863042600001</v>
      </c>
      <c r="J266" s="49">
        <v>9.274273972879108E-10</v>
      </c>
      <c r="K266" s="49">
        <v>1.756871592564381E-10</v>
      </c>
      <c r="L266" s="153">
        <v>5.7342570043307261E-10</v>
      </c>
      <c r="M266" s="27"/>
      <c r="U266" s="127">
        <v>5.6109415605372116E-10</v>
      </c>
      <c r="V266" s="127">
        <v>5.7342570043307261E-10</v>
      </c>
      <c r="W266" s="127">
        <v>5.6809520891348802E-10</v>
      </c>
      <c r="X266" s="128">
        <f t="shared" si="8"/>
        <v>5.6901019145833855E-10</v>
      </c>
      <c r="Y266" s="139">
        <f t="shared" si="9"/>
        <v>4.1619576653626851</v>
      </c>
      <c r="AA266" s="73"/>
      <c r="AB266" s="176"/>
      <c r="AC266" s="176"/>
      <c r="AD266" s="176"/>
      <c r="AJ266" s="136"/>
    </row>
    <row r="267" spans="9:36" x14ac:dyDescent="0.35">
      <c r="I267" s="49">
        <v>0.11430031673</v>
      </c>
      <c r="J267" s="49">
        <v>1.5355025886099111E-9</v>
      </c>
      <c r="K267" s="49">
        <v>2.2606765889733916E-10</v>
      </c>
      <c r="L267" s="152">
        <v>5.4762591372348681E-10</v>
      </c>
      <c r="M267" s="34"/>
      <c r="U267" s="127">
        <v>5.3935029406653947E-10</v>
      </c>
      <c r="V267" s="127">
        <v>5.4762591372348681E-10</v>
      </c>
      <c r="W267" s="127">
        <v>5.3577393447503743E-10</v>
      </c>
      <c r="X267" s="128">
        <f t="shared" si="8"/>
        <v>5.4259401399713768E-10</v>
      </c>
      <c r="Y267" s="139">
        <f t="shared" si="9"/>
        <v>19.290418456761095</v>
      </c>
      <c r="AA267" s="73"/>
      <c r="AB267" s="176"/>
      <c r="AC267" s="176"/>
      <c r="AD267" s="176"/>
      <c r="AJ267" s="136"/>
    </row>
    <row r="268" spans="9:36" x14ac:dyDescent="0.35">
      <c r="I268" s="49">
        <v>0.115443319898</v>
      </c>
      <c r="J268" s="49">
        <v>1.2660601679847949E-9</v>
      </c>
      <c r="K268" s="49">
        <v>2.082370295990615E-10</v>
      </c>
      <c r="L268" s="152">
        <v>5.1370967021745602E-10</v>
      </c>
      <c r="M268" s="34"/>
      <c r="U268" s="127">
        <v>5.1992698042535341E-10</v>
      </c>
      <c r="V268" s="127">
        <v>5.1370967021745602E-10</v>
      </c>
      <c r="W268" s="127">
        <v>5.1368231352132966E-10</v>
      </c>
      <c r="X268" s="128">
        <f t="shared" si="8"/>
        <v>5.1525715859539883E-10</v>
      </c>
      <c r="Y268" s="139">
        <f t="shared" si="9"/>
        <v>12.99978258845643</v>
      </c>
      <c r="AA268" s="73"/>
      <c r="AB268" s="176"/>
      <c r="AC268" s="176"/>
      <c r="AD268" s="176"/>
      <c r="AJ268" s="136"/>
    </row>
    <row r="269" spans="9:36" x14ac:dyDescent="0.35">
      <c r="I269" s="49">
        <v>0.116597753096</v>
      </c>
      <c r="J269" s="49">
        <v>1.1494433343028749E-9</v>
      </c>
      <c r="K269" s="49">
        <v>2.1245738830453404E-10</v>
      </c>
      <c r="L269" s="152">
        <v>4.8384652345511082E-10</v>
      </c>
      <c r="M269" s="33"/>
      <c r="U269" s="127">
        <v>4.9240100396672962E-10</v>
      </c>
      <c r="V269" s="127">
        <v>4.8384652345511082E-10</v>
      </c>
      <c r="W269" s="127">
        <v>4.9310863980742729E-10</v>
      </c>
      <c r="X269" s="128">
        <f t="shared" si="8"/>
        <v>4.8830067267109467E-10</v>
      </c>
      <c r="Y269" s="139">
        <f t="shared" si="9"/>
        <v>9.683819518507633</v>
      </c>
      <c r="AA269" s="73"/>
      <c r="AB269" s="176"/>
      <c r="AC269" s="176"/>
      <c r="AD269" s="176"/>
      <c r="AJ269" s="136"/>
    </row>
    <row r="270" spans="9:36" x14ac:dyDescent="0.35">
      <c r="I270" s="49">
        <v>0.117763730627</v>
      </c>
      <c r="J270" s="49">
        <v>1.388131436258354E-9</v>
      </c>
      <c r="K270" s="49">
        <v>2.2791707460376567E-10</v>
      </c>
      <c r="L270" s="152">
        <v>4.6200853187529016E-10</v>
      </c>
      <c r="M270" s="34"/>
      <c r="U270" s="127">
        <v>4.5971249025137009E-10</v>
      </c>
      <c r="V270" s="127">
        <v>4.6200853187529016E-10</v>
      </c>
      <c r="W270" s="127">
        <v>4.6449731581800814E-10</v>
      </c>
      <c r="X270" s="128">
        <f t="shared" si="8"/>
        <v>4.6205671745498965E-10</v>
      </c>
      <c r="Y270" s="139">
        <f t="shared" si="9"/>
        <v>16.509667734933942</v>
      </c>
      <c r="AA270" s="73"/>
      <c r="AB270" s="176"/>
      <c r="AC270" s="176"/>
      <c r="AD270" s="176"/>
      <c r="AJ270" s="136"/>
    </row>
    <row r="271" spans="9:36" x14ac:dyDescent="0.35">
      <c r="I271" s="49">
        <v>0.11894136793399999</v>
      </c>
      <c r="J271" s="49">
        <v>1.489679381369914E-9</v>
      </c>
      <c r="K271" s="49">
        <v>2.5402586120180902E-10</v>
      </c>
      <c r="L271" s="152">
        <v>4.3942357819816865E-10</v>
      </c>
      <c r="M271" s="35"/>
      <c r="U271" s="127">
        <v>4.3185323175210257E-10</v>
      </c>
      <c r="V271" s="127">
        <v>4.3942357819816865E-10</v>
      </c>
      <c r="W271" s="127">
        <v>4.3232158899210954E-10</v>
      </c>
      <c r="X271" s="128">
        <f t="shared" si="8"/>
        <v>4.3575549428513733E-10</v>
      </c>
      <c r="Y271" s="139">
        <f t="shared" si="9"/>
        <v>17.213240273339135</v>
      </c>
      <c r="AA271" s="73"/>
      <c r="AB271" s="176"/>
      <c r="AC271" s="176"/>
      <c r="AD271" s="176"/>
      <c r="AJ271" s="136"/>
    </row>
    <row r="272" spans="9:36" x14ac:dyDescent="0.35">
      <c r="I272" s="49">
        <v>0.120130781613</v>
      </c>
      <c r="J272" s="49">
        <v>1.6292912494829698E-9</v>
      </c>
      <c r="K272" s="49">
        <v>2.6354446041555648E-10</v>
      </c>
      <c r="L272" s="152">
        <v>4.0993961692227068E-10</v>
      </c>
      <c r="M272" s="34"/>
      <c r="U272" s="127">
        <v>4.1004219694328308E-10</v>
      </c>
      <c r="V272" s="127">
        <v>4.0993961692227068E-10</v>
      </c>
      <c r="W272" s="127">
        <v>4.0619069048766908E-10</v>
      </c>
      <c r="X272" s="128">
        <f t="shared" si="8"/>
        <v>4.0902803031887337E-10</v>
      </c>
      <c r="Y272" s="139">
        <f t="shared" si="9"/>
        <v>21.438740042093549</v>
      </c>
      <c r="AA272" s="73"/>
      <c r="AB272" s="176"/>
      <c r="AC272" s="176"/>
      <c r="AD272" s="176"/>
      <c r="AJ272" s="136"/>
    </row>
    <row r="273" spans="9:36" x14ac:dyDescent="0.35">
      <c r="I273" s="49">
        <v>0.12133208942900001</v>
      </c>
      <c r="J273" s="49">
        <v>1.0927163301742279E-9</v>
      </c>
      <c r="K273" s="49">
        <v>2.1763079975846494E-10</v>
      </c>
      <c r="L273" s="152">
        <v>3.7944485830790303E-10</v>
      </c>
      <c r="M273" s="33"/>
      <c r="U273" s="127">
        <v>3.8614557257572557E-10</v>
      </c>
      <c r="V273" s="127">
        <v>3.7944485830790303E-10</v>
      </c>
      <c r="W273" s="127">
        <v>3.8484540429151481E-10</v>
      </c>
      <c r="X273" s="128">
        <f t="shared" si="8"/>
        <v>3.8247017337076157E-10</v>
      </c>
      <c r="Y273" s="139">
        <f t="shared" si="9"/>
        <v>10.650673434022414</v>
      </c>
      <c r="AA273" s="73"/>
      <c r="AB273" s="176"/>
      <c r="AC273" s="176"/>
      <c r="AD273" s="176"/>
      <c r="AJ273" s="136"/>
    </row>
    <row r="274" spans="9:36" x14ac:dyDescent="0.35">
      <c r="I274" s="49">
        <v>0.122545410323</v>
      </c>
      <c r="J274" s="49">
        <v>1.1935051713166409E-9</v>
      </c>
      <c r="K274" s="49">
        <v>2.4090573180167139E-10</v>
      </c>
      <c r="L274" s="152">
        <v>3.5511650171448359E-10</v>
      </c>
      <c r="M274" s="34"/>
      <c r="U274" s="127">
        <v>3.5665694312396432E-10</v>
      </c>
      <c r="V274" s="127">
        <v>3.5511650171448359E-10</v>
      </c>
      <c r="W274" s="127">
        <v>3.596151670342794E-10</v>
      </c>
      <c r="X274" s="128">
        <f t="shared" si="8"/>
        <v>3.566262783968027E-10</v>
      </c>
      <c r="Y274" s="139">
        <f t="shared" si="9"/>
        <v>12.067879438873947</v>
      </c>
      <c r="AA274" s="73"/>
      <c r="AB274" s="176"/>
      <c r="AC274" s="176"/>
      <c r="AD274" s="176"/>
      <c r="AJ274" s="136"/>
    </row>
    <row r="275" spans="9:36" x14ac:dyDescent="0.35">
      <c r="I275" s="49">
        <v>0.123770864427</v>
      </c>
      <c r="J275" s="49">
        <v>1.0436068076166043E-9</v>
      </c>
      <c r="K275" s="49">
        <v>2.3175303879640498E-10</v>
      </c>
      <c r="L275" s="152">
        <v>3.3368220577319087E-10</v>
      </c>
      <c r="M275" s="34"/>
      <c r="U275" s="127">
        <v>3.2794763439605563E-10</v>
      </c>
      <c r="V275" s="127">
        <v>3.3368220577319087E-10</v>
      </c>
      <c r="W275" s="127">
        <v>3.2977624572269487E-10</v>
      </c>
      <c r="X275" s="128">
        <f t="shared" si="8"/>
        <v>3.3127207291628305E-10</v>
      </c>
      <c r="Y275" s="139">
        <f t="shared" si="9"/>
        <v>9.4475101857199082</v>
      </c>
      <c r="AA275" s="73"/>
      <c r="AB275" s="176"/>
      <c r="AC275" s="176"/>
      <c r="AD275" s="176"/>
      <c r="AJ275" s="136"/>
    </row>
    <row r="276" spans="9:36" x14ac:dyDescent="0.35">
      <c r="I276" s="49">
        <v>0.125008573071</v>
      </c>
      <c r="J276" s="49">
        <v>8.7366453274435788E-10</v>
      </c>
      <c r="K276" s="49">
        <v>2.3607276699790335E-10</v>
      </c>
      <c r="L276" s="152">
        <v>3.0797738392027467E-10</v>
      </c>
      <c r="M276" s="33"/>
      <c r="U276" s="127">
        <v>3.0512973625466106E-10</v>
      </c>
      <c r="V276" s="127">
        <v>3.0797738392027467E-10</v>
      </c>
      <c r="W276" s="127">
        <v>3.0305436281629753E-10</v>
      </c>
      <c r="X276" s="128">
        <f t="shared" si="8"/>
        <v>3.06034716727877E-10</v>
      </c>
      <c r="Y276" s="139">
        <f t="shared" si="9"/>
        <v>5.781474554002485</v>
      </c>
      <c r="AA276" s="73"/>
      <c r="AB276" s="176"/>
      <c r="AC276" s="176"/>
      <c r="AD276" s="176"/>
      <c r="AJ276" s="136"/>
    </row>
    <row r="277" spans="9:36" x14ac:dyDescent="0.35">
      <c r="I277" s="49">
        <v>0.12625865880199999</v>
      </c>
      <c r="J277" s="49">
        <v>1.09757715323443E-9</v>
      </c>
      <c r="K277" s="49">
        <v>2.6616337818948905E-10</v>
      </c>
      <c r="L277" s="152">
        <v>2.7939337758235416E-10</v>
      </c>
      <c r="M277" s="34"/>
      <c r="U277" s="127">
        <v>2.8389685686939993E-10</v>
      </c>
      <c r="V277" s="127">
        <v>2.7939337758235416E-10</v>
      </c>
      <c r="W277" s="127">
        <v>2.8175988909443409E-10</v>
      </c>
      <c r="X277" s="128">
        <f t="shared" si="8"/>
        <v>2.8111087528213558E-10</v>
      </c>
      <c r="Y277" s="139">
        <f t="shared" si="9"/>
        <v>9.4097894078977351</v>
      </c>
      <c r="AA277" s="73"/>
      <c r="AB277" s="176"/>
      <c r="AC277" s="176"/>
      <c r="AD277" s="176"/>
      <c r="AJ277" s="136"/>
    </row>
    <row r="278" spans="9:36" x14ac:dyDescent="0.35">
      <c r="I278" s="49">
        <v>0.12752124539000001</v>
      </c>
      <c r="J278" s="49">
        <v>1.2243571393479207E-9</v>
      </c>
      <c r="K278" s="49">
        <v>2.6610025555950165E-10</v>
      </c>
      <c r="L278" s="152">
        <v>2.5483862097888267E-10</v>
      </c>
      <c r="M278" s="34"/>
      <c r="U278" s="127">
        <v>2.585506267454215E-10</v>
      </c>
      <c r="V278" s="127">
        <v>2.5483862097888267E-10</v>
      </c>
      <c r="W278" s="127">
        <v>2.595926768045961E-10</v>
      </c>
      <c r="X278" s="128">
        <f t="shared" ref="X278:X279" si="10">(U278+2*V278+W278)/4</f>
        <v>2.5695513637694573E-10</v>
      </c>
      <c r="Y278" s="139">
        <f t="shared" ref="Y278:Y279" si="11">(J278-X278)*(J278-X278)/(K278*K278)</f>
        <v>13.216710619464314</v>
      </c>
      <c r="AA278" s="73"/>
      <c r="AB278" s="176"/>
      <c r="AC278" s="176"/>
      <c r="AD278" s="176"/>
      <c r="AJ278" s="136"/>
    </row>
    <row r="279" spans="9:36" x14ac:dyDescent="0.35">
      <c r="I279" s="49">
        <v>0.12879645784400001</v>
      </c>
      <c r="J279" s="49">
        <v>1.4902169123089671E-9</v>
      </c>
      <c r="K279" s="49">
        <v>2.8994368701626004E-10</v>
      </c>
      <c r="L279" s="152">
        <v>2.3465999013457727E-10</v>
      </c>
      <c r="M279" s="35"/>
      <c r="U279" s="127">
        <v>2.3167786225845089E-10</v>
      </c>
      <c r="V279" s="127">
        <v>2.3465999013457727E-10</v>
      </c>
      <c r="W279" s="127">
        <v>2.3358925534686993E-10</v>
      </c>
      <c r="X279" s="128">
        <f t="shared" si="10"/>
        <v>2.3364677446861883E-10</v>
      </c>
      <c r="Y279" s="139">
        <f t="shared" si="11"/>
        <v>18.782186762402333</v>
      </c>
      <c r="AA279" s="73"/>
      <c r="AB279" s="176"/>
      <c r="AC279" s="176"/>
      <c r="AD279" s="176"/>
      <c r="AJ279" s="136"/>
    </row>
    <row r="280" spans="9:36" x14ac:dyDescent="0.35">
      <c r="I280" s="49">
        <v>0.130084422422</v>
      </c>
      <c r="J280" s="49">
        <v>8.5152555423061429E-10</v>
      </c>
      <c r="K280" s="49">
        <v>2.6932066896641621E-10</v>
      </c>
      <c r="L280" s="152">
        <v>2.1292255022299415E-10</v>
      </c>
      <c r="M280" s="33"/>
      <c r="U280" s="127">
        <v>2.0913289355441456E-10</v>
      </c>
      <c r="V280" s="127">
        <v>2.1292255022299415E-10</v>
      </c>
      <c r="W280" s="127">
        <v>2.0883876595966036E-10</v>
      </c>
      <c r="X280" s="128">
        <f t="shared" ref="X280:X281" si="12">(U280+2*V280+W280)/4</f>
        <v>2.1095418999001581E-10</v>
      </c>
      <c r="Y280" s="139">
        <f t="shared" ref="Y280:Y281" si="13">(J280-X280)*(J280-X280)/(K280*K280)</f>
        <v>5.65712365144425</v>
      </c>
      <c r="AA280" s="73"/>
      <c r="AB280" s="176"/>
      <c r="AC280" s="176"/>
      <c r="AD280" s="176"/>
      <c r="AJ280" s="136"/>
    </row>
    <row r="281" spans="9:36" x14ac:dyDescent="0.35">
      <c r="I281" s="49">
        <v>0.131385266646</v>
      </c>
      <c r="J281" s="49">
        <v>1.2147265097914669E-9</v>
      </c>
      <c r="K281" s="49">
        <v>2.9567923730276723E-10</v>
      </c>
      <c r="L281" s="152">
        <v>1.884215334385761E-10</v>
      </c>
      <c r="M281" s="34"/>
      <c r="U281" s="127">
        <v>1.9008888849980485E-10</v>
      </c>
      <c r="V281" s="127">
        <v>1.884215334385761E-10</v>
      </c>
      <c r="W281" s="127">
        <v>1.8863041140414291E-10</v>
      </c>
      <c r="X281" s="128">
        <f t="shared" si="12"/>
        <v>1.88890591695275E-10</v>
      </c>
      <c r="Y281" s="139">
        <f t="shared" si="13"/>
        <v>12.03688589888888</v>
      </c>
      <c r="AA281" s="73"/>
      <c r="AB281" s="176"/>
      <c r="AC281" s="176"/>
      <c r="AD281" s="176"/>
      <c r="AJ281" s="136"/>
    </row>
    <row r="282" spans="9:36" x14ac:dyDescent="0.35">
      <c r="I282" s="49"/>
      <c r="J282" s="49"/>
      <c r="K282" s="49"/>
      <c r="M282" s="34"/>
      <c r="U282" s="127"/>
      <c r="V282" s="127"/>
      <c r="W282" s="127"/>
      <c r="X282" s="128"/>
      <c r="Y282" s="139"/>
      <c r="AA282" s="73"/>
      <c r="AB282" s="176"/>
      <c r="AC282" s="176"/>
      <c r="AD282" s="176"/>
      <c r="AJ282" s="136"/>
    </row>
    <row r="283" spans="9:36" x14ac:dyDescent="0.35">
      <c r="I283" s="49"/>
      <c r="J283" s="49"/>
      <c r="K283" s="49"/>
      <c r="M283" s="33"/>
      <c r="U283" s="127"/>
      <c r="V283" s="127"/>
      <c r="W283" s="127"/>
      <c r="X283" s="128"/>
      <c r="Y283" s="139"/>
      <c r="AA283" s="73"/>
      <c r="AB283" s="176"/>
      <c r="AC283" s="176"/>
      <c r="AD283" s="176"/>
      <c r="AJ283" s="136"/>
    </row>
    <row r="284" spans="9:36" x14ac:dyDescent="0.35">
      <c r="I284" s="49"/>
      <c r="J284" s="49"/>
      <c r="K284" s="49"/>
      <c r="M284" s="34"/>
      <c r="U284" s="127"/>
      <c r="V284" s="127"/>
      <c r="W284" s="127"/>
      <c r="X284" s="128"/>
      <c r="Y284" s="139"/>
      <c r="AA284" s="73"/>
      <c r="AB284" s="176"/>
      <c r="AC284" s="176"/>
      <c r="AD284" s="176"/>
      <c r="AJ284" s="136"/>
    </row>
    <row r="285" spans="9:36" x14ac:dyDescent="0.35">
      <c r="I285" s="49"/>
      <c r="J285" s="49"/>
      <c r="K285" s="49"/>
      <c r="M285" s="34"/>
      <c r="U285" s="127"/>
      <c r="V285" s="127"/>
      <c r="W285" s="127"/>
      <c r="X285" s="128"/>
      <c r="Y285" s="139"/>
      <c r="AA285" s="73"/>
      <c r="AB285" s="176"/>
      <c r="AC285" s="176"/>
      <c r="AD285" s="176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76"/>
      <c r="AC286" s="176"/>
      <c r="AD286" s="176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76"/>
      <c r="AC287" s="176"/>
      <c r="AD287" s="176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76"/>
      <c r="AC288" s="176"/>
      <c r="AD288" s="176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76"/>
      <c r="AC289" s="176"/>
      <c r="AD289" s="176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76"/>
      <c r="AC290" s="176"/>
      <c r="AD290" s="176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76"/>
      <c r="AC291" s="176"/>
      <c r="AD291" s="176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76"/>
      <c r="AC292" s="176"/>
      <c r="AD292" s="176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76"/>
      <c r="AC293" s="176"/>
      <c r="AD293" s="176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76"/>
      <c r="AC294" s="176"/>
      <c r="AD294" s="176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76"/>
      <c r="AC295" s="176"/>
      <c r="AD295" s="176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76"/>
      <c r="AC296" s="176"/>
      <c r="AD296" s="176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8"/>
      <c r="X297" s="128"/>
      <c r="Y297" s="139"/>
      <c r="AA297" s="73"/>
      <c r="AB297" s="176"/>
      <c r="AC297" s="176"/>
      <c r="AD297" s="176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8"/>
      <c r="X298" s="128"/>
      <c r="Y298" s="139"/>
      <c r="AA298" s="73"/>
      <c r="AB298" s="176"/>
      <c r="AC298" s="176"/>
      <c r="AD298" s="176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8"/>
      <c r="X299" s="128"/>
      <c r="Y299" s="139"/>
      <c r="AA299" s="73"/>
      <c r="AB299" s="176"/>
      <c r="AC299" s="176"/>
      <c r="AD299" s="176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8"/>
      <c r="X300" s="128"/>
      <c r="Y300" s="139"/>
      <c r="AA300" s="73"/>
      <c r="AB300" s="176"/>
      <c r="AC300" s="176"/>
      <c r="AD300" s="176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8"/>
      <c r="X301" s="128"/>
      <c r="Y301" s="139"/>
      <c r="AA301" s="73"/>
      <c r="AB301" s="176"/>
      <c r="AC301" s="176"/>
      <c r="AD301" s="176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8"/>
      <c r="X302" s="128"/>
      <c r="Y302" s="139"/>
      <c r="AA302" s="73"/>
      <c r="AB302" s="176"/>
      <c r="AC302" s="176"/>
      <c r="AD302" s="176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8"/>
      <c r="X303" s="128"/>
      <c r="Y303" s="139"/>
      <c r="AA303" s="73"/>
      <c r="AB303" s="176"/>
      <c r="AC303" s="176"/>
      <c r="AD303" s="176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8"/>
      <c r="X304" s="128"/>
      <c r="Y304" s="139"/>
      <c r="AA304" s="73"/>
      <c r="AB304" s="176"/>
      <c r="AC304" s="176"/>
      <c r="AD304" s="176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8"/>
      <c r="X305" s="128"/>
      <c r="Y305" s="139"/>
      <c r="AA305" s="73"/>
      <c r="AB305" s="176"/>
      <c r="AC305" s="176"/>
      <c r="AD305" s="176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8"/>
      <c r="X306" s="128"/>
      <c r="Y306" s="139"/>
      <c r="AA306" s="73"/>
      <c r="AB306" s="176"/>
      <c r="AC306" s="176"/>
      <c r="AD306" s="176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8"/>
      <c r="X307" s="128"/>
      <c r="Y307" s="139"/>
      <c r="AA307" s="73"/>
      <c r="AB307" s="176"/>
      <c r="AC307" s="176"/>
      <c r="AD307" s="176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8"/>
      <c r="X308" s="128"/>
      <c r="Y308" s="139"/>
      <c r="AA308" s="73"/>
      <c r="AB308" s="176"/>
      <c r="AC308" s="176"/>
      <c r="AD308" s="176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8"/>
      <c r="X309" s="128"/>
      <c r="Y309" s="139"/>
      <c r="AA309" s="73"/>
      <c r="AB309" s="176"/>
      <c r="AC309" s="176"/>
      <c r="AD309" s="176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8"/>
      <c r="X310" s="128"/>
      <c r="Y310" s="139"/>
      <c r="AA310" s="73"/>
      <c r="AB310" s="176"/>
      <c r="AC310" s="176"/>
      <c r="AD310" s="176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8"/>
      <c r="X311" s="128"/>
      <c r="Y311" s="139"/>
      <c r="AA311" s="73"/>
      <c r="AB311" s="176"/>
      <c r="AC311" s="176"/>
      <c r="AD311" s="176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8"/>
      <c r="X312" s="128"/>
      <c r="Y312" s="139"/>
      <c r="AA312" s="73"/>
      <c r="AB312" s="176"/>
      <c r="AC312" s="176"/>
      <c r="AD312" s="176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8"/>
      <c r="X313" s="128"/>
      <c r="Y313" s="139"/>
      <c r="AA313" s="73"/>
      <c r="AB313" s="176"/>
      <c r="AC313" s="176"/>
      <c r="AD313" s="176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8"/>
      <c r="X314" s="128"/>
      <c r="Y314" s="139"/>
      <c r="AA314" s="73"/>
      <c r="AB314" s="176"/>
      <c r="AC314" s="176"/>
      <c r="AD314" s="176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8"/>
      <c r="X315" s="128"/>
      <c r="Y315" s="139"/>
      <c r="AA315" s="73"/>
      <c r="AB315" s="176"/>
      <c r="AC315" s="176"/>
      <c r="AD315" s="176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8"/>
      <c r="X316" s="128"/>
      <c r="Y316" s="139"/>
      <c r="AA316" s="73"/>
      <c r="AB316" s="176"/>
      <c r="AC316" s="176"/>
      <c r="AD316" s="176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8"/>
      <c r="X317" s="128"/>
      <c r="Y317" s="139"/>
      <c r="AA317" s="73"/>
      <c r="AB317" s="176"/>
      <c r="AC317" s="176"/>
      <c r="AD317" s="176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8"/>
      <c r="X318" s="128"/>
      <c r="Y318" s="139"/>
      <c r="AA318" s="73"/>
      <c r="AB318" s="176"/>
      <c r="AC318" s="176"/>
      <c r="AD318" s="176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8"/>
      <c r="X319" s="128"/>
      <c r="Y319" s="139"/>
      <c r="AA319" s="73"/>
      <c r="AB319" s="176"/>
      <c r="AC319" s="176"/>
      <c r="AD319" s="176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8"/>
      <c r="X320" s="128"/>
      <c r="Y320" s="139"/>
      <c r="AA320" s="73"/>
      <c r="AB320" s="176"/>
      <c r="AC320" s="176"/>
      <c r="AD320" s="176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8"/>
      <c r="X321" s="128"/>
      <c r="Y321" s="139"/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8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A10" sqref="A10:D10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81.191246405886133</v>
      </c>
      <c r="C2" s="165">
        <f>dDstack!D4</f>
        <v>27.240146103341672</v>
      </c>
      <c r="D2" s="169"/>
    </row>
    <row r="3" spans="1:4" ht="18" x14ac:dyDescent="0.35">
      <c r="A3" s="93" t="s">
        <v>628</v>
      </c>
      <c r="B3" s="165">
        <f>Reflectivity!H10</f>
        <v>1089.3515842909574</v>
      </c>
      <c r="C3" s="165">
        <f>dTotal!D4</f>
        <v>7.8671584734032818</v>
      </c>
      <c r="D3" s="169"/>
    </row>
    <row r="4" spans="1:4" ht="18" x14ac:dyDescent="0.35">
      <c r="A4" s="93" t="s">
        <v>629</v>
      </c>
      <c r="B4" s="165">
        <f>B3-B2</f>
        <v>1008.1603378850713</v>
      </c>
      <c r="C4" s="165">
        <f>SQRT(C2^2+C3^2)</f>
        <v>28.353443215543354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61.540491419625845</v>
      </c>
      <c r="C6" s="165">
        <f>sigDstack!D4</f>
        <v>13.864919003991682</v>
      </c>
      <c r="D6" s="169"/>
    </row>
    <row r="7" spans="1:4" ht="18" x14ac:dyDescent="0.35">
      <c r="A7" s="93" t="s">
        <v>624</v>
      </c>
      <c r="B7" s="165">
        <f>Reflectivity!G5</f>
        <v>79.428529530939599</v>
      </c>
      <c r="C7" s="165">
        <f>sigHstack!D4</f>
        <v>99.490375579540284</v>
      </c>
      <c r="D7" s="167"/>
    </row>
    <row r="9" spans="1:4" ht="18" x14ac:dyDescent="0.35">
      <c r="A9" s="93" t="s">
        <v>622</v>
      </c>
      <c r="B9" s="167">
        <f>Reflectivity!H18</f>
        <v>0.16875342600475637</v>
      </c>
      <c r="C9" s="167">
        <f>'f_d^D'!D4</f>
        <v>5.8360476534482987E-2</v>
      </c>
      <c r="D9" s="165"/>
    </row>
    <row r="10" spans="1:4" ht="18" x14ac:dyDescent="0.35">
      <c r="A10" s="93" t="s">
        <v>619</v>
      </c>
      <c r="B10" s="167">
        <f>Reflectivity!H20</f>
        <v>9.0225334052667777E-3</v>
      </c>
      <c r="C10" s="167">
        <f>'f_d^H'!D4</f>
        <v>2.2605433132039766E-2</v>
      </c>
      <c r="D10" s="165"/>
    </row>
    <row r="11" spans="1:4" ht="18" x14ac:dyDescent="0.35">
      <c r="A11" s="93" t="s">
        <v>616</v>
      </c>
      <c r="B11" s="167">
        <f>Reflectivity!H16</f>
        <v>0.33941491614281738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1.3644558148159582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2.0489689559959286E-6</v>
      </c>
      <c r="C14" s="168">
        <f>SQRT(C12^2*B15^2+C11^2*B16^2+C9^2*B17^2)</f>
        <v>1.7103751673998198E-7</v>
      </c>
      <c r="D14" s="168">
        <f>NbDstack!D4</f>
        <v>1.4481795642475078E-7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1.5016748316414331E-6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4.6933093280579016E-8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2.6329106863672814E-6</v>
      </c>
      <c r="C17" s="168"/>
      <c r="D17" s="167"/>
    </row>
    <row r="19" spans="1:4" ht="18" x14ac:dyDescent="0.35">
      <c r="A19" s="93" t="s">
        <v>643</v>
      </c>
      <c r="B19" s="168">
        <f>Reflectivity!C5</f>
        <v>1.6284117819277478E-6</v>
      </c>
      <c r="C19" s="168">
        <f>SQRT(C12^2*B20^2+C11^2*B21^2+C10^2*B22^2)</f>
        <v>1.032287039841353E-7</v>
      </c>
      <c r="D19" s="168">
        <f>NbHstack!D4</f>
        <v>5.7569930073459418E-8</v>
      </c>
    </row>
    <row r="20" spans="1:4" ht="18" x14ac:dyDescent="0.35">
      <c r="A20" s="93" t="s">
        <v>644</v>
      </c>
      <c r="B20" s="168">
        <f>B19/B12</f>
        <v>1.1934514582631558E-6</v>
      </c>
      <c r="C20" s="168"/>
      <c r="D20" s="167"/>
    </row>
    <row r="21" spans="1:4" ht="18" x14ac:dyDescent="0.35">
      <c r="A21" s="93" t="s">
        <v>645</v>
      </c>
      <c r="B21" s="168">
        <f>B12*(-Reflectivity!C16+(1-B10)*Reflectivity!D16+B10*(Reflectivity!E18/Reflectivity!D18)*Reflectivity!E16)</f>
        <v>-1.1921319980462283E-6</v>
      </c>
      <c r="C21" s="168"/>
      <c r="D21" s="167"/>
    </row>
    <row r="22" spans="1:4" ht="18" x14ac:dyDescent="0.35">
      <c r="A22" s="93" t="s">
        <v>646</v>
      </c>
      <c r="B22" s="168">
        <f>B12*B11*(-Reflectivity!D16+(Reflectivity!E18/Reflectivity!D18)*Reflectivity!E16)</f>
        <v>2.6329106863672814E-6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1077</v>
      </c>
      <c r="C2" s="105">
        <v>1097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1077</v>
      </c>
      <c r="B4" s="94">
        <v>5.6854436718787928</v>
      </c>
      <c r="C4" s="106">
        <v>1089.3515842909574</v>
      </c>
      <c r="D4" s="106">
        <v>7.8671584734032818</v>
      </c>
    </row>
    <row r="5" spans="1:5" x14ac:dyDescent="0.35">
      <c r="A5" s="106">
        <v>1081</v>
      </c>
      <c r="B5" s="94">
        <v>4.3498923987959648</v>
      </c>
      <c r="C5" s="94"/>
      <c r="D5" s="94"/>
    </row>
    <row r="6" spans="1:5" x14ac:dyDescent="0.35">
      <c r="A6" s="106">
        <v>1085</v>
      </c>
      <c r="B6" s="94">
        <v>3.5278402050722955</v>
      </c>
      <c r="C6" s="94"/>
      <c r="D6" s="94"/>
    </row>
    <row r="7" spans="1:5" x14ac:dyDescent="0.35">
      <c r="A7" s="106">
        <v>1089</v>
      </c>
      <c r="B7" s="94">
        <v>3.2225491883683928</v>
      </c>
      <c r="C7" s="94"/>
      <c r="D7" s="94"/>
    </row>
    <row r="8" spans="1:5" x14ac:dyDescent="0.35">
      <c r="A8" s="106">
        <v>1093</v>
      </c>
      <c r="B8" s="94">
        <v>3.4356521402886866</v>
      </c>
      <c r="C8" s="94"/>
      <c r="D8" s="94"/>
    </row>
    <row r="9" spans="1:5" x14ac:dyDescent="0.35">
      <c r="A9" s="106">
        <v>1097</v>
      </c>
      <c r="B9" s="94">
        <v>4.1673343373447045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60</v>
      </c>
      <c r="C2" s="105">
        <v>100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60</v>
      </c>
      <c r="B4" s="94">
        <v>3.8254549633863566</v>
      </c>
      <c r="C4" s="106">
        <v>81.191246405886133</v>
      </c>
      <c r="D4" s="106">
        <v>27.240146103341672</v>
      </c>
    </row>
    <row r="5" spans="1:5" x14ac:dyDescent="0.35">
      <c r="A5" s="106">
        <v>68</v>
      </c>
      <c r="B5" s="94">
        <v>3.4639559217912432</v>
      </c>
      <c r="C5" s="94"/>
      <c r="D5" s="94"/>
    </row>
    <row r="6" spans="1:5" x14ac:dyDescent="0.35">
      <c r="A6" s="106">
        <v>76</v>
      </c>
      <c r="B6" s="94">
        <v>3.2599576590565262</v>
      </c>
      <c r="C6" s="94"/>
      <c r="D6" s="94"/>
    </row>
    <row r="7" spans="1:5" x14ac:dyDescent="0.35">
      <c r="A7" s="106">
        <v>84</v>
      </c>
      <c r="B7" s="94">
        <v>3.2305625719217685</v>
      </c>
      <c r="C7" s="94"/>
      <c r="D7" s="94"/>
    </row>
    <row r="8" spans="1:5" x14ac:dyDescent="0.35">
      <c r="A8" s="106">
        <v>92</v>
      </c>
      <c r="B8" s="94">
        <v>3.3801826047628651</v>
      </c>
      <c r="C8" s="94"/>
      <c r="D8" s="94"/>
    </row>
    <row r="9" spans="1:5" x14ac:dyDescent="0.35">
      <c r="A9" s="106">
        <v>100</v>
      </c>
      <c r="B9" s="94">
        <v>3.7017933865257975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0.09</v>
      </c>
      <c r="C2" s="162">
        <v>0.28999999999999998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0.09</v>
      </c>
      <c r="B4" s="94">
        <v>4.8342915673352271</v>
      </c>
      <c r="C4" s="161">
        <v>0.16875342600475637</v>
      </c>
      <c r="D4" s="161">
        <v>5.8360476534482987E-2</v>
      </c>
    </row>
    <row r="5" spans="1:5" x14ac:dyDescent="0.35">
      <c r="A5" s="161">
        <v>0.13</v>
      </c>
      <c r="B5" s="94">
        <v>3.7316254106087854</v>
      </c>
      <c r="C5" s="94"/>
      <c r="D5" s="94"/>
    </row>
    <row r="6" spans="1:5" x14ac:dyDescent="0.35">
      <c r="A6" s="161">
        <v>0.16999999999999998</v>
      </c>
      <c r="B6" s="94">
        <v>3.2309385754724778</v>
      </c>
      <c r="C6" s="94"/>
      <c r="D6" s="94"/>
    </row>
    <row r="7" spans="1:5" x14ac:dyDescent="0.35">
      <c r="A7" s="161">
        <v>0.20999999999999996</v>
      </c>
      <c r="B7" s="94">
        <v>3.5390594875828016</v>
      </c>
      <c r="C7" s="94"/>
      <c r="D7" s="94"/>
    </row>
    <row r="8" spans="1:5" x14ac:dyDescent="0.35">
      <c r="A8" s="161">
        <v>0.24999999999999997</v>
      </c>
      <c r="B8" s="94">
        <v>4.8944372114921126</v>
      </c>
      <c r="C8" s="94"/>
      <c r="D8" s="94"/>
    </row>
    <row r="9" spans="1:5" x14ac:dyDescent="0.35">
      <c r="A9" s="161">
        <v>0.28999999999999998</v>
      </c>
      <c r="B9" s="94">
        <v>7.5683076083036696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642</v>
      </c>
      <c r="B2" s="162">
        <v>-0.01</v>
      </c>
      <c r="C2" s="162">
        <v>0.05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-0.01</v>
      </c>
      <c r="B4" s="94">
        <v>3.9085639734699109</v>
      </c>
      <c r="C4" s="161">
        <v>9.0225334052667777E-3</v>
      </c>
      <c r="D4" s="161">
        <v>2.2605433132039766E-2</v>
      </c>
    </row>
    <row r="5" spans="1:5" x14ac:dyDescent="0.35">
      <c r="A5" s="161">
        <v>2E-3</v>
      </c>
      <c r="B5" s="94">
        <v>3.3284639013665962</v>
      </c>
      <c r="C5" s="94"/>
      <c r="D5" s="94"/>
    </row>
    <row r="6" spans="1:5" x14ac:dyDescent="0.35">
      <c r="A6" s="161">
        <v>1.4E-2</v>
      </c>
      <c r="B6" s="94">
        <v>3.2741137637197077</v>
      </c>
      <c r="C6" s="94"/>
      <c r="D6" s="94"/>
    </row>
    <row r="7" spans="1:5" x14ac:dyDescent="0.35">
      <c r="A7" s="161">
        <v>2.6000000000000002E-2</v>
      </c>
      <c r="B7" s="94">
        <v>3.7672147155319791</v>
      </c>
      <c r="C7" s="94"/>
      <c r="D7" s="94"/>
    </row>
    <row r="8" spans="1:5" x14ac:dyDescent="0.35">
      <c r="A8" s="161">
        <v>3.7999999999999999E-2</v>
      </c>
      <c r="B8" s="94">
        <v>4.8371141179494082</v>
      </c>
      <c r="C8" s="94"/>
      <c r="D8" s="94"/>
    </row>
    <row r="9" spans="1:5" x14ac:dyDescent="0.35">
      <c r="A9" s="161">
        <v>0.05</v>
      </c>
      <c r="B9" s="94">
        <v>6.5137441658602295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43</v>
      </c>
      <c r="C2" s="105">
        <v>73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43</v>
      </c>
      <c r="B4" s="94">
        <v>5.02710445951341</v>
      </c>
      <c r="C4" s="106">
        <v>61.540491419625845</v>
      </c>
      <c r="D4" s="106">
        <v>13.864919003991682</v>
      </c>
    </row>
    <row r="5" spans="1:5" x14ac:dyDescent="0.35">
      <c r="A5" s="106">
        <v>49</v>
      </c>
      <c r="B5" s="94">
        <v>3.9880442462865289</v>
      </c>
      <c r="C5" s="94"/>
      <c r="D5" s="94"/>
    </row>
    <row r="6" spans="1:5" x14ac:dyDescent="0.35">
      <c r="A6" s="106">
        <v>55</v>
      </c>
      <c r="B6" s="94">
        <v>3.4076573115334825</v>
      </c>
      <c r="C6" s="94"/>
      <c r="D6" s="94"/>
    </row>
    <row r="7" spans="1:5" x14ac:dyDescent="0.35">
      <c r="A7" s="106">
        <v>61</v>
      </c>
      <c r="B7" s="94">
        <v>3.2346417584440106</v>
      </c>
      <c r="C7" s="94"/>
      <c r="D7" s="94"/>
    </row>
    <row r="8" spans="1:5" x14ac:dyDescent="0.35">
      <c r="A8" s="106">
        <v>67</v>
      </c>
      <c r="B8" s="94">
        <v>3.4071309469884548</v>
      </c>
      <c r="C8" s="94"/>
      <c r="D8" s="94"/>
    </row>
    <row r="9" spans="1:5" x14ac:dyDescent="0.35">
      <c r="A9" s="106">
        <v>73</v>
      </c>
      <c r="B9" s="94">
        <v>3.863191983278087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</v>
      </c>
      <c r="C2" s="105">
        <v>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3.786026920993641</v>
      </c>
      <c r="C4" s="106">
        <v>79.428529530939599</v>
      </c>
      <c r="D4" s="106">
        <v>99.490375579540284</v>
      </c>
    </row>
    <row r="5" spans="1:5" x14ac:dyDescent="0.35">
      <c r="A5" s="106">
        <v>30</v>
      </c>
      <c r="B5" s="94">
        <v>3.5749998819456943</v>
      </c>
      <c r="C5" s="94"/>
      <c r="D5" s="94"/>
    </row>
    <row r="6" spans="1:5" x14ac:dyDescent="0.35">
      <c r="A6" s="106">
        <v>55</v>
      </c>
      <c r="B6" s="94">
        <v>3.2968173974631569</v>
      </c>
      <c r="C6" s="94"/>
      <c r="D6" s="94"/>
    </row>
    <row r="7" spans="1:5" x14ac:dyDescent="0.35">
      <c r="A7" s="106">
        <v>80</v>
      </c>
      <c r="B7" s="94">
        <v>3.2301750306265657</v>
      </c>
      <c r="C7" s="94"/>
      <c r="D7" s="94"/>
    </row>
    <row r="8" spans="1:5" x14ac:dyDescent="0.35">
      <c r="A8" s="106">
        <v>105</v>
      </c>
      <c r="B8" s="94">
        <v>3.3310150447104698</v>
      </c>
      <c r="C8" s="94"/>
      <c r="D8" s="94"/>
    </row>
    <row r="9" spans="1:5" x14ac:dyDescent="0.35">
      <c r="A9" s="106">
        <v>130</v>
      </c>
      <c r="B9" s="94">
        <v>3.5239596622544882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1.9999999999999999E-6</v>
      </c>
      <c r="C2" s="119">
        <v>2.12E-6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3.4760085555923919</v>
      </c>
      <c r="C4" s="99">
        <v>2.0358450340501852E-6</v>
      </c>
      <c r="D4" s="99">
        <v>7.2656796892730866E-8</v>
      </c>
    </row>
    <row r="5" spans="1:5" x14ac:dyDescent="0.35">
      <c r="A5" s="99">
        <v>2.024E-6</v>
      </c>
      <c r="B5" s="94">
        <v>3.2562300483828324</v>
      </c>
      <c r="C5" s="94"/>
      <c r="D5" s="94"/>
    </row>
    <row r="6" spans="1:5" x14ac:dyDescent="0.35">
      <c r="A6" s="99">
        <v>2.0480000000000001E-6</v>
      </c>
      <c r="B6" s="94">
        <v>3.2338224259569484</v>
      </c>
      <c r="C6" s="94"/>
      <c r="D6" s="94"/>
    </row>
    <row r="7" spans="1:5" x14ac:dyDescent="0.35">
      <c r="A7" s="99">
        <v>2.0719999999999998E-6</v>
      </c>
      <c r="B7" s="94">
        <v>3.535264817164669</v>
      </c>
      <c r="C7" s="94"/>
      <c r="D7" s="94"/>
    </row>
    <row r="8" spans="1:5" x14ac:dyDescent="0.35">
      <c r="A8" s="99">
        <v>2.0959999999999999E-6</v>
      </c>
      <c r="B8" s="94">
        <v>3.8679075047443385</v>
      </c>
      <c r="C8" s="94"/>
      <c r="D8" s="94"/>
    </row>
    <row r="9" spans="1:5" x14ac:dyDescent="0.35">
      <c r="A9" s="99">
        <v>2.12E-6</v>
      </c>
      <c r="B9" s="94">
        <v>4.5861360278646721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1.7999999999999999E-6</v>
      </c>
      <c r="C2" s="119">
        <v>1.9999999999999999E-6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1.7999999999999999E-6</v>
      </c>
      <c r="B4" s="94">
        <v>4.8448245001594632</v>
      </c>
      <c r="C4" s="99">
        <v>1.9758881523097238E-6</v>
      </c>
      <c r="D4" s="99">
        <v>1.4481795642475078E-7</v>
      </c>
    </row>
    <row r="5" spans="1:5" x14ac:dyDescent="0.35">
      <c r="A5" s="99">
        <v>1.84E-6</v>
      </c>
      <c r="B5" s="94">
        <v>4.2750774968721865</v>
      </c>
      <c r="C5" s="94"/>
      <c r="D5" s="94"/>
    </row>
    <row r="6" spans="1:5" x14ac:dyDescent="0.35">
      <c r="A6" s="99">
        <v>1.88E-6</v>
      </c>
      <c r="B6" s="94">
        <v>3.8272190350729502</v>
      </c>
      <c r="C6" s="94"/>
      <c r="D6" s="94"/>
    </row>
    <row r="7" spans="1:5" x14ac:dyDescent="0.35">
      <c r="A7" s="99">
        <v>1.9199999999999998E-6</v>
      </c>
      <c r="B7" s="94">
        <v>3.5208546666612284</v>
      </c>
      <c r="C7" s="94"/>
      <c r="D7" s="94"/>
    </row>
    <row r="8" spans="1:5" x14ac:dyDescent="0.35">
      <c r="A8" s="99">
        <v>1.9599999999999999E-6</v>
      </c>
      <c r="B8" s="94">
        <v>3.3770855102619652</v>
      </c>
      <c r="C8" s="94"/>
      <c r="D8" s="94"/>
    </row>
    <row r="9" spans="1:5" x14ac:dyDescent="0.35">
      <c r="A9" s="99">
        <v>1.9999999999999999E-6</v>
      </c>
      <c r="B9" s="94">
        <v>3.4185298942847115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1.5799999999999999E-6</v>
      </c>
      <c r="C2" s="119">
        <v>1.68E-6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1.5799999999999999E-6</v>
      </c>
      <c r="B4" s="94">
        <v>4.5734016648419349</v>
      </c>
      <c r="C4" s="99">
        <v>1.6436772761761498E-6</v>
      </c>
      <c r="D4" s="99">
        <v>5.7569930073459418E-8</v>
      </c>
    </row>
    <row r="5" spans="1:5" x14ac:dyDescent="0.35">
      <c r="A5" s="99">
        <v>1.5999999999999999E-6</v>
      </c>
      <c r="B5" s="94">
        <v>3.9279285303166236</v>
      </c>
      <c r="C5" s="94"/>
      <c r="D5" s="94"/>
    </row>
    <row r="6" spans="1:5" x14ac:dyDescent="0.35">
      <c r="A6" s="99">
        <v>1.6199999999999999E-6</v>
      </c>
      <c r="B6" s="94">
        <v>3.5214068758192481</v>
      </c>
      <c r="C6" s="94"/>
      <c r="D6" s="94"/>
    </row>
    <row r="7" spans="1:5" x14ac:dyDescent="0.35">
      <c r="A7" s="99">
        <v>1.64E-6</v>
      </c>
      <c r="B7" s="94">
        <v>3.3544203805416446</v>
      </c>
      <c r="C7" s="94"/>
      <c r="D7" s="94"/>
    </row>
    <row r="8" spans="1:5" x14ac:dyDescent="0.35">
      <c r="A8" s="99">
        <v>1.66E-6</v>
      </c>
      <c r="B8" s="94">
        <v>3.4293756240417226</v>
      </c>
      <c r="C8" s="94"/>
      <c r="D8" s="94"/>
    </row>
    <row r="9" spans="1:5" x14ac:dyDescent="0.35">
      <c r="A9" s="99">
        <v>1.68E-6</v>
      </c>
      <c r="B9" s="94">
        <v>3.7504405677199433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5CE8-2171-4EC9-B07B-0FBE123F0273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40.16406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638</v>
      </c>
      <c r="D1" s="86" t="s">
        <v>547</v>
      </c>
      <c r="E1" s="86">
        <v>174681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640</v>
      </c>
      <c r="E4" s="1" t="s">
        <v>639</v>
      </c>
      <c r="F4" s="1">
        <v>24</v>
      </c>
      <c r="G4" s="117">
        <v>0.59467592592592589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174681</v>
      </c>
      <c r="C8" s="1">
        <v>174452</v>
      </c>
      <c r="D8" s="1">
        <v>1.1830799999999999</v>
      </c>
      <c r="E8" s="1">
        <v>13.2996</v>
      </c>
      <c r="F8" s="1">
        <v>16.700600000000001</v>
      </c>
      <c r="G8" s="1">
        <v>7.7000000000000002E-3</v>
      </c>
      <c r="H8" s="1">
        <v>9.7000000000000003E-3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174682</v>
      </c>
      <c r="C9" s="1">
        <v>174453</v>
      </c>
      <c r="D9" s="1">
        <v>1.1819500000000001</v>
      </c>
      <c r="E9" s="1">
        <v>10.685600000000001</v>
      </c>
      <c r="F9" s="1">
        <v>14.086499999999999</v>
      </c>
      <c r="G9" s="1">
        <v>9.1999999999999998E-3</v>
      </c>
      <c r="H9" s="1">
        <v>1.21E-2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174683</v>
      </c>
      <c r="C10" s="1">
        <v>174454</v>
      </c>
      <c r="D10" s="1">
        <v>1.18187</v>
      </c>
      <c r="E10" s="1">
        <v>8.0395699999999994</v>
      </c>
      <c r="F10" s="1">
        <v>11.4405</v>
      </c>
      <c r="G10" s="1">
        <v>1.1299999999999999E-2</v>
      </c>
      <c r="H10" s="1">
        <v>1.61E-2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174684</v>
      </c>
      <c r="C11" s="1">
        <v>174455</v>
      </c>
      <c r="D11" s="1">
        <v>1.18187</v>
      </c>
      <c r="E11" s="1">
        <v>5.3425500000000001</v>
      </c>
      <c r="F11" s="1">
        <v>8.7435200000000002</v>
      </c>
      <c r="G11" s="1">
        <v>1.4800000000000001E-2</v>
      </c>
      <c r="H11" s="1">
        <v>2.4199999999999999E-2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174685</v>
      </c>
      <c r="C12" s="1">
        <v>174456</v>
      </c>
      <c r="D12" s="1">
        <v>1.18187</v>
      </c>
      <c r="E12" s="1">
        <v>2.5495399999999999</v>
      </c>
      <c r="F12" s="1">
        <v>5.9504999999999999</v>
      </c>
      <c r="G12" s="1">
        <v>2.1700000000000001E-2</v>
      </c>
      <c r="H12" s="1">
        <v>5.0799999999999998E-2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174686</v>
      </c>
      <c r="C13" s="1">
        <v>174456</v>
      </c>
      <c r="D13" s="1">
        <v>2.3491200000000001</v>
      </c>
      <c r="E13" s="1">
        <v>2.5495399999999999</v>
      </c>
      <c r="F13" s="1">
        <v>5.9504999999999999</v>
      </c>
      <c r="G13" s="1">
        <v>4.3200000000000002E-2</v>
      </c>
      <c r="H13" s="1">
        <v>0.10100000000000001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174687</v>
      </c>
      <c r="C14" s="1">
        <v>174456</v>
      </c>
      <c r="D14" s="1">
        <v>4.6700100000000004</v>
      </c>
      <c r="E14" s="1">
        <v>3.83812</v>
      </c>
      <c r="F14" s="1">
        <v>5.9516400000000003</v>
      </c>
      <c r="G14" s="1">
        <v>8.5999999999999993E-2</v>
      </c>
      <c r="H14" s="1">
        <v>0.1333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641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641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174681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1.05547811059</v>
      </c>
      <c r="K22" s="1">
        <v>6099</v>
      </c>
      <c r="L22" s="1">
        <v>43.103597999999998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174682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1.05547811059</v>
      </c>
      <c r="K23" s="1">
        <v>6040</v>
      </c>
      <c r="L23" s="1">
        <v>33.410049000000001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174683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1.05547811059</v>
      </c>
      <c r="K24" s="1">
        <v>6022</v>
      </c>
      <c r="L24" s="1">
        <v>75.026923999999994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174684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1.05547811059</v>
      </c>
      <c r="K25" s="1">
        <v>6055</v>
      </c>
      <c r="L25" s="1">
        <v>66.648336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174685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2.2200000000000001E-2</v>
      </c>
      <c r="I26" s="1">
        <v>5.1700000000000003E-2</v>
      </c>
      <c r="J26" s="1">
        <v>1.05547811059</v>
      </c>
      <c r="K26" s="1">
        <v>18030</v>
      </c>
      <c r="L26" s="1">
        <v>325.42571900000002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174686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1.05547811059</v>
      </c>
      <c r="K27" s="1">
        <v>18010</v>
      </c>
      <c r="L27" s="1">
        <v>839.10495200000003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174687</v>
      </c>
      <c r="D28" s="1">
        <v>174456</v>
      </c>
      <c r="E28" s="1">
        <v>4.6900000000000004</v>
      </c>
      <c r="F28" s="1">
        <v>3.84</v>
      </c>
      <c r="G28" s="1">
        <v>5.95</v>
      </c>
      <c r="H28" s="1">
        <v>8.6400000000000005E-2</v>
      </c>
      <c r="I28" s="1">
        <v>0.13389999999999999</v>
      </c>
      <c r="J28" s="1">
        <v>1.05547811059</v>
      </c>
      <c r="K28" s="1">
        <v>36028</v>
      </c>
      <c r="L28" s="1">
        <v>1013.228435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8.1824504007600007E-3</v>
      </c>
      <c r="B41" s="1">
        <v>1.41629751387</v>
      </c>
      <c r="C41" s="1">
        <v>0.21311367403699999</v>
      </c>
      <c r="D41" s="1">
        <v>5.8819635921700004E-4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8.2642749047700005E-3</v>
      </c>
      <c r="B42" s="1">
        <v>1.3627067560899999</v>
      </c>
      <c r="C42" s="1">
        <v>0.13472084613900001</v>
      </c>
      <c r="D42" s="1">
        <v>5.9007832281000004E-4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8.3469176538099998E-3</v>
      </c>
      <c r="B43" s="1">
        <v>0.91311702545399998</v>
      </c>
      <c r="C43" s="1">
        <v>8.9927589226500002E-2</v>
      </c>
      <c r="D43" s="1">
        <v>5.9197910603799996E-4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8.4303868303500003E-3</v>
      </c>
      <c r="B44" s="1">
        <v>1.0110923680199999</v>
      </c>
      <c r="C44" s="1">
        <v>8.2648671202899995E-2</v>
      </c>
      <c r="D44" s="1">
        <v>5.9389889709799998E-4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8.5146906986500008E-3</v>
      </c>
      <c r="B45" s="1">
        <v>0.91184454442600005</v>
      </c>
      <c r="C45" s="1">
        <v>7.2600727623199995E-2</v>
      </c>
      <c r="D45" s="1">
        <v>5.9583788606899996E-4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8.5998376056400008E-3</v>
      </c>
      <c r="B46" s="1">
        <v>0.99828904304699995</v>
      </c>
      <c r="C46" s="1">
        <v>7.4058783515800003E-2</v>
      </c>
      <c r="D46" s="1">
        <v>5.9779626492999997E-4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8.6858359817000002E-3</v>
      </c>
      <c r="B47" s="1">
        <v>1.12308997674</v>
      </c>
      <c r="C47" s="1">
        <v>7.5019099922499999E-2</v>
      </c>
      <c r="D47" s="1">
        <v>5.9977422757899999E-4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8.7726943415100001E-3</v>
      </c>
      <c r="B48" s="1">
        <v>1.03677043556</v>
      </c>
      <c r="C48" s="1">
        <v>6.9299645682199998E-2</v>
      </c>
      <c r="D48" s="1">
        <v>6.0177196985499999E-4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8.86042128493E-3</v>
      </c>
      <c r="B49" s="1">
        <v>0.95911404902899999</v>
      </c>
      <c r="C49" s="1">
        <v>6.2269965180799997E-2</v>
      </c>
      <c r="D49" s="1">
        <v>6.0378968955299996E-4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8.9490254977800006E-3</v>
      </c>
      <c r="B50" s="1">
        <v>0.96285828977800003</v>
      </c>
      <c r="C50" s="1">
        <v>6.0547610224200001E-2</v>
      </c>
      <c r="D50" s="1">
        <v>6.0582758644900001E-4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9.0385157527600006E-3</v>
      </c>
      <c r="B51" s="1">
        <v>0.94052499952699997</v>
      </c>
      <c r="C51" s="1">
        <v>5.9707511993799998E-2</v>
      </c>
      <c r="D51" s="1">
        <v>6.0788586231300004E-4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9.1289009102799995E-3</v>
      </c>
      <c r="B52" s="1">
        <v>1.0001698137599999</v>
      </c>
      <c r="C52" s="1">
        <v>5.9753483377699999E-2</v>
      </c>
      <c r="D52" s="1">
        <v>6.0996472093700004E-4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9.2201899193900001E-3</v>
      </c>
      <c r="B53" s="1">
        <v>0.95950924864200005</v>
      </c>
      <c r="C53" s="1">
        <v>5.6940529738300001E-2</v>
      </c>
      <c r="D53" s="1">
        <v>6.1206436814599996E-4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9.3123918185800004E-3</v>
      </c>
      <c r="B54" s="1">
        <v>0.981937796867</v>
      </c>
      <c r="C54" s="1">
        <v>4.3301345822700003E-2</v>
      </c>
      <c r="D54" s="1">
        <v>6.1418501182700005E-4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9.4055157367700006E-3</v>
      </c>
      <c r="B55" s="1">
        <v>0.94596806429500002</v>
      </c>
      <c r="C55" s="1">
        <v>3.99591754676E-2</v>
      </c>
      <c r="D55" s="1">
        <v>6.1632686194599997E-4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9.4995708941299998E-3</v>
      </c>
      <c r="B56" s="1">
        <v>1.0229740253799999</v>
      </c>
      <c r="C56" s="1">
        <v>4.0916380492799997E-2</v>
      </c>
      <c r="D56" s="1">
        <v>6.1849013056499997E-4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9.5945666030799997E-3</v>
      </c>
      <c r="B57" s="1">
        <v>0.99727958430399999</v>
      </c>
      <c r="C57" s="1">
        <v>3.9654442188400002E-2</v>
      </c>
      <c r="D57" s="1">
        <v>6.2067503187099998E-4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9.69051226911E-3</v>
      </c>
      <c r="B58" s="1">
        <v>0.93969779513499996</v>
      </c>
      <c r="C58" s="1">
        <v>3.7293823238599998E-2</v>
      </c>
      <c r="D58" s="1">
        <v>6.2288178218900003E-4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9.7874173918000001E-3</v>
      </c>
      <c r="B59" s="1">
        <v>1.00261994036</v>
      </c>
      <c r="C59" s="1">
        <v>5.8431275044499999E-2</v>
      </c>
      <c r="D59" s="1">
        <v>6.2511060001099999E-4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9.8852915657199995E-3</v>
      </c>
      <c r="B60" s="1">
        <v>0.840664250733</v>
      </c>
      <c r="C60" s="1">
        <v>5.2579747593500002E-2</v>
      </c>
      <c r="D60" s="1">
        <v>6.2736170601099999E-4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9.9841444813699998E-3</v>
      </c>
      <c r="B61" s="1">
        <v>0.79321765996899996</v>
      </c>
      <c r="C61" s="1">
        <v>4.8980180226200001E-2</v>
      </c>
      <c r="D61" s="1">
        <v>6.2963532307199995E-4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1.0083985926200001E-2</v>
      </c>
      <c r="B62" s="1">
        <v>0.614075165624</v>
      </c>
      <c r="C62" s="1">
        <v>4.3218371457199999E-2</v>
      </c>
      <c r="D62" s="1">
        <v>6.3193167630200004E-4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1.01848257854E-2</v>
      </c>
      <c r="B63" s="1">
        <v>0.46333631377599999</v>
      </c>
      <c r="C63" s="1">
        <v>3.6884059090100001E-2</v>
      </c>
      <c r="D63" s="1">
        <v>6.3425099306499996E-4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1.02866740433E-2</v>
      </c>
      <c r="B64" s="1">
        <v>0.48460297977400002</v>
      </c>
      <c r="C64" s="1">
        <v>3.58645440545E-2</v>
      </c>
      <c r="D64" s="1">
        <v>6.3659350299599996E-4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1.03895407837E-2</v>
      </c>
      <c r="B65" s="1">
        <v>0.42811053614400002</v>
      </c>
      <c r="C65" s="1">
        <v>3.3061963896600002E-2</v>
      </c>
      <c r="D65" s="1">
        <v>6.3895943802600005E-4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1.04934361916E-2</v>
      </c>
      <c r="B66" s="1">
        <v>0.33408785882100001</v>
      </c>
      <c r="C66" s="1">
        <v>2.79917258099E-2</v>
      </c>
      <c r="D66" s="1">
        <v>6.4134903240600002E-4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1.05983705535E-2</v>
      </c>
      <c r="B67" s="1">
        <v>0.31317915036799998</v>
      </c>
      <c r="C67" s="1">
        <v>2.7492299586599999E-2</v>
      </c>
      <c r="D67" s="1">
        <v>6.4376252273E-4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1.0704354259E-2</v>
      </c>
      <c r="B68" s="1">
        <v>0.29426150437699999</v>
      </c>
      <c r="C68" s="1">
        <v>2.5398209794800002E-2</v>
      </c>
      <c r="D68" s="1">
        <v>6.46200147958E-4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1.08113978016E-2</v>
      </c>
      <c r="B69" s="1">
        <v>0.27660125060599999</v>
      </c>
      <c r="C69" s="1">
        <v>2.4120410159499998E-2</v>
      </c>
      <c r="D69" s="1">
        <v>6.4866214943700004E-4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1.0919511779600001E-2</v>
      </c>
      <c r="B70" s="1">
        <v>0.239308609793</v>
      </c>
      <c r="C70" s="1">
        <v>2.14969945119E-2</v>
      </c>
      <c r="D70" s="1">
        <v>6.5114877093200004E-4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1.1028706897400001E-2</v>
      </c>
      <c r="B71" s="1">
        <v>0.26117216186100001</v>
      </c>
      <c r="C71" s="1">
        <v>2.2626162642899999E-2</v>
      </c>
      <c r="D71" s="1">
        <v>6.5366025864100003E-4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1.11389939664E-2</v>
      </c>
      <c r="B72" s="1">
        <v>0.202470546147</v>
      </c>
      <c r="C72" s="1">
        <v>1.9467847139600002E-2</v>
      </c>
      <c r="D72" s="1">
        <v>6.5619686122700004E-4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1.12503839061E-2</v>
      </c>
      <c r="B73" s="1">
        <v>0.14245388249599999</v>
      </c>
      <c r="C73" s="1">
        <v>1.64250338255E-2</v>
      </c>
      <c r="D73" s="1">
        <v>6.5875882983899999E-4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1.1362887745099999E-2</v>
      </c>
      <c r="B74" s="1">
        <v>0.150265873626</v>
      </c>
      <c r="C74" s="1">
        <v>1.6163398377E-2</v>
      </c>
      <c r="D74" s="1">
        <v>6.6134641813799997E-4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1.14765166226E-2</v>
      </c>
      <c r="B75" s="1">
        <v>0.13809531355499999</v>
      </c>
      <c r="C75" s="1">
        <v>8.4533260492599994E-3</v>
      </c>
      <c r="D75" s="1">
        <v>6.6395988231899997E-4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1.1591281788799999E-2</v>
      </c>
      <c r="B76" s="1">
        <v>0.10371191726200001</v>
      </c>
      <c r="C76" s="1">
        <v>7.2543918308099996E-3</v>
      </c>
      <c r="D76" s="1">
        <v>6.6659948114199997E-4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1.17071946067E-2</v>
      </c>
      <c r="B77" s="1">
        <v>8.1665801048800002E-2</v>
      </c>
      <c r="C77" s="1">
        <v>6.4014208403900003E-3</v>
      </c>
      <c r="D77" s="1">
        <v>6.69265475954E-4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1.18242665528E-2</v>
      </c>
      <c r="B78" s="1">
        <v>7.4898268936699999E-2</v>
      </c>
      <c r="C78" s="1">
        <v>5.9767319296599999E-3</v>
      </c>
      <c r="D78" s="1">
        <v>6.7195813071299995E-4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1.19425092183E-2</v>
      </c>
      <c r="B79" s="1">
        <v>6.38248649241E-2</v>
      </c>
      <c r="C79" s="1">
        <v>6.4256969809400001E-3</v>
      </c>
      <c r="D79" s="1">
        <v>6.7467771202100004E-4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1.2061934310500001E-2</v>
      </c>
      <c r="B80" s="1">
        <v>4.6272675789600003E-2</v>
      </c>
      <c r="C80" s="1">
        <v>5.3779847985199998E-3</v>
      </c>
      <c r="D80" s="1">
        <v>6.7742448914099999E-4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1.2182553653599999E-2</v>
      </c>
      <c r="B81" s="1">
        <v>3.1664911445900001E-2</v>
      </c>
      <c r="C81" s="1">
        <v>4.5623478850700004E-3</v>
      </c>
      <c r="D81" s="1">
        <v>6.8019873403200003E-4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1.2304379190100001E-2</v>
      </c>
      <c r="B82" s="1">
        <v>2.3447978978100002E-2</v>
      </c>
      <c r="C82" s="1">
        <v>3.9040918099099999E-3</v>
      </c>
      <c r="D82" s="1">
        <v>6.8300072137200002E-4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1.2427422981999999E-2</v>
      </c>
      <c r="B83" s="1">
        <v>1.8546825590899998E-2</v>
      </c>
      <c r="C83" s="1">
        <v>3.6206319435499999E-3</v>
      </c>
      <c r="D83" s="1">
        <v>6.8583072858600003E-4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1.25516972118E-2</v>
      </c>
      <c r="B84" s="1">
        <v>5.41820566854E-3</v>
      </c>
      <c r="C84" s="1">
        <v>2.8953082507100002E-3</v>
      </c>
      <c r="D84" s="1">
        <v>6.8868903587199996E-4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1.26772141839E-2</v>
      </c>
      <c r="B85" s="1">
        <v>7.5449892274400002E-3</v>
      </c>
      <c r="C85" s="1">
        <v>2.7028174307900002E-3</v>
      </c>
      <c r="D85" s="1">
        <v>6.9157592623100004E-4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1.28039863258E-2</v>
      </c>
      <c r="B86" s="1">
        <v>6.3303945256999996E-3</v>
      </c>
      <c r="C86" s="1">
        <v>2.4567392821299998E-3</v>
      </c>
      <c r="D86" s="1">
        <v>6.9449168549300003E-4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1.2932026189000001E-2</v>
      </c>
      <c r="B87" s="1">
        <v>4.9585715378900001E-3</v>
      </c>
      <c r="C87" s="1">
        <v>2.2710227609800001E-3</v>
      </c>
      <c r="D87" s="1">
        <v>6.9743660234799999E-4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1.3061346450899999E-2</v>
      </c>
      <c r="B88" s="1">
        <v>7.8202011169899999E-3</v>
      </c>
      <c r="C88" s="1">
        <v>2.3262657067300001E-3</v>
      </c>
      <c r="D88" s="1">
        <v>7.0041096837200004E-4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1.31919599154E-2</v>
      </c>
      <c r="B89" s="1">
        <v>9.2386065747200007E-3</v>
      </c>
      <c r="C89" s="1">
        <v>2.4713498190799999E-3</v>
      </c>
      <c r="D89" s="1">
        <v>7.0341507805499995E-4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1.33238795146E-2</v>
      </c>
      <c r="B90" s="1">
        <v>1.5750686633099999E-2</v>
      </c>
      <c r="C90" s="1">
        <v>2.6546481319100002E-3</v>
      </c>
      <c r="D90" s="1">
        <v>7.0644922883600001E-4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1.3457118309700001E-2</v>
      </c>
      <c r="B91" s="1">
        <v>1.8423815317600001E-2</v>
      </c>
      <c r="C91" s="1">
        <v>2.6318342250299998E-3</v>
      </c>
      <c r="D91" s="1">
        <v>7.0951372112399997E-4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1.3591689492799999E-2</v>
      </c>
      <c r="B92" s="1">
        <v>1.6691669596700001E-2</v>
      </c>
      <c r="C92" s="1">
        <v>2.5971000782999999E-3</v>
      </c>
      <c r="D92" s="86">
        <v>7.1260885833499996E-4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1.37276063878E-2</v>
      </c>
      <c r="B93" s="1">
        <v>2.3378161441400001E-2</v>
      </c>
      <c r="C93" s="1">
        <v>2.8201281257300001E-3</v>
      </c>
      <c r="D93" s="1">
        <v>7.1573494691900001E-4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1.3864882451600001E-2</v>
      </c>
      <c r="B94" s="1">
        <v>3.2445949222600003E-2</v>
      </c>
      <c r="C94" s="1">
        <v>3.1599279660499999E-3</v>
      </c>
      <c r="D94" s="1">
        <v>7.1889229638800003E-4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1.40035312762E-2</v>
      </c>
      <c r="B95" s="1">
        <v>3.6533755465399997E-2</v>
      </c>
      <c r="C95" s="1">
        <v>3.1944904521900002E-3</v>
      </c>
      <c r="D95" s="1">
        <v>7.2208121935199996E-4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1.41435665889E-2</v>
      </c>
      <c r="B96" s="1">
        <v>2.9719562360399999E-2</v>
      </c>
      <c r="C96" s="1">
        <v>2.8435174678499999E-3</v>
      </c>
      <c r="D96" s="1">
        <v>7.2530203154500005E-4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1.42850022548E-2</v>
      </c>
      <c r="B97" s="1">
        <v>2.9992567937699999E-2</v>
      </c>
      <c r="C97" s="1">
        <v>2.7900650177800001E-3</v>
      </c>
      <c r="D97" s="1">
        <v>7.2855505186099996E-4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1.44278522774E-2</v>
      </c>
      <c r="B98" s="1">
        <v>4.2938395514999998E-2</v>
      </c>
      <c r="C98" s="1">
        <v>3.1868147129800002E-3</v>
      </c>
      <c r="D98" s="1">
        <v>7.3184060237899997E-4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1.4572130800099999E-2</v>
      </c>
      <c r="B99" s="1">
        <v>3.7281462648099999E-2</v>
      </c>
      <c r="C99" s="1">
        <v>2.9637554836200002E-3</v>
      </c>
      <c r="D99" s="1">
        <v>7.3515900840299996E-4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1.4717852108099999E-2</v>
      </c>
      <c r="B100" s="1">
        <v>3.3192784382800003E-2</v>
      </c>
      <c r="C100" s="1">
        <v>2.7004741899500002E-3</v>
      </c>
      <c r="D100" s="1">
        <v>7.3851059848700003E-4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1.4865030629200001E-2</v>
      </c>
      <c r="B101" s="1">
        <v>4.32336572113E-2</v>
      </c>
      <c r="C101" s="1">
        <v>2.9876619205600002E-3</v>
      </c>
      <c r="D101" s="1">
        <v>7.4189570447199995E-4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1.50136809355E-2</v>
      </c>
      <c r="B102" s="1">
        <v>3.6741100598000002E-2</v>
      </c>
      <c r="C102" s="1">
        <v>2.0144783128799998E-3</v>
      </c>
      <c r="D102" s="1">
        <v>7.4531466151699999E-4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1.5163817744900001E-2</v>
      </c>
      <c r="B103" s="1">
        <v>3.8161166577500003E-2</v>
      </c>
      <c r="C103" s="1">
        <v>2.03819370916E-3</v>
      </c>
      <c r="D103" s="1">
        <v>7.4876780813200002E-4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1.5315455922300001E-2</v>
      </c>
      <c r="B104" s="1">
        <v>3.0291864882099999E-2</v>
      </c>
      <c r="C104" s="1">
        <v>1.7106260038100001E-3</v>
      </c>
      <c r="D104" s="1">
        <v>7.5225548621300005E-4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1.54686104815E-2</v>
      </c>
      <c r="B105" s="1">
        <v>3.1585342597999999E-2</v>
      </c>
      <c r="C105" s="1">
        <v>1.7210541641699999E-3</v>
      </c>
      <c r="D105" s="1">
        <v>7.5577804107499998E-4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1.56232965864E-2</v>
      </c>
      <c r="B106" s="1">
        <v>2.6085263409100001E-2</v>
      </c>
      <c r="C106" s="1">
        <v>1.5390766099499999E-3</v>
      </c>
      <c r="D106" s="1">
        <v>7.5933582148599997E-4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1.5779529552200001E-2</v>
      </c>
      <c r="B107" s="1">
        <v>2.6987456512500001E-2</v>
      </c>
      <c r="C107" s="1">
        <v>1.54699809451E-3</v>
      </c>
      <c r="D107" s="1">
        <v>7.6292917970100004E-4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1.59373248477E-2</v>
      </c>
      <c r="B108" s="1">
        <v>2.22816578264E-2</v>
      </c>
      <c r="C108" s="1">
        <v>2.0047854112799999E-3</v>
      </c>
      <c r="D108" s="1">
        <v>7.6655847149800001E-4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1.6096698096199999E-2</v>
      </c>
      <c r="B109" s="1">
        <v>1.9269463765100001E-2</v>
      </c>
      <c r="C109" s="1">
        <v>1.87883681564E-3</v>
      </c>
      <c r="D109" s="1">
        <v>7.7022405621299998E-4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1.6257665077200001E-2</v>
      </c>
      <c r="B110" s="1">
        <v>1.23966096909E-2</v>
      </c>
      <c r="C110" s="1">
        <v>1.42156200661E-3</v>
      </c>
      <c r="D110" s="1">
        <v>7.7392629677499995E-4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1.6420241727999999E-2</v>
      </c>
      <c r="B111" s="1">
        <v>1.16600532524E-2</v>
      </c>
      <c r="C111" s="1">
        <v>1.3971886528300001E-3</v>
      </c>
      <c r="D111" s="1">
        <v>7.7766555974299997E-4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1.6584444145200002E-2</v>
      </c>
      <c r="B112" s="1">
        <v>8.4120834153800002E-3</v>
      </c>
      <c r="C112" s="1">
        <v>1.1791924312899999E-3</v>
      </c>
      <c r="D112" s="1">
        <v>7.8144221533999999E-4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1.67502885867E-2</v>
      </c>
      <c r="B113" s="1">
        <v>6.2209374718799997E-3</v>
      </c>
      <c r="C113" s="1">
        <v>9.8790362349500003E-4</v>
      </c>
      <c r="D113" s="1">
        <v>7.8525663749399999E-4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1.6917791472599999E-2</v>
      </c>
      <c r="B114" s="1">
        <v>6.3316159959299996E-3</v>
      </c>
      <c r="C114" s="1">
        <v>1.00303144097E-3</v>
      </c>
      <c r="D114" s="1">
        <v>7.8910920386899999E-4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1.7086969387300002E-2</v>
      </c>
      <c r="B115" s="1">
        <v>2.86729871756E-3</v>
      </c>
      <c r="C115" s="1">
        <v>7.1595556323700001E-4</v>
      </c>
      <c r="D115" s="1">
        <v>7.9300029590700005E-4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1.7257839081199999E-2</v>
      </c>
      <c r="B116" s="1">
        <v>2.13447868046E-3</v>
      </c>
      <c r="C116" s="1">
        <v>6.4304448088999997E-4</v>
      </c>
      <c r="D116" s="1">
        <v>7.9693029886600004E-4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1.7430417472000002E-2</v>
      </c>
      <c r="B117" s="1">
        <v>1.2271333953200001E-3</v>
      </c>
      <c r="C117" s="1">
        <v>5.3453874724399995E-4</v>
      </c>
      <c r="D117" s="1">
        <v>8.0089960185499996E-4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1.7604721646699999E-2</v>
      </c>
      <c r="B118" s="1">
        <v>1.32176869503E-3</v>
      </c>
      <c r="C118" s="1">
        <v>4.8569180342499999E-4</v>
      </c>
      <c r="D118" s="1">
        <v>8.0490859787399999E-4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1.77807688631E-2</v>
      </c>
      <c r="B119" s="1">
        <v>1.41872258983E-3</v>
      </c>
      <c r="C119" s="1">
        <v>5.5953184470400005E-4</v>
      </c>
      <c r="D119" s="1">
        <v>8.08957683852E-4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1.7958576551799998E-2</v>
      </c>
      <c r="B120" s="1">
        <v>3.3621742856700001E-3</v>
      </c>
      <c r="C120" s="1">
        <v>6.4855747537599998E-4</v>
      </c>
      <c r="D120" s="1">
        <v>8.1304726069100005E-4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1.8138162317300002E-2</v>
      </c>
      <c r="B121" s="1">
        <v>4.1315357754999997E-3</v>
      </c>
      <c r="C121" s="1">
        <v>6.9417533161799999E-4</v>
      </c>
      <c r="D121" s="1">
        <v>8.17177733298E-4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1.8319543940500001E-2</v>
      </c>
      <c r="B122" s="1">
        <v>5.3369598990499999E-3</v>
      </c>
      <c r="C122" s="1">
        <v>7.9340751807799998E-4</v>
      </c>
      <c r="D122" s="1">
        <v>8.2134951063100002E-4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1.8502739379900001E-2</v>
      </c>
      <c r="B123" s="1">
        <v>6.2050870961000001E-3</v>
      </c>
      <c r="C123" s="1">
        <v>8.0196559900400002E-4</v>
      </c>
      <c r="D123" s="1">
        <v>8.2556300573700004E-4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1.8687766773700001E-2</v>
      </c>
      <c r="B124" s="1">
        <v>6.6791538453100001E-3</v>
      </c>
      <c r="C124" s="1">
        <v>8.4030616385999998E-4</v>
      </c>
      <c r="D124" s="1">
        <v>8.2981863579399998E-4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1.8874644441399999E-2</v>
      </c>
      <c r="B125" s="1">
        <v>7.8755209096600005E-3</v>
      </c>
      <c r="C125" s="1">
        <v>8.5133004067899996E-4</v>
      </c>
      <c r="D125" s="1">
        <v>8.34116822152E-4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1.9063390885799999E-2</v>
      </c>
      <c r="B126" s="1">
        <v>1.0249781315500001E-2</v>
      </c>
      <c r="C126" s="1">
        <v>9.6099152541500004E-4</v>
      </c>
      <c r="D126" s="1">
        <v>8.3845799037399996E-4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1.9254024794699998E-2</v>
      </c>
      <c r="B127" s="1">
        <v>1.0531795646800001E-2</v>
      </c>
      <c r="C127" s="1">
        <v>9.3970969311700004E-4</v>
      </c>
      <c r="D127" s="1">
        <v>8.4284257027799996E-4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1.9446565042599999E-2</v>
      </c>
      <c r="B128" s="1">
        <v>9.8566038724499996E-3</v>
      </c>
      <c r="C128" s="1">
        <v>9.0714343571599997E-4</v>
      </c>
      <c r="D128" s="1">
        <v>8.4727099597999998E-4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1.9641030693100001E-2</v>
      </c>
      <c r="B129" s="1">
        <v>1.20555929683E-2</v>
      </c>
      <c r="C129" s="1">
        <v>9.9206878428399997E-4</v>
      </c>
      <c r="D129" s="1">
        <v>8.5174370594E-4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1.9837441000000001E-2</v>
      </c>
      <c r="B130" s="1">
        <v>1.15548307512E-2</v>
      </c>
      <c r="C130" s="1">
        <v>9.4872037399800001E-4</v>
      </c>
      <c r="D130" s="1">
        <v>8.5626114299999995E-4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2.0035815410000001E-2</v>
      </c>
      <c r="B131" s="1">
        <v>1.14765183298E-2</v>
      </c>
      <c r="C131" s="1">
        <v>9.3605400877099995E-4</v>
      </c>
      <c r="D131" s="1">
        <v>8.6082375442999995E-4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2.0236173564099999E-2</v>
      </c>
      <c r="B132" s="1">
        <v>1.0164575948700001E-2</v>
      </c>
      <c r="C132" s="1">
        <v>8.5399236967499995E-4</v>
      </c>
      <c r="D132" s="1">
        <v>8.6543199197399996E-4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2.0438535299700002E-2</v>
      </c>
      <c r="B133" s="1">
        <v>9.9397218004899993E-3</v>
      </c>
      <c r="C133" s="1">
        <v>8.3439353457500005E-4</v>
      </c>
      <c r="D133" s="1">
        <v>8.7008631189400005E-4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2.06429206527E-2</v>
      </c>
      <c r="B134" s="1">
        <v>9.4461880824799997E-3</v>
      </c>
      <c r="C134" s="1">
        <v>8.1036953506599999E-4</v>
      </c>
      <c r="D134" s="1">
        <v>8.7478717501299999E-4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2.0849349859299999E-2</v>
      </c>
      <c r="B135" s="1">
        <v>8.4002723824700004E-3</v>
      </c>
      <c r="C135" s="1">
        <v>7.5900410805599999E-4</v>
      </c>
      <c r="D135" s="1">
        <v>8.7953504676300002E-4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2.1057843357800001E-2</v>
      </c>
      <c r="B136" s="1">
        <v>6.5362890883499999E-3</v>
      </c>
      <c r="C136" s="1">
        <v>6.49036434975E-4</v>
      </c>
      <c r="D136" s="1">
        <v>8.8433039722999999E-4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2.12684217914E-2</v>
      </c>
      <c r="B137" s="1">
        <v>5.2982003733200002E-3</v>
      </c>
      <c r="C137" s="1">
        <v>5.8377698065499996E-4</v>
      </c>
      <c r="D137" s="1">
        <v>8.8917370120300001E-4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2.1481106009300002E-2</v>
      </c>
      <c r="B138" s="1">
        <v>3.71930160447E-3</v>
      </c>
      <c r="C138" s="1">
        <v>4.8267641984499999E-4</v>
      </c>
      <c r="D138" s="1">
        <v>8.9406543821499997E-4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2.1695917069400002E-2</v>
      </c>
      <c r="B139" s="1">
        <v>2.38883971279E-3</v>
      </c>
      <c r="C139" s="1">
        <v>3.9287861995000002E-4</v>
      </c>
      <c r="D139" s="1">
        <v>8.9900609259699999E-4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2.19128762401E-2</v>
      </c>
      <c r="B140" s="1">
        <v>1.94648677748E-3</v>
      </c>
      <c r="C140" s="1">
        <v>1.5338262512600001E-4</v>
      </c>
      <c r="D140" s="1">
        <v>9.0399615352299999E-4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2.21320050025E-2</v>
      </c>
      <c r="B141" s="1">
        <v>1.5242151816E-3</v>
      </c>
      <c r="C141" s="1">
        <v>1.33246627585E-4</v>
      </c>
      <c r="D141" s="1">
        <v>9.0903611505800002E-4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2.2353325052600001E-2</v>
      </c>
      <c r="B142" s="1">
        <v>9.8398496721300004E-4</v>
      </c>
      <c r="C142" s="1">
        <v>1.0212138135199999E-4</v>
      </c>
      <c r="D142" s="1">
        <v>9.1412647620899999E-4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2.2576858303100002E-2</v>
      </c>
      <c r="B143" s="1">
        <v>6.8821139251400002E-4</v>
      </c>
      <c r="C143" s="1">
        <v>8.4613027024900002E-5</v>
      </c>
      <c r="D143" s="1">
        <v>9.1926774097100003E-4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2.2802626886099998E-2</v>
      </c>
      <c r="B144" s="1">
        <v>9.0397283366600001E-4</v>
      </c>
      <c r="C144" s="1">
        <v>9.2102193427200004E-5</v>
      </c>
      <c r="D144" s="1">
        <v>9.2446041838000002E-4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2.3030653155000001E-2</v>
      </c>
      <c r="B145" s="1">
        <v>1.10541112298E-3</v>
      </c>
      <c r="C145" s="1">
        <v>9.9738164756200002E-5</v>
      </c>
      <c r="D145" s="1">
        <v>9.29705022564E-4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2.32609596865E-2</v>
      </c>
      <c r="B146" s="1">
        <v>1.4542682304599999E-3</v>
      </c>
      <c r="C146" s="1">
        <v>1.12624172346E-4</v>
      </c>
      <c r="D146" s="1">
        <v>9.3500207279000004E-4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2.34935692834E-2</v>
      </c>
      <c r="B147" s="1">
        <v>1.9171276300600001E-3</v>
      </c>
      <c r="C147" s="1">
        <v>1.29588073671E-4</v>
      </c>
      <c r="D147" s="1">
        <v>9.4035209351799997E-4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2.37285049762E-2</v>
      </c>
      <c r="B148" s="1">
        <v>2.4225874105899999E-3</v>
      </c>
      <c r="C148" s="1">
        <v>1.48345227612E-4</v>
      </c>
      <c r="D148" s="1">
        <v>9.4575561445300004E-4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2.3965790026000001E-2</v>
      </c>
      <c r="B149" s="1">
        <v>3.3460721386300001E-3</v>
      </c>
      <c r="C149" s="1">
        <v>1.8315369410900001E-4</v>
      </c>
      <c r="D149" s="1">
        <v>9.5121317059800004E-4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2.42054479262E-2</v>
      </c>
      <c r="B150" s="1">
        <v>3.8919941712900002E-3</v>
      </c>
      <c r="C150" s="1">
        <v>1.9955451239799999E-4</v>
      </c>
      <c r="D150" s="1">
        <v>9.5672530230299997E-4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2.4447502405500001E-2</v>
      </c>
      <c r="B151" s="1">
        <v>4.1447548393399999E-3</v>
      </c>
      <c r="C151" s="1">
        <v>2.0520561355699999E-4</v>
      </c>
      <c r="D151" s="1">
        <v>9.62292555327E-4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2.4691977429599998E-2</v>
      </c>
      <c r="B152" s="1">
        <v>4.5861216390200004E-3</v>
      </c>
      <c r="C152" s="1">
        <v>2.1359018222999999E-4</v>
      </c>
      <c r="D152" s="1">
        <v>9.6791548087999996E-4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2.4938897203899999E-2</v>
      </c>
      <c r="B153" s="1">
        <v>4.4490920175899997E-3</v>
      </c>
      <c r="C153" s="1">
        <v>2.01038885438E-4</v>
      </c>
      <c r="D153" s="86">
        <v>9.7359463568899996E-4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2.51882861759E-2</v>
      </c>
      <c r="B154" s="1">
        <v>4.3564799578600004E-3</v>
      </c>
      <c r="C154" s="1">
        <v>1.9696569008999999E-4</v>
      </c>
      <c r="D154" s="1">
        <v>9.7933058204499992E-4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2.5440169037600002E-2</v>
      </c>
      <c r="B155" s="1">
        <v>4.1338590307400001E-3</v>
      </c>
      <c r="C155" s="1">
        <v>1.89265416918E-4</v>
      </c>
      <c r="D155" s="1">
        <v>9.8512388786599998E-4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2.5694570728E-2</v>
      </c>
      <c r="B156" s="1">
        <v>3.9773645323999997E-3</v>
      </c>
      <c r="C156" s="1">
        <v>1.8679211211399999E-4</v>
      </c>
      <c r="D156" s="1">
        <v>9.9097512674499997E-4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2.5951516435299998E-2</v>
      </c>
      <c r="B157" s="1">
        <v>3.1303686209100002E-3</v>
      </c>
      <c r="C157" s="1">
        <v>1.6016291841499999E-4</v>
      </c>
      <c r="D157" s="1">
        <v>9.9688487801200009E-4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2.6211031599700001E-2</v>
      </c>
      <c r="B158" s="1">
        <v>2.5552279661099999E-3</v>
      </c>
      <c r="C158" s="1">
        <v>1.4150393127999999E-4</v>
      </c>
      <c r="D158" s="1">
        <v>1.0028537267900001E-3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2.6473141915700001E-2</v>
      </c>
      <c r="B159" s="1">
        <v>2.20963532901E-3</v>
      </c>
      <c r="C159" s="1">
        <v>1.35856402979E-4</v>
      </c>
      <c r="D159" s="1">
        <v>1.00888226406E-3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2.6737873334799999E-2</v>
      </c>
      <c r="B160" s="1">
        <v>1.7151367512600001E-3</v>
      </c>
      <c r="C160" s="1">
        <v>1.1863148528799999E-4</v>
      </c>
      <c r="D160" s="1">
        <v>1.0149710867E-3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2.7005252068200002E-2</v>
      </c>
      <c r="B161" s="1">
        <v>1.2671646332099999E-3</v>
      </c>
      <c r="C161" s="1">
        <v>9.85666296413E-5</v>
      </c>
      <c r="D161" s="1">
        <v>1.02112079757E-3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2.7275304588799999E-2</v>
      </c>
      <c r="B162" s="1">
        <v>1.04031806218E-3</v>
      </c>
      <c r="C162" s="1">
        <v>8.6697959877700002E-5</v>
      </c>
      <c r="D162" s="1">
        <v>1.02733200554E-3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2.7548057634700002E-2</v>
      </c>
      <c r="B163" s="1">
        <v>6.85383670977E-4</v>
      </c>
      <c r="C163" s="1">
        <v>7.3368280913399997E-5</v>
      </c>
      <c r="D163" s="1">
        <v>1.0336053256E-3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2.78235382111E-2</v>
      </c>
      <c r="B164" s="1">
        <v>6.6687666710299996E-4</v>
      </c>
      <c r="C164" s="1">
        <v>7.5466038677800002E-5</v>
      </c>
      <c r="D164" s="1">
        <v>1.0399413788499999E-3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2.81017735932E-2</v>
      </c>
      <c r="B165" s="1">
        <v>4.7862911218799999E-4</v>
      </c>
      <c r="C165" s="1">
        <v>6.0033108665499998E-5</v>
      </c>
      <c r="D165" s="1">
        <v>1.0463407926400001E-3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2.8382791329100002E-2</v>
      </c>
      <c r="B166" s="1">
        <v>8.0344393375299998E-4</v>
      </c>
      <c r="C166" s="1">
        <v>7.6635173066600006E-5</v>
      </c>
      <c r="D166" s="1">
        <v>1.0528042005699999E-3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2.86666192424E-2</v>
      </c>
      <c r="B167" s="1">
        <v>9.3059941269999999E-4</v>
      </c>
      <c r="C167" s="1">
        <v>8.4944993552999996E-5</v>
      </c>
      <c r="D167" s="1">
        <v>1.05933224258E-3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2.89532854348E-2</v>
      </c>
      <c r="B168" s="1">
        <v>1.2353208448599999E-3</v>
      </c>
      <c r="C168" s="1">
        <v>9.6751289443800005E-5</v>
      </c>
      <c r="D168" s="1">
        <v>1.065925565E-3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2.9242818289200001E-2</v>
      </c>
      <c r="B169" s="1">
        <v>1.39501423152E-3</v>
      </c>
      <c r="C169" s="1">
        <v>1.0163814799399999E-4</v>
      </c>
      <c r="D169" s="1">
        <v>1.0725848206499999E-3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2.9535246472099999E-2</v>
      </c>
      <c r="B170" s="1">
        <v>1.8865805788E-3</v>
      </c>
      <c r="C170" s="1">
        <v>1.19648575225E-4</v>
      </c>
      <c r="D170" s="1">
        <v>1.0793106688599999E-3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2.9830598936799999E-2</v>
      </c>
      <c r="B171" s="1">
        <v>1.9844791236400001E-3</v>
      </c>
      <c r="C171" s="1">
        <v>1.21936074594E-4</v>
      </c>
      <c r="D171" s="1">
        <v>1.08610377555E-3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3.01289049262E-2</v>
      </c>
      <c r="B172" s="1">
        <v>1.9664337777499999E-3</v>
      </c>
      <c r="C172" s="1">
        <v>1.25255413507E-4</v>
      </c>
      <c r="D172" s="1">
        <v>1.0929648132999999E-3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3.0430193975400002E-2</v>
      </c>
      <c r="B173" s="1">
        <v>2.0283235549100002E-3</v>
      </c>
      <c r="C173" s="1">
        <v>1.2850451761999999E-4</v>
      </c>
      <c r="D173" s="1">
        <v>1.09989446143E-3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3.07344959152E-2</v>
      </c>
      <c r="B174" s="1">
        <v>1.6926401193399999E-3</v>
      </c>
      <c r="C174" s="1">
        <v>1.10878656931E-4</v>
      </c>
      <c r="D174" s="1">
        <v>1.1068934060499999E-3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3.1041840874300002E-2</v>
      </c>
      <c r="B175" s="1">
        <v>1.7751228542199999E-3</v>
      </c>
      <c r="C175" s="1">
        <v>1.1541446372E-4</v>
      </c>
      <c r="D175" s="1">
        <v>1.1139623401100001E-3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3.1352259283100002E-2</v>
      </c>
      <c r="B176" s="1">
        <v>1.56502724007E-3</v>
      </c>
      <c r="C176" s="1">
        <v>1.09939621493E-4</v>
      </c>
      <c r="D176" s="1">
        <v>1.1211019635100001E-3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3.1665781875900002E-2</v>
      </c>
      <c r="B177" s="1">
        <v>1.1392568484400001E-3</v>
      </c>
      <c r="C177" s="1">
        <v>9.4540223640000005E-5</v>
      </c>
      <c r="D177" s="1">
        <v>1.12831298315E-3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3.19824396947E-2</v>
      </c>
      <c r="B178" s="1">
        <v>8.8362907276299998E-4</v>
      </c>
      <c r="C178" s="1">
        <v>8.60076790846E-5</v>
      </c>
      <c r="D178" s="1">
        <v>1.1355961129799999E-3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3.2302264091600003E-2</v>
      </c>
      <c r="B179" s="1">
        <v>8.1519077321199999E-4</v>
      </c>
      <c r="C179" s="1">
        <v>8.0027114022800002E-5</v>
      </c>
      <c r="D179" s="1">
        <v>1.1429520741100001E-3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3.2625286732500001E-2</v>
      </c>
      <c r="B180" s="1">
        <v>4.5291778445400002E-4</v>
      </c>
      <c r="C180" s="1">
        <v>5.9846674670299997E-5</v>
      </c>
      <c r="D180" s="1">
        <v>1.15038159485E-3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3.29515395999E-2</v>
      </c>
      <c r="B181" s="1">
        <v>3.34830104812E-4</v>
      </c>
      <c r="C181" s="1">
        <v>5.5037129816299998E-5</v>
      </c>
      <c r="D181" s="1">
        <v>1.1578854107999999E-3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3.3281054995899999E-2</v>
      </c>
      <c r="B182" s="1">
        <v>3.26161862616E-4</v>
      </c>
      <c r="C182" s="1">
        <v>5.29012965418E-5</v>
      </c>
      <c r="D182" s="1">
        <v>1.1654642648999999E-3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3.3613865545800002E-2</v>
      </c>
      <c r="B183" s="1">
        <v>3.9548589309900003E-4</v>
      </c>
      <c r="C183" s="1">
        <v>5.6559148600299998E-5</v>
      </c>
      <c r="D183" s="1">
        <v>1.1731189075499999E-3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3.3950004201300003E-2</v>
      </c>
      <c r="B184" s="1">
        <v>4.3206563127599998E-4</v>
      </c>
      <c r="C184" s="1">
        <v>5.7504909062500003E-5</v>
      </c>
      <c r="D184" s="1">
        <v>1.18085009663E-3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3.4289504243299997E-2</v>
      </c>
      <c r="B185" s="1">
        <v>6.1015076806200002E-4</v>
      </c>
      <c r="C185" s="1">
        <v>6.8798554276799996E-5</v>
      </c>
      <c r="D185" s="1">
        <v>1.1886585976000001E-3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3.46323992857E-2</v>
      </c>
      <c r="B186" s="1">
        <v>7.5955981016500001E-4</v>
      </c>
      <c r="C186" s="1">
        <v>7.6345631743599993E-5</v>
      </c>
      <c r="D186" s="1">
        <v>1.1965451835699999E-3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3.49787232786E-2</v>
      </c>
      <c r="B187" s="1">
        <v>8.6766640022199997E-4</v>
      </c>
      <c r="C187" s="1">
        <v>7.7718664437500005E-5</v>
      </c>
      <c r="D187" s="1">
        <v>1.20451063541E-3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3.5328510511399999E-2</v>
      </c>
      <c r="B188" s="1">
        <v>1.13710892737E-3</v>
      </c>
      <c r="C188" s="1">
        <v>9.2097146388999998E-5</v>
      </c>
      <c r="D188" s="1">
        <v>1.2125557417599999E-3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3.5681795616499999E-2</v>
      </c>
      <c r="B189" s="1">
        <v>1.01852752541E-3</v>
      </c>
      <c r="C189" s="1">
        <v>8.5291457753399998E-5</v>
      </c>
      <c r="D189" s="1">
        <v>1.2206812991799999E-3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3.6038613572599999E-2</v>
      </c>
      <c r="B190" s="1">
        <v>1.004364981E-3</v>
      </c>
      <c r="C190" s="1">
        <v>8.0894885267999994E-5</v>
      </c>
      <c r="D190" s="1">
        <v>1.2288881121700001E-3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3.63989997084E-2</v>
      </c>
      <c r="B191" s="1">
        <v>9.1346244627899995E-4</v>
      </c>
      <c r="C191" s="1">
        <v>8.0047452303599998E-5</v>
      </c>
      <c r="D191" s="1">
        <v>1.2371769932899999E-3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3.6762989705399998E-2</v>
      </c>
      <c r="B192" s="1">
        <v>7.5141801723200001E-4</v>
      </c>
      <c r="C192" s="1">
        <v>7.2275068065000002E-5</v>
      </c>
      <c r="D192" s="1">
        <v>1.24554876323E-3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3.7130619602499998E-2</v>
      </c>
      <c r="B193" s="1">
        <v>6.6658587929500001E-4</v>
      </c>
      <c r="C193" s="1">
        <v>6.8758660185099996E-5</v>
      </c>
      <c r="D193" s="1">
        <v>1.2540042508600001E-3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3.7501925798500001E-2</v>
      </c>
      <c r="B194" s="1">
        <v>5.9998170396700001E-4</v>
      </c>
      <c r="C194" s="1">
        <v>6.3961932301999998E-5</v>
      </c>
      <c r="D194" s="1">
        <v>1.2625442933699999E-3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3.7876945056500001E-2</v>
      </c>
      <c r="B195" s="1">
        <v>3.2412937318499998E-4</v>
      </c>
      <c r="C195" s="1">
        <v>4.6819855838100001E-5</v>
      </c>
      <c r="D195" s="1">
        <v>1.2711697363000001E-3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3.8255714507099997E-2</v>
      </c>
      <c r="B196" s="1">
        <v>3.4956233228299998E-4</v>
      </c>
      <c r="C196" s="1">
        <v>4.8639447145599999E-5</v>
      </c>
      <c r="D196" s="1">
        <v>1.2798814336599999E-3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3.8638271652100001E-2</v>
      </c>
      <c r="B197" s="1">
        <v>2.35046937476E-4</v>
      </c>
      <c r="C197" s="1">
        <v>4.0435863286799998E-5</v>
      </c>
      <c r="D197" s="1">
        <v>1.288680248E-3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3.90246543687E-2</v>
      </c>
      <c r="B198" s="1">
        <v>1.6818999291099999E-4</v>
      </c>
      <c r="C198" s="1">
        <v>3.8231707221800003E-5</v>
      </c>
      <c r="D198" s="1">
        <v>1.2975670504800001E-3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3.9414900912399999E-2</v>
      </c>
      <c r="B199" s="1">
        <v>2.4514550518399999E-4</v>
      </c>
      <c r="C199" s="1">
        <v>4.1578465340299999E-5</v>
      </c>
      <c r="D199" s="1">
        <v>1.30654272098E-3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3.98090499215E-2</v>
      </c>
      <c r="B200" s="1">
        <v>4.54612832723E-4</v>
      </c>
      <c r="C200" s="1">
        <v>5.4280006493399997E-5</v>
      </c>
      <c r="D200" s="1">
        <v>1.31560814819E-3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4.0207140420699998E-2</v>
      </c>
      <c r="B201" s="1">
        <v>3.6114891152399999E-4</v>
      </c>
      <c r="C201" s="1">
        <v>4.81790562715E-5</v>
      </c>
      <c r="D201" s="1">
        <v>1.32476422968E-3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4.0609211824900002E-2</v>
      </c>
      <c r="B202" s="1">
        <v>4.41814791903E-4</v>
      </c>
      <c r="C202" s="1">
        <v>5.4467464069399999E-5</v>
      </c>
      <c r="D202" s="1">
        <v>1.3340118719700001E-3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4.1015303943099997E-2</v>
      </c>
      <c r="B203" s="1">
        <v>5.7411077988799995E-4</v>
      </c>
      <c r="C203" s="1">
        <v>6.1541116345400002E-5</v>
      </c>
      <c r="D203" s="1">
        <v>1.3433519906900001E-3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4.1425456982600001E-2</v>
      </c>
      <c r="B204" s="1">
        <v>4.8853250202499999E-4</v>
      </c>
      <c r="C204" s="1">
        <v>5.7237524670200001E-5</v>
      </c>
      <c r="D204" s="1">
        <v>1.3527855106E-3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4.1839711552400002E-2</v>
      </c>
      <c r="B205" s="1">
        <v>5.1945673908499997E-4</v>
      </c>
      <c r="C205" s="1">
        <v>5.8657461954900003E-5</v>
      </c>
      <c r="D205" s="1">
        <v>1.36231336571E-3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4.2258108667900002E-2</v>
      </c>
      <c r="B206" s="1">
        <v>3.0958768285599999E-4</v>
      </c>
      <c r="C206" s="1">
        <v>4.6349669658999998E-5</v>
      </c>
      <c r="D206" s="1">
        <v>1.37193649936E-3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4.2680689754600001E-2</v>
      </c>
      <c r="B207" s="1">
        <v>3.4052518755200002E-4</v>
      </c>
      <c r="C207" s="1">
        <v>4.9633515817300003E-5</v>
      </c>
      <c r="D207" s="1">
        <v>1.3816558643600001E-3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4.3107496652199997E-2</v>
      </c>
      <c r="B208" s="1">
        <v>2.3289071802599999E-4</v>
      </c>
      <c r="C208" s="1">
        <v>4.1133422946500001E-5</v>
      </c>
      <c r="D208" s="1">
        <v>1.391472423E-3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4.3538571618699999E-2</v>
      </c>
      <c r="B209" s="1">
        <v>2.1737344870799999E-4</v>
      </c>
      <c r="C209" s="1">
        <v>1.6913803854499999E-5</v>
      </c>
      <c r="D209" s="1">
        <v>1.4013871472299999E-3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4.3973957334899998E-2</v>
      </c>
      <c r="B210" s="1">
        <v>1.6456914125100001E-4</v>
      </c>
      <c r="C210" s="1">
        <v>1.4830834939E-5</v>
      </c>
      <c r="D210" s="1">
        <v>1.4114010186999999E-3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4.4413696908199997E-2</v>
      </c>
      <c r="B211" s="1">
        <v>1.1878276238199999E-4</v>
      </c>
      <c r="C211" s="1">
        <v>1.20557192286E-5</v>
      </c>
      <c r="D211" s="1">
        <v>1.4215150288899999E-3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4.4857833877300003E-2</v>
      </c>
      <c r="B212" s="1">
        <v>1.4128210579600001E-4</v>
      </c>
      <c r="C212" s="1">
        <v>1.22540013844E-5</v>
      </c>
      <c r="D212" s="1">
        <v>1.43173017918E-3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4.5306412216100003E-2</v>
      </c>
      <c r="B213" s="1">
        <v>1.6568452502800001E-4</v>
      </c>
      <c r="C213" s="1">
        <v>1.2831227375499999E-5</v>
      </c>
      <c r="D213" s="1">
        <v>1.4420474809700001E-3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4.5759476338200003E-2</v>
      </c>
      <c r="B214" s="1">
        <v>2.22251226991E-4</v>
      </c>
      <c r="C214" s="1">
        <v>1.5422761312700001E-5</v>
      </c>
      <c r="D214" s="1">
        <v>1.4524679557800001E-3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4.6217071101599998E-2</v>
      </c>
      <c r="B215" s="1">
        <v>2.6411050382299999E-4</v>
      </c>
      <c r="C215" s="1">
        <v>1.6446189561999999E-5</v>
      </c>
      <c r="D215" s="1">
        <v>1.46299263534E-3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4.6679241812599997E-2</v>
      </c>
      <c r="B216" s="1">
        <v>3.3600005093500001E-4</v>
      </c>
      <c r="C216" s="1">
        <v>1.88719004982E-5</v>
      </c>
      <c r="D216" s="1">
        <v>1.47362256169E-3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4.71460342308E-2</v>
      </c>
      <c r="B217" s="1">
        <v>3.43640500466E-4</v>
      </c>
      <c r="C217" s="1">
        <v>1.8688842188000001E-5</v>
      </c>
      <c r="D217" s="1">
        <v>1.48435878731E-3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4.7617494573100001E-2</v>
      </c>
      <c r="B218" s="1">
        <v>2.8013645624100001E-4</v>
      </c>
      <c r="C218" s="1">
        <v>1.6544174378900001E-5</v>
      </c>
      <c r="D218" s="1">
        <v>1.4952023751800001E-3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4.8093669518800002E-2</v>
      </c>
      <c r="B219" s="1">
        <v>2.6006615059200001E-4</v>
      </c>
      <c r="C219" s="1">
        <v>1.5756144226599999E-5</v>
      </c>
      <c r="D219" s="1">
        <v>1.5061543989299999E-3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4.8574606213999998E-2</v>
      </c>
      <c r="B220" s="1">
        <v>2.1658423872600001E-4</v>
      </c>
      <c r="C220" s="1">
        <v>1.4367685417500001E-5</v>
      </c>
      <c r="D220" s="1">
        <v>1.51721594292E-3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4.9060352276099999E-2</v>
      </c>
      <c r="B221" s="1">
        <v>1.4257700822899999E-4</v>
      </c>
      <c r="C221" s="1">
        <v>1.15476911669E-5</v>
      </c>
      <c r="D221" s="1">
        <v>1.5283881023500001E-3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4.9550955798900002E-2</v>
      </c>
      <c r="B222" s="1">
        <v>1.2189266395100001E-4</v>
      </c>
      <c r="C222" s="1">
        <v>9.9580251407799999E-6</v>
      </c>
      <c r="D222" s="1">
        <v>1.5396719833700001E-3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5.0046465356900001E-2</v>
      </c>
      <c r="B223" s="1">
        <v>1.0166438088799999E-4</v>
      </c>
      <c r="C223" s="1">
        <v>9.8941061168499997E-6</v>
      </c>
      <c r="D223" s="1">
        <v>1.5510687032100001E-3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5.0546930010399997E-2</v>
      </c>
      <c r="B224" s="1">
        <v>1.02642171236E-4</v>
      </c>
      <c r="C224" s="1">
        <v>9.6183047964199995E-6</v>
      </c>
      <c r="D224" s="1">
        <v>1.56257939024E-3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5.1052399310499999E-2</v>
      </c>
      <c r="B225" s="1">
        <v>1.4843775240200001E-4</v>
      </c>
      <c r="C225" s="1">
        <v>1.14127982007E-5</v>
      </c>
      <c r="D225" s="1">
        <v>1.5742051841400001E-3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5.1562923303600003E-2</v>
      </c>
      <c r="B226" s="1">
        <v>1.5523120391499999E-4</v>
      </c>
      <c r="C226" s="1">
        <v>1.1622377452500001E-5</v>
      </c>
      <c r="D226" s="1">
        <v>1.58594723598E-3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5.2078552536699997E-2</v>
      </c>
      <c r="B227" s="1">
        <v>1.77862798905E-4</v>
      </c>
      <c r="C227" s="1">
        <v>1.24567419675E-5</v>
      </c>
      <c r="D227" s="1">
        <v>1.5978067083399999E-3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5.2599338062100001E-2</v>
      </c>
      <c r="B228" s="1">
        <v>2.2173220045499999E-4</v>
      </c>
      <c r="C228" s="1">
        <v>1.41728670156E-5</v>
      </c>
      <c r="D228" s="1">
        <v>1.6097847754299999E-3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5.31253314427E-2</v>
      </c>
      <c r="B229" s="1">
        <v>1.8023418182600001E-4</v>
      </c>
      <c r="C229" s="1">
        <v>1.2719222822300001E-5</v>
      </c>
      <c r="D229" s="1">
        <v>1.6218826231800001E-3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5.3656584757100001E-2</v>
      </c>
      <c r="B230" s="1">
        <v>1.6798814507400001E-4</v>
      </c>
      <c r="C230" s="1">
        <v>1.21007972624E-5</v>
      </c>
      <c r="D230" s="1">
        <v>1.6341014494100001E-3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5.4193150604700001E-2</v>
      </c>
      <c r="B231" s="1">
        <v>1.4051853065699999E-4</v>
      </c>
      <c r="C231" s="1">
        <v>1.06454101574E-5</v>
      </c>
      <c r="D231" s="1">
        <v>1.64644246391E-3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5.4735082110700002E-2</v>
      </c>
      <c r="B232" s="1">
        <v>9.2354952878699994E-5</v>
      </c>
      <c r="C232" s="1">
        <v>9.1919515253600005E-6</v>
      </c>
      <c r="D232" s="1">
        <v>1.65890688855E-3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5.5282432931799998E-2</v>
      </c>
      <c r="B233" s="1">
        <v>7.8640443465100002E-5</v>
      </c>
      <c r="C233" s="1">
        <v>8.7601299093800003E-6</v>
      </c>
      <c r="D233" s="1">
        <v>1.6714959574299999E-3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5.5835257261100002E-2</v>
      </c>
      <c r="B234" s="1">
        <v>7.8135185404900007E-5</v>
      </c>
      <c r="C234" s="1">
        <v>7.9666939271799996E-6</v>
      </c>
      <c r="D234" s="1">
        <v>1.6842109170100001E-3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5.6393609833799999E-2</v>
      </c>
      <c r="B235" s="1">
        <v>8.4490341169399995E-5</v>
      </c>
      <c r="C235" s="1">
        <v>8.4584147961299993E-6</v>
      </c>
      <c r="D235" s="1">
        <v>1.69705302618E-3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5.69575459321E-2</v>
      </c>
      <c r="B236" s="1">
        <v>8.6685359148999997E-5</v>
      </c>
      <c r="C236" s="1">
        <v>8.5699983024999994E-6</v>
      </c>
      <c r="D236" s="1">
        <v>1.7100235564399999E-3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5.7527121391400003E-2</v>
      </c>
      <c r="B237" s="1">
        <v>1.0958607504E-4</v>
      </c>
      <c r="C237" s="1">
        <v>9.7831135030799997E-6</v>
      </c>
      <c r="D237" s="1">
        <v>1.7231237920000001E-3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5.81023926053E-2</v>
      </c>
      <c r="B238" s="1">
        <v>1.19057224451E-4</v>
      </c>
      <c r="C238" s="1">
        <v>9.9315022707699992E-6</v>
      </c>
      <c r="D238" s="1">
        <v>1.73635502992E-3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5.8683416531400003E-2</v>
      </c>
      <c r="B239" s="1">
        <v>1.2874502649599999E-4</v>
      </c>
      <c r="C239" s="1">
        <v>1.0353031087E-5</v>
      </c>
      <c r="D239" s="1">
        <v>1.74971858022E-3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5.92702506967E-2</v>
      </c>
      <c r="B240" s="1">
        <v>9.6364160980400005E-5</v>
      </c>
      <c r="C240" s="1">
        <v>8.9596013371600001E-6</v>
      </c>
      <c r="D240" s="1">
        <v>1.7632157660200001E-3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5.9862953203699998E-2</v>
      </c>
      <c r="B241" s="1">
        <v>7.3295947574499994E-5</v>
      </c>
      <c r="C241" s="1">
        <v>8.4239567226199998E-6</v>
      </c>
      <c r="D241" s="1">
        <v>1.7768479236799999E-3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6.0461582735700001E-2</v>
      </c>
      <c r="B242" s="1">
        <v>6.0156693579199998E-5</v>
      </c>
      <c r="C242" s="1">
        <v>7.5607941907400002E-6</v>
      </c>
      <c r="D242" s="1">
        <v>1.79061640292E-3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6.1066198563099999E-2</v>
      </c>
      <c r="B243" s="1">
        <v>6.2936152656499998E-5</v>
      </c>
      <c r="C243" s="1">
        <v>7.2944707596600001E-6</v>
      </c>
      <c r="D243" s="1">
        <v>1.80452256695E-3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6.1676860548700002E-2</v>
      </c>
      <c r="B244" s="1">
        <v>5.3962776989299997E-5</v>
      </c>
      <c r="C244" s="1">
        <v>6.7932240774700004E-6</v>
      </c>
      <c r="D244" s="1">
        <v>1.8185677926199999E-3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6.2293629154200003E-2</v>
      </c>
      <c r="B245" s="1">
        <v>5.9006351427600003E-5</v>
      </c>
      <c r="C245" s="1">
        <v>7.3504343413100004E-6</v>
      </c>
      <c r="D245" s="1">
        <v>1.8327534705499999E-3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6.2916565445699998E-2</v>
      </c>
      <c r="B246" s="1">
        <v>8.3867400892099995E-5</v>
      </c>
      <c r="C246" s="1">
        <v>8.7748843890999995E-6</v>
      </c>
      <c r="D246" s="1">
        <v>1.8470810052500001E-3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6.3545731100199995E-2</v>
      </c>
      <c r="B247" s="1">
        <v>7.5381539904600007E-5</v>
      </c>
      <c r="C247" s="1">
        <v>8.37569616959E-6</v>
      </c>
      <c r="D247" s="1">
        <v>1.8615518153E-3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6.4181188411200005E-2</v>
      </c>
      <c r="B248" s="1">
        <v>7.28244515862E-5</v>
      </c>
      <c r="C248" s="1">
        <v>8.0308953145400007E-6</v>
      </c>
      <c r="D248" s="1">
        <v>1.87616733346E-3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6.4823000295299998E-2</v>
      </c>
      <c r="B249" s="1">
        <v>6.9854930659600002E-5</v>
      </c>
      <c r="C249" s="1">
        <v>8.0132633635000004E-6</v>
      </c>
      <c r="D249" s="1">
        <v>1.8909290067899999E-3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6.5471230298199998E-2</v>
      </c>
      <c r="B250" s="1">
        <v>4.49373094351E-5</v>
      </c>
      <c r="C250" s="1">
        <v>6.6816857519400003E-6</v>
      </c>
      <c r="D250" s="1">
        <v>1.9058382968600001E-3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6.61259426012E-2</v>
      </c>
      <c r="B251" s="1">
        <v>4.06821556896E-5</v>
      </c>
      <c r="C251" s="1">
        <v>6.0880430137300002E-6</v>
      </c>
      <c r="D251" s="1">
        <v>1.9208966798300001E-3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6.6787202027199996E-2</v>
      </c>
      <c r="B252" s="1">
        <v>3.9489146261800002E-5</v>
      </c>
      <c r="C252" s="1">
        <v>6.1269759204799999E-6</v>
      </c>
      <c r="D252" s="1">
        <v>1.93610564663E-3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6.7455074047499994E-2</v>
      </c>
      <c r="B253" s="1">
        <v>3.9240679306499998E-5</v>
      </c>
      <c r="C253" s="1">
        <v>5.9402500088100003E-6</v>
      </c>
      <c r="D253" s="1">
        <v>1.9514667030900001E-3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6.8129624787999998E-2</v>
      </c>
      <c r="B254" s="1">
        <v>4.4547013844000001E-5</v>
      </c>
      <c r="C254" s="1">
        <v>6.5016990884100004E-6</v>
      </c>
      <c r="D254" s="1">
        <v>1.9669813701200002E-3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6.8810921035900002E-2</v>
      </c>
      <c r="B255" s="1">
        <v>4.7064603625699997E-5</v>
      </c>
      <c r="C255" s="1">
        <v>6.6113767872200004E-6</v>
      </c>
      <c r="D255" s="1">
        <v>1.9826511838199998E-3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6.9499030246199994E-2</v>
      </c>
      <c r="B256" s="1">
        <v>5.3150247899300003E-5</v>
      </c>
      <c r="C256" s="1">
        <v>6.46190447904E-6</v>
      </c>
      <c r="D256" s="1">
        <v>1.9984776956599999E-3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7.0194020548699998E-2</v>
      </c>
      <c r="B257" s="1">
        <v>6.1378147277200005E-5</v>
      </c>
      <c r="C257" s="1">
        <v>7.37099710306E-6</v>
      </c>
      <c r="D257" s="1">
        <v>2.0144624726199998E-3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7.0895960754200002E-2</v>
      </c>
      <c r="B258" s="1">
        <v>4.2189274615399999E-5</v>
      </c>
      <c r="C258" s="1">
        <v>6.1259228158100002E-6</v>
      </c>
      <c r="D258" s="1">
        <v>2.0306070973499998E-3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7.1604920361700006E-2</v>
      </c>
      <c r="B259" s="1">
        <v>3.02566926608E-5</v>
      </c>
      <c r="C259" s="1">
        <v>5.2328074944899996E-6</v>
      </c>
      <c r="D259" s="1">
        <v>2.0469131683199999E-3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7.23209695653E-2</v>
      </c>
      <c r="B260" s="1">
        <v>2.1808680190499999E-5</v>
      </c>
      <c r="C260" s="1">
        <v>4.9883319984400001E-6</v>
      </c>
      <c r="D260" s="1">
        <v>2.0633823E-3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7.3044179261E-2</v>
      </c>
      <c r="B261" s="1">
        <v>2.92811953199E-5</v>
      </c>
      <c r="C261" s="1">
        <v>5.2626719934599998E-6</v>
      </c>
      <c r="D261" s="1">
        <v>2.080016123E-3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7.3774621053599998E-2</v>
      </c>
      <c r="B262" s="1">
        <v>4.52970683528E-5</v>
      </c>
      <c r="C262" s="1">
        <v>6.0414366709499997E-6</v>
      </c>
      <c r="D262" s="1">
        <v>2.0968162842299998E-3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7.4512367264100002E-2</v>
      </c>
      <c r="B263" s="1">
        <v>4.54555047004E-5</v>
      </c>
      <c r="C263" s="1">
        <v>5.8682690936400001E-6</v>
      </c>
      <c r="D263" s="1">
        <v>2.11378444707E-3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7.5257490936799995E-2</v>
      </c>
      <c r="B264" s="1">
        <v>3.3085247387600001E-5</v>
      </c>
      <c r="C264" s="1">
        <v>5.1317296332000003E-6</v>
      </c>
      <c r="D264" s="1">
        <v>2.1309222915499998E-3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7.6010065846099997E-2</v>
      </c>
      <c r="B265" s="1">
        <v>3.1379024175099997E-5</v>
      </c>
      <c r="C265" s="1">
        <v>4.9112861988900004E-6</v>
      </c>
      <c r="D265" s="1">
        <v>2.1482315144599998E-3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7.6770166504600001E-2</v>
      </c>
      <c r="B266" s="1">
        <v>4.09008329713E-5</v>
      </c>
      <c r="C266" s="1">
        <v>5.4774831257100001E-6</v>
      </c>
      <c r="D266" s="1">
        <v>2.1657138296100002E-3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7.7537868169599997E-2</v>
      </c>
      <c r="B267" s="1">
        <v>2.9081838308500001E-5</v>
      </c>
      <c r="C267" s="1">
        <v>4.9754548348400004E-6</v>
      </c>
      <c r="D267" s="1">
        <v>2.1833709679000002E-3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7.8313246851300006E-2</v>
      </c>
      <c r="B268" s="1">
        <v>1.3792819217399999E-5</v>
      </c>
      <c r="C268" s="1">
        <v>3.6961026812700002E-6</v>
      </c>
      <c r="D268" s="1">
        <v>2.2012046775799999E-3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7.90963793198E-2</v>
      </c>
      <c r="B269" s="1">
        <v>2.7941187150000001E-5</v>
      </c>
      <c r="C269" s="1">
        <v>4.45587692511E-6</v>
      </c>
      <c r="D269" s="1">
        <v>2.2192167243599999E-3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7.9887343112999998E-2</v>
      </c>
      <c r="B270" s="1">
        <v>2.01550242461E-5</v>
      </c>
      <c r="C270" s="1">
        <v>4.12269115803E-6</v>
      </c>
      <c r="D270" s="1">
        <v>2.2374088916000002E-3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8.0686216544199996E-2</v>
      </c>
      <c r="B271" s="1">
        <v>1.6495703407400002E-5</v>
      </c>
      <c r="C271" s="1">
        <v>3.8610663353699998E-6</v>
      </c>
      <c r="D271" s="1">
        <v>2.2557829805199998E-3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8.14930787096E-2</v>
      </c>
      <c r="B272" s="1">
        <v>2.6226934666900001E-5</v>
      </c>
      <c r="C272" s="1">
        <v>4.3953165352599998E-6</v>
      </c>
      <c r="D272" s="1">
        <v>2.27434081032E-3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8.2308009496700002E-2</v>
      </c>
      <c r="B273" s="1">
        <v>2.24399117965E-5</v>
      </c>
      <c r="C273" s="1">
        <v>4.3345437881299998E-6</v>
      </c>
      <c r="D273" s="1">
        <v>2.2930842184199999E-3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8.31310895917E-2</v>
      </c>
      <c r="B274" s="1">
        <v>1.90661728615E-5</v>
      </c>
      <c r="C274" s="1">
        <v>3.9582296457100003E-6</v>
      </c>
      <c r="D274" s="1">
        <v>2.3120150606099998E-3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8.3962400487599995E-2</v>
      </c>
      <c r="B275" s="1">
        <v>1.7793256419100001E-5</v>
      </c>
      <c r="C275" s="1">
        <v>3.8582829896300002E-6</v>
      </c>
      <c r="D275" s="1">
        <v>2.3311352112099998E-3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8.4802024492500003E-2</v>
      </c>
      <c r="B276" s="1">
        <v>1.9926341058600001E-5</v>
      </c>
      <c r="C276" s="1">
        <v>4.2399170510799997E-6</v>
      </c>
      <c r="D276" s="1">
        <v>2.3504465633299998E-3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8.5650044737399997E-2</v>
      </c>
      <c r="B277" s="1">
        <v>2.7687140984099999E-5</v>
      </c>
      <c r="C277" s="1">
        <v>4.7965653531500002E-6</v>
      </c>
      <c r="D277" s="1">
        <v>2.3699510289600001E-3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8.6506545184799999E-2</v>
      </c>
      <c r="B278" s="1">
        <v>1.8058234619199999E-5</v>
      </c>
      <c r="C278" s="1">
        <v>3.9424736166899998E-6</v>
      </c>
      <c r="D278" s="1">
        <v>2.3896505392499998E-3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8.7371610636599997E-2</v>
      </c>
      <c r="B279" s="1">
        <v>1.93341771596E-5</v>
      </c>
      <c r="C279" s="1">
        <v>2.2342480205899998E-6</v>
      </c>
      <c r="D279" s="1">
        <v>2.4095470446400002E-3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8.8245326742999994E-2</v>
      </c>
      <c r="B280" s="1">
        <v>1.6298059701400001E-5</v>
      </c>
      <c r="C280" s="1">
        <v>1.9838816438300002E-6</v>
      </c>
      <c r="D280" s="1">
        <v>2.4296425150899998E-3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8.9127780010400004E-2</v>
      </c>
      <c r="B281" s="1">
        <v>1.6356070400999999E-5</v>
      </c>
      <c r="C281" s="1">
        <v>1.8294937313900001E-6</v>
      </c>
      <c r="D281" s="1">
        <v>2.44993894024E-3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9.00190578105E-2</v>
      </c>
      <c r="B282" s="1">
        <v>1.6318778985099999E-5</v>
      </c>
      <c r="C282" s="1">
        <v>1.7941331112400001E-6</v>
      </c>
      <c r="D282" s="1">
        <v>2.4704383296399999E-3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9.0919248388599994E-2</v>
      </c>
      <c r="B283" s="1">
        <v>1.7972617663199999E-5</v>
      </c>
      <c r="C283" s="1">
        <v>1.9847233739699999E-6</v>
      </c>
      <c r="D283" s="1">
        <v>2.49114271294E-3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9.18284408725E-2</v>
      </c>
      <c r="B284" s="1">
        <v>1.6919801889500001E-5</v>
      </c>
      <c r="C284" s="1">
        <v>1.8591269048300001E-6</v>
      </c>
      <c r="D284" s="1">
        <v>2.51205414007E-3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9.2746725281199996E-2</v>
      </c>
      <c r="B285" s="1">
        <v>1.6481973991400001E-5</v>
      </c>
      <c r="C285" s="1">
        <v>1.84679076758E-6</v>
      </c>
      <c r="D285" s="1">
        <v>2.5331746814699998E-3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9.3674192534E-2</v>
      </c>
      <c r="B286" s="1">
        <v>1.403001781E-5</v>
      </c>
      <c r="C286" s="1">
        <v>1.70976610341E-6</v>
      </c>
      <c r="D286" s="1">
        <v>2.5545064282799998E-3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9.4610934459399998E-2</v>
      </c>
      <c r="B287" s="1">
        <v>1.15839232596E-5</v>
      </c>
      <c r="C287" s="1">
        <v>1.56956887651E-6</v>
      </c>
      <c r="D287" s="1">
        <v>2.5760514925700002E-3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9.5557043804E-2</v>
      </c>
      <c r="B288" s="1">
        <v>1.07428762034E-5</v>
      </c>
      <c r="C288" s="1">
        <v>1.4361972750099999E-6</v>
      </c>
      <c r="D288" s="1">
        <v>2.5978120074900001E-3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9.6512614242E-2</v>
      </c>
      <c r="B289" s="1">
        <v>1.10968803587E-5</v>
      </c>
      <c r="C289" s="1">
        <v>1.51494108596E-6</v>
      </c>
      <c r="D289" s="1">
        <v>2.61979012757E-3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9.7477740384400005E-2</v>
      </c>
      <c r="B290" s="1">
        <v>1.32779803032E-5</v>
      </c>
      <c r="C290" s="1">
        <v>1.5915671722199999E-6</v>
      </c>
      <c r="D290" s="1">
        <v>2.6419880288399999E-3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9.8452517788299998E-2</v>
      </c>
      <c r="B291" s="1">
        <v>1.00150945842E-5</v>
      </c>
      <c r="C291" s="1">
        <v>1.3838402516E-6</v>
      </c>
      <c r="D291" s="1">
        <v>2.6644079091300002E-3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9.9437042966199998E-2</v>
      </c>
      <c r="B292" s="1">
        <v>1.0238495345299999E-5</v>
      </c>
      <c r="C292" s="1">
        <v>1.5098766928099999E-6</v>
      </c>
      <c r="D292" s="1">
        <v>2.68705198822E-3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0.10043141339599999</v>
      </c>
      <c r="B293" s="1">
        <v>9.4468893421299999E-6</v>
      </c>
      <c r="C293" s="1">
        <v>1.41799151535E-6</v>
      </c>
      <c r="D293" s="1">
        <v>2.7099225081E-3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0.10143572753000001</v>
      </c>
      <c r="B294" s="1">
        <v>1.00986577355E-5</v>
      </c>
      <c r="C294" s="1">
        <v>1.4469032337500001E-6</v>
      </c>
      <c r="D294" s="1">
        <v>2.73302173319E-3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0.10245008480499999</v>
      </c>
      <c r="B295" s="1">
        <v>1.0158248480100001E-5</v>
      </c>
      <c r="C295" s="1">
        <v>1.43945717794E-6</v>
      </c>
      <c r="D295" s="1">
        <v>2.7563519505200001E-3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0.103474585653</v>
      </c>
      <c r="B296" s="1">
        <v>9.8868369165800003E-6</v>
      </c>
      <c r="C296" s="1">
        <v>1.4087225176100001E-6</v>
      </c>
      <c r="D296" s="1">
        <v>2.7799154700199999E-3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0.10450933151</v>
      </c>
      <c r="B297" s="1">
        <v>9.3385922176400002E-6</v>
      </c>
      <c r="C297" s="1">
        <v>1.4196595156E-6</v>
      </c>
      <c r="D297" s="1">
        <v>2.8037146247199998E-3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0.10555442482500001</v>
      </c>
      <c r="B298" s="1">
        <v>8.6096434251100008E-6</v>
      </c>
      <c r="C298" s="1">
        <v>1.3627503475999999E-6</v>
      </c>
      <c r="D298" s="1">
        <v>2.82775177097E-3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0.10660996907299999</v>
      </c>
      <c r="B299" s="1">
        <v>9.8907248064800004E-6</v>
      </c>
      <c r="C299" s="1">
        <v>1.4038734131599999E-6</v>
      </c>
      <c r="D299" s="1">
        <v>2.8520292886799999E-3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0.107676068764</v>
      </c>
      <c r="B300" s="1">
        <v>9.4111060072200006E-6</v>
      </c>
      <c r="C300" s="1">
        <v>1.31394032057E-6</v>
      </c>
      <c r="D300" s="1">
        <v>2.87654958157E-3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0.108752829451</v>
      </c>
      <c r="B301" s="1">
        <v>9.9496700338800001E-6</v>
      </c>
      <c r="C301" s="1">
        <v>1.4092705476100001E-6</v>
      </c>
      <c r="D301" s="1">
        <v>2.9013150773800002E-3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0.109840357746</v>
      </c>
      <c r="B302" s="1">
        <v>9.8988889065700002E-6</v>
      </c>
      <c r="C302" s="1">
        <v>1.4897958437600001E-6</v>
      </c>
      <c r="D302" s="1">
        <v>2.9263282281600002E-3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0.110938761323</v>
      </c>
      <c r="B303" s="1">
        <v>8.6542665350499992E-6</v>
      </c>
      <c r="C303" s="1">
        <v>1.24660408886E-6</v>
      </c>
      <c r="D303" s="1">
        <v>2.9515915104400001E-3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0.11204814893700001</v>
      </c>
      <c r="B304" s="1">
        <v>7.4489751640699999E-6</v>
      </c>
      <c r="C304" s="1">
        <v>1.2430189660799999E-6</v>
      </c>
      <c r="D304" s="1">
        <v>2.97710742554E-3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0.11316863042600001</v>
      </c>
      <c r="B305" s="1">
        <v>5.6542587799199996E-6</v>
      </c>
      <c r="C305" s="1">
        <v>1.07111420867E-6</v>
      </c>
      <c r="D305" s="1">
        <v>3.0028784998000001E-3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0.11430031673</v>
      </c>
      <c r="B306" s="1">
        <v>8.9962355384799995E-6</v>
      </c>
      <c r="C306" s="1">
        <v>1.32449005437E-6</v>
      </c>
      <c r="D306" s="1">
        <v>3.0289072847900001E-3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0.115443319898</v>
      </c>
      <c r="B307" s="1">
        <v>7.1281875019099998E-6</v>
      </c>
      <c r="C307" s="1">
        <v>1.17241868069E-6</v>
      </c>
      <c r="D307" s="1">
        <v>3.0551963576400001E-3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0.116597753096</v>
      </c>
      <c r="B308" s="1">
        <v>6.21908998156E-6</v>
      </c>
      <c r="C308" s="1">
        <v>1.14950565694E-6</v>
      </c>
      <c r="D308" s="1">
        <v>3.0817483212199999E-3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0.117763730627</v>
      </c>
      <c r="B309" s="1">
        <v>7.2174597201200004E-6</v>
      </c>
      <c r="C309" s="1">
        <v>1.1850335368200001E-6</v>
      </c>
      <c r="D309" s="1">
        <v>3.1085658044299998E-3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0.11894136793399999</v>
      </c>
      <c r="B310" s="1">
        <v>7.4432240307000002E-6</v>
      </c>
      <c r="C310" s="1">
        <v>1.26924720726E-6</v>
      </c>
      <c r="D310" s="1">
        <v>3.1356514624800002E-3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0.120130781613</v>
      </c>
      <c r="B311" s="1">
        <v>7.8231474165400002E-6</v>
      </c>
      <c r="C311" s="1">
        <v>1.26542578885E-6</v>
      </c>
      <c r="D311" s="1">
        <v>3.1630079771000001E-3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0.12133208942900001</v>
      </c>
      <c r="B312" s="1">
        <v>5.0420218955700003E-6</v>
      </c>
      <c r="C312" s="1">
        <v>1.0041940687E-6</v>
      </c>
      <c r="D312" s="1">
        <v>3.19063805687E-3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0.122545410323</v>
      </c>
      <c r="B313" s="1">
        <v>5.2921982375299997E-6</v>
      </c>
      <c r="C313" s="1">
        <v>1.06821563902E-6</v>
      </c>
      <c r="D313" s="1">
        <v>3.2185444374399999E-3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0.123770864427</v>
      </c>
      <c r="B314" s="1">
        <v>4.4469598358199999E-6</v>
      </c>
      <c r="C314" s="1">
        <v>9.8753328153400006E-7</v>
      </c>
      <c r="D314" s="1">
        <v>3.2467298818099999E-3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0.125008573071</v>
      </c>
      <c r="B315" s="1">
        <v>3.5775483667099999E-6</v>
      </c>
      <c r="C315" s="1">
        <v>9.6668882659699995E-7</v>
      </c>
      <c r="D315" s="1">
        <v>3.2751971806300002E-3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0.12625865880199999</v>
      </c>
      <c r="B316" s="1">
        <v>4.3190712815499999E-6</v>
      </c>
      <c r="C316" s="1">
        <v>1.04737840028E-6</v>
      </c>
      <c r="D316" s="1">
        <v>3.3039491524399999E-3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0.12752124539000001</v>
      </c>
      <c r="B317" s="1">
        <v>4.6299674326200003E-6</v>
      </c>
      <c r="C317" s="1">
        <v>1.0062713545400001E-6</v>
      </c>
      <c r="D317" s="1">
        <v>3.3329886439600002E-3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0.12879645784400001</v>
      </c>
      <c r="B318" s="1">
        <v>5.4154407787000001E-6</v>
      </c>
      <c r="C318" s="1">
        <v>1.0536539031499999E-6</v>
      </c>
      <c r="D318" s="1">
        <v>3.3623185304E-3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0.130084422422</v>
      </c>
      <c r="B319" s="1">
        <v>2.9736956228000002E-6</v>
      </c>
      <c r="C319" s="1">
        <v>9.4052103363899996E-7</v>
      </c>
      <c r="D319" s="1">
        <v>3.3919417157099998E-3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0.131385266646</v>
      </c>
      <c r="B320" s="1">
        <v>4.0765412598100004E-6</v>
      </c>
      <c r="C320" s="1">
        <v>9.9227982662600001E-7</v>
      </c>
      <c r="D320" s="1">
        <v>3.4218611328599999E-3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2021-06-28T15:40:41Z</dcterms:modified>
</cp:coreProperties>
</file>