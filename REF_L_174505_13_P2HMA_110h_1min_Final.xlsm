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2020\Raman\"/>
    </mc:Choice>
  </mc:AlternateContent>
  <xr:revisionPtr revIDLastSave="0" documentId="13_ncr:1_{B0850727-6EBA-437A-B4BF-E704ACAE0DFA}" xr6:coauthVersionLast="46" xr6:coauthVersionMax="46" xr10:uidLastSave="{00000000-0000-0000-0000-000000000000}"/>
  <bookViews>
    <workbookView xWindow="-110" yWindow="-110" windowWidth="38620" windowHeight="21220" tabRatio="749" xr2:uid="{00000000-000D-0000-FFFF-FFFF00000000}"/>
  </bookViews>
  <sheets>
    <sheet name="Reflectivity" sheetId="1" r:id="rId1"/>
    <sheet name="Uncertainties" sheetId="69" r:id="rId2"/>
    <sheet name="dTotal" sheetId="45" r:id="rId3"/>
    <sheet name="dDstack" sheetId="56" r:id="rId4"/>
    <sheet name="f_d^D" sheetId="65" r:id="rId5"/>
    <sheet name="f_d^H" sheetId="76" r:id="rId6"/>
    <sheet name="sigDstack" sheetId="52" r:id="rId7"/>
    <sheet name="sigHstack" sheetId="57" r:id="rId8"/>
    <sheet name="NbSi" sheetId="75" r:id="rId9"/>
    <sheet name="NbDstack" sheetId="72" r:id="rId10"/>
    <sheet name="NbHstack" sheetId="70" r:id="rId11"/>
    <sheet name="ScaledCombined" sheetId="18" r:id="rId12"/>
    <sheet name="ScatteringParameters" sheetId="7" r:id="rId13"/>
    <sheet name="AtomicParameters" sheetId="6" r:id="rId14"/>
  </sheets>
  <functionGroups builtInGroupCount="19"/>
  <definedNames>
    <definedName name="REF_L_2790_2008_01_10T13_3A40_3A12_04_3A00_CE_scaling" localSheetId="11">ScaledCombined!$A$1:$M$318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7" i="1" l="1"/>
  <c r="F26" i="1"/>
  <c r="C26" i="1"/>
  <c r="C25" i="1" s="1"/>
  <c r="F25" i="1"/>
  <c r="D19" i="69"/>
  <c r="B10" i="69"/>
  <c r="C10" i="69"/>
  <c r="X278" i="1"/>
  <c r="Y278" i="1" s="1"/>
  <c r="X279" i="1"/>
  <c r="Y279" i="1" s="1"/>
  <c r="C6" i="1"/>
  <c r="F7" i="1"/>
  <c r="H6" i="1" l="1"/>
  <c r="H14" i="1"/>
  <c r="H16" i="1"/>
  <c r="C4" i="1" l="1"/>
  <c r="C5" i="1"/>
  <c r="B19" i="69" s="1"/>
  <c r="F5" i="1"/>
  <c r="D14" i="69"/>
  <c r="C2" i="69" l="1"/>
  <c r="B2" i="69"/>
  <c r="B12" i="69"/>
  <c r="B11" i="69"/>
  <c r="B14" i="69"/>
  <c r="C9" i="69"/>
  <c r="B9" i="69"/>
  <c r="C7" i="69"/>
  <c r="C6" i="69"/>
  <c r="B6" i="69"/>
  <c r="C3" i="69"/>
  <c r="B3" i="69"/>
  <c r="B20" i="69" l="1"/>
  <c r="B21" i="69"/>
  <c r="B22" i="69"/>
  <c r="B16" i="69"/>
  <c r="C4" i="69"/>
  <c r="B4" i="69"/>
  <c r="B15" i="69"/>
  <c r="B17" i="69"/>
  <c r="G6" i="1"/>
  <c r="F4" i="1"/>
  <c r="C19" i="69" l="1"/>
  <c r="B7" i="69"/>
  <c r="C14" i="69"/>
  <c r="X255" i="1" l="1"/>
  <c r="Y255" i="1" s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Y263" i="1" s="1"/>
  <c r="X264" i="1"/>
  <c r="Y264" i="1" s="1"/>
  <c r="X265" i="1"/>
  <c r="Y265" i="1" s="1"/>
  <c r="X266" i="1"/>
  <c r="Y266" i="1" s="1"/>
  <c r="X267" i="1"/>
  <c r="Y267" i="1" s="1"/>
  <c r="X268" i="1"/>
  <c r="Y268" i="1" s="1"/>
  <c r="X269" i="1"/>
  <c r="Y269" i="1" s="1"/>
  <c r="X270" i="1"/>
  <c r="Y270" i="1" s="1"/>
  <c r="X271" i="1"/>
  <c r="Y271" i="1" s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3" i="1"/>
  <c r="Y3" i="1" s="1"/>
  <c r="X4" i="1"/>
  <c r="Y4" i="1" s="1"/>
  <c r="X5" i="1"/>
  <c r="X6" i="1"/>
  <c r="Y6" i="1" s="1"/>
  <c r="X7" i="1"/>
  <c r="Y7" i="1" s="1"/>
  <c r="X8" i="1"/>
  <c r="Y8" i="1" s="1"/>
  <c r="X9" i="1"/>
  <c r="Y9" i="1" s="1"/>
  <c r="X10" i="1"/>
  <c r="X11" i="1"/>
  <c r="Y11" i="1" s="1"/>
  <c r="X12" i="1"/>
  <c r="Y12" i="1" s="1"/>
  <c r="X13" i="1"/>
  <c r="Y13" i="1" s="1"/>
  <c r="X14" i="1"/>
  <c r="Y14" i="1" s="1"/>
  <c r="X15" i="1"/>
  <c r="Y15" i="1" s="1"/>
  <c r="X16" i="1"/>
  <c r="Y16" i="1" s="1"/>
  <c r="X17" i="1"/>
  <c r="X18" i="1"/>
  <c r="Y18" i="1" s="1"/>
  <c r="X19" i="1"/>
  <c r="Y19" i="1" s="1"/>
  <c r="X20" i="1"/>
  <c r="Y20" i="1" s="1"/>
  <c r="X21" i="1"/>
  <c r="X22" i="1"/>
  <c r="X23" i="1"/>
  <c r="Y23" i="1" s="1"/>
  <c r="X24" i="1"/>
  <c r="Y24" i="1" s="1"/>
  <c r="X25" i="1"/>
  <c r="X26" i="1"/>
  <c r="Y26" i="1" s="1"/>
  <c r="X27" i="1"/>
  <c r="Y27" i="1" s="1"/>
  <c r="X28" i="1"/>
  <c r="Y28" i="1" s="1"/>
  <c r="X29" i="1"/>
  <c r="X30" i="1"/>
  <c r="Y30" i="1" s="1"/>
  <c r="X31" i="1"/>
  <c r="Y31" i="1" s="1"/>
  <c r="X32" i="1"/>
  <c r="Y32" i="1" s="1"/>
  <c r="X33" i="1"/>
  <c r="Y33" i="1" s="1"/>
  <c r="X34" i="1"/>
  <c r="X35" i="1"/>
  <c r="Y35" i="1" s="1"/>
  <c r="X36" i="1"/>
  <c r="X37" i="1"/>
  <c r="X38" i="1"/>
  <c r="Y38" i="1" s="1"/>
  <c r="X39" i="1"/>
  <c r="Y39" i="1" s="1"/>
  <c r="X40" i="1"/>
  <c r="Y40" i="1" s="1"/>
  <c r="X41" i="1"/>
  <c r="Y41" i="1" s="1"/>
  <c r="X42" i="1"/>
  <c r="Y42" i="1" s="1"/>
  <c r="X43" i="1"/>
  <c r="Y43" i="1" s="1"/>
  <c r="X44" i="1"/>
  <c r="Y44" i="1" s="1"/>
  <c r="X45" i="1"/>
  <c r="Y45" i="1" s="1"/>
  <c r="X46" i="1"/>
  <c r="Y46" i="1" s="1"/>
  <c r="X47" i="1"/>
  <c r="Y47" i="1" s="1"/>
  <c r="X48" i="1"/>
  <c r="Y48" i="1" s="1"/>
  <c r="X49" i="1"/>
  <c r="Y49" i="1" s="1"/>
  <c r="X50" i="1"/>
  <c r="Y50" i="1" s="1"/>
  <c r="X51" i="1"/>
  <c r="X52" i="1"/>
  <c r="X53" i="1"/>
  <c r="X54" i="1"/>
  <c r="Y54" i="1" s="1"/>
  <c r="X55" i="1"/>
  <c r="Y55" i="1" s="1"/>
  <c r="X56" i="1"/>
  <c r="X57" i="1"/>
  <c r="X58" i="1"/>
  <c r="Y58" i="1" s="1"/>
  <c r="X59" i="1"/>
  <c r="Y59" i="1" s="1"/>
  <c r="X60" i="1"/>
  <c r="Y60" i="1" s="1"/>
  <c r="X61" i="1"/>
  <c r="Y61" i="1" s="1"/>
  <c r="X62" i="1"/>
  <c r="X63" i="1"/>
  <c r="Y63" i="1" s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Y71" i="1" s="1"/>
  <c r="X72" i="1"/>
  <c r="X73" i="1"/>
  <c r="Y73" i="1" s="1"/>
  <c r="X74" i="1"/>
  <c r="Y74" i="1" s="1"/>
  <c r="X75" i="1"/>
  <c r="Y75" i="1" s="1"/>
  <c r="X76" i="1"/>
  <c r="Y76" i="1" s="1"/>
  <c r="X77" i="1"/>
  <c r="Y77" i="1" s="1"/>
  <c r="X78" i="1"/>
  <c r="Y78" i="1" s="1"/>
  <c r="X79" i="1"/>
  <c r="Y79" i="1" s="1"/>
  <c r="X80" i="1"/>
  <c r="Y80" i="1" s="1"/>
  <c r="X81" i="1"/>
  <c r="Y81" i="1" s="1"/>
  <c r="X82" i="1"/>
  <c r="Y82" i="1" s="1"/>
  <c r="X83" i="1"/>
  <c r="X84" i="1"/>
  <c r="Y84" i="1" s="1"/>
  <c r="X85" i="1"/>
  <c r="X86" i="1"/>
  <c r="Y86" i="1" s="1"/>
  <c r="X87" i="1"/>
  <c r="X88" i="1"/>
  <c r="Y88" i="1" s="1"/>
  <c r="X89" i="1"/>
  <c r="Y89" i="1" s="1"/>
  <c r="X90" i="1"/>
  <c r="Y90" i="1" s="1"/>
  <c r="X91" i="1"/>
  <c r="Y91" i="1" s="1"/>
  <c r="X92" i="1"/>
  <c r="X93" i="1"/>
  <c r="X94" i="1"/>
  <c r="Y94" i="1" s="1"/>
  <c r="X95" i="1"/>
  <c r="Y95" i="1" s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Y103" i="1" s="1"/>
  <c r="X104" i="1"/>
  <c r="X105" i="1"/>
  <c r="Y105" i="1" s="1"/>
  <c r="X106" i="1"/>
  <c r="Y106" i="1" s="1"/>
  <c r="X107" i="1"/>
  <c r="Y107" i="1" s="1"/>
  <c r="X108" i="1"/>
  <c r="Y108" i="1" s="1"/>
  <c r="X109" i="1"/>
  <c r="X110" i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Y119" i="1" s="1"/>
  <c r="X120" i="1"/>
  <c r="Y120" i="1" s="1"/>
  <c r="X121" i="1"/>
  <c r="X122" i="1"/>
  <c r="X123" i="1"/>
  <c r="X124" i="1"/>
  <c r="X125" i="1"/>
  <c r="X126" i="1"/>
  <c r="X127" i="1"/>
  <c r="Y127" i="1" s="1"/>
  <c r="X128" i="1"/>
  <c r="Y128" i="1" s="1"/>
  <c r="X129" i="1"/>
  <c r="Y129" i="1" s="1"/>
  <c r="X130" i="1"/>
  <c r="X131" i="1"/>
  <c r="X132" i="1"/>
  <c r="Y132" i="1" s="1"/>
  <c r="X133" i="1"/>
  <c r="Y133" i="1" s="1"/>
  <c r="X134" i="1"/>
  <c r="X135" i="1"/>
  <c r="Y135" i="1" s="1"/>
  <c r="X136" i="1"/>
  <c r="Y136" i="1" s="1"/>
  <c r="X137" i="1"/>
  <c r="Y137" i="1" s="1"/>
  <c r="X138" i="1"/>
  <c r="X139" i="1"/>
  <c r="Y139" i="1" s="1"/>
  <c r="X140" i="1"/>
  <c r="X141" i="1"/>
  <c r="Y141" i="1" s="1"/>
  <c r="X142" i="1"/>
  <c r="X143" i="1"/>
  <c r="X144" i="1"/>
  <c r="Y144" i="1" s="1"/>
  <c r="X145" i="1"/>
  <c r="Y145" i="1" s="1"/>
  <c r="X146" i="1"/>
  <c r="Y146" i="1" s="1"/>
  <c r="X147" i="1"/>
  <c r="X148" i="1"/>
  <c r="Y148" i="1" s="1"/>
  <c r="X149" i="1"/>
  <c r="Y149" i="1" s="1"/>
  <c r="X150" i="1"/>
  <c r="Y150" i="1" s="1"/>
  <c r="X151" i="1"/>
  <c r="Y151" i="1" s="1"/>
  <c r="X152" i="1"/>
  <c r="Y152" i="1" s="1"/>
  <c r="X153" i="1"/>
  <c r="X154" i="1"/>
  <c r="Y154" i="1" s="1"/>
  <c r="X155" i="1"/>
  <c r="Y155" i="1" s="1"/>
  <c r="X156" i="1"/>
  <c r="X157" i="1"/>
  <c r="X158" i="1"/>
  <c r="Y158" i="1" s="1"/>
  <c r="X159" i="1"/>
  <c r="Y159" i="1" s="1"/>
  <c r="X160" i="1"/>
  <c r="Y160" i="1" s="1"/>
  <c r="X161" i="1"/>
  <c r="X162" i="1"/>
  <c r="X163" i="1"/>
  <c r="X164" i="1"/>
  <c r="X165" i="1"/>
  <c r="Y165" i="1" s="1"/>
  <c r="X166" i="1"/>
  <c r="Y166" i="1" s="1"/>
  <c r="X167" i="1"/>
  <c r="X168" i="1"/>
  <c r="X169" i="1"/>
  <c r="Y169" i="1" s="1"/>
  <c r="X170" i="1"/>
  <c r="Y170" i="1" s="1"/>
  <c r="X171" i="1"/>
  <c r="Y171" i="1" s="1"/>
  <c r="X172" i="1"/>
  <c r="Y172" i="1" s="1"/>
  <c r="X173" i="1"/>
  <c r="Y173" i="1" s="1"/>
  <c r="X174" i="1"/>
  <c r="X175" i="1"/>
  <c r="Y175" i="1" s="1"/>
  <c r="X176" i="1"/>
  <c r="Y176" i="1" s="1"/>
  <c r="X177" i="1"/>
  <c r="X178" i="1"/>
  <c r="X179" i="1"/>
  <c r="X180" i="1"/>
  <c r="Y180" i="1" s="1"/>
  <c r="X181" i="1"/>
  <c r="X182" i="1"/>
  <c r="Y182" i="1" s="1"/>
  <c r="X183" i="1"/>
  <c r="Y183" i="1" s="1"/>
  <c r="X184" i="1"/>
  <c r="Y184" i="1" s="1"/>
  <c r="X185" i="1"/>
  <c r="X186" i="1"/>
  <c r="Y186" i="1" s="1"/>
  <c r="X187" i="1"/>
  <c r="Y187" i="1" s="1"/>
  <c r="X188" i="1"/>
  <c r="X189" i="1"/>
  <c r="Y189" i="1" s="1"/>
  <c r="X190" i="1"/>
  <c r="Y190" i="1" s="1"/>
  <c r="X191" i="1"/>
  <c r="Y191" i="1" s="1"/>
  <c r="X192" i="1"/>
  <c r="Y192" i="1" s="1"/>
  <c r="X193" i="1"/>
  <c r="X194" i="1"/>
  <c r="X195" i="1"/>
  <c r="X196" i="1"/>
  <c r="X197" i="1"/>
  <c r="Y197" i="1" s="1"/>
  <c r="X198" i="1"/>
  <c r="X199" i="1"/>
  <c r="Y199" i="1" s="1"/>
  <c r="X200" i="1"/>
  <c r="X201" i="1"/>
  <c r="X202" i="1"/>
  <c r="Y202" i="1" s="1"/>
  <c r="X203" i="1"/>
  <c r="Y203" i="1" s="1"/>
  <c r="X204" i="1"/>
  <c r="Y204" i="1" s="1"/>
  <c r="X205" i="1"/>
  <c r="Y205" i="1" s="1"/>
  <c r="X206" i="1"/>
  <c r="X207" i="1"/>
  <c r="X208" i="1"/>
  <c r="Y208" i="1" s="1"/>
  <c r="X209" i="1"/>
  <c r="X210" i="1"/>
  <c r="Y210" i="1" s="1"/>
  <c r="X211" i="1"/>
  <c r="X212" i="1"/>
  <c r="Y212" i="1" s="1"/>
  <c r="X213" i="1"/>
  <c r="Y213" i="1" s="1"/>
  <c r="X214" i="1"/>
  <c r="Y214" i="1" s="1"/>
  <c r="X215" i="1"/>
  <c r="X216" i="1"/>
  <c r="Y216" i="1" s="1"/>
  <c r="X217" i="1"/>
  <c r="Y217" i="1" s="1"/>
  <c r="X218" i="1"/>
  <c r="Y218" i="1" s="1"/>
  <c r="X219" i="1"/>
  <c r="Y219" i="1" s="1"/>
  <c r="X220" i="1"/>
  <c r="X221" i="1"/>
  <c r="Y221" i="1" s="1"/>
  <c r="X222" i="1"/>
  <c r="Y222" i="1" s="1"/>
  <c r="X223" i="1"/>
  <c r="X224" i="1"/>
  <c r="Y224" i="1" s="1"/>
  <c r="X225" i="1"/>
  <c r="X226" i="1"/>
  <c r="X227" i="1"/>
  <c r="X228" i="1"/>
  <c r="Y228" i="1" s="1"/>
  <c r="X229" i="1"/>
  <c r="X230" i="1"/>
  <c r="X231" i="1"/>
  <c r="Y231" i="1" s="1"/>
  <c r="X232" i="1"/>
  <c r="X233" i="1"/>
  <c r="Y233" i="1" s="1"/>
  <c r="X234" i="1"/>
  <c r="Y234" i="1" s="1"/>
  <c r="X235" i="1"/>
  <c r="Y235" i="1" s="1"/>
  <c r="X236" i="1"/>
  <c r="Y236" i="1" s="1"/>
  <c r="X237" i="1"/>
  <c r="Y237" i="1" s="1"/>
  <c r="X238" i="1"/>
  <c r="Y238" i="1" s="1"/>
  <c r="X239" i="1"/>
  <c r="Y239" i="1" s="1"/>
  <c r="X240" i="1"/>
  <c r="Y240" i="1" s="1"/>
  <c r="X241" i="1"/>
  <c r="X242" i="1"/>
  <c r="X243" i="1"/>
  <c r="X244" i="1"/>
  <c r="X245" i="1"/>
  <c r="Y245" i="1" s="1"/>
  <c r="X246" i="1"/>
  <c r="Y246" i="1" s="1"/>
  <c r="X247" i="1"/>
  <c r="Y247" i="1" s="1"/>
  <c r="X248" i="1"/>
  <c r="Y248" i="1" s="1"/>
  <c r="X249" i="1"/>
  <c r="X250" i="1"/>
  <c r="Y250" i="1" s="1"/>
  <c r="X251" i="1"/>
  <c r="Y251" i="1" s="1"/>
  <c r="X252" i="1"/>
  <c r="Y252" i="1" s="1"/>
  <c r="X253" i="1"/>
  <c r="Y253" i="1" s="1"/>
  <c r="X254" i="1"/>
  <c r="E10" i="7"/>
  <c r="D10" i="7"/>
  <c r="E9" i="7"/>
  <c r="E7" i="7"/>
  <c r="E6" i="7"/>
  <c r="D7" i="7"/>
  <c r="D6" i="7"/>
  <c r="D4" i="7"/>
  <c r="F4" i="7"/>
  <c r="E4" i="7"/>
  <c r="L4" i="6"/>
  <c r="L5" i="6"/>
  <c r="L6" i="6"/>
  <c r="L7" i="6"/>
  <c r="L8" i="6"/>
  <c r="I9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L32" i="6"/>
  <c r="L33" i="6"/>
  <c r="L34" i="6"/>
  <c r="L35" i="6"/>
  <c r="L36" i="6"/>
  <c r="L37" i="6"/>
  <c r="L38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L74" i="6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L89" i="6"/>
  <c r="L90" i="6"/>
  <c r="L91" i="6"/>
  <c r="L92" i="6"/>
  <c r="L93" i="6"/>
  <c r="L94" i="6"/>
  <c r="L95" i="6"/>
  <c r="L96" i="6"/>
  <c r="L97" i="6"/>
  <c r="L98" i="6"/>
  <c r="L99" i="6"/>
  <c r="L100" i="6"/>
  <c r="L101" i="6"/>
  <c r="L102" i="6"/>
  <c r="L103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4" i="6"/>
  <c r="L135" i="6"/>
  <c r="L136" i="6"/>
  <c r="L137" i="6"/>
  <c r="L138" i="6"/>
  <c r="L139" i="6"/>
  <c r="L140" i="6"/>
  <c r="L141" i="6"/>
  <c r="L142" i="6"/>
  <c r="L143" i="6"/>
  <c r="L144" i="6"/>
  <c r="L145" i="6"/>
  <c r="L146" i="6"/>
  <c r="L147" i="6"/>
  <c r="L148" i="6"/>
  <c r="L149" i="6"/>
  <c r="L150" i="6"/>
  <c r="L151" i="6"/>
  <c r="L152" i="6"/>
  <c r="L153" i="6"/>
  <c r="L154" i="6"/>
  <c r="L155" i="6"/>
  <c r="L156" i="6"/>
  <c r="L157" i="6"/>
  <c r="L158" i="6"/>
  <c r="L159" i="6"/>
  <c r="L160" i="6"/>
  <c r="L161" i="6"/>
  <c r="L162" i="6"/>
  <c r="L163" i="6"/>
  <c r="L164" i="6"/>
  <c r="L165" i="6"/>
  <c r="L166" i="6"/>
  <c r="L167" i="6"/>
  <c r="L168" i="6"/>
  <c r="L169" i="6"/>
  <c r="L170" i="6"/>
  <c r="L171" i="6"/>
  <c r="L172" i="6"/>
  <c r="L173" i="6"/>
  <c r="L174" i="6"/>
  <c r="L175" i="6"/>
  <c r="L176" i="6"/>
  <c r="L177" i="6"/>
  <c r="L178" i="6"/>
  <c r="L179" i="6"/>
  <c r="L180" i="6"/>
  <c r="L181" i="6"/>
  <c r="L182" i="6"/>
  <c r="L183" i="6"/>
  <c r="L184" i="6"/>
  <c r="L185" i="6"/>
  <c r="L186" i="6"/>
  <c r="L187" i="6"/>
  <c r="L188" i="6"/>
  <c r="L189" i="6"/>
  <c r="L190" i="6"/>
  <c r="L191" i="6"/>
  <c r="L192" i="6"/>
  <c r="L193" i="6"/>
  <c r="L194" i="6"/>
  <c r="L195" i="6"/>
  <c r="L196" i="6"/>
  <c r="L197" i="6"/>
  <c r="L198" i="6"/>
  <c r="L199" i="6"/>
  <c r="L200" i="6"/>
  <c r="L201" i="6"/>
  <c r="L202" i="6"/>
  <c r="L203" i="6"/>
  <c r="L204" i="6"/>
  <c r="L205" i="6"/>
  <c r="L206" i="6"/>
  <c r="L207" i="6"/>
  <c r="L208" i="6"/>
  <c r="L209" i="6"/>
  <c r="L210" i="6"/>
  <c r="L211" i="6"/>
  <c r="L212" i="6"/>
  <c r="L213" i="6"/>
  <c r="L214" i="6"/>
  <c r="L215" i="6"/>
  <c r="L216" i="6"/>
  <c r="L217" i="6"/>
  <c r="L218" i="6"/>
  <c r="L219" i="6"/>
  <c r="L220" i="6"/>
  <c r="L221" i="6"/>
  <c r="L222" i="6"/>
  <c r="L223" i="6"/>
  <c r="L224" i="6"/>
  <c r="L225" i="6"/>
  <c r="L226" i="6"/>
  <c r="L227" i="6"/>
  <c r="L228" i="6"/>
  <c r="L229" i="6"/>
  <c r="L230" i="6"/>
  <c r="L231" i="6"/>
  <c r="L232" i="6"/>
  <c r="L233" i="6"/>
  <c r="L234" i="6"/>
  <c r="L235" i="6"/>
  <c r="L236" i="6"/>
  <c r="L237" i="6"/>
  <c r="L238" i="6"/>
  <c r="L239" i="6"/>
  <c r="L240" i="6"/>
  <c r="L241" i="6"/>
  <c r="L242" i="6"/>
  <c r="L243" i="6"/>
  <c r="L244" i="6"/>
  <c r="L245" i="6"/>
  <c r="L246" i="6"/>
  <c r="L247" i="6"/>
  <c r="L248" i="6"/>
  <c r="L249" i="6"/>
  <c r="L250" i="6"/>
  <c r="L251" i="6"/>
  <c r="L252" i="6"/>
  <c r="L253" i="6"/>
  <c r="L254" i="6"/>
  <c r="L255" i="6"/>
  <c r="L256" i="6"/>
  <c r="L257" i="6"/>
  <c r="L258" i="6"/>
  <c r="L259" i="6"/>
  <c r="L260" i="6"/>
  <c r="L261" i="6"/>
  <c r="L262" i="6"/>
  <c r="L263" i="6"/>
  <c r="L264" i="6"/>
  <c r="L265" i="6"/>
  <c r="L266" i="6"/>
  <c r="L267" i="6"/>
  <c r="L268" i="6"/>
  <c r="L269" i="6"/>
  <c r="L270" i="6"/>
  <c r="L271" i="6"/>
  <c r="L272" i="6"/>
  <c r="L273" i="6"/>
  <c r="L274" i="6"/>
  <c r="L275" i="6"/>
  <c r="L276" i="6"/>
  <c r="L277" i="6"/>
  <c r="L278" i="6"/>
  <c r="L279" i="6"/>
  <c r="L280" i="6"/>
  <c r="L281" i="6"/>
  <c r="L282" i="6"/>
  <c r="L283" i="6"/>
  <c r="L284" i="6"/>
  <c r="L285" i="6"/>
  <c r="L286" i="6"/>
  <c r="L287" i="6"/>
  <c r="L288" i="6"/>
  <c r="L289" i="6"/>
  <c r="L290" i="6"/>
  <c r="L291" i="6"/>
  <c r="L292" i="6"/>
  <c r="L293" i="6"/>
  <c r="L294" i="6"/>
  <c r="L295" i="6"/>
  <c r="L296" i="6"/>
  <c r="L297" i="6"/>
  <c r="L298" i="6"/>
  <c r="L299" i="6"/>
  <c r="L300" i="6"/>
  <c r="L301" i="6"/>
  <c r="L302" i="6"/>
  <c r="L303" i="6"/>
  <c r="L304" i="6"/>
  <c r="L305" i="6"/>
  <c r="L306" i="6"/>
  <c r="L307" i="6"/>
  <c r="L308" i="6"/>
  <c r="L309" i="6"/>
  <c r="L310" i="6"/>
  <c r="L311" i="6"/>
  <c r="L312" i="6"/>
  <c r="L313" i="6"/>
  <c r="L314" i="6"/>
  <c r="L315" i="6"/>
  <c r="L316" i="6"/>
  <c r="L317" i="6"/>
  <c r="L318" i="6"/>
  <c r="L319" i="6"/>
  <c r="L320" i="6"/>
  <c r="L321" i="6"/>
  <c r="L322" i="6"/>
  <c r="L323" i="6"/>
  <c r="L324" i="6"/>
  <c r="L325" i="6"/>
  <c r="L326" i="6"/>
  <c r="L327" i="6"/>
  <c r="L328" i="6"/>
  <c r="L329" i="6"/>
  <c r="L330" i="6"/>
  <c r="L331" i="6"/>
  <c r="L332" i="6"/>
  <c r="L333" i="6"/>
  <c r="L334" i="6"/>
  <c r="L335" i="6"/>
  <c r="L336" i="6"/>
  <c r="L338" i="6"/>
  <c r="L339" i="6"/>
  <c r="L340" i="6"/>
  <c r="L341" i="6"/>
  <c r="L342" i="6"/>
  <c r="L343" i="6"/>
  <c r="L344" i="6"/>
  <c r="L345" i="6"/>
  <c r="L346" i="6"/>
  <c r="L347" i="6"/>
  <c r="L348" i="6"/>
  <c r="L349" i="6"/>
  <c r="L354" i="6"/>
  <c r="L356" i="6"/>
  <c r="L357" i="6"/>
  <c r="L358" i="6"/>
  <c r="L359" i="6"/>
  <c r="L360" i="6"/>
  <c r="L361" i="6"/>
  <c r="L362" i="6"/>
  <c r="L363" i="6"/>
  <c r="L365" i="6"/>
  <c r="L366" i="6"/>
  <c r="L367" i="6"/>
  <c r="L368" i="6"/>
  <c r="L369" i="6"/>
  <c r="L371" i="6"/>
  <c r="L372" i="6"/>
  <c r="L373" i="6"/>
  <c r="L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9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9" i="6"/>
  <c r="M340" i="6"/>
  <c r="M341" i="6"/>
  <c r="M342" i="6"/>
  <c r="M343" i="6"/>
  <c r="M344" i="6"/>
  <c r="M345" i="6"/>
  <c r="M346" i="6"/>
  <c r="M347" i="6"/>
  <c r="M348" i="6"/>
  <c r="M349" i="6"/>
  <c r="M354" i="6"/>
  <c r="M356" i="6"/>
  <c r="M357" i="6"/>
  <c r="M358" i="6"/>
  <c r="M359" i="6"/>
  <c r="M360" i="6"/>
  <c r="M361" i="6"/>
  <c r="M362" i="6"/>
  <c r="M363" i="6"/>
  <c r="M365" i="6"/>
  <c r="M366" i="6"/>
  <c r="M367" i="6"/>
  <c r="M368" i="6"/>
  <c r="M369" i="6"/>
  <c r="M371" i="6"/>
  <c r="M372" i="6"/>
  <c r="M373" i="6"/>
  <c r="M12" i="6"/>
  <c r="M11" i="6"/>
  <c r="M8" i="6"/>
  <c r="M13" i="6"/>
  <c r="M3" i="6"/>
  <c r="M10" i="6"/>
  <c r="M9" i="6"/>
  <c r="M6" i="6"/>
  <c r="M7" i="6"/>
  <c r="M5" i="6"/>
  <c r="M4" i="6"/>
  <c r="Y163" i="1" l="1"/>
  <c r="Y229" i="1"/>
  <c r="Y53" i="1"/>
  <c r="Y179" i="1"/>
  <c r="Y83" i="1"/>
  <c r="Y209" i="1"/>
  <c r="Y99" i="1"/>
  <c r="Y164" i="1"/>
  <c r="Y232" i="1"/>
  <c r="Y72" i="1"/>
  <c r="Y29" i="1"/>
  <c r="Y227" i="1"/>
  <c r="Y140" i="1"/>
  <c r="Y109" i="1"/>
  <c r="Y51" i="1"/>
  <c r="Y243" i="1"/>
  <c r="Y92" i="1"/>
  <c r="Y67" i="1"/>
  <c r="Y143" i="1"/>
  <c r="Y111" i="1"/>
  <c r="Y25" i="1"/>
  <c r="Y225" i="1"/>
  <c r="Y124" i="1"/>
  <c r="Y104" i="1"/>
  <c r="Y200" i="1"/>
  <c r="Y121" i="1"/>
  <c r="Y37" i="1"/>
  <c r="Y87" i="1"/>
  <c r="Y167" i="1"/>
  <c r="Y153" i="1"/>
  <c r="Y56" i="1"/>
  <c r="Y123" i="1"/>
  <c r="Y52" i="1"/>
  <c r="Y5" i="1"/>
  <c r="Y85" i="1"/>
  <c r="Y157" i="1"/>
  <c r="Y126" i="1"/>
  <c r="Y181" i="1"/>
  <c r="Y156" i="1"/>
  <c r="Y249" i="1"/>
  <c r="Y177" i="1"/>
  <c r="Y34" i="1"/>
  <c r="Y138" i="1"/>
  <c r="Y242" i="1"/>
  <c r="Y230" i="1"/>
  <c r="Y131" i="1"/>
  <c r="Y93" i="1"/>
  <c r="Y174" i="1"/>
  <c r="Y36" i="1"/>
  <c r="Y178" i="1"/>
  <c r="Y122" i="1"/>
  <c r="Y130" i="1"/>
  <c r="Y62" i="1"/>
  <c r="Y147" i="1"/>
  <c r="Y110" i="1"/>
  <c r="Y206" i="1"/>
  <c r="Y168" i="1"/>
  <c r="Y193" i="1"/>
  <c r="Y142" i="1"/>
  <c r="Y134" i="1"/>
  <c r="Y241" i="1"/>
  <c r="Y254" i="1"/>
  <c r="Y162" i="1"/>
  <c r="Y21" i="1"/>
  <c r="Y22" i="1"/>
  <c r="Y196" i="1"/>
  <c r="Y195" i="1"/>
  <c r="Y226" i="1"/>
  <c r="Y17" i="1"/>
  <c r="Y244" i="1"/>
  <c r="Y188" i="1"/>
  <c r="Y220" i="1"/>
  <c r="Y215" i="1"/>
  <c r="Y211" i="1"/>
  <c r="Y10" i="1"/>
  <c r="Y194" i="1"/>
  <c r="Y223" i="1"/>
  <c r="Y201" i="1"/>
  <c r="Y185" i="1"/>
  <c r="Y115" i="1"/>
  <c r="Y207" i="1"/>
  <c r="Y198" i="1"/>
  <c r="Y161" i="1"/>
  <c r="Y57" i="1"/>
  <c r="Y125" i="1"/>
  <c r="Y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REF_L_28419_2010y_03m_29d_15h_32mn_46s_scaled_combined" type="6" refreshedVersion="6" background="1" saveData="1">
    <textPr codePage="437" sourceFile="C:\Data\2020\Raman\REFL_174505_truncated_offmin0.01_reduced_data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<sst xmlns="http://schemas.openxmlformats.org/spreadsheetml/2006/main" count="1169" uniqueCount="649">
  <si>
    <t>R</t>
  </si>
  <si>
    <t>Neutron scattering lengths and cross sections</t>
  </si>
  <si>
    <t>Isotope</t>
  </si>
  <si>
    <t>conc</t>
  </si>
  <si>
    <t>Coh b</t>
  </si>
  <si>
    <t>Inc b</t>
  </si>
  <si>
    <t>Coh xs</t>
  </si>
  <si>
    <t>Inc xs</t>
  </si>
  <si>
    <t>Scatt xs</t>
  </si>
  <si>
    <t>Abs xs</t>
  </si>
  <si>
    <t>Dens (g/cm3)</t>
  </si>
  <si>
    <t>Dens (at/nm3)</t>
  </si>
  <si>
    <t>H</t>
  </si>
  <si>
    <t>---</t>
  </si>
  <si>
    <t>1H</t>
  </si>
  <si>
    <t>2H</t>
  </si>
  <si>
    <t>3H</t>
  </si>
  <si>
    <t>(12.32 a)</t>
  </si>
  <si>
    <t>He</t>
  </si>
  <si>
    <t>3He</t>
  </si>
  <si>
    <t>-2.5+2.568i</t>
  </si>
  <si>
    <t>4He</t>
  </si>
  <si>
    <t>Li</t>
  </si>
  <si>
    <t>6Li</t>
  </si>
  <si>
    <t>7Li</t>
  </si>
  <si>
    <t>Be</t>
  </si>
  <si>
    <t>B</t>
  </si>
  <si>
    <t>10B</t>
  </si>
  <si>
    <t>-4.7+1.231i</t>
  </si>
  <si>
    <t>11B</t>
  </si>
  <si>
    <t>C</t>
  </si>
  <si>
    <t>12C</t>
  </si>
  <si>
    <t>13C</t>
  </si>
  <si>
    <t>N</t>
  </si>
  <si>
    <t>14N</t>
  </si>
  <si>
    <t>15N</t>
  </si>
  <si>
    <t>O</t>
  </si>
  <si>
    <t>16O</t>
  </si>
  <si>
    <t>17O</t>
  </si>
  <si>
    <t>18O</t>
  </si>
  <si>
    <t>F</t>
  </si>
  <si>
    <t>Ne</t>
  </si>
  <si>
    <t>20Ne</t>
  </si>
  <si>
    <t>21Ne</t>
  </si>
  <si>
    <t>(+/-)0.6</t>
  </si>
  <si>
    <t>22Ne</t>
  </si>
  <si>
    <t>Na</t>
  </si>
  <si>
    <t>Mg</t>
  </si>
  <si>
    <t>24Mg</t>
  </si>
  <si>
    <t>25Mg</t>
  </si>
  <si>
    <t>26Mg</t>
  </si>
  <si>
    <t>Al</t>
  </si>
  <si>
    <t>Si</t>
  </si>
  <si>
    <t>28Si</t>
  </si>
  <si>
    <t>29Si</t>
  </si>
  <si>
    <t>30Si</t>
  </si>
  <si>
    <t>P</t>
  </si>
  <si>
    <t>S</t>
  </si>
  <si>
    <t>32S</t>
  </si>
  <si>
    <t>33S</t>
  </si>
  <si>
    <t>34S</t>
  </si>
  <si>
    <t>36S</t>
  </si>
  <si>
    <t>Cl</t>
  </si>
  <si>
    <t>35Cl</t>
  </si>
  <si>
    <t>37Cl</t>
  </si>
  <si>
    <t>Ar</t>
  </si>
  <si>
    <t>36Ar</t>
  </si>
  <si>
    <t>38Ar</t>
  </si>
  <si>
    <t>1.5(3.1)</t>
  </si>
  <si>
    <t>40Ar</t>
  </si>
  <si>
    <t>K</t>
  </si>
  <si>
    <t>39K</t>
  </si>
  <si>
    <t>40K</t>
  </si>
  <si>
    <t>41K</t>
  </si>
  <si>
    <t>Ca</t>
  </si>
  <si>
    <t>40Ca</t>
  </si>
  <si>
    <t>42Ca</t>
  </si>
  <si>
    <t>43Ca</t>
  </si>
  <si>
    <t>44Ca</t>
  </si>
  <si>
    <t>46Ca</t>
  </si>
  <si>
    <t>48Ca</t>
  </si>
  <si>
    <t>Sc</t>
  </si>
  <si>
    <t>Ti</t>
  </si>
  <si>
    <t>46Ti</t>
  </si>
  <si>
    <t>47Ti</t>
  </si>
  <si>
    <t>48Ti</t>
  </si>
  <si>
    <t>49Ti</t>
  </si>
  <si>
    <t>50Ti</t>
  </si>
  <si>
    <t>V</t>
  </si>
  <si>
    <t>50V</t>
  </si>
  <si>
    <t>7.3(1.1)</t>
  </si>
  <si>
    <t>7.8(1.0)</t>
  </si>
  <si>
    <t>51V</t>
  </si>
  <si>
    <t>Cr</t>
  </si>
  <si>
    <t>50Cr</t>
  </si>
  <si>
    <t>52Cr</t>
  </si>
  <si>
    <t>53Cr</t>
  </si>
  <si>
    <t>54Cr</t>
  </si>
  <si>
    <t>Mn</t>
  </si>
  <si>
    <t>Fe</t>
  </si>
  <si>
    <t>54Fe</t>
  </si>
  <si>
    <t>56Fe</t>
  </si>
  <si>
    <t>57Fe</t>
  </si>
  <si>
    <t>58Fe</t>
  </si>
  <si>
    <t>28.(26.)</t>
  </si>
  <si>
    <t>Co</t>
  </si>
  <si>
    <t>Ni</t>
  </si>
  <si>
    <t>58Ni</t>
  </si>
  <si>
    <t>60Ni</t>
  </si>
  <si>
    <t>61Ni</t>
  </si>
  <si>
    <t>(+/-)3.9</t>
  </si>
  <si>
    <t>62Ni</t>
  </si>
  <si>
    <t>64Ni</t>
  </si>
  <si>
    <t>Cu</t>
  </si>
  <si>
    <t>63Cu</t>
  </si>
  <si>
    <t>65Cu</t>
  </si>
  <si>
    <t>Zn</t>
  </si>
  <si>
    <t>64Zn</t>
  </si>
  <si>
    <t>66Zn</t>
  </si>
  <si>
    <t>67Zn</t>
  </si>
  <si>
    <t>68Zn</t>
  </si>
  <si>
    <t>70Zn</t>
  </si>
  <si>
    <t>4.5(1.5)</t>
  </si>
  <si>
    <t>Ga</t>
  </si>
  <si>
    <t>69Ga</t>
  </si>
  <si>
    <t>71Ga</t>
  </si>
  <si>
    <t>Ge</t>
  </si>
  <si>
    <t>70Ge</t>
  </si>
  <si>
    <t>72Ge</t>
  </si>
  <si>
    <t>73Ge</t>
  </si>
  <si>
    <t>74Ge</t>
  </si>
  <si>
    <t>76Ge</t>
  </si>
  <si>
    <t>8.(3.)</t>
  </si>
  <si>
    <t>As</t>
  </si>
  <si>
    <t>Se</t>
  </si>
  <si>
    <t>74Se</t>
  </si>
  <si>
    <t>76Se</t>
  </si>
  <si>
    <t>77Se</t>
  </si>
  <si>
    <t>(+/-)0.6(1.6)</t>
  </si>
  <si>
    <t>78Se</t>
  </si>
  <si>
    <t>80Se</t>
  </si>
  <si>
    <t>82Se</t>
  </si>
  <si>
    <t>Br</t>
  </si>
  <si>
    <t>79Br</t>
  </si>
  <si>
    <t>81Br</t>
  </si>
  <si>
    <t>Kr</t>
  </si>
  <si>
    <t>78Kr</t>
  </si>
  <si>
    <t>80Kr</t>
  </si>
  <si>
    <t>82Kr</t>
  </si>
  <si>
    <t>83Kr</t>
  </si>
  <si>
    <t>84Kr</t>
  </si>
  <si>
    <t>86Kr</t>
  </si>
  <si>
    <t>Rb</t>
  </si>
  <si>
    <t>85Rb</t>
  </si>
  <si>
    <t>87Rb</t>
  </si>
  <si>
    <t>Sr</t>
  </si>
  <si>
    <t>84Sr</t>
  </si>
  <si>
    <t>6.(2.)</t>
  </si>
  <si>
    <t>86Sr</t>
  </si>
  <si>
    <t>87Sr</t>
  </si>
  <si>
    <t>88Sr</t>
  </si>
  <si>
    <t>Y</t>
  </si>
  <si>
    <t>Zr</t>
  </si>
  <si>
    <t>90Zr</t>
  </si>
  <si>
    <t>91Zr</t>
  </si>
  <si>
    <t>92Zr</t>
  </si>
  <si>
    <t>94Zr</t>
  </si>
  <si>
    <t>96Zr</t>
  </si>
  <si>
    <t>Nb</t>
  </si>
  <si>
    <t>Mo</t>
  </si>
  <si>
    <t>92Mo</t>
  </si>
  <si>
    <t>94Mo</t>
  </si>
  <si>
    <t>95Mo</t>
  </si>
  <si>
    <t>96Mo</t>
  </si>
  <si>
    <t>97Mo</t>
  </si>
  <si>
    <t>98Mo</t>
  </si>
  <si>
    <t>100Mo</t>
  </si>
  <si>
    <t>Tc</t>
  </si>
  <si>
    <t>(2.3E5 a)</t>
  </si>
  <si>
    <t>Ru</t>
  </si>
  <si>
    <t>96Ru</t>
  </si>
  <si>
    <t>98Ru</t>
  </si>
  <si>
    <t>&lt;8.</t>
  </si>
  <si>
    <t>99Ru</t>
  </si>
  <si>
    <t>100Ru</t>
  </si>
  <si>
    <t>101Ru</t>
  </si>
  <si>
    <t>102Ru</t>
  </si>
  <si>
    <t>104Ru</t>
  </si>
  <si>
    <t>Rh</t>
  </si>
  <si>
    <t>Pd</t>
  </si>
  <si>
    <t>102Pd</t>
  </si>
  <si>
    <t>7.5(1.4)</t>
  </si>
  <si>
    <t>104Pd</t>
  </si>
  <si>
    <t>105Pd</t>
  </si>
  <si>
    <t>-2.6(1.6)</t>
  </si>
  <si>
    <t>4.6(1.1)</t>
  </si>
  <si>
    <t>106Pd</t>
  </si>
  <si>
    <t>108Pd</t>
  </si>
  <si>
    <t>110Pd</t>
  </si>
  <si>
    <t>Ag</t>
  </si>
  <si>
    <t>107Ag</t>
  </si>
  <si>
    <t>109Ag</t>
  </si>
  <si>
    <t>Cd</t>
  </si>
  <si>
    <t>106Cd</t>
  </si>
  <si>
    <t>3.1(2.5)</t>
  </si>
  <si>
    <t>108Cd</t>
  </si>
  <si>
    <t>110Cd</t>
  </si>
  <si>
    <t>111Cd</t>
  </si>
  <si>
    <t>112Cd</t>
  </si>
  <si>
    <t>113Cd</t>
  </si>
  <si>
    <t>114Cd</t>
  </si>
  <si>
    <t>116Cd</t>
  </si>
  <si>
    <t>In</t>
  </si>
  <si>
    <t>113In</t>
  </si>
  <si>
    <t>(+/-)0.017</t>
  </si>
  <si>
    <t>115In</t>
  </si>
  <si>
    <t>Sn</t>
  </si>
  <si>
    <t>112Sn</t>
  </si>
  <si>
    <t>114Sn</t>
  </si>
  <si>
    <t>115Sn</t>
  </si>
  <si>
    <t>4.8(1.5)</t>
  </si>
  <si>
    <t>116Sn</t>
  </si>
  <si>
    <t>117Sn</t>
  </si>
  <si>
    <t>118Sn</t>
  </si>
  <si>
    <t>119Sn</t>
  </si>
  <si>
    <t>120Sn</t>
  </si>
  <si>
    <t>122Sn</t>
  </si>
  <si>
    <t>124Sn</t>
  </si>
  <si>
    <t>Sb</t>
  </si>
  <si>
    <t>121Sb</t>
  </si>
  <si>
    <t>123Sb</t>
  </si>
  <si>
    <t>Te</t>
  </si>
  <si>
    <t>120Te</t>
  </si>
  <si>
    <t>122Te</t>
  </si>
  <si>
    <t>123Te</t>
  </si>
  <si>
    <t>124Te</t>
  </si>
  <si>
    <t>125Te</t>
  </si>
  <si>
    <t>126Te</t>
  </si>
  <si>
    <t>128Te</t>
  </si>
  <si>
    <t>130Te</t>
  </si>
  <si>
    <t>I</t>
  </si>
  <si>
    <t>Xe</t>
  </si>
  <si>
    <t>124Xe</t>
  </si>
  <si>
    <t>126Xe</t>
  </si>
  <si>
    <t>128Xe</t>
  </si>
  <si>
    <t>&lt;8</t>
  </si>
  <si>
    <t>129Xe</t>
  </si>
  <si>
    <t>130Xe</t>
  </si>
  <si>
    <t>&lt;26.</t>
  </si>
  <si>
    <t>131Xe</t>
  </si>
  <si>
    <t>132Xe</t>
  </si>
  <si>
    <t>134Xe</t>
  </si>
  <si>
    <t>136Xe</t>
  </si>
  <si>
    <t>Cs</t>
  </si>
  <si>
    <t>Ba</t>
  </si>
  <si>
    <t>130Ba</t>
  </si>
  <si>
    <t>132Ba</t>
  </si>
  <si>
    <t>134Ba</t>
  </si>
  <si>
    <t>135Ba</t>
  </si>
  <si>
    <t>136Ba</t>
  </si>
  <si>
    <t>137Ba</t>
  </si>
  <si>
    <t>138Ba</t>
  </si>
  <si>
    <t>La</t>
  </si>
  <si>
    <t>138La</t>
  </si>
  <si>
    <t>8.(4.)</t>
  </si>
  <si>
    <t>8.5(4.0)</t>
  </si>
  <si>
    <t>139La</t>
  </si>
  <si>
    <t>Ce</t>
  </si>
  <si>
    <t>136Ce</t>
  </si>
  <si>
    <t>138Ce</t>
  </si>
  <si>
    <t>140Ce</t>
  </si>
  <si>
    <t>142Ce</t>
  </si>
  <si>
    <t>Pr</t>
  </si>
  <si>
    <t>Nd</t>
  </si>
  <si>
    <t>142Nd</t>
  </si>
  <si>
    <t>143Nd</t>
  </si>
  <si>
    <t>(+/-)21.(1.)</t>
  </si>
  <si>
    <t>25.(7.)</t>
  </si>
  <si>
    <t>80.(2.)</t>
  </si>
  <si>
    <t>144Nd</t>
  </si>
  <si>
    <t>145Nd</t>
  </si>
  <si>
    <t>30.(9.)</t>
  </si>
  <si>
    <t>146Nd</t>
  </si>
  <si>
    <t>148Nd</t>
  </si>
  <si>
    <t>150Nd</t>
  </si>
  <si>
    <t>Pm</t>
  </si>
  <si>
    <t>(2.62 a)</t>
  </si>
  <si>
    <t>(+/-)3.2(2.5)</t>
  </si>
  <si>
    <t>20.0(1.3)</t>
  </si>
  <si>
    <t>21.3(1.5)</t>
  </si>
  <si>
    <t>Sm</t>
  </si>
  <si>
    <t>39.(3.)</t>
  </si>
  <si>
    <t>144Sm</t>
  </si>
  <si>
    <t>1.(3.)</t>
  </si>
  <si>
    <t>147Sm</t>
  </si>
  <si>
    <t>(+/-)11.(7.)</t>
  </si>
  <si>
    <t>25.(11.)</t>
  </si>
  <si>
    <t>39.(16.)</t>
  </si>
  <si>
    <t>148Sm</t>
  </si>
  <si>
    <t>149Sm</t>
  </si>
  <si>
    <t>(+/-)31.4-10.3i</t>
  </si>
  <si>
    <t>200.(5.)</t>
  </si>
  <si>
    <t>150Sm</t>
  </si>
  <si>
    <t>152Sm</t>
  </si>
  <si>
    <t>154Sm</t>
  </si>
  <si>
    <t>11.(2.)</t>
  </si>
  <si>
    <t>Eu</t>
  </si>
  <si>
    <t>151Eu</t>
  </si>
  <si>
    <t>(+/-)4.5-2.14i</t>
  </si>
  <si>
    <t>153Eu</t>
  </si>
  <si>
    <t>(+/-)3.2</t>
  </si>
  <si>
    <t>Gd</t>
  </si>
  <si>
    <t>180.(2.)</t>
  </si>
  <si>
    <t>152Gd</t>
  </si>
  <si>
    <t>13.(8.)</t>
  </si>
  <si>
    <t>154Gd</t>
  </si>
  <si>
    <t>155Gd</t>
  </si>
  <si>
    <t>(+/-)5.(5.)-13.16i</t>
  </si>
  <si>
    <t>66.(6.)</t>
  </si>
  <si>
    <t>156Gd</t>
  </si>
  <si>
    <t>157Gd</t>
  </si>
  <si>
    <t>(+/-)5.(5.)-55.8i</t>
  </si>
  <si>
    <t>650.(4.)</t>
  </si>
  <si>
    <t>1044.(8.)</t>
  </si>
  <si>
    <t>158Gd</t>
  </si>
  <si>
    <t>10.(5.)</t>
  </si>
  <si>
    <t>160Gd</t>
  </si>
  <si>
    <t>Tb</t>
  </si>
  <si>
    <t>Dy</t>
  </si>
  <si>
    <t>156Dy</t>
  </si>
  <si>
    <t>158Dy</t>
  </si>
  <si>
    <t>5.(6.)</t>
  </si>
  <si>
    <t>160Dy</t>
  </si>
  <si>
    <t>161Dy</t>
  </si>
  <si>
    <t>(+/-)4.9</t>
  </si>
  <si>
    <t>16.(1.)</t>
  </si>
  <si>
    <t>162Dy</t>
  </si>
  <si>
    <t>163Dy</t>
  </si>
  <si>
    <t>164Dy</t>
  </si>
  <si>
    <t>307.(3.)</t>
  </si>
  <si>
    <t>Ho</t>
  </si>
  <si>
    <t>Er</t>
  </si>
  <si>
    <t>162Er</t>
  </si>
  <si>
    <t>164Er</t>
  </si>
  <si>
    <t>166Er</t>
  </si>
  <si>
    <t>167Er</t>
  </si>
  <si>
    <t>168Er</t>
  </si>
  <si>
    <t>170Er</t>
  </si>
  <si>
    <t>11.6(1.2)</t>
  </si>
  <si>
    <t>Tm</t>
  </si>
  <si>
    <t>Yb</t>
  </si>
  <si>
    <t>168Yb</t>
  </si>
  <si>
    <t>170Yb</t>
  </si>
  <si>
    <t>171Yb</t>
  </si>
  <si>
    <t>172Yb</t>
  </si>
  <si>
    <t>173Yb</t>
  </si>
  <si>
    <t>174Yb</t>
  </si>
  <si>
    <t>176Yb</t>
  </si>
  <si>
    <t>Lu</t>
  </si>
  <si>
    <t>175Lu</t>
  </si>
  <si>
    <t>(+/-)2.2</t>
  </si>
  <si>
    <t>176Lu</t>
  </si>
  <si>
    <t>(+/-)3.0+0.61i</t>
  </si>
  <si>
    <t>Hf</t>
  </si>
  <si>
    <t>174Hf</t>
  </si>
  <si>
    <t>15.(3.)</t>
  </si>
  <si>
    <t>176Hf</t>
  </si>
  <si>
    <t>177Hf</t>
  </si>
  <si>
    <t>(+/-)0.9(1.3)</t>
  </si>
  <si>
    <t>178Hf</t>
  </si>
  <si>
    <t>179Hf</t>
  </si>
  <si>
    <t>(+/-)1.06</t>
  </si>
  <si>
    <t>180Hf</t>
  </si>
  <si>
    <t>21.9(1.0)</t>
  </si>
  <si>
    <t>Ta</t>
  </si>
  <si>
    <t>180Ta</t>
  </si>
  <si>
    <t>7.(4.)</t>
  </si>
  <si>
    <t>181Ta</t>
  </si>
  <si>
    <t>W</t>
  </si>
  <si>
    <t>180W</t>
  </si>
  <si>
    <t>3.(4.)</t>
  </si>
  <si>
    <t>182W</t>
  </si>
  <si>
    <t>183W</t>
  </si>
  <si>
    <t>184W</t>
  </si>
  <si>
    <t>186W</t>
  </si>
  <si>
    <t>Re</t>
  </si>
  <si>
    <t>185Re</t>
  </si>
  <si>
    <t>(+/-)2.0</t>
  </si>
  <si>
    <t>187Re</t>
  </si>
  <si>
    <t>(+/-)2.8</t>
  </si>
  <si>
    <t>Os</t>
  </si>
  <si>
    <t>184Os</t>
  </si>
  <si>
    <t>10.(2.)</t>
  </si>
  <si>
    <t>13.(5.)</t>
  </si>
  <si>
    <t>186Os</t>
  </si>
  <si>
    <t>17.(5.)</t>
  </si>
  <si>
    <t>187Os</t>
  </si>
  <si>
    <t>188Os</t>
  </si>
  <si>
    <t>189Os</t>
  </si>
  <si>
    <t>190Os</t>
  </si>
  <si>
    <t>192Os</t>
  </si>
  <si>
    <t>16.6(1.2)</t>
  </si>
  <si>
    <t>Ir</t>
  </si>
  <si>
    <t>191Ir</t>
  </si>
  <si>
    <t>193Ir</t>
  </si>
  <si>
    <t>Pt</t>
  </si>
  <si>
    <t>190Pt</t>
  </si>
  <si>
    <t>192Pt</t>
  </si>
  <si>
    <t>12.3(1.2)</t>
  </si>
  <si>
    <t>194Pt</t>
  </si>
  <si>
    <t>195Pt</t>
  </si>
  <si>
    <t>196Pt</t>
  </si>
  <si>
    <t>198Pt</t>
  </si>
  <si>
    <t>Au</t>
  </si>
  <si>
    <t>Hg</t>
  </si>
  <si>
    <t>196Hg</t>
  </si>
  <si>
    <t>115.(8.)</t>
  </si>
  <si>
    <t>198Hg</t>
  </si>
  <si>
    <t>199Hg</t>
  </si>
  <si>
    <t>(+/-)15.5</t>
  </si>
  <si>
    <t>36.(2.)</t>
  </si>
  <si>
    <t>66.(2.)</t>
  </si>
  <si>
    <t>200Hg</t>
  </si>
  <si>
    <t>&lt;60.</t>
  </si>
  <si>
    <t>201Hg</t>
  </si>
  <si>
    <t>202Hg</t>
  </si>
  <si>
    <t>204Hg</t>
  </si>
  <si>
    <t>Tl</t>
  </si>
  <si>
    <t>203Tl</t>
  </si>
  <si>
    <t>205Tl</t>
  </si>
  <si>
    <t>Pb</t>
  </si>
  <si>
    <t>204Pb</t>
  </si>
  <si>
    <t>206Pb</t>
  </si>
  <si>
    <t>207Pb</t>
  </si>
  <si>
    <t>208Pb</t>
  </si>
  <si>
    <t>Bi</t>
  </si>
  <si>
    <t>Po</t>
  </si>
  <si>
    <t>At</t>
  </si>
  <si>
    <t>Rn</t>
  </si>
  <si>
    <t>Fr</t>
  </si>
  <si>
    <t>Ra</t>
  </si>
  <si>
    <t>(1.60E3 a)</t>
  </si>
  <si>
    <t>13.(3.)</t>
  </si>
  <si>
    <t>Ac</t>
  </si>
  <si>
    <t>Th</t>
  </si>
  <si>
    <t>Pa</t>
  </si>
  <si>
    <t>(3.28E4 a)</t>
  </si>
  <si>
    <t>10.5(3.2)</t>
  </si>
  <si>
    <t>U</t>
  </si>
  <si>
    <t>233U</t>
  </si>
  <si>
    <t>(1.59E5 a)</t>
  </si>
  <si>
    <t>(+/-)1.(3.)</t>
  </si>
  <si>
    <t>234U</t>
  </si>
  <si>
    <t>235U</t>
  </si>
  <si>
    <t>(+/-)1.3</t>
  </si>
  <si>
    <t>238U</t>
  </si>
  <si>
    <t>Np</t>
  </si>
  <si>
    <t>(2.14E6 a)</t>
  </si>
  <si>
    <t>Pu</t>
  </si>
  <si>
    <t>238Pu</t>
  </si>
  <si>
    <t>(87.74 a)</t>
  </si>
  <si>
    <t>25.0(1.8)</t>
  </si>
  <si>
    <t>239Pu</t>
  </si>
  <si>
    <t>(2.41E4 a)</t>
  </si>
  <si>
    <t>(+/-)1.3(1.9)</t>
  </si>
  <si>
    <t>240Pu</t>
  </si>
  <si>
    <t>(6.56E3 a)</t>
  </si>
  <si>
    <t>242Pu</t>
  </si>
  <si>
    <t>(3.76E5 a)</t>
  </si>
  <si>
    <t>Am</t>
  </si>
  <si>
    <t>(7.37E3 a)</t>
  </si>
  <si>
    <t>(+/-)2.(7.)</t>
  </si>
  <si>
    <t>9.0(2.6)</t>
  </si>
  <si>
    <t>Cm</t>
  </si>
  <si>
    <t>244Cm</t>
  </si>
  <si>
    <t>(18.10 a)</t>
  </si>
  <si>
    <t>246Cm</t>
  </si>
  <si>
    <t>(4.7E3 a)</t>
  </si>
  <si>
    <t>248Cm</t>
  </si>
  <si>
    <t>(3.5E5 a)</t>
  </si>
  <si>
    <t>M (amu)</t>
  </si>
  <si>
    <t>Compound</t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</si>
  <si>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abs</t>
    </r>
    <r>
      <rPr>
        <b/>
        <sz val="10"/>
        <rFont val="Times New Roman"/>
        <family val="1"/>
      </rPr>
      <t>/</t>
    </r>
    <r>
      <rPr>
        <b/>
        <i/>
        <sz val="10"/>
        <rFont val="Symbol"/>
        <family val="1"/>
        <charset val="2"/>
      </rPr>
      <t>l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-2</t>
    </r>
    <r>
      <rPr>
        <b/>
        <sz val="10"/>
        <rFont val="Times New Roman"/>
        <family val="1"/>
      </rPr>
      <t>)</t>
    </r>
  </si>
  <si>
    <r>
      <t>m</t>
    </r>
    <r>
      <rPr>
        <b/>
        <i/>
        <vertAlign val="subscript"/>
        <sz val="10"/>
        <rFont val="Times New Roman"/>
        <family val="1"/>
      </rPr>
      <t>m</t>
    </r>
    <r>
      <rPr>
        <b/>
        <vertAlign val="superscript"/>
        <sz val="10"/>
        <rFont val="Times New Roman"/>
        <family val="1"/>
      </rPr>
      <t>inc</t>
    </r>
    <r>
      <rPr>
        <b/>
        <sz val="10"/>
        <rFont val="Times New Roman"/>
        <family val="1"/>
      </rPr>
      <t xml:space="preserve"> (Å</t>
    </r>
    <r>
      <rPr>
        <b/>
        <vertAlign val="superscript"/>
        <sz val="10"/>
        <rFont val="Times New Roman"/>
        <family val="1"/>
      </rPr>
      <t>-1</t>
    </r>
    <r>
      <rPr>
        <b/>
        <sz val="10"/>
        <rFont val="Times New Roman"/>
        <family val="1"/>
      </rPr>
      <t>)</t>
    </r>
  </si>
  <si>
    <t>Stoichiometry</t>
  </si>
  <si>
    <r>
      <t>N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-3</t>
    </r>
    <r>
      <rPr>
        <sz val="12"/>
        <rFont val="Times New Roman"/>
        <family val="1"/>
      </rPr>
      <t>]</t>
    </r>
  </si>
  <si>
    <r>
      <t>Nb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</si>
  <si>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abs</t>
    </r>
    <r>
      <rPr>
        <sz val="12"/>
        <rFont val="Times New Roman"/>
        <family val="1"/>
      </rPr>
      <t>/</t>
    </r>
    <r>
      <rPr>
        <i/>
        <sz val="12"/>
        <rFont val="Symbol"/>
        <family val="1"/>
        <charset val="2"/>
      </rPr>
      <t>l</t>
    </r>
    <r>
      <rPr>
        <sz val="12"/>
        <rFont val="Times New Roman"/>
        <family val="1"/>
      </rPr>
      <t xml:space="preserve"> [Å</t>
    </r>
    <r>
      <rPr>
        <vertAlign val="superscript"/>
        <sz val="12"/>
        <rFont val="Times New Roman"/>
        <family val="1"/>
      </rPr>
      <t>-2</t>
    </r>
    <r>
      <rPr>
        <sz val="12"/>
        <rFont val="Times New Roman"/>
        <family val="1"/>
      </rPr>
      <t>]</t>
    </r>
  </si>
  <si>
    <r>
      <t>m</t>
    </r>
    <r>
      <rPr>
        <i/>
        <vertAlign val="subscript"/>
        <sz val="12"/>
        <rFont val="Times New Roman"/>
        <family val="1"/>
      </rPr>
      <t>l</t>
    </r>
    <r>
      <rPr>
        <vertAlign val="superscript"/>
        <sz val="12"/>
        <rFont val="Times New Roman"/>
        <family val="1"/>
      </rPr>
      <t>inc</t>
    </r>
    <r>
      <rPr>
        <vertAlign val="subscript"/>
        <sz val="12"/>
        <rFont val="Times New Roman"/>
        <family val="1"/>
      </rPr>
      <t xml:space="preserve"> </t>
    </r>
    <r>
      <rPr>
        <sz val="12"/>
        <rFont val="Times New Roman"/>
        <family val="1"/>
      </rPr>
      <t>[Å</t>
    </r>
    <r>
      <rPr>
        <vertAlign val="superscript"/>
        <sz val="12"/>
        <rFont val="Times New Roman"/>
        <family val="1"/>
      </rPr>
      <t>-1</t>
    </r>
    <r>
      <rPr>
        <sz val="12"/>
        <rFont val="Times New Roman"/>
        <family val="1"/>
      </rPr>
      <t>]</t>
    </r>
  </si>
  <si>
    <t>Tiles</t>
  </si>
  <si>
    <t>Profile</t>
  </si>
  <si>
    <t>Model Parameters</t>
  </si>
  <si>
    <r>
      <t>Nb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</si>
  <si>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[Å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]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</si>
  <si>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[Å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]</t>
    </r>
  </si>
  <si>
    <r>
      <t>d</t>
    </r>
    <r>
      <rPr>
        <b/>
        <sz val="12"/>
        <rFont val="Times New Roman"/>
        <family val="1"/>
      </rPr>
      <t xml:space="preserve"> (Å)</t>
    </r>
  </si>
  <si>
    <r>
      <t>s</t>
    </r>
    <r>
      <rPr>
        <b/>
        <sz val="12"/>
        <rFont val="Times New Roman"/>
        <family val="1"/>
      </rPr>
      <t xml:space="preserve"> (Å)</t>
    </r>
  </si>
  <si>
    <r>
      <t>Q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</si>
  <si>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n</t>
    </r>
    <r>
      <rPr>
        <b/>
        <vertAlign val="subscript"/>
        <sz val="12"/>
        <rFont val="Times New Roman"/>
        <family val="1"/>
      </rPr>
      <t>rough</t>
    </r>
  </si>
  <si>
    <r>
      <t>z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</si>
  <si>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i/>
        <sz val="12"/>
        <rFont val="Times New Roman"/>
        <family val="1"/>
      </rPr>
      <t>R</t>
    </r>
  </si>
  <si>
    <t>Si 1;</t>
  </si>
  <si>
    <t>SiO2</t>
  </si>
  <si>
    <t>Si 1;O 2;</t>
  </si>
  <si>
    <t>SiOx</t>
  </si>
  <si>
    <t>Model</t>
  </si>
  <si>
    <r>
      <t>R</t>
    </r>
    <r>
      <rPr>
        <b/>
        <vertAlign val="subscript"/>
        <sz val="12"/>
        <rFont val="Times New Roman"/>
        <family val="1"/>
      </rPr>
      <t>model</t>
    </r>
  </si>
  <si>
    <t>Reflectivity Data from Air</t>
  </si>
  <si>
    <t>C 8;H 7;O 3;S 1;</t>
  </si>
  <si>
    <t>PSS (1 g/cm3)</t>
  </si>
  <si>
    <t>Si [x]</t>
  </si>
  <si>
    <t>PAH [x]</t>
  </si>
  <si>
    <t>C 3;H 8;N 1;</t>
  </si>
  <si>
    <t>PAH (1 g/cm3)</t>
  </si>
  <si>
    <t>PSS [x]</t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</si>
  <si>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0</t>
    </r>
    <r>
      <rPr>
        <b/>
        <sz val="12"/>
        <color indexed="43"/>
        <rFont val="Times New Roman"/>
        <family val="1"/>
      </rPr>
      <t xml:space="preserve"> (Å</t>
    </r>
    <r>
      <rPr>
        <b/>
        <vertAlign val="superscript"/>
        <sz val="12"/>
        <color indexed="43"/>
        <rFont val="Times New Roman"/>
        <family val="1"/>
      </rPr>
      <t>-1</t>
    </r>
    <r>
      <rPr>
        <b/>
        <sz val="12"/>
        <color indexed="43"/>
        <rFont val="Times New Roman"/>
        <family val="1"/>
      </rPr>
      <t>)</t>
    </r>
  </si>
  <si>
    <r>
      <t xml:space="preserve">λ </t>
    </r>
    <r>
      <rPr>
        <b/>
        <sz val="12"/>
        <color indexed="43"/>
        <rFont val="Times New Roman"/>
        <family val="1"/>
      </rPr>
      <t>(Å)</t>
    </r>
  </si>
  <si>
    <r>
      <t>d</t>
    </r>
    <r>
      <rPr>
        <b/>
        <i/>
        <sz val="12"/>
        <color indexed="43"/>
        <rFont val="Times New Roman"/>
        <family val="1"/>
      </rPr>
      <t>Q</t>
    </r>
    <r>
      <rPr>
        <b/>
        <vertAlign val="subscript"/>
        <sz val="12"/>
        <color indexed="43"/>
        <rFont val="Times New Roman"/>
        <family val="1"/>
      </rPr>
      <t>1</t>
    </r>
    <r>
      <rPr>
        <b/>
        <sz val="12"/>
        <color indexed="43"/>
        <rFont val="Times New Roman"/>
        <family val="1"/>
      </rPr>
      <t>/</t>
    </r>
    <r>
      <rPr>
        <b/>
        <i/>
        <sz val="12"/>
        <color indexed="43"/>
        <rFont val="Times New Roman"/>
        <family val="1"/>
      </rPr>
      <t>Q</t>
    </r>
  </si>
  <si>
    <t>SiO2 [x]</t>
  </si>
  <si>
    <t>d-GFP (barrel)</t>
  </si>
  <si>
    <t>C 122;H 43;2H 145;N 33;O 36;</t>
  </si>
  <si>
    <t>GFP (barrel) [x]</t>
  </si>
  <si>
    <r>
      <rPr>
        <b/>
        <i/>
        <sz val="12"/>
        <color indexed="44"/>
        <rFont val="Times New Roman"/>
        <family val="1"/>
      </rPr>
      <t>χ</t>
    </r>
    <r>
      <rPr>
        <b/>
        <vertAlign val="superscript"/>
        <sz val="12"/>
        <color indexed="44"/>
        <rFont val="Times New Roman"/>
        <family val="1"/>
      </rPr>
      <t>2</t>
    </r>
  </si>
  <si>
    <t>Mo 1;</t>
  </si>
  <si>
    <t>Ni 1;</t>
  </si>
  <si>
    <t>Commands</t>
  </si>
  <si>
    <t>ctrl-l : Load</t>
  </si>
  <si>
    <t>ctrl-r : Calc Refl</t>
  </si>
  <si>
    <r>
      <t xml:space="preserve">ctrl-q : Toggle </t>
    </r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</si>
  <si>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r>
      <rPr>
        <b/>
        <i/>
        <sz val="12"/>
        <color indexed="44"/>
        <rFont val="Times New Roman"/>
        <family val="1"/>
      </rPr>
      <t>RQ</t>
    </r>
    <r>
      <rPr>
        <b/>
        <vertAlign val="superscript"/>
        <sz val="12"/>
        <color indexed="44"/>
        <rFont val="Times New Roman"/>
        <family val="1"/>
      </rPr>
      <t>4</t>
    </r>
  </si>
  <si>
    <t>Vary</t>
  </si>
  <si>
    <t>Start</t>
  </si>
  <si>
    <t>Stop</t>
  </si>
  <si>
    <r>
      <t>N</t>
    </r>
    <r>
      <rPr>
        <b/>
        <vertAlign val="subscript"/>
        <sz val="12"/>
        <rFont val="Times New Roman"/>
        <family val="1"/>
      </rPr>
      <t>steps</t>
    </r>
  </si>
  <si>
    <t>ctrl-p</t>
  </si>
  <si>
    <t>p</t>
  </si>
  <si>
    <r>
      <t>χ</t>
    </r>
    <r>
      <rPr>
        <b/>
        <vertAlign val="superscript"/>
        <sz val="12"/>
        <rFont val="Times New Roman"/>
        <family val="1"/>
      </rPr>
      <t>2</t>
    </r>
  </si>
  <si>
    <r>
      <t>p</t>
    </r>
    <r>
      <rPr>
        <b/>
        <vertAlign val="subscript"/>
        <sz val="12"/>
        <rFont val="Times New Roman"/>
        <family val="1"/>
      </rPr>
      <t>min</t>
    </r>
  </si>
  <si>
    <r>
      <t>δp</t>
    </r>
    <r>
      <rPr>
        <b/>
        <vertAlign val="subscript"/>
        <sz val="12"/>
        <rFont val="Times New Roman"/>
        <family val="1"/>
      </rPr>
      <t>min</t>
    </r>
  </si>
  <si>
    <t>dPMAA</t>
  </si>
  <si>
    <t>C 4;2H 6;O 2;</t>
  </si>
  <si>
    <t>PMAA</t>
  </si>
  <si>
    <t>PVPON</t>
  </si>
  <si>
    <t>C 6;H 9;N 1;O 1;</t>
  </si>
  <si>
    <t>C 4;H 6;O 2;</t>
  </si>
  <si>
    <t>#</t>
  </si>
  <si>
    <t>Experiment</t>
  </si>
  <si>
    <t>Run</t>
  </si>
  <si>
    <t>title:</t>
  </si>
  <si>
    <t>start</t>
  </si>
  <si>
    <t>time:</t>
  </si>
  <si>
    <t>Reduction</t>
  </si>
  <si>
    <t>Mantid</t>
  </si>
  <si>
    <t>version:</t>
  </si>
  <si>
    <t>Scaling</t>
  </si>
  <si>
    <t>factor:</t>
  </si>
  <si>
    <t>DataRun</t>
  </si>
  <si>
    <t>NormRun</t>
  </si>
  <si>
    <t>TwoTheta(deg)</t>
  </si>
  <si>
    <t>LambdaMin(A)</t>
  </si>
  <si>
    <t>LambdaMax(A)</t>
  </si>
  <si>
    <t>Qmin(1/A)</t>
  </si>
  <si>
    <t>Qmax(1/A)</t>
  </si>
  <si>
    <t>SF_A</t>
  </si>
  <si>
    <t>SF_B</t>
  </si>
  <si>
    <t>PrimaryFrac</t>
  </si>
  <si>
    <t>Date:</t>
  </si>
  <si>
    <t>method:</t>
  </si>
  <si>
    <t>manual</t>
  </si>
  <si>
    <t>engine:</t>
  </si>
  <si>
    <t>RefRed</t>
  </si>
  <si>
    <t>2theta(degrees)</t>
  </si>
  <si>
    <t>ScalingFactor</t>
  </si>
  <si>
    <t>Total</t>
  </si>
  <si>
    <t>Counts</t>
  </si>
  <si>
    <t>pcCharge(mC)</t>
  </si>
  <si>
    <t>Clocking</t>
  </si>
  <si>
    <t>Correction</t>
  </si>
  <si>
    <t>used</t>
  </si>
  <si>
    <t>clock1:</t>
  </si>
  <si>
    <t>clock2:</t>
  </si>
  <si>
    <t>dQ0[1/Angstroms]=</t>
  </si>
  <si>
    <t>dQ1/Q=</t>
  </si>
  <si>
    <t>Q[1/Angstroms]</t>
  </si>
  <si>
    <t>delta_R</t>
  </si>
  <si>
    <t>Precision</t>
  </si>
  <si>
    <t>dQ0[1/Angstrom]</t>
  </si>
  <si>
    <t>=</t>
  </si>
  <si>
    <t>dQ/Q</t>
  </si>
  <si>
    <t>Q[1/Angstrom]</t>
  </si>
  <si>
    <r>
      <t>Σ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</si>
  <si>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abs</t>
    </r>
    <r>
      <rPr>
        <b/>
        <sz val="12"/>
        <rFont val="Times New Roman"/>
        <family val="1"/>
      </rPr>
      <t>/</t>
    </r>
    <r>
      <rPr>
        <b/>
        <i/>
        <sz val="12"/>
        <rFont val="Symbol"/>
        <family val="1"/>
        <charset val="2"/>
      </rPr>
      <t>l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</si>
  <si>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m</t>
    </r>
    <r>
      <rPr>
        <b/>
        <i/>
        <vertAlign val="subscript"/>
        <sz val="12"/>
        <rFont val="Times New Roman"/>
        <family val="1"/>
      </rPr>
      <t>l</t>
    </r>
    <r>
      <rPr>
        <b/>
        <vertAlign val="superscript"/>
        <sz val="12"/>
        <rFont val="Times New Roman"/>
        <family val="1"/>
      </rPr>
      <t>inc</t>
    </r>
    <r>
      <rPr>
        <b/>
        <vertAlign val="subscript"/>
        <sz val="12"/>
        <rFont val="Times New Roman"/>
        <family val="1"/>
      </rPr>
      <t xml:space="preserve"> (</t>
    </r>
    <r>
      <rPr>
        <b/>
        <sz val="12"/>
        <rFont val="Times New Roman"/>
        <family val="1"/>
      </rPr>
      <t>Å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</si>
  <si>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Incoherent Sum</t>
  </si>
  <si>
    <t>ctrl-s</t>
  </si>
  <si>
    <r>
      <t>R</t>
    </r>
    <r>
      <rPr>
        <b/>
        <sz val="12"/>
        <rFont val="Times New Roman"/>
        <family val="1"/>
      </rPr>
      <t xml:space="preserve">(1 –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</si>
  <si>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</t>
    </r>
    <r>
      <rPr>
        <b/>
        <sz val="12"/>
        <rFont val="Times New Roman"/>
        <family val="1"/>
      </rPr>
      <t>)</t>
    </r>
  </si>
  <si>
    <r>
      <t>R</t>
    </r>
    <r>
      <rPr>
        <b/>
        <sz val="12"/>
        <rFont val="Times New Roman"/>
        <family val="1"/>
      </rPr>
      <t xml:space="preserve">(1 + </t>
    </r>
    <r>
      <rPr>
        <b/>
        <i/>
        <sz val="12"/>
        <rFont val="Times New Roman"/>
        <family val="1"/>
      </rPr>
      <t>δd/d</t>
    </r>
    <r>
      <rPr>
        <b/>
        <sz val="12"/>
        <rFont val="Times New Roman"/>
        <family val="1"/>
      </rPr>
      <t>)</t>
    </r>
  </si>
  <si>
    <t>Sum</t>
  </si>
  <si>
    <t>δd/d</t>
  </si>
  <si>
    <t>Smear Factor</t>
  </si>
  <si>
    <t>ctrl-i</t>
  </si>
  <si>
    <t>air</t>
  </si>
  <si>
    <t>H-stack</t>
  </si>
  <si>
    <t>BPEI</t>
  </si>
  <si>
    <t>H4</t>
  </si>
  <si>
    <t>G4</t>
  </si>
  <si>
    <t>D-stack</t>
  </si>
  <si>
    <t>H10</t>
  </si>
  <si>
    <t>G5</t>
  </si>
  <si>
    <t>4.2.0</t>
  </si>
  <si>
    <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</si>
  <si>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</si>
  <si>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</si>
  <si>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</si>
  <si>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r>
      <t>ρ</t>
    </r>
    <r>
      <rPr>
        <b/>
        <sz val="12"/>
        <rFont val="Times New Roman"/>
        <family val="1"/>
      </rPr>
      <t xml:space="preserve"> (g cm</t>
    </r>
    <r>
      <rPr>
        <b/>
        <vertAlign val="superscript"/>
        <sz val="12"/>
        <rFont val="Times New Roman"/>
        <family val="1"/>
      </rPr>
      <t>-3</t>
    </r>
    <r>
      <rPr>
        <b/>
        <sz val="12"/>
        <rFont val="Times New Roman"/>
        <family val="1"/>
      </rPr>
      <t>)</t>
    </r>
  </si>
  <si>
    <r>
      <t>f</t>
    </r>
    <r>
      <rPr>
        <b/>
        <vertAlign val="subscript"/>
        <sz val="12"/>
        <rFont val="Times New Roman"/>
        <family val="1"/>
      </rPr>
      <t>PEO</t>
    </r>
  </si>
  <si>
    <t>H18</t>
  </si>
  <si>
    <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</si>
  <si>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</si>
  <si>
    <r>
      <t>d</t>
    </r>
    <r>
      <rPr>
        <b/>
        <vertAlign val="subscript"/>
        <sz val="12"/>
        <rFont val="Times New Roman"/>
        <family val="1"/>
      </rPr>
      <t>Total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(Å)</t>
    </r>
  </si>
  <si>
    <t>δp</t>
  </si>
  <si>
    <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</si>
  <si>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</si>
  <si>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</si>
  <si>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</si>
  <si>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</si>
  <si>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</si>
  <si>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t>d</t>
    </r>
    <r>
      <rPr>
        <b/>
        <vertAlign val="superscript"/>
        <sz val="12"/>
        <rFont val="Times New Roman"/>
        <family val="1"/>
      </rPr>
      <t>total</t>
    </r>
    <r>
      <rPr>
        <b/>
        <sz val="12"/>
        <rFont val="Times New Roman"/>
        <family val="1"/>
      </rPr>
      <t xml:space="preserve"> (Å)</t>
    </r>
  </si>
  <si>
    <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(Å)</t>
    </r>
  </si>
  <si>
    <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</si>
  <si>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t>C5</t>
  </si>
  <si>
    <r>
      <t>δp</t>
    </r>
    <r>
      <rPr>
        <b/>
        <vertAlign val="subscript"/>
        <sz val="12"/>
        <rFont val="Times New Roman"/>
        <family val="1"/>
      </rPr>
      <t>meas</t>
    </r>
  </si>
  <si>
    <t>C4</t>
  </si>
  <si>
    <t>Parent Model Parameters</t>
  </si>
  <si>
    <t>C8</t>
  </si>
  <si>
    <r>
      <t>S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</si>
  <si>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t>M</t>
    </r>
    <r>
      <rPr>
        <b/>
        <vertAlign val="subscript"/>
        <sz val="12"/>
        <rFont val="Times New Roman"/>
        <family val="1"/>
      </rPr>
      <t>P2HMA</t>
    </r>
    <r>
      <rPr>
        <b/>
        <sz val="12"/>
        <rFont val="Times New Roman"/>
        <family val="1"/>
      </rPr>
      <t xml:space="preserve"> (g mole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>)</t>
    </r>
  </si>
  <si>
    <t>IPTS-23087</t>
  </si>
  <si>
    <t>5_P2HMA_57h63d_132m110h_1min-174505-1.</t>
  </si>
  <si>
    <t>2019-11-19T02:13:54.432449667</t>
  </si>
  <si>
    <t>Mar</t>
  </si>
  <si>
    <t>Wed</t>
  </si>
  <si>
    <t>24_03_2021</t>
  </si>
  <si>
    <t>H20</t>
  </si>
  <si>
    <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 xml:space="preserve"> </t>
    </r>
    <r>
      <rPr>
        <b/>
        <sz val="12"/>
        <rFont val="Times New Roman"/>
        <family val="1"/>
      </rPr>
      <t>=</t>
    </r>
    <r>
      <rPr>
        <b/>
        <i/>
        <sz val="12"/>
        <rFont val="Times New Roman"/>
        <family val="1"/>
      </rPr>
      <t xml:space="preserve"> ρ</t>
    </r>
    <r>
      <rPr>
        <b/>
        <sz val="12"/>
        <rFont val="Times New Roman"/>
        <family val="1"/>
      </rPr>
      <t>×{(1 –</t>
    </r>
    <r>
      <rPr>
        <b/>
        <i/>
        <sz val="12"/>
        <rFont val="Times New Roman"/>
        <family val="1"/>
      </rPr>
      <t xml:space="preserve"> 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P3HMA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[(1 –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+ 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(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/</t>
    </r>
    <r>
      <rPr>
        <b/>
        <i/>
        <sz val="12"/>
        <rFont val="Times New Roman"/>
        <family val="1"/>
      </rPr>
      <t>M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>)</t>
    </r>
    <r>
      <rPr>
        <b/>
        <i/>
        <sz val="12"/>
        <rFont val="Times New Roman"/>
        <family val="1"/>
      </rPr>
      <t>S</t>
    </r>
    <r>
      <rPr>
        <b/>
        <vertAlign val="subscript"/>
        <sz val="12"/>
        <rFont val="Times New Roman"/>
        <family val="1"/>
      </rPr>
      <t>dPEO</t>
    </r>
    <r>
      <rPr>
        <b/>
        <sz val="12"/>
        <rFont val="Times New Roman"/>
        <family val="1"/>
      </rPr>
      <t>]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</si>
  <si>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ρ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 xml:space="preserve"> g</t>
    </r>
    <r>
      <rPr>
        <b/>
        <vertAlign val="superscript"/>
        <sz val="12"/>
        <rFont val="Times New Roman"/>
        <family val="1"/>
      </rPr>
      <t>-1</t>
    </r>
    <r>
      <rPr>
        <b/>
        <sz val="12"/>
        <rFont val="Times New Roman"/>
        <family val="1"/>
      </rPr>
      <t xml:space="preserve"> cm</t>
    </r>
    <r>
      <rPr>
        <b/>
        <vertAlign val="superscript"/>
        <sz val="12"/>
        <rFont val="Times New Roman"/>
        <family val="1"/>
      </rPr>
      <t>3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</si>
  <si>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PEO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</si>
  <si>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∂</t>
    </r>
    <r>
      <rPr>
        <b/>
        <i/>
        <sz val="12"/>
        <rFont val="Times New Roman"/>
        <family val="1"/>
      </rPr>
      <t>Σ</t>
    </r>
    <r>
      <rPr>
        <b/>
        <vertAlign val="superscript"/>
        <sz val="12"/>
        <rFont val="Times New Roman"/>
        <family val="1"/>
      </rPr>
      <t>D</t>
    </r>
    <r>
      <rPr>
        <b/>
        <sz val="12"/>
        <rFont val="Times New Roman"/>
        <family val="1"/>
      </rPr>
      <t>/∂</t>
    </r>
    <r>
      <rPr>
        <b/>
        <i/>
        <sz val="12"/>
        <rFont val="Times New Roman"/>
        <family val="1"/>
      </rPr>
      <t>f</t>
    </r>
    <r>
      <rPr>
        <b/>
        <vertAlign val="subscript"/>
        <sz val="12"/>
        <rFont val="Times New Roman"/>
        <family val="1"/>
      </rPr>
      <t>d</t>
    </r>
    <r>
      <rPr>
        <b/>
        <vertAlign val="superscript"/>
        <sz val="12"/>
        <rFont val="Times New Roman"/>
        <family val="1"/>
      </rPr>
      <t>H</t>
    </r>
    <r>
      <rPr>
        <b/>
        <sz val="12"/>
        <rFont val="Times New Roman"/>
        <family val="1"/>
      </rPr>
      <t xml:space="preserve"> (Å</t>
    </r>
    <r>
      <rPr>
        <b/>
        <vertAlign val="superscript"/>
        <sz val="12"/>
        <rFont val="Times New Roman"/>
        <family val="1"/>
      </rPr>
      <t>-2</t>
    </r>
    <r>
      <rPr>
        <b/>
        <sz val="12"/>
        <rFont val="Times New Roman"/>
        <family val="1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</si>
</sst>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E+00"/>
    <numFmt numFmtId="166" formatCode="0.0"/>
    <numFmt numFmtId="167" formatCode="0.0000"/>
  </numFmts>
  <fonts count="54" x14ac:knownFonts="1"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0"/>
      <color indexed="10"/>
      <name val="Times New Roman"/>
      <family val="1"/>
    </font>
    <font>
      <b/>
      <sz val="10"/>
      <name val="Times New Roman"/>
      <family val="1"/>
    </font>
    <font>
      <sz val="10"/>
      <name val="Times New Roman"/>
      <family val="1"/>
    </font>
    <font>
      <b/>
      <vertAlign val="superscript"/>
      <sz val="10"/>
      <name val="Times New Roman"/>
      <family val="1"/>
    </font>
    <font>
      <b/>
      <i/>
      <sz val="10"/>
      <name val="Symbol"/>
      <family val="1"/>
      <charset val="2"/>
    </font>
    <font>
      <b/>
      <i/>
      <vertAlign val="subscript"/>
      <sz val="10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i/>
      <sz val="12"/>
      <name val="Times New Roman"/>
      <family val="1"/>
    </font>
    <font>
      <vertAlign val="superscript"/>
      <sz val="12"/>
      <name val="Times New Roman"/>
      <family val="1"/>
    </font>
    <font>
      <i/>
      <sz val="12"/>
      <name val="Symbol"/>
      <family val="1"/>
      <charset val="2"/>
    </font>
    <font>
      <i/>
      <vertAlign val="subscript"/>
      <sz val="12"/>
      <name val="Times New Roman"/>
      <family val="1"/>
    </font>
    <font>
      <vertAlign val="subscript"/>
      <sz val="12"/>
      <name val="Times New Roman"/>
      <family val="1"/>
    </font>
    <font>
      <b/>
      <sz val="12"/>
      <name val="Times New Roman"/>
      <family val="1"/>
    </font>
    <font>
      <b/>
      <i/>
      <sz val="12"/>
      <name val="Times New Roman"/>
      <family val="1"/>
    </font>
    <font>
      <b/>
      <vertAlign val="superscript"/>
      <sz val="12"/>
      <name val="Times New Roman"/>
      <family val="1"/>
    </font>
    <font>
      <b/>
      <i/>
      <sz val="12"/>
      <name val="Symbol"/>
      <family val="1"/>
      <charset val="2"/>
    </font>
    <font>
      <b/>
      <i/>
      <vertAlign val="subscript"/>
      <sz val="12"/>
      <name val="Times New Roman"/>
      <family val="1"/>
    </font>
    <font>
      <b/>
      <vertAlign val="subscript"/>
      <sz val="12"/>
      <name val="Times New Roman"/>
      <family val="1"/>
    </font>
    <font>
      <sz val="12"/>
      <name val="Symbol"/>
      <family val="1"/>
      <charset val="2"/>
    </font>
    <font>
      <sz val="12"/>
      <name val="Times New Roman"/>
      <family val="1"/>
    </font>
    <font>
      <sz val="9"/>
      <name val="Arial"/>
      <family val="2"/>
    </font>
    <font>
      <sz val="9"/>
      <name val="Verdana"/>
      <family val="2"/>
    </font>
    <font>
      <sz val="10"/>
      <name val="Mistral"/>
      <family val="4"/>
    </font>
    <font>
      <sz val="8"/>
      <name val="Times New Roman"/>
      <family val="1"/>
    </font>
    <font>
      <b/>
      <sz val="12"/>
      <color indexed="44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i/>
      <sz val="12"/>
      <color indexed="43"/>
      <name val="Symbol"/>
      <family val="1"/>
      <charset val="2"/>
    </font>
    <font>
      <b/>
      <i/>
      <sz val="12"/>
      <color indexed="43"/>
      <name val="Times New Roman"/>
      <family val="1"/>
    </font>
    <font>
      <b/>
      <sz val="12"/>
      <color indexed="43"/>
      <name val="Times New Roman"/>
      <family val="1"/>
    </font>
    <font>
      <b/>
      <vertAlign val="subscript"/>
      <sz val="12"/>
      <color indexed="43"/>
      <name val="Times New Roman"/>
      <family val="1"/>
    </font>
    <font>
      <b/>
      <vertAlign val="superscript"/>
      <sz val="12"/>
      <color indexed="43"/>
      <name val="Times New Roman"/>
      <family val="1"/>
    </font>
    <font>
      <b/>
      <i/>
      <sz val="12"/>
      <color indexed="44"/>
      <name val="Times New Roman"/>
      <family val="1"/>
    </font>
    <font>
      <b/>
      <vertAlign val="superscript"/>
      <sz val="12"/>
      <color indexed="44"/>
      <name val="Times New Roman"/>
      <family val="1"/>
    </font>
    <font>
      <b/>
      <u/>
      <sz val="12"/>
      <color indexed="44"/>
      <name val="Times New Roman"/>
      <family val="1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3">
    <xf numFmtId="2" fontId="0" fillId="0" borderId="0"/>
    <xf numFmtId="0" fontId="29" fillId="2" borderId="0" applyNumberFormat="0" applyBorder="0" applyAlignment="0" applyProtection="0"/>
    <xf numFmtId="0" fontId="29" fillId="3" borderId="0" applyNumberFormat="0" applyBorder="0" applyAlignment="0" applyProtection="0"/>
    <xf numFmtId="0" fontId="29" fillId="4" borderId="0" applyNumberFormat="0" applyBorder="0" applyAlignment="0" applyProtection="0"/>
    <xf numFmtId="0" fontId="29" fillId="5" borderId="0" applyNumberFormat="0" applyBorder="0" applyAlignment="0" applyProtection="0"/>
    <xf numFmtId="0" fontId="29" fillId="6" borderId="0" applyNumberFormat="0" applyBorder="0" applyAlignment="0" applyProtection="0"/>
    <xf numFmtId="0" fontId="29" fillId="7" borderId="0" applyNumberFormat="0" applyBorder="0" applyAlignment="0" applyProtection="0"/>
    <xf numFmtId="0" fontId="29" fillId="8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5" borderId="0" applyNumberFormat="0" applyBorder="0" applyAlignment="0" applyProtection="0"/>
    <xf numFmtId="0" fontId="29" fillId="8" borderId="0" applyNumberFormat="0" applyBorder="0" applyAlignment="0" applyProtection="0"/>
    <xf numFmtId="0" fontId="29" fillId="11" borderId="0" applyNumberFormat="0" applyBorder="0" applyAlignment="0" applyProtection="0"/>
    <xf numFmtId="0" fontId="30" fillId="12" borderId="0" applyNumberFormat="0" applyBorder="0" applyAlignment="0" applyProtection="0"/>
    <xf numFmtId="0" fontId="30" fillId="9" borderId="0" applyNumberFormat="0" applyBorder="0" applyAlignment="0" applyProtection="0"/>
    <xf numFmtId="0" fontId="30" fillId="10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5" borderId="0" applyNumberFormat="0" applyBorder="0" applyAlignment="0" applyProtection="0"/>
    <xf numFmtId="0" fontId="30" fillId="16" borderId="0" applyNumberFormat="0" applyBorder="0" applyAlignment="0" applyProtection="0"/>
    <xf numFmtId="0" fontId="30" fillId="17" borderId="0" applyNumberFormat="0" applyBorder="0" applyAlignment="0" applyProtection="0"/>
    <xf numFmtId="0" fontId="30" fillId="18" borderId="0" applyNumberFormat="0" applyBorder="0" applyAlignment="0" applyProtection="0"/>
    <xf numFmtId="0" fontId="30" fillId="13" borderId="0" applyNumberFormat="0" applyBorder="0" applyAlignment="0" applyProtection="0"/>
    <xf numFmtId="0" fontId="30" fillId="14" borderId="0" applyNumberFormat="0" applyBorder="0" applyAlignment="0" applyProtection="0"/>
    <xf numFmtId="0" fontId="30" fillId="19" borderId="0" applyNumberFormat="0" applyBorder="0" applyAlignment="0" applyProtection="0"/>
    <xf numFmtId="0" fontId="31" fillId="3" borderId="0" applyNumberFormat="0" applyBorder="0" applyAlignment="0" applyProtection="0"/>
    <xf numFmtId="0" fontId="32" fillId="20" borderId="1" applyNumberFormat="0" applyAlignment="0" applyProtection="0"/>
    <xf numFmtId="0" fontId="33" fillId="21" borderId="2" applyNumberFormat="0" applyAlignment="0" applyProtection="0"/>
    <xf numFmtId="0" fontId="34" fillId="0" borderId="0" applyNumberFormat="0" applyFill="0" applyBorder="0" applyAlignment="0" applyProtection="0"/>
    <xf numFmtId="0" fontId="35" fillId="4" borderId="0" applyNumberFormat="0" applyBorder="0" applyAlignment="0" applyProtection="0"/>
    <xf numFmtId="0" fontId="36" fillId="0" borderId="3" applyNumberFormat="0" applyFill="0" applyAlignment="0" applyProtection="0"/>
    <xf numFmtId="0" fontId="37" fillId="0" borderId="4" applyNumberFormat="0" applyFill="0" applyAlignment="0" applyProtection="0"/>
    <xf numFmtId="0" fontId="38" fillId="0" borderId="5" applyNumberFormat="0" applyFill="0" applyAlignment="0" applyProtection="0"/>
    <xf numFmtId="0" fontId="38" fillId="0" borderId="0" applyNumberFormat="0" applyFill="0" applyBorder="0" applyAlignment="0" applyProtection="0"/>
    <xf numFmtId="0" fontId="39" fillId="7" borderId="1" applyNumberFormat="0" applyAlignment="0" applyProtection="0"/>
    <xf numFmtId="0" fontId="40" fillId="0" borderId="6" applyNumberFormat="0" applyFill="0" applyAlignment="0" applyProtection="0"/>
    <xf numFmtId="0" fontId="41" fillId="22" borderId="0" applyNumberFormat="0" applyBorder="0" applyAlignment="0" applyProtection="0"/>
    <xf numFmtId="0" fontId="1" fillId="0" borderId="0"/>
    <xf numFmtId="0" fontId="10" fillId="23" borderId="7" applyNumberFormat="0" applyFont="0" applyAlignment="0" applyProtection="0"/>
    <xf numFmtId="0" fontId="42" fillId="20" borderId="8" applyNumberFormat="0" applyAlignment="0" applyProtection="0"/>
    <xf numFmtId="0" fontId="43" fillId="0" borderId="0" applyNumberFormat="0" applyFill="0" applyBorder="0" applyAlignment="0" applyProtection="0"/>
    <xf numFmtId="0" fontId="44" fillId="0" borderId="9" applyNumberFormat="0" applyFill="0" applyAlignment="0" applyProtection="0"/>
    <xf numFmtId="0" fontId="45" fillId="0" borderId="0" applyNumberFormat="0" applyFill="0" applyBorder="0" applyAlignment="0" applyProtection="0"/>
  </cellStyleXfs>
  <cellXfs count="190">
    <xf numFmtId="2" fontId="0" fillId="0" borderId="0" xfId="0"/>
    <xf numFmtId="11" fontId="0" fillId="0" borderId="0" xfId="0" applyNumberFormat="1"/>
    <xf numFmtId="0" fontId="1" fillId="0" borderId="0" xfId="37"/>
    <xf numFmtId="0" fontId="3" fillId="0" borderId="0" xfId="37" applyFont="1" applyAlignment="1">
      <alignment horizontal="center" wrapText="1"/>
    </xf>
    <xf numFmtId="0" fontId="1" fillId="0" borderId="0" xfId="37" applyFont="1"/>
    <xf numFmtId="0" fontId="4" fillId="0" borderId="0" xfId="37" applyFont="1" applyAlignment="1">
      <alignment horizontal="center" wrapText="1"/>
    </xf>
    <xf numFmtId="0" fontId="5" fillId="0" borderId="0" xfId="37" applyFont="1" applyAlignment="1">
      <alignment wrapText="1"/>
    </xf>
    <xf numFmtId="0" fontId="2" fillId="0" borderId="0" xfId="37" applyFont="1" applyAlignment="1">
      <alignment wrapText="1"/>
    </xf>
    <xf numFmtId="11" fontId="2" fillId="0" borderId="0" xfId="37" applyNumberFormat="1" applyFont="1"/>
    <xf numFmtId="11" fontId="9" fillId="0" borderId="0" xfId="37" applyNumberFormat="1" applyFont="1"/>
    <xf numFmtId="11" fontId="7" fillId="0" borderId="0" xfId="37" applyNumberFormat="1" applyFont="1"/>
    <xf numFmtId="2" fontId="2" fillId="0" borderId="0" xfId="37" applyNumberFormat="1" applyFont="1"/>
    <xf numFmtId="2" fontId="4" fillId="0" borderId="0" xfId="37" applyNumberFormat="1" applyFont="1" applyAlignment="1">
      <alignment horizontal="center" wrapText="1"/>
    </xf>
    <xf numFmtId="2" fontId="5" fillId="0" borderId="0" xfId="37" applyNumberFormat="1" applyFont="1"/>
    <xf numFmtId="2" fontId="5" fillId="0" borderId="0" xfId="37" applyNumberFormat="1" applyFont="1" applyAlignment="1">
      <alignment wrapText="1"/>
    </xf>
    <xf numFmtId="2" fontId="10" fillId="0" borderId="0" xfId="0" applyFont="1"/>
    <xf numFmtId="2" fontId="0" fillId="0" borderId="0" xfId="0" applyAlignment="1">
      <alignment vertical="center"/>
    </xf>
    <xf numFmtId="2" fontId="23" fillId="0" borderId="0" xfId="0" applyFont="1" applyAlignment="1">
      <alignment horizontal="right"/>
    </xf>
    <xf numFmtId="11" fontId="0" fillId="24" borderId="0" xfId="0" applyNumberFormat="1" applyFill="1"/>
    <xf numFmtId="11" fontId="0" fillId="25" borderId="0" xfId="0" applyNumberFormat="1" applyFill="1"/>
    <xf numFmtId="11" fontId="10" fillId="25" borderId="0" xfId="0" applyNumberFormat="1" applyFont="1" applyFill="1" applyAlignment="1">
      <alignment horizontal="right"/>
    </xf>
    <xf numFmtId="165" fontId="0" fillId="25" borderId="0" xfId="0" applyNumberFormat="1" applyFill="1"/>
    <xf numFmtId="2" fontId="17" fillId="24" borderId="0" xfId="0" applyFont="1" applyFill="1" applyAlignment="1">
      <alignment horizontal="center" vertical="center"/>
    </xf>
    <xf numFmtId="11" fontId="17" fillId="24" borderId="0" xfId="0" applyNumberFormat="1" applyFont="1" applyFill="1" applyAlignment="1">
      <alignment horizontal="center" vertical="center"/>
    </xf>
    <xf numFmtId="11" fontId="19" fillId="24" borderId="0" xfId="0" applyNumberFormat="1" applyFont="1" applyFill="1" applyAlignment="1">
      <alignment horizontal="center" vertical="center"/>
    </xf>
    <xf numFmtId="2" fontId="17" fillId="24" borderId="0" xfId="0" applyNumberFormat="1" applyFont="1" applyFill="1" applyAlignment="1">
      <alignment horizontal="center" vertical="center"/>
    </xf>
    <xf numFmtId="1" fontId="0" fillId="24" borderId="0" xfId="0" applyNumberFormat="1" applyFill="1"/>
    <xf numFmtId="2" fontId="0" fillId="24" borderId="0" xfId="0" applyFill="1"/>
    <xf numFmtId="2" fontId="0" fillId="24" borderId="0" xfId="0" applyNumberFormat="1" applyFill="1"/>
    <xf numFmtId="11" fontId="0" fillId="24" borderId="0" xfId="0" applyNumberFormat="1" applyFill="1" applyAlignment="1">
      <alignment horizontal="right"/>
    </xf>
    <xf numFmtId="11" fontId="23" fillId="24" borderId="0" xfId="0" applyNumberFormat="1" applyFont="1" applyFill="1" applyAlignment="1">
      <alignment horizontal="right"/>
    </xf>
    <xf numFmtId="2" fontId="23" fillId="24" borderId="0" xfId="0" applyFont="1" applyFill="1" applyAlignment="1">
      <alignment horizontal="right"/>
    </xf>
    <xf numFmtId="11" fontId="23" fillId="24" borderId="0" xfId="0" applyNumberFormat="1" applyFont="1" applyFill="1"/>
    <xf numFmtId="11" fontId="10" fillId="24" borderId="0" xfId="0" applyNumberFormat="1" applyFont="1" applyFill="1" applyAlignment="1">
      <alignment horizontal="right"/>
    </xf>
    <xf numFmtId="11" fontId="25" fillId="24" borderId="0" xfId="0" applyNumberFormat="1" applyFont="1" applyFill="1" applyAlignment="1">
      <alignment horizontal="right"/>
    </xf>
    <xf numFmtId="11" fontId="24" fillId="24" borderId="0" xfId="0" applyNumberFormat="1" applyFont="1" applyFill="1" applyAlignment="1">
      <alignment horizontal="right"/>
    </xf>
    <xf numFmtId="11" fontId="22" fillId="24" borderId="0" xfId="0" applyNumberFormat="1" applyFont="1" applyFill="1" applyAlignment="1">
      <alignment horizontal="right"/>
    </xf>
    <xf numFmtId="11" fontId="26" fillId="24" borderId="0" xfId="0" applyNumberFormat="1" applyFont="1" applyFill="1" applyAlignment="1">
      <alignment horizontal="right"/>
    </xf>
    <xf numFmtId="11" fontId="10" fillId="24" borderId="0" xfId="0" applyNumberFormat="1" applyFont="1" applyFill="1" applyAlignment="1">
      <alignment horizontal="right" vertical="center"/>
    </xf>
    <xf numFmtId="166" fontId="0" fillId="25" borderId="0" xfId="0" applyNumberFormat="1" applyFill="1"/>
    <xf numFmtId="164" fontId="0" fillId="25" borderId="0" xfId="0" applyNumberFormat="1" applyFill="1"/>
    <xf numFmtId="164" fontId="10" fillId="25" borderId="0" xfId="0" applyNumberFormat="1" applyFont="1" applyFill="1" applyAlignment="1">
      <alignment horizontal="right"/>
    </xf>
    <xf numFmtId="165" fontId="10" fillId="25" borderId="0" xfId="0" applyNumberFormat="1" applyFont="1" applyFill="1" applyAlignment="1">
      <alignment horizontal="right"/>
    </xf>
    <xf numFmtId="166" fontId="10" fillId="25" borderId="0" xfId="0" applyNumberFormat="1" applyFont="1" applyFill="1" applyAlignment="1">
      <alignment horizontal="right"/>
    </xf>
    <xf numFmtId="11" fontId="11" fillId="25" borderId="0" xfId="0" applyNumberFormat="1" applyFont="1" applyFill="1" applyAlignment="1">
      <alignment horizontal="center"/>
    </xf>
    <xf numFmtId="11" fontId="13" fillId="25" borderId="0" xfId="0" applyNumberFormat="1" applyFont="1" applyFill="1" applyAlignment="1">
      <alignment horizontal="center"/>
    </xf>
    <xf numFmtId="165" fontId="17" fillId="26" borderId="0" xfId="0" applyNumberFormat="1" applyFont="1" applyFill="1" applyAlignment="1">
      <alignment horizontal="right"/>
    </xf>
    <xf numFmtId="11" fontId="17" fillId="26" borderId="0" xfId="0" applyNumberFormat="1" applyFont="1" applyFill="1" applyAlignment="1">
      <alignment horizontal="right"/>
    </xf>
    <xf numFmtId="11" fontId="19" fillId="26" borderId="0" xfId="0" applyNumberFormat="1" applyFont="1" applyFill="1" applyAlignment="1">
      <alignment horizontal="right"/>
    </xf>
    <xf numFmtId="11" fontId="0" fillId="26" borderId="0" xfId="0" applyNumberFormat="1" applyFill="1"/>
    <xf numFmtId="164" fontId="0" fillId="26" borderId="0" xfId="0" applyNumberFormat="1" applyFill="1"/>
    <xf numFmtId="165" fontId="0" fillId="26" borderId="0" xfId="0" applyNumberFormat="1" applyFill="1"/>
    <xf numFmtId="165" fontId="0" fillId="26" borderId="0" xfId="0" applyNumberFormat="1" applyFill="1" applyAlignment="1">
      <alignment horizontal="right"/>
    </xf>
    <xf numFmtId="2" fontId="10" fillId="27" borderId="0" xfId="0" applyFont="1" applyFill="1" applyAlignment="1">
      <alignment horizontal="center"/>
    </xf>
    <xf numFmtId="165" fontId="11" fillId="27" borderId="0" xfId="0" applyNumberFormat="1" applyFont="1" applyFill="1" applyAlignment="1">
      <alignment horizontal="center"/>
    </xf>
    <xf numFmtId="2" fontId="0" fillId="27" borderId="0" xfId="0" applyFill="1"/>
    <xf numFmtId="165" fontId="0" fillId="27" borderId="0" xfId="0" applyNumberFormat="1" applyFill="1"/>
    <xf numFmtId="11" fontId="0" fillId="28" borderId="0" xfId="0" applyNumberFormat="1" applyFill="1"/>
    <xf numFmtId="2" fontId="17" fillId="28" borderId="0" xfId="0" applyNumberFormat="1" applyFont="1" applyFill="1" applyAlignment="1">
      <alignment horizontal="center" vertical="center"/>
    </xf>
    <xf numFmtId="11" fontId="17" fillId="28" borderId="0" xfId="0" applyNumberFormat="1" applyFont="1" applyFill="1" applyAlignment="1">
      <alignment horizontal="center" vertical="center"/>
    </xf>
    <xf numFmtId="2" fontId="0" fillId="28" borderId="0" xfId="0" applyNumberFormat="1" applyFill="1"/>
    <xf numFmtId="11" fontId="23" fillId="28" borderId="0" xfId="0" applyNumberFormat="1" applyFont="1" applyFill="1" applyAlignment="1">
      <alignment horizontal="right"/>
    </xf>
    <xf numFmtId="2" fontId="23" fillId="28" borderId="0" xfId="0" applyNumberFormat="1" applyFont="1" applyFill="1" applyAlignment="1">
      <alignment horizontal="right"/>
    </xf>
    <xf numFmtId="11" fontId="0" fillId="29" borderId="0" xfId="0" applyNumberFormat="1" applyFill="1"/>
    <xf numFmtId="11" fontId="10" fillId="29" borderId="0" xfId="0" applyNumberFormat="1" applyFont="1" applyFill="1" applyAlignment="1">
      <alignment horizontal="right"/>
    </xf>
    <xf numFmtId="2" fontId="23" fillId="24" borderId="0" xfId="0" applyNumberFormat="1" applyFont="1" applyFill="1" applyAlignment="1">
      <alignment horizontal="right"/>
    </xf>
    <xf numFmtId="11" fontId="16" fillId="30" borderId="0" xfId="0" applyNumberFormat="1" applyFont="1" applyFill="1" applyAlignment="1"/>
    <xf numFmtId="11" fontId="17" fillId="30" borderId="0" xfId="0" applyNumberFormat="1" applyFont="1" applyFill="1" applyAlignment="1">
      <alignment horizontal="center" vertical="center"/>
    </xf>
    <xf numFmtId="11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/>
    <xf numFmtId="11" fontId="16" fillId="0" borderId="0" xfId="0" applyNumberFormat="1" applyFont="1" applyFill="1" applyAlignment="1"/>
    <xf numFmtId="11" fontId="0" fillId="0" borderId="0" xfId="0" applyNumberFormat="1" applyFill="1" applyAlignment="1">
      <alignment horizontal="right"/>
    </xf>
    <xf numFmtId="2" fontId="16" fillId="0" borderId="0" xfId="0" applyFont="1" applyFill="1" applyAlignment="1">
      <alignment vertical="center"/>
    </xf>
    <xf numFmtId="11" fontId="10" fillId="0" borderId="0" xfId="0" applyNumberFormat="1" applyFont="1" applyFill="1"/>
    <xf numFmtId="11" fontId="10" fillId="0" borderId="0" xfId="0" applyNumberFormat="1" applyFont="1" applyFill="1" applyAlignment="1">
      <alignment horizontal="right"/>
    </xf>
    <xf numFmtId="11" fontId="0" fillId="0" borderId="0" xfId="0" applyNumberFormat="1" applyFill="1"/>
    <xf numFmtId="2" fontId="0" fillId="0" borderId="0" xfId="0" applyFill="1"/>
    <xf numFmtId="11" fontId="25" fillId="0" borderId="0" xfId="0" applyNumberFormat="1" applyFont="1" applyFill="1" applyAlignment="1">
      <alignment horizontal="right"/>
    </xf>
    <xf numFmtId="11" fontId="22" fillId="0" borderId="0" xfId="0" applyNumberFormat="1" applyFont="1" applyFill="1" applyAlignment="1">
      <alignment horizontal="right"/>
    </xf>
    <xf numFmtId="11" fontId="26" fillId="0" borderId="0" xfId="0" applyNumberFormat="1" applyFont="1" applyFill="1" applyAlignment="1">
      <alignment horizontal="right"/>
    </xf>
    <xf numFmtId="11" fontId="10" fillId="0" borderId="0" xfId="0" applyNumberFormat="1" applyFont="1" applyFill="1" applyAlignment="1">
      <alignment horizontal="right" vertical="center"/>
    </xf>
    <xf numFmtId="165" fontId="0" fillId="0" borderId="0" xfId="0" applyNumberFormat="1" applyFill="1" applyAlignment="1">
      <alignment horizontal="right"/>
    </xf>
    <xf numFmtId="164" fontId="46" fillId="29" borderId="0" xfId="0" applyNumberFormat="1" applyFont="1" applyFill="1" applyAlignment="1">
      <alignment horizontal="center"/>
    </xf>
    <xf numFmtId="2" fontId="47" fillId="29" borderId="0" xfId="0" applyNumberFormat="1" applyFont="1" applyFill="1" applyAlignment="1">
      <alignment horizontal="center"/>
    </xf>
    <xf numFmtId="2" fontId="48" fillId="29" borderId="0" xfId="0" applyNumberFormat="1" applyFont="1" applyFill="1" applyAlignment="1">
      <alignment horizontal="right"/>
    </xf>
    <xf numFmtId="167" fontId="48" fillId="29" borderId="0" xfId="0" applyNumberFormat="1" applyFont="1" applyFill="1"/>
    <xf numFmtId="9" fontId="0" fillId="0" borderId="0" xfId="0" applyNumberFormat="1"/>
    <xf numFmtId="166" fontId="53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left"/>
    </xf>
    <xf numFmtId="166" fontId="28" fillId="29" borderId="0" xfId="0" applyNumberFormat="1" applyFont="1" applyFill="1" applyAlignment="1">
      <alignment horizontal="center"/>
    </xf>
    <xf numFmtId="166" fontId="28" fillId="29" borderId="0" xfId="0" applyNumberFormat="1" applyFont="1" applyFill="1" applyAlignment="1">
      <alignment horizontal="right"/>
    </xf>
    <xf numFmtId="2" fontId="17" fillId="31" borderId="0" xfId="0" applyFont="1" applyFill="1" applyAlignment="1">
      <alignment horizontal="center" vertical="center"/>
    </xf>
    <xf numFmtId="1" fontId="0" fillId="32" borderId="0" xfId="0" applyNumberFormat="1" applyFill="1"/>
    <xf numFmtId="2" fontId="17" fillId="33" borderId="0" xfId="0" applyFont="1" applyFill="1" applyAlignment="1">
      <alignment horizontal="center" vertical="center"/>
    </xf>
    <xf numFmtId="2" fontId="0" fillId="34" borderId="0" xfId="0" applyFill="1"/>
    <xf numFmtId="164" fontId="0" fillId="34" borderId="0" xfId="0" applyNumberFormat="1" applyFill="1"/>
    <xf numFmtId="11" fontId="16" fillId="31" borderId="0" xfId="0" applyNumberFormat="1" applyFont="1" applyFill="1" applyAlignment="1">
      <alignment horizontal="center" vertical="center"/>
    </xf>
    <xf numFmtId="11" fontId="0" fillId="32" borderId="0" xfId="0" applyNumberFormat="1" applyFill="1" applyAlignment="1">
      <alignment horizontal="center" vertical="center"/>
    </xf>
    <xf numFmtId="11" fontId="17" fillId="33" borderId="0" xfId="0" applyNumberFormat="1" applyFont="1" applyFill="1" applyAlignment="1">
      <alignment horizontal="center" vertical="center"/>
    </xf>
    <xf numFmtId="11" fontId="0" fillId="34" borderId="0" xfId="0" applyNumberFormat="1" applyFill="1"/>
    <xf numFmtId="165" fontId="0" fillId="36" borderId="0" xfId="0" applyNumberFormat="1" applyFill="1"/>
    <xf numFmtId="11" fontId="0" fillId="36" borderId="0" xfId="0" applyNumberFormat="1" applyFill="1"/>
    <xf numFmtId="166" fontId="0" fillId="36" borderId="0" xfId="0" applyNumberFormat="1" applyFill="1"/>
    <xf numFmtId="2" fontId="10" fillId="36" borderId="0" xfId="0" applyFont="1" applyFill="1"/>
    <xf numFmtId="2" fontId="10" fillId="36" borderId="0" xfId="0" applyFont="1" applyFill="1" applyAlignment="1">
      <alignment horizontal="right"/>
    </xf>
    <xf numFmtId="166" fontId="0" fillId="32" borderId="0" xfId="0" applyNumberFormat="1" applyFill="1"/>
    <xf numFmtId="166" fontId="0" fillId="34" borderId="0" xfId="0" applyNumberFormat="1" applyFill="1"/>
    <xf numFmtId="166" fontId="0" fillId="37" borderId="0" xfId="0" applyNumberFormat="1" applyFill="1"/>
    <xf numFmtId="2" fontId="0" fillId="36" borderId="0" xfId="0" applyFill="1"/>
    <xf numFmtId="11" fontId="10" fillId="26" borderId="0" xfId="0" applyNumberFormat="1" applyFont="1" applyFill="1"/>
    <xf numFmtId="165" fontId="16" fillId="35" borderId="0" xfId="0" applyNumberFormat="1" applyFont="1" applyFill="1" applyAlignment="1">
      <alignment horizontal="center" vertical="center"/>
    </xf>
    <xf numFmtId="11" fontId="17" fillId="35" borderId="0" xfId="0" applyNumberFormat="1" applyFont="1" applyFill="1" applyAlignment="1">
      <alignment horizontal="center" vertical="center"/>
    </xf>
    <xf numFmtId="11" fontId="19" fillId="35" borderId="0" xfId="0" applyNumberFormat="1" applyFont="1" applyFill="1" applyAlignment="1">
      <alignment horizontal="center" vertical="center"/>
    </xf>
    <xf numFmtId="166" fontId="17" fillId="35" borderId="0" xfId="0" applyNumberFormat="1" applyFont="1" applyFill="1" applyAlignment="1">
      <alignment horizontal="center" vertical="center"/>
    </xf>
    <xf numFmtId="166" fontId="19" fillId="35" borderId="0" xfId="0" applyNumberFormat="1" applyFont="1" applyFill="1" applyAlignment="1">
      <alignment horizontal="center" vertical="center"/>
    </xf>
    <xf numFmtId="2" fontId="0" fillId="35" borderId="0" xfId="0" applyFill="1" applyAlignment="1">
      <alignment vertical="center"/>
    </xf>
    <xf numFmtId="164" fontId="17" fillId="36" borderId="0" xfId="0" applyNumberFormat="1" applyFont="1" applyFill="1" applyAlignment="1">
      <alignment horizontal="center"/>
    </xf>
    <xf numFmtId="21" fontId="0" fillId="0" borderId="0" xfId="0" applyNumberFormat="1"/>
    <xf numFmtId="164" fontId="48" fillId="29" borderId="0" xfId="0" applyNumberFormat="1" applyFont="1" applyFill="1"/>
    <xf numFmtId="11" fontId="0" fillId="32" borderId="0" xfId="0" applyNumberFormat="1" applyFill="1"/>
    <xf numFmtId="2" fontId="17" fillId="35" borderId="0" xfId="0" applyFont="1" applyFill="1" applyAlignment="1">
      <alignment horizontal="center"/>
    </xf>
    <xf numFmtId="164" fontId="17" fillId="36" borderId="0" xfId="0" applyNumberFormat="1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2" fontId="16" fillId="31" borderId="0" xfId="0" applyFont="1" applyFill="1" applyAlignment="1">
      <alignment horizontal="center" vertical="center"/>
    </xf>
    <xf numFmtId="165" fontId="16" fillId="38" borderId="0" xfId="0" applyNumberFormat="1" applyFont="1" applyFill="1" applyAlignment="1">
      <alignment horizontal="center" vertical="center"/>
    </xf>
    <xf numFmtId="11" fontId="17" fillId="38" borderId="0" xfId="0" applyNumberFormat="1" applyFont="1" applyFill="1" applyAlignment="1">
      <alignment horizontal="center" vertical="center"/>
    </xf>
    <xf numFmtId="165" fontId="17" fillId="38" borderId="0" xfId="0" applyNumberFormat="1" applyFont="1" applyFill="1" applyAlignment="1">
      <alignment horizontal="center" vertical="center"/>
    </xf>
    <xf numFmtId="11" fontId="0" fillId="39" borderId="0" xfId="0" applyNumberFormat="1" applyFill="1"/>
    <xf numFmtId="11" fontId="10" fillId="39" borderId="0" xfId="0" applyNumberFormat="1" applyFont="1" applyFill="1"/>
    <xf numFmtId="2" fontId="0" fillId="39" borderId="0" xfId="0" applyFill="1"/>
    <xf numFmtId="11" fontId="10" fillId="39" borderId="0" xfId="0" applyNumberFormat="1" applyFont="1" applyFill="1" applyAlignment="1">
      <alignment horizontal="right"/>
    </xf>
    <xf numFmtId="11" fontId="10" fillId="39" borderId="0" xfId="0" applyNumberFormat="1" applyFont="1" applyFill="1" applyAlignment="1">
      <alignment horizontal="right" vertical="center"/>
    </xf>
    <xf numFmtId="164" fontId="0" fillId="39" borderId="0" xfId="0" applyNumberFormat="1" applyFill="1"/>
    <xf numFmtId="165" fontId="0" fillId="39" borderId="0" xfId="0" applyNumberFormat="1" applyFill="1"/>
    <xf numFmtId="11" fontId="16" fillId="35" borderId="0" xfId="0" applyNumberFormat="1" applyFont="1" applyFill="1" applyAlignment="1">
      <alignment horizontal="center" vertical="center"/>
    </xf>
    <xf numFmtId="11" fontId="0" fillId="0" borderId="0" xfId="0" applyNumberFormat="1" applyFont="1" applyFill="1" applyAlignment="1">
      <alignment horizontal="center" vertical="center"/>
    </xf>
    <xf numFmtId="11" fontId="0" fillId="0" borderId="0" xfId="0" applyNumberFormat="1" applyAlignment="1">
      <alignment vertical="center"/>
    </xf>
    <xf numFmtId="166" fontId="17" fillId="38" borderId="0" xfId="0" applyNumberFormat="1" applyFont="1" applyFill="1" applyAlignment="1">
      <alignment horizontal="center" vertical="center"/>
    </xf>
    <xf numFmtId="166" fontId="16" fillId="38" borderId="0" xfId="0" applyNumberFormat="1" applyFont="1" applyFill="1" applyAlignment="1">
      <alignment horizontal="right"/>
    </xf>
    <xf numFmtId="166" fontId="10" fillId="39" borderId="0" xfId="0" applyNumberFormat="1" applyFont="1" applyFill="1"/>
    <xf numFmtId="166" fontId="0" fillId="39" borderId="0" xfId="0" applyNumberFormat="1" applyFill="1"/>
    <xf numFmtId="165" fontId="10" fillId="36" borderId="0" xfId="0" applyNumberFormat="1" applyFont="1" applyFill="1"/>
    <xf numFmtId="11" fontId="10" fillId="36" borderId="0" xfId="0" applyNumberFormat="1" applyFont="1" applyFill="1"/>
    <xf numFmtId="166" fontId="10" fillId="36" borderId="0" xfId="0" applyNumberFormat="1" applyFont="1" applyFill="1"/>
    <xf numFmtId="2" fontId="17" fillId="36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4" fontId="0" fillId="36" borderId="0" xfId="0" applyNumberFormat="1" applyFill="1"/>
    <xf numFmtId="2" fontId="17" fillId="36" borderId="0" xfId="0" applyFont="1" applyFill="1" applyAlignment="1">
      <alignment horizontal="center" vertical="center"/>
    </xf>
    <xf numFmtId="11" fontId="0" fillId="37" borderId="0" xfId="0" applyNumberFormat="1" applyFill="1"/>
    <xf numFmtId="166" fontId="0" fillId="40" borderId="0" xfId="0" applyNumberFormat="1" applyFill="1"/>
    <xf numFmtId="164" fontId="0" fillId="40" borderId="0" xfId="0" applyNumberFormat="1" applyFill="1" applyAlignment="1">
      <alignment horizontal="right" vertical="center"/>
    </xf>
    <xf numFmtId="11" fontId="10" fillId="40" borderId="0" xfId="0" applyNumberFormat="1" applyFont="1" applyFill="1"/>
    <xf numFmtId="11" fontId="10" fillId="30" borderId="0" xfId="0" applyNumberFormat="1" applyFont="1" applyFill="1" applyAlignment="1">
      <alignment horizontal="right"/>
    </xf>
    <xf numFmtId="11" fontId="10" fillId="30" borderId="0" xfId="0" applyNumberFormat="1" applyFont="1" applyFill="1"/>
    <xf numFmtId="11" fontId="10" fillId="30" borderId="0" xfId="0" applyNumberFormat="1" applyFont="1" applyFill="1" applyAlignment="1">
      <alignment horizontal="right" vertical="center"/>
    </xf>
    <xf numFmtId="165" fontId="10" fillId="0" borderId="0" xfId="0" applyNumberFormat="1" applyFont="1" applyFill="1" applyAlignment="1">
      <alignment horizontal="right"/>
    </xf>
    <xf numFmtId="165" fontId="10" fillId="0" borderId="0" xfId="0" applyNumberFormat="1" applyFont="1" applyFill="1" applyAlignment="1">
      <alignment horizontal="right" vertical="center"/>
    </xf>
    <xf numFmtId="11" fontId="0" fillId="40" borderId="0" xfId="0" applyNumberFormat="1" applyFill="1"/>
    <xf numFmtId="164" fontId="17" fillId="35" borderId="0" xfId="0" applyNumberFormat="1" applyFont="1" applyFill="1" applyAlignment="1">
      <alignment horizontal="center"/>
    </xf>
    <xf numFmtId="2" fontId="0" fillId="40" borderId="0" xfId="0" applyFill="1"/>
    <xf numFmtId="2" fontId="0" fillId="37" borderId="0" xfId="0" applyFill="1"/>
    <xf numFmtId="2" fontId="0" fillId="34" borderId="0" xfId="0" applyNumberFormat="1" applyFill="1"/>
    <xf numFmtId="2" fontId="0" fillId="32" borderId="0" xfId="0" applyNumberFormat="1" applyFill="1"/>
    <xf numFmtId="166" fontId="10" fillId="40" borderId="0" xfId="0" applyNumberFormat="1" applyFont="1" applyFill="1"/>
    <xf numFmtId="2" fontId="0" fillId="33" borderId="0" xfId="0" applyFill="1"/>
    <xf numFmtId="166" fontId="0" fillId="41" borderId="0" xfId="0" applyNumberFormat="1" applyFill="1"/>
    <xf numFmtId="1" fontId="0" fillId="0" borderId="0" xfId="0" applyNumberFormat="1"/>
    <xf numFmtId="2" fontId="0" fillId="41" borderId="0" xfId="0" applyFill="1"/>
    <xf numFmtId="11" fontId="0" fillId="41" borderId="0" xfId="0" applyNumberFormat="1" applyFill="1"/>
    <xf numFmtId="1" fontId="0" fillId="41" borderId="0" xfId="0" applyNumberFormat="1" applyFill="1"/>
    <xf numFmtId="166" fontId="10" fillId="37" borderId="0" xfId="0" applyNumberFormat="1" applyFont="1" applyFill="1"/>
    <xf numFmtId="165" fontId="17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right"/>
    </xf>
    <xf numFmtId="11" fontId="19" fillId="0" borderId="0" xfId="0" applyNumberFormat="1" applyFont="1" applyFill="1" applyAlignment="1">
      <alignment horizontal="right"/>
    </xf>
    <xf numFmtId="11" fontId="17" fillId="0" borderId="0" xfId="0" applyNumberFormat="1" applyFont="1" applyFill="1" applyAlignment="1">
      <alignment horizontal="center" vertical="center"/>
    </xf>
    <xf numFmtId="2" fontId="17" fillId="0" borderId="0" xfId="0" applyNumberFormat="1" applyFont="1" applyFill="1" applyAlignment="1">
      <alignment horizontal="center" vertical="center"/>
    </xf>
    <xf numFmtId="11" fontId="0" fillId="0" borderId="0" xfId="0" applyNumberFormat="1" applyFont="1" applyFill="1"/>
    <xf numFmtId="2" fontId="17" fillId="0" borderId="0" xfId="0" applyFont="1" applyFill="1" applyAlignment="1">
      <alignment horizontal="center" vertical="center"/>
    </xf>
    <xf numFmtId="2" fontId="0" fillId="0" borderId="0" xfId="0" applyNumberFormat="1" applyFill="1"/>
    <xf numFmtId="11" fontId="10" fillId="37" borderId="0" xfId="0" applyNumberFormat="1" applyFont="1" applyFill="1"/>
    <xf numFmtId="11" fontId="17" fillId="36" borderId="0" xfId="0" applyNumberFormat="1" applyFont="1" applyFill="1" applyAlignment="1">
      <alignment horizontal="center" vertical="center"/>
    </xf>
    <xf numFmtId="2" fontId="16" fillId="0" borderId="0" xfId="0" applyFont="1" applyFill="1" applyAlignment="1">
      <alignment horizontal="center"/>
    </xf>
    <xf numFmtId="2" fontId="16" fillId="36" borderId="0" xfId="0" applyFont="1" applyFill="1" applyAlignment="1">
      <alignment horizontal="center" vertical="center"/>
    </xf>
    <xf numFmtId="165" fontId="16" fillId="0" borderId="0" xfId="0" applyNumberFormat="1" applyFont="1" applyFill="1" applyAlignment="1">
      <alignment horizontal="center"/>
    </xf>
    <xf numFmtId="11" fontId="16" fillId="38" borderId="0" xfId="0" applyNumberFormat="1" applyFont="1" applyFill="1" applyAlignment="1">
      <alignment horizontal="center" vertical="center"/>
    </xf>
    <xf numFmtId="2" fontId="16" fillId="28" borderId="0" xfId="0" applyFont="1" applyFill="1" applyAlignment="1">
      <alignment horizontal="center"/>
    </xf>
    <xf numFmtId="11" fontId="16" fillId="35" borderId="0" xfId="0" applyNumberFormat="1" applyFont="1" applyFill="1" applyAlignment="1">
      <alignment horizontal="center"/>
    </xf>
    <xf numFmtId="165" fontId="16" fillId="26" borderId="0" xfId="0" applyNumberFormat="1" applyFont="1" applyFill="1" applyAlignment="1">
      <alignment horizontal="center"/>
    </xf>
    <xf numFmtId="2" fontId="16" fillId="24" borderId="0" xfId="0" applyFont="1" applyFill="1" applyAlignment="1">
      <alignment horizontal="center"/>
    </xf>
    <xf numFmtId="0" fontId="3" fillId="0" borderId="0" xfId="37" applyFont="1" applyAlignment="1">
      <alignment horizontal="center" wrapText="1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_Sears_1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9" defaultPivotStyle="PivotStyleLight16"/>
  <colors>
    <mruColors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Neutron Scattering Density</a:t>
            </a:r>
          </a:p>
        </c:rich>
      </c:tx>
      <c:layout>
        <c:manualLayout>
          <c:xMode val="edge"/>
          <c:yMode val="edge"/>
          <c:x val="0.24185275584276744"/>
          <c:y val="2.122417913875671E-2"/>
        </c:manualLayout>
      </c:layout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rgbClr val="F68B16"/>
              </a:solidFill>
            </a:ln>
          </c:spPr>
          <c:marker>
            <c:symbol val="none"/>
          </c:marker>
          <c:xVal>
            <c:numRef>
              <c:f>Reflectivity!$R$3:$R$1000</c:f>
              <c:numCache>
                <c:formatCode>0.00</c:formatCode>
                <c:ptCount val="998"/>
                <c:pt idx="0">
                  <c:v>-10</c:v>
                </c:pt>
                <c:pt idx="1">
                  <c:v>100</c:v>
                </c:pt>
                <c:pt idx="2">
                  <c:v>100</c:v>
                </c:pt>
                <c:pt idx="3">
                  <c:v>120.50681525551056</c:v>
                </c:pt>
                <c:pt idx="4">
                  <c:v>120.50681525551056</c:v>
                </c:pt>
                <c:pt idx="5">
                  <c:v>135.77704211919948</c:v>
                </c:pt>
                <c:pt idx="6">
                  <c:v>135.77704211919948</c:v>
                </c:pt>
                <c:pt idx="7">
                  <c:v>144.27460141016107</c:v>
                </c:pt>
                <c:pt idx="8">
                  <c:v>144.27460141016107</c:v>
                </c:pt>
                <c:pt idx="9">
                  <c:v>150.50049839975938</c:v>
                </c:pt>
                <c:pt idx="10">
                  <c:v>150.50049839975938</c:v>
                </c:pt>
                <c:pt idx="11">
                  <c:v>155.5670481381398</c:v>
                </c:pt>
                <c:pt idx="12">
                  <c:v>155.5670481381398</c:v>
                </c:pt>
                <c:pt idx="13">
                  <c:v>159.94204196589067</c:v>
                </c:pt>
                <c:pt idx="14">
                  <c:v>159.94204196589067</c:v>
                </c:pt>
                <c:pt idx="15">
                  <c:v>163.87228705743593</c:v>
                </c:pt>
                <c:pt idx="16">
                  <c:v>163.87228705743593</c:v>
                </c:pt>
                <c:pt idx="17">
                  <c:v>167.50776524107297</c:v>
                </c:pt>
                <c:pt idx="18">
                  <c:v>167.50776524107297</c:v>
                </c:pt>
                <c:pt idx="19">
                  <c:v>170.94997642758082</c:v>
                </c:pt>
                <c:pt idx="20">
                  <c:v>170.94997642758082</c:v>
                </c:pt>
                <c:pt idx="21">
                  <c:v>174.27449459271961</c:v>
                </c:pt>
                <c:pt idx="22">
                  <c:v>174.27449459271961</c:v>
                </c:pt>
                <c:pt idx="23">
                  <c:v>177.54316648336157</c:v>
                </c:pt>
                <c:pt idx="24">
                  <c:v>177.54316648336157</c:v>
                </c:pt>
                <c:pt idx="25">
                  <c:v>179.60212235430416</c:v>
                </c:pt>
                <c:pt idx="26">
                  <c:v>179.60212235430416</c:v>
                </c:pt>
                <c:pt idx="27">
                  <c:v>183.72003409618935</c:v>
                </c:pt>
                <c:pt idx="28">
                  <c:v>183.72003409618935</c:v>
                </c:pt>
                <c:pt idx="29">
                  <c:v>187.83794583807455</c:v>
                </c:pt>
                <c:pt idx="30">
                  <c:v>187.83794583807455</c:v>
                </c:pt>
                <c:pt idx="31">
                  <c:v>191.95585757995974</c:v>
                </c:pt>
                <c:pt idx="32">
                  <c:v>191.95585757995974</c:v>
                </c:pt>
                <c:pt idx="33">
                  <c:v>196.07376932184494</c:v>
                </c:pt>
                <c:pt idx="34">
                  <c:v>196.07376932184494</c:v>
                </c:pt>
                <c:pt idx="35">
                  <c:v>200.19168106373013</c:v>
                </c:pt>
                <c:pt idx="36">
                  <c:v>200.19168106373013</c:v>
                </c:pt>
                <c:pt idx="37">
                  <c:v>204.30959280561532</c:v>
                </c:pt>
                <c:pt idx="38">
                  <c:v>204.30959280561532</c:v>
                </c:pt>
                <c:pt idx="39">
                  <c:v>208.42750454750052</c:v>
                </c:pt>
                <c:pt idx="40">
                  <c:v>208.42750454750052</c:v>
                </c:pt>
                <c:pt idx="41">
                  <c:v>212.54541628938571</c:v>
                </c:pt>
                <c:pt idx="42">
                  <c:v>212.54541628938571</c:v>
                </c:pt>
                <c:pt idx="43">
                  <c:v>216.66332803127091</c:v>
                </c:pt>
                <c:pt idx="44">
                  <c:v>216.66332803127091</c:v>
                </c:pt>
                <c:pt idx="45">
                  <c:v>220.7812397731561</c:v>
                </c:pt>
                <c:pt idx="46">
                  <c:v>220.7812397731561</c:v>
                </c:pt>
                <c:pt idx="47">
                  <c:v>224.8991515150413</c:v>
                </c:pt>
                <c:pt idx="48">
                  <c:v>224.8991515150413</c:v>
                </c:pt>
                <c:pt idx="49">
                  <c:v>229.01706325692649</c:v>
                </c:pt>
                <c:pt idx="50">
                  <c:v>229.01706325692649</c:v>
                </c:pt>
                <c:pt idx="51">
                  <c:v>233.13497499881169</c:v>
                </c:pt>
                <c:pt idx="52">
                  <c:v>233.13497499881169</c:v>
                </c:pt>
                <c:pt idx="53">
                  <c:v>237.25288674069688</c:v>
                </c:pt>
                <c:pt idx="54">
                  <c:v>237.25288674069688</c:v>
                </c:pt>
                <c:pt idx="55">
                  <c:v>241.37079848258207</c:v>
                </c:pt>
                <c:pt idx="56">
                  <c:v>241.37079848258207</c:v>
                </c:pt>
                <c:pt idx="57">
                  <c:v>245.48871022446727</c:v>
                </c:pt>
                <c:pt idx="58">
                  <c:v>245.48871022446727</c:v>
                </c:pt>
                <c:pt idx="59">
                  <c:v>249.60662196635246</c:v>
                </c:pt>
                <c:pt idx="60">
                  <c:v>249.60662196635246</c:v>
                </c:pt>
                <c:pt idx="61">
                  <c:v>253.72453370823766</c:v>
                </c:pt>
                <c:pt idx="62">
                  <c:v>253.72453370823766</c:v>
                </c:pt>
                <c:pt idx="63">
                  <c:v>257.84244545012285</c:v>
                </c:pt>
                <c:pt idx="64">
                  <c:v>257.84244545012285</c:v>
                </c:pt>
                <c:pt idx="65">
                  <c:v>261.96035719200802</c:v>
                </c:pt>
                <c:pt idx="66">
                  <c:v>261.96035719200802</c:v>
                </c:pt>
                <c:pt idx="67">
                  <c:v>266.07826893389318</c:v>
                </c:pt>
                <c:pt idx="68">
                  <c:v>266.07826893389318</c:v>
                </c:pt>
                <c:pt idx="69">
                  <c:v>268.1372248048358</c:v>
                </c:pt>
                <c:pt idx="70">
                  <c:v>268.1372248048358</c:v>
                </c:pt>
                <c:pt idx="71">
                  <c:v>270.22505792889422</c:v>
                </c:pt>
                <c:pt idx="72">
                  <c:v>270.22505792889422</c:v>
                </c:pt>
                <c:pt idx="73">
                  <c:v>272.34856233035538</c:v>
                </c:pt>
                <c:pt idx="74">
                  <c:v>272.34856233035538</c:v>
                </c:pt>
                <c:pt idx="75">
                  <c:v>274.54724203135896</c:v>
                </c:pt>
                <c:pt idx="76">
                  <c:v>274.54724203135896</c:v>
                </c:pt>
                <c:pt idx="77">
                  <c:v>276.86936919111446</c:v>
                </c:pt>
                <c:pt idx="78">
                  <c:v>276.86936919111446</c:v>
                </c:pt>
                <c:pt idx="79">
                  <c:v>279.37977591357827</c:v>
                </c:pt>
                <c:pt idx="80">
                  <c:v>279.37977591357827</c:v>
                </c:pt>
                <c:pt idx="81">
                  <c:v>282.17426166703677</c:v>
                </c:pt>
                <c:pt idx="82">
                  <c:v>282.17426166703677</c:v>
                </c:pt>
                <c:pt idx="83">
                  <c:v>285.41047218996033</c:v>
                </c:pt>
                <c:pt idx="84">
                  <c:v>285.41047218996033</c:v>
                </c:pt>
                <c:pt idx="85">
                  <c:v>289.38720475803274</c:v>
                </c:pt>
                <c:pt idx="86">
                  <c:v>289.38720475803274</c:v>
                </c:pt>
                <c:pt idx="87">
                  <c:v>294.81494004468317</c:v>
                </c:pt>
                <c:pt idx="88">
                  <c:v>294.81494004468317</c:v>
                </c:pt>
                <c:pt idx="89">
                  <c:v>304.56865241611195</c:v>
                </c:pt>
                <c:pt idx="90">
                  <c:v>304.56865241611195</c:v>
                </c:pt>
                <c:pt idx="91">
                  <c:v>317.66718588531006</c:v>
                </c:pt>
                <c:pt idx="92">
                  <c:v>317.66718588531006</c:v>
                </c:pt>
                <c:pt idx="93">
                  <c:v>1248.9387309878709</c:v>
                </c:pt>
                <c:pt idx="94">
                  <c:v>1248.9387309878709</c:v>
                </c:pt>
                <c:pt idx="95">
                  <c:v>1252.3808941640191</c:v>
                </c:pt>
                <c:pt idx="96">
                  <c:v>1252.3808941640191</c:v>
                </c:pt>
                <c:pt idx="97">
                  <c:v>1254.9440719147669</c:v>
                </c:pt>
                <c:pt idx="98">
                  <c:v>1254.9440719147669</c:v>
                </c:pt>
                <c:pt idx="99">
                  <c:v>1256.3704262908138</c:v>
                </c:pt>
                <c:pt idx="100">
                  <c:v>1256.3704262908138</c:v>
                </c:pt>
                <c:pt idx="101">
                  <c:v>1257.4154717105471</c:v>
                </c:pt>
                <c:pt idx="102">
                  <c:v>1257.4154717105471</c:v>
                </c:pt>
                <c:pt idx="103">
                  <c:v>1258.2659153665843</c:v>
                </c:pt>
                <c:pt idx="104">
                  <c:v>1258.2659153665843</c:v>
                </c:pt>
                <c:pt idx="105">
                  <c:v>1259.0002781850972</c:v>
                </c:pt>
                <c:pt idx="106">
                  <c:v>1259.0002781850972</c:v>
                </c:pt>
                <c:pt idx="107">
                  <c:v>1259.6599878844722</c:v>
                </c:pt>
                <c:pt idx="108">
                  <c:v>1259.6599878844722</c:v>
                </c:pt>
                <c:pt idx="109">
                  <c:v>1260.2702196038049</c:v>
                </c:pt>
                <c:pt idx="110">
                  <c:v>1260.2702196038049</c:v>
                </c:pt>
                <c:pt idx="111">
                  <c:v>1260.8480105695444</c:v>
                </c:pt>
                <c:pt idx="112">
                  <c:v>1260.8480105695444</c:v>
                </c:pt>
                <c:pt idx="113">
                  <c:v>1261.4060462208092</c:v>
                </c:pt>
                <c:pt idx="114">
                  <c:v>1261.4060462208092</c:v>
                </c:pt>
                <c:pt idx="115">
                  <c:v>1261.9547078182679</c:v>
                </c:pt>
                <c:pt idx="116">
                  <c:v>1261.9547078182679</c:v>
                </c:pt>
                <c:pt idx="117">
                  <c:v>1262.1819805455407</c:v>
                </c:pt>
                <c:pt idx="118">
                  <c:v>1262.1819805455407</c:v>
                </c:pt>
                <c:pt idx="119">
                  <c:v>1262.6365260000862</c:v>
                </c:pt>
                <c:pt idx="120">
                  <c:v>1262.6365260000862</c:v>
                </c:pt>
                <c:pt idx="121">
                  <c:v>1263.0910714546317</c:v>
                </c:pt>
                <c:pt idx="122">
                  <c:v>1263.0910714546317</c:v>
                </c:pt>
                <c:pt idx="123">
                  <c:v>1263.5456169091772</c:v>
                </c:pt>
                <c:pt idx="124">
                  <c:v>1263.5456169091772</c:v>
                </c:pt>
                <c:pt idx="125">
                  <c:v>1264.0001623637227</c:v>
                </c:pt>
                <c:pt idx="126">
                  <c:v>1264.0001623637227</c:v>
                </c:pt>
                <c:pt idx="127">
                  <c:v>1264.4547078182682</c:v>
                </c:pt>
                <c:pt idx="128">
                  <c:v>1264.4547078182682</c:v>
                </c:pt>
                <c:pt idx="129">
                  <c:v>1264.9092532728137</c:v>
                </c:pt>
                <c:pt idx="130">
                  <c:v>1264.9092532728137</c:v>
                </c:pt>
                <c:pt idx="131">
                  <c:v>1265.3637987273592</c:v>
                </c:pt>
                <c:pt idx="132">
                  <c:v>1265.3637987273592</c:v>
                </c:pt>
                <c:pt idx="133">
                  <c:v>1265.8183441819046</c:v>
                </c:pt>
                <c:pt idx="134">
                  <c:v>1265.8183441819046</c:v>
                </c:pt>
                <c:pt idx="135">
                  <c:v>1266.2728896364501</c:v>
                </c:pt>
                <c:pt idx="136">
                  <c:v>1266.2728896364501</c:v>
                </c:pt>
                <c:pt idx="137">
                  <c:v>1266.7274350909956</c:v>
                </c:pt>
                <c:pt idx="138">
                  <c:v>1266.7274350909956</c:v>
                </c:pt>
                <c:pt idx="139">
                  <c:v>1267.1819805455411</c:v>
                </c:pt>
                <c:pt idx="140">
                  <c:v>1267.1819805455411</c:v>
                </c:pt>
                <c:pt idx="141">
                  <c:v>1267.6365260000866</c:v>
                </c:pt>
                <c:pt idx="142">
                  <c:v>1267.6365260000866</c:v>
                </c:pt>
                <c:pt idx="143">
                  <c:v>1268.0910714546321</c:v>
                </c:pt>
                <c:pt idx="144">
                  <c:v>1268.0910714546321</c:v>
                </c:pt>
                <c:pt idx="145">
                  <c:v>1268.5456169091776</c:v>
                </c:pt>
                <c:pt idx="146">
                  <c:v>1268.5456169091776</c:v>
                </c:pt>
                <c:pt idx="147">
                  <c:v>1269.0001623637231</c:v>
                </c:pt>
                <c:pt idx="148">
                  <c:v>1269.0001623637231</c:v>
                </c:pt>
                <c:pt idx="149">
                  <c:v>1269.4547078182686</c:v>
                </c:pt>
                <c:pt idx="150">
                  <c:v>1269.4547078182686</c:v>
                </c:pt>
                <c:pt idx="151">
                  <c:v>1269.9092532728141</c:v>
                </c:pt>
                <c:pt idx="152">
                  <c:v>1269.9092532728141</c:v>
                </c:pt>
                <c:pt idx="153">
                  <c:v>1270.3637987273596</c:v>
                </c:pt>
                <c:pt idx="154">
                  <c:v>1270.3637987273596</c:v>
                </c:pt>
                <c:pt idx="155">
                  <c:v>1270.8183441819051</c:v>
                </c:pt>
                <c:pt idx="156">
                  <c:v>1270.8183441819051</c:v>
                </c:pt>
                <c:pt idx="157">
                  <c:v>1271.2728896364506</c:v>
                </c:pt>
                <c:pt idx="158">
                  <c:v>1271.2728896364506</c:v>
                </c:pt>
                <c:pt idx="159">
                  <c:v>1271.7274350909961</c:v>
                </c:pt>
                <c:pt idx="160">
                  <c:v>1271.7274350909961</c:v>
                </c:pt>
                <c:pt idx="161">
                  <c:v>1271.9547078182688</c:v>
                </c:pt>
                <c:pt idx="162">
                  <c:v>1271.9547078182688</c:v>
                </c:pt>
                <c:pt idx="163">
                  <c:v>1272.2290386169982</c:v>
                </c:pt>
                <c:pt idx="164">
                  <c:v>1272.2290386169982</c:v>
                </c:pt>
                <c:pt idx="165">
                  <c:v>1272.5080564426305</c:v>
                </c:pt>
                <c:pt idx="166">
                  <c:v>1272.5080564426305</c:v>
                </c:pt>
                <c:pt idx="167">
                  <c:v>1272.7969519255003</c:v>
                </c:pt>
                <c:pt idx="168">
                  <c:v>1272.7969519255003</c:v>
                </c:pt>
                <c:pt idx="169">
                  <c:v>1273.1020677851666</c:v>
                </c:pt>
                <c:pt idx="170">
                  <c:v>1273.1020677851666</c:v>
                </c:pt>
                <c:pt idx="171">
                  <c:v>1273.4319226348541</c:v>
                </c:pt>
                <c:pt idx="172">
                  <c:v>1273.4319226348541</c:v>
                </c:pt>
                <c:pt idx="173">
                  <c:v>1273.7991040441107</c:v>
                </c:pt>
                <c:pt idx="174">
                  <c:v>1273.7991040441107</c:v>
                </c:pt>
                <c:pt idx="175">
                  <c:v>1274.2243258721294</c:v>
                </c:pt>
                <c:pt idx="176">
                  <c:v>1274.2243258721294</c:v>
                </c:pt>
                <c:pt idx="177">
                  <c:v>1274.7468485819961</c:v>
                </c:pt>
                <c:pt idx="178">
                  <c:v>1274.7468485819961</c:v>
                </c:pt>
                <c:pt idx="179">
                  <c:v>1275.4600257700197</c:v>
                </c:pt>
                <c:pt idx="180">
                  <c:v>1275.4600257700197</c:v>
                </c:pt>
                <c:pt idx="181">
                  <c:v>1276.7416146453936</c:v>
                </c:pt>
                <c:pt idx="182">
                  <c:v>1276.7416146453936</c:v>
                </c:pt>
                <c:pt idx="183">
                  <c:v>1278.4626962334678</c:v>
                </c:pt>
                <c:pt idx="184">
                  <c:v>1278.4626962334678</c:v>
                </c:pt>
                <c:pt idx="185">
                  <c:v>1306.7095644828337</c:v>
                </c:pt>
                <c:pt idx="186">
                  <c:v>1306.7095644828337</c:v>
                </c:pt>
                <c:pt idx="187">
                  <c:v>1308.4306460709079</c:v>
                </c:pt>
                <c:pt idx="188">
                  <c:v>1308.4306460709079</c:v>
                </c:pt>
                <c:pt idx="189">
                  <c:v>1309.7122349462818</c:v>
                </c:pt>
                <c:pt idx="190">
                  <c:v>1309.7122349462818</c:v>
                </c:pt>
                <c:pt idx="191">
                  <c:v>1310.4254121343054</c:v>
                </c:pt>
                <c:pt idx="192">
                  <c:v>1310.4254121343054</c:v>
                </c:pt>
                <c:pt idx="193">
                  <c:v>1310.9479348441721</c:v>
                </c:pt>
                <c:pt idx="194">
                  <c:v>1310.9479348441721</c:v>
                </c:pt>
                <c:pt idx="195">
                  <c:v>1311.3731566721908</c:v>
                </c:pt>
                <c:pt idx="196">
                  <c:v>1311.3731566721908</c:v>
                </c:pt>
                <c:pt idx="197">
                  <c:v>1311.7403380814474</c:v>
                </c:pt>
                <c:pt idx="198">
                  <c:v>1311.7403380814474</c:v>
                </c:pt>
                <c:pt idx="199">
                  <c:v>1312.0701929311349</c:v>
                </c:pt>
                <c:pt idx="200">
                  <c:v>1312.0701929311349</c:v>
                </c:pt>
                <c:pt idx="201">
                  <c:v>1312.3753087908012</c:v>
                </c:pt>
                <c:pt idx="202">
                  <c:v>1312.3753087908012</c:v>
                </c:pt>
                <c:pt idx="203">
                  <c:v>1312.664204273671</c:v>
                </c:pt>
                <c:pt idx="204">
                  <c:v>1312.664204273671</c:v>
                </c:pt>
                <c:pt idx="205">
                  <c:v>1312.9432220993033</c:v>
                </c:pt>
                <c:pt idx="206">
                  <c:v>1312.9432220993033</c:v>
                </c:pt>
                <c:pt idx="207">
                  <c:v>1313.2175528980326</c:v>
                </c:pt>
                <c:pt idx="208">
                  <c:v>1313.2175528980326</c:v>
                </c:pt>
                <c:pt idx="209">
                  <c:v>1313.491883696762</c:v>
                </c:pt>
                <c:pt idx="210">
                  <c:v>1313.491883696762</c:v>
                </c:pt>
                <c:pt idx="211">
                  <c:v>1313.7709015223943</c:v>
                </c:pt>
                <c:pt idx="212">
                  <c:v>1313.7709015223943</c:v>
                </c:pt>
                <c:pt idx="213">
                  <c:v>1314.059797005264</c:v>
                </c:pt>
                <c:pt idx="214">
                  <c:v>1314.059797005264</c:v>
                </c:pt>
                <c:pt idx="215">
                  <c:v>1314.3649128649304</c:v>
                </c:pt>
                <c:pt idx="216">
                  <c:v>1314.3649128649304</c:v>
                </c:pt>
                <c:pt idx="217">
                  <c:v>1314.6947677146179</c:v>
                </c:pt>
                <c:pt idx="218">
                  <c:v>1314.6947677146179</c:v>
                </c:pt>
                <c:pt idx="219">
                  <c:v>1315.0619491238745</c:v>
                </c:pt>
                <c:pt idx="220">
                  <c:v>1315.0619491238745</c:v>
                </c:pt>
                <c:pt idx="221">
                  <c:v>1315.4871709518932</c:v>
                </c:pt>
                <c:pt idx="222">
                  <c:v>1315.4871709518932</c:v>
                </c:pt>
                <c:pt idx="223">
                  <c:v>1316.0096936617599</c:v>
                </c:pt>
                <c:pt idx="224">
                  <c:v>1316.0096936617599</c:v>
                </c:pt>
                <c:pt idx="225">
                  <c:v>1316.7228708497835</c:v>
                </c:pt>
                <c:pt idx="226">
                  <c:v>1316.7228708497835</c:v>
                </c:pt>
                <c:pt idx="227">
                  <c:v>1318.0044597251574</c:v>
                </c:pt>
                <c:pt idx="228">
                  <c:v>1318.0044597251574</c:v>
                </c:pt>
                <c:pt idx="229">
                  <c:v>1319.7255413132316</c:v>
                </c:pt>
                <c:pt idx="230">
                  <c:v>1319.7255413132316</c:v>
                </c:pt>
                <c:pt idx="231">
                  <c:v>1419.7255413132316</c:v>
                </c:pt>
              </c:numCache>
            </c:numRef>
          </c:xVal>
          <c:yVal>
            <c:numRef>
              <c:f>Reflectivity!$S$3:$S$1000</c:f>
              <c:numCache>
                <c:formatCode>0.00E+00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7.4948036909937706E-9</c:v>
                </c:pt>
                <c:pt idx="3">
                  <c:v>7.4948036909937706E-9</c:v>
                </c:pt>
                <c:pt idx="4">
                  <c:v>6.1736865626179739E-8</c:v>
                </c:pt>
                <c:pt idx="5">
                  <c:v>6.1736865626179739E-8</c:v>
                </c:pt>
                <c:pt idx="6">
                  <c:v>1.40206153012063E-7</c:v>
                </c:pt>
                <c:pt idx="7">
                  <c:v>1.40206153012063E-7</c:v>
                </c:pt>
                <c:pt idx="8">
                  <c:v>2.2899825691604975E-7</c:v>
                </c:pt>
                <c:pt idx="9">
                  <c:v>2.2899825691604975E-7</c:v>
                </c:pt>
                <c:pt idx="10">
                  <c:v>3.2270502021026417E-7</c:v>
                </c:pt>
                <c:pt idx="11">
                  <c:v>3.2270502021026417E-7</c:v>
                </c:pt>
                <c:pt idx="12">
                  <c:v>4.1885063149023142E-7</c:v>
                </c:pt>
                <c:pt idx="13">
                  <c:v>4.1885063149023142E-7</c:v>
                </c:pt>
                <c:pt idx="14">
                  <c:v>5.162008701870396E-7</c:v>
                </c:pt>
                <c:pt idx="15">
                  <c:v>5.162008701870396E-7</c:v>
                </c:pt>
                <c:pt idx="16">
                  <c:v>6.1411823768292217E-7</c:v>
                </c:pt>
                <c:pt idx="17">
                  <c:v>6.1411823768292217E-7</c:v>
                </c:pt>
                <c:pt idx="18">
                  <c:v>7.122760426433831E-7</c:v>
                </c:pt>
                <c:pt idx="19">
                  <c:v>7.122760426433831E-7</c:v>
                </c:pt>
                <c:pt idx="20">
                  <c:v>8.1051713429402929E-7</c:v>
                </c:pt>
                <c:pt idx="21">
                  <c:v>8.1051713429402929E-7</c:v>
                </c:pt>
                <c:pt idx="22">
                  <c:v>9.0877744466761677E-7</c:v>
                </c:pt>
                <c:pt idx="23">
                  <c:v>9.0877744466761677E-7</c:v>
                </c:pt>
                <c:pt idx="24">
                  <c:v>9.8899901004510068E-7</c:v>
                </c:pt>
                <c:pt idx="25">
                  <c:v>9.8899901004510068E-7</c:v>
                </c:pt>
                <c:pt idx="26">
                  <c:v>1.0817568570028095E-6</c:v>
                </c:pt>
                <c:pt idx="27">
                  <c:v>1.0817568570028095E-6</c:v>
                </c:pt>
                <c:pt idx="28">
                  <c:v>1.20237426551332E-6</c:v>
                </c:pt>
                <c:pt idx="29">
                  <c:v>1.20237426551332E-6</c:v>
                </c:pt>
                <c:pt idx="30">
                  <c:v>1.3167812535010987E-6</c:v>
                </c:pt>
                <c:pt idx="31">
                  <c:v>1.3167812535010987E-6</c:v>
                </c:pt>
                <c:pt idx="32">
                  <c:v>1.4224664445677043E-6</c:v>
                </c:pt>
                <c:pt idx="33">
                  <c:v>1.4224664445677043E-6</c:v>
                </c:pt>
                <c:pt idx="34">
                  <c:v>1.5175471585170417E-6</c:v>
                </c:pt>
                <c:pt idx="35">
                  <c:v>1.5175471585170417E-6</c:v>
                </c:pt>
                <c:pt idx="36">
                  <c:v>1.6008538261446686E-6</c:v>
                </c:pt>
                <c:pt idx="37">
                  <c:v>1.6008538261446686E-6</c:v>
                </c:pt>
                <c:pt idx="38">
                  <c:v>1.6719342973186547E-6</c:v>
                </c:pt>
                <c:pt idx="39">
                  <c:v>1.6719342973186547E-6</c:v>
                </c:pt>
                <c:pt idx="40">
                  <c:v>1.7309850229037538E-6</c:v>
                </c:pt>
                <c:pt idx="41">
                  <c:v>1.7309850229037538E-6</c:v>
                </c:pt>
                <c:pt idx="42">
                  <c:v>1.7787244160602072E-6</c:v>
                </c:pt>
                <c:pt idx="43">
                  <c:v>1.7787244160602072E-6</c:v>
                </c:pt>
                <c:pt idx="44">
                  <c:v>1.8162280744001401E-6</c:v>
                </c:pt>
                <c:pt idx="45">
                  <c:v>1.8162280744001401E-6</c:v>
                </c:pt>
                <c:pt idx="46">
                  <c:v>1.8447462341150013E-6</c:v>
                </c:pt>
                <c:pt idx="47">
                  <c:v>1.8447462341150013E-6</c:v>
                </c:pt>
                <c:pt idx="48">
                  <c:v>1.8655225243562163E-6</c:v>
                </c:pt>
                <c:pt idx="49">
                  <c:v>1.8655225243562163E-6</c:v>
                </c:pt>
                <c:pt idx="50">
                  <c:v>1.8796322109235305E-6</c:v>
                </c:pt>
                <c:pt idx="51">
                  <c:v>1.8796322109235305E-6</c:v>
                </c:pt>
                <c:pt idx="52">
                  <c:v>1.8878593691443207E-6</c:v>
                </c:pt>
                <c:pt idx="53">
                  <c:v>1.8878593691443207E-6</c:v>
                </c:pt>
                <c:pt idx="54">
                  <c:v>1.8906350693921968E-6</c:v>
                </c:pt>
                <c:pt idx="55">
                  <c:v>1.8906350693921968E-6</c:v>
                </c:pt>
                <c:pt idx="56">
                  <c:v>1.8880585775010218E-6</c:v>
                </c:pt>
                <c:pt idx="57">
                  <c:v>1.8880585775010218E-6</c:v>
                </c:pt>
                <c:pt idx="58">
                  <c:v>1.8800145506522959E-6</c:v>
                </c:pt>
                <c:pt idx="59">
                  <c:v>1.8800145506522959E-6</c:v>
                </c:pt>
                <c:pt idx="60">
                  <c:v>1.8663770031061707E-6</c:v>
                </c:pt>
                <c:pt idx="61">
                  <c:v>1.8663770031061707E-6</c:v>
                </c:pt>
                <c:pt idx="62">
                  <c:v>1.8472583628885723E-6</c:v>
                </c:pt>
                <c:pt idx="63">
                  <c:v>1.8472583628885723E-6</c:v>
                </c:pt>
                <c:pt idx="64">
                  <c:v>1.823231786173234E-6</c:v>
                </c:pt>
                <c:pt idx="65">
                  <c:v>1.823231786173234E-6</c:v>
                </c:pt>
                <c:pt idx="66">
                  <c:v>1.7954450462930638E-6</c:v>
                </c:pt>
                <c:pt idx="67">
                  <c:v>1.7954450462930638E-6</c:v>
                </c:pt>
                <c:pt idx="68">
                  <c:v>1.773127592785897E-6</c:v>
                </c:pt>
                <c:pt idx="69">
                  <c:v>1.773127592785897E-6</c:v>
                </c:pt>
                <c:pt idx="70">
                  <c:v>1.7579494639124071E-6</c:v>
                </c:pt>
                <c:pt idx="71">
                  <c:v>1.7579494639124071E-6</c:v>
                </c:pt>
                <c:pt idx="72">
                  <c:v>1.7426438278579509E-6</c:v>
                </c:pt>
                <c:pt idx="73">
                  <c:v>1.7426438278579509E-6</c:v>
                </c:pt>
                <c:pt idx="74">
                  <c:v>1.7273225094412626E-6</c:v>
                </c:pt>
                <c:pt idx="75">
                  <c:v>1.7273225094412626E-6</c:v>
                </c:pt>
                <c:pt idx="76">
                  <c:v>1.712000315161193E-6</c:v>
                </c:pt>
                <c:pt idx="77">
                  <c:v>1.712000315161193E-6</c:v>
                </c:pt>
                <c:pt idx="78">
                  <c:v>1.6967052295126106E-6</c:v>
                </c:pt>
                <c:pt idx="79">
                  <c:v>1.6967052295126106E-6</c:v>
                </c:pt>
                <c:pt idx="80">
                  <c:v>1.681490837500083E-6</c:v>
                </c:pt>
                <c:pt idx="81">
                  <c:v>1.681490837500083E-6</c:v>
                </c:pt>
                <c:pt idx="82">
                  <c:v>1.6664587252655242E-6</c:v>
                </c:pt>
                <c:pt idx="83">
                  <c:v>1.6664587252655242E-6</c:v>
                </c:pt>
                <c:pt idx="84">
                  <c:v>1.6518034200960911E-6</c:v>
                </c:pt>
                <c:pt idx="85">
                  <c:v>1.6518034200960911E-6</c:v>
                </c:pt>
                <c:pt idx="86">
                  <c:v>1.6379134498640481E-6</c:v>
                </c:pt>
                <c:pt idx="87">
                  <c:v>1.6379134498640481E-6</c:v>
                </c:pt>
                <c:pt idx="88">
                  <c:v>1.6256360678990014E-6</c:v>
                </c:pt>
                <c:pt idx="89">
                  <c:v>1.6256360678990014E-6</c:v>
                </c:pt>
                <c:pt idx="90">
                  <c:v>1.6171477193448048E-6</c:v>
                </c:pt>
                <c:pt idx="91">
                  <c:v>1.6171477193448048E-6</c:v>
                </c:pt>
                <c:pt idx="92">
                  <c:v>1.61597482064069E-6</c:v>
                </c:pt>
                <c:pt idx="93">
                  <c:v>1.61597482064069E-6</c:v>
                </c:pt>
                <c:pt idx="94">
                  <c:v>1.6163989751356594E-6</c:v>
                </c:pt>
                <c:pt idx="95">
                  <c:v>1.6163989751356594E-6</c:v>
                </c:pt>
                <c:pt idx="96">
                  <c:v>1.6194687038883762E-6</c:v>
                </c:pt>
                <c:pt idx="97">
                  <c:v>1.6194687038883762E-6</c:v>
                </c:pt>
                <c:pt idx="98">
                  <c:v>1.6239095274688198E-6</c:v>
                </c:pt>
                <c:pt idx="99">
                  <c:v>1.6239095274688198E-6</c:v>
                </c:pt>
                <c:pt idx="100">
                  <c:v>1.6289345516777812E-6</c:v>
                </c:pt>
                <c:pt idx="101">
                  <c:v>1.6289345516777812E-6</c:v>
                </c:pt>
                <c:pt idx="102">
                  <c:v>1.6342377119070514E-6</c:v>
                </c:pt>
                <c:pt idx="103">
                  <c:v>1.6342377119070514E-6</c:v>
                </c:pt>
                <c:pt idx="104">
                  <c:v>1.6396788942084604E-6</c:v>
                </c:pt>
                <c:pt idx="105">
                  <c:v>1.6396788942084604E-6</c:v>
                </c:pt>
                <c:pt idx="106">
                  <c:v>1.6451882501611994E-6</c:v>
                </c:pt>
                <c:pt idx="107">
                  <c:v>1.6451882501611994E-6</c:v>
                </c:pt>
                <c:pt idx="108">
                  <c:v>1.6507297017150068E-6</c:v>
                </c:pt>
                <c:pt idx="109">
                  <c:v>1.6507297017150068E-6</c:v>
                </c:pt>
                <c:pt idx="110">
                  <c:v>1.6562847603805633E-6</c:v>
                </c:pt>
                <c:pt idx="111">
                  <c:v>1.6562847603805633E-6</c:v>
                </c:pt>
                <c:pt idx="112">
                  <c:v>1.6618445325016645E-6</c:v>
                </c:pt>
                <c:pt idx="113">
                  <c:v>1.6618445325016645E-6</c:v>
                </c:pt>
                <c:pt idx="114">
                  <c:v>1.6674053922706958E-6</c:v>
                </c:pt>
                <c:pt idx="115">
                  <c:v>1.6674053922706958E-6</c:v>
                </c:pt>
                <c:pt idx="116">
                  <c:v>1.6713455097281112E-6</c:v>
                </c:pt>
                <c:pt idx="117">
                  <c:v>1.6713455097281112E-6</c:v>
                </c:pt>
                <c:pt idx="118">
                  <c:v>1.6748117005356557E-6</c:v>
                </c:pt>
                <c:pt idx="119">
                  <c:v>1.6748117005356557E-6</c:v>
                </c:pt>
                <c:pt idx="120">
                  <c:v>1.6793883847298279E-6</c:v>
                </c:pt>
                <c:pt idx="121">
                  <c:v>1.6793883847298279E-6</c:v>
                </c:pt>
                <c:pt idx="122">
                  <c:v>1.6838745174080099E-6</c:v>
                </c:pt>
                <c:pt idx="123">
                  <c:v>1.6838745174080099E-6</c:v>
                </c:pt>
                <c:pt idx="124">
                  <c:v>1.6882395162753945E-6</c:v>
                </c:pt>
                <c:pt idx="125">
                  <c:v>1.6882395162753945E-6</c:v>
                </c:pt>
                <c:pt idx="126">
                  <c:v>1.6924764028526558E-6</c:v>
                </c:pt>
                <c:pt idx="127">
                  <c:v>1.6924764028526558E-6</c:v>
                </c:pt>
                <c:pt idx="128">
                  <c:v>1.6966199785749175E-6</c:v>
                </c:pt>
                <c:pt idx="129">
                  <c:v>1.6966199785749175E-6</c:v>
                </c:pt>
                <c:pt idx="130">
                  <c:v>1.7007761169901288E-6</c:v>
                </c:pt>
                <c:pt idx="131">
                  <c:v>1.7007761169901288E-6</c:v>
                </c:pt>
                <c:pt idx="132">
                  <c:v>1.7051663228829152E-6</c:v>
                </c:pt>
                <c:pt idx="133">
                  <c:v>1.7051663228829152E-6</c:v>
                </c:pt>
                <c:pt idx="134">
                  <c:v>1.7101903765548246E-6</c:v>
                </c:pt>
                <c:pt idx="135">
                  <c:v>1.7101903765548246E-6</c:v>
                </c:pt>
                <c:pt idx="136">
                  <c:v>1.7165058181163524E-6</c:v>
                </c:pt>
                <c:pt idx="137">
                  <c:v>1.7165058181163524E-6</c:v>
                </c:pt>
                <c:pt idx="138">
                  <c:v>1.7251154547126823E-6</c:v>
                </c:pt>
                <c:pt idx="139">
                  <c:v>1.7251154547126823E-6</c:v>
                </c:pt>
                <c:pt idx="140">
                  <c:v>1.7374433823392008E-6</c:v>
                </c:pt>
                <c:pt idx="141">
                  <c:v>1.7374433823392008E-6</c:v>
                </c:pt>
                <c:pt idx="142">
                  <c:v>1.7553686154331296E-6</c:v>
                </c:pt>
                <c:pt idx="143">
                  <c:v>1.7553686154331296E-6</c:v>
                </c:pt>
                <c:pt idx="144">
                  <c:v>1.7811780570601049E-6</c:v>
                </c:pt>
                <c:pt idx="145">
                  <c:v>1.7811780570601049E-6</c:v>
                </c:pt>
                <c:pt idx="146">
                  <c:v>1.817403389304832E-6</c:v>
                </c:pt>
                <c:pt idx="147">
                  <c:v>1.817403389304832E-6</c:v>
                </c:pt>
                <c:pt idx="148">
                  <c:v>1.8665246622239643E-6</c:v>
                </c:pt>
                <c:pt idx="149">
                  <c:v>1.8665246622239643E-6</c:v>
                </c:pt>
                <c:pt idx="150">
                  <c:v>1.9305575974777457E-6</c:v>
                </c:pt>
                <c:pt idx="151">
                  <c:v>1.9305575974777457E-6</c:v>
                </c:pt>
                <c:pt idx="152">
                  <c:v>2.0105853132600411E-6</c:v>
                </c:pt>
                <c:pt idx="153">
                  <c:v>2.0105853132600411E-6</c:v>
                </c:pt>
                <c:pt idx="154">
                  <c:v>2.1063343746034297E-6</c:v>
                </c:pt>
                <c:pt idx="155">
                  <c:v>2.1063343746034297E-6</c:v>
                </c:pt>
                <c:pt idx="156">
                  <c:v>2.2159124835398589E-6</c:v>
                </c:pt>
                <c:pt idx="157">
                  <c:v>2.2159124835398589E-6</c:v>
                </c:pt>
                <c:pt idx="158">
                  <c:v>2.3358075126342535E-6</c:v>
                </c:pt>
                <c:pt idx="159">
                  <c:v>2.3358075126342535E-6</c:v>
                </c:pt>
                <c:pt idx="160">
                  <c:v>2.4296303745312318E-6</c:v>
                </c:pt>
                <c:pt idx="161">
                  <c:v>2.4296303745312318E-6</c:v>
                </c:pt>
                <c:pt idx="162">
                  <c:v>2.5000403822831728E-6</c:v>
                </c:pt>
                <c:pt idx="163">
                  <c:v>2.5000403822831728E-6</c:v>
                </c:pt>
                <c:pt idx="164">
                  <c:v>2.5757225525322249E-6</c:v>
                </c:pt>
                <c:pt idx="165">
                  <c:v>2.5757225525322249E-6</c:v>
                </c:pt>
                <c:pt idx="166">
                  <c:v>2.6513899201141974E-6</c:v>
                </c:pt>
                <c:pt idx="167">
                  <c:v>2.6513899201141974E-6</c:v>
                </c:pt>
                <c:pt idx="168">
                  <c:v>2.7269931385250332E-6</c:v>
                </c:pt>
                <c:pt idx="169">
                  <c:v>2.7269931385250332E-6</c:v>
                </c:pt>
                <c:pt idx="170">
                  <c:v>2.802411166912967E-6</c:v>
                </c:pt>
                <c:pt idx="171">
                  <c:v>2.802411166912967E-6</c:v>
                </c:pt>
                <c:pt idx="172">
                  <c:v>2.8773923806993435E-6</c:v>
                </c:pt>
                <c:pt idx="173">
                  <c:v>2.8773923806993435E-6</c:v>
                </c:pt>
                <c:pt idx="174">
                  <c:v>2.9514457649592163E-6</c:v>
                </c:pt>
                <c:pt idx="175">
                  <c:v>2.9514457649592163E-6</c:v>
                </c:pt>
                <c:pt idx="176">
                  <c:v>3.0236206968941626E-6</c:v>
                </c:pt>
                <c:pt idx="177">
                  <c:v>3.0236206968941626E-6</c:v>
                </c:pt>
                <c:pt idx="178">
                  <c:v>3.0920102541720052E-6</c:v>
                </c:pt>
                <c:pt idx="179">
                  <c:v>3.0920102541720052E-6</c:v>
                </c:pt>
                <c:pt idx="180">
                  <c:v>3.1524489597356358E-6</c:v>
                </c:pt>
                <c:pt idx="181">
                  <c:v>3.1524489597356358E-6</c:v>
                </c:pt>
                <c:pt idx="182">
                  <c:v>3.1942273436063003E-6</c:v>
                </c:pt>
                <c:pt idx="183">
                  <c:v>3.1942273436063003E-6</c:v>
                </c:pt>
                <c:pt idx="184">
                  <c:v>3.1999999999999999E-6</c:v>
                </c:pt>
                <c:pt idx="185">
                  <c:v>3.1999999999999999E-6</c:v>
                </c:pt>
                <c:pt idx="186">
                  <c:v>3.1954282917291422E-6</c:v>
                </c:pt>
                <c:pt idx="187">
                  <c:v>3.1954282917291422E-6</c:v>
                </c:pt>
                <c:pt idx="188">
                  <c:v>3.1623415167579099E-6</c:v>
                </c:pt>
                <c:pt idx="189">
                  <c:v>3.1623415167579099E-6</c:v>
                </c:pt>
                <c:pt idx="190">
                  <c:v>3.1144765285686335E-6</c:v>
                </c:pt>
                <c:pt idx="191">
                  <c:v>3.1144765285686335E-6</c:v>
                </c:pt>
                <c:pt idx="192">
                  <c:v>3.0603147903108973E-6</c:v>
                </c:pt>
                <c:pt idx="193">
                  <c:v>3.0603147903108973E-6</c:v>
                </c:pt>
                <c:pt idx="194">
                  <c:v>3.0031551898129859E-6</c:v>
                </c:pt>
                <c:pt idx="195">
                  <c:v>3.0031551898129859E-6</c:v>
                </c:pt>
                <c:pt idx="196">
                  <c:v>2.9445079317369009E-6</c:v>
                </c:pt>
                <c:pt idx="197">
                  <c:v>2.9445079317369009E-6</c:v>
                </c:pt>
                <c:pt idx="198">
                  <c:v>2.885125870542291E-6</c:v>
                </c:pt>
                <c:pt idx="199">
                  <c:v>2.885125870542291E-6</c:v>
                </c:pt>
                <c:pt idx="200">
                  <c:v>2.8253978700104729E-6</c:v>
                </c:pt>
                <c:pt idx="201">
                  <c:v>2.8253978700104729E-6</c:v>
                </c:pt>
                <c:pt idx="202">
                  <c:v>2.7655232065384687E-6</c:v>
                </c:pt>
                <c:pt idx="203">
                  <c:v>2.7655232065384687E-6</c:v>
                </c:pt>
                <c:pt idx="204">
                  <c:v>2.7055977395409723E-6</c:v>
                </c:pt>
                <c:pt idx="205">
                  <c:v>2.7055977395409723E-6</c:v>
                </c:pt>
                <c:pt idx="206">
                  <c:v>2.645660549435274E-6</c:v>
                </c:pt>
                <c:pt idx="207">
                  <c:v>2.645660549435274E-6</c:v>
                </c:pt>
                <c:pt idx="208">
                  <c:v>2.5857220530311834E-6</c:v>
                </c:pt>
                <c:pt idx="209">
                  <c:v>2.5857220530311834E-6</c:v>
                </c:pt>
                <c:pt idx="210">
                  <c:v>2.5257848629254851E-6</c:v>
                </c:pt>
                <c:pt idx="211">
                  <c:v>2.5257848629254851E-6</c:v>
                </c:pt>
                <c:pt idx="212">
                  <c:v>2.4658593959279887E-6</c:v>
                </c:pt>
                <c:pt idx="213">
                  <c:v>2.4658593959279887E-6</c:v>
                </c:pt>
                <c:pt idx="214">
                  <c:v>2.4059847324559845E-6</c:v>
                </c:pt>
                <c:pt idx="215">
                  <c:v>2.4059847324559845E-6</c:v>
                </c:pt>
                <c:pt idx="216">
                  <c:v>2.3462567319241665E-6</c:v>
                </c:pt>
                <c:pt idx="217">
                  <c:v>2.3462567319241665E-6</c:v>
                </c:pt>
                <c:pt idx="218">
                  <c:v>2.2868746707295566E-6</c:v>
                </c:pt>
                <c:pt idx="219">
                  <c:v>2.2868746707295566E-6</c:v>
                </c:pt>
                <c:pt idx="220">
                  <c:v>2.2282274126534715E-6</c:v>
                </c:pt>
                <c:pt idx="221">
                  <c:v>2.2282274126534715E-6</c:v>
                </c:pt>
                <c:pt idx="222">
                  <c:v>2.1710678121555601E-6</c:v>
                </c:pt>
                <c:pt idx="223">
                  <c:v>2.1710678121555601E-6</c:v>
                </c:pt>
                <c:pt idx="224">
                  <c:v>2.1169060738978239E-6</c:v>
                </c:pt>
                <c:pt idx="225">
                  <c:v>2.1169060738978239E-6</c:v>
                </c:pt>
                <c:pt idx="226">
                  <c:v>2.0690410857085476E-6</c:v>
                </c:pt>
                <c:pt idx="227">
                  <c:v>2.0690410857085476E-6</c:v>
                </c:pt>
                <c:pt idx="228">
                  <c:v>2.0359543107373152E-6</c:v>
                </c:pt>
                <c:pt idx="229">
                  <c:v>2.0359543107373152E-6</c:v>
                </c:pt>
                <c:pt idx="230">
                  <c:v>2.0313826024664576E-6</c:v>
                </c:pt>
                <c:pt idx="231">
                  <c:v>2.0313826024664576E-6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7E-4F5F-B9B8-25F4FB95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30560"/>
        <c:axId val="131580672"/>
      </c:scatterChart>
      <c:valAx>
        <c:axId val="130930560"/>
        <c:scaling>
          <c:orientation val="minMax"/>
          <c:max val="15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 i="1"/>
                  <a:t>z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" sourceLinked="0"/>
        <c:majorTickMark val="in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1580672"/>
        <c:crosses val="autoZero"/>
        <c:crossBetween val="midCat"/>
      </c:valAx>
      <c:valAx>
        <c:axId val="131580672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 i="1"/>
                  <a:t>b/V</a:t>
                </a:r>
                <a:r>
                  <a:rPr lang="en-US" sz="1400" i="0"/>
                  <a:t> (</a:t>
                </a:r>
                <a:r>
                  <a:rPr lang="en-US" sz="1400" b="1" i="0" u="none" strike="noStrike" baseline="0"/>
                  <a:t>Å</a:t>
                </a:r>
                <a:r>
                  <a:rPr lang="en-US" sz="1400" i="0" baseline="30000"/>
                  <a:t>-2</a:t>
                </a:r>
                <a:r>
                  <a:rPr lang="en-US" sz="1400" i="0" baseline="0"/>
                  <a:t>)</a:t>
                </a:r>
                <a:endParaRPr lang="en-US" sz="1400" i="1"/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txPr>
          <a:bodyPr/>
          <a:lstStyle/>
          <a:p>
            <a:pPr>
              <a:defRPr sz="1200" baseline="0">
                <a:latin typeface="Calibri" pitchFamily="34" charset="0"/>
                <a:cs typeface="Times New Roman" pitchFamily="18" charset="0"/>
              </a:defRPr>
            </a:pPr>
            <a:endParaRPr lang="en-US"/>
          </a:p>
        </c:txPr>
        <c:crossAx val="130930560"/>
        <c:crosses val="autoZero"/>
        <c:crossBetween val="midCat"/>
      </c:valAx>
      <c:spPr>
        <a:solidFill>
          <a:srgbClr val="808080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CC99"/>
    </a:solidFill>
    <a:ln w="3175">
      <a:solidFill>
        <a:srgbClr val="808080"/>
      </a:solidFill>
      <a:prstDash val="solid"/>
    </a:ln>
  </c:spPr>
  <c:printSettings>
    <c:headerFooter/>
    <c:pageMargins b="0.75000000000000178" l="0.70000000000000062" r="0.70000000000000062" t="0.75000000000000178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>
                <a:latin typeface="+mn-lt"/>
              </a:rPr>
              <a:t>Reflectivity</a:t>
            </a:r>
          </a:p>
        </c:rich>
      </c:tx>
      <c:layout>
        <c:manualLayout>
          <c:xMode val="edge"/>
          <c:yMode val="edge"/>
          <c:x val="0.42954408476718187"/>
          <c:y val="2.30768916531347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19318181818182"/>
          <c:y val="0.12301777991350317"/>
          <c:w val="0.74573863636363713"/>
          <c:h val="0.70735223450264262"/>
        </c:manualLayout>
      </c:layout>
      <c:scatterChart>
        <c:scatterStyle val="lineMarker"/>
        <c:varyColors val="0"/>
        <c:ser>
          <c:idx val="1"/>
          <c:order val="0"/>
          <c:tx>
            <c:v>Neutron Model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Reflectivity!$I$3:$I$1639</c:f>
              <c:numCache>
                <c:formatCode>0.00E+00</c:formatCode>
                <c:ptCount val="1637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9.0919248388599994E-2</c:v>
                </c:pt>
                <c:pt idx="240">
                  <c:v>9.18284408725E-2</c:v>
                </c:pt>
                <c:pt idx="241">
                  <c:v>9.2746725281199996E-2</c:v>
                </c:pt>
                <c:pt idx="242">
                  <c:v>9.3674192534E-2</c:v>
                </c:pt>
                <c:pt idx="243">
                  <c:v>9.4610934459399998E-2</c:v>
                </c:pt>
                <c:pt idx="244">
                  <c:v>9.5557043804E-2</c:v>
                </c:pt>
                <c:pt idx="245">
                  <c:v>9.6512614242E-2</c:v>
                </c:pt>
                <c:pt idx="246">
                  <c:v>9.7477740384400005E-2</c:v>
                </c:pt>
                <c:pt idx="247">
                  <c:v>9.8452517788299998E-2</c:v>
                </c:pt>
                <c:pt idx="248">
                  <c:v>9.9437042966199998E-2</c:v>
                </c:pt>
                <c:pt idx="249">
                  <c:v>0.10043141339599999</c:v>
                </c:pt>
                <c:pt idx="250">
                  <c:v>0.10143572753000001</c:v>
                </c:pt>
                <c:pt idx="251">
                  <c:v>0.10245008480499999</c:v>
                </c:pt>
                <c:pt idx="252">
                  <c:v>0.103474585653</c:v>
                </c:pt>
                <c:pt idx="253">
                  <c:v>0.10450933151</c:v>
                </c:pt>
                <c:pt idx="254">
                  <c:v>0.10555442482500001</c:v>
                </c:pt>
                <c:pt idx="255">
                  <c:v>0.10660996907299999</c:v>
                </c:pt>
                <c:pt idx="256">
                  <c:v>0.107676068764</c:v>
                </c:pt>
                <c:pt idx="257">
                  <c:v>0.108752829451</c:v>
                </c:pt>
                <c:pt idx="258">
                  <c:v>0.109840357746</c:v>
                </c:pt>
                <c:pt idx="259">
                  <c:v>0.110938761323</c:v>
                </c:pt>
                <c:pt idx="260">
                  <c:v>0.11204814893700001</c:v>
                </c:pt>
                <c:pt idx="261">
                  <c:v>0.11316863042600001</c:v>
                </c:pt>
                <c:pt idx="262">
                  <c:v>0.11430031673</c:v>
                </c:pt>
                <c:pt idx="263">
                  <c:v>0.115443319898</c:v>
                </c:pt>
                <c:pt idx="264">
                  <c:v>0.116597753096</c:v>
                </c:pt>
                <c:pt idx="265">
                  <c:v>0.117763730627</c:v>
                </c:pt>
                <c:pt idx="266">
                  <c:v>0.11894136793399999</c:v>
                </c:pt>
                <c:pt idx="267">
                  <c:v>0.120130781613</c:v>
                </c:pt>
                <c:pt idx="268">
                  <c:v>0.12133208942900001</c:v>
                </c:pt>
                <c:pt idx="269">
                  <c:v>0.122545410323</c:v>
                </c:pt>
                <c:pt idx="270">
                  <c:v>0.123770864427</c:v>
                </c:pt>
                <c:pt idx="271">
                  <c:v>0.125008573071</c:v>
                </c:pt>
                <c:pt idx="272">
                  <c:v>0.12625865880199999</c:v>
                </c:pt>
                <c:pt idx="273">
                  <c:v>0.12752124539000001</c:v>
                </c:pt>
                <c:pt idx="274">
                  <c:v>0.12879645784400001</c:v>
                </c:pt>
                <c:pt idx="275">
                  <c:v>0.130084422422</c:v>
                </c:pt>
                <c:pt idx="276">
                  <c:v>0.131385266646</c:v>
                </c:pt>
              </c:numCache>
            </c:numRef>
          </c:xVal>
          <c:yVal>
            <c:numRef>
              <c:f>Reflectivity!$L$3:$L$1639</c:f>
              <c:numCache>
                <c:formatCode>0.00E+00</c:formatCode>
                <c:ptCount val="1637"/>
                <c:pt idx="0">
                  <c:v>4.4360316054234131E-9</c:v>
                </c:pt>
                <c:pt idx="1">
                  <c:v>4.6129869988782435E-9</c:v>
                </c:pt>
                <c:pt idx="2">
                  <c:v>4.796531486780994E-9</c:v>
                </c:pt>
                <c:pt idx="3">
                  <c:v>4.9867744017731554E-9</c:v>
                </c:pt>
                <c:pt idx="4">
                  <c:v>5.1837838211201594E-9</c:v>
                </c:pt>
                <c:pt idx="5">
                  <c:v>5.3875576547250869E-9</c:v>
                </c:pt>
                <c:pt idx="6">
                  <c:v>5.5979813605726311E-9</c:v>
                </c:pt>
                <c:pt idx="7">
                  <c:v>5.8147660779391834E-9</c:v>
                </c:pt>
                <c:pt idx="8">
                  <c:v>6.037347105116E-9</c:v>
                </c:pt>
                <c:pt idx="9">
                  <c:v>6.2647094409564553E-9</c:v>
                </c:pt>
                <c:pt idx="10">
                  <c:v>6.4950760487712396E-9</c:v>
                </c:pt>
                <c:pt idx="11">
                  <c:v>6.7253302134248568E-9</c:v>
                </c:pt>
                <c:pt idx="12">
                  <c:v>6.9499205520571482E-9</c:v>
                </c:pt>
                <c:pt idx="13">
                  <c:v>7.1588796910333525E-9</c:v>
                </c:pt>
                <c:pt idx="14">
                  <c:v>7.3351111646683068E-9</c:v>
                </c:pt>
                <c:pt idx="15">
                  <c:v>7.4544263056914017E-9</c:v>
                </c:pt>
                <c:pt idx="16">
                  <c:v>7.5003248839696702E-9</c:v>
                </c:pt>
                <c:pt idx="17">
                  <c:v>7.5044604313090162E-9</c:v>
                </c:pt>
                <c:pt idx="18">
                  <c:v>7.5729663219829189E-9</c:v>
                </c:pt>
                <c:pt idx="19">
                  <c:v>7.7714272935436778E-9</c:v>
                </c:pt>
                <c:pt idx="20">
                  <c:v>7.8704082687764496E-9</c:v>
                </c:pt>
                <c:pt idx="21">
                  <c:v>7.403161395249445E-9</c:v>
                </c:pt>
                <c:pt idx="22">
                  <c:v>6.3000530564294E-9</c:v>
                </c:pt>
                <c:pt idx="23">
                  <c:v>5.1218709479586205E-9</c:v>
                </c:pt>
                <c:pt idx="24">
                  <c:v>4.3533208860553502E-9</c:v>
                </c:pt>
                <c:pt idx="25">
                  <c:v>3.980377197188472E-9</c:v>
                </c:pt>
                <c:pt idx="26">
                  <c:v>3.7942434286027432E-9</c:v>
                </c:pt>
                <c:pt idx="27">
                  <c:v>3.6610878486059124E-9</c:v>
                </c:pt>
                <c:pt idx="28">
                  <c:v>3.5305446147625322E-9</c:v>
                </c:pt>
                <c:pt idx="29">
                  <c:v>3.3841670388968363E-9</c:v>
                </c:pt>
                <c:pt idx="30">
                  <c:v>3.2163625804601781E-9</c:v>
                </c:pt>
                <c:pt idx="31">
                  <c:v>3.0254097710700952E-9</c:v>
                </c:pt>
                <c:pt idx="32">
                  <c:v>2.8119987444311594E-9</c:v>
                </c:pt>
                <c:pt idx="33">
                  <c:v>2.5785225783658197E-9</c:v>
                </c:pt>
                <c:pt idx="34">
                  <c:v>2.3287342371522537E-9</c:v>
                </c:pt>
                <c:pt idx="35">
                  <c:v>2.0675166635890481E-9</c:v>
                </c:pt>
                <c:pt idx="36">
                  <c:v>1.8006650490490765E-9</c:v>
                </c:pt>
                <c:pt idx="37">
                  <c:v>1.5346393557888668E-9</c:v>
                </c:pt>
                <c:pt idx="38">
                  <c:v>1.2762747715127402E-9</c:v>
                </c:pt>
                <c:pt idx="39">
                  <c:v>1.0324559556761213E-9</c:v>
                </c:pt>
                <c:pt idx="40">
                  <c:v>8.097729520429229E-10</c:v>
                </c:pt>
                <c:pt idx="41">
                  <c:v>6.154983169204754E-10</c:v>
                </c:pt>
                <c:pt idx="42">
                  <c:v>4.5863609990101898E-10</c:v>
                </c:pt>
                <c:pt idx="43">
                  <c:v>3.4835804678598174E-10</c:v>
                </c:pt>
                <c:pt idx="44">
                  <c:v>2.830210602485978E-10</c:v>
                </c:pt>
                <c:pt idx="45">
                  <c:v>3.0983374866576973E-10</c:v>
                </c:pt>
                <c:pt idx="46">
                  <c:v>3.7783682884480945E-10</c:v>
                </c:pt>
                <c:pt idx="47">
                  <c:v>4.787005006145935E-10</c:v>
                </c:pt>
                <c:pt idx="48">
                  <c:v>6.0976041022925563E-10</c:v>
                </c:pt>
                <c:pt idx="49">
                  <c:v>7.5987900275977506E-10</c:v>
                </c:pt>
                <c:pt idx="50">
                  <c:v>9.19267012372957E-10</c:v>
                </c:pt>
                <c:pt idx="51">
                  <c:v>1.0804764765933605E-9</c:v>
                </c:pt>
                <c:pt idx="52">
                  <c:v>1.2374565680075306E-9</c:v>
                </c:pt>
                <c:pt idx="53">
                  <c:v>1.3844266141662669E-9</c:v>
                </c:pt>
                <c:pt idx="54">
                  <c:v>1.5160130666759379E-9</c:v>
                </c:pt>
                <c:pt idx="55">
                  <c:v>1.6273778254693412E-9</c:v>
                </c:pt>
                <c:pt idx="56">
                  <c:v>1.7143407056078754E-9</c:v>
                </c:pt>
                <c:pt idx="57">
                  <c:v>1.773497567863694E-9</c:v>
                </c:pt>
                <c:pt idx="58">
                  <c:v>1.8023338350279103E-9</c:v>
                </c:pt>
                <c:pt idx="59">
                  <c:v>1.7993309631249601E-9</c:v>
                </c:pt>
                <c:pt idx="60">
                  <c:v>1.7640611493124086E-9</c:v>
                </c:pt>
                <c:pt idx="61">
                  <c:v>1.697263369927067E-9</c:v>
                </c:pt>
                <c:pt idx="62">
                  <c:v>1.6008920315567754E-9</c:v>
                </c:pt>
                <c:pt idx="63">
                  <c:v>1.478128390242489E-9</c:v>
                </c:pt>
                <c:pt idx="64">
                  <c:v>1.3333447584437207E-9</c:v>
                </c:pt>
                <c:pt idx="65">
                  <c:v>1.1720126523673102E-9</c:v>
                </c:pt>
                <c:pt idx="66">
                  <c:v>1.0005485892352886E-9</c:v>
                </c:pt>
                <c:pt idx="67">
                  <c:v>8.2609523866608964E-10</c:v>
                </c:pt>
                <c:pt idx="68">
                  <c:v>6.5624083761183416E-10</c:v>
                </c:pt>
                <c:pt idx="69">
                  <c:v>4.9868573573969715E-10</c:v>
                </c:pt>
                <c:pt idx="70">
                  <c:v>3.6087097940270817E-10</c:v>
                </c:pt>
                <c:pt idx="71">
                  <c:v>2.4958916110051939E-10</c:v>
                </c:pt>
                <c:pt idx="72">
                  <c:v>1.7060158330694323E-10</c:v>
                </c:pt>
                <c:pt idx="73">
                  <c:v>1.2828746519061484E-10</c:v>
                </c:pt>
                <c:pt idx="74">
                  <c:v>1.2535013620794717E-10</c:v>
                </c:pt>
                <c:pt idx="75">
                  <c:v>1.6260196075746305E-10</c:v>
                </c:pt>
                <c:pt idx="76">
                  <c:v>2.3884454473201546E-10</c:v>
                </c:pt>
                <c:pt idx="77">
                  <c:v>3.5085430736154479E-10</c:v>
                </c:pt>
                <c:pt idx="78">
                  <c:v>4.934766126899827E-10</c:v>
                </c:pt>
                <c:pt idx="79">
                  <c:v>6.5982514867422809E-10</c:v>
                </c:pt>
                <c:pt idx="80">
                  <c:v>8.4157773368129993E-10</c:v>
                </c:pt>
                <c:pt idx="81">
                  <c:v>1.0293555175291136E-9</c:v>
                </c:pt>
                <c:pt idx="82">
                  <c:v>1.2131696149814942E-9</c:v>
                </c:pt>
                <c:pt idx="83">
                  <c:v>1.3829172633047886E-9</c:v>
                </c:pt>
                <c:pt idx="84">
                  <c:v>1.5289081763350555E-9</c:v>
                </c:pt>
                <c:pt idx="85">
                  <c:v>1.642400380864147E-9</c:v>
                </c:pt>
                <c:pt idx="86">
                  <c:v>1.716123086162717E-9</c:v>
                </c:pt>
                <c:pt idx="87">
                  <c:v>1.7447619140402761E-9</c:v>
                </c:pt>
                <c:pt idx="88">
                  <c:v>1.7253792606416677E-9</c:v>
                </c:pt>
                <c:pt idx="89">
                  <c:v>1.6577402078154994E-9</c:v>
                </c:pt>
                <c:pt idx="90">
                  <c:v>1.5445130835804595E-9</c:v>
                </c:pt>
                <c:pt idx="91">
                  <c:v>1.3913145613061795E-9</c:v>
                </c:pt>
                <c:pt idx="92">
                  <c:v>1.2065731882018244E-9</c:v>
                </c:pt>
                <c:pt idx="93">
                  <c:v>1.0011933467927463E-9</c:v>
                </c:pt>
                <c:pt idx="94">
                  <c:v>7.8801429288844018E-10</c:v>
                </c:pt>
                <c:pt idx="95">
                  <c:v>5.8107572216974901E-10</c:v>
                </c:pt>
                <c:pt idx="96">
                  <c:v>3.9472106241556035E-10</c:v>
                </c:pt>
                <c:pt idx="97">
                  <c:v>2.4259020251114529E-10</c:v>
                </c:pt>
                <c:pt idx="98">
                  <c:v>1.3657187528795359E-10</c:v>
                </c:pt>
                <c:pt idx="99">
                  <c:v>8.5799427901525088E-11</c:v>
                </c:pt>
                <c:pt idx="100">
                  <c:v>9.5779674464921474E-11</c:v>
                </c:pt>
                <c:pt idx="101">
                  <c:v>1.6774133985079505E-10</c:v>
                </c:pt>
                <c:pt idx="102">
                  <c:v>2.9827702259203775E-10</c:v>
                </c:pt>
                <c:pt idx="103">
                  <c:v>4.7933180561539334E-10</c:v>
                </c:pt>
                <c:pt idx="104">
                  <c:v>6.9856491345082088E-10</c:v>
                </c:pt>
                <c:pt idx="105">
                  <c:v>9.400810327104448E-10</c:v>
                </c:pt>
                <c:pt idx="106">
                  <c:v>1.1854978813593516E-9</c:v>
                </c:pt>
                <c:pt idx="107">
                  <c:v>1.4152885834834652E-9</c:v>
                </c:pt>
                <c:pt idx="108">
                  <c:v>1.6103127969834171E-9</c:v>
                </c:pt>
                <c:pt idx="109">
                  <c:v>1.7534301149646178E-9</c:v>
                </c:pt>
                <c:pt idx="110">
                  <c:v>1.8310734627097271E-9</c:v>
                </c:pt>
                <c:pt idx="111">
                  <c:v>1.8346497916943471E-9</c:v>
                </c:pt>
                <c:pt idx="112">
                  <c:v>1.7616318039377141E-9</c:v>
                </c:pt>
                <c:pt idx="113">
                  <c:v>1.6162101334332358E-9</c:v>
                </c:pt>
                <c:pt idx="114">
                  <c:v>1.409393419156716E-9</c:v>
                </c:pt>
                <c:pt idx="115">
                  <c:v>1.1584769273612133E-9</c:v>
                </c:pt>
                <c:pt idx="116">
                  <c:v>8.8585034572549621E-10</c:v>
                </c:pt>
                <c:pt idx="117">
                  <c:v>6.171808912982891E-10</c:v>
                </c:pt>
                <c:pt idx="118">
                  <c:v>3.7908400042121451E-10</c:v>
                </c:pt>
                <c:pt idx="119">
                  <c:v>1.9647166089984227E-10</c:v>
                </c:pt>
                <c:pt idx="120">
                  <c:v>8.9835906876323812E-11</c:v>
                </c:pt>
                <c:pt idx="121">
                  <c:v>7.2769118692498076E-11</c:v>
                </c:pt>
                <c:pt idx="122">
                  <c:v>1.5003247451225904E-10</c:v>
                </c:pt>
                <c:pt idx="123">
                  <c:v>3.1645275183765284E-10</c:v>
                </c:pt>
                <c:pt idx="124">
                  <c:v>5.5685577748048612E-10</c:v>
                </c:pt>
                <c:pt idx="125">
                  <c:v>8.4713899686517431E-10</c:v>
                </c:pt>
                <c:pt idx="126">
                  <c:v>1.1564579599075499E-9</c:v>
                </c:pt>
                <c:pt idx="127">
                  <c:v>1.4503668297559316E-9</c:v>
                </c:pt>
                <c:pt idx="128">
                  <c:v>1.6946262689039773E-9</c:v>
                </c:pt>
                <c:pt idx="129">
                  <c:v>1.8592866576318155E-9</c:v>
                </c:pt>
                <c:pt idx="130">
                  <c:v>1.9225819930074548E-9</c:v>
                </c:pt>
                <c:pt idx="131">
                  <c:v>1.8741400799118629E-9</c:v>
                </c:pt>
                <c:pt idx="132">
                  <c:v>1.7170370988599381E-9</c:v>
                </c:pt>
                <c:pt idx="133">
                  <c:v>1.4683073807274458E-9</c:v>
                </c:pt>
                <c:pt idx="134">
                  <c:v>1.1576666429174881E-9</c:v>
                </c:pt>
                <c:pt idx="135">
                  <c:v>8.2441562705939402E-10</c:v>
                </c:pt>
                <c:pt idx="136">
                  <c:v>5.1274524750429667E-10</c:v>
                </c:pt>
                <c:pt idx="137">
                  <c:v>2.6593324793721662E-10</c:v>
                </c:pt>
                <c:pt idx="138">
                  <c:v>1.2016174581300121E-10</c:v>
                </c:pt>
                <c:pt idx="139">
                  <c:v>9.8844328856577134E-11</c:v>
                </c:pt>
                <c:pt idx="140">
                  <c:v>2.083851151894699E-10</c:v>
                </c:pt>
                <c:pt idx="141">
                  <c:v>4.3617298119722911E-10</c:v>
                </c:pt>
                <c:pt idx="142">
                  <c:v>7.5134228806053327E-10</c:v>
                </c:pt>
                <c:pt idx="143">
                  <c:v>1.1084376677203813E-9</c:v>
                </c:pt>
                <c:pt idx="144">
                  <c:v>1.4536609908797868E-9</c:v>
                </c:pt>
                <c:pt idx="145">
                  <c:v>1.7329245524301024E-9</c:v>
                </c:pt>
                <c:pt idx="146">
                  <c:v>1.900559483203616E-9</c:v>
                </c:pt>
                <c:pt idx="147">
                  <c:v>1.9272989652613688E-9</c:v>
                </c:pt>
                <c:pt idx="148">
                  <c:v>1.8066494124985208E-9</c:v>
                </c:pt>
                <c:pt idx="149">
                  <c:v>1.5552720611147973E-9</c:v>
                </c:pt>
                <c:pt idx="150">
                  <c:v>1.2144800760616741E-9</c:v>
                </c:pt>
                <c:pt idx="151">
                  <c:v>8.423892521654239E-10</c:v>
                </c:pt>
                <c:pt idx="152">
                  <c:v>5.0489435976157344E-10</c:v>
                </c:pt>
                <c:pt idx="153">
                  <c:v>2.6399406538918517E-10</c:v>
                </c:pt>
                <c:pt idx="154">
                  <c:v>1.6595326130050706E-10</c:v>
                </c:pt>
                <c:pt idx="155">
                  <c:v>2.3161362890661155E-10</c:v>
                </c:pt>
                <c:pt idx="156">
                  <c:v>4.5099443724501582E-10</c:v>
                </c:pt>
                <c:pt idx="157">
                  <c:v>7.8367278706167751E-10</c:v>
                </c:pt>
                <c:pt idx="158">
                  <c:v>1.1653757525374992E-9</c:v>
                </c:pt>
                <c:pt idx="159">
                  <c:v>1.5199428336277226E-9</c:v>
                </c:pt>
                <c:pt idx="160">
                  <c:v>1.774582984207853E-9</c:v>
                </c:pt>
                <c:pt idx="161">
                  <c:v>1.875430615126899E-9</c:v>
                </c:pt>
                <c:pt idx="162">
                  <c:v>1.8000357607374388E-9</c:v>
                </c:pt>
                <c:pt idx="163">
                  <c:v>1.5637554684170711E-9</c:v>
                </c:pt>
                <c:pt idx="164">
                  <c:v>1.2180719228468031E-9</c:v>
                </c:pt>
                <c:pt idx="165">
                  <c:v>8.4051884087917379E-10</c:v>
                </c:pt>
                <c:pt idx="166">
                  <c:v>5.1785642562880027E-10</c:v>
                </c:pt>
                <c:pt idx="167">
                  <c:v>3.2596134722767352E-10</c:v>
                </c:pt>
                <c:pt idx="168">
                  <c:v>3.1109583651693478E-10</c:v>
                </c:pt>
                <c:pt idx="169">
                  <c:v>4.7736438948073386E-10</c:v>
                </c:pt>
                <c:pt idx="170">
                  <c:v>7.8405459403584944E-10</c:v>
                </c:pt>
                <c:pt idx="171">
                  <c:v>1.1543188156747775E-9</c:v>
                </c:pt>
                <c:pt idx="172">
                  <c:v>1.4937628420091448E-9</c:v>
                </c:pt>
                <c:pt idx="173">
                  <c:v>1.7146949093954813E-9</c:v>
                </c:pt>
                <c:pt idx="174">
                  <c:v>1.7598508643486398E-9</c:v>
                </c:pt>
                <c:pt idx="175">
                  <c:v>1.6189972557679075E-9</c:v>
                </c:pt>
                <c:pt idx="176">
                  <c:v>1.333229311645591E-9</c:v>
                </c:pt>
                <c:pt idx="177">
                  <c:v>9.8485478032966183E-10</c:v>
                </c:pt>
                <c:pt idx="178">
                  <c:v>6.748058409800333E-10</c:v>
                </c:pt>
                <c:pt idx="179">
                  <c:v>4.9345441910686882E-10</c:v>
                </c:pt>
                <c:pt idx="180">
                  <c:v>4.9326872896660204E-10</c:v>
                </c:pt>
                <c:pt idx="181">
                  <c:v>6.7191898036953632E-10</c:v>
                </c:pt>
                <c:pt idx="182">
                  <c:v>9.7183661844177191E-10</c:v>
                </c:pt>
                <c:pt idx="183">
                  <c:v>1.2973738866864441E-9</c:v>
                </c:pt>
                <c:pt idx="184">
                  <c:v>1.5449817838117478E-9</c:v>
                </c:pt>
                <c:pt idx="185">
                  <c:v>1.637096861595524E-9</c:v>
                </c:pt>
                <c:pt idx="186">
                  <c:v>1.5484568784327847E-9</c:v>
                </c:pt>
                <c:pt idx="187">
                  <c:v>1.3153535430209807E-9</c:v>
                </c:pt>
                <c:pt idx="188">
                  <c:v>1.0236659056412276E-9</c:v>
                </c:pt>
                <c:pt idx="189">
                  <c:v>7.7886982212899151E-10</c:v>
                </c:pt>
                <c:pt idx="190">
                  <c:v>6.6808641082580754E-10</c:v>
                </c:pt>
                <c:pt idx="191">
                  <c:v>7.279353215694223E-10</c:v>
                </c:pt>
                <c:pt idx="192">
                  <c:v>9.3067777363122459E-10</c:v>
                </c:pt>
                <c:pt idx="193">
                  <c:v>1.1948143774349688E-9</c:v>
                </c:pt>
                <c:pt idx="194">
                  <c:v>1.4169647602086914E-9</c:v>
                </c:pt>
                <c:pt idx="195">
                  <c:v>1.5133274050113184E-9</c:v>
                </c:pt>
                <c:pt idx="196">
                  <c:v>1.4523557784876733E-9</c:v>
                </c:pt>
                <c:pt idx="197">
                  <c:v>1.269100486588806E-9</c:v>
                </c:pt>
                <c:pt idx="198">
                  <c:v>1.0485610032486378E-9</c:v>
                </c:pt>
                <c:pt idx="199">
                  <c:v>8.8876214439649159E-10</c:v>
                </c:pt>
                <c:pt idx="200">
                  <c:v>8.5750742609246599E-10</c:v>
                </c:pt>
                <c:pt idx="201">
                  <c:v>9.6248274810085289E-10</c:v>
                </c:pt>
                <c:pt idx="202">
                  <c:v>1.148859884967524E-9</c:v>
                </c:pt>
                <c:pt idx="203">
                  <c:v>1.3262063527556579E-9</c:v>
                </c:pt>
                <c:pt idx="204">
                  <c:v>1.4124441715529579E-9</c:v>
                </c:pt>
                <c:pt idx="205">
                  <c:v>1.373667932252214E-9</c:v>
                </c:pt>
                <c:pt idx="206">
                  <c:v>1.2398089931017088E-9</c:v>
                </c:pt>
                <c:pt idx="207">
                  <c:v>1.087679557138651E-9</c:v>
                </c:pt>
                <c:pt idx="208">
                  <c:v>9.9965448756582987E-10</c:v>
                </c:pt>
                <c:pt idx="209">
                  <c:v>1.0196017907701459E-9</c:v>
                </c:pt>
                <c:pt idx="210">
                  <c:v>1.1300341672520943E-9</c:v>
                </c:pt>
                <c:pt idx="211">
                  <c:v>1.263565256342434E-9</c:v>
                </c:pt>
                <c:pt idx="212">
                  <c:v>1.3427319446798561E-9</c:v>
                </c:pt>
                <c:pt idx="213">
                  <c:v>1.3255163716075626E-9</c:v>
                </c:pt>
                <c:pt idx="214">
                  <c:v>1.2296167415114799E-9</c:v>
                </c:pt>
                <c:pt idx="215">
                  <c:v>1.1203084177158127E-9</c:v>
                </c:pt>
                <c:pt idx="216">
                  <c:v>1.0686504242862837E-9</c:v>
                </c:pt>
                <c:pt idx="217">
                  <c:v>1.1058420021758266E-9</c:v>
                </c:pt>
                <c:pt idx="218">
                  <c:v>1.2031920177072528E-9</c:v>
                </c:pt>
                <c:pt idx="219">
                  <c:v>1.2916820659038851E-9</c:v>
                </c:pt>
                <c:pt idx="220">
                  <c:v>1.3091761358054316E-9</c:v>
                </c:pt>
                <c:pt idx="221">
                  <c:v>1.2437475201116215E-9</c:v>
                </c:pt>
                <c:pt idx="222">
                  <c:v>1.1425744364918838E-9</c:v>
                </c:pt>
                <c:pt idx="223">
                  <c:v>1.078608954261364E-9</c:v>
                </c:pt>
                <c:pt idx="224">
                  <c:v>1.0973705813742845E-9</c:v>
                </c:pt>
                <c:pt idx="225">
                  <c:v>1.1822965919145116E-9</c:v>
                </c:pt>
                <c:pt idx="226">
                  <c:v>1.2656768981868819E-9</c:v>
                </c:pt>
                <c:pt idx="227">
                  <c:v>1.2792554756750927E-9</c:v>
                </c:pt>
                <c:pt idx="228">
                  <c:v>1.207422816894104E-9</c:v>
                </c:pt>
                <c:pt idx="229">
                  <c:v>1.10124402185917E-9</c:v>
                </c:pt>
                <c:pt idx="230">
                  <c:v>1.0398254968252232E-9</c:v>
                </c:pt>
                <c:pt idx="231">
                  <c:v>1.0672056468164975E-9</c:v>
                </c:pt>
                <c:pt idx="232">
                  <c:v>1.1551314254852433E-9</c:v>
                </c:pt>
                <c:pt idx="233">
                  <c:v>1.2241951643051687E-9</c:v>
                </c:pt>
                <c:pt idx="234">
                  <c:v>1.2088818278277993E-9</c:v>
                </c:pt>
                <c:pt idx="235">
                  <c:v>1.1134909561777549E-9</c:v>
                </c:pt>
                <c:pt idx="236">
                  <c:v>1.0101303439817474E-9</c:v>
                </c:pt>
                <c:pt idx="237">
                  <c:v>9.7754781291496211E-10</c:v>
                </c:pt>
                <c:pt idx="238">
                  <c:v>1.032090613745664E-9</c:v>
                </c:pt>
                <c:pt idx="239">
                  <c:v>1.1123455042644215E-9</c:v>
                </c:pt>
                <c:pt idx="240">
                  <c:v>1.1336596039803615E-9</c:v>
                </c:pt>
                <c:pt idx="241">
                  <c:v>1.0650819267078533E-9</c:v>
                </c:pt>
                <c:pt idx="242">
                  <c:v>9.5786453890165345E-10</c:v>
                </c:pt>
                <c:pt idx="243">
                  <c:v>8.9723454214639035E-10</c:v>
                </c:pt>
                <c:pt idx="244">
                  <c:v>9.2157783192919631E-10</c:v>
                </c:pt>
                <c:pt idx="245">
                  <c:v>9.8650898446237713E-10</c:v>
                </c:pt>
                <c:pt idx="246">
                  <c:v>1.0096386480640272E-9</c:v>
                </c:pt>
                <c:pt idx="247">
                  <c:v>9.5236995915875248E-10</c:v>
                </c:pt>
                <c:pt idx="248">
                  <c:v>8.5672639926477146E-10</c:v>
                </c:pt>
                <c:pt idx="249">
                  <c:v>7.9991909119318368E-10</c:v>
                </c:pt>
                <c:pt idx="250">
                  <c:v>8.1420304118143005E-10</c:v>
                </c:pt>
                <c:pt idx="251">
                  <c:v>8.5611292556965867E-10</c:v>
                </c:pt>
                <c:pt idx="252">
                  <c:v>8.5639508112559922E-10</c:v>
                </c:pt>
                <c:pt idx="253">
                  <c:v>7.9483356525603907E-10</c:v>
                </c:pt>
                <c:pt idx="254">
                  <c:v>7.1811452677430211E-10</c:v>
                </c:pt>
                <c:pt idx="255">
                  <c:v>6.8381879845154649E-10</c:v>
                </c:pt>
                <c:pt idx="256">
                  <c:v>6.9659589301208798E-10</c:v>
                </c:pt>
                <c:pt idx="257">
                  <c:v>7.0848962545830261E-10</c:v>
                </c:pt>
                <c:pt idx="258">
                  <c:v>6.7834157398435894E-10</c:v>
                </c:pt>
                <c:pt idx="259">
                  <c:v>6.1735877016256656E-10</c:v>
                </c:pt>
                <c:pt idx="260">
                  <c:v>5.6946890331969982E-10</c:v>
                </c:pt>
                <c:pt idx="261">
                  <c:v>5.5629983250777463E-10</c:v>
                </c:pt>
                <c:pt idx="262">
                  <c:v>5.557671465978335E-10</c:v>
                </c:pt>
                <c:pt idx="263">
                  <c:v>5.3525475568028055E-10</c:v>
                </c:pt>
                <c:pt idx="264">
                  <c:v>4.9171981923726478E-10</c:v>
                </c:pt>
                <c:pt idx="265">
                  <c:v>4.4939070027384652E-10</c:v>
                </c:pt>
                <c:pt idx="266">
                  <c:v>4.2549960053770928E-10</c:v>
                </c:pt>
                <c:pt idx="267">
                  <c:v>4.118680321020062E-10</c:v>
                </c:pt>
                <c:pt idx="268">
                  <c:v>3.9102051900332951E-10</c:v>
                </c:pt>
                <c:pt idx="269">
                  <c:v>3.5891348234509203E-10</c:v>
                </c:pt>
                <c:pt idx="270">
                  <c:v>3.2550599471718606E-10</c:v>
                </c:pt>
                <c:pt idx="271">
                  <c:v>2.9942679083300773E-10</c:v>
                </c:pt>
                <c:pt idx="272">
                  <c:v>2.794939815333436E-10</c:v>
                </c:pt>
                <c:pt idx="273">
                  <c:v>2.5932773790641557E-10</c:v>
                </c:pt>
                <c:pt idx="274">
                  <c:v>2.3495011984216336E-10</c:v>
                </c:pt>
                <c:pt idx="275">
                  <c:v>2.0793873520546769E-10</c:v>
                </c:pt>
                <c:pt idx="276">
                  <c:v>1.8361380162252927E-10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9D-4B08-82AD-5A0688CCDDF0}"/>
            </c:ext>
          </c:extLst>
        </c:ser>
        <c:ser>
          <c:idx val="0"/>
          <c:order val="1"/>
          <c:tx>
            <c:v>Neutron Data</c:v>
          </c:tx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CC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errBars>
            <c:errDir val="y"/>
            <c:errBarType val="both"/>
            <c:errValType val="cust"/>
            <c:noEndCap val="1"/>
            <c:plus>
              <c:numRef>
                <c:f>Reflectivity!$K$3:$K$496</c:f>
                <c:numCache>
                  <c:formatCode>General</c:formatCode>
                  <c:ptCount val="494"/>
                  <c:pt idx="0">
                    <c:v>8.0980976539988662E-10</c:v>
                  </c:pt>
                  <c:pt idx="1">
                    <c:v>5.2449555268146532E-10</c:v>
                  </c:pt>
                  <c:pt idx="2">
                    <c:v>4.6603463238193455E-10</c:v>
                  </c:pt>
                  <c:pt idx="3">
                    <c:v>4.3427028546845184E-10</c:v>
                  </c:pt>
                  <c:pt idx="4">
                    <c:v>4.0819101210214818E-10</c:v>
                  </c:pt>
                  <c:pt idx="5">
                    <c:v>4.0411923663042076E-10</c:v>
                  </c:pt>
                  <c:pt idx="6">
                    <c:v>4.3352851620112478E-10</c:v>
                  </c:pt>
                  <c:pt idx="7">
                    <c:v>4.1121730037345935E-10</c:v>
                  </c:pt>
                  <c:pt idx="8">
                    <c:v>3.8031167493908856E-10</c:v>
                  </c:pt>
                  <c:pt idx="9">
                    <c:v>3.9764100029954231E-10</c:v>
                  </c:pt>
                  <c:pt idx="10">
                    <c:v>4.2153524393295985E-10</c:v>
                  </c:pt>
                  <c:pt idx="11">
                    <c:v>4.1585321876760412E-10</c:v>
                  </c:pt>
                  <c:pt idx="12">
                    <c:v>4.2772129573252331E-10</c:v>
                  </c:pt>
                  <c:pt idx="13">
                    <c:v>3.2208194148608766E-10</c:v>
                  </c:pt>
                  <c:pt idx="14">
                    <c:v>3.0863230220491445E-10</c:v>
                  </c:pt>
                  <c:pt idx="15">
                    <c:v>3.2639962268143556E-10</c:v>
                  </c:pt>
                  <c:pt idx="16">
                    <c:v>3.2312873584040428E-10</c:v>
                  </c:pt>
                  <c:pt idx="17">
                    <c:v>3.2828810479694267E-10</c:v>
                  </c:pt>
                  <c:pt idx="18">
                    <c:v>5.0169303479746299E-10</c:v>
                  </c:pt>
                  <c:pt idx="19">
                    <c:v>5.0545913822660958E-10</c:v>
                  </c:pt>
                  <c:pt idx="20">
                    <c:v>4.4587909580052174E-10</c:v>
                  </c:pt>
                  <c:pt idx="21">
                    <c:v>4.5686970998892927E-10</c:v>
                  </c:pt>
                  <c:pt idx="22">
                    <c:v>4.0027009922685639E-10</c:v>
                  </c:pt>
                  <c:pt idx="23">
                    <c:v>3.70089638055629E-10</c:v>
                  </c:pt>
                  <c:pt idx="24">
                    <c:v>3.4587628065731599E-10</c:v>
                  </c:pt>
                  <c:pt idx="25">
                    <c:v>3.0546264377760582E-10</c:v>
                  </c:pt>
                  <c:pt idx="26">
                    <c:v>3.1559222772552985E-10</c:v>
                  </c:pt>
                  <c:pt idx="27">
                    <c:v>3.176867028397053E-10</c:v>
                  </c:pt>
                  <c:pt idx="28">
                    <c:v>2.9077129520947E-10</c:v>
                  </c:pt>
                  <c:pt idx="29">
                    <c:v>2.6954085049025717E-10</c:v>
                  </c:pt>
                  <c:pt idx="30">
                    <c:v>2.9572400469230494E-10</c:v>
                  </c:pt>
                  <c:pt idx="31">
                    <c:v>2.8267667167842272E-10</c:v>
                  </c:pt>
                  <c:pt idx="32">
                    <c:v>2.6434462953312544E-10</c:v>
                  </c:pt>
                  <c:pt idx="33">
                    <c:v>2.6398161645396319E-10</c:v>
                  </c:pt>
                  <c:pt idx="34">
                    <c:v>1.4021316777731845E-10</c:v>
                  </c:pt>
                  <c:pt idx="35">
                    <c:v>1.3309212069646388E-10</c:v>
                  </c:pt>
                  <c:pt idx="36">
                    <c:v>1.213155883923142E-10</c:v>
                  </c:pt>
                  <c:pt idx="37">
                    <c:v>1.0969029177288367E-10</c:v>
                  </c:pt>
                  <c:pt idx="38">
                    <c:v>1.1361834209256383E-10</c:v>
                  </c:pt>
                  <c:pt idx="39">
                    <c:v>1.0824165385161662E-10</c:v>
                  </c:pt>
                  <c:pt idx="40">
                    <c:v>8.9824603602353188E-11</c:v>
                  </c:pt>
                  <c:pt idx="41">
                    <c:v>7.6585780447958857E-11</c:v>
                  </c:pt>
                  <c:pt idx="42">
                    <c:v>7.3180710361517137E-11</c:v>
                  </c:pt>
                  <c:pt idx="43">
                    <c:v>6.1388054780615677E-11</c:v>
                  </c:pt>
                  <c:pt idx="44">
                    <c:v>5.6210636830120753E-11</c:v>
                  </c:pt>
                  <c:pt idx="45">
                    <c:v>5.7823434839897066E-11</c:v>
                  </c:pt>
                  <c:pt idx="46">
                    <c:v>6.8980519695386442E-11</c:v>
                  </c:pt>
                  <c:pt idx="47">
                    <c:v>6.9468859227116655E-11</c:v>
                  </c:pt>
                  <c:pt idx="48">
                    <c:v>8.40936518875501E-11</c:v>
                  </c:pt>
                  <c:pt idx="49">
                    <c:v>8.5311801102620117E-11</c:v>
                  </c:pt>
                  <c:pt idx="50">
                    <c:v>9.0853331012040265E-11</c:v>
                  </c:pt>
                  <c:pt idx="51">
                    <c:v>1.0324514711055796E-10</c:v>
                  </c:pt>
                  <c:pt idx="52">
                    <c:v>1.2066409550165562E-10</c:v>
                  </c:pt>
                  <c:pt idx="53">
                    <c:v>1.1835421872099125E-10</c:v>
                  </c:pt>
                  <c:pt idx="54">
                    <c:v>1.1930545746910478E-10</c:v>
                  </c:pt>
                  <c:pt idx="55">
                    <c:v>1.3290725216789213E-10</c:v>
                  </c:pt>
                  <c:pt idx="56">
                    <c:v>1.3252870533798414E-10</c:v>
                  </c:pt>
                  <c:pt idx="57">
                    <c:v>1.352131570015164E-10</c:v>
                  </c:pt>
                  <c:pt idx="58">
                    <c:v>9.7625449206061825E-11</c:v>
                  </c:pt>
                  <c:pt idx="59">
                    <c:v>9.9720149431513896E-11</c:v>
                  </c:pt>
                  <c:pt idx="60">
                    <c:v>9.6120107592251874E-11</c:v>
                  </c:pt>
                  <c:pt idx="61">
                    <c:v>9.0594412858671516E-11</c:v>
                  </c:pt>
                  <c:pt idx="62">
                    <c:v>8.7883960301280566E-11</c:v>
                  </c:pt>
                  <c:pt idx="63">
                    <c:v>9.0011401051881384E-11</c:v>
                  </c:pt>
                  <c:pt idx="64">
                    <c:v>1.3278845161711588E-10</c:v>
                  </c:pt>
                  <c:pt idx="65">
                    <c:v>1.248935431986542E-10</c:v>
                  </c:pt>
                  <c:pt idx="66">
                    <c:v>1.0749598385963078E-10</c:v>
                  </c:pt>
                  <c:pt idx="67">
                    <c:v>8.8870566878802708E-11</c:v>
                  </c:pt>
                  <c:pt idx="68">
                    <c:v>8.5686829831429221E-11</c:v>
                  </c:pt>
                  <c:pt idx="69">
                    <c:v>8.0901815989926092E-11</c:v>
                  </c:pt>
                  <c:pt idx="70">
                    <c:v>7.6154290776820201E-11</c:v>
                  </c:pt>
                  <c:pt idx="71">
                    <c:v>5.834919680503581E-11</c:v>
                  </c:pt>
                  <c:pt idx="72">
                    <c:v>5.4603257529687397E-11</c:v>
                  </c:pt>
                  <c:pt idx="73">
                    <c:v>5.0153927870389317E-11</c:v>
                  </c:pt>
                  <c:pt idx="74">
                    <c:v>4.8215285926541168E-11</c:v>
                  </c:pt>
                  <c:pt idx="75">
                    <c:v>4.7703208186556904E-11</c:v>
                  </c:pt>
                  <c:pt idx="76">
                    <c:v>5.5263302171327656E-11</c:v>
                  </c:pt>
                  <c:pt idx="77">
                    <c:v>6.5230310032805339E-11</c:v>
                  </c:pt>
                  <c:pt idx="78">
                    <c:v>7.9724535593792583E-11</c:v>
                  </c:pt>
                  <c:pt idx="79">
                    <c:v>8.976808834490831E-11</c:v>
                  </c:pt>
                  <c:pt idx="80">
                    <c:v>1.0058276263749338E-10</c:v>
                  </c:pt>
                  <c:pt idx="81">
                    <c:v>1.0632661770859149E-10</c:v>
                  </c:pt>
                  <c:pt idx="82">
                    <c:v>1.0878536311394498E-10</c:v>
                  </c:pt>
                  <c:pt idx="83">
                    <c:v>1.196887733509431E-10</c:v>
                  </c:pt>
                  <c:pt idx="84">
                    <c:v>1.3233565209634814E-10</c:v>
                  </c:pt>
                  <c:pt idx="85">
                    <c:v>1.4170244747543631E-10</c:v>
                  </c:pt>
                  <c:pt idx="86">
                    <c:v>1.3346969600543087E-10</c:v>
                  </c:pt>
                  <c:pt idx="87">
                    <c:v>1.4787274439701943E-10</c:v>
                  </c:pt>
                  <c:pt idx="88">
                    <c:v>1.3220226700820976E-10</c:v>
                  </c:pt>
                  <c:pt idx="89">
                    <c:v>1.3597284257111126E-10</c:v>
                  </c:pt>
                  <c:pt idx="90">
                    <c:v>1.3762552452197275E-10</c:v>
                  </c:pt>
                  <c:pt idx="91">
                    <c:v>1.3533103111069971E-10</c:v>
                  </c:pt>
                  <c:pt idx="92">
                    <c:v>1.2215541195314736E-10</c:v>
                  </c:pt>
                  <c:pt idx="93">
                    <c:v>1.1282721411919035E-10</c:v>
                  </c:pt>
                  <c:pt idx="94">
                    <c:v>1.0438285662051755E-10</c:v>
                  </c:pt>
                  <c:pt idx="95">
                    <c:v>8.3160742902430527E-11</c:v>
                  </c:pt>
                  <c:pt idx="96">
                    <c:v>3.5729717692164846E-11</c:v>
                  </c:pt>
                  <c:pt idx="97">
                    <c:v>3.2318762617274582E-11</c:v>
                  </c:pt>
                  <c:pt idx="98">
                    <c:v>2.2963695894903881E-11</c:v>
                  </c:pt>
                  <c:pt idx="99">
                    <c:v>2.1153767780098503E-11</c:v>
                  </c:pt>
                  <c:pt idx="100">
                    <c:v>2.1947301567094334E-11</c:v>
                  </c:pt>
                  <c:pt idx="101">
                    <c:v>2.6340097113506506E-11</c:v>
                  </c:pt>
                  <c:pt idx="102">
                    <c:v>2.9645620244779443E-11</c:v>
                  </c:pt>
                  <c:pt idx="103">
                    <c:v>3.6889573541654648E-11</c:v>
                  </c:pt>
                  <c:pt idx="104">
                    <c:v>4.1900066092714589E-11</c:v>
                  </c:pt>
                  <c:pt idx="105">
                    <c:v>5.5304266947501716E-11</c:v>
                  </c:pt>
                  <c:pt idx="106">
                    <c:v>6.4098871375770269E-11</c:v>
                  </c:pt>
                  <c:pt idx="107">
                    <c:v>6.8422553365183349E-11</c:v>
                  </c:pt>
                  <c:pt idx="108">
                    <c:v>7.8151850090956927E-11</c:v>
                  </c:pt>
                  <c:pt idx="109">
                    <c:v>7.5140219881053932E-11</c:v>
                  </c:pt>
                  <c:pt idx="110">
                    <c:v>7.7584519747793591E-11</c:v>
                  </c:pt>
                  <c:pt idx="111">
                    <c:v>7.676944845454614E-11</c:v>
                  </c:pt>
                  <c:pt idx="112">
                    <c:v>7.4458531604877871E-11</c:v>
                  </c:pt>
                  <c:pt idx="113">
                    <c:v>7.1291087216819879E-11</c:v>
                  </c:pt>
                  <c:pt idx="114">
                    <c:v>6.5859774040080976E-11</c:v>
                  </c:pt>
                  <c:pt idx="115">
                    <c:v>6.4836669854459351E-11</c:v>
                  </c:pt>
                  <c:pt idx="116">
                    <c:v>6.2787014627128564E-11</c:v>
                  </c:pt>
                  <c:pt idx="117">
                    <c:v>5.5333453323533991E-11</c:v>
                  </c:pt>
                  <c:pt idx="118">
                    <c:v>4.5665335439343913E-11</c:v>
                  </c:pt>
                  <c:pt idx="119">
                    <c:v>4.5825832525446454E-11</c:v>
                  </c:pt>
                  <c:pt idx="120">
                    <c:v>4.1180943658506041E-11</c:v>
                  </c:pt>
                  <c:pt idx="121">
                    <c:v>3.7123973219252968E-11</c:v>
                  </c:pt>
                  <c:pt idx="122">
                    <c:v>4.4624152993145959E-11</c:v>
                  </c:pt>
                  <c:pt idx="123">
                    <c:v>5.0723583594109086E-11</c:v>
                  </c:pt>
                  <c:pt idx="124">
                    <c:v>6.0663945716988855E-11</c:v>
                  </c:pt>
                  <c:pt idx="125">
                    <c:v>6.7874744389725143E-11</c:v>
                  </c:pt>
                  <c:pt idx="126">
                    <c:v>7.9716794694861229E-11</c:v>
                  </c:pt>
                  <c:pt idx="127">
                    <c:v>8.9120278425666992E-11</c:v>
                  </c:pt>
                  <c:pt idx="128">
                    <c:v>1.0161129484430338E-10</c:v>
                  </c:pt>
                  <c:pt idx="129">
                    <c:v>1.0972577815816771E-10</c:v>
                  </c:pt>
                  <c:pt idx="130">
                    <c:v>9.7227752675331776E-11</c:v>
                  </c:pt>
                  <c:pt idx="131">
                    <c:v>1.1095242326007175E-10</c:v>
                  </c:pt>
                  <c:pt idx="132">
                    <c:v>1.0156503863452809E-10</c:v>
                  </c:pt>
                  <c:pt idx="133">
                    <c:v>9.2885673476905946E-11</c:v>
                  </c:pt>
                  <c:pt idx="134">
                    <c:v>9.6078071041477496E-11</c:v>
                  </c:pt>
                  <c:pt idx="135">
                    <c:v>8.3359692424104392E-11</c:v>
                  </c:pt>
                  <c:pt idx="136">
                    <c:v>7.532049719350324E-11</c:v>
                  </c:pt>
                  <c:pt idx="137">
                    <c:v>7.0491581357458963E-11</c:v>
                  </c:pt>
                  <c:pt idx="138">
                    <c:v>7.0852016129672678E-11</c:v>
                  </c:pt>
                  <c:pt idx="139">
                    <c:v>6.4739512824274899E-11</c:v>
                  </c:pt>
                  <c:pt idx="140">
                    <c:v>8.0305670950067857E-11</c:v>
                  </c:pt>
                  <c:pt idx="141">
                    <c:v>8.7158109070153214E-11</c:v>
                  </c:pt>
                  <c:pt idx="142">
                    <c:v>1.0548073292782641E-10</c:v>
                  </c:pt>
                  <c:pt idx="143">
                    <c:v>1.047784565517855E-10</c:v>
                  </c:pt>
                  <c:pt idx="144">
                    <c:v>1.2365785863569089E-10</c:v>
                  </c:pt>
                  <c:pt idx="145">
                    <c:v>1.3083306234343913E-10</c:v>
                  </c:pt>
                  <c:pt idx="146">
                    <c:v>1.2626794807942648E-10</c:v>
                  </c:pt>
                  <c:pt idx="147">
                    <c:v>1.371963894009764E-10</c:v>
                  </c:pt>
                  <c:pt idx="148">
                    <c:v>1.3079712883561023E-10</c:v>
                  </c:pt>
                  <c:pt idx="149">
                    <c:v>1.3982396502133699E-10</c:v>
                  </c:pt>
                  <c:pt idx="150">
                    <c:v>1.1588712250381616E-10</c:v>
                  </c:pt>
                  <c:pt idx="151">
                    <c:v>1.1725234395256436E-10</c:v>
                  </c:pt>
                  <c:pt idx="152">
                    <c:v>1.009059730400808E-10</c:v>
                  </c:pt>
                  <c:pt idx="153">
                    <c:v>8.2059774999669624E-11</c:v>
                  </c:pt>
                  <c:pt idx="154">
                    <c:v>1.0885696407367216E-10</c:v>
                  </c:pt>
                  <c:pt idx="155">
                    <c:v>9.6405490592756206E-11</c:v>
                  </c:pt>
                  <c:pt idx="156">
                    <c:v>1.1051726505920399E-10</c:v>
                  </c:pt>
                  <c:pt idx="157">
                    <c:v>1.0688095984780343E-10</c:v>
                  </c:pt>
                  <c:pt idx="158">
                    <c:v>1.4093063081605758E-10</c:v>
                  </c:pt>
                  <c:pt idx="159">
                    <c:v>1.5204967475981077E-10</c:v>
                  </c:pt>
                  <c:pt idx="160">
                    <c:v>1.5983999549515747E-10</c:v>
                  </c:pt>
                  <c:pt idx="161">
                    <c:v>1.5955302206254057E-10</c:v>
                  </c:pt>
                  <c:pt idx="162">
                    <c:v>1.6262992345490836E-10</c:v>
                  </c:pt>
                  <c:pt idx="163">
                    <c:v>1.6541657586992396E-10</c:v>
                  </c:pt>
                  <c:pt idx="164">
                    <c:v>1.566480470933413E-10</c:v>
                  </c:pt>
                  <c:pt idx="165">
                    <c:v>6.9068621541166268E-11</c:v>
                  </c:pt>
                  <c:pt idx="166">
                    <c:v>6.1998350180445001E-11</c:v>
                  </c:pt>
                  <c:pt idx="167">
                    <c:v>5.2665573026306593E-11</c:v>
                  </c:pt>
                  <c:pt idx="168">
                    <c:v>4.640707570767493E-11</c:v>
                  </c:pt>
                  <c:pt idx="169">
                    <c:v>5.1742703657830036E-11</c:v>
                  </c:pt>
                  <c:pt idx="170">
                    <c:v>6.4820221971488727E-11</c:v>
                  </c:pt>
                  <c:pt idx="171">
                    <c:v>7.0807345155804946E-11</c:v>
                  </c:pt>
                  <c:pt idx="172">
                    <c:v>7.9776202830834812E-11</c:v>
                  </c:pt>
                  <c:pt idx="173">
                    <c:v>8.4023587211180238E-11</c:v>
                  </c:pt>
                  <c:pt idx="174">
                    <c:v>8.4637452619786937E-11</c:v>
                  </c:pt>
                  <c:pt idx="175">
                    <c:v>8.3607512552747218E-11</c:v>
                  </c:pt>
                  <c:pt idx="176">
                    <c:v>7.8849412908604887E-11</c:v>
                  </c:pt>
                  <c:pt idx="177">
                    <c:v>7.510087193385881E-11</c:v>
                  </c:pt>
                  <c:pt idx="178">
                    <c:v>6.1609106104772656E-11</c:v>
                  </c:pt>
                  <c:pt idx="179">
                    <c:v>6.2174503492560139E-11</c:v>
                  </c:pt>
                  <c:pt idx="180">
                    <c:v>5.9221586675756362E-11</c:v>
                  </c:pt>
                  <c:pt idx="181">
                    <c:v>7.0333804603407464E-11</c:v>
                  </c:pt>
                  <c:pt idx="182">
                    <c:v>7.842896656108592E-11</c:v>
                  </c:pt>
                  <c:pt idx="183">
                    <c:v>8.5791170679580894E-11</c:v>
                  </c:pt>
                  <c:pt idx="184">
                    <c:v>9.7530336340055641E-11</c:v>
                  </c:pt>
                  <c:pt idx="185">
                    <c:v>1.0739156162944791E-10</c:v>
                  </c:pt>
                  <c:pt idx="186">
                    <c:v>1.0465102577999871E-10</c:v>
                  </c:pt>
                  <c:pt idx="187">
                    <c:v>9.4120943522907319E-11</c:v>
                  </c:pt>
                  <c:pt idx="188">
                    <c:v>9.3756887061072891E-11</c:v>
                  </c:pt>
                  <c:pt idx="189">
                    <c:v>8.1504320028007588E-11</c:v>
                  </c:pt>
                  <c:pt idx="190">
                    <c:v>7.2680939149135618E-11</c:v>
                  </c:pt>
                  <c:pt idx="191">
                    <c:v>7.5610949070229117E-11</c:v>
                  </c:pt>
                  <c:pt idx="192">
                    <c:v>8.7310126755465012E-11</c:v>
                  </c:pt>
                  <c:pt idx="193">
                    <c:v>1.0056256968858746E-10</c:v>
                  </c:pt>
                  <c:pt idx="194">
                    <c:v>1.092974074616073E-10</c:v>
                  </c:pt>
                  <c:pt idx="195">
                    <c:v>1.1782298933564143E-10</c:v>
                  </c:pt>
                  <c:pt idx="196">
                    <c:v>1.1172067122410997E-10</c:v>
                  </c:pt>
                  <c:pt idx="197">
                    <c:v>1.1802658110962973E-10</c:v>
                  </c:pt>
                  <c:pt idx="198">
                    <c:v>1.0273983061585127E-10</c:v>
                  </c:pt>
                  <c:pt idx="199">
                    <c:v>9.5112831316262886E-11</c:v>
                  </c:pt>
                  <c:pt idx="200">
                    <c:v>1.0192903255433614E-10</c:v>
                  </c:pt>
                  <c:pt idx="201">
                    <c:v>1.0363358842815487E-10</c:v>
                  </c:pt>
                  <c:pt idx="202">
                    <c:v>1.2088215534860427E-10</c:v>
                  </c:pt>
                  <c:pt idx="203">
                    <c:v>1.2526106846877265E-10</c:v>
                  </c:pt>
                  <c:pt idx="204">
                    <c:v>1.36533141314032E-10</c:v>
                  </c:pt>
                  <c:pt idx="205">
                    <c:v>1.3102362465542561E-10</c:v>
                  </c:pt>
                  <c:pt idx="206">
                    <c:v>1.2543032013970729E-10</c:v>
                  </c:pt>
                  <c:pt idx="207">
                    <c:v>1.2785110775774607E-10</c:v>
                  </c:pt>
                  <c:pt idx="208">
                    <c:v>1.2152734533856976E-10</c:v>
                  </c:pt>
                  <c:pt idx="209">
                    <c:v>1.2713282055230124E-10</c:v>
                  </c:pt>
                  <c:pt idx="210">
                    <c:v>1.3340692392061022E-10</c:v>
                  </c:pt>
                  <c:pt idx="211">
                    <c:v>1.2948516778170519E-10</c:v>
                  </c:pt>
                  <c:pt idx="212">
                    <c:v>1.3900558518092394E-10</c:v>
                  </c:pt>
                  <c:pt idx="213">
                    <c:v>1.5369127087157073E-10</c:v>
                  </c:pt>
                  <c:pt idx="214">
                    <c:v>1.5319850167200293E-10</c:v>
                  </c:pt>
                  <c:pt idx="215">
                    <c:v>1.2771797605587558E-10</c:v>
                  </c:pt>
                  <c:pt idx="216">
                    <c:v>1.400532247983726E-10</c:v>
                  </c:pt>
                  <c:pt idx="217">
                    <c:v>1.2906380768294089E-10</c:v>
                  </c:pt>
                  <c:pt idx="218">
                    <c:v>1.5199251945150185E-10</c:v>
                  </c:pt>
                  <c:pt idx="219">
                    <c:v>1.6503311117557525E-10</c:v>
                  </c:pt>
                  <c:pt idx="220">
                    <c:v>1.6718470154372609E-10</c:v>
                  </c:pt>
                  <c:pt idx="221">
                    <c:v>1.646235801107927E-10</c:v>
                  </c:pt>
                  <c:pt idx="222">
                    <c:v>1.5245090060882598E-10</c:v>
                  </c:pt>
                  <c:pt idx="223">
                    <c:v>1.4320244597364619E-10</c:v>
                  </c:pt>
                  <c:pt idx="224">
                    <c:v>1.6036148279401575E-10</c:v>
                  </c:pt>
                  <c:pt idx="225">
                    <c:v>1.6248012153447283E-10</c:v>
                  </c:pt>
                  <c:pt idx="226">
                    <c:v>1.785947959425155E-10</c:v>
                  </c:pt>
                  <c:pt idx="227">
                    <c:v>1.9234490867119549E-10</c:v>
                  </c:pt>
                  <c:pt idx="228">
                    <c:v>1.7952858026489061E-10</c:v>
                  </c:pt>
                  <c:pt idx="229">
                    <c:v>2.0470777918981226E-10</c:v>
                  </c:pt>
                  <c:pt idx="230">
                    <c:v>1.9745085753251662E-10</c:v>
                  </c:pt>
                  <c:pt idx="231">
                    <c:v>1.9366768117198785E-10</c:v>
                  </c:pt>
                  <c:pt idx="232">
                    <c:v>1.8968580117512648E-10</c:v>
                  </c:pt>
                  <c:pt idx="233">
                    <c:v>2.3134143029511104E-10</c:v>
                  </c:pt>
                  <c:pt idx="234">
                    <c:v>2.0547954772156182E-10</c:v>
                  </c:pt>
                  <c:pt idx="235">
                    <c:v>1.2640164492488829E-10</c:v>
                  </c:pt>
                  <c:pt idx="236">
                    <c:v>1.1753336961183469E-10</c:v>
                  </c:pt>
                  <c:pt idx="237">
                    <c:v>1.1073656401368253E-10</c:v>
                  </c:pt>
                  <c:pt idx="238">
                    <c:v>1.1180220597408068E-10</c:v>
                  </c:pt>
                  <c:pt idx="239">
                    <c:v>1.2289494771621009E-10</c:v>
                  </c:pt>
                  <c:pt idx="240">
                    <c:v>1.1409364069805321E-10</c:v>
                  </c:pt>
                  <c:pt idx="241">
                    <c:v>1.4122653423055169E-10</c:v>
                  </c:pt>
                  <c:pt idx="242">
                    <c:v>1.2706204013745264E-10</c:v>
                  </c:pt>
                  <c:pt idx="243">
                    <c:v>1.2382743889529445E-10</c:v>
                  </c:pt>
                  <c:pt idx="244">
                    <c:v>1.2362652880587911E-10</c:v>
                  </c:pt>
                  <c:pt idx="245">
                    <c:v>1.2958822964639025E-10</c:v>
                  </c:pt>
                  <c:pt idx="246">
                    <c:v>1.4426943567113278E-10</c:v>
                  </c:pt>
                  <c:pt idx="247">
                    <c:v>1.3866276909175998E-10</c:v>
                  </c:pt>
                  <c:pt idx="248">
                    <c:v>1.5583288288599573E-10</c:v>
                  </c:pt>
                  <c:pt idx="249">
                    <c:v>1.4852076748545581E-10</c:v>
                  </c:pt>
                  <c:pt idx="250">
                    <c:v>1.558872573925176E-10</c:v>
                  </c:pt>
                  <c:pt idx="251">
                    <c:v>1.6846173391029098E-10</c:v>
                  </c:pt>
                  <c:pt idx="252">
                    <c:v>1.6363528399756329E-10</c:v>
                  </c:pt>
                  <c:pt idx="253">
                    <c:v>1.6241339138993008E-10</c:v>
                  </c:pt>
                  <c:pt idx="254">
                    <c:v>1.7653180937290642E-10</c:v>
                  </c:pt>
                  <c:pt idx="255">
                    <c:v>1.5922042923202693E-10</c:v>
                  </c:pt>
                  <c:pt idx="256">
                    <c:v>1.7090169094757309E-10</c:v>
                  </c:pt>
                  <c:pt idx="257">
                    <c:v>1.8183058026417205E-10</c:v>
                  </c:pt>
                  <c:pt idx="258">
                    <c:v>1.7522520013682859E-10</c:v>
                  </c:pt>
                  <c:pt idx="259">
                    <c:v>1.6319124232919339E-10</c:v>
                  </c:pt>
                  <c:pt idx="260">
                    <c:v>1.7330047726927145E-10</c:v>
                  </c:pt>
                  <c:pt idx="261">
                    <c:v>1.8462437209832644E-10</c:v>
                  </c:pt>
                  <c:pt idx="262">
                    <c:v>2.1282203387642895E-10</c:v>
                  </c:pt>
                  <c:pt idx="263">
                    <c:v>2.1219777013080005E-10</c:v>
                  </c:pt>
                  <c:pt idx="264">
                    <c:v>2.0694992305773047E-10</c:v>
                  </c:pt>
                  <c:pt idx="265">
                    <c:v>2.2654229781655907E-10</c:v>
                  </c:pt>
                  <c:pt idx="266">
                    <c:v>2.2181322601821314E-10</c:v>
                  </c:pt>
                  <c:pt idx="267">
                    <c:v>2.3450765654496033E-10</c:v>
                  </c:pt>
                  <c:pt idx="268">
                    <c:v>2.4847325744391928E-10</c:v>
                  </c:pt>
                  <c:pt idx="269">
                    <c:v>2.2174200883732009E-10</c:v>
                  </c:pt>
                  <c:pt idx="270">
                    <c:v>2.2538830136741425E-10</c:v>
                  </c:pt>
                  <c:pt idx="271">
                    <c:v>2.3794961149375512E-10</c:v>
                  </c:pt>
                  <c:pt idx="272">
                    <c:v>2.6810443279021775E-10</c:v>
                  </c:pt>
                  <c:pt idx="273">
                    <c:v>2.3658931248745332E-10</c:v>
                  </c:pt>
                  <c:pt idx="274">
                    <c:v>2.551884947330885E-10</c:v>
                  </c:pt>
                  <c:pt idx="275">
                    <c:v>2.4732439486846511E-10</c:v>
                  </c:pt>
                  <c:pt idx="276">
                    <c:v>3.0868377405581105E-10</c:v>
                  </c:pt>
                </c:numCache>
              </c:numRef>
            </c:plus>
            <c:minus>
              <c:numRef>
                <c:f>Reflectivity!$K$3:$K$496</c:f>
                <c:numCache>
                  <c:formatCode>General</c:formatCode>
                  <c:ptCount val="494"/>
                  <c:pt idx="0">
                    <c:v>8.0980976539988662E-10</c:v>
                  </c:pt>
                  <c:pt idx="1">
                    <c:v>5.2449555268146532E-10</c:v>
                  </c:pt>
                  <c:pt idx="2">
                    <c:v>4.6603463238193455E-10</c:v>
                  </c:pt>
                  <c:pt idx="3">
                    <c:v>4.3427028546845184E-10</c:v>
                  </c:pt>
                  <c:pt idx="4">
                    <c:v>4.0819101210214818E-10</c:v>
                  </c:pt>
                  <c:pt idx="5">
                    <c:v>4.0411923663042076E-10</c:v>
                  </c:pt>
                  <c:pt idx="6">
                    <c:v>4.3352851620112478E-10</c:v>
                  </c:pt>
                  <c:pt idx="7">
                    <c:v>4.1121730037345935E-10</c:v>
                  </c:pt>
                  <c:pt idx="8">
                    <c:v>3.8031167493908856E-10</c:v>
                  </c:pt>
                  <c:pt idx="9">
                    <c:v>3.9764100029954231E-10</c:v>
                  </c:pt>
                  <c:pt idx="10">
                    <c:v>4.2153524393295985E-10</c:v>
                  </c:pt>
                  <c:pt idx="11">
                    <c:v>4.1585321876760412E-10</c:v>
                  </c:pt>
                  <c:pt idx="12">
                    <c:v>4.2772129573252331E-10</c:v>
                  </c:pt>
                  <c:pt idx="13">
                    <c:v>3.2208194148608766E-10</c:v>
                  </c:pt>
                  <c:pt idx="14">
                    <c:v>3.0863230220491445E-10</c:v>
                  </c:pt>
                  <c:pt idx="15">
                    <c:v>3.2639962268143556E-10</c:v>
                  </c:pt>
                  <c:pt idx="16">
                    <c:v>3.2312873584040428E-10</c:v>
                  </c:pt>
                  <c:pt idx="17">
                    <c:v>3.2828810479694267E-10</c:v>
                  </c:pt>
                  <c:pt idx="18">
                    <c:v>5.0169303479746299E-10</c:v>
                  </c:pt>
                  <c:pt idx="19">
                    <c:v>5.0545913822660958E-10</c:v>
                  </c:pt>
                  <c:pt idx="20">
                    <c:v>4.4587909580052174E-10</c:v>
                  </c:pt>
                  <c:pt idx="21">
                    <c:v>4.5686970998892927E-10</c:v>
                  </c:pt>
                  <c:pt idx="22">
                    <c:v>4.0027009922685639E-10</c:v>
                  </c:pt>
                  <c:pt idx="23">
                    <c:v>3.70089638055629E-10</c:v>
                  </c:pt>
                  <c:pt idx="24">
                    <c:v>3.4587628065731599E-10</c:v>
                  </c:pt>
                  <c:pt idx="25">
                    <c:v>3.0546264377760582E-10</c:v>
                  </c:pt>
                  <c:pt idx="26">
                    <c:v>3.1559222772552985E-10</c:v>
                  </c:pt>
                  <c:pt idx="27">
                    <c:v>3.176867028397053E-10</c:v>
                  </c:pt>
                  <c:pt idx="28">
                    <c:v>2.9077129520947E-10</c:v>
                  </c:pt>
                  <c:pt idx="29">
                    <c:v>2.6954085049025717E-10</c:v>
                  </c:pt>
                  <c:pt idx="30">
                    <c:v>2.9572400469230494E-10</c:v>
                  </c:pt>
                  <c:pt idx="31">
                    <c:v>2.8267667167842272E-10</c:v>
                  </c:pt>
                  <c:pt idx="32">
                    <c:v>2.6434462953312544E-10</c:v>
                  </c:pt>
                  <c:pt idx="33">
                    <c:v>2.6398161645396319E-10</c:v>
                  </c:pt>
                  <c:pt idx="34">
                    <c:v>1.4021316777731845E-10</c:v>
                  </c:pt>
                  <c:pt idx="35">
                    <c:v>1.3309212069646388E-10</c:v>
                  </c:pt>
                  <c:pt idx="36">
                    <c:v>1.213155883923142E-10</c:v>
                  </c:pt>
                  <c:pt idx="37">
                    <c:v>1.0969029177288367E-10</c:v>
                  </c:pt>
                  <c:pt idx="38">
                    <c:v>1.1361834209256383E-10</c:v>
                  </c:pt>
                  <c:pt idx="39">
                    <c:v>1.0824165385161662E-10</c:v>
                  </c:pt>
                  <c:pt idx="40">
                    <c:v>8.9824603602353188E-11</c:v>
                  </c:pt>
                  <c:pt idx="41">
                    <c:v>7.6585780447958857E-11</c:v>
                  </c:pt>
                  <c:pt idx="42">
                    <c:v>7.3180710361517137E-11</c:v>
                  </c:pt>
                  <c:pt idx="43">
                    <c:v>6.1388054780615677E-11</c:v>
                  </c:pt>
                  <c:pt idx="44">
                    <c:v>5.6210636830120753E-11</c:v>
                  </c:pt>
                  <c:pt idx="45">
                    <c:v>5.7823434839897066E-11</c:v>
                  </c:pt>
                  <c:pt idx="46">
                    <c:v>6.8980519695386442E-11</c:v>
                  </c:pt>
                  <c:pt idx="47">
                    <c:v>6.9468859227116655E-11</c:v>
                  </c:pt>
                  <c:pt idx="48">
                    <c:v>8.40936518875501E-11</c:v>
                  </c:pt>
                  <c:pt idx="49">
                    <c:v>8.5311801102620117E-11</c:v>
                  </c:pt>
                  <c:pt idx="50">
                    <c:v>9.0853331012040265E-11</c:v>
                  </c:pt>
                  <c:pt idx="51">
                    <c:v>1.0324514711055796E-10</c:v>
                  </c:pt>
                  <c:pt idx="52">
                    <c:v>1.2066409550165562E-10</c:v>
                  </c:pt>
                  <c:pt idx="53">
                    <c:v>1.1835421872099125E-10</c:v>
                  </c:pt>
                  <c:pt idx="54">
                    <c:v>1.1930545746910478E-10</c:v>
                  </c:pt>
                  <c:pt idx="55">
                    <c:v>1.3290725216789213E-10</c:v>
                  </c:pt>
                  <c:pt idx="56">
                    <c:v>1.3252870533798414E-10</c:v>
                  </c:pt>
                  <c:pt idx="57">
                    <c:v>1.352131570015164E-10</c:v>
                  </c:pt>
                  <c:pt idx="58">
                    <c:v>9.7625449206061825E-11</c:v>
                  </c:pt>
                  <c:pt idx="59">
                    <c:v>9.9720149431513896E-11</c:v>
                  </c:pt>
                  <c:pt idx="60">
                    <c:v>9.6120107592251874E-11</c:v>
                  </c:pt>
                  <c:pt idx="61">
                    <c:v>9.0594412858671516E-11</c:v>
                  </c:pt>
                  <c:pt idx="62">
                    <c:v>8.7883960301280566E-11</c:v>
                  </c:pt>
                  <c:pt idx="63">
                    <c:v>9.0011401051881384E-11</c:v>
                  </c:pt>
                  <c:pt idx="64">
                    <c:v>1.3278845161711588E-10</c:v>
                  </c:pt>
                  <c:pt idx="65">
                    <c:v>1.248935431986542E-10</c:v>
                  </c:pt>
                  <c:pt idx="66">
                    <c:v>1.0749598385963078E-10</c:v>
                  </c:pt>
                  <c:pt idx="67">
                    <c:v>8.8870566878802708E-11</c:v>
                  </c:pt>
                  <c:pt idx="68">
                    <c:v>8.5686829831429221E-11</c:v>
                  </c:pt>
                  <c:pt idx="69">
                    <c:v>8.0901815989926092E-11</c:v>
                  </c:pt>
                  <c:pt idx="70">
                    <c:v>7.6154290776820201E-11</c:v>
                  </c:pt>
                  <c:pt idx="71">
                    <c:v>5.834919680503581E-11</c:v>
                  </c:pt>
                  <c:pt idx="72">
                    <c:v>5.4603257529687397E-11</c:v>
                  </c:pt>
                  <c:pt idx="73">
                    <c:v>5.0153927870389317E-11</c:v>
                  </c:pt>
                  <c:pt idx="74">
                    <c:v>4.8215285926541168E-11</c:v>
                  </c:pt>
                  <c:pt idx="75">
                    <c:v>4.7703208186556904E-11</c:v>
                  </c:pt>
                  <c:pt idx="76">
                    <c:v>5.5263302171327656E-11</c:v>
                  </c:pt>
                  <c:pt idx="77">
                    <c:v>6.5230310032805339E-11</c:v>
                  </c:pt>
                  <c:pt idx="78">
                    <c:v>7.9724535593792583E-11</c:v>
                  </c:pt>
                  <c:pt idx="79">
                    <c:v>8.976808834490831E-11</c:v>
                  </c:pt>
                  <c:pt idx="80">
                    <c:v>1.0058276263749338E-10</c:v>
                  </c:pt>
                  <c:pt idx="81">
                    <c:v>1.0632661770859149E-10</c:v>
                  </c:pt>
                  <c:pt idx="82">
                    <c:v>1.0878536311394498E-10</c:v>
                  </c:pt>
                  <c:pt idx="83">
                    <c:v>1.196887733509431E-10</c:v>
                  </c:pt>
                  <c:pt idx="84">
                    <c:v>1.3233565209634814E-10</c:v>
                  </c:pt>
                  <c:pt idx="85">
                    <c:v>1.4170244747543631E-10</c:v>
                  </c:pt>
                  <c:pt idx="86">
                    <c:v>1.3346969600543087E-10</c:v>
                  </c:pt>
                  <c:pt idx="87">
                    <c:v>1.4787274439701943E-10</c:v>
                  </c:pt>
                  <c:pt idx="88">
                    <c:v>1.3220226700820976E-10</c:v>
                  </c:pt>
                  <c:pt idx="89">
                    <c:v>1.3597284257111126E-10</c:v>
                  </c:pt>
                  <c:pt idx="90">
                    <c:v>1.3762552452197275E-10</c:v>
                  </c:pt>
                  <c:pt idx="91">
                    <c:v>1.3533103111069971E-10</c:v>
                  </c:pt>
                  <c:pt idx="92">
                    <c:v>1.2215541195314736E-10</c:v>
                  </c:pt>
                  <c:pt idx="93">
                    <c:v>1.1282721411919035E-10</c:v>
                  </c:pt>
                  <c:pt idx="94">
                    <c:v>1.0438285662051755E-10</c:v>
                  </c:pt>
                  <c:pt idx="95">
                    <c:v>8.3160742902430527E-11</c:v>
                  </c:pt>
                  <c:pt idx="96">
                    <c:v>3.5729717692164846E-11</c:v>
                  </c:pt>
                  <c:pt idx="97">
                    <c:v>3.2318762617274582E-11</c:v>
                  </c:pt>
                  <c:pt idx="98">
                    <c:v>2.2963695894903881E-11</c:v>
                  </c:pt>
                  <c:pt idx="99">
                    <c:v>2.1153767780098503E-11</c:v>
                  </c:pt>
                  <c:pt idx="100">
                    <c:v>2.1947301567094334E-11</c:v>
                  </c:pt>
                  <c:pt idx="101">
                    <c:v>2.6340097113506506E-11</c:v>
                  </c:pt>
                  <c:pt idx="102">
                    <c:v>2.9645620244779443E-11</c:v>
                  </c:pt>
                  <c:pt idx="103">
                    <c:v>3.6889573541654648E-11</c:v>
                  </c:pt>
                  <c:pt idx="104">
                    <c:v>4.1900066092714589E-11</c:v>
                  </c:pt>
                  <c:pt idx="105">
                    <c:v>5.5304266947501716E-11</c:v>
                  </c:pt>
                  <c:pt idx="106">
                    <c:v>6.4098871375770269E-11</c:v>
                  </c:pt>
                  <c:pt idx="107">
                    <c:v>6.8422553365183349E-11</c:v>
                  </c:pt>
                  <c:pt idx="108">
                    <c:v>7.8151850090956927E-11</c:v>
                  </c:pt>
                  <c:pt idx="109">
                    <c:v>7.5140219881053932E-11</c:v>
                  </c:pt>
                  <c:pt idx="110">
                    <c:v>7.7584519747793591E-11</c:v>
                  </c:pt>
                  <c:pt idx="111">
                    <c:v>7.676944845454614E-11</c:v>
                  </c:pt>
                  <c:pt idx="112">
                    <c:v>7.4458531604877871E-11</c:v>
                  </c:pt>
                  <c:pt idx="113">
                    <c:v>7.1291087216819879E-11</c:v>
                  </c:pt>
                  <c:pt idx="114">
                    <c:v>6.5859774040080976E-11</c:v>
                  </c:pt>
                  <c:pt idx="115">
                    <c:v>6.4836669854459351E-11</c:v>
                  </c:pt>
                  <c:pt idx="116">
                    <c:v>6.2787014627128564E-11</c:v>
                  </c:pt>
                  <c:pt idx="117">
                    <c:v>5.5333453323533991E-11</c:v>
                  </c:pt>
                  <c:pt idx="118">
                    <c:v>4.5665335439343913E-11</c:v>
                  </c:pt>
                  <c:pt idx="119">
                    <c:v>4.5825832525446454E-11</c:v>
                  </c:pt>
                  <c:pt idx="120">
                    <c:v>4.1180943658506041E-11</c:v>
                  </c:pt>
                  <c:pt idx="121">
                    <c:v>3.7123973219252968E-11</c:v>
                  </c:pt>
                  <c:pt idx="122">
                    <c:v>4.4624152993145959E-11</c:v>
                  </c:pt>
                  <c:pt idx="123">
                    <c:v>5.0723583594109086E-11</c:v>
                  </c:pt>
                  <c:pt idx="124">
                    <c:v>6.0663945716988855E-11</c:v>
                  </c:pt>
                  <c:pt idx="125">
                    <c:v>6.7874744389725143E-11</c:v>
                  </c:pt>
                  <c:pt idx="126">
                    <c:v>7.9716794694861229E-11</c:v>
                  </c:pt>
                  <c:pt idx="127">
                    <c:v>8.9120278425666992E-11</c:v>
                  </c:pt>
                  <c:pt idx="128">
                    <c:v>1.0161129484430338E-10</c:v>
                  </c:pt>
                  <c:pt idx="129">
                    <c:v>1.0972577815816771E-10</c:v>
                  </c:pt>
                  <c:pt idx="130">
                    <c:v>9.7227752675331776E-11</c:v>
                  </c:pt>
                  <c:pt idx="131">
                    <c:v>1.1095242326007175E-10</c:v>
                  </c:pt>
                  <c:pt idx="132">
                    <c:v>1.0156503863452809E-10</c:v>
                  </c:pt>
                  <c:pt idx="133">
                    <c:v>9.2885673476905946E-11</c:v>
                  </c:pt>
                  <c:pt idx="134">
                    <c:v>9.6078071041477496E-11</c:v>
                  </c:pt>
                  <c:pt idx="135">
                    <c:v>8.3359692424104392E-11</c:v>
                  </c:pt>
                  <c:pt idx="136">
                    <c:v>7.532049719350324E-11</c:v>
                  </c:pt>
                  <c:pt idx="137">
                    <c:v>7.0491581357458963E-11</c:v>
                  </c:pt>
                  <c:pt idx="138">
                    <c:v>7.0852016129672678E-11</c:v>
                  </c:pt>
                  <c:pt idx="139">
                    <c:v>6.4739512824274899E-11</c:v>
                  </c:pt>
                  <c:pt idx="140">
                    <c:v>8.0305670950067857E-11</c:v>
                  </c:pt>
                  <c:pt idx="141">
                    <c:v>8.7158109070153214E-11</c:v>
                  </c:pt>
                  <c:pt idx="142">
                    <c:v>1.0548073292782641E-10</c:v>
                  </c:pt>
                  <c:pt idx="143">
                    <c:v>1.047784565517855E-10</c:v>
                  </c:pt>
                  <c:pt idx="144">
                    <c:v>1.2365785863569089E-10</c:v>
                  </c:pt>
                  <c:pt idx="145">
                    <c:v>1.3083306234343913E-10</c:v>
                  </c:pt>
                  <c:pt idx="146">
                    <c:v>1.2626794807942648E-10</c:v>
                  </c:pt>
                  <c:pt idx="147">
                    <c:v>1.371963894009764E-10</c:v>
                  </c:pt>
                  <c:pt idx="148">
                    <c:v>1.3079712883561023E-10</c:v>
                  </c:pt>
                  <c:pt idx="149">
                    <c:v>1.3982396502133699E-10</c:v>
                  </c:pt>
                  <c:pt idx="150">
                    <c:v>1.1588712250381616E-10</c:v>
                  </c:pt>
                  <c:pt idx="151">
                    <c:v>1.1725234395256436E-10</c:v>
                  </c:pt>
                  <c:pt idx="152">
                    <c:v>1.009059730400808E-10</c:v>
                  </c:pt>
                  <c:pt idx="153">
                    <c:v>8.2059774999669624E-11</c:v>
                  </c:pt>
                  <c:pt idx="154">
                    <c:v>1.0885696407367216E-10</c:v>
                  </c:pt>
                  <c:pt idx="155">
                    <c:v>9.6405490592756206E-11</c:v>
                  </c:pt>
                  <c:pt idx="156">
                    <c:v>1.1051726505920399E-10</c:v>
                  </c:pt>
                  <c:pt idx="157">
                    <c:v>1.0688095984780343E-10</c:v>
                  </c:pt>
                  <c:pt idx="158">
                    <c:v>1.4093063081605758E-10</c:v>
                  </c:pt>
                  <c:pt idx="159">
                    <c:v>1.5204967475981077E-10</c:v>
                  </c:pt>
                  <c:pt idx="160">
                    <c:v>1.5983999549515747E-10</c:v>
                  </c:pt>
                  <c:pt idx="161">
                    <c:v>1.5955302206254057E-10</c:v>
                  </c:pt>
                  <c:pt idx="162">
                    <c:v>1.6262992345490836E-10</c:v>
                  </c:pt>
                  <c:pt idx="163">
                    <c:v>1.6541657586992396E-10</c:v>
                  </c:pt>
                  <c:pt idx="164">
                    <c:v>1.566480470933413E-10</c:v>
                  </c:pt>
                  <c:pt idx="165">
                    <c:v>6.9068621541166268E-11</c:v>
                  </c:pt>
                  <c:pt idx="166">
                    <c:v>6.1998350180445001E-11</c:v>
                  </c:pt>
                  <c:pt idx="167">
                    <c:v>5.2665573026306593E-11</c:v>
                  </c:pt>
                  <c:pt idx="168">
                    <c:v>4.640707570767493E-11</c:v>
                  </c:pt>
                  <c:pt idx="169">
                    <c:v>5.1742703657830036E-11</c:v>
                  </c:pt>
                  <c:pt idx="170">
                    <c:v>6.4820221971488727E-11</c:v>
                  </c:pt>
                  <c:pt idx="171">
                    <c:v>7.0807345155804946E-11</c:v>
                  </c:pt>
                  <c:pt idx="172">
                    <c:v>7.9776202830834812E-11</c:v>
                  </c:pt>
                  <c:pt idx="173">
                    <c:v>8.4023587211180238E-11</c:v>
                  </c:pt>
                  <c:pt idx="174">
                    <c:v>8.4637452619786937E-11</c:v>
                  </c:pt>
                  <c:pt idx="175">
                    <c:v>8.3607512552747218E-11</c:v>
                  </c:pt>
                  <c:pt idx="176">
                    <c:v>7.8849412908604887E-11</c:v>
                  </c:pt>
                  <c:pt idx="177">
                    <c:v>7.510087193385881E-11</c:v>
                  </c:pt>
                  <c:pt idx="178">
                    <c:v>6.1609106104772656E-11</c:v>
                  </c:pt>
                  <c:pt idx="179">
                    <c:v>6.2174503492560139E-11</c:v>
                  </c:pt>
                  <c:pt idx="180">
                    <c:v>5.9221586675756362E-11</c:v>
                  </c:pt>
                  <c:pt idx="181">
                    <c:v>7.0333804603407464E-11</c:v>
                  </c:pt>
                  <c:pt idx="182">
                    <c:v>7.842896656108592E-11</c:v>
                  </c:pt>
                  <c:pt idx="183">
                    <c:v>8.5791170679580894E-11</c:v>
                  </c:pt>
                  <c:pt idx="184">
                    <c:v>9.7530336340055641E-11</c:v>
                  </c:pt>
                  <c:pt idx="185">
                    <c:v>1.0739156162944791E-10</c:v>
                  </c:pt>
                  <c:pt idx="186">
                    <c:v>1.0465102577999871E-10</c:v>
                  </c:pt>
                  <c:pt idx="187">
                    <c:v>9.4120943522907319E-11</c:v>
                  </c:pt>
                  <c:pt idx="188">
                    <c:v>9.3756887061072891E-11</c:v>
                  </c:pt>
                  <c:pt idx="189">
                    <c:v>8.1504320028007588E-11</c:v>
                  </c:pt>
                  <c:pt idx="190">
                    <c:v>7.2680939149135618E-11</c:v>
                  </c:pt>
                  <c:pt idx="191">
                    <c:v>7.5610949070229117E-11</c:v>
                  </c:pt>
                  <c:pt idx="192">
                    <c:v>8.7310126755465012E-11</c:v>
                  </c:pt>
                  <c:pt idx="193">
                    <c:v>1.0056256968858746E-10</c:v>
                  </c:pt>
                  <c:pt idx="194">
                    <c:v>1.092974074616073E-10</c:v>
                  </c:pt>
                  <c:pt idx="195">
                    <c:v>1.1782298933564143E-10</c:v>
                  </c:pt>
                  <c:pt idx="196">
                    <c:v>1.1172067122410997E-10</c:v>
                  </c:pt>
                  <c:pt idx="197">
                    <c:v>1.1802658110962973E-10</c:v>
                  </c:pt>
                  <c:pt idx="198">
                    <c:v>1.0273983061585127E-10</c:v>
                  </c:pt>
                  <c:pt idx="199">
                    <c:v>9.5112831316262886E-11</c:v>
                  </c:pt>
                  <c:pt idx="200">
                    <c:v>1.0192903255433614E-10</c:v>
                  </c:pt>
                  <c:pt idx="201">
                    <c:v>1.0363358842815487E-10</c:v>
                  </c:pt>
                  <c:pt idx="202">
                    <c:v>1.2088215534860427E-10</c:v>
                  </c:pt>
                  <c:pt idx="203">
                    <c:v>1.2526106846877265E-10</c:v>
                  </c:pt>
                  <c:pt idx="204">
                    <c:v>1.36533141314032E-10</c:v>
                  </c:pt>
                  <c:pt idx="205">
                    <c:v>1.3102362465542561E-10</c:v>
                  </c:pt>
                  <c:pt idx="206">
                    <c:v>1.2543032013970729E-10</c:v>
                  </c:pt>
                  <c:pt idx="207">
                    <c:v>1.2785110775774607E-10</c:v>
                  </c:pt>
                  <c:pt idx="208">
                    <c:v>1.2152734533856976E-10</c:v>
                  </c:pt>
                  <c:pt idx="209">
                    <c:v>1.2713282055230124E-10</c:v>
                  </c:pt>
                  <c:pt idx="210">
                    <c:v>1.3340692392061022E-10</c:v>
                  </c:pt>
                  <c:pt idx="211">
                    <c:v>1.2948516778170519E-10</c:v>
                  </c:pt>
                  <c:pt idx="212">
                    <c:v>1.3900558518092394E-10</c:v>
                  </c:pt>
                  <c:pt idx="213">
                    <c:v>1.5369127087157073E-10</c:v>
                  </c:pt>
                  <c:pt idx="214">
                    <c:v>1.5319850167200293E-10</c:v>
                  </c:pt>
                  <c:pt idx="215">
                    <c:v>1.2771797605587558E-10</c:v>
                  </c:pt>
                  <c:pt idx="216">
                    <c:v>1.400532247983726E-10</c:v>
                  </c:pt>
                  <c:pt idx="217">
                    <c:v>1.2906380768294089E-10</c:v>
                  </c:pt>
                  <c:pt idx="218">
                    <c:v>1.5199251945150185E-10</c:v>
                  </c:pt>
                  <c:pt idx="219">
                    <c:v>1.6503311117557525E-10</c:v>
                  </c:pt>
                  <c:pt idx="220">
                    <c:v>1.6718470154372609E-10</c:v>
                  </c:pt>
                  <c:pt idx="221">
                    <c:v>1.646235801107927E-10</c:v>
                  </c:pt>
                  <c:pt idx="222">
                    <c:v>1.5245090060882598E-10</c:v>
                  </c:pt>
                  <c:pt idx="223">
                    <c:v>1.4320244597364619E-10</c:v>
                  </c:pt>
                  <c:pt idx="224">
                    <c:v>1.6036148279401575E-10</c:v>
                  </c:pt>
                  <c:pt idx="225">
                    <c:v>1.6248012153447283E-10</c:v>
                  </c:pt>
                  <c:pt idx="226">
                    <c:v>1.785947959425155E-10</c:v>
                  </c:pt>
                  <c:pt idx="227">
                    <c:v>1.9234490867119549E-10</c:v>
                  </c:pt>
                  <c:pt idx="228">
                    <c:v>1.7952858026489061E-10</c:v>
                  </c:pt>
                  <c:pt idx="229">
                    <c:v>2.0470777918981226E-10</c:v>
                  </c:pt>
                  <c:pt idx="230">
                    <c:v>1.9745085753251662E-10</c:v>
                  </c:pt>
                  <c:pt idx="231">
                    <c:v>1.9366768117198785E-10</c:v>
                  </c:pt>
                  <c:pt idx="232">
                    <c:v>1.8968580117512648E-10</c:v>
                  </c:pt>
                  <c:pt idx="233">
                    <c:v>2.3134143029511104E-10</c:v>
                  </c:pt>
                  <c:pt idx="234">
                    <c:v>2.0547954772156182E-10</c:v>
                  </c:pt>
                  <c:pt idx="235">
                    <c:v>1.2640164492488829E-10</c:v>
                  </c:pt>
                  <c:pt idx="236">
                    <c:v>1.1753336961183469E-10</c:v>
                  </c:pt>
                  <c:pt idx="237">
                    <c:v>1.1073656401368253E-10</c:v>
                  </c:pt>
                  <c:pt idx="238">
                    <c:v>1.1180220597408068E-10</c:v>
                  </c:pt>
                  <c:pt idx="239">
                    <c:v>1.2289494771621009E-10</c:v>
                  </c:pt>
                  <c:pt idx="240">
                    <c:v>1.1409364069805321E-10</c:v>
                  </c:pt>
                  <c:pt idx="241">
                    <c:v>1.4122653423055169E-10</c:v>
                  </c:pt>
                  <c:pt idx="242">
                    <c:v>1.2706204013745264E-10</c:v>
                  </c:pt>
                  <c:pt idx="243">
                    <c:v>1.2382743889529445E-10</c:v>
                  </c:pt>
                  <c:pt idx="244">
                    <c:v>1.2362652880587911E-10</c:v>
                  </c:pt>
                  <c:pt idx="245">
                    <c:v>1.2958822964639025E-10</c:v>
                  </c:pt>
                  <c:pt idx="246">
                    <c:v>1.4426943567113278E-10</c:v>
                  </c:pt>
                  <c:pt idx="247">
                    <c:v>1.3866276909175998E-10</c:v>
                  </c:pt>
                  <c:pt idx="248">
                    <c:v>1.5583288288599573E-10</c:v>
                  </c:pt>
                  <c:pt idx="249">
                    <c:v>1.4852076748545581E-10</c:v>
                  </c:pt>
                  <c:pt idx="250">
                    <c:v>1.558872573925176E-10</c:v>
                  </c:pt>
                  <c:pt idx="251">
                    <c:v>1.6846173391029098E-10</c:v>
                  </c:pt>
                  <c:pt idx="252">
                    <c:v>1.6363528399756329E-10</c:v>
                  </c:pt>
                  <c:pt idx="253">
                    <c:v>1.6241339138993008E-10</c:v>
                  </c:pt>
                  <c:pt idx="254">
                    <c:v>1.7653180937290642E-10</c:v>
                  </c:pt>
                  <c:pt idx="255">
                    <c:v>1.5922042923202693E-10</c:v>
                  </c:pt>
                  <c:pt idx="256">
                    <c:v>1.7090169094757309E-10</c:v>
                  </c:pt>
                  <c:pt idx="257">
                    <c:v>1.8183058026417205E-10</c:v>
                  </c:pt>
                  <c:pt idx="258">
                    <c:v>1.7522520013682859E-10</c:v>
                  </c:pt>
                  <c:pt idx="259">
                    <c:v>1.6319124232919339E-10</c:v>
                  </c:pt>
                  <c:pt idx="260">
                    <c:v>1.7330047726927145E-10</c:v>
                  </c:pt>
                  <c:pt idx="261">
                    <c:v>1.8462437209832644E-10</c:v>
                  </c:pt>
                  <c:pt idx="262">
                    <c:v>2.1282203387642895E-10</c:v>
                  </c:pt>
                  <c:pt idx="263">
                    <c:v>2.1219777013080005E-10</c:v>
                  </c:pt>
                  <c:pt idx="264">
                    <c:v>2.0694992305773047E-10</c:v>
                  </c:pt>
                  <c:pt idx="265">
                    <c:v>2.2654229781655907E-10</c:v>
                  </c:pt>
                  <c:pt idx="266">
                    <c:v>2.2181322601821314E-10</c:v>
                  </c:pt>
                  <c:pt idx="267">
                    <c:v>2.3450765654496033E-10</c:v>
                  </c:pt>
                  <c:pt idx="268">
                    <c:v>2.4847325744391928E-10</c:v>
                  </c:pt>
                  <c:pt idx="269">
                    <c:v>2.2174200883732009E-10</c:v>
                  </c:pt>
                  <c:pt idx="270">
                    <c:v>2.2538830136741425E-10</c:v>
                  </c:pt>
                  <c:pt idx="271">
                    <c:v>2.3794961149375512E-10</c:v>
                  </c:pt>
                  <c:pt idx="272">
                    <c:v>2.6810443279021775E-10</c:v>
                  </c:pt>
                  <c:pt idx="273">
                    <c:v>2.3658931248745332E-10</c:v>
                  </c:pt>
                  <c:pt idx="274">
                    <c:v>2.551884947330885E-10</c:v>
                  </c:pt>
                  <c:pt idx="275">
                    <c:v>2.4732439486846511E-10</c:v>
                  </c:pt>
                  <c:pt idx="276">
                    <c:v>3.0868377405581105E-10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Reflectivity!$I$3:$I$1638</c:f>
              <c:numCache>
                <c:formatCode>0.00E+00</c:formatCode>
                <c:ptCount val="1636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9.0919248388599994E-2</c:v>
                </c:pt>
                <c:pt idx="240">
                  <c:v>9.18284408725E-2</c:v>
                </c:pt>
                <c:pt idx="241">
                  <c:v>9.2746725281199996E-2</c:v>
                </c:pt>
                <c:pt idx="242">
                  <c:v>9.3674192534E-2</c:v>
                </c:pt>
                <c:pt idx="243">
                  <c:v>9.4610934459399998E-2</c:v>
                </c:pt>
                <c:pt idx="244">
                  <c:v>9.5557043804E-2</c:v>
                </c:pt>
                <c:pt idx="245">
                  <c:v>9.6512614242E-2</c:v>
                </c:pt>
                <c:pt idx="246">
                  <c:v>9.7477740384400005E-2</c:v>
                </c:pt>
                <c:pt idx="247">
                  <c:v>9.8452517788299998E-2</c:v>
                </c:pt>
                <c:pt idx="248">
                  <c:v>9.9437042966199998E-2</c:v>
                </c:pt>
                <c:pt idx="249">
                  <c:v>0.10043141339599999</c:v>
                </c:pt>
                <c:pt idx="250">
                  <c:v>0.10143572753000001</c:v>
                </c:pt>
                <c:pt idx="251">
                  <c:v>0.10245008480499999</c:v>
                </c:pt>
                <c:pt idx="252">
                  <c:v>0.103474585653</c:v>
                </c:pt>
                <c:pt idx="253">
                  <c:v>0.10450933151</c:v>
                </c:pt>
                <c:pt idx="254">
                  <c:v>0.10555442482500001</c:v>
                </c:pt>
                <c:pt idx="255">
                  <c:v>0.10660996907299999</c:v>
                </c:pt>
                <c:pt idx="256">
                  <c:v>0.107676068764</c:v>
                </c:pt>
                <c:pt idx="257">
                  <c:v>0.108752829451</c:v>
                </c:pt>
                <c:pt idx="258">
                  <c:v>0.109840357746</c:v>
                </c:pt>
                <c:pt idx="259">
                  <c:v>0.110938761323</c:v>
                </c:pt>
                <c:pt idx="260">
                  <c:v>0.11204814893700001</c:v>
                </c:pt>
                <c:pt idx="261">
                  <c:v>0.11316863042600001</c:v>
                </c:pt>
                <c:pt idx="262">
                  <c:v>0.11430031673</c:v>
                </c:pt>
                <c:pt idx="263">
                  <c:v>0.115443319898</c:v>
                </c:pt>
                <c:pt idx="264">
                  <c:v>0.116597753096</c:v>
                </c:pt>
                <c:pt idx="265">
                  <c:v>0.117763730627</c:v>
                </c:pt>
                <c:pt idx="266">
                  <c:v>0.11894136793399999</c:v>
                </c:pt>
                <c:pt idx="267">
                  <c:v>0.120130781613</c:v>
                </c:pt>
                <c:pt idx="268">
                  <c:v>0.12133208942900001</c:v>
                </c:pt>
                <c:pt idx="269">
                  <c:v>0.122545410323</c:v>
                </c:pt>
                <c:pt idx="270">
                  <c:v>0.123770864427</c:v>
                </c:pt>
                <c:pt idx="271">
                  <c:v>0.125008573071</c:v>
                </c:pt>
                <c:pt idx="272">
                  <c:v>0.12625865880199999</c:v>
                </c:pt>
                <c:pt idx="273">
                  <c:v>0.12752124539000001</c:v>
                </c:pt>
                <c:pt idx="274">
                  <c:v>0.12879645784400001</c:v>
                </c:pt>
                <c:pt idx="275">
                  <c:v>0.130084422422</c:v>
                </c:pt>
                <c:pt idx="276">
                  <c:v>0.131385266646</c:v>
                </c:pt>
              </c:numCache>
            </c:numRef>
          </c:xVal>
          <c:yVal>
            <c:numRef>
              <c:f>Reflectivity!$J$3:$J$1638</c:f>
              <c:numCache>
                <c:formatCode>0.00E+00</c:formatCode>
                <c:ptCount val="1636"/>
                <c:pt idx="0">
                  <c:v>4.1277926945827759E-9</c:v>
                </c:pt>
                <c:pt idx="1">
                  <c:v>3.9900087176652484E-9</c:v>
                </c:pt>
                <c:pt idx="2">
                  <c:v>5.3231398312794972E-9</c:v>
                </c:pt>
                <c:pt idx="3">
                  <c:v>5.477939095620177E-9</c:v>
                </c:pt>
                <c:pt idx="4">
                  <c:v>5.5281657244900426E-9</c:v>
                </c:pt>
                <c:pt idx="5">
                  <c:v>5.5894206948999705E-9</c:v>
                </c:pt>
                <c:pt idx="6">
                  <c:v>6.6034686105909403E-9</c:v>
                </c:pt>
                <c:pt idx="7">
                  <c:v>6.1519593680581325E-9</c:v>
                </c:pt>
                <c:pt idx="8">
                  <c:v>5.9390142758074543E-9</c:v>
                </c:pt>
                <c:pt idx="9">
                  <c:v>6.4215707505310012E-9</c:v>
                </c:pt>
                <c:pt idx="10">
                  <c:v>7.0029423114989997E-9</c:v>
                </c:pt>
                <c:pt idx="11">
                  <c:v>7.0693105664762649E-9</c:v>
                </c:pt>
                <c:pt idx="12">
                  <c:v>7.5507864268658906E-9</c:v>
                </c:pt>
                <c:pt idx="13">
                  <c:v>7.5301865781963514E-9</c:v>
                </c:pt>
                <c:pt idx="14">
                  <c:v>7.2872329791897868E-9</c:v>
                </c:pt>
                <c:pt idx="15">
                  <c:v>8.0621045386442337E-9</c:v>
                </c:pt>
                <c:pt idx="16">
                  <c:v>7.9332141895359562E-9</c:v>
                </c:pt>
                <c:pt idx="17">
                  <c:v>8.2194608100218278E-9</c:v>
                </c:pt>
                <c:pt idx="18">
                  <c:v>8.2813494659311689E-9</c:v>
                </c:pt>
                <c:pt idx="19">
                  <c:v>8.5871114997233E-9</c:v>
                </c:pt>
                <c:pt idx="20">
                  <c:v>6.9021029924516528E-9</c:v>
                </c:pt>
                <c:pt idx="21">
                  <c:v>7.3668985441746937E-9</c:v>
                </c:pt>
                <c:pt idx="22">
                  <c:v>5.7154674048140062E-9</c:v>
                </c:pt>
                <c:pt idx="23">
                  <c:v>4.9272675279434061E-9</c:v>
                </c:pt>
                <c:pt idx="24">
                  <c:v>4.2500550763896169E-9</c:v>
                </c:pt>
                <c:pt idx="25">
                  <c:v>3.5262741529203079E-9</c:v>
                </c:pt>
                <c:pt idx="26">
                  <c:v>3.5665459065605884E-9</c:v>
                </c:pt>
                <c:pt idx="27">
                  <c:v>3.7824848423815345E-9</c:v>
                </c:pt>
                <c:pt idx="28">
                  <c:v>3.2540559677974751E-9</c:v>
                </c:pt>
                <c:pt idx="29">
                  <c:v>2.8113211303447615E-9</c:v>
                </c:pt>
                <c:pt idx="30">
                  <c:v>3.2326817141884572E-9</c:v>
                </c:pt>
                <c:pt idx="31">
                  <c:v>3.0514295050472571E-9</c:v>
                </c:pt>
                <c:pt idx="32">
                  <c:v>2.7888462585704762E-9</c:v>
                </c:pt>
                <c:pt idx="33">
                  <c:v>2.6559032696472668E-9</c:v>
                </c:pt>
                <c:pt idx="34">
                  <c:v>2.314883742937726E-9</c:v>
                </c:pt>
                <c:pt idx="35">
                  <c:v>2.0155055769866757E-9</c:v>
                </c:pt>
                <c:pt idx="36">
                  <c:v>1.6819604610259319E-9</c:v>
                </c:pt>
                <c:pt idx="37">
                  <c:v>1.4446847642660659E-9</c:v>
                </c:pt>
                <c:pt idx="38">
                  <c:v>1.0394245502495981E-9</c:v>
                </c:pt>
                <c:pt idx="39">
                  <c:v>9.3408355257392616E-10</c:v>
                </c:pt>
                <c:pt idx="40">
                  <c:v>6.3681070633382153E-10</c:v>
                </c:pt>
                <c:pt idx="41">
                  <c:v>4.0190186678053699E-10</c:v>
                </c:pt>
                <c:pt idx="42">
                  <c:v>3.1915259003255135E-10</c:v>
                </c:pt>
                <c:pt idx="43">
                  <c:v>1.9213423960532236E-10</c:v>
                </c:pt>
                <c:pt idx="44">
                  <c:v>1.5883875914861743E-10</c:v>
                </c:pt>
                <c:pt idx="45">
                  <c:v>1.7708382571009806E-10</c:v>
                </c:pt>
                <c:pt idx="46">
                  <c:v>3.7965510921731818E-10</c:v>
                </c:pt>
                <c:pt idx="47">
                  <c:v>3.9024944607858823E-10</c:v>
                </c:pt>
                <c:pt idx="48">
                  <c:v>6.2181342899517472E-10</c:v>
                </c:pt>
                <c:pt idx="49">
                  <c:v>6.3448309008922505E-10</c:v>
                </c:pt>
                <c:pt idx="50">
                  <c:v>7.3189619591472138E-10</c:v>
                </c:pt>
                <c:pt idx="51">
                  <c:v>1.0676362665375369E-9</c:v>
                </c:pt>
                <c:pt idx="52">
                  <c:v>1.4411079690426667E-9</c:v>
                </c:pt>
                <c:pt idx="53">
                  <c:v>1.4159942746090692E-9</c:v>
                </c:pt>
                <c:pt idx="54">
                  <c:v>1.4288329041442973E-9</c:v>
                </c:pt>
                <c:pt idx="55">
                  <c:v>1.799852369859805E-9</c:v>
                </c:pt>
                <c:pt idx="56">
                  <c:v>1.7958197839190268E-9</c:v>
                </c:pt>
                <c:pt idx="57">
                  <c:v>1.8665115179052525E-9</c:v>
                </c:pt>
                <c:pt idx="58">
                  <c:v>1.790842421450241E-9</c:v>
                </c:pt>
                <c:pt idx="59">
                  <c:v>1.8762266090773659E-9</c:v>
                </c:pt>
                <c:pt idx="60">
                  <c:v>1.8025479178596842E-9</c:v>
                </c:pt>
                <c:pt idx="61">
                  <c:v>1.6179582306304163E-9</c:v>
                </c:pt>
                <c:pt idx="62">
                  <c:v>1.5642987184863262E-9</c:v>
                </c:pt>
                <c:pt idx="63">
                  <c:v>1.5708469721493351E-9</c:v>
                </c:pt>
                <c:pt idx="64">
                  <c:v>1.5720528534629743E-9</c:v>
                </c:pt>
                <c:pt idx="65">
                  <c:v>1.369493504296407E-9</c:v>
                </c:pt>
                <c:pt idx="66">
                  <c:v>1.1239006970835996E-9</c:v>
                </c:pt>
                <c:pt idx="67">
                  <c:v>6.9993699173928237E-10</c:v>
                </c:pt>
                <c:pt idx="68">
                  <c:v>6.6589118202179821E-10</c:v>
                </c:pt>
                <c:pt idx="69">
                  <c:v>5.855176039757879E-10</c:v>
                </c:pt>
                <c:pt idx="70">
                  <c:v>4.1890578179297015E-10</c:v>
                </c:pt>
                <c:pt idx="71">
                  <c:v>2.2479418596702246E-10</c:v>
                </c:pt>
                <c:pt idx="72">
                  <c:v>1.9074274116667403E-10</c:v>
                </c:pt>
                <c:pt idx="73">
                  <c:v>1.4890389380835777E-10</c:v>
                </c:pt>
                <c:pt idx="74">
                  <c:v>1.3380883646261922E-10</c:v>
                </c:pt>
                <c:pt idx="75">
                  <c:v>1.1608114234963303E-10</c:v>
                </c:pt>
                <c:pt idx="76">
                  <c:v>2.2590694471550985E-10</c:v>
                </c:pt>
                <c:pt idx="77">
                  <c:v>3.2811345590043439E-10</c:v>
                </c:pt>
                <c:pt idx="78">
                  <c:v>4.6773941259083518E-10</c:v>
                </c:pt>
                <c:pt idx="79">
                  <c:v>7.4184087418846992E-10</c:v>
                </c:pt>
                <c:pt idx="80">
                  <c:v>8.9615894521177415E-10</c:v>
                </c:pt>
                <c:pt idx="81">
                  <c:v>1.0457713242843521E-9</c:v>
                </c:pt>
                <c:pt idx="82">
                  <c:v>1.0534810337388136E-9</c:v>
                </c:pt>
                <c:pt idx="83">
                  <c:v>1.3188075380298666E-9</c:v>
                </c:pt>
                <c:pt idx="84">
                  <c:v>1.5405205443407319E-9</c:v>
                </c:pt>
                <c:pt idx="85">
                  <c:v>1.7211031208697976E-9</c:v>
                </c:pt>
                <c:pt idx="86">
                  <c:v>1.558474809611776E-9</c:v>
                </c:pt>
                <c:pt idx="87">
                  <c:v>1.8576422439657235E-9</c:v>
                </c:pt>
                <c:pt idx="88">
                  <c:v>1.513606673375036E-9</c:v>
                </c:pt>
                <c:pt idx="89">
                  <c:v>1.5812782426019929E-9</c:v>
                </c:pt>
                <c:pt idx="90">
                  <c:v>1.5432671725649161E-9</c:v>
                </c:pt>
                <c:pt idx="91">
                  <c:v>1.5001223260787731E-9</c:v>
                </c:pt>
                <c:pt idx="92">
                  <c:v>1.2494811053209037E-9</c:v>
                </c:pt>
                <c:pt idx="93">
                  <c:v>1.0265294701567949E-9</c:v>
                </c:pt>
                <c:pt idx="94">
                  <c:v>8.6183927159347561E-10</c:v>
                </c:pt>
                <c:pt idx="95">
                  <c:v>5.0653068044669008E-10</c:v>
                </c:pt>
                <c:pt idx="96">
                  <c:v>4.8357567575810841E-10</c:v>
                </c:pt>
                <c:pt idx="97">
                  <c:v>3.775896216266454E-10</c:v>
                </c:pt>
                <c:pt idx="98">
                  <c:v>2.1541948289249564E-10</c:v>
                </c:pt>
                <c:pt idx="99">
                  <c:v>1.8221314444221576E-10</c:v>
                </c:pt>
                <c:pt idx="100">
                  <c:v>1.8314541384716296E-10</c:v>
                </c:pt>
                <c:pt idx="101">
                  <c:v>2.7073478304937553E-10</c:v>
                </c:pt>
                <c:pt idx="102">
                  <c:v>3.6559919966235119E-10</c:v>
                </c:pt>
                <c:pt idx="103">
                  <c:v>5.2234031356396941E-10</c:v>
                </c:pt>
                <c:pt idx="104">
                  <c:v>6.505455183873144E-10</c:v>
                </c:pt>
                <c:pt idx="105">
                  <c:v>9.7824470507266254E-10</c:v>
                </c:pt>
                <c:pt idx="106">
                  <c:v>1.222419442911666E-9</c:v>
                </c:pt>
                <c:pt idx="107">
                  <c:v>1.33489826080331E-9</c:v>
                </c:pt>
                <c:pt idx="108">
                  <c:v>1.6566696886762741E-9</c:v>
                </c:pt>
                <c:pt idx="109">
                  <c:v>1.618791604941266E-9</c:v>
                </c:pt>
                <c:pt idx="110">
                  <c:v>1.682049233972043E-9</c:v>
                </c:pt>
                <c:pt idx="111">
                  <c:v>1.6666781031743144E-9</c:v>
                </c:pt>
                <c:pt idx="112">
                  <c:v>1.5161552080728559E-9</c:v>
                </c:pt>
                <c:pt idx="113">
                  <c:v>1.4026113279414999E-9</c:v>
                </c:pt>
                <c:pt idx="114">
                  <c:v>1.1898620286164964E-9</c:v>
                </c:pt>
                <c:pt idx="115">
                  <c:v>1.0834813720230279E-9</c:v>
                </c:pt>
                <c:pt idx="116">
                  <c:v>9.8710453347683031E-10</c:v>
                </c:pt>
                <c:pt idx="117">
                  <c:v>7.7098629796405229E-10</c:v>
                </c:pt>
                <c:pt idx="118">
                  <c:v>5.359647729440414E-10</c:v>
                </c:pt>
                <c:pt idx="119">
                  <c:v>4.8708250199539281E-10</c:v>
                </c:pt>
                <c:pt idx="120">
                  <c:v>3.5182708546268648E-10</c:v>
                </c:pt>
                <c:pt idx="121">
                  <c:v>3.1649558250826401E-10</c:v>
                </c:pt>
                <c:pt idx="122">
                  <c:v>4.2128351129752801E-10</c:v>
                </c:pt>
                <c:pt idx="123">
                  <c:v>5.1509428401306753E-10</c:v>
                </c:pt>
                <c:pt idx="124">
                  <c:v>7.19204862102997E-10</c:v>
                </c:pt>
                <c:pt idx="125">
                  <c:v>8.8707249557956851E-10</c:v>
                </c:pt>
                <c:pt idx="126">
                  <c:v>1.1505316369714759E-9</c:v>
                </c:pt>
                <c:pt idx="127">
                  <c:v>1.4045505007319364E-9</c:v>
                </c:pt>
                <c:pt idx="128">
                  <c:v>1.6421609426263118E-9</c:v>
                </c:pt>
                <c:pt idx="129">
                  <c:v>1.7836669210507283E-9</c:v>
                </c:pt>
                <c:pt idx="130">
                  <c:v>1.5329726856786111E-9</c:v>
                </c:pt>
                <c:pt idx="131">
                  <c:v>1.816129367269394E-9</c:v>
                </c:pt>
                <c:pt idx="132">
                  <c:v>1.4863773564988036E-9</c:v>
                </c:pt>
                <c:pt idx="133">
                  <c:v>1.0771803574818843E-9</c:v>
                </c:pt>
                <c:pt idx="134">
                  <c:v>1.1048868710203732E-9</c:v>
                </c:pt>
                <c:pt idx="135">
                  <c:v>8.6697512997304555E-10</c:v>
                </c:pt>
                <c:pt idx="136">
                  <c:v>6.5276209636329028E-10</c:v>
                </c:pt>
                <c:pt idx="137">
                  <c:v>5.4077059470400567E-10</c:v>
                </c:pt>
                <c:pt idx="138">
                  <c:v>5.4669898697366846E-10</c:v>
                </c:pt>
                <c:pt idx="139">
                  <c:v>4.3977054377619706E-10</c:v>
                </c:pt>
                <c:pt idx="140">
                  <c:v>6.7084431493349987E-10</c:v>
                </c:pt>
                <c:pt idx="141">
                  <c:v>7.3389216927455421E-10</c:v>
                </c:pt>
                <c:pt idx="142">
                  <c:v>1.0805107060321146E-9</c:v>
                </c:pt>
                <c:pt idx="143">
                  <c:v>1.0723535460392252E-9</c:v>
                </c:pt>
                <c:pt idx="144">
                  <c:v>1.326369001615748E-9</c:v>
                </c:pt>
                <c:pt idx="145">
                  <c:v>1.5370601804516065E-9</c:v>
                </c:pt>
                <c:pt idx="146">
                  <c:v>1.4991611686950327E-9</c:v>
                </c:pt>
                <c:pt idx="147">
                  <c:v>1.5105886329728879E-9</c:v>
                </c:pt>
                <c:pt idx="148">
                  <c:v>1.4011064290903103E-9</c:v>
                </c:pt>
                <c:pt idx="149">
                  <c:v>1.5132404153012289E-9</c:v>
                </c:pt>
                <c:pt idx="150">
                  <c:v>1.0185799049394135E-9</c:v>
                </c:pt>
                <c:pt idx="151">
                  <c:v>1.0740277132534856E-9</c:v>
                </c:pt>
                <c:pt idx="152">
                  <c:v>7.5641218013853535E-10</c:v>
                </c:pt>
                <c:pt idx="153">
                  <c:v>3.9923714797513841E-10</c:v>
                </c:pt>
                <c:pt idx="154">
                  <c:v>7.5348251145090269E-10</c:v>
                </c:pt>
                <c:pt idx="155">
                  <c:v>5.9577925963761837E-10</c:v>
                </c:pt>
                <c:pt idx="156">
                  <c:v>7.6238701142291021E-10</c:v>
                </c:pt>
                <c:pt idx="157">
                  <c:v>5.5428435054180083E-10</c:v>
                </c:pt>
                <c:pt idx="158">
                  <c:v>1.1403465142961177E-9</c:v>
                </c:pt>
                <c:pt idx="159">
                  <c:v>1.3000994822221565E-9</c:v>
                </c:pt>
                <c:pt idx="160">
                  <c:v>1.3645326593180749E-9</c:v>
                </c:pt>
                <c:pt idx="161">
                  <c:v>1.2817132096975862E-9</c:v>
                </c:pt>
                <c:pt idx="162">
                  <c:v>1.3566514114576262E-9</c:v>
                </c:pt>
                <c:pt idx="163">
                  <c:v>1.2464126269977959E-9</c:v>
                </c:pt>
                <c:pt idx="164">
                  <c:v>1.0418415391236793E-9</c:v>
                </c:pt>
                <c:pt idx="165">
                  <c:v>1.0318581241025285E-9</c:v>
                </c:pt>
                <c:pt idx="166">
                  <c:v>8.1575394360450815E-10</c:v>
                </c:pt>
                <c:pt idx="167">
                  <c:v>6.059702975662656E-10</c:v>
                </c:pt>
                <c:pt idx="168">
                  <c:v>5.1301268715482291E-10</c:v>
                </c:pt>
                <c:pt idx="169">
                  <c:v>6.4958193466710724E-10</c:v>
                </c:pt>
                <c:pt idx="170">
                  <c:v>9.3782094443073425E-10</c:v>
                </c:pt>
                <c:pt idx="171">
                  <c:v>1.1447011966309413E-9</c:v>
                </c:pt>
                <c:pt idx="172">
                  <c:v>1.3339424254420006E-9</c:v>
                </c:pt>
                <c:pt idx="173">
                  <c:v>1.4390205575205332E-9</c:v>
                </c:pt>
                <c:pt idx="174">
                  <c:v>1.4922903378274377E-9</c:v>
                </c:pt>
                <c:pt idx="175">
                  <c:v>1.418492383792652E-9</c:v>
                </c:pt>
                <c:pt idx="176">
                  <c:v>1.2305468537213264E-9</c:v>
                </c:pt>
                <c:pt idx="177">
                  <c:v>1.1184413799571583E-9</c:v>
                </c:pt>
                <c:pt idx="178">
                  <c:v>7.4852725101733491E-10</c:v>
                </c:pt>
                <c:pt idx="179">
                  <c:v>6.861180913892463E-10</c:v>
                </c:pt>
                <c:pt idx="180">
                  <c:v>6.2270869753921565E-10</c:v>
                </c:pt>
                <c:pt idx="181">
                  <c:v>8.5061444472015216E-10</c:v>
                </c:pt>
                <c:pt idx="182">
                  <c:v>1.0526131622473182E-9</c:v>
                </c:pt>
                <c:pt idx="183">
                  <c:v>1.1841649600475955E-9</c:v>
                </c:pt>
                <c:pt idx="184">
                  <c:v>1.4460154103783726E-9</c:v>
                </c:pt>
                <c:pt idx="185">
                  <c:v>1.6632514270138345E-9</c:v>
                </c:pt>
                <c:pt idx="186">
                  <c:v>1.582381383632245E-9</c:v>
                </c:pt>
                <c:pt idx="187">
                  <c:v>1.3131371938818227E-9</c:v>
                </c:pt>
                <c:pt idx="188">
                  <c:v>1.1566287148655173E-9</c:v>
                </c:pt>
                <c:pt idx="189">
                  <c:v>7.7755321414740211E-10</c:v>
                </c:pt>
                <c:pt idx="190">
                  <c:v>6.9404479313498604E-10</c:v>
                </c:pt>
                <c:pt idx="191">
                  <c:v>6.7915425601260236E-10</c:v>
                </c:pt>
                <c:pt idx="192">
                  <c:v>9.1799437459734554E-10</c:v>
                </c:pt>
                <c:pt idx="193">
                  <c:v>1.1240250858214855E-9</c:v>
                </c:pt>
                <c:pt idx="194">
                  <c:v>1.3150772721322204E-9</c:v>
                </c:pt>
                <c:pt idx="195">
                  <c:v>1.454624637288295E-9</c:v>
                </c:pt>
                <c:pt idx="196">
                  <c:v>1.3017741638650339E-9</c:v>
                </c:pt>
                <c:pt idx="197">
                  <c:v>1.3045518978927113E-9</c:v>
                </c:pt>
                <c:pt idx="198">
                  <c:v>8.7973242540564717E-10</c:v>
                </c:pt>
                <c:pt idx="199">
                  <c:v>8.1455082248011172E-10</c:v>
                </c:pt>
                <c:pt idx="200">
                  <c:v>8.4025092130092022E-10</c:v>
                </c:pt>
                <c:pt idx="201">
                  <c:v>8.0827529374005106E-10</c:v>
                </c:pt>
                <c:pt idx="202">
                  <c:v>1.0744795335118914E-9</c:v>
                </c:pt>
                <c:pt idx="203">
                  <c:v>1.0511032036444558E-9</c:v>
                </c:pt>
                <c:pt idx="204">
                  <c:v>1.2753509858664062E-9</c:v>
                </c:pt>
                <c:pt idx="205">
                  <c:v>1.1429274375694256E-9</c:v>
                </c:pt>
                <c:pt idx="206">
                  <c:v>9.5710072666448897E-10</c:v>
                </c:pt>
                <c:pt idx="207">
                  <c:v>9.8364980082354634E-10</c:v>
                </c:pt>
                <c:pt idx="208">
                  <c:v>9.2347481419909836E-10</c:v>
                </c:pt>
                <c:pt idx="209">
                  <c:v>9.4686923010180809E-10</c:v>
                </c:pt>
                <c:pt idx="210">
                  <c:v>9.3061059785748655E-10</c:v>
                </c:pt>
                <c:pt idx="211">
                  <c:v>8.2162524075734576E-10</c:v>
                </c:pt>
                <c:pt idx="212">
                  <c:v>1.1220152667718195E-9</c:v>
                </c:pt>
                <c:pt idx="213">
                  <c:v>1.2334982150033153E-9</c:v>
                </c:pt>
                <c:pt idx="214">
                  <c:v>1.2009800713077151E-9</c:v>
                </c:pt>
                <c:pt idx="215">
                  <c:v>7.7539894809840225E-10</c:v>
                </c:pt>
                <c:pt idx="216">
                  <c:v>8.4861601771939901E-10</c:v>
                </c:pt>
                <c:pt idx="217">
                  <c:v>6.8901514191194044E-10</c:v>
                </c:pt>
                <c:pt idx="218">
                  <c:v>9.9552118640124964E-10</c:v>
                </c:pt>
                <c:pt idx="219">
                  <c:v>1.177513597204432E-9</c:v>
                </c:pt>
                <c:pt idx="220">
                  <c:v>1.1829144715308256E-9</c:v>
                </c:pt>
                <c:pt idx="221">
                  <c:v>1.0320957534244511E-9</c:v>
                </c:pt>
                <c:pt idx="222">
                  <c:v>9.3656389297629581E-10</c:v>
                </c:pt>
                <c:pt idx="223">
                  <c:v>6.8626408624523735E-10</c:v>
                </c:pt>
                <c:pt idx="224">
                  <c:v>9.2343266543936615E-10</c:v>
                </c:pt>
                <c:pt idx="225">
                  <c:v>9.6048594457536113E-10</c:v>
                </c:pt>
                <c:pt idx="226">
                  <c:v>1.0915102379211313E-9</c:v>
                </c:pt>
                <c:pt idx="227">
                  <c:v>1.2397784874572143E-9</c:v>
                </c:pt>
                <c:pt idx="228">
                  <c:v>1.0304658816803838E-9</c:v>
                </c:pt>
                <c:pt idx="229">
                  <c:v>1.3238892696197005E-9</c:v>
                </c:pt>
                <c:pt idx="230">
                  <c:v>9.095667971736317E-10</c:v>
                </c:pt>
                <c:pt idx="231">
                  <c:v>8.9993766716400947E-10</c:v>
                </c:pt>
                <c:pt idx="232">
                  <c:v>7.7487566184029583E-10</c:v>
                </c:pt>
                <c:pt idx="233">
                  <c:v>1.1907306812246512E-9</c:v>
                </c:pt>
                <c:pt idx="234">
                  <c:v>7.8858873450103629E-10</c:v>
                </c:pt>
                <c:pt idx="235">
                  <c:v>1.1410405799843248E-9</c:v>
                </c:pt>
                <c:pt idx="236">
                  <c:v>1.0381823933700479E-9</c:v>
                </c:pt>
                <c:pt idx="237">
                  <c:v>9.401513392151432E-10</c:v>
                </c:pt>
                <c:pt idx="238">
                  <c:v>9.9744061684709448E-10</c:v>
                </c:pt>
                <c:pt idx="239">
                  <c:v>1.0851296820099426E-9</c:v>
                </c:pt>
                <c:pt idx="240">
                  <c:v>9.5529199408818869E-10</c:v>
                </c:pt>
                <c:pt idx="241">
                  <c:v>1.4124123867178542E-9</c:v>
                </c:pt>
                <c:pt idx="242">
                  <c:v>1.1214024896083976E-9</c:v>
                </c:pt>
                <c:pt idx="243">
                  <c:v>1.0528615530316237E-9</c:v>
                </c:pt>
                <c:pt idx="244">
                  <c:v>9.8468243038009862E-10</c:v>
                </c:pt>
                <c:pt idx="245">
                  <c:v>1.0430715151844772E-9</c:v>
                </c:pt>
                <c:pt idx="246">
                  <c:v>1.283127068636733E-9</c:v>
                </c:pt>
                <c:pt idx="247">
                  <c:v>1.231313852068833E-9</c:v>
                </c:pt>
                <c:pt idx="248">
                  <c:v>1.2354608502797108E-9</c:v>
                </c:pt>
                <c:pt idx="249">
                  <c:v>1.0845427113076823E-9</c:v>
                </c:pt>
                <c:pt idx="250">
                  <c:v>1.1560806888580769E-9</c:v>
                </c:pt>
                <c:pt idx="251">
                  <c:v>1.3514539885529417E-9</c:v>
                </c:pt>
                <c:pt idx="252">
                  <c:v>1.262957187859944E-9</c:v>
                </c:pt>
                <c:pt idx="253">
                  <c:v>1.1769729607093242E-9</c:v>
                </c:pt>
                <c:pt idx="254">
                  <c:v>1.3233731857986218E-9</c:v>
                </c:pt>
                <c:pt idx="255">
                  <c:v>9.6697143287143795E-10</c:v>
                </c:pt>
                <c:pt idx="256">
                  <c:v>1.1843212963955227E-9</c:v>
                </c:pt>
                <c:pt idx="257">
                  <c:v>1.199022072443531E-9</c:v>
                </c:pt>
                <c:pt idx="258">
                  <c:v>9.2947574483580449E-10</c:v>
                </c:pt>
                <c:pt idx="259">
                  <c:v>9.9423872210889858E-10</c:v>
                </c:pt>
                <c:pt idx="260">
                  <c:v>1.0298360468862515E-9</c:v>
                </c:pt>
                <c:pt idx="261">
                  <c:v>1.1663633229708614E-9</c:v>
                </c:pt>
                <c:pt idx="262">
                  <c:v>1.390609154070842E-9</c:v>
                </c:pt>
                <c:pt idx="263">
                  <c:v>1.3502248692464446E-9</c:v>
                </c:pt>
                <c:pt idx="264">
                  <c:v>1.1835011602355354E-9</c:v>
                </c:pt>
                <c:pt idx="265">
                  <c:v>1.4851867683944251E-9</c:v>
                </c:pt>
                <c:pt idx="266">
                  <c:v>1.2005426661793629E-9</c:v>
                </c:pt>
                <c:pt idx="267">
                  <c:v>1.300740348413464E-9</c:v>
                </c:pt>
                <c:pt idx="268">
                  <c:v>1.6650786928127581E-9</c:v>
                </c:pt>
                <c:pt idx="269">
                  <c:v>1.1895253742682925E-9</c:v>
                </c:pt>
                <c:pt idx="270">
                  <c:v>9.8519895832855769E-10</c:v>
                </c:pt>
                <c:pt idx="271">
                  <c:v>9.669510068816356E-10</c:v>
                </c:pt>
                <c:pt idx="272">
                  <c:v>1.2376812923395929E-9</c:v>
                </c:pt>
                <c:pt idx="273">
                  <c:v>9.0468907091761224E-10</c:v>
                </c:pt>
                <c:pt idx="274">
                  <c:v>1.0657874424568963E-9</c:v>
                </c:pt>
                <c:pt idx="275">
                  <c:v>8.6303041884020466E-10</c:v>
                </c:pt>
                <c:pt idx="276">
                  <c:v>1.6191409949554613E-9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C9D-4B08-82AD-5A0688CCDDF0}"/>
            </c:ext>
          </c:extLst>
        </c:ser>
        <c:ser>
          <c:idx val="2"/>
          <c:order val="2"/>
          <c:tx>
            <c:strRef>
              <c:f>Reflectivity!$I$3:$I$337</c:f>
              <c:strCache>
                <c:ptCount val="335"/>
                <c:pt idx="0">
                  <c:v>8.18E-03</c:v>
                </c:pt>
                <c:pt idx="1">
                  <c:v>8.26E-03</c:v>
                </c:pt>
                <c:pt idx="2">
                  <c:v>8.35E-03</c:v>
                </c:pt>
                <c:pt idx="3">
                  <c:v>8.43E-03</c:v>
                </c:pt>
                <c:pt idx="4">
                  <c:v>8.51E-03</c:v>
                </c:pt>
                <c:pt idx="5">
                  <c:v>8.60E-03</c:v>
                </c:pt>
                <c:pt idx="6">
                  <c:v>8.69E-03</c:v>
                </c:pt>
                <c:pt idx="7">
                  <c:v>8.77E-03</c:v>
                </c:pt>
                <c:pt idx="8">
                  <c:v>8.86E-03</c:v>
                </c:pt>
                <c:pt idx="9">
                  <c:v>8.95E-03</c:v>
                </c:pt>
                <c:pt idx="10">
                  <c:v>9.04E-03</c:v>
                </c:pt>
                <c:pt idx="11">
                  <c:v>9.13E-03</c:v>
                </c:pt>
                <c:pt idx="12">
                  <c:v>9.22E-03</c:v>
                </c:pt>
                <c:pt idx="13">
                  <c:v>9.31E-03</c:v>
                </c:pt>
                <c:pt idx="14">
                  <c:v>9.41E-03</c:v>
                </c:pt>
                <c:pt idx="15">
                  <c:v>9.50E-03</c:v>
                </c:pt>
                <c:pt idx="16">
                  <c:v>9.59E-03</c:v>
                </c:pt>
                <c:pt idx="17">
                  <c:v>9.69E-03</c:v>
                </c:pt>
                <c:pt idx="18">
                  <c:v>9.79E-03</c:v>
                </c:pt>
                <c:pt idx="19">
                  <c:v>9.89E-03</c:v>
                </c:pt>
                <c:pt idx="20">
                  <c:v>9.98E-03</c:v>
                </c:pt>
                <c:pt idx="21">
                  <c:v>1.01E-02</c:v>
                </c:pt>
                <c:pt idx="22">
                  <c:v>1.02E-02</c:v>
                </c:pt>
                <c:pt idx="23">
                  <c:v>1.03E-02</c:v>
                </c:pt>
                <c:pt idx="24">
                  <c:v>1.04E-02</c:v>
                </c:pt>
                <c:pt idx="25">
                  <c:v>1.05E-02</c:v>
                </c:pt>
                <c:pt idx="26">
                  <c:v>1.06E-02</c:v>
                </c:pt>
                <c:pt idx="27">
                  <c:v>1.07E-02</c:v>
                </c:pt>
                <c:pt idx="28">
                  <c:v>1.08E-02</c:v>
                </c:pt>
                <c:pt idx="29">
                  <c:v>1.09E-02</c:v>
                </c:pt>
                <c:pt idx="30">
                  <c:v>1.10E-02</c:v>
                </c:pt>
                <c:pt idx="31">
                  <c:v>1.11E-02</c:v>
                </c:pt>
                <c:pt idx="32">
                  <c:v>1.13E-02</c:v>
                </c:pt>
                <c:pt idx="33">
                  <c:v>1.14E-02</c:v>
                </c:pt>
                <c:pt idx="34">
                  <c:v>1.15E-02</c:v>
                </c:pt>
                <c:pt idx="35">
                  <c:v>1.16E-02</c:v>
                </c:pt>
                <c:pt idx="36">
                  <c:v>1.17E-02</c:v>
                </c:pt>
                <c:pt idx="37">
                  <c:v>1.18E-02</c:v>
                </c:pt>
                <c:pt idx="38">
                  <c:v>1.19E-02</c:v>
                </c:pt>
                <c:pt idx="39">
                  <c:v>1.21E-02</c:v>
                </c:pt>
                <c:pt idx="40">
                  <c:v>1.22E-02</c:v>
                </c:pt>
                <c:pt idx="41">
                  <c:v>1.23E-02</c:v>
                </c:pt>
                <c:pt idx="42">
                  <c:v>1.24E-02</c:v>
                </c:pt>
                <c:pt idx="43">
                  <c:v>1.26E-02</c:v>
                </c:pt>
                <c:pt idx="44">
                  <c:v>1.27E-02</c:v>
                </c:pt>
                <c:pt idx="45">
                  <c:v>1.32E-02</c:v>
                </c:pt>
                <c:pt idx="46">
                  <c:v>1.33E-02</c:v>
                </c:pt>
                <c:pt idx="47">
                  <c:v>1.35E-02</c:v>
                </c:pt>
                <c:pt idx="48">
                  <c:v>1.36E-02</c:v>
                </c:pt>
                <c:pt idx="49">
                  <c:v>1.37E-02</c:v>
                </c:pt>
                <c:pt idx="50">
                  <c:v>1.39E-02</c:v>
                </c:pt>
                <c:pt idx="51">
                  <c:v>1.40E-02</c:v>
                </c:pt>
                <c:pt idx="52">
                  <c:v>1.41E-02</c:v>
                </c:pt>
                <c:pt idx="53">
                  <c:v>1.43E-02</c:v>
                </c:pt>
                <c:pt idx="54">
                  <c:v>1.44E-02</c:v>
                </c:pt>
                <c:pt idx="55">
                  <c:v>1.46E-02</c:v>
                </c:pt>
                <c:pt idx="56">
                  <c:v>1.47E-02</c:v>
                </c:pt>
                <c:pt idx="57">
                  <c:v>1.49E-02</c:v>
                </c:pt>
                <c:pt idx="58">
                  <c:v>1.50E-02</c:v>
                </c:pt>
                <c:pt idx="59">
                  <c:v>1.52E-02</c:v>
                </c:pt>
                <c:pt idx="60">
                  <c:v>1.53E-02</c:v>
                </c:pt>
                <c:pt idx="61">
                  <c:v>1.55E-02</c:v>
                </c:pt>
                <c:pt idx="62">
                  <c:v>1.56E-02</c:v>
                </c:pt>
                <c:pt idx="63">
                  <c:v>1.58E-02</c:v>
                </c:pt>
                <c:pt idx="64">
                  <c:v>1.59E-02</c:v>
                </c:pt>
                <c:pt idx="65">
                  <c:v>1.61E-02</c:v>
                </c:pt>
                <c:pt idx="66">
                  <c:v>1.63E-02</c:v>
                </c:pt>
                <c:pt idx="67">
                  <c:v>1.64E-02</c:v>
                </c:pt>
                <c:pt idx="68">
                  <c:v>1.66E-02</c:v>
                </c:pt>
                <c:pt idx="69">
                  <c:v>1.68E-02</c:v>
                </c:pt>
                <c:pt idx="70">
                  <c:v>1.69E-02</c:v>
                </c:pt>
                <c:pt idx="71">
                  <c:v>1.71E-02</c:v>
                </c:pt>
                <c:pt idx="72">
                  <c:v>1.73E-02</c:v>
                </c:pt>
                <c:pt idx="73">
                  <c:v>1.74E-02</c:v>
                </c:pt>
                <c:pt idx="74">
                  <c:v>1.76E-02</c:v>
                </c:pt>
                <c:pt idx="75">
                  <c:v>1.78E-02</c:v>
                </c:pt>
                <c:pt idx="76">
                  <c:v>1.80E-02</c:v>
                </c:pt>
                <c:pt idx="77">
                  <c:v>1.81E-02</c:v>
                </c:pt>
                <c:pt idx="78">
                  <c:v>1.83E-02</c:v>
                </c:pt>
                <c:pt idx="79">
                  <c:v>1.85E-02</c:v>
                </c:pt>
                <c:pt idx="80">
                  <c:v>1.87E-02</c:v>
                </c:pt>
                <c:pt idx="81">
                  <c:v>1.89E-02</c:v>
                </c:pt>
                <c:pt idx="82">
                  <c:v>1.91E-02</c:v>
                </c:pt>
                <c:pt idx="83">
                  <c:v>1.93E-02</c:v>
                </c:pt>
                <c:pt idx="84">
                  <c:v>1.94E-02</c:v>
                </c:pt>
                <c:pt idx="85">
                  <c:v>1.96E-02</c:v>
                </c:pt>
                <c:pt idx="86">
                  <c:v>1.98E-02</c:v>
                </c:pt>
                <c:pt idx="87">
                  <c:v>2.00E-02</c:v>
                </c:pt>
                <c:pt idx="88">
                  <c:v>2.02E-02</c:v>
                </c:pt>
                <c:pt idx="89">
                  <c:v>2.04E-02</c:v>
                </c:pt>
                <c:pt idx="90">
                  <c:v>2.06E-02</c:v>
                </c:pt>
                <c:pt idx="91">
                  <c:v>2.08E-02</c:v>
                </c:pt>
                <c:pt idx="92">
                  <c:v>2.11E-02</c:v>
                </c:pt>
                <c:pt idx="93">
                  <c:v>2.13E-02</c:v>
                </c:pt>
                <c:pt idx="94">
                  <c:v>2.15E-02</c:v>
                </c:pt>
                <c:pt idx="95">
                  <c:v>2.17E-02</c:v>
                </c:pt>
                <c:pt idx="96">
                  <c:v>2.19E-02</c:v>
                </c:pt>
                <c:pt idx="97">
                  <c:v>2.21E-02</c:v>
                </c:pt>
                <c:pt idx="98">
                  <c:v>2.24E-02</c:v>
                </c:pt>
                <c:pt idx="99">
                  <c:v>2.26E-02</c:v>
                </c:pt>
                <c:pt idx="100">
                  <c:v>2.28E-02</c:v>
                </c:pt>
                <c:pt idx="101">
                  <c:v>2.30E-02</c:v>
                </c:pt>
                <c:pt idx="102">
                  <c:v>2.33E-02</c:v>
                </c:pt>
                <c:pt idx="103">
                  <c:v>2.35E-02</c:v>
                </c:pt>
                <c:pt idx="104">
                  <c:v>2.37E-02</c:v>
                </c:pt>
                <c:pt idx="105">
                  <c:v>2.40E-02</c:v>
                </c:pt>
                <c:pt idx="106">
                  <c:v>2.42E-02</c:v>
                </c:pt>
                <c:pt idx="107">
                  <c:v>2.44E-02</c:v>
                </c:pt>
                <c:pt idx="108">
                  <c:v>2.47E-02</c:v>
                </c:pt>
                <c:pt idx="109">
                  <c:v>2.49E-02</c:v>
                </c:pt>
                <c:pt idx="110">
                  <c:v>2.52E-02</c:v>
                </c:pt>
                <c:pt idx="111">
                  <c:v>2.54E-02</c:v>
                </c:pt>
                <c:pt idx="112">
                  <c:v>2.57E-02</c:v>
                </c:pt>
                <c:pt idx="113">
                  <c:v>2.60E-02</c:v>
                </c:pt>
                <c:pt idx="114">
                  <c:v>2.62E-02</c:v>
                </c:pt>
                <c:pt idx="115">
                  <c:v>2.65E-02</c:v>
                </c:pt>
                <c:pt idx="116">
                  <c:v>2.67E-02</c:v>
                </c:pt>
                <c:pt idx="117">
                  <c:v>2.70E-02</c:v>
                </c:pt>
                <c:pt idx="118">
                  <c:v>2.73E-02</c:v>
                </c:pt>
                <c:pt idx="119">
                  <c:v>2.75E-02</c:v>
                </c:pt>
                <c:pt idx="120">
                  <c:v>2.78E-02</c:v>
                </c:pt>
                <c:pt idx="121">
                  <c:v>2.81E-02</c:v>
                </c:pt>
                <c:pt idx="122">
                  <c:v>2.84E-02</c:v>
                </c:pt>
                <c:pt idx="123">
                  <c:v>2.87E-02</c:v>
                </c:pt>
                <c:pt idx="124">
                  <c:v>2.90E-02</c:v>
                </c:pt>
                <c:pt idx="125">
                  <c:v>2.92E-02</c:v>
                </c:pt>
                <c:pt idx="126">
                  <c:v>2.95E-02</c:v>
                </c:pt>
                <c:pt idx="127">
                  <c:v>2.98E-02</c:v>
                </c:pt>
                <c:pt idx="128">
                  <c:v>3.01E-02</c:v>
                </c:pt>
                <c:pt idx="129">
                  <c:v>3.04E-02</c:v>
                </c:pt>
                <c:pt idx="130">
                  <c:v>3.07E-02</c:v>
                </c:pt>
                <c:pt idx="131">
                  <c:v>3.10E-02</c:v>
                </c:pt>
                <c:pt idx="132">
                  <c:v>3.14E-02</c:v>
                </c:pt>
                <c:pt idx="133">
                  <c:v>3.17E-02</c:v>
                </c:pt>
                <c:pt idx="134">
                  <c:v>3.20E-02</c:v>
                </c:pt>
                <c:pt idx="135">
                  <c:v>3.23E-02</c:v>
                </c:pt>
                <c:pt idx="136">
                  <c:v>3.26E-02</c:v>
                </c:pt>
                <c:pt idx="137">
                  <c:v>3.30E-02</c:v>
                </c:pt>
                <c:pt idx="138">
                  <c:v>3.33E-02</c:v>
                </c:pt>
                <c:pt idx="139">
                  <c:v>3.36E-02</c:v>
                </c:pt>
                <c:pt idx="140">
                  <c:v>3.40E-02</c:v>
                </c:pt>
                <c:pt idx="141">
                  <c:v>3.43E-02</c:v>
                </c:pt>
                <c:pt idx="142">
                  <c:v>3.46E-02</c:v>
                </c:pt>
                <c:pt idx="143">
                  <c:v>3.50E-02</c:v>
                </c:pt>
                <c:pt idx="144">
                  <c:v>3.53E-02</c:v>
                </c:pt>
                <c:pt idx="145">
                  <c:v>3.57E-02</c:v>
                </c:pt>
                <c:pt idx="146">
                  <c:v>3.60E-02</c:v>
                </c:pt>
                <c:pt idx="147">
                  <c:v>3.64E-02</c:v>
                </c:pt>
                <c:pt idx="148">
                  <c:v>3.68E-02</c:v>
                </c:pt>
                <c:pt idx="149">
                  <c:v>3.71E-02</c:v>
                </c:pt>
                <c:pt idx="150">
                  <c:v>3.75E-02</c:v>
                </c:pt>
                <c:pt idx="151">
                  <c:v>3.79E-02</c:v>
                </c:pt>
                <c:pt idx="152">
                  <c:v>3.83E-02</c:v>
                </c:pt>
                <c:pt idx="153">
                  <c:v>3.86E-02</c:v>
                </c:pt>
                <c:pt idx="154">
                  <c:v>3.90E-02</c:v>
                </c:pt>
                <c:pt idx="155">
                  <c:v>3.94E-02</c:v>
                </c:pt>
                <c:pt idx="156">
                  <c:v>3.98E-02</c:v>
                </c:pt>
                <c:pt idx="157">
                  <c:v>4.02E-02</c:v>
                </c:pt>
                <c:pt idx="158">
                  <c:v>4.06E-02</c:v>
                </c:pt>
                <c:pt idx="159">
                  <c:v>4.10E-02</c:v>
                </c:pt>
                <c:pt idx="160">
                  <c:v>4.14E-02</c:v>
                </c:pt>
                <c:pt idx="161">
                  <c:v>4.18E-02</c:v>
                </c:pt>
                <c:pt idx="162">
                  <c:v>4.23E-02</c:v>
                </c:pt>
                <c:pt idx="163">
                  <c:v>4.27E-02</c:v>
                </c:pt>
                <c:pt idx="164">
                  <c:v>4.31E-02</c:v>
                </c:pt>
                <c:pt idx="165">
                  <c:v>4.35E-02</c:v>
                </c:pt>
                <c:pt idx="166">
                  <c:v>4.40E-02</c:v>
                </c:pt>
                <c:pt idx="167">
                  <c:v>4.44E-02</c:v>
                </c:pt>
                <c:pt idx="168">
                  <c:v>4.49E-02</c:v>
                </c:pt>
                <c:pt idx="169">
                  <c:v>4.53E-02</c:v>
                </c:pt>
                <c:pt idx="170">
                  <c:v>4.58E-02</c:v>
                </c:pt>
                <c:pt idx="171">
                  <c:v>4.62E-02</c:v>
                </c:pt>
                <c:pt idx="172">
                  <c:v>4.67E-02</c:v>
                </c:pt>
                <c:pt idx="173">
                  <c:v>4.71E-02</c:v>
                </c:pt>
                <c:pt idx="174">
                  <c:v>4.76E-02</c:v>
                </c:pt>
                <c:pt idx="175">
                  <c:v>4.81E-02</c:v>
                </c:pt>
                <c:pt idx="176">
                  <c:v>4.86E-02</c:v>
                </c:pt>
                <c:pt idx="177">
                  <c:v>4.91E-02</c:v>
                </c:pt>
                <c:pt idx="178">
                  <c:v>4.96E-02</c:v>
                </c:pt>
                <c:pt idx="179">
                  <c:v>5.00E-02</c:v>
                </c:pt>
                <c:pt idx="180">
                  <c:v>5.05E-02</c:v>
                </c:pt>
                <c:pt idx="181">
                  <c:v>5.11E-02</c:v>
                </c:pt>
                <c:pt idx="182">
                  <c:v>5.16E-02</c:v>
                </c:pt>
                <c:pt idx="183">
                  <c:v>5.21E-02</c:v>
                </c:pt>
                <c:pt idx="184">
                  <c:v>5.26E-02</c:v>
                </c:pt>
                <c:pt idx="185">
                  <c:v>5.31E-02</c:v>
                </c:pt>
                <c:pt idx="186">
                  <c:v>5.37E-02</c:v>
                </c:pt>
                <c:pt idx="187">
                  <c:v>5.42E-02</c:v>
                </c:pt>
                <c:pt idx="188">
                  <c:v>5.47E-02</c:v>
                </c:pt>
                <c:pt idx="189">
                  <c:v>5.53E-02</c:v>
                </c:pt>
                <c:pt idx="190">
                  <c:v>5.58E-02</c:v>
                </c:pt>
                <c:pt idx="191">
                  <c:v>5.64E-02</c:v>
                </c:pt>
                <c:pt idx="192">
                  <c:v>5.70E-02</c:v>
                </c:pt>
                <c:pt idx="193">
                  <c:v>5.75E-02</c:v>
                </c:pt>
                <c:pt idx="194">
                  <c:v>5.81E-02</c:v>
                </c:pt>
                <c:pt idx="195">
                  <c:v>5.87E-02</c:v>
                </c:pt>
                <c:pt idx="196">
                  <c:v>5.93E-02</c:v>
                </c:pt>
                <c:pt idx="197">
                  <c:v>5.99E-02</c:v>
                </c:pt>
                <c:pt idx="198">
                  <c:v>6.05E-02</c:v>
                </c:pt>
                <c:pt idx="199">
                  <c:v>6.11E-02</c:v>
                </c:pt>
                <c:pt idx="200">
                  <c:v>6.17E-02</c:v>
                </c:pt>
                <c:pt idx="201">
                  <c:v>6.23E-02</c:v>
                </c:pt>
                <c:pt idx="202">
                  <c:v>6.29E-02</c:v>
                </c:pt>
                <c:pt idx="203">
                  <c:v>6.35E-02</c:v>
                </c:pt>
                <c:pt idx="204">
                  <c:v>6.42E-02</c:v>
                </c:pt>
                <c:pt idx="205">
                  <c:v>6.48E-02</c:v>
                </c:pt>
                <c:pt idx="206">
                  <c:v>6.55E-02</c:v>
                </c:pt>
                <c:pt idx="207">
                  <c:v>6.61E-02</c:v>
                </c:pt>
                <c:pt idx="208">
                  <c:v>6.68E-02</c:v>
                </c:pt>
                <c:pt idx="209">
                  <c:v>6.75E-02</c:v>
                </c:pt>
                <c:pt idx="210">
                  <c:v>6.81E-02</c:v>
                </c:pt>
                <c:pt idx="211">
                  <c:v>6.88E-02</c:v>
                </c:pt>
                <c:pt idx="212">
                  <c:v>6.95E-02</c:v>
                </c:pt>
                <c:pt idx="213">
                  <c:v>7.02E-02</c:v>
                </c:pt>
                <c:pt idx="214">
                  <c:v>7.09E-02</c:v>
                </c:pt>
                <c:pt idx="215">
                  <c:v>7.16E-02</c:v>
                </c:pt>
                <c:pt idx="216">
                  <c:v>7.23E-02</c:v>
                </c:pt>
                <c:pt idx="217">
                  <c:v>7.30E-02</c:v>
                </c:pt>
                <c:pt idx="218">
                  <c:v>7.38E-02</c:v>
                </c:pt>
                <c:pt idx="219">
                  <c:v>7.45E-02</c:v>
                </c:pt>
                <c:pt idx="220">
                  <c:v>7.53E-02</c:v>
                </c:pt>
                <c:pt idx="221">
                  <c:v>7.60E-02</c:v>
                </c:pt>
                <c:pt idx="222">
                  <c:v>7.68E-02</c:v>
                </c:pt>
                <c:pt idx="223">
                  <c:v>7.75E-02</c:v>
                </c:pt>
                <c:pt idx="224">
                  <c:v>7.83E-02</c:v>
                </c:pt>
                <c:pt idx="225">
                  <c:v>7.91E-02</c:v>
                </c:pt>
                <c:pt idx="226">
                  <c:v>7.99E-02</c:v>
                </c:pt>
                <c:pt idx="227">
                  <c:v>8.07E-02</c:v>
                </c:pt>
                <c:pt idx="228">
                  <c:v>8.15E-02</c:v>
                </c:pt>
                <c:pt idx="229">
                  <c:v>8.23E-02</c:v>
                </c:pt>
                <c:pt idx="230">
                  <c:v>8.31E-02</c:v>
                </c:pt>
                <c:pt idx="231">
                  <c:v>8.40E-02</c:v>
                </c:pt>
                <c:pt idx="232">
                  <c:v>8.48E-02</c:v>
                </c:pt>
                <c:pt idx="233">
                  <c:v>8.57E-02</c:v>
                </c:pt>
                <c:pt idx="234">
                  <c:v>8.65E-02</c:v>
                </c:pt>
                <c:pt idx="235">
                  <c:v>8.74E-02</c:v>
                </c:pt>
                <c:pt idx="236">
                  <c:v>8.82E-02</c:v>
                </c:pt>
                <c:pt idx="237">
                  <c:v>8.91E-02</c:v>
                </c:pt>
                <c:pt idx="238">
                  <c:v>9.00E-02</c:v>
                </c:pt>
                <c:pt idx="239">
                  <c:v>9.09E-02</c:v>
                </c:pt>
                <c:pt idx="240">
                  <c:v>9.18E-02</c:v>
                </c:pt>
                <c:pt idx="241">
                  <c:v>9.27E-02</c:v>
                </c:pt>
                <c:pt idx="242">
                  <c:v>9.37E-02</c:v>
                </c:pt>
                <c:pt idx="243">
                  <c:v>9.46E-02</c:v>
                </c:pt>
                <c:pt idx="244">
                  <c:v>9.56E-02</c:v>
                </c:pt>
                <c:pt idx="245">
                  <c:v>9.65E-02</c:v>
                </c:pt>
                <c:pt idx="246">
                  <c:v>9.75E-02</c:v>
                </c:pt>
                <c:pt idx="247">
                  <c:v>9.85E-02</c:v>
                </c:pt>
                <c:pt idx="248">
                  <c:v>9.94E-02</c:v>
                </c:pt>
                <c:pt idx="249">
                  <c:v>1.00E-01</c:v>
                </c:pt>
                <c:pt idx="250">
                  <c:v>1.01E-01</c:v>
                </c:pt>
                <c:pt idx="251">
                  <c:v>1.02E-01</c:v>
                </c:pt>
                <c:pt idx="252">
                  <c:v>1.03E-01</c:v>
                </c:pt>
                <c:pt idx="253">
                  <c:v>1.05E-01</c:v>
                </c:pt>
                <c:pt idx="254">
                  <c:v>1.06E-01</c:v>
                </c:pt>
                <c:pt idx="255">
                  <c:v>1.07E-01</c:v>
                </c:pt>
                <c:pt idx="256">
                  <c:v>1.08E-01</c:v>
                </c:pt>
                <c:pt idx="257">
                  <c:v>1.09E-01</c:v>
                </c:pt>
                <c:pt idx="258">
                  <c:v>1.10E-01</c:v>
                </c:pt>
                <c:pt idx="259">
                  <c:v>1.11E-01</c:v>
                </c:pt>
                <c:pt idx="260">
                  <c:v>1.12E-01</c:v>
                </c:pt>
                <c:pt idx="261">
                  <c:v>1.13E-01</c:v>
                </c:pt>
                <c:pt idx="262">
                  <c:v>1.14E-01</c:v>
                </c:pt>
                <c:pt idx="263">
                  <c:v>1.15E-01</c:v>
                </c:pt>
                <c:pt idx="264">
                  <c:v>1.17E-01</c:v>
                </c:pt>
                <c:pt idx="265">
                  <c:v>1.18E-01</c:v>
                </c:pt>
                <c:pt idx="266">
                  <c:v>1.19E-01</c:v>
                </c:pt>
                <c:pt idx="267">
                  <c:v>1.20E-01</c:v>
                </c:pt>
                <c:pt idx="268">
                  <c:v>1.21E-01</c:v>
                </c:pt>
                <c:pt idx="269">
                  <c:v>1.23E-01</c:v>
                </c:pt>
                <c:pt idx="270">
                  <c:v>1.24E-01</c:v>
                </c:pt>
                <c:pt idx="271">
                  <c:v>1.25E-01</c:v>
                </c:pt>
                <c:pt idx="272">
                  <c:v>1.26E-01</c:v>
                </c:pt>
                <c:pt idx="273">
                  <c:v>1.28E-01</c:v>
                </c:pt>
                <c:pt idx="274">
                  <c:v>1.29E-01</c:v>
                </c:pt>
                <c:pt idx="275">
                  <c:v>1.30E-01</c:v>
                </c:pt>
                <c:pt idx="276">
                  <c:v>1.31E-01</c:v>
                </c:pt>
              </c:strCache>
            </c:strRef>
          </c:tx>
          <c:spPr>
            <a:ln>
              <a:solidFill>
                <a:srgbClr val="00FFFF"/>
              </a:solidFill>
            </a:ln>
          </c:spPr>
          <c:marker>
            <c:symbol val="none"/>
          </c:marker>
          <c:xVal>
            <c:numRef>
              <c:f>Reflectivity!$I$3:$I$337</c:f>
              <c:numCache>
                <c:formatCode>0.00E+00</c:formatCode>
                <c:ptCount val="335"/>
                <c:pt idx="0">
                  <c:v>8.1824504007600007E-3</c:v>
                </c:pt>
                <c:pt idx="1">
                  <c:v>8.2642749047700005E-3</c:v>
                </c:pt>
                <c:pt idx="2">
                  <c:v>8.3469176538099998E-3</c:v>
                </c:pt>
                <c:pt idx="3">
                  <c:v>8.4303868303500003E-3</c:v>
                </c:pt>
                <c:pt idx="4">
                  <c:v>8.5146906986500008E-3</c:v>
                </c:pt>
                <c:pt idx="5">
                  <c:v>8.5998376056400008E-3</c:v>
                </c:pt>
                <c:pt idx="6">
                  <c:v>8.6858359817000002E-3</c:v>
                </c:pt>
                <c:pt idx="7">
                  <c:v>8.7726943415100001E-3</c:v>
                </c:pt>
                <c:pt idx="8">
                  <c:v>8.86042128493E-3</c:v>
                </c:pt>
                <c:pt idx="9">
                  <c:v>8.9490254977800006E-3</c:v>
                </c:pt>
                <c:pt idx="10">
                  <c:v>9.0385157527600006E-3</c:v>
                </c:pt>
                <c:pt idx="11">
                  <c:v>9.1289009102799995E-3</c:v>
                </c:pt>
                <c:pt idx="12">
                  <c:v>9.2201899193900001E-3</c:v>
                </c:pt>
                <c:pt idx="13">
                  <c:v>9.3123918185800004E-3</c:v>
                </c:pt>
                <c:pt idx="14">
                  <c:v>9.4055157367700006E-3</c:v>
                </c:pt>
                <c:pt idx="15">
                  <c:v>9.4995708941299998E-3</c:v>
                </c:pt>
                <c:pt idx="16">
                  <c:v>9.5945666030799997E-3</c:v>
                </c:pt>
                <c:pt idx="17">
                  <c:v>9.69051226911E-3</c:v>
                </c:pt>
                <c:pt idx="18">
                  <c:v>9.7874173918000001E-3</c:v>
                </c:pt>
                <c:pt idx="19">
                  <c:v>9.8852915657199995E-3</c:v>
                </c:pt>
                <c:pt idx="20">
                  <c:v>9.9841444813699998E-3</c:v>
                </c:pt>
                <c:pt idx="21">
                  <c:v>1.0083985926200001E-2</c:v>
                </c:pt>
                <c:pt idx="22">
                  <c:v>1.01848257854E-2</c:v>
                </c:pt>
                <c:pt idx="23">
                  <c:v>1.02866740433E-2</c:v>
                </c:pt>
                <c:pt idx="24">
                  <c:v>1.03895407837E-2</c:v>
                </c:pt>
                <c:pt idx="25">
                  <c:v>1.04934361916E-2</c:v>
                </c:pt>
                <c:pt idx="26">
                  <c:v>1.05983705535E-2</c:v>
                </c:pt>
                <c:pt idx="27">
                  <c:v>1.0704354259E-2</c:v>
                </c:pt>
                <c:pt idx="28">
                  <c:v>1.08113978016E-2</c:v>
                </c:pt>
                <c:pt idx="29">
                  <c:v>1.0919511779600001E-2</c:v>
                </c:pt>
                <c:pt idx="30">
                  <c:v>1.1028706897400001E-2</c:v>
                </c:pt>
                <c:pt idx="31">
                  <c:v>1.11389939664E-2</c:v>
                </c:pt>
                <c:pt idx="32">
                  <c:v>1.12503839061E-2</c:v>
                </c:pt>
                <c:pt idx="33">
                  <c:v>1.1362887745099999E-2</c:v>
                </c:pt>
                <c:pt idx="34">
                  <c:v>1.14765166226E-2</c:v>
                </c:pt>
                <c:pt idx="35">
                  <c:v>1.1591281788799999E-2</c:v>
                </c:pt>
                <c:pt idx="36">
                  <c:v>1.17071946067E-2</c:v>
                </c:pt>
                <c:pt idx="37">
                  <c:v>1.18242665528E-2</c:v>
                </c:pt>
                <c:pt idx="38">
                  <c:v>1.19425092183E-2</c:v>
                </c:pt>
                <c:pt idx="39">
                  <c:v>1.2061934310500001E-2</c:v>
                </c:pt>
                <c:pt idx="40">
                  <c:v>1.2182553653599999E-2</c:v>
                </c:pt>
                <c:pt idx="41">
                  <c:v>1.2304379190100001E-2</c:v>
                </c:pt>
                <c:pt idx="42">
                  <c:v>1.2427422981999999E-2</c:v>
                </c:pt>
                <c:pt idx="43">
                  <c:v>1.25516972118E-2</c:v>
                </c:pt>
                <c:pt idx="44">
                  <c:v>1.26772141839E-2</c:v>
                </c:pt>
                <c:pt idx="45">
                  <c:v>1.31919599154E-2</c:v>
                </c:pt>
                <c:pt idx="46">
                  <c:v>1.33238795146E-2</c:v>
                </c:pt>
                <c:pt idx="47">
                  <c:v>1.3457118309700001E-2</c:v>
                </c:pt>
                <c:pt idx="48">
                  <c:v>1.3591689492799999E-2</c:v>
                </c:pt>
                <c:pt idx="49">
                  <c:v>1.37276063878E-2</c:v>
                </c:pt>
                <c:pt idx="50">
                  <c:v>1.3864882451600001E-2</c:v>
                </c:pt>
                <c:pt idx="51">
                  <c:v>1.40035312762E-2</c:v>
                </c:pt>
                <c:pt idx="52">
                  <c:v>1.41435665889E-2</c:v>
                </c:pt>
                <c:pt idx="53">
                  <c:v>1.42850022548E-2</c:v>
                </c:pt>
                <c:pt idx="54">
                  <c:v>1.44278522774E-2</c:v>
                </c:pt>
                <c:pt idx="55">
                  <c:v>1.4572130800099999E-2</c:v>
                </c:pt>
                <c:pt idx="56">
                  <c:v>1.4717852108099999E-2</c:v>
                </c:pt>
                <c:pt idx="57">
                  <c:v>1.4865030629200001E-2</c:v>
                </c:pt>
                <c:pt idx="58">
                  <c:v>1.50136809355E-2</c:v>
                </c:pt>
                <c:pt idx="59">
                  <c:v>1.5163817744900001E-2</c:v>
                </c:pt>
                <c:pt idx="60">
                  <c:v>1.5315455922300001E-2</c:v>
                </c:pt>
                <c:pt idx="61">
                  <c:v>1.54686104815E-2</c:v>
                </c:pt>
                <c:pt idx="62">
                  <c:v>1.56232965864E-2</c:v>
                </c:pt>
                <c:pt idx="63">
                  <c:v>1.5779529552200001E-2</c:v>
                </c:pt>
                <c:pt idx="64">
                  <c:v>1.59373248477E-2</c:v>
                </c:pt>
                <c:pt idx="65">
                  <c:v>1.6096698096199999E-2</c:v>
                </c:pt>
                <c:pt idx="66">
                  <c:v>1.6257665077200001E-2</c:v>
                </c:pt>
                <c:pt idx="67">
                  <c:v>1.6420241727999999E-2</c:v>
                </c:pt>
                <c:pt idx="68">
                  <c:v>1.6584444145200002E-2</c:v>
                </c:pt>
                <c:pt idx="69">
                  <c:v>1.67502885867E-2</c:v>
                </c:pt>
                <c:pt idx="70">
                  <c:v>1.6917791472599999E-2</c:v>
                </c:pt>
                <c:pt idx="71">
                  <c:v>1.7086969387300002E-2</c:v>
                </c:pt>
                <c:pt idx="72">
                  <c:v>1.7257839081199999E-2</c:v>
                </c:pt>
                <c:pt idx="73">
                  <c:v>1.7430417472000002E-2</c:v>
                </c:pt>
                <c:pt idx="74">
                  <c:v>1.7604721646699999E-2</c:v>
                </c:pt>
                <c:pt idx="75">
                  <c:v>1.77807688631E-2</c:v>
                </c:pt>
                <c:pt idx="76">
                  <c:v>1.7958576551799998E-2</c:v>
                </c:pt>
                <c:pt idx="77">
                  <c:v>1.8138162317300002E-2</c:v>
                </c:pt>
                <c:pt idx="78">
                  <c:v>1.8319543940500001E-2</c:v>
                </c:pt>
                <c:pt idx="79">
                  <c:v>1.8502739379900001E-2</c:v>
                </c:pt>
                <c:pt idx="80">
                  <c:v>1.8687766773700001E-2</c:v>
                </c:pt>
                <c:pt idx="81">
                  <c:v>1.8874644441399999E-2</c:v>
                </c:pt>
                <c:pt idx="82">
                  <c:v>1.9063390885799999E-2</c:v>
                </c:pt>
                <c:pt idx="83">
                  <c:v>1.9254024794699998E-2</c:v>
                </c:pt>
                <c:pt idx="84">
                  <c:v>1.9446565042599999E-2</c:v>
                </c:pt>
                <c:pt idx="85">
                  <c:v>1.9641030693100001E-2</c:v>
                </c:pt>
                <c:pt idx="86">
                  <c:v>1.9837441000000001E-2</c:v>
                </c:pt>
                <c:pt idx="87">
                  <c:v>2.0035815410000001E-2</c:v>
                </c:pt>
                <c:pt idx="88">
                  <c:v>2.0236173564099999E-2</c:v>
                </c:pt>
                <c:pt idx="89">
                  <c:v>2.0438535299700002E-2</c:v>
                </c:pt>
                <c:pt idx="90">
                  <c:v>2.06429206527E-2</c:v>
                </c:pt>
                <c:pt idx="91">
                  <c:v>2.0849349859299999E-2</c:v>
                </c:pt>
                <c:pt idx="92">
                  <c:v>2.1057843357800001E-2</c:v>
                </c:pt>
                <c:pt idx="93">
                  <c:v>2.12684217914E-2</c:v>
                </c:pt>
                <c:pt idx="94">
                  <c:v>2.1481106009300002E-2</c:v>
                </c:pt>
                <c:pt idx="95">
                  <c:v>2.1695917069400002E-2</c:v>
                </c:pt>
                <c:pt idx="96">
                  <c:v>2.19128762401E-2</c:v>
                </c:pt>
                <c:pt idx="97">
                  <c:v>2.21320050025E-2</c:v>
                </c:pt>
                <c:pt idx="98">
                  <c:v>2.2353325052600001E-2</c:v>
                </c:pt>
                <c:pt idx="99">
                  <c:v>2.2576858303100002E-2</c:v>
                </c:pt>
                <c:pt idx="100">
                  <c:v>2.2802626886099998E-2</c:v>
                </c:pt>
                <c:pt idx="101">
                  <c:v>2.3030653155000001E-2</c:v>
                </c:pt>
                <c:pt idx="102">
                  <c:v>2.32609596865E-2</c:v>
                </c:pt>
                <c:pt idx="103">
                  <c:v>2.34935692834E-2</c:v>
                </c:pt>
                <c:pt idx="104">
                  <c:v>2.37285049762E-2</c:v>
                </c:pt>
                <c:pt idx="105">
                  <c:v>2.3965790026000001E-2</c:v>
                </c:pt>
                <c:pt idx="106">
                  <c:v>2.42054479262E-2</c:v>
                </c:pt>
                <c:pt idx="107">
                  <c:v>2.4447502405500001E-2</c:v>
                </c:pt>
                <c:pt idx="108">
                  <c:v>2.4691977429599998E-2</c:v>
                </c:pt>
                <c:pt idx="109">
                  <c:v>2.4938897203899999E-2</c:v>
                </c:pt>
                <c:pt idx="110">
                  <c:v>2.51882861759E-2</c:v>
                </c:pt>
                <c:pt idx="111">
                  <c:v>2.5440169037600002E-2</c:v>
                </c:pt>
                <c:pt idx="112">
                  <c:v>2.5694570728E-2</c:v>
                </c:pt>
                <c:pt idx="113">
                  <c:v>2.5951516435299998E-2</c:v>
                </c:pt>
                <c:pt idx="114">
                  <c:v>2.6211031599700001E-2</c:v>
                </c:pt>
                <c:pt idx="115">
                  <c:v>2.6473141915700001E-2</c:v>
                </c:pt>
                <c:pt idx="116">
                  <c:v>2.6737873334799999E-2</c:v>
                </c:pt>
                <c:pt idx="117">
                  <c:v>2.7005252068200002E-2</c:v>
                </c:pt>
                <c:pt idx="118">
                  <c:v>2.7275304588799999E-2</c:v>
                </c:pt>
                <c:pt idx="119">
                  <c:v>2.7548057634700002E-2</c:v>
                </c:pt>
                <c:pt idx="120">
                  <c:v>2.78235382111E-2</c:v>
                </c:pt>
                <c:pt idx="121">
                  <c:v>2.81017735932E-2</c:v>
                </c:pt>
                <c:pt idx="122">
                  <c:v>2.8382791329100002E-2</c:v>
                </c:pt>
                <c:pt idx="123">
                  <c:v>2.86666192424E-2</c:v>
                </c:pt>
                <c:pt idx="124">
                  <c:v>2.89532854348E-2</c:v>
                </c:pt>
                <c:pt idx="125">
                  <c:v>2.9242818289200001E-2</c:v>
                </c:pt>
                <c:pt idx="126">
                  <c:v>2.9535246472099999E-2</c:v>
                </c:pt>
                <c:pt idx="127">
                  <c:v>2.9830598936799999E-2</c:v>
                </c:pt>
                <c:pt idx="128">
                  <c:v>3.01289049262E-2</c:v>
                </c:pt>
                <c:pt idx="129">
                  <c:v>3.0430193975400002E-2</c:v>
                </c:pt>
                <c:pt idx="130">
                  <c:v>3.07344959152E-2</c:v>
                </c:pt>
                <c:pt idx="131">
                  <c:v>3.1041840874300002E-2</c:v>
                </c:pt>
                <c:pt idx="132">
                  <c:v>3.1352259283100002E-2</c:v>
                </c:pt>
                <c:pt idx="133">
                  <c:v>3.1665781875900002E-2</c:v>
                </c:pt>
                <c:pt idx="134">
                  <c:v>3.19824396947E-2</c:v>
                </c:pt>
                <c:pt idx="135">
                  <c:v>3.2302264091600003E-2</c:v>
                </c:pt>
                <c:pt idx="136">
                  <c:v>3.2625286732500001E-2</c:v>
                </c:pt>
                <c:pt idx="137">
                  <c:v>3.29515395999E-2</c:v>
                </c:pt>
                <c:pt idx="138">
                  <c:v>3.3281054995899999E-2</c:v>
                </c:pt>
                <c:pt idx="139">
                  <c:v>3.3613865545800002E-2</c:v>
                </c:pt>
                <c:pt idx="140">
                  <c:v>3.3950004201300003E-2</c:v>
                </c:pt>
                <c:pt idx="141">
                  <c:v>3.4289504243299997E-2</c:v>
                </c:pt>
                <c:pt idx="142">
                  <c:v>3.46323992857E-2</c:v>
                </c:pt>
                <c:pt idx="143">
                  <c:v>3.49787232786E-2</c:v>
                </c:pt>
                <c:pt idx="144">
                  <c:v>3.5328510511399999E-2</c:v>
                </c:pt>
                <c:pt idx="145">
                  <c:v>3.5681795616499999E-2</c:v>
                </c:pt>
                <c:pt idx="146">
                  <c:v>3.6038613572599999E-2</c:v>
                </c:pt>
                <c:pt idx="147">
                  <c:v>3.63989997084E-2</c:v>
                </c:pt>
                <c:pt idx="148">
                  <c:v>3.6762989705399998E-2</c:v>
                </c:pt>
                <c:pt idx="149">
                  <c:v>3.7130619602499998E-2</c:v>
                </c:pt>
                <c:pt idx="150">
                  <c:v>3.7501925798500001E-2</c:v>
                </c:pt>
                <c:pt idx="151">
                  <c:v>3.7876945056500001E-2</c:v>
                </c:pt>
                <c:pt idx="152">
                  <c:v>3.8255714507099997E-2</c:v>
                </c:pt>
                <c:pt idx="153">
                  <c:v>3.8638271652100001E-2</c:v>
                </c:pt>
                <c:pt idx="154">
                  <c:v>3.90246543687E-2</c:v>
                </c:pt>
                <c:pt idx="155">
                  <c:v>3.9414900912399999E-2</c:v>
                </c:pt>
                <c:pt idx="156">
                  <c:v>3.98090499215E-2</c:v>
                </c:pt>
                <c:pt idx="157">
                  <c:v>4.0207140420699998E-2</c:v>
                </c:pt>
                <c:pt idx="158">
                  <c:v>4.0609211824900002E-2</c:v>
                </c:pt>
                <c:pt idx="159">
                  <c:v>4.1015303943099997E-2</c:v>
                </c:pt>
                <c:pt idx="160">
                  <c:v>4.1425456982600001E-2</c:v>
                </c:pt>
                <c:pt idx="161">
                  <c:v>4.1839711552400002E-2</c:v>
                </c:pt>
                <c:pt idx="162">
                  <c:v>4.2258108667900002E-2</c:v>
                </c:pt>
                <c:pt idx="163">
                  <c:v>4.2680689754600001E-2</c:v>
                </c:pt>
                <c:pt idx="164">
                  <c:v>4.3107496652199997E-2</c:v>
                </c:pt>
                <c:pt idx="165">
                  <c:v>4.3538571618699999E-2</c:v>
                </c:pt>
                <c:pt idx="166">
                  <c:v>4.3973957334899998E-2</c:v>
                </c:pt>
                <c:pt idx="167">
                  <c:v>4.4413696908199997E-2</c:v>
                </c:pt>
                <c:pt idx="168">
                  <c:v>4.4857833877300003E-2</c:v>
                </c:pt>
                <c:pt idx="169">
                  <c:v>4.5306412216100003E-2</c:v>
                </c:pt>
                <c:pt idx="170">
                  <c:v>4.5759476338200003E-2</c:v>
                </c:pt>
                <c:pt idx="171">
                  <c:v>4.6217071101599998E-2</c:v>
                </c:pt>
                <c:pt idx="172">
                  <c:v>4.6679241812599997E-2</c:v>
                </c:pt>
                <c:pt idx="173">
                  <c:v>4.71460342308E-2</c:v>
                </c:pt>
                <c:pt idx="174">
                  <c:v>4.7617494573100001E-2</c:v>
                </c:pt>
                <c:pt idx="175">
                  <c:v>4.8093669518800002E-2</c:v>
                </c:pt>
                <c:pt idx="176">
                  <c:v>4.8574606213999998E-2</c:v>
                </c:pt>
                <c:pt idx="177">
                  <c:v>4.9060352276099999E-2</c:v>
                </c:pt>
                <c:pt idx="178">
                  <c:v>4.9550955798900002E-2</c:v>
                </c:pt>
                <c:pt idx="179">
                  <c:v>5.0046465356900001E-2</c:v>
                </c:pt>
                <c:pt idx="180">
                  <c:v>5.0546930010399997E-2</c:v>
                </c:pt>
                <c:pt idx="181">
                  <c:v>5.1052399310499999E-2</c:v>
                </c:pt>
                <c:pt idx="182">
                  <c:v>5.1562923303600003E-2</c:v>
                </c:pt>
                <c:pt idx="183">
                  <c:v>5.2078552536699997E-2</c:v>
                </c:pt>
                <c:pt idx="184">
                  <c:v>5.2599338062100001E-2</c:v>
                </c:pt>
                <c:pt idx="185">
                  <c:v>5.31253314427E-2</c:v>
                </c:pt>
                <c:pt idx="186">
                  <c:v>5.3656584757100001E-2</c:v>
                </c:pt>
                <c:pt idx="187">
                  <c:v>5.4193150604700001E-2</c:v>
                </c:pt>
                <c:pt idx="188">
                  <c:v>5.4735082110700002E-2</c:v>
                </c:pt>
                <c:pt idx="189">
                  <c:v>5.5282432931799998E-2</c:v>
                </c:pt>
                <c:pt idx="190">
                  <c:v>5.5835257261100002E-2</c:v>
                </c:pt>
                <c:pt idx="191">
                  <c:v>5.6393609833799999E-2</c:v>
                </c:pt>
                <c:pt idx="192">
                  <c:v>5.69575459321E-2</c:v>
                </c:pt>
                <c:pt idx="193">
                  <c:v>5.7527121391400003E-2</c:v>
                </c:pt>
                <c:pt idx="194">
                  <c:v>5.81023926053E-2</c:v>
                </c:pt>
                <c:pt idx="195">
                  <c:v>5.8683416531400003E-2</c:v>
                </c:pt>
                <c:pt idx="196">
                  <c:v>5.92702506967E-2</c:v>
                </c:pt>
                <c:pt idx="197">
                  <c:v>5.9862953203699998E-2</c:v>
                </c:pt>
                <c:pt idx="198">
                  <c:v>6.0461582735700001E-2</c:v>
                </c:pt>
                <c:pt idx="199">
                  <c:v>6.1066198563099999E-2</c:v>
                </c:pt>
                <c:pt idx="200">
                  <c:v>6.1676860548700002E-2</c:v>
                </c:pt>
                <c:pt idx="201">
                  <c:v>6.2293629154200003E-2</c:v>
                </c:pt>
                <c:pt idx="202">
                  <c:v>6.2916565445699998E-2</c:v>
                </c:pt>
                <c:pt idx="203">
                  <c:v>6.3545731100199995E-2</c:v>
                </c:pt>
                <c:pt idx="204">
                  <c:v>6.4181188411200005E-2</c:v>
                </c:pt>
                <c:pt idx="205">
                  <c:v>6.4823000295299998E-2</c:v>
                </c:pt>
                <c:pt idx="206">
                  <c:v>6.5471230298199998E-2</c:v>
                </c:pt>
                <c:pt idx="207">
                  <c:v>6.61259426012E-2</c:v>
                </c:pt>
                <c:pt idx="208">
                  <c:v>6.6787202027199996E-2</c:v>
                </c:pt>
                <c:pt idx="209">
                  <c:v>6.7455074047499994E-2</c:v>
                </c:pt>
                <c:pt idx="210">
                  <c:v>6.8129624787999998E-2</c:v>
                </c:pt>
                <c:pt idx="211">
                  <c:v>6.8810921035900002E-2</c:v>
                </c:pt>
                <c:pt idx="212">
                  <c:v>6.9499030246199994E-2</c:v>
                </c:pt>
                <c:pt idx="213">
                  <c:v>7.0194020548699998E-2</c:v>
                </c:pt>
                <c:pt idx="214">
                  <c:v>7.0895960754200002E-2</c:v>
                </c:pt>
                <c:pt idx="215">
                  <c:v>7.1604920361700006E-2</c:v>
                </c:pt>
                <c:pt idx="216">
                  <c:v>7.23209695653E-2</c:v>
                </c:pt>
                <c:pt idx="217">
                  <c:v>7.3044179261E-2</c:v>
                </c:pt>
                <c:pt idx="218">
                  <c:v>7.3774621053599998E-2</c:v>
                </c:pt>
                <c:pt idx="219">
                  <c:v>7.4512367264100002E-2</c:v>
                </c:pt>
                <c:pt idx="220">
                  <c:v>7.5257490936799995E-2</c:v>
                </c:pt>
                <c:pt idx="221">
                  <c:v>7.6010065846099997E-2</c:v>
                </c:pt>
                <c:pt idx="222">
                  <c:v>7.6770166504600001E-2</c:v>
                </c:pt>
                <c:pt idx="223">
                  <c:v>7.7537868169599997E-2</c:v>
                </c:pt>
                <c:pt idx="224">
                  <c:v>7.8313246851300006E-2</c:v>
                </c:pt>
                <c:pt idx="225">
                  <c:v>7.90963793198E-2</c:v>
                </c:pt>
                <c:pt idx="226">
                  <c:v>7.9887343112999998E-2</c:v>
                </c:pt>
                <c:pt idx="227">
                  <c:v>8.0686216544199996E-2</c:v>
                </c:pt>
                <c:pt idx="228">
                  <c:v>8.14930787096E-2</c:v>
                </c:pt>
                <c:pt idx="229">
                  <c:v>8.2308009496700002E-2</c:v>
                </c:pt>
                <c:pt idx="230">
                  <c:v>8.31310895917E-2</c:v>
                </c:pt>
                <c:pt idx="231">
                  <c:v>8.3962400487599995E-2</c:v>
                </c:pt>
                <c:pt idx="232">
                  <c:v>8.4802024492500003E-2</c:v>
                </c:pt>
                <c:pt idx="233">
                  <c:v>8.5650044737399997E-2</c:v>
                </c:pt>
                <c:pt idx="234">
                  <c:v>8.6506545184799999E-2</c:v>
                </c:pt>
                <c:pt idx="235">
                  <c:v>8.7371610636599997E-2</c:v>
                </c:pt>
                <c:pt idx="236">
                  <c:v>8.8245326742999994E-2</c:v>
                </c:pt>
                <c:pt idx="237">
                  <c:v>8.9127780010400004E-2</c:v>
                </c:pt>
                <c:pt idx="238">
                  <c:v>9.00190578105E-2</c:v>
                </c:pt>
                <c:pt idx="239">
                  <c:v>9.0919248388599994E-2</c:v>
                </c:pt>
                <c:pt idx="240">
                  <c:v>9.18284408725E-2</c:v>
                </c:pt>
                <c:pt idx="241">
                  <c:v>9.2746725281199996E-2</c:v>
                </c:pt>
                <c:pt idx="242">
                  <c:v>9.3674192534E-2</c:v>
                </c:pt>
                <c:pt idx="243">
                  <c:v>9.4610934459399998E-2</c:v>
                </c:pt>
                <c:pt idx="244">
                  <c:v>9.5557043804E-2</c:v>
                </c:pt>
                <c:pt idx="245">
                  <c:v>9.6512614242E-2</c:v>
                </c:pt>
                <c:pt idx="246">
                  <c:v>9.7477740384400005E-2</c:v>
                </c:pt>
                <c:pt idx="247">
                  <c:v>9.8452517788299998E-2</c:v>
                </c:pt>
                <c:pt idx="248">
                  <c:v>9.9437042966199998E-2</c:v>
                </c:pt>
                <c:pt idx="249">
                  <c:v>0.10043141339599999</c:v>
                </c:pt>
                <c:pt idx="250">
                  <c:v>0.10143572753000001</c:v>
                </c:pt>
                <c:pt idx="251">
                  <c:v>0.10245008480499999</c:v>
                </c:pt>
                <c:pt idx="252">
                  <c:v>0.103474585653</c:v>
                </c:pt>
                <c:pt idx="253">
                  <c:v>0.10450933151</c:v>
                </c:pt>
                <c:pt idx="254">
                  <c:v>0.10555442482500001</c:v>
                </c:pt>
                <c:pt idx="255">
                  <c:v>0.10660996907299999</c:v>
                </c:pt>
                <c:pt idx="256">
                  <c:v>0.107676068764</c:v>
                </c:pt>
                <c:pt idx="257">
                  <c:v>0.108752829451</c:v>
                </c:pt>
                <c:pt idx="258">
                  <c:v>0.109840357746</c:v>
                </c:pt>
                <c:pt idx="259">
                  <c:v>0.110938761323</c:v>
                </c:pt>
                <c:pt idx="260">
                  <c:v>0.11204814893700001</c:v>
                </c:pt>
                <c:pt idx="261">
                  <c:v>0.11316863042600001</c:v>
                </c:pt>
                <c:pt idx="262">
                  <c:v>0.11430031673</c:v>
                </c:pt>
                <c:pt idx="263">
                  <c:v>0.115443319898</c:v>
                </c:pt>
                <c:pt idx="264">
                  <c:v>0.116597753096</c:v>
                </c:pt>
                <c:pt idx="265">
                  <c:v>0.117763730627</c:v>
                </c:pt>
                <c:pt idx="266">
                  <c:v>0.11894136793399999</c:v>
                </c:pt>
                <c:pt idx="267">
                  <c:v>0.120130781613</c:v>
                </c:pt>
                <c:pt idx="268">
                  <c:v>0.12133208942900001</c:v>
                </c:pt>
                <c:pt idx="269">
                  <c:v>0.122545410323</c:v>
                </c:pt>
                <c:pt idx="270">
                  <c:v>0.123770864427</c:v>
                </c:pt>
                <c:pt idx="271">
                  <c:v>0.125008573071</c:v>
                </c:pt>
                <c:pt idx="272">
                  <c:v>0.12625865880199999</c:v>
                </c:pt>
                <c:pt idx="273">
                  <c:v>0.12752124539000001</c:v>
                </c:pt>
                <c:pt idx="274">
                  <c:v>0.12879645784400001</c:v>
                </c:pt>
                <c:pt idx="275">
                  <c:v>0.130084422422</c:v>
                </c:pt>
                <c:pt idx="276">
                  <c:v>0.131385266646</c:v>
                </c:pt>
              </c:numCache>
            </c:numRef>
          </c:xVal>
          <c:yVal>
            <c:numRef>
              <c:f>Reflectivity!$X$3:$X$337</c:f>
              <c:numCache>
                <c:formatCode>0.00E+00</c:formatCode>
                <c:ptCount val="335"/>
                <c:pt idx="0">
                  <c:v>4.4360344422472772E-9</c:v>
                </c:pt>
                <c:pt idx="1">
                  <c:v>4.6129904316538718E-9</c:v>
                </c:pt>
                <c:pt idx="2">
                  <c:v>4.7965356164642996E-9</c:v>
                </c:pt>
                <c:pt idx="3">
                  <c:v>4.9867793302962454E-9</c:v>
                </c:pt>
                <c:pt idx="4">
                  <c:v>5.1837896307019874E-9</c:v>
                </c:pt>
                <c:pt idx="5">
                  <c:v>5.3875643642686167E-9</c:v>
                </c:pt>
                <c:pt idx="6">
                  <c:v>5.5979888333416004E-9</c:v>
                </c:pt>
                <c:pt idx="7">
                  <c:v>5.8147738239523556E-9</c:v>
                </c:pt>
                <c:pt idx="8">
                  <c:v>6.0373538518502492E-9</c:v>
                </c:pt>
                <c:pt idx="9">
                  <c:v>6.2647121760991037E-9</c:v>
                </c:pt>
                <c:pt idx="10">
                  <c:v>6.4950678160307666E-9</c:v>
                </c:pt>
                <c:pt idx="11">
                  <c:v>6.7252949171095779E-9</c:v>
                </c:pt>
                <c:pt idx="12">
                  <c:v>6.9498211157537245E-9</c:v>
                </c:pt>
                <c:pt idx="13">
                  <c:v>7.158636713996943E-9</c:v>
                </c:pt>
                <c:pt idx="14">
                  <c:v>7.3345903206837977E-9</c:v>
                </c:pt>
                <c:pt idx="15">
                  <c:v>7.4535289199059117E-9</c:v>
                </c:pt>
                <c:pt idx="16">
                  <c:v>7.4993151735923493E-9</c:v>
                </c:pt>
                <c:pt idx="17">
                  <c:v>7.504237561083983E-9</c:v>
                </c:pt>
                <c:pt idx="18">
                  <c:v>7.5743792659314554E-9</c:v>
                </c:pt>
                <c:pt idx="19">
                  <c:v>7.7738581635429196E-9</c:v>
                </c:pt>
                <c:pt idx="20">
                  <c:v>7.8718766810520795E-9</c:v>
                </c:pt>
                <c:pt idx="21">
                  <c:v>7.4022513714432369E-9</c:v>
                </c:pt>
                <c:pt idx="22">
                  <c:v>6.2969292538469489E-9</c:v>
                </c:pt>
                <c:pt idx="23">
                  <c:v>5.1175248409023556E-9</c:v>
                </c:pt>
                <c:pt idx="24">
                  <c:v>4.348548696001034E-9</c:v>
                </c:pt>
                <c:pt idx="25">
                  <c:v>3.9754674821048368E-9</c:v>
                </c:pt>
                <c:pt idx="26">
                  <c:v>3.7891943684555244E-9</c:v>
                </c:pt>
                <c:pt idx="27">
                  <c:v>3.6558397565764986E-9</c:v>
                </c:pt>
                <c:pt idx="28">
                  <c:v>3.5250677071161374E-9</c:v>
                </c:pt>
                <c:pt idx="29">
                  <c:v>3.3784749823564904E-9</c:v>
                </c:pt>
                <c:pt idx="30">
                  <c:v>3.2105135584948684E-9</c:v>
                </c:pt>
                <c:pt idx="31">
                  <c:v>3.0195077991981284E-9</c:v>
                </c:pt>
                <c:pt idx="32">
                  <c:v>2.8061945124930362E-9</c:v>
                </c:pt>
                <c:pt idx="33">
                  <c:v>2.573011586811195E-9</c:v>
                </c:pt>
                <c:pt idx="34">
                  <c:v>2.3237506042699578E-9</c:v>
                </c:pt>
                <c:pt idx="35">
                  <c:v>2.0633216478838978E-9</c:v>
                </c:pt>
                <c:pt idx="36">
                  <c:v>1.7975301509202063E-9</c:v>
                </c:pt>
                <c:pt idx="37">
                  <c:v>1.5328248404931915E-9</c:v>
                </c:pt>
                <c:pt idx="38">
                  <c:v>1.2760054598486636E-9</c:v>
                </c:pt>
                <c:pt idx="39">
                  <c:v>1.0338969493487611E-9</c:v>
                </c:pt>
                <c:pt idx="40">
                  <c:v>8.1300837669197009E-10</c:v>
                </c:pt>
                <c:pt idx="41">
                  <c:v>6.205055461559279E-10</c:v>
                </c:pt>
                <c:pt idx="42">
                  <c:v>4.6525688478632382E-10</c:v>
                </c:pt>
                <c:pt idx="43">
                  <c:v>3.5629442840741164E-10</c:v>
                </c:pt>
                <c:pt idx="44">
                  <c:v>2.9193786640653303E-10</c:v>
                </c:pt>
                <c:pt idx="45">
                  <c:v>3.1870879063797123E-10</c:v>
                </c:pt>
                <c:pt idx="46">
                  <c:v>3.8614899820334049E-10</c:v>
                </c:pt>
                <c:pt idx="47">
                  <c:v>4.8592724297721773E-10</c:v>
                </c:pt>
                <c:pt idx="48">
                  <c:v>6.1540122661528857E-10</c:v>
                </c:pt>
                <c:pt idx="49">
                  <c:v>7.6359179595993346E-10</c:v>
                </c:pt>
                <c:pt idx="50">
                  <c:v>9.2084263602595103E-10</c:v>
                </c:pt>
                <c:pt idx="51">
                  <c:v>1.0798009987549822E-9</c:v>
                </c:pt>
                <c:pt idx="52">
                  <c:v>1.234490659571489E-9</c:v>
                </c:pt>
                <c:pt idx="53">
                  <c:v>1.3792053754518238E-9</c:v>
                </c:pt>
                <c:pt idx="54">
                  <c:v>1.5086455087303766E-9</c:v>
                </c:pt>
                <c:pt idx="55">
                  <c:v>1.6180463374542851E-9</c:v>
                </c:pt>
                <c:pt idx="56">
                  <c:v>1.7033005006701878E-9</c:v>
                </c:pt>
                <c:pt idx="57">
                  <c:v>1.7610757605271498E-9</c:v>
                </c:pt>
                <c:pt idx="58">
                  <c:v>1.7889274922420093E-9</c:v>
                </c:pt>
                <c:pt idx="59">
                  <c:v>1.7854032185256493E-9</c:v>
                </c:pt>
                <c:pt idx="60">
                  <c:v>1.7501343095989837E-9</c:v>
                </c:pt>
                <c:pt idx="61">
                  <c:v>1.6839079113614661E-9</c:v>
                </c:pt>
                <c:pt idx="62">
                  <c:v>1.5887105215389226E-9</c:v>
                </c:pt>
                <c:pt idx="63">
                  <c:v>1.4677337039129392E-9</c:v>
                </c:pt>
                <c:pt idx="64">
                  <c:v>1.3253325041396045E-9</c:v>
                </c:pt>
                <c:pt idx="65">
                  <c:v>1.1669284511774045E-9</c:v>
                </c:pt>
                <c:pt idx="66">
                  <c:v>9.9885170987231008E-10</c:v>
                </c:pt>
                <c:pt idx="67">
                  <c:v>8.281209621126635E-10</c:v>
                </c:pt>
                <c:pt idx="68">
                  <c:v>6.6216467441316846E-10</c:v>
                </c:pt>
                <c:pt idx="69">
                  <c:v>5.0849308780835827E-10</c:v>
                </c:pt>
                <c:pt idx="70">
                  <c:v>3.7433589348079128E-10</c:v>
                </c:pt>
                <c:pt idx="71">
                  <c:v>2.6626538501975826E-10</c:v>
                </c:pt>
                <c:pt idx="72">
                  <c:v>1.8982821616807264E-10</c:v>
                </c:pt>
                <c:pt idx="73">
                  <c:v>1.492101920829901E-10</c:v>
                </c:pt>
                <c:pt idx="74">
                  <c:v>1.4695754260661313E-10</c:v>
                </c:pt>
                <c:pt idx="75">
                  <c:v>1.8377496171981023E-10</c:v>
                </c:pt>
                <c:pt idx="76">
                  <c:v>2.5841576361366915E-10</c:v>
                </c:pt>
                <c:pt idx="77">
                  <c:v>3.6767346429138535E-10</c:v>
                </c:pt>
                <c:pt idx="78">
                  <c:v>5.0647770679466709E-10</c:v>
                </c:pt>
                <c:pt idx="79">
                  <c:v>6.6809140696625119E-10</c:v>
                </c:pt>
                <c:pt idx="80">
                  <c:v>8.4440083019728183E-10</c:v>
                </c:pt>
                <c:pt idx="81">
                  <c:v>1.0262862611656913E-9</c:v>
                </c:pt>
                <c:pt idx="82">
                  <c:v>1.2040579770517349E-9</c:v>
                </c:pt>
                <c:pt idx="83">
                  <c:v>1.3679401148269236E-9</c:v>
                </c:pt>
                <c:pt idx="84">
                  <c:v>1.5085833472034006E-9</c:v>
                </c:pt>
                <c:pt idx="85">
                  <c:v>1.6175856415906985E-9</c:v>
                </c:pt>
                <c:pt idx="86">
                  <c:v>1.6879984800531962E-9</c:v>
                </c:pt>
                <c:pt idx="87">
                  <c:v>1.7147937023196806E-9</c:v>
                </c:pt>
                <c:pt idx="88">
                  <c:v>1.6952638059860904E-9</c:v>
                </c:pt>
                <c:pt idx="89">
                  <c:v>1.6293266463520441E-9</c:v>
                </c:pt>
                <c:pt idx="90">
                  <c:v>1.5197048183176013E-9</c:v>
                </c:pt>
                <c:pt idx="91">
                  <c:v>1.3719515514612206E-9</c:v>
                </c:pt>
                <c:pt idx="92">
                  <c:v>1.1942996550167679E-9</c:v>
                </c:pt>
                <c:pt idx="93">
                  <c:v>9.9731861604939334E-10</c:v>
                </c:pt>
                <c:pt idx="94">
                  <c:v>7.9337759177895739E-10</c:v>
                </c:pt>
                <c:pt idx="95">
                  <c:v>5.9592823048486422E-10</c:v>
                </c:pt>
                <c:pt idx="96">
                  <c:v>4.1863972060984439E-10</c:v>
                </c:pt>
                <c:pt idx="97">
                  <c:v>2.7443714238802169E-10</c:v>
                </c:pt>
                <c:pt idx="98">
                  <c:v>1.7451057319968066E-10</c:v>
                </c:pt>
                <c:pt idx="99">
                  <c:v>1.2737389244202962E-10</c:v>
                </c:pt>
                <c:pt idx="100">
                  <c:v>1.3805670722447498E-10</c:v>
                </c:pt>
                <c:pt idx="101">
                  <c:v>2.0750902794833993E-10</c:v>
                </c:pt>
                <c:pt idx="102">
                  <c:v>3.3228616260719849E-10</c:v>
                </c:pt>
                <c:pt idx="103">
                  <c:v>5.0456184717558325E-10</c:v>
                </c:pt>
                <c:pt idx="104">
                  <c:v>7.1249285411727533E-10</c:v>
                </c:pt>
                <c:pt idx="105">
                  <c:v>9.4093066218968834E-10</c:v>
                </c:pt>
                <c:pt idx="106">
                  <c:v>1.1724476176343769E-9</c:v>
                </c:pt>
                <c:pt idx="107">
                  <c:v>1.3886183656888861E-9</c:v>
                </c:pt>
                <c:pt idx="108">
                  <c:v>1.5714735812061705E-9</c:v>
                </c:pt>
                <c:pt idx="109">
                  <c:v>1.7050231536333465E-9</c:v>
                </c:pt>
                <c:pt idx="110">
                  <c:v>1.7767307914123722E-9</c:v>
                </c:pt>
                <c:pt idx="111">
                  <c:v>1.7788126164913158E-9</c:v>
                </c:pt>
                <c:pt idx="112">
                  <c:v>1.7092303927124805E-9</c:v>
                </c:pt>
                <c:pt idx="113">
                  <c:v>1.5722578684712781E-9</c:v>
                </c:pt>
                <c:pt idx="114">
                  <c:v>1.3785188674864085E-9</c:v>
                </c:pt>
                <c:pt idx="115">
                  <c:v>1.1444302864332681E-9</c:v>
                </c:pt>
                <c:pt idx="116">
                  <c:v>8.9103257003395685E-10</c:v>
                </c:pt>
                <c:pt idx="117">
                  <c:v>6.4225248585289232E-10</c:v>
                </c:pt>
                <c:pt idx="118">
                  <c:v>4.2271283380174037E-10</c:v>
                </c:pt>
                <c:pt idx="119">
                  <c:v>2.5527266485226422E-10</c:v>
                </c:pt>
                <c:pt idx="120">
                  <c:v>1.5853907928521246E-10</c:v>
                </c:pt>
                <c:pt idx="121">
                  <c:v>1.4462682455427292E-10</c:v>
                </c:pt>
                <c:pt idx="122">
                  <c:v>2.1744584969817067E-10</c:v>
                </c:pt>
                <c:pt idx="123">
                  <c:v>3.7176488640950782E-10</c:v>
                </c:pt>
                <c:pt idx="124">
                  <c:v>5.9323159282106337E-10</c:v>
                </c:pt>
                <c:pt idx="125">
                  <c:v>8.5943280822337797E-10</c:v>
                </c:pt>
                <c:pt idx="126">
                  <c:v>1.1419623204161149E-9</c:v>
                </c:pt>
                <c:pt idx="127">
                  <c:v>1.4093410334191166E-9</c:v>
                </c:pt>
                <c:pt idx="128">
                  <c:v>1.6305189599203369E-9</c:v>
                </c:pt>
                <c:pt idx="129">
                  <c:v>1.7785928468708707E-9</c:v>
                </c:pt>
                <c:pt idx="130">
                  <c:v>1.8343091055545347E-9</c:v>
                </c:pt>
                <c:pt idx="131">
                  <c:v>1.7888994992823064E-9</c:v>
                </c:pt>
                <c:pt idx="132">
                  <c:v>1.6458257502159622E-9</c:v>
                </c:pt>
                <c:pt idx="133">
                  <c:v>1.4210952463705254E-9</c:v>
                </c:pt>
                <c:pt idx="134">
                  <c:v>1.141954749336205E-9</c:v>
                </c:pt>
                <c:pt idx="135">
                  <c:v>8.4396556111169621E-10</c:v>
                </c:pt>
                <c:pt idx="136">
                  <c:v>5.6669403812313747E-10</c:v>
                </c:pt>
                <c:pt idx="137">
                  <c:v>3.4848578835976517E-10</c:v>
                </c:pt>
                <c:pt idx="138">
                  <c:v>2.2099123815911453E-10</c:v>
                </c:pt>
                <c:pt idx="139">
                  <c:v>2.0423271738549208E-10</c:v>
                </c:pt>
                <c:pt idx="140">
                  <c:v>3.0301352244771298E-10</c:v>
                </c:pt>
                <c:pt idx="141">
                  <c:v>5.053482905003067E-10</c:v>
                </c:pt>
                <c:pt idx="142">
                  <c:v>7.8334480454140642E-10</c:v>
                </c:pt>
                <c:pt idx="143">
                  <c:v>1.0966176767204773E-9</c:v>
                </c:pt>
                <c:pt idx="144">
                  <c:v>1.3979124635700081E-9</c:v>
                </c:pt>
                <c:pt idx="145">
                  <c:v>1.6402258694079315E-9</c:v>
                </c:pt>
                <c:pt idx="146">
                  <c:v>1.7843888295333744E-9</c:v>
                </c:pt>
                <c:pt idx="147">
                  <c:v>1.8058945639637596E-9</c:v>
                </c:pt>
                <c:pt idx="148">
                  <c:v>1.7002081909447119E-9</c:v>
                </c:pt>
                <c:pt idx="149">
                  <c:v>1.4827793138375367E-9</c:v>
                </c:pt>
                <c:pt idx="150">
                  <c:v>1.1900362336269352E-9</c:v>
                </c:pt>
                <c:pt idx="151">
                  <c:v>8.7230147394094312E-10</c:v>
                </c:pt>
                <c:pt idx="152">
                  <c:v>5.8586843450668553E-10</c:v>
                </c:pt>
                <c:pt idx="153">
                  <c:v>3.8298693001563791E-10</c:v>
                </c:pt>
                <c:pt idx="154">
                  <c:v>3.0192449390741548E-10</c:v>
                </c:pt>
                <c:pt idx="155">
                  <c:v>3.590468916422933E-10</c:v>
                </c:pt>
                <c:pt idx="156">
                  <c:v>5.4466160831501592E-10</c:v>
                </c:pt>
                <c:pt idx="157">
                  <c:v>8.2377623163945748E-10</c:v>
                </c:pt>
                <c:pt idx="158">
                  <c:v>1.1420166704669067E-9</c:v>
                </c:pt>
                <c:pt idx="159">
                  <c:v>1.4358872699206752E-9</c:v>
                </c:pt>
                <c:pt idx="160">
                  <c:v>1.6455501610988489E-9</c:v>
                </c:pt>
                <c:pt idx="161">
                  <c:v>1.7275821082657522E-9</c:v>
                </c:pt>
                <c:pt idx="162">
                  <c:v>1.6649278199931027E-9</c:v>
                </c:pt>
                <c:pt idx="163">
                  <c:v>1.4716250403359481E-9</c:v>
                </c:pt>
                <c:pt idx="164">
                  <c:v>1.1908292366957574E-9</c:v>
                </c:pt>
                <c:pt idx="165">
                  <c:v>8.8607709594604077E-10</c:v>
                </c:pt>
                <c:pt idx="166">
                  <c:v>6.2732591677680892E-10</c:v>
                </c:pt>
                <c:pt idx="167">
                  <c:v>4.7472099191922731E-10</c:v>
                </c:pt>
                <c:pt idx="168">
                  <c:v>4.6388656786158494E-10</c:v>
                </c:pt>
                <c:pt idx="169">
                  <c:v>5.9650559289568309E-10</c:v>
                </c:pt>
                <c:pt idx="170">
                  <c:v>8.3893795343187544E-10</c:v>
                </c:pt>
                <c:pt idx="171">
                  <c:v>1.1297729644393754E-9</c:v>
                </c:pt>
                <c:pt idx="172">
                  <c:v>1.3949226780476157E-9</c:v>
                </c:pt>
                <c:pt idx="173">
                  <c:v>1.5667183365175665E-9</c:v>
                </c:pt>
                <c:pt idx="174">
                  <c:v>1.6020884200736761E-9</c:v>
                </c:pt>
                <c:pt idx="175">
                  <c:v>1.4947534987918679E-9</c:v>
                </c:pt>
                <c:pt idx="176">
                  <c:v>1.2776590974219612E-9</c:v>
                </c:pt>
                <c:pt idx="177">
                  <c:v>1.014380113645896E-9</c:v>
                </c:pt>
                <c:pt idx="178">
                  <c:v>7.8136955880660861E-10</c:v>
                </c:pt>
                <c:pt idx="179">
                  <c:v>6.4580960608375887E-10</c:v>
                </c:pt>
                <c:pt idx="180">
                  <c:v>6.4552280470448646E-10</c:v>
                </c:pt>
                <c:pt idx="181">
                  <c:v>7.7723269054299848E-10</c:v>
                </c:pt>
                <c:pt idx="182">
                  <c:v>9.9726441380633583E-10</c:v>
                </c:pt>
                <c:pt idx="183">
                  <c:v>1.235047038397965E-9</c:v>
                </c:pt>
                <c:pt idx="184">
                  <c:v>1.4156061113529375E-9</c:v>
                </c:pt>
                <c:pt idx="185">
                  <c:v>1.4839931690552193E-9</c:v>
                </c:pt>
                <c:pt idx="186">
                  <c:v>1.4235054947358892E-9</c:v>
                </c:pt>
                <c:pt idx="187">
                  <c:v>1.2612075036736531E-9</c:v>
                </c:pt>
                <c:pt idx="188">
                  <c:v>1.0583585298999661E-9</c:v>
                </c:pt>
                <c:pt idx="189">
                  <c:v>8.8863122137518251E-10</c:v>
                </c:pt>
                <c:pt idx="190">
                  <c:v>8.1162402378602723E-10</c:v>
                </c:pt>
                <c:pt idx="191">
                  <c:v>8.5131410265580945E-10</c:v>
                </c:pt>
                <c:pt idx="192">
                  <c:v>9.8770015980181114E-10</c:v>
                </c:pt>
                <c:pt idx="193">
                  <c:v>1.1651726941121371E-9</c:v>
                </c:pt>
                <c:pt idx="194">
                  <c:v>1.3147174911429243E-9</c:v>
                </c:pt>
                <c:pt idx="195">
                  <c:v>1.3815531082339273E-9</c:v>
                </c:pt>
                <c:pt idx="196">
                  <c:v>1.346039205194534E-9</c:v>
                </c:pt>
                <c:pt idx="197">
                  <c:v>1.2317362194088984E-9</c:v>
                </c:pt>
                <c:pt idx="198">
                  <c:v>1.093506870219232E-9</c:v>
                </c:pt>
                <c:pt idx="199">
                  <c:v>9.9323675405961672E-10</c:v>
                </c:pt>
                <c:pt idx="200">
                  <c:v>9.7267904051714449E-10</c:v>
                </c:pt>
                <c:pt idx="201">
                  <c:v>1.0357392038821339E-9</c:v>
                </c:pt>
                <c:pt idx="202">
                  <c:v>1.1483188832967279E-9</c:v>
                </c:pt>
                <c:pt idx="203">
                  <c:v>1.2557992720401448E-9</c:v>
                </c:pt>
                <c:pt idx="204">
                  <c:v>1.309813031711084E-9</c:v>
                </c:pt>
                <c:pt idx="205">
                  <c:v>1.2912637175421742E-9</c:v>
                </c:pt>
                <c:pt idx="206">
                  <c:v>1.2181980935217588E-9</c:v>
                </c:pt>
                <c:pt idx="207">
                  <c:v>1.1346627785111112E-9</c:v>
                </c:pt>
                <c:pt idx="208">
                  <c:v>1.0864938537144943E-9</c:v>
                </c:pt>
                <c:pt idx="209">
                  <c:v>1.0969870541829997E-9</c:v>
                </c:pt>
                <c:pt idx="210">
                  <c:v>1.1556030253622116E-9</c:v>
                </c:pt>
                <c:pt idx="211">
                  <c:v>1.2257840136045036E-9</c:v>
                </c:pt>
                <c:pt idx="212">
                  <c:v>1.2672139719353583E-9</c:v>
                </c:pt>
                <c:pt idx="213">
                  <c:v>1.2594687364179553E-9</c:v>
                </c:pt>
                <c:pt idx="214">
                  <c:v>1.2130597679783176E-9</c:v>
                </c:pt>
                <c:pt idx="215">
                  <c:v>1.161339665792891E-9</c:v>
                </c:pt>
                <c:pt idx="216">
                  <c:v>1.1384624633262674E-9</c:v>
                </c:pt>
                <c:pt idx="217">
                  <c:v>1.157437450312651E-9</c:v>
                </c:pt>
                <c:pt idx="218">
                  <c:v>1.2024530902308783E-9</c:v>
                </c:pt>
                <c:pt idx="219">
                  <c:v>1.2405055393241414E-9</c:v>
                </c:pt>
                <c:pt idx="220">
                  <c:v>1.2445194268625888E-9</c:v>
                </c:pt>
                <c:pt idx="221">
                  <c:v>1.2121214028869139E-9</c:v>
                </c:pt>
                <c:pt idx="222">
                  <c:v>1.166870744845985E-9</c:v>
                </c:pt>
                <c:pt idx="223">
                  <c:v>1.1408496353081934E-9</c:v>
                </c:pt>
                <c:pt idx="224">
                  <c:v>1.1509602734003655E-9</c:v>
                </c:pt>
                <c:pt idx="225">
                  <c:v>1.1863134112089912E-9</c:v>
                </c:pt>
                <c:pt idx="226">
                  <c:v>1.2164201768904533E-9</c:v>
                </c:pt>
                <c:pt idx="227">
                  <c:v>1.2144697968406142E-9</c:v>
                </c:pt>
                <c:pt idx="228">
                  <c:v>1.1781250835634779E-9</c:v>
                </c:pt>
                <c:pt idx="229">
                  <c:v>1.1314956379923242E-9</c:v>
                </c:pt>
                <c:pt idx="230">
                  <c:v>1.1061895511165484E-9</c:v>
                </c:pt>
                <c:pt idx="231">
                  <c:v>1.1160511458357675E-9</c:v>
                </c:pt>
                <c:pt idx="232">
                  <c:v>1.1459146992910902E-9</c:v>
                </c:pt>
                <c:pt idx="233">
                  <c:v>1.1639663062298997E-9</c:v>
                </c:pt>
                <c:pt idx="234">
                  <c:v>1.148002910180737E-9</c:v>
                </c:pt>
                <c:pt idx="235">
                  <c:v>1.1038285592139196E-9</c:v>
                </c:pt>
                <c:pt idx="236">
                  <c:v>1.0600368169921615E-9</c:v>
                </c:pt>
                <c:pt idx="237">
                  <c:v>1.0433439253002832E-9</c:v>
                </c:pt>
                <c:pt idx="238">
                  <c:v>1.0557048705572649E-9</c:v>
                </c:pt>
                <c:pt idx="239">
                  <c:v>1.0732998627474318E-9</c:v>
                </c:pt>
                <c:pt idx="240">
                  <c:v>1.0682706104508892E-9</c:v>
                </c:pt>
                <c:pt idx="241">
                  <c:v>1.0335590167721887E-9</c:v>
                </c:pt>
                <c:pt idx="242">
                  <c:v>9.8827371813917777E-10</c:v>
                </c:pt>
                <c:pt idx="243">
                  <c:v>9.5901574720636638E-10</c:v>
                </c:pt>
                <c:pt idx="244">
                  <c:v>9.5508533341029189E-10</c:v>
                </c:pt>
                <c:pt idx="245">
                  <c:v>9.6103103567227295E-10</c:v>
                </c:pt>
                <c:pt idx="246">
                  <c:v>9.5295131534440913E-10</c:v>
                </c:pt>
                <c:pt idx="247">
                  <c:v>9.2182092710636199E-10</c:v>
                </c:pt>
                <c:pt idx="248">
                  <c:v>8.8082460583729652E-10</c:v>
                </c:pt>
                <c:pt idx="249">
                  <c:v>8.50467374730346E-10</c:v>
                </c:pt>
                <c:pt idx="250">
                  <c:v>8.3776679034190669E-10</c:v>
                </c:pt>
                <c:pt idx="251">
                  <c:v>8.3086456023912707E-10</c:v>
                </c:pt>
                <c:pt idx="252">
                  <c:v>8.1320446386837203E-10</c:v>
                </c:pt>
                <c:pt idx="253">
                  <c:v>7.8089249393885562E-10</c:v>
                </c:pt>
                <c:pt idx="254">
                  <c:v>7.4492795707211899E-10</c:v>
                </c:pt>
                <c:pt idx="255">
                  <c:v>7.1768841722666257E-10</c:v>
                </c:pt>
                <c:pt idx="256">
                  <c:v>6.9988831681639928E-10</c:v>
                </c:pt>
                <c:pt idx="257">
                  <c:v>6.8184858788291932E-10</c:v>
                </c:pt>
                <c:pt idx="258">
                  <c:v>6.5563838724988046E-10</c:v>
                </c:pt>
                <c:pt idx="259">
                  <c:v>6.2323126900681706E-10</c:v>
                </c:pt>
                <c:pt idx="260">
                  <c:v>5.9244233314309702E-10</c:v>
                </c:pt>
                <c:pt idx="261">
                  <c:v>5.6731530137577012E-10</c:v>
                </c:pt>
                <c:pt idx="262">
                  <c:v>5.4465077905576499E-10</c:v>
                </c:pt>
                <c:pt idx="263">
                  <c:v>5.1925777087461975E-10</c:v>
                </c:pt>
                <c:pt idx="264">
                  <c:v>4.9016474827714869E-10</c:v>
                </c:pt>
                <c:pt idx="265">
                  <c:v>4.606483383066139E-10</c:v>
                </c:pt>
                <c:pt idx="266">
                  <c:v>4.3358351187232294E-10</c:v>
                </c:pt>
                <c:pt idx="267">
                  <c:v>4.0850175642385757E-10</c:v>
                </c:pt>
                <c:pt idx="268">
                  <c:v>3.8313499684063772E-10</c:v>
                </c:pt>
                <c:pt idx="269">
                  <c:v>3.5646974324361676E-10</c:v>
                </c:pt>
                <c:pt idx="270">
                  <c:v>3.295508784634065E-10</c:v>
                </c:pt>
                <c:pt idx="271">
                  <c:v>3.0383736094265739E-10</c:v>
                </c:pt>
                <c:pt idx="272">
                  <c:v>2.7958108733712955E-10</c:v>
                </c:pt>
                <c:pt idx="273">
                  <c:v>2.5595628127458563E-10</c:v>
                </c:pt>
                <c:pt idx="274">
                  <c:v>2.3234282610045285E-10</c:v>
                </c:pt>
                <c:pt idx="275">
                  <c:v>2.0905201621832465E-10</c:v>
                </c:pt>
                <c:pt idx="276">
                  <c:v>1.868585658245949E-10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11-4A5D-B291-300E9F8CF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089728"/>
        <c:axId val="133853184"/>
      </c:scatterChart>
      <c:valAx>
        <c:axId val="132089728"/>
        <c:scaling>
          <c:logBase val="10"/>
          <c:orientation val="minMax"/>
          <c:max val="0.2"/>
          <c:min val="8.0000000000000019E-3"/>
        </c:scaling>
        <c:delete val="0"/>
        <c:axPos val="b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000000"/>
                    </a:solidFill>
                    <a:latin typeface="+mn-lt"/>
                    <a:ea typeface="Calibri"/>
                    <a:cs typeface="Calibri"/>
                  </a:defRPr>
                </a:pPr>
                <a:r>
                  <a:rPr lang="en-US" sz="1400" b="1" i="1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Q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 (Å</a:t>
                </a:r>
                <a:r>
                  <a:rPr lang="en-US" sz="1400" b="1" i="0" strike="noStrike" baseline="30000">
                    <a:solidFill>
                      <a:srgbClr val="000000"/>
                    </a:solidFill>
                    <a:latin typeface="+mn-lt"/>
                    <a:cs typeface="Times New Roman"/>
                  </a:rPr>
                  <a:t>-1</a:t>
                </a:r>
                <a:r>
                  <a:rPr lang="en-US" sz="1400" b="1" i="0" strike="noStrike">
                    <a:solidFill>
                      <a:srgbClr val="000000"/>
                    </a:solidFill>
                    <a:latin typeface="+mn-lt"/>
                    <a:cs typeface="Times New Roman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0.47564842856181433"/>
              <c:y val="0.9125016085051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out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3853184"/>
        <c:crossesAt val="10"/>
        <c:crossBetween val="midCat"/>
      </c:valAx>
      <c:valAx>
        <c:axId val="133853184"/>
        <c:scaling>
          <c:logBase val="10"/>
          <c:orientation val="minMax"/>
          <c:max val="1.0000000000000005E-8"/>
          <c:min val="1.0000000000000006E-10"/>
        </c:scaling>
        <c:delete val="0"/>
        <c:axPos val="l"/>
        <c:title>
          <c:tx>
            <c:rich>
              <a:bodyPr/>
              <a:lstStyle/>
              <a:p>
                <a:pPr>
                  <a:defRPr sz="1400" b="1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R</a:t>
                </a:r>
              </a:p>
            </c:rich>
          </c:tx>
          <c:layout>
            <c:manualLayout>
              <c:xMode val="edge"/>
              <c:yMode val="edge"/>
              <c:x val="1.3698693646200209E-2"/>
              <c:y val="0.41033467120111938"/>
            </c:manualLayout>
          </c:layout>
          <c:overlay val="0"/>
          <c:spPr>
            <a:noFill/>
            <a:ln w="25400">
              <a:noFill/>
            </a:ln>
          </c:spPr>
        </c:title>
        <c:numFmt formatCode="0.E+00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 pitchFamily="34" charset="0"/>
                <a:ea typeface="Times New Roman"/>
                <a:cs typeface="Times New Roman"/>
              </a:defRPr>
            </a:pPr>
            <a:endParaRPr lang="en-US"/>
          </a:p>
        </c:txPr>
        <c:crossAx val="132089728"/>
        <c:crossesAt val="8.0000000000000019E-3"/>
        <c:crossBetween val="midCat"/>
      </c:valAx>
      <c:spPr>
        <a:solidFill>
          <a:srgbClr val="808080"/>
        </a:solidFill>
        <a:ln w="12700">
          <a:solidFill>
            <a:srgbClr val="969696"/>
          </a:solidFill>
          <a:prstDash val="solid"/>
        </a:ln>
      </c:spPr>
    </c:plotArea>
    <c:plotVisOnly val="1"/>
    <c:dispBlanksAs val="gap"/>
    <c:showDLblsOverMax val="0"/>
  </c:chart>
  <c:spPr>
    <a:solidFill>
      <a:srgbClr val="FFFFCC"/>
    </a:solidFill>
    <a:ln w="3175">
      <a:solidFill>
        <a:srgbClr val="000000"/>
      </a:solidFill>
      <a:prstDash val="solid"/>
    </a:ln>
  </c:spPr>
  <c:txPr>
    <a:bodyPr/>
    <a:lstStyle/>
    <a:p>
      <a:pPr>
        <a:defRPr sz="22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44" r="0.75000000000000244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dTotal!$B$3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dTotal!$A$4:$A$23</c:f>
              <c:numCache>
                <c:formatCode>0.0</c:formatCode>
                <c:ptCount val="20"/>
                <c:pt idx="0">
                  <c:v>1074</c:v>
                </c:pt>
                <c:pt idx="1">
                  <c:v>1078</c:v>
                </c:pt>
                <c:pt idx="2">
                  <c:v>1082</c:v>
                </c:pt>
                <c:pt idx="3">
                  <c:v>1086</c:v>
                </c:pt>
                <c:pt idx="4">
                  <c:v>1090</c:v>
                </c:pt>
                <c:pt idx="5">
                  <c:v>1094</c:v>
                </c:pt>
              </c:numCache>
            </c:numRef>
          </c:xVal>
          <c:yVal>
            <c:numRef>
              <c:f>dTotal!$B$4:$B$23</c:f>
              <c:numCache>
                <c:formatCode>0.00</c:formatCode>
                <c:ptCount val="20"/>
                <c:pt idx="0">
                  <c:v>5.2069607640711935</c:v>
                </c:pt>
                <c:pt idx="1">
                  <c:v>4.1369397708231057</c:v>
                </c:pt>
                <c:pt idx="2">
                  <c:v>3.5775168104206507</c:v>
                </c:pt>
                <c:pt idx="3">
                  <c:v>3.5270563120636242</c:v>
                </c:pt>
                <c:pt idx="4">
                  <c:v>3.9832993454677923</c:v>
                </c:pt>
                <c:pt idx="5">
                  <c:v>4.9436239975965979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C9F-8390-89A0FF702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dDstack!$A$4:$A$23</c:f>
              <c:numCache>
                <c:formatCode>0.0</c:formatCode>
                <c:ptCount val="20"/>
                <c:pt idx="0">
                  <c:v>55</c:v>
                </c:pt>
                <c:pt idx="1">
                  <c:v>65</c:v>
                </c:pt>
                <c:pt idx="2">
                  <c:v>75</c:v>
                </c:pt>
                <c:pt idx="3">
                  <c:v>85</c:v>
                </c:pt>
                <c:pt idx="4">
                  <c:v>95</c:v>
                </c:pt>
                <c:pt idx="5">
                  <c:v>105</c:v>
                </c:pt>
              </c:numCache>
            </c:numRef>
          </c:xVal>
          <c:yVal>
            <c:numRef>
              <c:f>dDstack!$B$4:$B$23</c:f>
              <c:numCache>
                <c:formatCode>0.00</c:formatCode>
                <c:ptCount val="20"/>
                <c:pt idx="0">
                  <c:v>4.5367282700985081</c:v>
                </c:pt>
                <c:pt idx="1">
                  <c:v>4.0677328587547796</c:v>
                </c:pt>
                <c:pt idx="2">
                  <c:v>3.7214297703715049</c:v>
                </c:pt>
                <c:pt idx="3">
                  <c:v>3.5355751766063985</c:v>
                </c:pt>
                <c:pt idx="4">
                  <c:v>3.527958789995195</c:v>
                </c:pt>
                <c:pt idx="5">
                  <c:v>3.695723168790908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E1-476A-B8AB-C63A9F5DC9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'f_d^D'!$B$3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'f_d^D'!$A$4:$A$23</c:f>
              <c:numCache>
                <c:formatCode>0.00</c:formatCode>
                <c:ptCount val="20"/>
                <c:pt idx="0">
                  <c:v>0.03</c:v>
                </c:pt>
                <c:pt idx="1">
                  <c:v>7.0000000000000007E-2</c:v>
                </c:pt>
                <c:pt idx="2">
                  <c:v>0.11</c:v>
                </c:pt>
                <c:pt idx="3">
                  <c:v>0.15</c:v>
                </c:pt>
                <c:pt idx="4">
                  <c:v>0.19</c:v>
                </c:pt>
                <c:pt idx="5">
                  <c:v>0.23</c:v>
                </c:pt>
              </c:numCache>
            </c:numRef>
          </c:xVal>
          <c:yVal>
            <c:numRef>
              <c:f>'f_d^D'!$B$4:$B$23</c:f>
              <c:numCache>
                <c:formatCode>0.00</c:formatCode>
                <c:ptCount val="20"/>
                <c:pt idx="0">
                  <c:v>5.8880628459354618</c:v>
                </c:pt>
                <c:pt idx="1">
                  <c:v>4.431385918069604</c:v>
                </c:pt>
                <c:pt idx="2">
                  <c:v>3.5982094642729145</c:v>
                </c:pt>
                <c:pt idx="3">
                  <c:v>3.657606512792043</c:v>
                </c:pt>
                <c:pt idx="4">
                  <c:v>4.9309908049209019</c:v>
                </c:pt>
                <c:pt idx="5">
                  <c:v>7.7943641021497747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5A-4187-8868-7C79CDDF5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'f_d^H'!$B$3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'f_d^H'!$A$4:$A$23</c:f>
              <c:numCache>
                <c:formatCode>0.00</c:formatCode>
                <c:ptCount val="20"/>
                <c:pt idx="0">
                  <c:v>-0.03</c:v>
                </c:pt>
                <c:pt idx="1">
                  <c:v>-1.7999999999999999E-2</c:v>
                </c:pt>
                <c:pt idx="2">
                  <c:v>-5.9999999999999984E-3</c:v>
                </c:pt>
                <c:pt idx="3">
                  <c:v>6.0000000000000019E-3</c:v>
                </c:pt>
                <c:pt idx="4">
                  <c:v>1.8000000000000002E-2</c:v>
                </c:pt>
                <c:pt idx="5">
                  <c:v>3.0000000000000002E-2</c:v>
                </c:pt>
              </c:numCache>
            </c:numRef>
          </c:xVal>
          <c:yVal>
            <c:numRef>
              <c:f>'f_d^H'!$B$4:$B$23</c:f>
              <c:numCache>
                <c:formatCode>0.00</c:formatCode>
                <c:ptCount val="20"/>
                <c:pt idx="0">
                  <c:v>5.3968672433955902</c:v>
                </c:pt>
                <c:pt idx="1">
                  <c:v>4.2047939686583007</c:v>
                </c:pt>
                <c:pt idx="2">
                  <c:v>3.5897018132114553</c:v>
                </c:pt>
                <c:pt idx="3">
                  <c:v>3.5665758607942073</c:v>
                </c:pt>
                <c:pt idx="4">
                  <c:v>4.1541832961622758</c:v>
                </c:pt>
                <c:pt idx="5">
                  <c:v>5.3718761323374915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C8-4CF2-8F28-C79E575C5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sigDstack!$A$4:$A$23</c:f>
              <c:numCache>
                <c:formatCode>0.0</c:formatCode>
                <c:ptCount val="20"/>
                <c:pt idx="0">
                  <c:v>49</c:v>
                </c:pt>
                <c:pt idx="1">
                  <c:v>53.8</c:v>
                </c:pt>
                <c:pt idx="2">
                  <c:v>58.6</c:v>
                </c:pt>
                <c:pt idx="3">
                  <c:v>63.4</c:v>
                </c:pt>
                <c:pt idx="4">
                  <c:v>68.2</c:v>
                </c:pt>
                <c:pt idx="5">
                  <c:v>73</c:v>
                </c:pt>
              </c:numCache>
            </c:numRef>
          </c:xVal>
          <c:yVal>
            <c:numRef>
              <c:f>sigDstack!$B$4:$B$23</c:f>
              <c:numCache>
                <c:formatCode>0.00</c:formatCode>
                <c:ptCount val="20"/>
                <c:pt idx="0">
                  <c:v>3.9797404226593867</c:v>
                </c:pt>
                <c:pt idx="1">
                  <c:v>3.6399226119934069</c:v>
                </c:pt>
                <c:pt idx="2">
                  <c:v>3.519859513562837</c:v>
                </c:pt>
                <c:pt idx="3">
                  <c:v>3.5945223222507905</c:v>
                </c:pt>
                <c:pt idx="4">
                  <c:v>3.8375231647949968</c:v>
                </c:pt>
                <c:pt idx="5">
                  <c:v>4.223136693917084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F5-4898-9827-AF6D49ECE9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sigHstack!$B$3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sigHstack!$A$4:$A$23</c:f>
              <c:numCache>
                <c:formatCode>0.0</c:formatCode>
                <c:ptCount val="20"/>
                <c:pt idx="0">
                  <c:v>5</c:v>
                </c:pt>
                <c:pt idx="1">
                  <c:v>30</c:v>
                </c:pt>
                <c:pt idx="2">
                  <c:v>55</c:v>
                </c:pt>
                <c:pt idx="3">
                  <c:v>80</c:v>
                </c:pt>
                <c:pt idx="4">
                  <c:v>105</c:v>
                </c:pt>
                <c:pt idx="5">
                  <c:v>130</c:v>
                </c:pt>
              </c:numCache>
            </c:numRef>
          </c:xVal>
          <c:yVal>
            <c:numRef>
              <c:f>sigHstack!$B$4:$B$23</c:f>
              <c:numCache>
                <c:formatCode>0.00</c:formatCode>
                <c:ptCount val="20"/>
                <c:pt idx="0">
                  <c:v>3.5296257653212164</c:v>
                </c:pt>
                <c:pt idx="1">
                  <c:v>3.5124471543618356</c:v>
                </c:pt>
                <c:pt idx="2">
                  <c:v>3.4889410812194539</c:v>
                </c:pt>
                <c:pt idx="3">
                  <c:v>3.5622873835396298</c:v>
                </c:pt>
                <c:pt idx="4">
                  <c:v>3.7041919175572731</c:v>
                </c:pt>
                <c:pt idx="5">
                  <c:v>3.8823623961209046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25-481B-8681-94F617B49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NbSi!$B$3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NbSi!$A$4:$A$23</c:f>
              <c:numCache>
                <c:formatCode>0.00E+00</c:formatCode>
                <c:ptCount val="20"/>
                <c:pt idx="0">
                  <c:v>1.9999999999999999E-6</c:v>
                </c:pt>
                <c:pt idx="1">
                  <c:v>2.024E-6</c:v>
                </c:pt>
                <c:pt idx="2">
                  <c:v>2.0480000000000001E-6</c:v>
                </c:pt>
                <c:pt idx="3">
                  <c:v>2.0719999999999998E-6</c:v>
                </c:pt>
                <c:pt idx="4">
                  <c:v>2.0959999999999999E-6</c:v>
                </c:pt>
                <c:pt idx="5">
                  <c:v>2.12E-6</c:v>
                </c:pt>
              </c:numCache>
            </c:numRef>
          </c:xVal>
          <c:yVal>
            <c:numRef>
              <c:f>NbSi!$B$4:$B$23</c:f>
              <c:numCache>
                <c:formatCode>0.00</c:formatCode>
                <c:ptCount val="20"/>
                <c:pt idx="0">
                  <c:v>3.714613247282323</c:v>
                </c:pt>
                <c:pt idx="1">
                  <c:v>3.5029176983797101</c:v>
                </c:pt>
                <c:pt idx="2">
                  <c:v>3.5337897752163179</c:v>
                </c:pt>
                <c:pt idx="3">
                  <c:v>3.9314561724490802</c:v>
                </c:pt>
                <c:pt idx="4">
                  <c:v>4.4124614878657349</c:v>
                </c:pt>
                <c:pt idx="5">
                  <c:v>5.3724061266013221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75-4A61-A015-A2B4FAC77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NbDstack!$B$3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NbDstack!$A$4:$A$23</c:f>
              <c:numCache>
                <c:formatCode>0.00E+00</c:formatCode>
                <c:ptCount val="20"/>
                <c:pt idx="0">
                  <c:v>1.7999999999999999E-6</c:v>
                </c:pt>
                <c:pt idx="1">
                  <c:v>1.84E-6</c:v>
                </c:pt>
                <c:pt idx="2">
                  <c:v>1.88E-6</c:v>
                </c:pt>
                <c:pt idx="3">
                  <c:v>1.9199999999999998E-6</c:v>
                </c:pt>
                <c:pt idx="4">
                  <c:v>1.9599999999999999E-6</c:v>
                </c:pt>
                <c:pt idx="5">
                  <c:v>1.9999999999999999E-6</c:v>
                </c:pt>
              </c:numCache>
            </c:numRef>
          </c:xVal>
          <c:yVal>
            <c:numRef>
              <c:f>NbDstack!$B$4:$B$23</c:f>
              <c:numCache>
                <c:formatCode>0.00</c:formatCode>
                <c:ptCount val="20"/>
                <c:pt idx="0">
                  <c:v>5.3662943900085658</c:v>
                </c:pt>
                <c:pt idx="1">
                  <c:v>4.9370396893715736</c:v>
                </c:pt>
                <c:pt idx="2">
                  <c:v>4.6735941022677583</c:v>
                </c:pt>
                <c:pt idx="3">
                  <c:v>4.6016821858018595</c:v>
                </c:pt>
                <c:pt idx="4">
                  <c:v>4.7490362456933255</c:v>
                </c:pt>
                <c:pt idx="5">
                  <c:v>5.1454288270096136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E1-4114-8FEB-6D14301A2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NbHstack!$B$3</c:f>
              <c:strCache>
                <c:ptCount val="1"/>
                <c:pt idx="0">
                  <c:v>χ2</c:v>
                </c:pt>
              </c:strCache>
            </c:strRef>
          </c:tx>
          <c:spPr>
            <a:ln>
              <a:solidFill>
                <a:schemeClr val="bg1">
                  <a:lumMod val="65000"/>
                </a:schemeClr>
              </a:solidFill>
            </a:ln>
          </c:spPr>
          <c:marker>
            <c:spPr>
              <a:solidFill>
                <a:schemeClr val="bg1">
                  <a:lumMod val="65000"/>
                </a:schemeClr>
              </a:solidFill>
            </c:spPr>
          </c:marker>
          <c:xVal>
            <c:numRef>
              <c:f>NbHstack!$A$4:$A$23</c:f>
              <c:numCache>
                <c:formatCode>0.00E+00</c:formatCode>
                <c:ptCount val="20"/>
                <c:pt idx="0">
                  <c:v>1.5799999999999999E-6</c:v>
                </c:pt>
                <c:pt idx="1">
                  <c:v>1.5999999999999999E-6</c:v>
                </c:pt>
                <c:pt idx="2">
                  <c:v>1.6199999999999999E-6</c:v>
                </c:pt>
                <c:pt idx="3">
                  <c:v>1.64E-6</c:v>
                </c:pt>
                <c:pt idx="4">
                  <c:v>1.66E-6</c:v>
                </c:pt>
                <c:pt idx="5">
                  <c:v>1.68E-6</c:v>
                </c:pt>
              </c:numCache>
            </c:numRef>
          </c:xVal>
          <c:yVal>
            <c:numRef>
              <c:f>NbHstack!$B$4:$B$23</c:f>
              <c:numCache>
                <c:formatCode>0.00</c:formatCode>
                <c:ptCount val="20"/>
                <c:pt idx="0">
                  <c:v>4.015103055233558</c:v>
                </c:pt>
                <c:pt idx="1">
                  <c:v>3.661452853883655</c:v>
                </c:pt>
                <c:pt idx="2">
                  <c:v>3.5669880923418766</c:v>
                </c:pt>
                <c:pt idx="3">
                  <c:v>3.7347128781213534</c:v>
                </c:pt>
                <c:pt idx="4">
                  <c:v>4.1680676622388644</c:v>
                </c:pt>
                <c:pt idx="5">
                  <c:v>4.8706189205723094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48-44CC-A805-D4EAB70B9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82592"/>
        <c:axId val="220451200"/>
      </c:scatterChart>
      <c:valAx>
        <c:axId val="224782592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i="1"/>
                  <a:t>d</a:t>
                </a:r>
                <a:r>
                  <a:rPr lang="en-US" i="0"/>
                  <a:t> (</a:t>
                </a:r>
                <a:r>
                  <a:rPr lang="en-US" i="0" baseline="0"/>
                  <a:t>Å)</a:t>
                </a:r>
                <a:endParaRPr lang="en-US" i="1" baseline="0"/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220451200"/>
        <c:crosses val="autoZero"/>
        <c:crossBetween val="midCat"/>
      </c:valAx>
      <c:valAx>
        <c:axId val="22045120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i="1"/>
                </a:pPr>
                <a:r>
                  <a:rPr lang="el-GR" i="1"/>
                  <a:t>χ</a:t>
                </a:r>
                <a:r>
                  <a:rPr lang="en-US" i="0" baseline="30000"/>
                  <a:t>2</a:t>
                </a:r>
                <a:endParaRPr lang="en-US" i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224782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258389</xdr:colOff>
      <xdr:row>0</xdr:row>
      <xdr:rowOff>0</xdr:rowOff>
    </xdr:from>
    <xdr:to>
      <xdr:col>17</xdr:col>
      <xdr:colOff>90066</xdr:colOff>
      <xdr:row>20</xdr:row>
      <xdr:rowOff>75639</xdr:rowOff>
    </xdr:to>
    <xdr:graphicFrame macro="">
      <xdr:nvGraphicFramePr>
        <xdr:cNvPr id="1102" name="Chart 3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297171</xdr:colOff>
      <xdr:row>26</xdr:row>
      <xdr:rowOff>39844</xdr:rowOff>
    </xdr:from>
    <xdr:to>
      <xdr:col>21</xdr:col>
      <xdr:colOff>62816</xdr:colOff>
      <xdr:row>46</xdr:row>
      <xdr:rowOff>22875</xdr:rowOff>
    </xdr:to>
    <xdr:graphicFrame macro="">
      <xdr:nvGraphicFramePr>
        <xdr:cNvPr id="1103" name="Chart 38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3</xdr:row>
      <xdr:rowOff>147637</xdr:rowOff>
    </xdr:from>
    <xdr:to>
      <xdr:col>11</xdr:col>
      <xdr:colOff>0</xdr:colOff>
      <xdr:row>17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6350</xdr:colOff>
          <xdr:row>2</xdr:row>
          <xdr:rowOff>6350</xdr:rowOff>
        </xdr:to>
        <xdr:sp macro="" textlink="">
          <xdr:nvSpPr>
            <xdr:cNvPr id="2049" name="cmdCompoundCalculato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D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REF_L_2790_2008-01-10T13%3A40%3A12-04%3A00_CE_scaling" connectionId="1" xr16:uid="{00000000-0016-0000-05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557"/>
  <sheetViews>
    <sheetView tabSelected="1" zoomScale="85" zoomScaleNormal="85" workbookViewId="0">
      <selection activeCell="G19" sqref="G19"/>
    </sheetView>
  </sheetViews>
  <sheetFormatPr defaultRowHeight="15.5" x14ac:dyDescent="0.35"/>
  <cols>
    <col min="1" max="1" width="19.33203125" style="63" bestFit="1" customWidth="1"/>
    <col min="2" max="2" width="14.83203125" style="21" bestFit="1" customWidth="1"/>
    <col min="3" max="3" width="18.1640625" style="21" bestFit="1" customWidth="1"/>
    <col min="4" max="4" width="16.1640625" style="19" bestFit="1" customWidth="1"/>
    <col min="5" max="5" width="16.83203125" style="19" bestFit="1" customWidth="1"/>
    <col min="6" max="6" width="13.08203125" style="39" bestFit="1" customWidth="1"/>
    <col min="7" max="7" width="13.33203125" style="39" customWidth="1"/>
    <col min="8" max="8" width="12.5" style="40" bestFit="1" customWidth="1"/>
    <col min="9" max="9" width="8.6640625" style="50" bestFit="1" customWidth="1"/>
    <col min="10" max="10" width="8.58203125" style="51" bestFit="1" customWidth="1"/>
    <col min="11" max="11" width="8.6640625" style="52" bestFit="1" customWidth="1"/>
    <col min="12" max="12" width="8.58203125" style="152" bestFit="1" customWidth="1"/>
    <col min="13" max="13" width="6.58203125" style="29" bestFit="1" customWidth="1"/>
    <col min="14" max="14" width="9" style="18" bestFit="1"/>
    <col min="15" max="15" width="12.5" style="18" bestFit="1" customWidth="1"/>
    <col min="16" max="16" width="10" style="18" bestFit="1" customWidth="1"/>
    <col min="17" max="17" width="6.33203125" style="28" bestFit="1" customWidth="1"/>
    <col min="18" max="18" width="7.33203125" style="60" bestFit="1" customWidth="1"/>
    <col min="19" max="19" width="9.5" style="57" customWidth="1"/>
    <col min="20" max="20" width="12.1640625" style="75" bestFit="1" customWidth="1"/>
    <col min="21" max="21" width="11.6640625" style="130" bestFit="1" customWidth="1"/>
    <col min="22" max="22" width="8.6640625" style="132" bestFit="1" customWidth="1"/>
    <col min="23" max="23" width="11.83203125" style="133" customWidth="1"/>
    <col min="24" max="24" width="8.6640625" style="132" bestFit="1" customWidth="1"/>
    <col min="25" max="25" width="8.33203125" style="140" bestFit="1" customWidth="1"/>
    <col min="27" max="27" width="8.58203125" style="81" bestFit="1" customWidth="1"/>
    <col min="28" max="28" width="8.58203125" style="74" bestFit="1" customWidth="1"/>
    <col min="29" max="29" width="8.1640625" style="71" bestFit="1" customWidth="1"/>
    <col min="30" max="30" width="9" style="75"/>
    <col min="31" max="31" width="12.5" style="75" bestFit="1" customWidth="1"/>
    <col min="32" max="32" width="10" style="75" bestFit="1" customWidth="1"/>
    <col min="33" max="33" width="12.1640625" style="75" bestFit="1" customWidth="1"/>
    <col min="34" max="34" width="12.1640625" style="75" customWidth="1"/>
    <col min="35" max="35" width="14.08203125" style="155" bestFit="1" customWidth="1"/>
  </cols>
  <sheetData>
    <row r="1" spans="1:36" ht="18" x14ac:dyDescent="0.35">
      <c r="A1" s="87" t="s">
        <v>525</v>
      </c>
      <c r="B1" s="186" t="s">
        <v>491</v>
      </c>
      <c r="C1" s="186"/>
      <c r="D1" s="186"/>
      <c r="E1" s="186"/>
      <c r="F1" s="186"/>
      <c r="G1" s="186"/>
      <c r="H1" s="186"/>
      <c r="I1" s="187" t="s">
        <v>507</v>
      </c>
      <c r="J1" s="187"/>
      <c r="K1" s="187"/>
      <c r="L1" s="66" t="s">
        <v>505</v>
      </c>
      <c r="M1" s="188" t="s">
        <v>489</v>
      </c>
      <c r="N1" s="188"/>
      <c r="O1" s="188"/>
      <c r="P1" s="188"/>
      <c r="Q1" s="188"/>
      <c r="R1" s="185" t="s">
        <v>490</v>
      </c>
      <c r="S1" s="185"/>
      <c r="T1" s="70"/>
      <c r="U1" s="184" t="s">
        <v>593</v>
      </c>
      <c r="V1" s="184"/>
      <c r="W1" s="184"/>
      <c r="X1" s="124" t="s">
        <v>594</v>
      </c>
      <c r="Y1" s="137" t="s">
        <v>536</v>
      </c>
      <c r="AA1" s="183"/>
      <c r="AB1" s="183"/>
      <c r="AC1" s="183"/>
      <c r="AD1" s="183"/>
      <c r="AE1" s="183"/>
      <c r="AF1" s="183"/>
      <c r="AG1" s="70"/>
      <c r="AH1" s="181"/>
      <c r="AI1" s="181"/>
    </row>
    <row r="2" spans="1:36" s="16" customFormat="1" ht="18.5" x14ac:dyDescent="0.35">
      <c r="A2" s="88" t="s">
        <v>526</v>
      </c>
      <c r="B2" s="110" t="s">
        <v>481</v>
      </c>
      <c r="C2" s="111" t="s">
        <v>590</v>
      </c>
      <c r="D2" s="112" t="s">
        <v>591</v>
      </c>
      <c r="E2" s="112" t="s">
        <v>592</v>
      </c>
      <c r="F2" s="113" t="s">
        <v>495</v>
      </c>
      <c r="G2" s="114" t="s">
        <v>496</v>
      </c>
      <c r="H2" s="115"/>
      <c r="I2" s="46" t="s">
        <v>497</v>
      </c>
      <c r="J2" s="47" t="s">
        <v>0</v>
      </c>
      <c r="K2" s="48" t="s">
        <v>500</v>
      </c>
      <c r="L2" s="67" t="s">
        <v>506</v>
      </c>
      <c r="M2" s="22" t="s">
        <v>498</v>
      </c>
      <c r="N2" s="23" t="s">
        <v>492</v>
      </c>
      <c r="O2" s="24" t="s">
        <v>493</v>
      </c>
      <c r="P2" s="24" t="s">
        <v>494</v>
      </c>
      <c r="Q2" s="25" t="s">
        <v>495</v>
      </c>
      <c r="R2" s="58" t="s">
        <v>499</v>
      </c>
      <c r="S2" s="59" t="s">
        <v>492</v>
      </c>
      <c r="T2" s="72"/>
      <c r="U2" s="125" t="s">
        <v>595</v>
      </c>
      <c r="V2" s="126" t="s">
        <v>596</v>
      </c>
      <c r="W2" s="126" t="s">
        <v>597</v>
      </c>
      <c r="X2" s="124" t="s">
        <v>598</v>
      </c>
      <c r="Y2" s="138">
        <f>SUM(Y3:Y279)/276</f>
        <v>3.486304572284908</v>
      </c>
      <c r="AA2" s="171"/>
      <c r="AB2" s="172"/>
      <c r="AC2" s="173"/>
      <c r="AD2" s="174"/>
      <c r="AE2" s="174"/>
      <c r="AF2" s="174"/>
      <c r="AG2" s="72"/>
      <c r="AH2" s="175"/>
      <c r="AI2" s="174"/>
      <c r="AJ2" s="136"/>
    </row>
    <row r="3" spans="1:36" ht="18.5" x14ac:dyDescent="0.35">
      <c r="A3" s="88" t="s">
        <v>527</v>
      </c>
      <c r="B3" s="141" t="s">
        <v>602</v>
      </c>
      <c r="C3" s="142">
        <v>0</v>
      </c>
      <c r="D3" s="103">
        <v>0</v>
      </c>
      <c r="E3" s="103">
        <v>0</v>
      </c>
      <c r="F3" s="143">
        <v>100</v>
      </c>
      <c r="G3" s="143">
        <v>0</v>
      </c>
      <c r="H3" s="120" t="s">
        <v>618</v>
      </c>
      <c r="I3" s="109">
        <v>8.1824504007600007E-3</v>
      </c>
      <c r="J3" s="109">
        <v>4.1277926945827759E-9</v>
      </c>
      <c r="K3" s="109">
        <v>8.0980976539988662E-10</v>
      </c>
      <c r="L3" s="152">
        <v>4.4360316054234131E-9</v>
      </c>
      <c r="M3" s="26">
        <v>21</v>
      </c>
      <c r="N3" s="18">
        <v>0</v>
      </c>
      <c r="O3" s="18">
        <v>0</v>
      </c>
      <c r="P3" s="18">
        <v>0</v>
      </c>
      <c r="Q3" s="28">
        <v>100</v>
      </c>
      <c r="R3" s="60">
        <v>-10</v>
      </c>
      <c r="S3" s="57">
        <v>0</v>
      </c>
      <c r="U3" s="127">
        <v>4.4358709764793288E-9</v>
      </c>
      <c r="V3" s="127">
        <v>4.4360316054234131E-9</v>
      </c>
      <c r="W3" s="128">
        <v>4.4362035816629547E-9</v>
      </c>
      <c r="X3" s="128">
        <f t="shared" ref="X3:X66" si="0">(U3+2*V3+W3)/4</f>
        <v>4.4360344422472772E-9</v>
      </c>
      <c r="Y3" s="139">
        <f t="shared" ref="Y3:Y66" si="1">(J3-X3)*(J3-X3)/(K3*K3)</f>
        <v>0.14488282236828262</v>
      </c>
      <c r="AA3" s="73"/>
      <c r="AB3" s="176"/>
      <c r="AC3" s="176"/>
      <c r="AD3" s="176"/>
      <c r="AJ3" s="135"/>
    </row>
    <row r="4" spans="1:36" ht="18.5" x14ac:dyDescent="0.35">
      <c r="A4" s="88" t="s">
        <v>528</v>
      </c>
      <c r="B4" s="21" t="s">
        <v>607</v>
      </c>
      <c r="C4" s="157">
        <f>H14*((1-H16)*C16+H16*((1-H18)*D16+H18*(E18/D18)*E16))</f>
        <v>1.9158173412387325E-6</v>
      </c>
      <c r="D4" s="19">
        <v>9.9999999999999994E-12</v>
      </c>
      <c r="E4" s="19">
        <v>5.0000000000000001E-9</v>
      </c>
      <c r="F4" s="149">
        <f>H4*H8</f>
        <v>90.594058321474009</v>
      </c>
      <c r="G4" s="107">
        <v>59.575372247336404</v>
      </c>
      <c r="H4" s="107">
        <v>90.594058321474009</v>
      </c>
      <c r="I4" s="109">
        <v>8.2642749047700005E-3</v>
      </c>
      <c r="J4" s="109">
        <v>3.9900087176652484E-9</v>
      </c>
      <c r="K4" s="109">
        <v>5.2449555268146532E-10</v>
      </c>
      <c r="L4" s="152">
        <v>4.6129869988782435E-9</v>
      </c>
      <c r="M4" s="27"/>
      <c r="N4" s="18">
        <v>7.4948036909937706E-9</v>
      </c>
      <c r="O4" s="18">
        <v>3.9120658998460512E-14</v>
      </c>
      <c r="P4" s="18">
        <v>1.9560329499230255E-11</v>
      </c>
      <c r="Q4" s="28">
        <v>20.506815255510563</v>
      </c>
      <c r="R4" s="60">
        <v>100</v>
      </c>
      <c r="S4" s="57">
        <v>0</v>
      </c>
      <c r="U4" s="127">
        <v>4.6128535675197873E-9</v>
      </c>
      <c r="V4" s="127">
        <v>4.6129869988782435E-9</v>
      </c>
      <c r="W4" s="128">
        <v>4.613134161339213E-9</v>
      </c>
      <c r="X4" s="128">
        <f t="shared" si="0"/>
        <v>4.6129904316538718E-9</v>
      </c>
      <c r="Y4" s="139">
        <f t="shared" si="1"/>
        <v>1.4108049617403402</v>
      </c>
      <c r="AA4" s="73"/>
      <c r="AB4" s="176"/>
      <c r="AC4" s="176"/>
      <c r="AD4" s="176"/>
      <c r="AJ4" s="135"/>
    </row>
    <row r="5" spans="1:36" x14ac:dyDescent="0.35">
      <c r="A5" s="89"/>
      <c r="B5" s="100" t="s">
        <v>603</v>
      </c>
      <c r="C5" s="157">
        <f>H14*(H16*((E18/D18)*H20*E16+(1-H20)*D16)+(1-H16)*C16)</f>
        <v>1.61597482064069E-6</v>
      </c>
      <c r="D5" s="101">
        <v>1.5392483148537927E-10</v>
      </c>
      <c r="E5" s="101">
        <v>5.0509225500401457E-8</v>
      </c>
      <c r="F5" s="149">
        <f>(H10-H4)*H8</f>
        <v>993.81748301343237</v>
      </c>
      <c r="G5" s="107">
        <v>38.05320317166165</v>
      </c>
      <c r="H5" s="111" t="s">
        <v>599</v>
      </c>
      <c r="I5" s="109">
        <v>8.3469176538099998E-3</v>
      </c>
      <c r="J5" s="109">
        <v>5.3231398312794972E-9</v>
      </c>
      <c r="K5" s="109">
        <v>4.6603463238193455E-10</v>
      </c>
      <c r="L5" s="152">
        <v>4.796531486780994E-9</v>
      </c>
      <c r="M5" s="27"/>
      <c r="N5" s="18">
        <v>6.1736865626179739E-8</v>
      </c>
      <c r="O5" s="18">
        <v>3.2224818252381934E-13</v>
      </c>
      <c r="P5" s="18">
        <v>1.6112409126190968E-10</v>
      </c>
      <c r="Q5" s="28">
        <v>15.27022686368892</v>
      </c>
      <c r="R5" s="60">
        <v>100</v>
      </c>
      <c r="S5" s="57">
        <v>7.4948036909937706E-9</v>
      </c>
      <c r="U5" s="127">
        <v>4.7964400843600016E-9</v>
      </c>
      <c r="V5" s="127">
        <v>4.796531486780994E-9</v>
      </c>
      <c r="W5" s="128">
        <v>4.7966394079352072E-9</v>
      </c>
      <c r="X5" s="128">
        <f t="shared" si="0"/>
        <v>4.7965356164642996E-9</v>
      </c>
      <c r="Y5" s="139">
        <f t="shared" si="1"/>
        <v>1.276827648688212</v>
      </c>
      <c r="AA5" s="73"/>
      <c r="AB5" s="176"/>
      <c r="AC5" s="176"/>
      <c r="AD5" s="176"/>
      <c r="AJ5" s="135"/>
    </row>
    <row r="6" spans="1:36" x14ac:dyDescent="0.35">
      <c r="B6" s="100" t="s">
        <v>604</v>
      </c>
      <c r="C6" s="157">
        <f>C27</f>
        <v>1.7243969448656413E-6</v>
      </c>
      <c r="D6" s="101">
        <v>1.5392483148537927E-10</v>
      </c>
      <c r="E6" s="101">
        <v>5.0509225500401457E-8</v>
      </c>
      <c r="F6" s="149">
        <v>10</v>
      </c>
      <c r="G6" s="102">
        <f>F6</f>
        <v>10</v>
      </c>
      <c r="H6" s="150">
        <f>H27</f>
        <v>0.02</v>
      </c>
      <c r="I6" s="109">
        <v>8.4303868303500003E-3</v>
      </c>
      <c r="J6" s="109">
        <v>5.477939095620177E-9</v>
      </c>
      <c r="K6" s="109">
        <v>4.3427028546845184E-10</v>
      </c>
      <c r="L6" s="152">
        <v>4.9867744017731554E-9</v>
      </c>
      <c r="M6" s="27"/>
      <c r="N6" s="18">
        <v>1.40206153012063E-7</v>
      </c>
      <c r="O6" s="18">
        <v>7.318346587332186E-13</v>
      </c>
      <c r="P6" s="18">
        <v>3.6591732936660931E-10</v>
      </c>
      <c r="Q6" s="28">
        <v>8.4975592909616005</v>
      </c>
      <c r="R6" s="60">
        <v>120.50681525551056</v>
      </c>
      <c r="S6" s="57">
        <v>7.4948036909937706E-9</v>
      </c>
      <c r="U6" s="127">
        <v>4.9867463946216151E-9</v>
      </c>
      <c r="V6" s="127">
        <v>4.9867744017731554E-9</v>
      </c>
      <c r="W6" s="128">
        <v>4.9868221230170572E-9</v>
      </c>
      <c r="X6" s="128">
        <f t="shared" si="0"/>
        <v>4.9867793302962454E-9</v>
      </c>
      <c r="Y6" s="139">
        <f t="shared" si="1"/>
        <v>1.2791613774205381</v>
      </c>
      <c r="AA6" s="73"/>
      <c r="AB6" s="176"/>
      <c r="AC6" s="176"/>
      <c r="AD6" s="176"/>
      <c r="AJ6" s="135"/>
    </row>
    <row r="7" spans="1:36" ht="18.5" x14ac:dyDescent="0.35">
      <c r="A7" s="68" t="s">
        <v>529</v>
      </c>
      <c r="B7" s="141" t="s">
        <v>504</v>
      </c>
      <c r="C7" s="151">
        <v>3.1999999999999999E-6</v>
      </c>
      <c r="D7" s="142">
        <v>2.5307649463664093E-11</v>
      </c>
      <c r="E7" s="142">
        <v>1.486857631694136E-12</v>
      </c>
      <c r="F7" s="163">
        <f>F28</f>
        <v>41.262845079762997</v>
      </c>
      <c r="G7" s="102">
        <v>5</v>
      </c>
      <c r="H7" s="134" t="s">
        <v>600</v>
      </c>
      <c r="I7" s="109">
        <v>8.5146906986500008E-3</v>
      </c>
      <c r="J7" s="109">
        <v>5.5281657244900426E-9</v>
      </c>
      <c r="K7" s="109">
        <v>4.0819101210214818E-10</v>
      </c>
      <c r="L7" s="152">
        <v>5.1837838211201594E-9</v>
      </c>
      <c r="M7" s="27"/>
      <c r="N7" s="18">
        <v>2.2899825691604975E-7</v>
      </c>
      <c r="O7" s="18">
        <v>1.1953031846344163E-12</v>
      </c>
      <c r="P7" s="18">
        <v>5.9765159231720819E-10</v>
      </c>
      <c r="Q7" s="28">
        <v>6.225896989598299</v>
      </c>
      <c r="R7" s="60">
        <v>120.50681525551056</v>
      </c>
      <c r="S7" s="57">
        <v>6.1736865626179739E-8</v>
      </c>
      <c r="U7" s="127">
        <v>5.1838502284117595E-9</v>
      </c>
      <c r="V7" s="127">
        <v>5.1837838211201594E-9</v>
      </c>
      <c r="W7" s="128">
        <v>5.1837406521558712E-9</v>
      </c>
      <c r="X7" s="128">
        <f t="shared" si="0"/>
        <v>5.1837896307019874E-9</v>
      </c>
      <c r="Y7" s="139">
        <f t="shared" si="1"/>
        <v>0.71176907615626717</v>
      </c>
      <c r="AA7" s="73"/>
      <c r="AB7" s="176"/>
      <c r="AC7" s="176"/>
      <c r="AD7" s="176"/>
      <c r="AJ7" s="135"/>
    </row>
    <row r="8" spans="1:36" x14ac:dyDescent="0.35">
      <c r="A8" s="90" t="b">
        <v>1</v>
      </c>
      <c r="B8" s="141" t="s">
        <v>52</v>
      </c>
      <c r="C8" s="179">
        <v>2.0313826024664576E-6</v>
      </c>
      <c r="D8" s="142">
        <v>4.7498147887006942E-11</v>
      </c>
      <c r="E8" s="142">
        <v>1.9976998807213682E-12</v>
      </c>
      <c r="F8" s="143">
        <v>100</v>
      </c>
      <c r="G8" s="143">
        <v>5</v>
      </c>
      <c r="H8" s="150">
        <v>1</v>
      </c>
      <c r="I8" s="109">
        <v>8.5998376056400008E-3</v>
      </c>
      <c r="J8" s="109">
        <v>5.5894206948999705E-9</v>
      </c>
      <c r="K8" s="109">
        <v>4.0411923663042076E-10</v>
      </c>
      <c r="L8" s="152">
        <v>5.3875576547250869E-9</v>
      </c>
      <c r="M8" s="27"/>
      <c r="N8" s="18">
        <v>3.2270502021026417E-7</v>
      </c>
      <c r="O8" s="18">
        <v>1.6844247792517059E-12</v>
      </c>
      <c r="P8" s="18">
        <v>8.422123896258529E-10</v>
      </c>
      <c r="Q8" s="28">
        <v>5.0665497383804272</v>
      </c>
      <c r="R8" s="60">
        <v>135.77704211919948</v>
      </c>
      <c r="S8" s="57">
        <v>6.1736865626179739E-8</v>
      </c>
      <c r="U8" s="127">
        <v>5.3877641435083032E-9</v>
      </c>
      <c r="V8" s="127">
        <v>5.3875576547250869E-9</v>
      </c>
      <c r="W8" s="128">
        <v>5.3873780041159889E-9</v>
      </c>
      <c r="X8" s="128">
        <f t="shared" si="0"/>
        <v>5.3875643642686167E-9</v>
      </c>
      <c r="Y8" s="139">
        <f t="shared" si="1"/>
        <v>0.24949721417880497</v>
      </c>
      <c r="AA8" s="73"/>
      <c r="AB8" s="176"/>
      <c r="AC8" s="176"/>
      <c r="AD8" s="176"/>
      <c r="AJ8" s="135"/>
    </row>
    <row r="9" spans="1:36" ht="19.5" x14ac:dyDescent="0.45">
      <c r="A9" s="68" t="s">
        <v>522</v>
      </c>
      <c r="B9" s="100"/>
      <c r="C9" s="142"/>
      <c r="D9" s="101"/>
      <c r="E9" s="101"/>
      <c r="F9" s="143"/>
      <c r="G9" s="102"/>
      <c r="H9" s="120" t="s">
        <v>620</v>
      </c>
      <c r="I9" s="109">
        <v>8.6858359817000002E-3</v>
      </c>
      <c r="J9" s="109">
        <v>6.6034686105909403E-9</v>
      </c>
      <c r="K9" s="109">
        <v>4.3352851620112478E-10</v>
      </c>
      <c r="L9" s="152">
        <v>5.5979813605726311E-9</v>
      </c>
      <c r="M9" s="27"/>
      <c r="N9" s="18">
        <v>4.1885063149023142E-7</v>
      </c>
      <c r="O9" s="18">
        <v>2.1862764391693533E-12</v>
      </c>
      <c r="P9" s="18">
        <v>1.0931382195846767E-9</v>
      </c>
      <c r="Q9" s="28">
        <v>4.3749938277508607</v>
      </c>
      <c r="R9" s="60">
        <v>135.77704211919948</v>
      </c>
      <c r="S9" s="57">
        <v>1.40206153012063E-7</v>
      </c>
      <c r="U9" s="127">
        <v>5.5983964358244732E-9</v>
      </c>
      <c r="V9" s="127">
        <v>5.5979813605726311E-9</v>
      </c>
      <c r="W9" s="128">
        <v>5.5975961763966694E-9</v>
      </c>
      <c r="X9" s="128">
        <f t="shared" si="0"/>
        <v>5.5979888333416004E-9</v>
      </c>
      <c r="Y9" s="139">
        <f t="shared" si="1"/>
        <v>5.3791213500640067</v>
      </c>
      <c r="AA9" s="73"/>
      <c r="AB9" s="176"/>
      <c r="AC9" s="176"/>
      <c r="AD9" s="176"/>
      <c r="AJ9" s="135"/>
    </row>
    <row r="10" spans="1:36" x14ac:dyDescent="0.35">
      <c r="A10" s="69">
        <v>4.8964372292601732</v>
      </c>
      <c r="B10" s="100"/>
      <c r="C10" s="101"/>
      <c r="D10" s="101"/>
      <c r="E10" s="101"/>
      <c r="F10" s="102"/>
      <c r="G10" s="102"/>
      <c r="H10" s="107">
        <v>1084.4115413349064</v>
      </c>
      <c r="I10" s="109">
        <v>8.7726943415100001E-3</v>
      </c>
      <c r="J10" s="109">
        <v>6.1519593680581325E-9</v>
      </c>
      <c r="K10" s="109">
        <v>4.1121730037345935E-10</v>
      </c>
      <c r="L10" s="152">
        <v>5.8147660779391834E-9</v>
      </c>
      <c r="M10" s="27"/>
      <c r="N10" s="18">
        <v>5.162008701870396E-7</v>
      </c>
      <c r="O10" s="18">
        <v>2.694415897985731E-12</v>
      </c>
      <c r="P10" s="18">
        <v>1.3472079489928657E-9</v>
      </c>
      <c r="Q10" s="28">
        <v>3.9302450915452591</v>
      </c>
      <c r="R10" s="60">
        <v>144.27460141016107</v>
      </c>
      <c r="S10" s="57">
        <v>1.40206153012063E-7</v>
      </c>
      <c r="U10" s="127">
        <v>5.8154948245562387E-9</v>
      </c>
      <c r="V10" s="127">
        <v>5.8147660779391834E-9</v>
      </c>
      <c r="W10" s="128">
        <v>5.814068315374817E-9</v>
      </c>
      <c r="X10" s="128">
        <f t="shared" si="0"/>
        <v>5.8147738239523556E-9</v>
      </c>
      <c r="Y10" s="139">
        <f t="shared" si="1"/>
        <v>0.67234958183891691</v>
      </c>
      <c r="AA10" s="73"/>
      <c r="AB10" s="176"/>
      <c r="AC10" s="176"/>
      <c r="AD10" s="176"/>
      <c r="AJ10" s="135"/>
    </row>
    <row r="11" spans="1:36" x14ac:dyDescent="0.35">
      <c r="B11" s="100"/>
      <c r="C11" s="142"/>
      <c r="D11" s="180"/>
      <c r="E11" s="180"/>
      <c r="F11" s="102"/>
      <c r="G11" s="180"/>
      <c r="H11" s="180"/>
      <c r="I11" s="109">
        <v>8.86042128493E-3</v>
      </c>
      <c r="J11" s="109">
        <v>5.9390142758074543E-9</v>
      </c>
      <c r="K11" s="109">
        <v>3.8031167493908856E-10</v>
      </c>
      <c r="L11" s="152">
        <v>6.037347105116E-9</v>
      </c>
      <c r="M11" s="27"/>
      <c r="N11" s="18">
        <v>6.1411823768292217E-7</v>
      </c>
      <c r="O11" s="18">
        <v>3.2055156014291243E-12</v>
      </c>
      <c r="P11" s="18">
        <v>1.6027578007145623E-9</v>
      </c>
      <c r="Q11" s="28">
        <v>3.6354781836370389</v>
      </c>
      <c r="R11" s="60">
        <v>144.27460141016107</v>
      </c>
      <c r="S11" s="57">
        <v>2.2899825691604975E-7</v>
      </c>
      <c r="U11" s="127">
        <v>6.0385550466562307E-9</v>
      </c>
      <c r="V11" s="127">
        <v>6.037347105116E-9</v>
      </c>
      <c r="W11" s="128">
        <v>6.0361661505127671E-9</v>
      </c>
      <c r="X11" s="128">
        <f t="shared" si="0"/>
        <v>6.0373538518502492E-9</v>
      </c>
      <c r="Y11" s="139">
        <f t="shared" si="1"/>
        <v>6.6861689718240497E-2</v>
      </c>
      <c r="AA11" s="73"/>
      <c r="AB11" s="176"/>
      <c r="AC11" s="176"/>
      <c r="AD11" s="176"/>
      <c r="AJ11" s="135"/>
    </row>
    <row r="12" spans="1:36" ht="19.5" x14ac:dyDescent="0.45">
      <c r="A12" s="82" t="s">
        <v>515</v>
      </c>
      <c r="B12" s="100"/>
      <c r="C12" s="101"/>
      <c r="D12" s="101"/>
      <c r="E12" s="101"/>
      <c r="F12" s="102"/>
      <c r="G12" s="101"/>
      <c r="H12" s="101"/>
      <c r="I12" s="109">
        <v>8.9490254977800006E-3</v>
      </c>
      <c r="J12" s="109">
        <v>6.4215707505310012E-9</v>
      </c>
      <c r="K12" s="109">
        <v>3.9764100029954231E-10</v>
      </c>
      <c r="L12" s="152">
        <v>6.2647094409564553E-9</v>
      </c>
      <c r="M12" s="27"/>
      <c r="N12" s="18">
        <v>7.122760426433831E-7</v>
      </c>
      <c r="O12" s="18">
        <v>3.7178703173384912E-12</v>
      </c>
      <c r="P12" s="18">
        <v>1.8589351586692456E-9</v>
      </c>
      <c r="Q12" s="28">
        <v>3.4422111865078397</v>
      </c>
      <c r="R12" s="60">
        <v>150.50049839975938</v>
      </c>
      <c r="S12" s="57">
        <v>2.2899825691604975E-7</v>
      </c>
      <c r="U12" s="127">
        <v>6.266665636270491E-9</v>
      </c>
      <c r="V12" s="127">
        <v>6.2647094409564553E-9</v>
      </c>
      <c r="W12" s="128">
        <v>6.262764186213014E-9</v>
      </c>
      <c r="X12" s="128">
        <f t="shared" si="0"/>
        <v>6.2647121760991037E-9</v>
      </c>
      <c r="Y12" s="139">
        <f t="shared" si="1"/>
        <v>0.1556088209883485</v>
      </c>
      <c r="AA12" s="73"/>
      <c r="AB12" s="176"/>
      <c r="AC12" s="176"/>
      <c r="AD12" s="176"/>
      <c r="AJ12" s="135"/>
    </row>
    <row r="13" spans="1:36" ht="18.5" x14ac:dyDescent="0.35">
      <c r="A13" s="85">
        <v>1E-4</v>
      </c>
      <c r="B13" s="100"/>
      <c r="C13" s="101"/>
      <c r="D13" s="101"/>
      <c r="E13" s="101"/>
      <c r="F13" s="143"/>
      <c r="G13" s="143"/>
      <c r="H13" s="120" t="s">
        <v>615</v>
      </c>
      <c r="I13" s="109">
        <v>9.0385157527600006E-3</v>
      </c>
      <c r="J13" s="109">
        <v>7.0029423114989997E-9</v>
      </c>
      <c r="K13" s="109">
        <v>4.2153524393295985E-10</v>
      </c>
      <c r="L13" s="152">
        <v>6.4950760487712396E-9</v>
      </c>
      <c r="M13" s="27"/>
      <c r="N13" s="18">
        <v>8.1051713429402929E-7</v>
      </c>
      <c r="O13" s="18">
        <v>4.2306597651421388E-12</v>
      </c>
      <c r="P13" s="18">
        <v>2.1153298825710695E-9</v>
      </c>
      <c r="Q13" s="28">
        <v>3.3245181651387896</v>
      </c>
      <c r="R13" s="60">
        <v>150.50049839975938</v>
      </c>
      <c r="S13" s="57">
        <v>3.2270502021026417E-7</v>
      </c>
      <c r="U13" s="127">
        <v>6.4982343810899629E-9</v>
      </c>
      <c r="V13" s="127">
        <v>6.4950760487712396E-9</v>
      </c>
      <c r="W13" s="128">
        <v>6.4918847854906242E-9</v>
      </c>
      <c r="X13" s="128">
        <f t="shared" si="0"/>
        <v>6.4950678160307666E-9</v>
      </c>
      <c r="Y13" s="139">
        <f t="shared" si="1"/>
        <v>1.4515935353606957</v>
      </c>
      <c r="AA13" s="73"/>
      <c r="AB13" s="176"/>
      <c r="AC13" s="176"/>
      <c r="AD13" s="176"/>
      <c r="AJ13" s="135"/>
    </row>
    <row r="14" spans="1:36" ht="18" x14ac:dyDescent="0.45">
      <c r="A14" s="82" t="s">
        <v>517</v>
      </c>
      <c r="B14" s="100"/>
      <c r="C14" s="101"/>
      <c r="D14" s="101"/>
      <c r="E14" s="101"/>
      <c r="F14" s="102"/>
      <c r="G14" s="102"/>
      <c r="H14" s="159">
        <f>H35</f>
        <v>1.3644558148159582</v>
      </c>
      <c r="I14" s="109">
        <v>9.1289009102799995E-3</v>
      </c>
      <c r="J14" s="109">
        <v>7.0693105664762649E-9</v>
      </c>
      <c r="K14" s="109">
        <v>4.1585321876760412E-10</v>
      </c>
      <c r="L14" s="152">
        <v>6.7253302134248568E-9</v>
      </c>
      <c r="M14" s="27"/>
      <c r="N14" s="18">
        <v>9.0877744466761677E-7</v>
      </c>
      <c r="O14" s="18">
        <v>4.7435495289964222E-12</v>
      </c>
      <c r="P14" s="18">
        <v>2.3717747644982111E-9</v>
      </c>
      <c r="Q14" s="28">
        <v>3.2686718906419658</v>
      </c>
      <c r="R14" s="60">
        <v>155.5670481381398</v>
      </c>
      <c r="S14" s="57">
        <v>3.2270502021026417E-7</v>
      </c>
      <c r="U14" s="127">
        <v>6.7304892588722137E-9</v>
      </c>
      <c r="V14" s="127">
        <v>6.7253302134248568E-9</v>
      </c>
      <c r="W14" s="128">
        <v>6.7200299827163833E-9</v>
      </c>
      <c r="X14" s="128">
        <f t="shared" si="0"/>
        <v>6.7252949171095779E-9</v>
      </c>
      <c r="Y14" s="139">
        <f t="shared" si="1"/>
        <v>0.68434683604962609</v>
      </c>
      <c r="AA14" s="73"/>
      <c r="AB14" s="176"/>
      <c r="AC14" s="176"/>
      <c r="AD14" s="176"/>
      <c r="AJ14" s="135"/>
    </row>
    <row r="15" spans="1:36" ht="18" x14ac:dyDescent="0.45">
      <c r="A15" s="118">
        <v>2.3E-2</v>
      </c>
      <c r="B15" s="100"/>
      <c r="C15" s="111" t="s">
        <v>636</v>
      </c>
      <c r="D15" s="111" t="s">
        <v>611</v>
      </c>
      <c r="E15" s="111" t="s">
        <v>613</v>
      </c>
      <c r="F15" s="102"/>
      <c r="G15" s="102"/>
      <c r="H15" s="120" t="s">
        <v>616</v>
      </c>
      <c r="I15" s="109">
        <v>9.2201899193900001E-3</v>
      </c>
      <c r="J15" s="109">
        <v>7.5507864268658906E-9</v>
      </c>
      <c r="K15" s="109">
        <v>4.2772129573252331E-10</v>
      </c>
      <c r="L15" s="152">
        <v>6.9499205520571482E-9</v>
      </c>
      <c r="M15" s="27"/>
      <c r="N15" s="18">
        <v>9.8899901004510068E-7</v>
      </c>
      <c r="O15" s="18">
        <v>5.1622845578112025E-12</v>
      </c>
      <c r="P15" s="18">
        <v>2.5811418825983217E-9</v>
      </c>
      <c r="Q15" s="28">
        <v>2.058955870942591</v>
      </c>
      <c r="R15" s="60">
        <v>155.5670481381398</v>
      </c>
      <c r="S15" s="57">
        <v>4.1885063149023142E-7</v>
      </c>
      <c r="U15" s="127">
        <v>6.9585450220200816E-9</v>
      </c>
      <c r="V15" s="127">
        <v>6.9499205520571482E-9</v>
      </c>
      <c r="W15" s="128">
        <v>6.9408983368805207E-9</v>
      </c>
      <c r="X15" s="128">
        <f t="shared" si="0"/>
        <v>6.9498211157537245E-9</v>
      </c>
      <c r="Y15" s="139">
        <f t="shared" si="1"/>
        <v>1.9741359677630679</v>
      </c>
      <c r="AA15" s="73"/>
      <c r="AB15" s="176"/>
      <c r="AC15" s="176"/>
      <c r="AD15" s="176"/>
      <c r="AJ15" s="135"/>
    </row>
    <row r="16" spans="1:36" x14ac:dyDescent="0.35">
      <c r="A16" s="83" t="s">
        <v>516</v>
      </c>
      <c r="B16" s="100"/>
      <c r="C16" s="157">
        <v>1.4899999999999999E-6</v>
      </c>
      <c r="D16" s="157">
        <v>5.6499999999999999E-7</v>
      </c>
      <c r="E16" s="157">
        <v>5.7300000000000002E-6</v>
      </c>
      <c r="F16" s="102"/>
      <c r="G16" s="102"/>
      <c r="H16" s="159">
        <f>H37</f>
        <v>0.33941491614281738</v>
      </c>
      <c r="I16" s="109">
        <v>9.3123918185800004E-3</v>
      </c>
      <c r="J16" s="109">
        <v>7.5301865781963514E-9</v>
      </c>
      <c r="K16" s="109">
        <v>3.2208194148608766E-10</v>
      </c>
      <c r="L16" s="152">
        <v>7.1588796910333525E-9</v>
      </c>
      <c r="M16" s="27"/>
      <c r="N16" s="18">
        <v>1.0817568570028095E-6</v>
      </c>
      <c r="O16" s="18">
        <v>5.6464572871965639E-12</v>
      </c>
      <c r="P16" s="18">
        <v>2.8232274841057576E-9</v>
      </c>
      <c r="Q16" s="28">
        <v>4.1179117418851821</v>
      </c>
      <c r="R16" s="60">
        <v>159.94204196589067</v>
      </c>
      <c r="S16" s="57">
        <v>4.1885063149023142E-7</v>
      </c>
      <c r="U16" s="127">
        <v>7.1737109005645052E-9</v>
      </c>
      <c r="V16" s="127">
        <v>7.1588796910333525E-9</v>
      </c>
      <c r="W16" s="128">
        <v>7.1430765733565607E-9</v>
      </c>
      <c r="X16" s="128">
        <f t="shared" si="0"/>
        <v>7.158636713996943E-9</v>
      </c>
      <c r="Y16" s="139">
        <f t="shared" si="1"/>
        <v>1.3307652843769135</v>
      </c>
      <c r="AA16" s="73"/>
      <c r="AB16" s="176"/>
      <c r="AC16" s="176"/>
      <c r="AD16" s="176"/>
      <c r="AJ16" s="135"/>
    </row>
    <row r="17" spans="1:36" ht="19.5" x14ac:dyDescent="0.45">
      <c r="A17" s="84">
        <v>4.25</v>
      </c>
      <c r="B17" s="103"/>
      <c r="C17" s="158" t="s">
        <v>637</v>
      </c>
      <c r="D17" s="158" t="s">
        <v>612</v>
      </c>
      <c r="E17" s="158" t="s">
        <v>614</v>
      </c>
      <c r="F17" s="104"/>
      <c r="G17" s="104"/>
      <c r="H17" s="120" t="s">
        <v>622</v>
      </c>
      <c r="I17" s="109">
        <v>9.4055157367700006E-3</v>
      </c>
      <c r="J17" s="109">
        <v>7.2872329791897868E-9</v>
      </c>
      <c r="K17" s="109">
        <v>3.0863230220491445E-10</v>
      </c>
      <c r="L17" s="152">
        <v>7.3351111646683068E-9</v>
      </c>
      <c r="M17" s="27"/>
      <c r="N17" s="18">
        <v>1.20237426551332E-6</v>
      </c>
      <c r="O17" s="18">
        <v>6.2760633699782816E-12</v>
      </c>
      <c r="P17" s="18">
        <v>3.1380270931054203E-9</v>
      </c>
      <c r="Q17" s="28">
        <v>4.1179117418851821</v>
      </c>
      <c r="R17" s="60">
        <v>159.94204196589067</v>
      </c>
      <c r="S17" s="57">
        <v>5.162008701870396E-7</v>
      </c>
      <c r="U17" s="127">
        <v>7.3610324732832443E-9</v>
      </c>
      <c r="V17" s="127">
        <v>7.3351111646683068E-9</v>
      </c>
      <c r="W17" s="128">
        <v>7.3071064801153314E-9</v>
      </c>
      <c r="X17" s="128">
        <f t="shared" si="0"/>
        <v>7.3345903206837977E-9</v>
      </c>
      <c r="Y17" s="139">
        <f t="shared" si="1"/>
        <v>2.3544630102389885E-2</v>
      </c>
      <c r="AA17" s="73"/>
      <c r="AB17" s="176"/>
      <c r="AC17" s="176"/>
      <c r="AD17" s="176"/>
      <c r="AJ17" s="135"/>
    </row>
    <row r="18" spans="1:36" x14ac:dyDescent="0.35">
      <c r="B18" s="103"/>
      <c r="C18" s="159">
        <v>207.25</v>
      </c>
      <c r="D18" s="159">
        <v>44.06</v>
      </c>
      <c r="E18" s="159">
        <v>48.06</v>
      </c>
      <c r="F18" s="104"/>
      <c r="G18" s="104"/>
      <c r="H18" s="160">
        <v>0.11818140491546143</v>
      </c>
      <c r="I18" s="109">
        <v>9.4995708941299998E-3</v>
      </c>
      <c r="J18" s="109">
        <v>8.0621045386442337E-9</v>
      </c>
      <c r="K18" s="109">
        <v>3.2639962268143556E-10</v>
      </c>
      <c r="L18" s="152">
        <v>7.4544263056914017E-9</v>
      </c>
      <c r="N18" s="18">
        <v>1.3167812535010987E-6</v>
      </c>
      <c r="O18" s="18">
        <v>6.8733026883637795E-12</v>
      </c>
      <c r="P18" s="18">
        <v>3.4366342662407803E-9</v>
      </c>
      <c r="Q18" s="28">
        <v>4.1179117418851821</v>
      </c>
      <c r="R18" s="60">
        <v>163.87228705743593</v>
      </c>
      <c r="S18" s="57">
        <v>5.162008701870396E-7</v>
      </c>
      <c r="U18" s="127">
        <v>7.4985147552015994E-9</v>
      </c>
      <c r="V18" s="127">
        <v>7.4544263056914017E-9</v>
      </c>
      <c r="W18" s="128">
        <v>7.4067483130392473E-9</v>
      </c>
      <c r="X18" s="128">
        <f t="shared" si="0"/>
        <v>7.4535289199059117E-9</v>
      </c>
      <c r="Y18" s="139">
        <f t="shared" si="1"/>
        <v>3.4764004905603976</v>
      </c>
      <c r="AA18" s="73"/>
      <c r="AB18" s="176"/>
      <c r="AC18" s="176"/>
      <c r="AD18" s="176"/>
      <c r="AJ18" s="135"/>
    </row>
    <row r="19" spans="1:36" ht="19.5" x14ac:dyDescent="0.45">
      <c r="B19" s="108"/>
      <c r="C19" s="104"/>
      <c r="D19" s="104"/>
      <c r="E19" s="104"/>
      <c r="F19" s="104"/>
      <c r="G19" s="104"/>
      <c r="H19" s="120" t="s">
        <v>619</v>
      </c>
      <c r="I19" s="109">
        <v>9.5945666030799997E-3</v>
      </c>
      <c r="J19" s="109">
        <v>7.9332141895359562E-9</v>
      </c>
      <c r="K19" s="109">
        <v>3.2312873584040428E-10</v>
      </c>
      <c r="L19" s="152">
        <v>7.5003248839696702E-9</v>
      </c>
      <c r="N19" s="18">
        <v>1.4224664445677043E-6</v>
      </c>
      <c r="O19" s="18">
        <v>7.4251823286835894E-12</v>
      </c>
      <c r="P19" s="18">
        <v>3.7125315047523022E-9</v>
      </c>
      <c r="Q19" s="28">
        <v>4.1179117418851821</v>
      </c>
      <c r="R19" s="60">
        <v>163.87228705743593</v>
      </c>
      <c r="S19" s="57">
        <v>6.1411823768292217E-7</v>
      </c>
      <c r="U19" s="127">
        <v>7.5676567597209299E-9</v>
      </c>
      <c r="V19" s="127">
        <v>7.5003248839696702E-9</v>
      </c>
      <c r="W19" s="128">
        <v>7.4289541667091222E-9</v>
      </c>
      <c r="X19" s="128">
        <f t="shared" si="0"/>
        <v>7.4993151735923493E-9</v>
      </c>
      <c r="Y19" s="139">
        <f t="shared" si="1"/>
        <v>1.8031263801846713</v>
      </c>
      <c r="AA19" s="73"/>
      <c r="AB19" s="176"/>
      <c r="AC19" s="176"/>
      <c r="AD19" s="176"/>
      <c r="AJ19" s="135"/>
    </row>
    <row r="20" spans="1:36" x14ac:dyDescent="0.35">
      <c r="B20" s="100"/>
      <c r="C20" s="100"/>
      <c r="D20" s="101"/>
      <c r="E20" s="101"/>
      <c r="F20" s="102"/>
      <c r="G20" s="102"/>
      <c r="H20" s="160">
        <v>4.2988785728206294E-3</v>
      </c>
      <c r="I20" s="109">
        <v>9.69051226911E-3</v>
      </c>
      <c r="J20" s="109">
        <v>8.2194608100218278E-9</v>
      </c>
      <c r="K20" s="109">
        <v>3.2828810479694267E-10</v>
      </c>
      <c r="L20" s="152">
        <v>7.5044604313090162E-9</v>
      </c>
      <c r="N20" s="18">
        <v>1.5175471585170417E-6</v>
      </c>
      <c r="O20" s="18">
        <v>7.9222243002232949E-12</v>
      </c>
      <c r="P20" s="18">
        <v>3.9609163497399109E-9</v>
      </c>
      <c r="Q20" s="28">
        <v>4.1179117418851821</v>
      </c>
      <c r="R20" s="60">
        <v>167.50776524107297</v>
      </c>
      <c r="S20" s="57">
        <v>6.1411823768292217E-7</v>
      </c>
      <c r="U20" s="127">
        <v>7.5871804357129952E-9</v>
      </c>
      <c r="V20" s="127">
        <v>7.5044604313090162E-9</v>
      </c>
      <c r="W20" s="128">
        <v>7.4208489460049068E-9</v>
      </c>
      <c r="X20" s="128">
        <f t="shared" si="0"/>
        <v>7.504237561083983E-9</v>
      </c>
      <c r="Y20" s="139">
        <f t="shared" si="1"/>
        <v>4.7464941802005098</v>
      </c>
      <c r="AA20" s="73"/>
      <c r="AB20" s="176"/>
      <c r="AC20" s="176"/>
      <c r="AD20" s="176"/>
      <c r="AJ20" s="135"/>
    </row>
    <row r="21" spans="1:36" s="17" customFormat="1" x14ac:dyDescent="0.35">
      <c r="A21" s="63"/>
      <c r="B21" s="104"/>
      <c r="C21" s="104"/>
      <c r="D21" s="104"/>
      <c r="E21" s="104"/>
      <c r="F21" s="104"/>
      <c r="G21" s="104"/>
      <c r="H21" s="145"/>
      <c r="I21" s="109">
        <v>9.7874173918000001E-3</v>
      </c>
      <c r="J21" s="109">
        <v>8.2813494659311689E-9</v>
      </c>
      <c r="K21" s="109">
        <v>5.0169303479746299E-10</v>
      </c>
      <c r="L21" s="152">
        <v>7.5729663219829189E-9</v>
      </c>
      <c r="M21" s="31"/>
      <c r="N21" s="18">
        <v>1.6008538261446686E-6</v>
      </c>
      <c r="O21" s="18">
        <v>8.3593047511714687E-12</v>
      </c>
      <c r="P21" s="30">
        <v>4.1790485168818657E-9</v>
      </c>
      <c r="Q21" s="65">
        <v>4.1179117418851821</v>
      </c>
      <c r="R21" s="62">
        <v>167.50776524107297</v>
      </c>
      <c r="S21" s="61">
        <v>7.122760426433831E-7</v>
      </c>
      <c r="T21" s="75"/>
      <c r="U21" s="127">
        <v>7.6426540435757042E-9</v>
      </c>
      <c r="V21" s="127">
        <v>7.5729663219829189E-9</v>
      </c>
      <c r="W21" s="128">
        <v>7.5089303761842813E-9</v>
      </c>
      <c r="X21" s="128">
        <f t="shared" si="0"/>
        <v>7.5743792659314554E-9</v>
      </c>
      <c r="Y21" s="139">
        <f t="shared" si="1"/>
        <v>1.98575686523158</v>
      </c>
      <c r="AA21" s="73"/>
      <c r="AB21" s="176"/>
      <c r="AC21" s="176"/>
      <c r="AD21" s="176"/>
      <c r="AE21" s="75"/>
      <c r="AF21" s="75"/>
      <c r="AG21" s="75"/>
      <c r="AH21" s="75"/>
      <c r="AI21" s="155"/>
      <c r="AJ21" s="135"/>
    </row>
    <row r="22" spans="1:36" x14ac:dyDescent="0.35">
      <c r="B22" s="186" t="s">
        <v>634</v>
      </c>
      <c r="C22" s="186"/>
      <c r="D22" s="186"/>
      <c r="E22" s="186"/>
      <c r="F22" s="186"/>
      <c r="G22" s="186"/>
      <c r="H22" s="186"/>
      <c r="I22" s="109">
        <v>9.8852915657199995E-3</v>
      </c>
      <c r="J22" s="109">
        <v>8.5871114997233E-9</v>
      </c>
      <c r="K22" s="109">
        <v>5.0545913822660958E-10</v>
      </c>
      <c r="L22" s="152">
        <v>7.7714272935436778E-9</v>
      </c>
      <c r="N22" s="18">
        <v>1.6719342973186547E-6</v>
      </c>
      <c r="O22" s="18">
        <v>8.7366301480382202E-12</v>
      </c>
      <c r="P22" s="18">
        <v>4.366564584376582E-9</v>
      </c>
      <c r="Q22" s="28">
        <v>4.1179117418851821</v>
      </c>
      <c r="R22" s="60">
        <v>170.94997642758082</v>
      </c>
      <c r="S22" s="57">
        <v>7.122760426433831E-7</v>
      </c>
      <c r="U22" s="127">
        <v>7.7924957460138907E-9</v>
      </c>
      <c r="V22" s="127">
        <v>7.7714272935436778E-9</v>
      </c>
      <c r="W22" s="128">
        <v>7.7600823210704304E-9</v>
      </c>
      <c r="X22" s="128">
        <f t="shared" si="0"/>
        <v>7.7738581635429196E-9</v>
      </c>
      <c r="Y22" s="139">
        <f t="shared" si="1"/>
        <v>2.5886873526877059</v>
      </c>
      <c r="AA22" s="73"/>
      <c r="AB22" s="176"/>
      <c r="AC22" s="176"/>
      <c r="AD22" s="176"/>
      <c r="AJ22" s="135"/>
    </row>
    <row r="23" spans="1:36" ht="18" x14ac:dyDescent="0.35">
      <c r="B23" s="110" t="s">
        <v>481</v>
      </c>
      <c r="C23" s="111" t="s">
        <v>590</v>
      </c>
      <c r="D23" s="112" t="s">
        <v>591</v>
      </c>
      <c r="E23" s="112" t="s">
        <v>592</v>
      </c>
      <c r="F23" s="113" t="s">
        <v>495</v>
      </c>
      <c r="G23" s="114" t="s">
        <v>496</v>
      </c>
      <c r="H23" s="115"/>
      <c r="I23" s="109">
        <v>9.9841444813699998E-3</v>
      </c>
      <c r="J23" s="109">
        <v>6.9021029924516528E-9</v>
      </c>
      <c r="K23" s="109">
        <v>4.4587909580052174E-10</v>
      </c>
      <c r="L23" s="152">
        <v>7.8704082687764496E-9</v>
      </c>
      <c r="N23" s="18">
        <v>1.7309850229037538E-6</v>
      </c>
      <c r="O23" s="18">
        <v>9.0614703958049967E-12</v>
      </c>
      <c r="P23" s="18">
        <v>4.5259641224876275E-9</v>
      </c>
      <c r="Q23" s="28">
        <v>4.1179117418851821</v>
      </c>
      <c r="R23" s="60">
        <v>170.94997642758082</v>
      </c>
      <c r="S23" s="57">
        <v>8.1051713429402929E-7</v>
      </c>
      <c r="U23" s="127">
        <v>7.8234245181246651E-9</v>
      </c>
      <c r="V23" s="127">
        <v>7.8704082687764496E-9</v>
      </c>
      <c r="W23" s="128">
        <v>7.9232656685307552E-9</v>
      </c>
      <c r="X23" s="128">
        <f t="shared" si="0"/>
        <v>7.8718766810520795E-9</v>
      </c>
      <c r="Y23" s="139">
        <f t="shared" si="1"/>
        <v>4.7304948092555135</v>
      </c>
      <c r="AA23" s="73"/>
      <c r="AB23" s="176"/>
      <c r="AC23" s="176"/>
      <c r="AD23" s="176"/>
      <c r="AJ23" s="135"/>
    </row>
    <row r="24" spans="1:36" ht="18.5" x14ac:dyDescent="0.35">
      <c r="B24" s="141" t="s">
        <v>602</v>
      </c>
      <c r="C24" s="142">
        <v>0</v>
      </c>
      <c r="D24" s="103">
        <v>0</v>
      </c>
      <c r="E24" s="103">
        <v>0</v>
      </c>
      <c r="F24" s="143">
        <v>100</v>
      </c>
      <c r="G24" s="143">
        <v>0</v>
      </c>
      <c r="H24" s="120" t="s">
        <v>618</v>
      </c>
      <c r="I24" s="109">
        <v>1.0083985926200001E-2</v>
      </c>
      <c r="J24" s="109">
        <v>7.3668985441746937E-9</v>
      </c>
      <c r="K24" s="109">
        <v>4.5686970998892927E-10</v>
      </c>
      <c r="L24" s="152">
        <v>7.403161395249445E-9</v>
      </c>
      <c r="N24" s="18">
        <v>1.7787244160602072E-6</v>
      </c>
      <c r="O24" s="18">
        <v>9.3516836839255733E-12</v>
      </c>
      <c r="P24" s="18">
        <v>4.6636110368873862E-9</v>
      </c>
      <c r="Q24" s="28">
        <v>4.1179117418851821</v>
      </c>
      <c r="R24" s="60">
        <v>174.27449459271961</v>
      </c>
      <c r="S24" s="57">
        <v>8.1051713429402929E-7</v>
      </c>
      <c r="U24" s="127">
        <v>7.2878849512816421E-9</v>
      </c>
      <c r="V24" s="127">
        <v>7.403161395249445E-9</v>
      </c>
      <c r="W24" s="128">
        <v>7.5147977439924145E-9</v>
      </c>
      <c r="X24" s="128">
        <f t="shared" si="0"/>
        <v>7.4022513714432369E-9</v>
      </c>
      <c r="Y24" s="139">
        <f t="shared" si="1"/>
        <v>5.9877487836583129E-3</v>
      </c>
      <c r="AA24" s="73"/>
      <c r="AB24" s="176"/>
      <c r="AC24" s="176"/>
      <c r="AD24" s="176"/>
      <c r="AJ24" s="135"/>
    </row>
    <row r="25" spans="1:36" x14ac:dyDescent="0.35">
      <c r="B25" s="21" t="s">
        <v>607</v>
      </c>
      <c r="C25" s="157">
        <f>C26</f>
        <v>1.6046562573069151E-6</v>
      </c>
      <c r="D25" s="19">
        <v>9.9999999999999994E-12</v>
      </c>
      <c r="E25" s="19">
        <v>5.0000000000000001E-9</v>
      </c>
      <c r="F25" s="149">
        <f>H25*H29</f>
        <v>200</v>
      </c>
      <c r="G25" s="107">
        <v>43.928417817474397</v>
      </c>
      <c r="H25" s="149">
        <v>200</v>
      </c>
      <c r="I25" s="109">
        <v>1.01848257854E-2</v>
      </c>
      <c r="J25" s="109">
        <v>5.7154674048140062E-9</v>
      </c>
      <c r="K25" s="109">
        <v>4.0027009922685639E-10</v>
      </c>
      <c r="L25" s="152">
        <v>6.3000530564294E-9</v>
      </c>
      <c r="N25" s="18">
        <v>1.8162280744001401E-6</v>
      </c>
      <c r="O25" s="18">
        <v>9.6424304415270832E-12</v>
      </c>
      <c r="P25" s="18">
        <v>4.7917134219844511E-9</v>
      </c>
      <c r="Q25" s="28">
        <v>4.1179117418851821</v>
      </c>
      <c r="R25" s="60">
        <v>174.27449459271961</v>
      </c>
      <c r="S25" s="57">
        <v>9.0877744466761677E-7</v>
      </c>
      <c r="U25" s="127">
        <v>6.1298067258988129E-9</v>
      </c>
      <c r="V25" s="127">
        <v>6.3000530564294E-9</v>
      </c>
      <c r="W25" s="128">
        <v>6.4578041766301834E-9</v>
      </c>
      <c r="X25" s="128">
        <f t="shared" si="0"/>
        <v>6.2969292538469489E-9</v>
      </c>
      <c r="Y25" s="139">
        <f t="shared" si="1"/>
        <v>2.1102609003723152</v>
      </c>
      <c r="AA25" s="73"/>
      <c r="AB25" s="176"/>
      <c r="AC25" s="176"/>
      <c r="AD25" s="176"/>
      <c r="AJ25" s="135"/>
    </row>
    <row r="26" spans="1:36" x14ac:dyDescent="0.35">
      <c r="B26" s="100" t="s">
        <v>603</v>
      </c>
      <c r="C26" s="157">
        <f>H35*(H37*D37+(1-H37)*C37)</f>
        <v>1.6046562573069151E-6</v>
      </c>
      <c r="D26" s="101">
        <v>1.5392483148537927E-10</v>
      </c>
      <c r="E26" s="101">
        <v>5.0509225500401457E-8</v>
      </c>
      <c r="F26" s="149">
        <f>(H31-H25)*H29</f>
        <v>874.52688970033137</v>
      </c>
      <c r="G26" s="149">
        <v>55.42680874121109</v>
      </c>
      <c r="H26" s="111" t="s">
        <v>599</v>
      </c>
      <c r="I26" s="109">
        <v>1.02866740433E-2</v>
      </c>
      <c r="J26" s="109">
        <v>4.9272675279434061E-9</v>
      </c>
      <c r="K26" s="109">
        <v>3.70089638055629E-10</v>
      </c>
      <c r="L26" s="152">
        <v>5.1218709479586205E-9</v>
      </c>
      <c r="N26" s="18">
        <v>1.8447462341150013E-6</v>
      </c>
      <c r="O26" s="18">
        <v>9.9974572365281619E-12</v>
      </c>
      <c r="P26" s="18">
        <v>4.9317406094971352E-9</v>
      </c>
      <c r="Q26" s="28">
        <v>4.1179117418851821</v>
      </c>
      <c r="R26" s="60">
        <v>177.54316648336157</v>
      </c>
      <c r="S26" s="57">
        <v>9.0877744466761677E-7</v>
      </c>
      <c r="U26" s="127">
        <v>4.925084825578811E-9</v>
      </c>
      <c r="V26" s="127">
        <v>5.1218709479586205E-9</v>
      </c>
      <c r="W26" s="128">
        <v>5.3012726421133695E-9</v>
      </c>
      <c r="X26" s="128">
        <f t="shared" si="0"/>
        <v>5.1175248409023556E-9</v>
      </c>
      <c r="Y26" s="139">
        <f t="shared" si="1"/>
        <v>0.26428277986052273</v>
      </c>
      <c r="AA26" s="73"/>
      <c r="AB26" s="176"/>
      <c r="AC26" s="176"/>
      <c r="AD26" s="176"/>
      <c r="AJ26" s="135"/>
    </row>
    <row r="27" spans="1:36" x14ac:dyDescent="0.35">
      <c r="B27" s="100" t="s">
        <v>604</v>
      </c>
      <c r="C27" s="148">
        <v>1.7243969448656413E-6</v>
      </c>
      <c r="D27" s="101">
        <v>1.5392483148537927E-10</v>
      </c>
      <c r="E27" s="101">
        <v>5.0509225500401457E-8</v>
      </c>
      <c r="F27" s="149">
        <v>10</v>
      </c>
      <c r="G27" s="102">
        <f>F27</f>
        <v>10</v>
      </c>
      <c r="H27" s="150">
        <v>0.02</v>
      </c>
      <c r="I27" s="109">
        <v>1.03895407837E-2</v>
      </c>
      <c r="J27" s="109">
        <v>4.2500550763896169E-9</v>
      </c>
      <c r="K27" s="109">
        <v>3.4587628065731599E-10</v>
      </c>
      <c r="L27" s="152">
        <v>4.3533208860553502E-9</v>
      </c>
      <c r="N27" s="18">
        <v>1.8655225243562163E-6</v>
      </c>
      <c r="O27" s="18">
        <v>1.0525409250685291E-11</v>
      </c>
      <c r="P27" s="18">
        <v>5.1194414359700551E-9</v>
      </c>
      <c r="Q27" s="28">
        <v>4.1179117418851821</v>
      </c>
      <c r="R27" s="60">
        <v>177.54316648336157</v>
      </c>
      <c r="S27" s="57">
        <v>9.8899901004510068E-7</v>
      </c>
      <c r="U27" s="127">
        <v>4.1622684866246259E-9</v>
      </c>
      <c r="V27" s="127">
        <v>4.3533208860553502E-9</v>
      </c>
      <c r="W27" s="128">
        <v>4.5252845252688098E-9</v>
      </c>
      <c r="X27" s="128">
        <f t="shared" si="0"/>
        <v>4.348548696001034E-9</v>
      </c>
      <c r="Y27" s="139">
        <f t="shared" si="1"/>
        <v>8.1091369591601486E-2</v>
      </c>
      <c r="AA27" s="73"/>
      <c r="AB27" s="176"/>
      <c r="AC27" s="176"/>
      <c r="AD27" s="176"/>
      <c r="AJ27" s="135"/>
    </row>
    <row r="28" spans="1:36" x14ac:dyDescent="0.35">
      <c r="B28" s="141" t="s">
        <v>504</v>
      </c>
      <c r="C28" s="151">
        <v>3.1999999999999999E-6</v>
      </c>
      <c r="D28" s="142">
        <v>2.5307649463664093E-11</v>
      </c>
      <c r="E28" s="142">
        <v>1.486857631694136E-12</v>
      </c>
      <c r="F28" s="170">
        <v>41.262845079762997</v>
      </c>
      <c r="G28" s="102">
        <v>5</v>
      </c>
      <c r="H28" s="134" t="s">
        <v>600</v>
      </c>
      <c r="I28" s="109">
        <v>1.04934361916E-2</v>
      </c>
      <c r="J28" s="109">
        <v>3.5262741529203079E-9</v>
      </c>
      <c r="K28" s="109">
        <v>3.0546264377760582E-10</v>
      </c>
      <c r="L28" s="152">
        <v>3.980377197188472E-9</v>
      </c>
      <c r="N28" s="18">
        <v>1.8796322109235305E-6</v>
      </c>
      <c r="O28" s="18">
        <v>1.1399269410010043E-11</v>
      </c>
      <c r="P28" s="18">
        <v>5.4108758413331413E-9</v>
      </c>
      <c r="Q28" s="28">
        <v>4.1179117418851821</v>
      </c>
      <c r="R28" s="60">
        <v>179.60212235430416</v>
      </c>
      <c r="S28" s="57">
        <v>9.8899901004510068E-7</v>
      </c>
      <c r="U28" s="127">
        <v>3.8147015112933138E-9</v>
      </c>
      <c r="V28" s="127">
        <v>3.980377197188472E-9</v>
      </c>
      <c r="W28" s="128">
        <v>4.1264140227490886E-9</v>
      </c>
      <c r="X28" s="128">
        <f t="shared" si="0"/>
        <v>3.9754674821048368E-9</v>
      </c>
      <c r="Y28" s="139">
        <f t="shared" si="1"/>
        <v>2.1624714561931757</v>
      </c>
      <c r="AA28" s="73"/>
      <c r="AB28" s="176"/>
      <c r="AC28" s="176"/>
      <c r="AD28" s="176"/>
      <c r="AJ28" s="135"/>
    </row>
    <row r="29" spans="1:36" x14ac:dyDescent="0.35">
      <c r="B29" s="141" t="s">
        <v>52</v>
      </c>
      <c r="C29" s="179">
        <v>2.0533014161526217E-6</v>
      </c>
      <c r="D29" s="142">
        <v>4.7498147887006942E-11</v>
      </c>
      <c r="E29" s="142">
        <v>1.9976998807213682E-12</v>
      </c>
      <c r="F29" s="143">
        <v>100</v>
      </c>
      <c r="G29" s="143">
        <v>5</v>
      </c>
      <c r="H29" s="150">
        <v>1</v>
      </c>
      <c r="I29" s="109">
        <v>1.05983705535E-2</v>
      </c>
      <c r="J29" s="109">
        <v>3.5665459065605884E-9</v>
      </c>
      <c r="K29" s="109">
        <v>3.1559222772552985E-10</v>
      </c>
      <c r="L29" s="152">
        <v>3.7942434286027432E-9</v>
      </c>
      <c r="N29" s="18">
        <v>1.8878593691443207E-6</v>
      </c>
      <c r="O29" s="18">
        <v>1.2873164105543253E-11</v>
      </c>
      <c r="P29" s="18">
        <v>5.8876455189479383E-9</v>
      </c>
      <c r="Q29" s="28">
        <v>4.1179117418851821</v>
      </c>
      <c r="R29" s="60">
        <v>179.60212235430416</v>
      </c>
      <c r="S29" s="57">
        <v>1.0817568570028095E-6</v>
      </c>
      <c r="U29" s="127">
        <v>3.6605402188266092E-9</v>
      </c>
      <c r="V29" s="127">
        <v>3.7942434286027432E-9</v>
      </c>
      <c r="W29" s="128">
        <v>3.9077503977900009E-9</v>
      </c>
      <c r="X29" s="128">
        <f t="shared" si="0"/>
        <v>3.7891943684555244E-9</v>
      </c>
      <c r="Y29" s="139">
        <f t="shared" si="1"/>
        <v>0.49772195745384512</v>
      </c>
      <c r="AA29" s="73"/>
      <c r="AB29" s="176"/>
      <c r="AC29" s="176"/>
      <c r="AD29" s="176"/>
      <c r="AJ29" s="135"/>
    </row>
    <row r="30" spans="1:36" ht="18" x14ac:dyDescent="0.45">
      <c r="B30" s="100"/>
      <c r="C30" s="142"/>
      <c r="D30" s="101"/>
      <c r="E30" s="101"/>
      <c r="F30" s="143"/>
      <c r="G30" s="102"/>
      <c r="H30" s="120" t="s">
        <v>620</v>
      </c>
      <c r="I30" s="109">
        <v>1.0704354259E-2</v>
      </c>
      <c r="J30" s="109">
        <v>3.7824848423815345E-9</v>
      </c>
      <c r="K30" s="109">
        <v>3.176867028397053E-10</v>
      </c>
      <c r="L30" s="152">
        <v>3.6610878486059124E-9</v>
      </c>
      <c r="N30" s="18">
        <v>1.8906350693921968E-6</v>
      </c>
      <c r="O30" s="18">
        <v>1.5286466214272422E-11</v>
      </c>
      <c r="P30" s="18">
        <v>6.6581407435029737E-9</v>
      </c>
      <c r="Q30" s="28">
        <v>4.1179117418851821</v>
      </c>
      <c r="R30" s="60">
        <v>183.72003409618935</v>
      </c>
      <c r="S30" s="57">
        <v>1.0817568570028095E-6</v>
      </c>
      <c r="U30" s="127">
        <v>3.5605718950556326E-9</v>
      </c>
      <c r="V30" s="127">
        <v>3.6610878486059124E-9</v>
      </c>
      <c r="W30" s="128">
        <v>3.7406114340385364E-9</v>
      </c>
      <c r="X30" s="128">
        <f t="shared" si="0"/>
        <v>3.6558397565764986E-9</v>
      </c>
      <c r="Y30" s="139">
        <f t="shared" si="1"/>
        <v>0.15892001982894211</v>
      </c>
      <c r="AA30" s="73"/>
      <c r="AB30" s="176"/>
      <c r="AC30" s="176"/>
      <c r="AD30" s="176"/>
      <c r="AJ30" s="135"/>
    </row>
    <row r="31" spans="1:36" x14ac:dyDescent="0.35">
      <c r="B31" s="100"/>
      <c r="C31" s="101"/>
      <c r="D31" s="101"/>
      <c r="E31" s="101"/>
      <c r="F31" s="102"/>
      <c r="G31" s="102"/>
      <c r="H31" s="107">
        <v>1074.5268897003314</v>
      </c>
      <c r="I31" s="109">
        <v>1.08113978016E-2</v>
      </c>
      <c r="J31" s="109">
        <v>3.2540559677974751E-9</v>
      </c>
      <c r="K31" s="109">
        <v>2.9077129520947E-10</v>
      </c>
      <c r="L31" s="152">
        <v>3.5305446147625322E-9</v>
      </c>
      <c r="N31" s="18">
        <v>1.8880585775010218E-6</v>
      </c>
      <c r="O31" s="18">
        <v>1.9042827557702142E-11</v>
      </c>
      <c r="P31" s="18">
        <v>7.8508890696999239E-9</v>
      </c>
      <c r="Q31" s="28">
        <v>4.1179117418851821</v>
      </c>
      <c r="R31" s="60">
        <v>183.72003409618935</v>
      </c>
      <c r="S31" s="57">
        <v>1.20237426551332E-6</v>
      </c>
      <c r="U31" s="127">
        <v>3.4633754207313616E-9</v>
      </c>
      <c r="V31" s="127">
        <v>3.5305446147625322E-9</v>
      </c>
      <c r="W31" s="128">
        <v>3.575806178208124E-9</v>
      </c>
      <c r="X31" s="128">
        <f t="shared" si="0"/>
        <v>3.5250677071161374E-9</v>
      </c>
      <c r="Y31" s="139">
        <f t="shared" si="1"/>
        <v>0.86870664777828188</v>
      </c>
      <c r="AA31" s="73"/>
      <c r="AB31" s="176"/>
      <c r="AC31" s="176"/>
      <c r="AD31" s="176"/>
      <c r="AJ31" s="135"/>
    </row>
    <row r="32" spans="1:36" x14ac:dyDescent="0.35">
      <c r="B32" s="100"/>
      <c r="C32" s="142"/>
      <c r="D32" s="101"/>
      <c r="E32" s="101"/>
      <c r="F32" s="143"/>
      <c r="G32" s="180"/>
      <c r="H32" s="180"/>
      <c r="I32" s="109">
        <v>1.0919511779600001E-2</v>
      </c>
      <c r="J32" s="109">
        <v>2.8113211303447615E-9</v>
      </c>
      <c r="K32" s="109">
        <v>2.6954085049025717E-10</v>
      </c>
      <c r="L32" s="152">
        <v>3.3841670388968363E-9</v>
      </c>
      <c r="N32" s="18">
        <v>1.8800145506522959E-6</v>
      </c>
      <c r="O32" s="18">
        <v>2.4554690425756367E-11</v>
      </c>
      <c r="P32" s="18">
        <v>9.5970113153639321E-9</v>
      </c>
      <c r="Q32" s="28">
        <v>4.1179117418851821</v>
      </c>
      <c r="R32" s="60">
        <v>187.83794583807455</v>
      </c>
      <c r="S32" s="57">
        <v>1.20237426551332E-6</v>
      </c>
      <c r="U32" s="127">
        <v>3.3505033023808626E-9</v>
      </c>
      <c r="V32" s="127">
        <v>3.3841670388968363E-9</v>
      </c>
      <c r="W32" s="128">
        <v>3.3950625492514256E-9</v>
      </c>
      <c r="X32" s="128">
        <f t="shared" si="0"/>
        <v>3.3784749823564904E-9</v>
      </c>
      <c r="Y32" s="139">
        <f t="shared" si="1"/>
        <v>4.4274389703751202</v>
      </c>
      <c r="AA32" s="73"/>
      <c r="AB32" s="176"/>
      <c r="AC32" s="176"/>
      <c r="AD32" s="176"/>
      <c r="AJ32" s="135"/>
    </row>
    <row r="33" spans="2:36" x14ac:dyDescent="0.35">
      <c r="B33" s="100"/>
      <c r="C33" s="101"/>
      <c r="D33" s="101"/>
      <c r="E33" s="101"/>
      <c r="F33" s="102"/>
      <c r="G33" s="101"/>
      <c r="H33" s="101"/>
      <c r="I33" s="109">
        <v>1.1028706897400001E-2</v>
      </c>
      <c r="J33" s="109">
        <v>3.2326817141884572E-9</v>
      </c>
      <c r="K33" s="109">
        <v>2.9572400469230494E-10</v>
      </c>
      <c r="L33" s="152">
        <v>3.2163625804601781E-9</v>
      </c>
      <c r="N33" s="18">
        <v>1.8663770031061707E-6</v>
      </c>
      <c r="O33" s="18">
        <v>3.2153978532369806E-11</v>
      </c>
      <c r="P33" s="18">
        <v>1.2001998914897736E-8</v>
      </c>
      <c r="Q33" s="28">
        <v>4.1179117418851821</v>
      </c>
      <c r="R33" s="60">
        <v>187.83794583807455</v>
      </c>
      <c r="S33" s="57">
        <v>1.3167812535010987E-6</v>
      </c>
      <c r="U33" s="127">
        <v>3.2161871773245258E-9</v>
      </c>
      <c r="V33" s="127">
        <v>3.2163625804601781E-9</v>
      </c>
      <c r="W33" s="128">
        <v>3.1931418957345921E-9</v>
      </c>
      <c r="X33" s="128">
        <f t="shared" si="0"/>
        <v>3.2105135584948684E-9</v>
      </c>
      <c r="Y33" s="139">
        <f t="shared" si="1"/>
        <v>5.6193485184635929E-3</v>
      </c>
      <c r="AA33" s="73"/>
      <c r="AB33" s="176"/>
      <c r="AC33" s="176"/>
      <c r="AD33" s="176"/>
      <c r="AJ33" s="135"/>
    </row>
    <row r="34" spans="2:36" ht="18.5" x14ac:dyDescent="0.35">
      <c r="B34" s="100"/>
      <c r="C34" s="101"/>
      <c r="D34" s="101"/>
      <c r="E34" s="101"/>
      <c r="F34" s="143"/>
      <c r="G34" s="143"/>
      <c r="H34" s="120" t="s">
        <v>615</v>
      </c>
      <c r="I34" s="109">
        <v>1.11389939664E-2</v>
      </c>
      <c r="J34" s="109">
        <v>3.0514295050472571E-9</v>
      </c>
      <c r="K34" s="109">
        <v>2.8267667167842272E-10</v>
      </c>
      <c r="L34" s="152">
        <v>3.0254097710700952E-9</v>
      </c>
      <c r="N34" s="18">
        <v>1.8472583628885723E-6</v>
      </c>
      <c r="O34" s="18">
        <v>4.1985453161822636E-11</v>
      </c>
      <c r="P34" s="18">
        <v>1.5112018502251156E-8</v>
      </c>
      <c r="Q34" s="28">
        <v>4.1179117418851821</v>
      </c>
      <c r="R34" s="60">
        <v>191.95585757995974</v>
      </c>
      <c r="S34" s="57">
        <v>1.3167812535010987E-6</v>
      </c>
      <c r="U34" s="127">
        <v>3.0583373634873652E-9</v>
      </c>
      <c r="V34" s="127">
        <v>3.0254097710700952E-9</v>
      </c>
      <c r="W34" s="128">
        <v>2.9688742911649584E-9</v>
      </c>
      <c r="X34" s="128">
        <f t="shared" si="0"/>
        <v>3.0195077991981284E-9</v>
      </c>
      <c r="Y34" s="139">
        <f t="shared" si="1"/>
        <v>1.2752409331063592E-2</v>
      </c>
      <c r="AA34" s="73"/>
      <c r="AB34" s="176"/>
      <c r="AC34" s="176"/>
      <c r="AD34" s="176"/>
      <c r="AJ34" s="135"/>
    </row>
    <row r="35" spans="2:36" x14ac:dyDescent="0.35">
      <c r="B35" s="100"/>
      <c r="C35" s="101"/>
      <c r="D35" s="101"/>
      <c r="E35" s="101"/>
      <c r="F35" s="102"/>
      <c r="G35" s="102"/>
      <c r="H35" s="160">
        <v>1.3644558148159582</v>
      </c>
      <c r="I35" s="109">
        <v>1.12503839061E-2</v>
      </c>
      <c r="J35" s="109">
        <v>2.7888462585704762E-9</v>
      </c>
      <c r="K35" s="109">
        <v>2.6434462953312544E-10</v>
      </c>
      <c r="L35" s="152">
        <v>2.8119987444311594E-9</v>
      </c>
      <c r="N35" s="18">
        <v>1.823231786173234E-6</v>
      </c>
      <c r="O35" s="18">
        <v>5.3914352223686804E-11</v>
      </c>
      <c r="P35" s="18">
        <v>1.888473562895841E-8</v>
      </c>
      <c r="Q35" s="28">
        <v>4.1179117418851821</v>
      </c>
      <c r="R35" s="60">
        <v>191.95585757995974</v>
      </c>
      <c r="S35" s="57">
        <v>1.4224664445677043E-6</v>
      </c>
      <c r="U35" s="127">
        <v>2.8770524322651704E-9</v>
      </c>
      <c r="V35" s="127">
        <v>2.8119987444311594E-9</v>
      </c>
      <c r="W35" s="128">
        <v>2.7237281288446555E-9</v>
      </c>
      <c r="X35" s="128">
        <f t="shared" si="0"/>
        <v>2.8061945124930362E-9</v>
      </c>
      <c r="Y35" s="139">
        <f t="shared" si="1"/>
        <v>4.3069572108834168E-3</v>
      </c>
      <c r="AA35" s="73"/>
      <c r="AB35" s="176"/>
      <c r="AC35" s="176"/>
      <c r="AD35" s="176"/>
      <c r="AJ35" s="135"/>
    </row>
    <row r="36" spans="2:36" ht="18" x14ac:dyDescent="0.45">
      <c r="B36" s="100"/>
      <c r="C36" s="111" t="s">
        <v>636</v>
      </c>
      <c r="D36" s="111" t="s">
        <v>611</v>
      </c>
      <c r="E36" s="111" t="s">
        <v>613</v>
      </c>
      <c r="F36" s="102"/>
      <c r="G36" s="102"/>
      <c r="H36" s="120" t="s">
        <v>616</v>
      </c>
      <c r="I36" s="109">
        <v>1.1362887745099999E-2</v>
      </c>
      <c r="J36" s="109">
        <v>2.6559032696472668E-9</v>
      </c>
      <c r="K36" s="109">
        <v>2.6398161645396319E-10</v>
      </c>
      <c r="L36" s="152">
        <v>2.5785225783658197E-9</v>
      </c>
      <c r="N36" s="18">
        <v>1.7954450462930638E-6</v>
      </c>
      <c r="O36" s="18">
        <v>6.7485502940592237E-11</v>
      </c>
      <c r="P36" s="18">
        <v>2.3176413385800851E-8</v>
      </c>
      <c r="Q36" s="28">
        <v>4.1179117418851821</v>
      </c>
      <c r="R36" s="60">
        <v>196.07376932184494</v>
      </c>
      <c r="S36" s="57">
        <v>1.4224664445677043E-6</v>
      </c>
      <c r="U36" s="127">
        <v>2.673943198873532E-9</v>
      </c>
      <c r="V36" s="127">
        <v>2.5785225783658197E-9</v>
      </c>
      <c r="W36" s="128">
        <v>2.4610579916396078E-9</v>
      </c>
      <c r="X36" s="128">
        <f t="shared" si="0"/>
        <v>2.573011586811195E-9</v>
      </c>
      <c r="Y36" s="139">
        <f t="shared" si="1"/>
        <v>9.8599462048979125E-2</v>
      </c>
      <c r="AA36" s="73"/>
      <c r="AB36" s="176"/>
      <c r="AC36" s="176"/>
      <c r="AD36" s="176"/>
      <c r="AJ36" s="135"/>
    </row>
    <row r="37" spans="2:36" x14ac:dyDescent="0.35">
      <c r="B37" s="100"/>
      <c r="C37" s="157">
        <v>1.4899999999999999E-6</v>
      </c>
      <c r="D37" s="157">
        <v>5.6499999999999999E-7</v>
      </c>
      <c r="E37" s="157">
        <v>5.7300000000000002E-6</v>
      </c>
      <c r="F37" s="102"/>
      <c r="G37" s="102"/>
      <c r="H37" s="160">
        <v>0.33941491614281738</v>
      </c>
      <c r="I37" s="109">
        <v>1.14765166226E-2</v>
      </c>
      <c r="J37" s="109">
        <v>2.314883742937726E-9</v>
      </c>
      <c r="K37" s="109">
        <v>1.4021316777731845E-10</v>
      </c>
      <c r="L37" s="152">
        <v>2.3287342371522537E-9</v>
      </c>
      <c r="N37" s="18">
        <v>1.773127592785897E-6</v>
      </c>
      <c r="O37" s="18">
        <v>7.8305237529122825E-11</v>
      </c>
      <c r="P37" s="18">
        <v>2.659784023373082E-8</v>
      </c>
      <c r="Q37" s="28">
        <v>2.058955870942591</v>
      </c>
      <c r="R37" s="60">
        <v>196.07376932184494</v>
      </c>
      <c r="S37" s="57">
        <v>1.5175471585170417E-6</v>
      </c>
      <c r="U37" s="127">
        <v>2.451833929689979E-9</v>
      </c>
      <c r="V37" s="127">
        <v>2.3287342371522537E-9</v>
      </c>
      <c r="W37" s="128">
        <v>2.1857000130853451E-9</v>
      </c>
      <c r="X37" s="128">
        <f t="shared" si="0"/>
        <v>2.3237506042699578E-9</v>
      </c>
      <c r="Y37" s="139">
        <f t="shared" si="1"/>
        <v>3.9990996933631038E-3</v>
      </c>
      <c r="AA37" s="73"/>
      <c r="AB37" s="176"/>
      <c r="AC37" s="176"/>
      <c r="AD37" s="176"/>
      <c r="AJ37" s="135"/>
    </row>
    <row r="38" spans="2:36" ht="19.5" x14ac:dyDescent="0.45">
      <c r="B38" s="103"/>
      <c r="C38" s="158" t="s">
        <v>637</v>
      </c>
      <c r="D38" s="158" t="s">
        <v>612</v>
      </c>
      <c r="E38" s="158" t="s">
        <v>614</v>
      </c>
      <c r="F38" s="104"/>
      <c r="G38" s="104"/>
      <c r="H38" s="144"/>
      <c r="I38" s="109">
        <v>1.1591281788799999E-2</v>
      </c>
      <c r="J38" s="109">
        <v>2.0155055769866757E-9</v>
      </c>
      <c r="K38" s="109">
        <v>1.3309212069646388E-10</v>
      </c>
      <c r="L38" s="152">
        <v>2.0675166635890481E-9</v>
      </c>
      <c r="N38" s="18">
        <v>1.7579494639124071E-6</v>
      </c>
      <c r="O38" s="18">
        <v>8.5640847836394001E-11</v>
      </c>
      <c r="P38" s="18">
        <v>2.8917469121532976E-8</v>
      </c>
      <c r="Q38" s="28">
        <v>2.0878331240583945</v>
      </c>
      <c r="R38" s="60">
        <v>200.19168106373013</v>
      </c>
      <c r="S38" s="57">
        <v>1.5175471585170417E-6</v>
      </c>
      <c r="U38" s="127">
        <v>2.2145902410842226E-9</v>
      </c>
      <c r="V38" s="127">
        <v>2.0675166635890481E-9</v>
      </c>
      <c r="W38" s="128">
        <v>1.9036630232732726E-9</v>
      </c>
      <c r="X38" s="128">
        <f t="shared" si="0"/>
        <v>2.0633216478838978E-9</v>
      </c>
      <c r="Y38" s="139">
        <f t="shared" si="1"/>
        <v>0.12907528217455999</v>
      </c>
      <c r="AA38" s="73"/>
      <c r="AB38" s="176"/>
      <c r="AC38" s="176"/>
      <c r="AD38" s="176"/>
      <c r="AJ38" s="135"/>
    </row>
    <row r="39" spans="2:36" x14ac:dyDescent="0.35">
      <c r="B39" s="103"/>
      <c r="C39" s="159">
        <v>207.25</v>
      </c>
      <c r="D39" s="159">
        <v>44.06</v>
      </c>
      <c r="E39" s="159">
        <v>48.06</v>
      </c>
      <c r="F39" s="104"/>
      <c r="G39" s="104"/>
      <c r="H39" s="108"/>
      <c r="I39" s="109">
        <v>1.17071946067E-2</v>
      </c>
      <c r="J39" s="109">
        <v>1.6819604610259319E-9</v>
      </c>
      <c r="K39" s="109">
        <v>1.213155883923142E-10</v>
      </c>
      <c r="L39" s="152">
        <v>1.8006650490490765E-9</v>
      </c>
      <c r="N39" s="18">
        <v>1.7426438278579509E-6</v>
      </c>
      <c r="O39" s="18">
        <v>9.3025301250038187E-11</v>
      </c>
      <c r="P39" s="18">
        <v>3.1252517826230523E-8</v>
      </c>
      <c r="Q39" s="28">
        <v>2.1235044014611644</v>
      </c>
      <c r="R39" s="60">
        <v>200.19168106373013</v>
      </c>
      <c r="S39" s="57">
        <v>1.6008538261446686E-6</v>
      </c>
      <c r="U39" s="127">
        <v>1.9669728373846172E-9</v>
      </c>
      <c r="V39" s="127">
        <v>1.8006650490490765E-9</v>
      </c>
      <c r="W39" s="128">
        <v>1.6218176681980543E-9</v>
      </c>
      <c r="X39" s="128">
        <f t="shared" si="0"/>
        <v>1.7975301509202063E-9</v>
      </c>
      <c r="Y39" s="139">
        <f t="shared" si="1"/>
        <v>0.90751680954994296</v>
      </c>
      <c r="AA39" s="73"/>
      <c r="AB39" s="176"/>
      <c r="AC39" s="176"/>
      <c r="AD39" s="176"/>
      <c r="AJ39" s="135"/>
    </row>
    <row r="40" spans="2:36" x14ac:dyDescent="0.35">
      <c r="B40" s="141"/>
      <c r="C40" s="142"/>
      <c r="D40" s="142"/>
      <c r="E40" s="142"/>
      <c r="F40" s="143"/>
      <c r="G40" s="143"/>
      <c r="H40" s="102"/>
      <c r="I40" s="109">
        <v>1.18242665528E-2</v>
      </c>
      <c r="J40" s="109">
        <v>1.4446847642660659E-9</v>
      </c>
      <c r="K40" s="109">
        <v>1.0969029177288367E-10</v>
      </c>
      <c r="L40" s="152">
        <v>1.5346393557888668E-9</v>
      </c>
      <c r="N40" s="18">
        <v>1.7273225094412626E-6</v>
      </c>
      <c r="O40" s="18">
        <v>1.0040789624226294E-10</v>
      </c>
      <c r="P40" s="18">
        <v>3.3586960337706804E-8</v>
      </c>
      <c r="Q40" s="28">
        <v>2.198679701003559</v>
      </c>
      <c r="R40" s="60">
        <v>204.30959280561532</v>
      </c>
      <c r="S40" s="57">
        <v>1.6008538261446686E-6</v>
      </c>
      <c r="U40" s="127">
        <v>1.7144721163524502E-9</v>
      </c>
      <c r="V40" s="127">
        <v>1.5346393557888668E-9</v>
      </c>
      <c r="W40" s="128">
        <v>1.3475485340425822E-9</v>
      </c>
      <c r="X40" s="128">
        <f t="shared" si="0"/>
        <v>1.5328248404931915E-9</v>
      </c>
      <c r="Y40" s="139">
        <f t="shared" si="1"/>
        <v>0.64566978005272935</v>
      </c>
      <c r="AA40" s="73"/>
      <c r="AB40" s="176"/>
      <c r="AC40" s="176"/>
      <c r="AD40" s="176"/>
      <c r="AJ40" s="135"/>
    </row>
    <row r="41" spans="2:36" x14ac:dyDescent="0.35">
      <c r="B41" s="141"/>
      <c r="C41" s="142"/>
      <c r="D41" s="142"/>
      <c r="E41" s="142"/>
      <c r="F41" s="143"/>
      <c r="G41" s="143"/>
      <c r="H41" s="147"/>
      <c r="I41" s="109">
        <v>1.19425092183E-2</v>
      </c>
      <c r="J41" s="109">
        <v>1.0394245502495981E-9</v>
      </c>
      <c r="K41" s="109">
        <v>1.1361834209256383E-10</v>
      </c>
      <c r="L41" s="152">
        <v>1.2762747715127402E-9</v>
      </c>
      <c r="N41" s="18">
        <v>1.712000315161193E-6</v>
      </c>
      <c r="O41" s="18">
        <v>1.0778386790608637E-10</v>
      </c>
      <c r="P41" s="18">
        <v>3.5919294617000133E-8</v>
      </c>
      <c r="Q41" s="28">
        <v>2.3221271597554964</v>
      </c>
      <c r="R41" s="60">
        <v>204.30959280561532</v>
      </c>
      <c r="S41" s="57">
        <v>1.6719342973186547E-6</v>
      </c>
      <c r="U41" s="127">
        <v>1.4631051562437313E-9</v>
      </c>
      <c r="V41" s="127">
        <v>1.2762747715127402E-9</v>
      </c>
      <c r="W41" s="128">
        <v>1.0883671401254431E-9</v>
      </c>
      <c r="X41" s="128">
        <f t="shared" si="0"/>
        <v>1.2760054598486636E-9</v>
      </c>
      <c r="Y41" s="139">
        <f t="shared" si="1"/>
        <v>4.3357326894167381</v>
      </c>
      <c r="AA41" s="73"/>
      <c r="AB41" s="176"/>
      <c r="AC41" s="176"/>
      <c r="AD41" s="176"/>
      <c r="AJ41" s="135"/>
    </row>
    <row r="42" spans="2:36" x14ac:dyDescent="0.35">
      <c r="B42" s="103"/>
      <c r="C42" s="104"/>
      <c r="D42" s="104"/>
      <c r="E42" s="104"/>
      <c r="F42" s="104"/>
      <c r="G42" s="104"/>
      <c r="H42" s="146"/>
      <c r="I42" s="109">
        <v>1.2061934310500001E-2</v>
      </c>
      <c r="J42" s="109">
        <v>9.3408355257392616E-10</v>
      </c>
      <c r="K42" s="109">
        <v>1.0824165385161662E-10</v>
      </c>
      <c r="L42" s="152">
        <v>1.0324559556761213E-9</v>
      </c>
      <c r="N42" s="18">
        <v>1.6967052295126106E-6</v>
      </c>
      <c r="O42" s="18">
        <v>1.1514144903443918E-10</v>
      </c>
      <c r="P42" s="18">
        <v>3.824580315018463E-8</v>
      </c>
      <c r="Q42" s="28">
        <v>2.5104067224638178</v>
      </c>
      <c r="R42" s="60">
        <v>208.42750454750052</v>
      </c>
      <c r="S42" s="57">
        <v>1.6719342973186547E-6</v>
      </c>
      <c r="U42" s="127">
        <v>1.2191724213166373E-9</v>
      </c>
      <c r="V42" s="127">
        <v>1.0324559556761213E-9</v>
      </c>
      <c r="W42" s="128">
        <v>8.5150346472616448E-10</v>
      </c>
      <c r="X42" s="128">
        <f t="shared" si="0"/>
        <v>1.0338969493487611E-9</v>
      </c>
      <c r="Y42" s="139">
        <f t="shared" si="1"/>
        <v>0.85033260553550272</v>
      </c>
      <c r="AA42" s="73"/>
      <c r="AB42" s="176"/>
      <c r="AC42" s="176"/>
      <c r="AD42" s="176"/>
      <c r="AJ42" s="135"/>
    </row>
    <row r="43" spans="2:36" x14ac:dyDescent="0.35">
      <c r="B43" s="103"/>
      <c r="C43" s="104"/>
      <c r="D43" s="104"/>
      <c r="E43" s="104"/>
      <c r="F43" s="104"/>
      <c r="G43" s="104"/>
      <c r="H43" s="121"/>
      <c r="I43" s="109">
        <v>1.2182553653599999E-2</v>
      </c>
      <c r="J43" s="109">
        <v>6.3681070633382153E-10</v>
      </c>
      <c r="K43" s="109">
        <v>8.9824603602353188E-11</v>
      </c>
      <c r="L43" s="152">
        <v>8.097729520429229E-10</v>
      </c>
      <c r="N43" s="18">
        <v>1.681490837500083E-6</v>
      </c>
      <c r="O43" s="18">
        <v>1.2245612843628563E-10</v>
      </c>
      <c r="P43" s="18">
        <v>4.0558737857432942E-8</v>
      </c>
      <c r="Q43" s="28">
        <v>2.7944857534585119</v>
      </c>
      <c r="R43" s="60">
        <v>208.42750454750052</v>
      </c>
      <c r="S43" s="57">
        <v>1.7309850229037538E-6</v>
      </c>
      <c r="U43" s="127">
        <v>9.8898253997013999E-10</v>
      </c>
      <c r="V43" s="127">
        <v>8.097729520429229E-10</v>
      </c>
      <c r="W43" s="128">
        <v>6.4350506271189448E-10</v>
      </c>
      <c r="X43" s="128">
        <f t="shared" si="0"/>
        <v>8.1300837669197009E-10</v>
      </c>
      <c r="Y43" s="139">
        <f t="shared" si="1"/>
        <v>3.8477753252665123</v>
      </c>
      <c r="AA43" s="73"/>
      <c r="AB43" s="176"/>
      <c r="AC43" s="176"/>
      <c r="AD43" s="176"/>
      <c r="AJ43" s="135"/>
    </row>
    <row r="44" spans="2:36" x14ac:dyDescent="0.35">
      <c r="B44" s="103"/>
      <c r="C44" s="104"/>
      <c r="D44" s="104"/>
      <c r="E44" s="104"/>
      <c r="F44" s="104"/>
      <c r="G44" s="104"/>
      <c r="H44" s="108"/>
      <c r="I44" s="109">
        <v>1.2304379190100001E-2</v>
      </c>
      <c r="J44" s="109">
        <v>4.0190186678053699E-10</v>
      </c>
      <c r="K44" s="109">
        <v>7.6585780447958857E-11</v>
      </c>
      <c r="L44" s="152">
        <v>6.154983169204754E-10</v>
      </c>
      <c r="N44" s="18">
        <v>1.6664587252655242E-6</v>
      </c>
      <c r="O44" s="18">
        <v>1.2968003992436225E-10</v>
      </c>
      <c r="P44" s="18">
        <v>4.2842965156069937E-8</v>
      </c>
      <c r="Q44" s="28">
        <v>3.236210522923582</v>
      </c>
      <c r="R44" s="60">
        <v>212.54541628938571</v>
      </c>
      <c r="S44" s="57">
        <v>1.7309850229037538E-6</v>
      </c>
      <c r="U44" s="127">
        <v>7.8021816709459493E-10</v>
      </c>
      <c r="V44" s="127">
        <v>6.154983169204754E-10</v>
      </c>
      <c r="W44" s="128">
        <v>4.7080738368816567E-10</v>
      </c>
      <c r="X44" s="128">
        <f t="shared" si="0"/>
        <v>6.205055461559279E-10</v>
      </c>
      <c r="Y44" s="139">
        <f t="shared" si="1"/>
        <v>8.1473927079674677</v>
      </c>
      <c r="AA44" s="73"/>
      <c r="AB44" s="176"/>
      <c r="AC44" s="176"/>
      <c r="AD44" s="176"/>
      <c r="AJ44" s="135"/>
    </row>
    <row r="45" spans="2:36" x14ac:dyDescent="0.35">
      <c r="B45" s="116"/>
      <c r="C45" s="116"/>
      <c r="D45" s="116"/>
      <c r="E45" s="116"/>
      <c r="F45" s="116"/>
      <c r="G45" s="104"/>
      <c r="H45" s="116"/>
      <c r="I45" s="109">
        <v>1.2427422981999999E-2</v>
      </c>
      <c r="J45" s="109">
        <v>3.1915259003255135E-10</v>
      </c>
      <c r="K45" s="109">
        <v>7.3180710361517137E-11</v>
      </c>
      <c r="L45" s="152">
        <v>4.5863609990101898E-10</v>
      </c>
      <c r="N45" s="18">
        <v>1.6518034200960911E-6</v>
      </c>
      <c r="O45" s="18">
        <v>1.3672048440355279E-10</v>
      </c>
      <c r="P45" s="18">
        <v>4.5069174800579649E-8</v>
      </c>
      <c r="Q45" s="28">
        <v>3.9767325680724235</v>
      </c>
      <c r="R45" s="60">
        <v>212.54541628938571</v>
      </c>
      <c r="S45" s="57">
        <v>1.7787244160602072E-6</v>
      </c>
      <c r="U45" s="127">
        <v>6.0395418267027724E-10</v>
      </c>
      <c r="V45" s="127">
        <v>4.5863609990101898E-10</v>
      </c>
      <c r="W45" s="128">
        <v>3.3980115667298016E-10</v>
      </c>
      <c r="X45" s="128">
        <f t="shared" si="0"/>
        <v>4.6525688478632382E-10</v>
      </c>
      <c r="Y45" s="139">
        <f t="shared" si="1"/>
        <v>3.9859580422163075</v>
      </c>
      <c r="AA45" s="73"/>
      <c r="AB45" s="176"/>
      <c r="AC45" s="176"/>
      <c r="AD45" s="176"/>
      <c r="AJ45" s="135"/>
    </row>
    <row r="46" spans="2:36" x14ac:dyDescent="0.35">
      <c r="B46" s="108"/>
      <c r="C46" s="108"/>
      <c r="D46" s="108"/>
      <c r="E46" s="108"/>
      <c r="F46" s="108"/>
      <c r="G46" s="104"/>
      <c r="H46" s="108"/>
      <c r="I46" s="109">
        <v>1.25516972118E-2</v>
      </c>
      <c r="J46" s="109">
        <v>1.9213423960532236E-10</v>
      </c>
      <c r="K46" s="109">
        <v>6.1388054780615677E-11</v>
      </c>
      <c r="L46" s="152">
        <v>3.4835804678598174E-10</v>
      </c>
      <c r="N46" s="18">
        <v>1.6379134498640481E-6</v>
      </c>
      <c r="O46" s="18">
        <v>1.4339148577674633E-10</v>
      </c>
      <c r="P46" s="18">
        <v>4.7178561922496202E-8</v>
      </c>
      <c r="Q46" s="28">
        <v>5.4277352866504369</v>
      </c>
      <c r="R46" s="60">
        <v>216.66332803127091</v>
      </c>
      <c r="S46" s="57">
        <v>1.7787244160602072E-6</v>
      </c>
      <c r="U46" s="127">
        <v>4.742380207069624E-10</v>
      </c>
      <c r="V46" s="127">
        <v>3.4835804678598174E-10</v>
      </c>
      <c r="W46" s="128">
        <v>2.5422359935072085E-10</v>
      </c>
      <c r="X46" s="128">
        <f t="shared" si="0"/>
        <v>3.5629442840741164E-10</v>
      </c>
      <c r="Y46" s="139">
        <f t="shared" si="1"/>
        <v>7.1510191629824993</v>
      </c>
      <c r="AA46" s="73"/>
      <c r="AB46" s="176"/>
      <c r="AC46" s="176"/>
      <c r="AD46" s="176"/>
      <c r="AJ46" s="135"/>
    </row>
    <row r="47" spans="2:36" x14ac:dyDescent="0.35">
      <c r="B47" s="116"/>
      <c r="C47" s="116"/>
      <c r="D47" s="116"/>
      <c r="E47" s="116"/>
      <c r="F47" s="116"/>
      <c r="G47" s="102"/>
      <c r="H47" s="116"/>
      <c r="I47" s="109">
        <v>1.26772141839E-2</v>
      </c>
      <c r="J47" s="109">
        <v>1.5883875914861743E-10</v>
      </c>
      <c r="K47" s="109">
        <v>5.6210636830120753E-11</v>
      </c>
      <c r="L47" s="152">
        <v>2.830210602485978E-10</v>
      </c>
      <c r="N47" s="18">
        <v>1.6256360678990014E-6</v>
      </c>
      <c r="O47" s="18">
        <v>1.4928677677710665E-10</v>
      </c>
      <c r="P47" s="18">
        <v>4.9042665086603011E-8</v>
      </c>
      <c r="Q47" s="28">
        <v>9.7537123714287848</v>
      </c>
      <c r="R47" s="60">
        <v>216.66332803127091</v>
      </c>
      <c r="S47" s="57">
        <v>1.8162280744001401E-6</v>
      </c>
      <c r="U47" s="127">
        <v>3.9363536512507858E-10</v>
      </c>
      <c r="V47" s="127">
        <v>2.830210602485978E-10</v>
      </c>
      <c r="W47" s="128">
        <v>2.0807398000385806E-10</v>
      </c>
      <c r="X47" s="128">
        <f t="shared" si="0"/>
        <v>2.9193786640653303E-10</v>
      </c>
      <c r="Y47" s="139">
        <f t="shared" si="1"/>
        <v>5.6067768803078533</v>
      </c>
      <c r="AA47" s="73"/>
      <c r="AB47" s="176"/>
      <c r="AC47" s="176"/>
      <c r="AD47" s="176"/>
      <c r="AJ47" s="135"/>
    </row>
    <row r="48" spans="2:36" x14ac:dyDescent="0.35">
      <c r="B48" s="101"/>
      <c r="C48" s="101"/>
      <c r="D48" s="101"/>
      <c r="E48" s="101"/>
      <c r="F48" s="101"/>
      <c r="G48" s="102"/>
      <c r="H48" s="108"/>
      <c r="I48" s="109">
        <v>1.31919599154E-2</v>
      </c>
      <c r="J48" s="109">
        <v>1.7708382571009806E-10</v>
      </c>
      <c r="K48" s="109">
        <v>5.7823434839897066E-11</v>
      </c>
      <c r="L48" s="152">
        <v>3.0983374866576973E-10</v>
      </c>
      <c r="N48" s="18">
        <v>1.6171477193448048E-6</v>
      </c>
      <c r="O48" s="18">
        <v>1.5336177810271237E-10</v>
      </c>
      <c r="P48" s="18">
        <v>5.0331187143355806E-8</v>
      </c>
      <c r="Q48" s="28">
        <v>13.098533469198143</v>
      </c>
      <c r="R48" s="60">
        <v>220.7812397731561</v>
      </c>
      <c r="S48" s="57">
        <v>1.8162280744001401E-6</v>
      </c>
      <c r="U48" s="127">
        <v>2.1254122726903841E-10</v>
      </c>
      <c r="V48" s="127">
        <v>3.0983374866576973E-10</v>
      </c>
      <c r="W48" s="128">
        <v>4.4262643795130716E-10</v>
      </c>
      <c r="X48" s="128">
        <f t="shared" si="0"/>
        <v>3.1870879063797123E-10</v>
      </c>
      <c r="Y48" s="139">
        <f t="shared" si="1"/>
        <v>5.9989032586017794</v>
      </c>
      <c r="AA48" s="73"/>
      <c r="AB48" s="176"/>
      <c r="AC48" s="176"/>
      <c r="AD48" s="176"/>
      <c r="AJ48" s="135"/>
    </row>
    <row r="49" spans="2:36" x14ac:dyDescent="0.35">
      <c r="B49" s="144"/>
      <c r="C49" s="144"/>
      <c r="D49" s="144"/>
      <c r="E49" s="144"/>
      <c r="F49" s="104"/>
      <c r="G49" s="104"/>
      <c r="H49" s="116"/>
      <c r="I49" s="109">
        <v>1.33238795146E-2</v>
      </c>
      <c r="J49" s="109">
        <v>3.7965510921731818E-10</v>
      </c>
      <c r="K49" s="109">
        <v>6.8980519695386442E-11</v>
      </c>
      <c r="L49" s="152">
        <v>3.7783682884480945E-10</v>
      </c>
      <c r="N49" s="18">
        <v>1.61597482064069E-6</v>
      </c>
      <c r="O49" s="18">
        <v>1.5392483148537927E-10</v>
      </c>
      <c r="P49" s="18">
        <v>5.0509225500401457E-8</v>
      </c>
      <c r="Q49" s="28">
        <v>931.27154510256094</v>
      </c>
      <c r="R49" s="60">
        <v>220.7812397731561</v>
      </c>
      <c r="S49" s="57">
        <v>1.8447462341150013E-6</v>
      </c>
      <c r="U49" s="127">
        <v>2.6068738577331512E-10</v>
      </c>
      <c r="V49" s="127">
        <v>3.7783682884480945E-10</v>
      </c>
      <c r="W49" s="128">
        <v>5.2823494935042796E-10</v>
      </c>
      <c r="X49" s="128">
        <f t="shared" si="0"/>
        <v>3.8614899820334049E-10</v>
      </c>
      <c r="Y49" s="139">
        <f t="shared" si="1"/>
        <v>8.8625111802608167E-3</v>
      </c>
      <c r="AA49" s="73"/>
      <c r="AB49" s="176"/>
      <c r="AC49" s="176"/>
      <c r="AD49" s="176"/>
      <c r="AJ49" s="135"/>
    </row>
    <row r="50" spans="2:36" x14ac:dyDescent="0.35">
      <c r="B50" s="146"/>
      <c r="C50" s="146"/>
      <c r="D50" s="146"/>
      <c r="E50" s="146"/>
      <c r="F50" s="102"/>
      <c r="G50" s="102"/>
      <c r="H50" s="101"/>
      <c r="I50" s="109">
        <v>1.3457118309700001E-2</v>
      </c>
      <c r="J50" s="109">
        <v>3.9024944607858823E-10</v>
      </c>
      <c r="K50" s="109">
        <v>6.9468859227116655E-11</v>
      </c>
      <c r="L50" s="152">
        <v>4.787005006145935E-10</v>
      </c>
      <c r="N50" s="18">
        <v>1.6163989751356594E-6</v>
      </c>
      <c r="O50" s="18">
        <v>1.5392483148537927E-10</v>
      </c>
      <c r="P50" s="18">
        <v>5.0509225500401457E-8</v>
      </c>
      <c r="Q50" s="28">
        <v>3.4421631761482474</v>
      </c>
      <c r="R50" s="60">
        <v>224.8991515150413</v>
      </c>
      <c r="S50" s="57">
        <v>1.8447462341150013E-6</v>
      </c>
      <c r="U50" s="127">
        <v>3.3770424832835788E-10</v>
      </c>
      <c r="V50" s="127">
        <v>4.787005006145935E-10</v>
      </c>
      <c r="W50" s="128">
        <v>6.4860372235132618E-10</v>
      </c>
      <c r="X50" s="128">
        <f t="shared" si="0"/>
        <v>4.8592724297721773E-10</v>
      </c>
      <c r="Y50" s="139">
        <f t="shared" si="1"/>
        <v>1.8968893521744976</v>
      </c>
      <c r="AA50" s="73"/>
      <c r="AB50" s="176"/>
      <c r="AC50" s="176"/>
      <c r="AD50" s="176"/>
      <c r="AJ50" s="135"/>
    </row>
    <row r="51" spans="2:36" x14ac:dyDescent="0.35">
      <c r="B51" s="100"/>
      <c r="C51" s="100"/>
      <c r="D51" s="101"/>
      <c r="E51" s="101"/>
      <c r="F51" s="102"/>
      <c r="G51" s="102"/>
      <c r="H51" s="116"/>
      <c r="I51" s="109">
        <v>1.3591689492799999E-2</v>
      </c>
      <c r="J51" s="109">
        <v>6.2181342899517472E-10</v>
      </c>
      <c r="K51" s="109">
        <v>8.40936518875501E-11</v>
      </c>
      <c r="L51" s="152">
        <v>6.0976041022925563E-10</v>
      </c>
      <c r="N51" s="18">
        <v>1.6194687038883762E-6</v>
      </c>
      <c r="O51" s="18">
        <v>1.5392483148537927E-10</v>
      </c>
      <c r="P51" s="18">
        <v>5.0509225500401457E-8</v>
      </c>
      <c r="Q51" s="28">
        <v>2.563177750747776</v>
      </c>
      <c r="R51" s="60">
        <v>224.8991515150413</v>
      </c>
      <c r="S51" s="57">
        <v>1.8655225243562163E-6</v>
      </c>
      <c r="U51" s="127">
        <v>4.4422098132464689E-10</v>
      </c>
      <c r="V51" s="127">
        <v>6.0976041022925563E-10</v>
      </c>
      <c r="W51" s="128">
        <v>7.9786310467799601E-10</v>
      </c>
      <c r="X51" s="128">
        <f t="shared" si="0"/>
        <v>6.1540122661528857E-10</v>
      </c>
      <c r="Y51" s="139">
        <f t="shared" si="1"/>
        <v>5.8141738891759383E-3</v>
      </c>
      <c r="AA51" s="73"/>
      <c r="AB51" s="176"/>
      <c r="AC51" s="176"/>
      <c r="AD51" s="176"/>
      <c r="AJ51" s="135"/>
    </row>
    <row r="52" spans="2:36" x14ac:dyDescent="0.35">
      <c r="B52" s="100"/>
      <c r="C52" s="100"/>
      <c r="D52" s="101"/>
      <c r="E52" s="101"/>
      <c r="F52" s="102"/>
      <c r="G52" s="102"/>
      <c r="H52" s="101"/>
      <c r="I52" s="109">
        <v>1.37276063878E-2</v>
      </c>
      <c r="J52" s="109">
        <v>6.3448309008922505E-10</v>
      </c>
      <c r="K52" s="109">
        <v>8.5311801102620117E-11</v>
      </c>
      <c r="L52" s="152">
        <v>7.5987900275977506E-10</v>
      </c>
      <c r="N52" s="18">
        <v>1.6239095274688198E-6</v>
      </c>
      <c r="O52" s="18">
        <v>1.5392483148537927E-10</v>
      </c>
      <c r="P52" s="18">
        <v>5.0509225500401457E-8</v>
      </c>
      <c r="Q52" s="28">
        <v>1.4263543760469788</v>
      </c>
      <c r="R52" s="60">
        <v>229.01706325692649</v>
      </c>
      <c r="S52" s="57">
        <v>1.8655225243562163E-6</v>
      </c>
      <c r="U52" s="127">
        <v>5.7373709213041358E-10</v>
      </c>
      <c r="V52" s="127">
        <v>7.5987900275977506E-10</v>
      </c>
      <c r="W52" s="128">
        <v>9.6087208618977037E-10</v>
      </c>
      <c r="X52" s="128">
        <f t="shared" si="0"/>
        <v>7.6359179595993346E-10</v>
      </c>
      <c r="Y52" s="139">
        <f t="shared" si="1"/>
        <v>2.2903024316366078</v>
      </c>
      <c r="AA52" s="73"/>
      <c r="AB52" s="176"/>
      <c r="AC52" s="176"/>
      <c r="AD52" s="176"/>
      <c r="AJ52" s="135"/>
    </row>
    <row r="53" spans="2:36" x14ac:dyDescent="0.35">
      <c r="B53" s="100"/>
      <c r="C53" s="100"/>
      <c r="D53" s="101"/>
      <c r="E53" s="101"/>
      <c r="F53" s="102"/>
      <c r="G53" s="102"/>
      <c r="H53" s="121"/>
      <c r="I53" s="109">
        <v>1.3864882451600001E-2</v>
      </c>
      <c r="J53" s="109">
        <v>7.3189619591472138E-10</v>
      </c>
      <c r="K53" s="109">
        <v>9.0853331012040265E-11</v>
      </c>
      <c r="L53" s="152">
        <v>9.19267012372957E-10</v>
      </c>
      <c r="N53" s="18">
        <v>1.6289345516777812E-6</v>
      </c>
      <c r="O53" s="18">
        <v>1.5392483148537927E-10</v>
      </c>
      <c r="P53" s="18">
        <v>5.0509225500401457E-8</v>
      </c>
      <c r="Q53" s="28">
        <v>1.0450454197332617</v>
      </c>
      <c r="R53" s="60">
        <v>229.01706325692649</v>
      </c>
      <c r="S53" s="57">
        <v>1.8796322109235305E-6</v>
      </c>
      <c r="U53" s="127">
        <v>7.1878146985420012E-10</v>
      </c>
      <c r="V53" s="127">
        <v>9.19267012372957E-10</v>
      </c>
      <c r="W53" s="128">
        <v>1.1260550495036898E-9</v>
      </c>
      <c r="X53" s="128">
        <f t="shared" si="0"/>
        <v>9.2084263602595103E-10</v>
      </c>
      <c r="Y53" s="139">
        <f t="shared" si="1"/>
        <v>4.3250956693387783</v>
      </c>
      <c r="AA53" s="73"/>
      <c r="AB53" s="176"/>
      <c r="AC53" s="176"/>
      <c r="AD53" s="176"/>
      <c r="AJ53" s="135"/>
    </row>
    <row r="54" spans="2:36" x14ac:dyDescent="0.35">
      <c r="B54" s="100"/>
      <c r="C54" s="100"/>
      <c r="D54" s="101"/>
      <c r="E54" s="101"/>
      <c r="F54" s="102"/>
      <c r="G54" s="102"/>
      <c r="H54" s="108"/>
      <c r="I54" s="109">
        <v>1.40035312762E-2</v>
      </c>
      <c r="J54" s="109">
        <v>1.0676362665375369E-9</v>
      </c>
      <c r="K54" s="109">
        <v>1.0324514711055796E-10</v>
      </c>
      <c r="L54" s="152">
        <v>1.0804764765933605E-9</v>
      </c>
      <c r="N54" s="18">
        <v>1.6342377119070514E-6</v>
      </c>
      <c r="O54" s="18">
        <v>1.5392483148537927E-10</v>
      </c>
      <c r="P54" s="18">
        <v>5.0509225500401457E-8</v>
      </c>
      <c r="Q54" s="28">
        <v>0.8504436560372397</v>
      </c>
      <c r="R54" s="60">
        <v>233.13497499881169</v>
      </c>
      <c r="S54" s="57">
        <v>1.8796322109235305E-6</v>
      </c>
      <c r="U54" s="127">
        <v>8.7277785810771003E-10</v>
      </c>
      <c r="V54" s="127">
        <v>1.0804764765933605E-9</v>
      </c>
      <c r="W54" s="128">
        <v>1.285473183725498E-9</v>
      </c>
      <c r="X54" s="128">
        <f t="shared" si="0"/>
        <v>1.0798009987549822E-9</v>
      </c>
      <c r="Y54" s="139">
        <f t="shared" si="1"/>
        <v>1.3882440207950906E-2</v>
      </c>
      <c r="AA54" s="73"/>
      <c r="AB54" s="176"/>
      <c r="AC54" s="176"/>
      <c r="AD54" s="176"/>
      <c r="AJ54" s="135"/>
    </row>
    <row r="55" spans="2:36" x14ac:dyDescent="0.35">
      <c r="B55" s="100"/>
      <c r="C55" s="100"/>
      <c r="D55" s="101"/>
      <c r="E55" s="101"/>
      <c r="F55" s="102"/>
      <c r="G55" s="102"/>
      <c r="H55" s="121"/>
      <c r="I55" s="109">
        <v>1.41435665889E-2</v>
      </c>
      <c r="J55" s="109">
        <v>1.4411079690426667E-9</v>
      </c>
      <c r="K55" s="109">
        <v>1.2066409550165562E-10</v>
      </c>
      <c r="L55" s="152">
        <v>1.2374565680075306E-9</v>
      </c>
      <c r="N55" s="18">
        <v>1.6396788942084604E-6</v>
      </c>
      <c r="O55" s="18">
        <v>1.5392483148537927E-10</v>
      </c>
      <c r="P55" s="18">
        <v>5.0509225500401457E-8</v>
      </c>
      <c r="Q55" s="28">
        <v>0.73436281851289054</v>
      </c>
      <c r="R55" s="60">
        <v>233.13497499881169</v>
      </c>
      <c r="S55" s="57">
        <v>1.8878593691443207E-6</v>
      </c>
      <c r="U55" s="127">
        <v>1.0299328072146251E-9</v>
      </c>
      <c r="V55" s="127">
        <v>1.2374565680075306E-9</v>
      </c>
      <c r="W55" s="128">
        <v>1.4331166950562702E-9</v>
      </c>
      <c r="X55" s="128">
        <f t="shared" si="0"/>
        <v>1.234490659571489E-9</v>
      </c>
      <c r="Y55" s="139">
        <f t="shared" si="1"/>
        <v>2.9320898892428469</v>
      </c>
      <c r="AA55" s="73"/>
      <c r="AB55" s="176"/>
      <c r="AC55" s="176"/>
      <c r="AD55" s="176"/>
      <c r="AJ55" s="135"/>
    </row>
    <row r="56" spans="2:36" x14ac:dyDescent="0.35">
      <c r="B56" s="100"/>
      <c r="C56" s="100"/>
      <c r="D56" s="101"/>
      <c r="E56" s="101"/>
      <c r="F56" s="102"/>
      <c r="G56" s="102"/>
      <c r="H56" s="108"/>
      <c r="I56" s="109">
        <v>1.42850022548E-2</v>
      </c>
      <c r="J56" s="109">
        <v>1.4159942746090692E-9</v>
      </c>
      <c r="K56" s="109">
        <v>1.1835421872099125E-10</v>
      </c>
      <c r="L56" s="152">
        <v>1.3844266141662669E-9</v>
      </c>
      <c r="N56" s="18">
        <v>1.6451882501611994E-6</v>
      </c>
      <c r="O56" s="18">
        <v>1.5392483148537927E-10</v>
      </c>
      <c r="P56" s="18">
        <v>5.0509225500401457E-8</v>
      </c>
      <c r="Q56" s="28">
        <v>0.6597096993751439</v>
      </c>
      <c r="R56" s="60">
        <v>237.25288674069688</v>
      </c>
      <c r="S56" s="57">
        <v>1.8878593691443207E-6</v>
      </c>
      <c r="U56" s="127">
        <v>1.184500050875768E-9</v>
      </c>
      <c r="V56" s="127">
        <v>1.3844266141662669E-9</v>
      </c>
      <c r="W56" s="128">
        <v>1.5634682225989937E-9</v>
      </c>
      <c r="X56" s="128">
        <f t="shared" si="0"/>
        <v>1.3792053754518238E-9</v>
      </c>
      <c r="Y56" s="139">
        <f t="shared" si="1"/>
        <v>9.6619792227256029E-2</v>
      </c>
      <c r="AA56" s="73"/>
      <c r="AB56" s="176"/>
      <c r="AC56" s="176"/>
      <c r="AD56" s="176"/>
      <c r="AJ56" s="135"/>
    </row>
    <row r="57" spans="2:36" x14ac:dyDescent="0.35">
      <c r="B57" s="100"/>
      <c r="C57" s="100"/>
      <c r="D57" s="101"/>
      <c r="E57" s="101"/>
      <c r="F57" s="102"/>
      <c r="G57" s="102"/>
      <c r="H57" s="146"/>
      <c r="I57" s="109">
        <v>1.44278522774E-2</v>
      </c>
      <c r="J57" s="109">
        <v>1.4288329041442973E-9</v>
      </c>
      <c r="K57" s="109">
        <v>1.1930545746910478E-10</v>
      </c>
      <c r="L57" s="152">
        <v>1.5160130666759379E-9</v>
      </c>
      <c r="N57" s="18">
        <v>1.6507297017150068E-6</v>
      </c>
      <c r="O57" s="18">
        <v>1.5392483148537927E-10</v>
      </c>
      <c r="P57" s="18">
        <v>5.0509225500401457E-8</v>
      </c>
      <c r="Q57" s="28">
        <v>0.61023171933257703</v>
      </c>
      <c r="R57" s="60">
        <v>237.25288674069688</v>
      </c>
      <c r="S57" s="57">
        <v>1.8906350693921968E-6</v>
      </c>
      <c r="U57" s="127">
        <v>1.3309235482538222E-9</v>
      </c>
      <c r="V57" s="127">
        <v>1.5160130666759379E-9</v>
      </c>
      <c r="W57" s="128">
        <v>1.6716323533158082E-9</v>
      </c>
      <c r="X57" s="128">
        <f t="shared" si="0"/>
        <v>1.5086455087303766E-9</v>
      </c>
      <c r="Y57" s="139">
        <f t="shared" si="1"/>
        <v>0.44753019921905351</v>
      </c>
      <c r="AA57" s="73"/>
      <c r="AB57" s="176"/>
      <c r="AC57" s="176"/>
      <c r="AD57" s="176"/>
      <c r="AJ57" s="135"/>
    </row>
    <row r="58" spans="2:36" x14ac:dyDescent="0.35">
      <c r="B58" s="100"/>
      <c r="C58" s="100"/>
      <c r="D58" s="101"/>
      <c r="E58" s="101"/>
      <c r="F58" s="102"/>
      <c r="G58" s="102"/>
      <c r="H58" s="146"/>
      <c r="I58" s="109">
        <v>1.4572130800099999E-2</v>
      </c>
      <c r="J58" s="109">
        <v>1.799852369859805E-9</v>
      </c>
      <c r="K58" s="109">
        <v>1.3290725216789213E-10</v>
      </c>
      <c r="L58" s="152">
        <v>1.6273778254693412E-9</v>
      </c>
      <c r="N58" s="18">
        <v>1.6562847603805633E-6</v>
      </c>
      <c r="O58" s="18">
        <v>1.5392483148537927E-10</v>
      </c>
      <c r="P58" s="18">
        <v>5.0509225500401457E-8</v>
      </c>
      <c r="Q58" s="28">
        <v>0.57779096573949484</v>
      </c>
      <c r="R58" s="60">
        <v>241.37079848258207</v>
      </c>
      <c r="S58" s="57">
        <v>1.8906350693921968E-6</v>
      </c>
      <c r="U58" s="127">
        <v>1.4639709984927942E-9</v>
      </c>
      <c r="V58" s="127">
        <v>1.6273778254693412E-9</v>
      </c>
      <c r="W58" s="128">
        <v>1.7534587003856635E-9</v>
      </c>
      <c r="X58" s="128">
        <f t="shared" si="0"/>
        <v>1.6180463374542851E-9</v>
      </c>
      <c r="Y58" s="139">
        <f t="shared" si="1"/>
        <v>1.87119574025521</v>
      </c>
      <c r="AA58" s="73"/>
      <c r="AB58" s="176"/>
      <c r="AC58" s="176"/>
      <c r="AD58" s="176"/>
      <c r="AJ58" s="135"/>
    </row>
    <row r="59" spans="2:36" x14ac:dyDescent="0.35">
      <c r="B59" s="100"/>
      <c r="C59" s="100"/>
      <c r="D59" s="101"/>
      <c r="E59" s="101"/>
      <c r="F59" s="102"/>
      <c r="G59" s="102"/>
      <c r="H59" s="146"/>
      <c r="I59" s="109">
        <v>1.4717852108099999E-2</v>
      </c>
      <c r="J59" s="109">
        <v>1.7958197839190268E-9</v>
      </c>
      <c r="K59" s="109">
        <v>1.3252870533798414E-10</v>
      </c>
      <c r="L59" s="152">
        <v>1.7143407056078754E-9</v>
      </c>
      <c r="N59" s="18">
        <v>1.6618445325016645E-6</v>
      </c>
      <c r="O59" s="18">
        <v>1.5392483148537927E-10</v>
      </c>
      <c r="P59" s="18">
        <v>5.0509225500401457E-8</v>
      </c>
      <c r="Q59" s="28">
        <v>0.55803565126484422</v>
      </c>
      <c r="R59" s="60">
        <v>241.37079848258207</v>
      </c>
      <c r="S59" s="57">
        <v>1.8880585775010218E-6</v>
      </c>
      <c r="U59" s="127">
        <v>1.5788601566512132E-9</v>
      </c>
      <c r="V59" s="127">
        <v>1.7143407056078754E-9</v>
      </c>
      <c r="W59" s="128">
        <v>1.8056604348137865E-9</v>
      </c>
      <c r="X59" s="128">
        <f t="shared" si="0"/>
        <v>1.7033005006701878E-9</v>
      </c>
      <c r="Y59" s="139">
        <f t="shared" si="1"/>
        <v>0.48735408247388884</v>
      </c>
      <c r="AA59" s="73"/>
      <c r="AB59" s="176"/>
      <c r="AC59" s="176"/>
      <c r="AD59" s="176"/>
      <c r="AJ59" s="135"/>
    </row>
    <row r="60" spans="2:36" x14ac:dyDescent="0.35">
      <c r="B60" s="100"/>
      <c r="C60" s="100"/>
      <c r="D60" s="101"/>
      <c r="E60" s="101"/>
      <c r="F60" s="102"/>
      <c r="G60" s="102"/>
      <c r="H60" s="146"/>
      <c r="I60" s="109">
        <v>1.4865030629200001E-2</v>
      </c>
      <c r="J60" s="109">
        <v>1.8665115179052525E-9</v>
      </c>
      <c r="K60" s="109">
        <v>1.352131570015164E-10</v>
      </c>
      <c r="L60" s="152">
        <v>1.773497567863694E-9</v>
      </c>
      <c r="N60" s="18">
        <v>1.6674053922706958E-6</v>
      </c>
      <c r="O60" s="18">
        <v>1.5392483148537927E-10</v>
      </c>
      <c r="P60" s="18">
        <v>5.0509225500401457E-8</v>
      </c>
      <c r="Q60" s="28">
        <v>0.54866159745868937</v>
      </c>
      <c r="R60" s="60">
        <v>245.48871022446727</v>
      </c>
      <c r="S60" s="57">
        <v>1.8880585775010218E-6</v>
      </c>
      <c r="U60" s="127">
        <v>1.6713800269295904E-9</v>
      </c>
      <c r="V60" s="127">
        <v>1.773497567863694E-9</v>
      </c>
      <c r="W60" s="128">
        <v>1.8259278794516202E-9</v>
      </c>
      <c r="X60" s="128">
        <f t="shared" si="0"/>
        <v>1.7610757605271498E-9</v>
      </c>
      <c r="Y60" s="139">
        <f t="shared" si="1"/>
        <v>0.60804810342063664</v>
      </c>
      <c r="AA60" s="73"/>
      <c r="AB60" s="176"/>
      <c r="AC60" s="176"/>
      <c r="AD60" s="176"/>
      <c r="AJ60" s="135"/>
    </row>
    <row r="61" spans="2:36" x14ac:dyDescent="0.35">
      <c r="B61" s="182"/>
      <c r="C61" s="182"/>
      <c r="D61" s="182"/>
      <c r="E61" s="182"/>
      <c r="F61" s="182"/>
      <c r="G61" s="182"/>
      <c r="H61" s="182"/>
      <c r="I61" s="109">
        <v>1.50136809355E-2</v>
      </c>
      <c r="J61" s="109">
        <v>1.790842421450241E-9</v>
      </c>
      <c r="K61" s="109">
        <v>9.7625449206061825E-11</v>
      </c>
      <c r="L61" s="152">
        <v>1.8023338350279103E-9</v>
      </c>
      <c r="N61" s="18">
        <v>1.6713455097281112E-6</v>
      </c>
      <c r="O61" s="18">
        <v>1.5392462373247677E-10</v>
      </c>
      <c r="P61" s="18">
        <v>5.050914391620612E-8</v>
      </c>
      <c r="Q61" s="28">
        <v>0.22727272727272727</v>
      </c>
      <c r="R61" s="60">
        <v>245.48871022446727</v>
      </c>
      <c r="S61" s="57">
        <v>1.8800145506522959E-6</v>
      </c>
      <c r="U61" s="127">
        <v>1.7380081267582684E-9</v>
      </c>
      <c r="V61" s="127">
        <v>1.8023338350279103E-9</v>
      </c>
      <c r="W61" s="128">
        <v>1.8130341721539486E-9</v>
      </c>
      <c r="X61" s="128">
        <f t="shared" si="0"/>
        <v>1.7889274922420093E-9</v>
      </c>
      <c r="Y61" s="139">
        <f t="shared" si="1"/>
        <v>3.8475064491799336E-4</v>
      </c>
      <c r="AA61" s="73"/>
      <c r="AB61" s="176"/>
      <c r="AC61" s="176"/>
      <c r="AD61" s="176"/>
      <c r="AJ61" s="135"/>
    </row>
    <row r="62" spans="2:36" x14ac:dyDescent="0.35">
      <c r="B62" s="141"/>
      <c r="C62" s="103"/>
      <c r="D62" s="103"/>
      <c r="E62" s="103"/>
      <c r="F62" s="143"/>
      <c r="G62" s="143"/>
      <c r="H62" s="144"/>
      <c r="I62" s="109">
        <v>1.5163817744900001E-2</v>
      </c>
      <c r="J62" s="109">
        <v>1.8762266090773659E-9</v>
      </c>
      <c r="K62" s="109">
        <v>9.9720149431513896E-11</v>
      </c>
      <c r="L62" s="152">
        <v>1.7993309631249601E-9</v>
      </c>
      <c r="N62" s="18">
        <v>1.6748117005356557E-6</v>
      </c>
      <c r="O62" s="18">
        <v>1.5392438425026633E-10</v>
      </c>
      <c r="P62" s="18">
        <v>5.0509049871967987E-8</v>
      </c>
      <c r="Q62" s="28">
        <v>0.45454545454545453</v>
      </c>
      <c r="R62" s="60">
        <v>249.60662196635246</v>
      </c>
      <c r="S62" s="57">
        <v>1.8800145506522959E-6</v>
      </c>
      <c r="U62" s="127">
        <v>1.776023621456414E-9</v>
      </c>
      <c r="V62" s="127">
        <v>1.7993309631249601E-9</v>
      </c>
      <c r="W62" s="128">
        <v>1.7669273263962637E-9</v>
      </c>
      <c r="X62" s="128">
        <f t="shared" si="0"/>
        <v>1.7854032185256493E-9</v>
      </c>
      <c r="Y62" s="139">
        <f t="shared" si="1"/>
        <v>0.82952519252725121</v>
      </c>
      <c r="AA62" s="73"/>
      <c r="AB62" s="176"/>
      <c r="AC62" s="176"/>
      <c r="AD62" s="176"/>
      <c r="AJ62" s="135"/>
    </row>
    <row r="63" spans="2:36" x14ac:dyDescent="0.35">
      <c r="B63" s="100"/>
      <c r="C63" s="101"/>
      <c r="D63" s="101"/>
      <c r="E63" s="101"/>
      <c r="F63" s="102"/>
      <c r="G63" s="102"/>
      <c r="H63" s="101"/>
      <c r="I63" s="109">
        <v>1.5315455922300001E-2</v>
      </c>
      <c r="J63" s="109">
        <v>1.8025479178596842E-9</v>
      </c>
      <c r="K63" s="109">
        <v>9.6120107592251874E-11</v>
      </c>
      <c r="L63" s="152">
        <v>1.7640611493124086E-9</v>
      </c>
      <c r="N63" s="18">
        <v>1.6793883847298279E-6</v>
      </c>
      <c r="O63" s="18">
        <v>1.5392363528405696E-10</v>
      </c>
      <c r="P63" s="18">
        <v>5.0508755754269556E-8</v>
      </c>
      <c r="Q63" s="28">
        <v>0.45454545454545453</v>
      </c>
      <c r="R63" s="60">
        <v>249.60662196635246</v>
      </c>
      <c r="S63" s="57">
        <v>1.8663770031061707E-6</v>
      </c>
      <c r="U63" s="127">
        <v>1.7836143826207839E-9</v>
      </c>
      <c r="V63" s="127">
        <v>1.7640611493124086E-9</v>
      </c>
      <c r="W63" s="128">
        <v>1.6888005571503341E-9</v>
      </c>
      <c r="X63" s="128">
        <f t="shared" si="0"/>
        <v>1.7501343095989837E-9</v>
      </c>
      <c r="Y63" s="139">
        <f t="shared" si="1"/>
        <v>0.29734430189864525</v>
      </c>
      <c r="AA63" s="73"/>
      <c r="AB63" s="176"/>
      <c r="AC63" s="176"/>
      <c r="AD63" s="176"/>
      <c r="AJ63" s="135"/>
    </row>
    <row r="64" spans="2:36" x14ac:dyDescent="0.35">
      <c r="B64" s="100"/>
      <c r="C64" s="142"/>
      <c r="D64" s="101"/>
      <c r="E64" s="101"/>
      <c r="F64" s="143"/>
      <c r="G64" s="102"/>
      <c r="H64" s="121"/>
      <c r="I64" s="109">
        <v>1.54686104815E-2</v>
      </c>
      <c r="J64" s="109">
        <v>1.6179582306304163E-9</v>
      </c>
      <c r="K64" s="109">
        <v>9.0594412858671516E-11</v>
      </c>
      <c r="L64" s="152">
        <v>1.697263369927067E-9</v>
      </c>
      <c r="N64" s="18">
        <v>1.6838745174080099E-6</v>
      </c>
      <c r="O64" s="18">
        <v>1.5392176934880552E-10</v>
      </c>
      <c r="P64" s="18">
        <v>5.0508023004814749E-8</v>
      </c>
      <c r="Q64" s="28">
        <v>0.45454545454545453</v>
      </c>
      <c r="R64" s="60">
        <v>253.72453370823766</v>
      </c>
      <c r="S64" s="57">
        <v>1.8663770031061707E-6</v>
      </c>
      <c r="U64" s="127">
        <v>1.7599740869013718E-9</v>
      </c>
      <c r="V64" s="127">
        <v>1.697263369927067E-9</v>
      </c>
      <c r="W64" s="128">
        <v>1.5811308186903585E-9</v>
      </c>
      <c r="X64" s="128">
        <f t="shared" si="0"/>
        <v>1.6839079113614661E-9</v>
      </c>
      <c r="Y64" s="139">
        <f t="shared" si="1"/>
        <v>0.52993495324727635</v>
      </c>
      <c r="AA64" s="73"/>
      <c r="AB64" s="176"/>
      <c r="AC64" s="176"/>
      <c r="AD64" s="176"/>
      <c r="AJ64" s="135"/>
    </row>
    <row r="65" spans="2:36" x14ac:dyDescent="0.35">
      <c r="B65" s="100"/>
      <c r="C65" s="101"/>
      <c r="D65" s="101"/>
      <c r="E65" s="101"/>
      <c r="F65" s="102"/>
      <c r="G65" s="102"/>
      <c r="H65" s="101"/>
      <c r="I65" s="109">
        <v>1.56232965864E-2</v>
      </c>
      <c r="J65" s="109">
        <v>1.5642987184863262E-9</v>
      </c>
      <c r="K65" s="109">
        <v>8.7883960301280566E-11</v>
      </c>
      <c r="L65" s="152">
        <v>1.6008920315567754E-9</v>
      </c>
      <c r="N65" s="18">
        <v>1.6882395162753945E-6</v>
      </c>
      <c r="O65" s="18">
        <v>1.5391732796236246E-10</v>
      </c>
      <c r="P65" s="18">
        <v>5.0506278880257284E-8</v>
      </c>
      <c r="Q65" s="28">
        <v>0.45454545454545453</v>
      </c>
      <c r="R65" s="60">
        <v>253.72453370823766</v>
      </c>
      <c r="S65" s="57">
        <v>1.8472583628885723E-6</v>
      </c>
      <c r="U65" s="127">
        <v>1.7053835435203494E-9</v>
      </c>
      <c r="V65" s="127">
        <v>1.6008920315567754E-9</v>
      </c>
      <c r="W65" s="128">
        <v>1.4476744795217905E-9</v>
      </c>
      <c r="X65" s="128">
        <f t="shared" si="0"/>
        <v>1.5887105215389226E-9</v>
      </c>
      <c r="Y65" s="139">
        <f t="shared" si="1"/>
        <v>7.7157913791252614E-2</v>
      </c>
      <c r="AA65" s="73"/>
      <c r="AB65" s="176"/>
      <c r="AC65" s="176"/>
      <c r="AD65" s="176"/>
      <c r="AJ65" s="135"/>
    </row>
    <row r="66" spans="2:36" x14ac:dyDescent="0.35">
      <c r="B66" s="100"/>
      <c r="C66" s="142"/>
      <c r="D66" s="101"/>
      <c r="E66" s="101"/>
      <c r="F66" s="143"/>
      <c r="G66" s="102"/>
      <c r="H66" s="116"/>
      <c r="I66" s="109">
        <v>1.5779529552200001E-2</v>
      </c>
      <c r="J66" s="109">
        <v>1.5708469721493351E-9</v>
      </c>
      <c r="K66" s="109">
        <v>9.0011401051881384E-11</v>
      </c>
      <c r="L66" s="152">
        <v>1.478128390242489E-9</v>
      </c>
      <c r="N66" s="18">
        <v>1.6924764028526558E-6</v>
      </c>
      <c r="O66" s="18">
        <v>1.5390722782781785E-10</v>
      </c>
      <c r="P66" s="18">
        <v>5.0502312575384026E-8</v>
      </c>
      <c r="Q66" s="28">
        <v>0.45454545454545453</v>
      </c>
      <c r="R66" s="60">
        <v>257.84244545012285</v>
      </c>
      <c r="S66" s="57">
        <v>1.8472583628885723E-6</v>
      </c>
      <c r="U66" s="127">
        <v>1.6212687509389475E-9</v>
      </c>
      <c r="V66" s="127">
        <v>1.478128390242489E-9</v>
      </c>
      <c r="W66" s="128">
        <v>1.2934092842278317E-9</v>
      </c>
      <c r="X66" s="128">
        <f t="shared" si="0"/>
        <v>1.4677337039129392E-9</v>
      </c>
      <c r="Y66" s="139">
        <f t="shared" si="1"/>
        <v>1.3123028175260956</v>
      </c>
      <c r="AA66" s="73"/>
      <c r="AB66" s="176"/>
      <c r="AC66" s="176"/>
      <c r="AD66" s="176"/>
      <c r="AJ66" s="135"/>
    </row>
    <row r="67" spans="2:36" x14ac:dyDescent="0.35">
      <c r="B67" s="100"/>
      <c r="C67" s="101"/>
      <c r="D67" s="101"/>
      <c r="E67" s="101"/>
      <c r="F67" s="102"/>
      <c r="G67" s="102"/>
      <c r="H67" s="102"/>
      <c r="I67" s="109">
        <v>1.59373248477E-2</v>
      </c>
      <c r="J67" s="109">
        <v>1.5720528534629743E-9</v>
      </c>
      <c r="K67" s="109">
        <v>1.3278845161711588E-10</v>
      </c>
      <c r="L67" s="152">
        <v>1.3333447584437207E-9</v>
      </c>
      <c r="N67" s="18">
        <v>1.6966199785749175E-6</v>
      </c>
      <c r="O67" s="18">
        <v>1.5388528355918637E-10</v>
      </c>
      <c r="P67" s="18">
        <v>5.0493695100118872E-8</v>
      </c>
      <c r="Q67" s="28">
        <v>0.45454545454545453</v>
      </c>
      <c r="R67" s="60">
        <v>257.84244545012285</v>
      </c>
      <c r="S67" s="57">
        <v>1.823231786173234E-6</v>
      </c>
      <c r="U67" s="127">
        <v>1.5102269923857778E-9</v>
      </c>
      <c r="V67" s="127">
        <v>1.3333447584437207E-9</v>
      </c>
      <c r="W67" s="128">
        <v>1.1244135072851992E-9</v>
      </c>
      <c r="X67" s="128">
        <f t="shared" ref="X67:X130" si="2">(U67+2*V67+W67)/4</f>
        <v>1.3253325041396045E-9</v>
      </c>
      <c r="Y67" s="139">
        <f t="shared" ref="Y67:Y130" si="3">(J67-X67)*(J67-X67)/(K67*K67)</f>
        <v>3.4521473834315102</v>
      </c>
      <c r="AA67" s="73"/>
      <c r="AB67" s="176"/>
      <c r="AC67" s="176"/>
      <c r="AD67" s="176"/>
      <c r="AJ67" s="135"/>
    </row>
    <row r="68" spans="2:36" x14ac:dyDescent="0.35">
      <c r="B68" s="100"/>
      <c r="C68" s="142"/>
      <c r="D68" s="101"/>
      <c r="E68" s="101"/>
      <c r="F68" s="143"/>
      <c r="G68" s="102"/>
      <c r="H68" s="116"/>
      <c r="I68" s="109">
        <v>1.6096698096199999E-2</v>
      </c>
      <c r="J68" s="109">
        <v>1.369493504296407E-9</v>
      </c>
      <c r="K68" s="109">
        <v>1.248935431986542E-10</v>
      </c>
      <c r="L68" s="152">
        <v>1.1720126523673102E-9</v>
      </c>
      <c r="N68" s="18">
        <v>1.7007761169901288E-6</v>
      </c>
      <c r="O68" s="18">
        <v>1.5383973244666914E-10</v>
      </c>
      <c r="P68" s="18">
        <v>5.0475807259242999E-8</v>
      </c>
      <c r="Q68" s="28">
        <v>0.45454545454545453</v>
      </c>
      <c r="R68" s="60">
        <v>261.96035719200802</v>
      </c>
      <c r="S68" s="57">
        <v>1.823231786173234E-6</v>
      </c>
      <c r="U68" s="127">
        <v>1.3760118648279791E-9</v>
      </c>
      <c r="V68" s="127">
        <v>1.1720126523673102E-9</v>
      </c>
      <c r="W68" s="128">
        <v>9.4767663514701851E-10</v>
      </c>
      <c r="X68" s="128">
        <f t="shared" si="2"/>
        <v>1.1669284511774045E-9</v>
      </c>
      <c r="Y68" s="139">
        <f t="shared" si="3"/>
        <v>2.6305652046162953</v>
      </c>
      <c r="AA68" s="73"/>
      <c r="AB68" s="176"/>
      <c r="AC68" s="176"/>
      <c r="AD68" s="176"/>
      <c r="AJ68" s="135"/>
    </row>
    <row r="69" spans="2:36" x14ac:dyDescent="0.35">
      <c r="B69" s="100"/>
      <c r="C69" s="101"/>
      <c r="D69" s="101"/>
      <c r="E69" s="101"/>
      <c r="F69" s="102"/>
      <c r="G69" s="102"/>
      <c r="H69" s="102"/>
      <c r="I69" s="109">
        <v>1.6257665077200001E-2</v>
      </c>
      <c r="J69" s="109">
        <v>1.1239006970835996E-9</v>
      </c>
      <c r="K69" s="109">
        <v>1.0749598385963078E-10</v>
      </c>
      <c r="L69" s="152">
        <v>1.0005485892352886E-9</v>
      </c>
      <c r="N69" s="18">
        <v>1.7051663228829152E-6</v>
      </c>
      <c r="O69" s="18">
        <v>1.5374939678812531E-10</v>
      </c>
      <c r="P69" s="18">
        <v>5.0440332606788841E-8</v>
      </c>
      <c r="Q69" s="28">
        <v>0.45454545454545453</v>
      </c>
      <c r="R69" s="60">
        <v>261.96035719200802</v>
      </c>
      <c r="S69" s="57">
        <v>1.7954450462930638E-6</v>
      </c>
      <c r="U69" s="127">
        <v>1.2234687390475806E-9</v>
      </c>
      <c r="V69" s="127">
        <v>1.0005485892352886E-9</v>
      </c>
      <c r="W69" s="128">
        <v>7.7084092197108233E-10</v>
      </c>
      <c r="X69" s="128">
        <f t="shared" si="2"/>
        <v>9.9885170987231008E-10</v>
      </c>
      <c r="Y69" s="139">
        <f t="shared" si="3"/>
        <v>1.3532432809917458</v>
      </c>
      <c r="AA69" s="73"/>
      <c r="AB69" s="176"/>
      <c r="AC69" s="176"/>
      <c r="AD69" s="176"/>
      <c r="AJ69" s="135"/>
    </row>
    <row r="70" spans="2:36" x14ac:dyDescent="0.35">
      <c r="B70" s="100"/>
      <c r="C70" s="101"/>
      <c r="D70" s="101"/>
      <c r="E70" s="101"/>
      <c r="F70" s="102"/>
      <c r="G70" s="102"/>
      <c r="H70" s="116"/>
      <c r="I70" s="109">
        <v>1.6420241727999999E-2</v>
      </c>
      <c r="J70" s="109">
        <v>6.9993699173928237E-10</v>
      </c>
      <c r="K70" s="109">
        <v>8.8870566878802708E-11</v>
      </c>
      <c r="L70" s="152">
        <v>8.2609523866608964E-10</v>
      </c>
      <c r="N70" s="18">
        <v>1.7101903765548246E-6</v>
      </c>
      <c r="O70" s="18">
        <v>1.5357823763804676E-10</v>
      </c>
      <c r="P70" s="18">
        <v>5.0373118712948229E-8</v>
      </c>
      <c r="Q70" s="28">
        <v>0.45454545454545453</v>
      </c>
      <c r="R70" s="60">
        <v>266.07826893389318</v>
      </c>
      <c r="S70" s="57">
        <v>1.7954450462930638E-6</v>
      </c>
      <c r="U70" s="127">
        <v>1.0584139615576871E-9</v>
      </c>
      <c r="V70" s="127">
        <v>8.2609523866608964E-10</v>
      </c>
      <c r="W70" s="128">
        <v>6.0187940956078752E-10</v>
      </c>
      <c r="X70" s="128">
        <f t="shared" si="2"/>
        <v>8.281209621126635E-10</v>
      </c>
      <c r="Y70" s="139">
        <f t="shared" si="3"/>
        <v>2.0804224794650401</v>
      </c>
      <c r="AA70" s="73"/>
      <c r="AB70" s="176"/>
      <c r="AC70" s="176"/>
      <c r="AD70" s="176"/>
      <c r="AJ70" s="135"/>
    </row>
    <row r="71" spans="2:36" x14ac:dyDescent="0.35">
      <c r="B71" s="100"/>
      <c r="C71" s="142"/>
      <c r="D71" s="142"/>
      <c r="E71" s="142"/>
      <c r="F71" s="143"/>
      <c r="G71" s="143"/>
      <c r="H71" s="102"/>
      <c r="I71" s="109">
        <v>1.6584444145200002E-2</v>
      </c>
      <c r="J71" s="109">
        <v>6.6589118202179821E-10</v>
      </c>
      <c r="K71" s="109">
        <v>8.5686829831429221E-11</v>
      </c>
      <c r="L71" s="152">
        <v>6.5624083761183416E-10</v>
      </c>
      <c r="N71" s="18">
        <v>1.7165058181163524E-6</v>
      </c>
      <c r="O71" s="18">
        <v>1.5326841009825541E-10</v>
      </c>
      <c r="P71" s="18">
        <v>5.0251449989079967E-8</v>
      </c>
      <c r="Q71" s="28">
        <v>0.45454545454545453</v>
      </c>
      <c r="R71" s="60">
        <v>266.07826893389318</v>
      </c>
      <c r="S71" s="57">
        <v>1.773127592785897E-6</v>
      </c>
      <c r="U71" s="127">
        <v>8.8745418996480401E-10</v>
      </c>
      <c r="V71" s="127">
        <v>6.5624083761183416E-10</v>
      </c>
      <c r="W71" s="128">
        <v>4.4872283246420177E-10</v>
      </c>
      <c r="X71" s="128">
        <f t="shared" si="2"/>
        <v>6.6216467441316846E-10</v>
      </c>
      <c r="Y71" s="139">
        <f t="shared" si="3"/>
        <v>1.8913672888126731E-3</v>
      </c>
      <c r="AA71" s="73"/>
      <c r="AB71" s="176"/>
      <c r="AC71" s="176"/>
      <c r="AD71" s="176"/>
      <c r="AJ71" s="135"/>
    </row>
    <row r="72" spans="2:36" x14ac:dyDescent="0.35">
      <c r="B72" s="141"/>
      <c r="C72" s="142"/>
      <c r="D72" s="142"/>
      <c r="E72" s="142"/>
      <c r="F72" s="143"/>
      <c r="G72" s="143"/>
      <c r="H72" s="116"/>
      <c r="I72" s="109">
        <v>1.67502885867E-2</v>
      </c>
      <c r="J72" s="109">
        <v>5.855176039757879E-10</v>
      </c>
      <c r="K72" s="109">
        <v>8.0901815989926092E-11</v>
      </c>
      <c r="L72" s="152">
        <v>4.9868573573969715E-10</v>
      </c>
      <c r="N72" s="18">
        <v>1.7251154547126823E-6</v>
      </c>
      <c r="O72" s="18">
        <v>1.5273259210709308E-10</v>
      </c>
      <c r="P72" s="18">
        <v>5.0041035216867413E-8</v>
      </c>
      <c r="Q72" s="28">
        <v>0.45454545454545453</v>
      </c>
      <c r="R72" s="60">
        <v>268.1372248048358</v>
      </c>
      <c r="S72" s="57">
        <v>1.773127592785897E-6</v>
      </c>
      <c r="U72" s="127">
        <v>7.1774649314094893E-10</v>
      </c>
      <c r="V72" s="127">
        <v>4.9868573573969715E-10</v>
      </c>
      <c r="W72" s="128">
        <v>3.1885438661308991E-10</v>
      </c>
      <c r="X72" s="128">
        <f t="shared" si="2"/>
        <v>5.0849308780835827E-10</v>
      </c>
      <c r="Y72" s="139">
        <f t="shared" si="3"/>
        <v>0.90644491584826981</v>
      </c>
      <c r="AA72" s="73"/>
      <c r="AB72" s="176"/>
      <c r="AC72" s="176"/>
      <c r="AD72" s="176"/>
      <c r="AJ72" s="135"/>
    </row>
    <row r="73" spans="2:36" x14ac:dyDescent="0.35">
      <c r="B73" s="103"/>
      <c r="C73" s="104"/>
      <c r="D73" s="104"/>
      <c r="E73" s="104"/>
      <c r="F73" s="104"/>
      <c r="G73" s="104"/>
      <c r="H73" s="146"/>
      <c r="I73" s="109">
        <v>1.6917791472599999E-2</v>
      </c>
      <c r="J73" s="109">
        <v>4.1890578179297015E-10</v>
      </c>
      <c r="K73" s="109">
        <v>7.6154290776820201E-11</v>
      </c>
      <c r="L73" s="152">
        <v>3.6087097940270817E-10</v>
      </c>
      <c r="N73" s="18">
        <v>1.7374433823392008E-6</v>
      </c>
      <c r="O73" s="18">
        <v>1.5184729200633146E-10</v>
      </c>
      <c r="P73" s="18">
        <v>4.9693379441746038E-8</v>
      </c>
      <c r="Q73" s="28">
        <v>0.45454545454545453</v>
      </c>
      <c r="R73" s="60">
        <v>268.1372248048358</v>
      </c>
      <c r="S73" s="57">
        <v>1.7579494639124071E-6</v>
      </c>
      <c r="U73" s="127">
        <v>5.5670494054183218E-10</v>
      </c>
      <c r="V73" s="127">
        <v>3.6087097940270817E-10</v>
      </c>
      <c r="W73" s="128">
        <v>2.1889667457591656E-10</v>
      </c>
      <c r="X73" s="128">
        <f t="shared" si="2"/>
        <v>3.7433589348079128E-10</v>
      </c>
      <c r="Y73" s="139">
        <f t="shared" si="3"/>
        <v>0.34252662531679301</v>
      </c>
      <c r="AA73" s="73"/>
      <c r="AB73" s="176"/>
      <c r="AC73" s="176"/>
      <c r="AD73" s="176"/>
      <c r="AJ73" s="135"/>
    </row>
    <row r="74" spans="2:36" x14ac:dyDescent="0.35">
      <c r="B74" s="103"/>
      <c r="C74" s="104"/>
      <c r="D74" s="104"/>
      <c r="E74" s="104"/>
      <c r="F74" s="104"/>
      <c r="G74" s="104"/>
      <c r="H74" s="121"/>
      <c r="I74" s="109">
        <v>1.7086969387300002E-2</v>
      </c>
      <c r="J74" s="109">
        <v>2.2479418596702246E-10</v>
      </c>
      <c r="K74" s="109">
        <v>5.834919680503581E-11</v>
      </c>
      <c r="L74" s="152">
        <v>2.4958916110051939E-10</v>
      </c>
      <c r="N74" s="18">
        <v>1.7553686154331296E-6</v>
      </c>
      <c r="O74" s="18">
        <v>1.5044983463714939E-10</v>
      </c>
      <c r="P74" s="18">
        <v>4.9144600418153815E-8</v>
      </c>
      <c r="Q74" s="28">
        <v>0.45454545454545453</v>
      </c>
      <c r="R74" s="60">
        <v>270.22505792889422</v>
      </c>
      <c r="S74" s="57">
        <v>1.7579494639124071E-6</v>
      </c>
      <c r="U74" s="127">
        <v>4.1166483923328645E-10</v>
      </c>
      <c r="V74" s="127">
        <v>2.4958916110051939E-10</v>
      </c>
      <c r="W74" s="128">
        <v>1.5421837864470787E-10</v>
      </c>
      <c r="X74" s="128">
        <f t="shared" si="2"/>
        <v>2.6626538501975826E-10</v>
      </c>
      <c r="Y74" s="139">
        <f t="shared" si="3"/>
        <v>0.50515356245039578</v>
      </c>
      <c r="AA74" s="73"/>
      <c r="AB74" s="176"/>
      <c r="AC74" s="176"/>
      <c r="AD74" s="176"/>
      <c r="AJ74" s="135"/>
    </row>
    <row r="75" spans="2:36" x14ac:dyDescent="0.35">
      <c r="B75" s="103"/>
      <c r="C75" s="104"/>
      <c r="D75" s="104"/>
      <c r="E75" s="104"/>
      <c r="F75" s="104"/>
      <c r="G75" s="104"/>
      <c r="H75" s="108"/>
      <c r="I75" s="109">
        <v>1.7257839081199999E-2</v>
      </c>
      <c r="J75" s="109">
        <v>1.9074274116667403E-10</v>
      </c>
      <c r="K75" s="109">
        <v>5.4603257529687397E-11</v>
      </c>
      <c r="L75" s="152">
        <v>1.7060158330694323E-10</v>
      </c>
      <c r="N75" s="18">
        <v>1.7811780570601049E-6</v>
      </c>
      <c r="O75" s="18">
        <v>1.4834236768904425E-10</v>
      </c>
      <c r="P75" s="18">
        <v>4.8317001895623606E-8</v>
      </c>
      <c r="Q75" s="28">
        <v>0.45454545454545453</v>
      </c>
      <c r="R75" s="60">
        <v>270.22505792889422</v>
      </c>
      <c r="S75" s="57">
        <v>1.7426438278579509E-6</v>
      </c>
      <c r="U75" s="127">
        <v>2.8952092371087203E-10</v>
      </c>
      <c r="V75" s="127">
        <v>1.7060158330694323E-10</v>
      </c>
      <c r="W75" s="128">
        <v>1.2858877434753212E-10</v>
      </c>
      <c r="X75" s="128">
        <f t="shared" si="2"/>
        <v>1.8982821616807264E-10</v>
      </c>
      <c r="Y75" s="139">
        <f t="shared" si="3"/>
        <v>2.8051368766934538E-4</v>
      </c>
      <c r="AA75" s="73"/>
      <c r="AB75" s="176"/>
      <c r="AC75" s="176"/>
      <c r="AD75" s="176"/>
      <c r="AJ75" s="135"/>
    </row>
    <row r="76" spans="2:36" x14ac:dyDescent="0.35">
      <c r="B76" s="116"/>
      <c r="C76" s="116"/>
      <c r="D76" s="116"/>
      <c r="E76" s="116"/>
      <c r="F76" s="116"/>
      <c r="G76" s="102"/>
      <c r="H76" s="121"/>
      <c r="I76" s="109">
        <v>1.7430417472000002E-2</v>
      </c>
      <c r="J76" s="109">
        <v>1.4890389380835777E-10</v>
      </c>
      <c r="K76" s="109">
        <v>5.0153927870389317E-11</v>
      </c>
      <c r="L76" s="152">
        <v>1.2828746519061484E-10</v>
      </c>
      <c r="N76" s="18">
        <v>1.817403389304832E-6</v>
      </c>
      <c r="O76" s="18">
        <v>1.4530598180669824E-10</v>
      </c>
      <c r="P76" s="18">
        <v>4.7124618559637941E-8</v>
      </c>
      <c r="Q76" s="28">
        <v>0.45454545454545453</v>
      </c>
      <c r="R76" s="60">
        <v>272.34856233035538</v>
      </c>
      <c r="S76" s="57">
        <v>1.7426438278579509E-6</v>
      </c>
      <c r="U76" s="127">
        <v>1.9635995196997314E-10</v>
      </c>
      <c r="V76" s="127">
        <v>1.2828746519061484E-10</v>
      </c>
      <c r="W76" s="128">
        <v>1.4390588598075765E-10</v>
      </c>
      <c r="X76" s="128">
        <f t="shared" si="2"/>
        <v>1.492101920829901E-10</v>
      </c>
      <c r="Y76" s="139">
        <f t="shared" si="3"/>
        <v>3.7297455017012755E-5</v>
      </c>
      <c r="AA76" s="73"/>
      <c r="AB76" s="176"/>
      <c r="AC76" s="176"/>
      <c r="AD76" s="176"/>
      <c r="AJ76" s="135"/>
    </row>
    <row r="77" spans="2:36" x14ac:dyDescent="0.35">
      <c r="B77" s="108"/>
      <c r="C77" s="108"/>
      <c r="D77" s="108"/>
      <c r="E77" s="108"/>
      <c r="F77" s="108"/>
      <c r="G77" s="102"/>
      <c r="H77" s="108"/>
      <c r="I77" s="109">
        <v>1.7604721646699999E-2</v>
      </c>
      <c r="J77" s="109">
        <v>1.3380883646261922E-10</v>
      </c>
      <c r="K77" s="109">
        <v>4.8215285926541168E-11</v>
      </c>
      <c r="L77" s="152">
        <v>1.2535013620794717E-10</v>
      </c>
      <c r="N77" s="18">
        <v>1.8665246622239643E-6</v>
      </c>
      <c r="O77" s="18">
        <v>1.4112645118160966E-10</v>
      </c>
      <c r="P77" s="18">
        <v>4.5483324316184636E-8</v>
      </c>
      <c r="Q77" s="28">
        <v>0.45454545454545453</v>
      </c>
      <c r="R77" s="60">
        <v>272.34856233035538</v>
      </c>
      <c r="S77" s="57">
        <v>1.7273225094412626E-6</v>
      </c>
      <c r="U77" s="127">
        <v>1.371106984421518E-10</v>
      </c>
      <c r="V77" s="127">
        <v>1.2535013620794717E-10</v>
      </c>
      <c r="W77" s="128">
        <v>2.0001919956840642E-10</v>
      </c>
      <c r="X77" s="128">
        <f t="shared" si="2"/>
        <v>1.4695754260661313E-10</v>
      </c>
      <c r="Y77" s="139">
        <f t="shared" si="3"/>
        <v>7.4369788438404721E-2</v>
      </c>
      <c r="AA77" s="73"/>
      <c r="AB77" s="176"/>
      <c r="AC77" s="176"/>
      <c r="AD77" s="176"/>
      <c r="AJ77" s="135"/>
    </row>
    <row r="78" spans="2:36" x14ac:dyDescent="0.35">
      <c r="B78" s="116"/>
      <c r="C78" s="116"/>
      <c r="D78" s="116"/>
      <c r="E78" s="101"/>
      <c r="F78" s="102"/>
      <c r="G78" s="102"/>
      <c r="H78" s="121"/>
      <c r="I78" s="109">
        <v>1.77807688631E-2</v>
      </c>
      <c r="J78" s="109">
        <v>1.1608114234963303E-10</v>
      </c>
      <c r="K78" s="109">
        <v>4.7703208186556904E-11</v>
      </c>
      <c r="L78" s="152">
        <v>1.6260196075746305E-10</v>
      </c>
      <c r="N78" s="18">
        <v>1.9305575974777457E-6</v>
      </c>
      <c r="O78" s="18">
        <v>1.3563011623289256E-10</v>
      </c>
      <c r="P78" s="18">
        <v>4.3324923356691892E-8</v>
      </c>
      <c r="Q78" s="28">
        <v>0.45454545454545453</v>
      </c>
      <c r="R78" s="60">
        <v>274.54724203135896</v>
      </c>
      <c r="S78" s="57">
        <v>1.7273225094412626E-6</v>
      </c>
      <c r="U78" s="127">
        <v>1.1523483822318824E-10</v>
      </c>
      <c r="V78" s="127">
        <v>1.6260196075746305E-10</v>
      </c>
      <c r="W78" s="128">
        <v>2.9466108714112664E-10</v>
      </c>
      <c r="X78" s="128">
        <f t="shared" si="2"/>
        <v>1.8377496171981023E-10</v>
      </c>
      <c r="Y78" s="139">
        <f t="shared" si="3"/>
        <v>2.013737516396958</v>
      </c>
      <c r="AA78" s="73"/>
      <c r="AB78" s="176"/>
      <c r="AC78" s="176"/>
      <c r="AD78" s="176"/>
      <c r="AJ78" s="135"/>
    </row>
    <row r="79" spans="2:36" x14ac:dyDescent="0.35">
      <c r="B79" s="101"/>
      <c r="C79" s="101"/>
      <c r="D79" s="101"/>
      <c r="E79" s="101"/>
      <c r="F79" s="102"/>
      <c r="G79" s="102"/>
      <c r="H79" s="101"/>
      <c r="I79" s="109">
        <v>1.7958576551799998E-2</v>
      </c>
      <c r="J79" s="109">
        <v>2.2590694471550985E-10</v>
      </c>
      <c r="K79" s="109">
        <v>5.5263302171327656E-11</v>
      </c>
      <c r="L79" s="152">
        <v>2.3884454473201546E-10</v>
      </c>
      <c r="N79" s="18">
        <v>2.0105853132600411E-6</v>
      </c>
      <c r="O79" s="18">
        <v>1.2872462070995875E-10</v>
      </c>
      <c r="P79" s="18">
        <v>4.0613147545803174E-8</v>
      </c>
      <c r="Q79" s="28">
        <v>0.45454545454545453</v>
      </c>
      <c r="R79" s="60">
        <v>274.54724203135896</v>
      </c>
      <c r="S79" s="57">
        <v>1.712000315161193E-6</v>
      </c>
      <c r="U79" s="127">
        <v>1.3248054541089511E-10</v>
      </c>
      <c r="V79" s="127">
        <v>2.3884454473201546E-10</v>
      </c>
      <c r="W79" s="128">
        <v>4.2349341957975062E-10</v>
      </c>
      <c r="X79" s="128">
        <f t="shared" si="2"/>
        <v>2.5841576361366915E-10</v>
      </c>
      <c r="Y79" s="139">
        <f t="shared" si="3"/>
        <v>0.34604192424613017</v>
      </c>
      <c r="AA79" s="73"/>
      <c r="AB79" s="176"/>
      <c r="AC79" s="176"/>
      <c r="AD79" s="176"/>
      <c r="AJ79" s="135"/>
    </row>
    <row r="80" spans="2:36" x14ac:dyDescent="0.35">
      <c r="I80" s="109">
        <v>1.8138162317300002E-2</v>
      </c>
      <c r="J80" s="109">
        <v>3.2811345590043439E-10</v>
      </c>
      <c r="K80" s="109">
        <v>6.5230310032805339E-11</v>
      </c>
      <c r="L80" s="152">
        <v>3.5085430736154479E-10</v>
      </c>
      <c r="N80" s="18">
        <v>2.1063343746034297E-6</v>
      </c>
      <c r="O80" s="18">
        <v>1.2043579780249245E-10</v>
      </c>
      <c r="P80" s="18">
        <v>3.7358141531164883E-8</v>
      </c>
      <c r="Q80" s="28">
        <v>0.45454545454545453</v>
      </c>
      <c r="R80" s="60">
        <v>276.86936919111446</v>
      </c>
      <c r="S80" s="57">
        <v>1.712000315161193E-6</v>
      </c>
      <c r="U80" s="127">
        <v>1.8871697660262872E-10</v>
      </c>
      <c r="V80" s="127">
        <v>3.5085430736154479E-10</v>
      </c>
      <c r="W80" s="128">
        <v>5.8026826583982296E-10</v>
      </c>
      <c r="X80" s="128">
        <f t="shared" si="2"/>
        <v>3.6767346429138535E-10</v>
      </c>
      <c r="Y80" s="139">
        <f t="shared" si="3"/>
        <v>0.36780181219422547</v>
      </c>
      <c r="AA80" s="73"/>
      <c r="AB80" s="176"/>
      <c r="AC80" s="176"/>
      <c r="AD80" s="176"/>
      <c r="AJ80" s="135"/>
    </row>
    <row r="81" spans="2:36" x14ac:dyDescent="0.35">
      <c r="I81" s="109">
        <v>1.8319543940500001E-2</v>
      </c>
      <c r="J81" s="109">
        <v>4.6773941259083518E-10</v>
      </c>
      <c r="K81" s="109">
        <v>7.9724535593792583E-11</v>
      </c>
      <c r="L81" s="152">
        <v>4.934766126899827E-10</v>
      </c>
      <c r="N81" s="18">
        <v>2.2159124835398589E-6</v>
      </c>
      <c r="O81" s="18">
        <v>1.1093048112340735E-10</v>
      </c>
      <c r="P81" s="18">
        <v>3.3625420575865659E-8</v>
      </c>
      <c r="Q81" s="28">
        <v>0.45454545454545453</v>
      </c>
      <c r="R81" s="60">
        <v>276.86936919111446</v>
      </c>
      <c r="S81" s="57">
        <v>1.6967052295126106E-6</v>
      </c>
      <c r="U81" s="127">
        <v>2.8186265525032009E-10</v>
      </c>
      <c r="V81" s="127">
        <v>4.934766126899827E-10</v>
      </c>
      <c r="W81" s="128">
        <v>7.5709494654838297E-10</v>
      </c>
      <c r="X81" s="128">
        <f t="shared" si="2"/>
        <v>5.0647770679466709E-10</v>
      </c>
      <c r="Y81" s="139">
        <f t="shared" si="3"/>
        <v>0.23610054528190377</v>
      </c>
      <c r="AA81" s="73"/>
      <c r="AB81" s="176"/>
      <c r="AC81" s="176"/>
      <c r="AD81" s="176"/>
      <c r="AJ81" s="135"/>
    </row>
    <row r="82" spans="2:36" x14ac:dyDescent="0.35">
      <c r="I82" s="109">
        <v>1.8502739379900001E-2</v>
      </c>
      <c r="J82" s="109">
        <v>7.4184087418846992E-10</v>
      </c>
      <c r="K82" s="109">
        <v>8.976808834490831E-11</v>
      </c>
      <c r="L82" s="152">
        <v>6.5982514867422809E-10</v>
      </c>
      <c r="N82" s="18">
        <v>2.3358075126342535E-6</v>
      </c>
      <c r="O82" s="18">
        <v>1.0051655036892841E-10</v>
      </c>
      <c r="P82" s="18">
        <v>2.9535888489069367E-8</v>
      </c>
      <c r="Q82" s="28">
        <v>0.45454545454545453</v>
      </c>
      <c r="R82" s="60">
        <v>279.37977591357827</v>
      </c>
      <c r="S82" s="57">
        <v>1.6967052295126106E-6</v>
      </c>
      <c r="U82" s="127">
        <v>4.0791478278326836E-10</v>
      </c>
      <c r="V82" s="127">
        <v>6.5982514867422809E-10</v>
      </c>
      <c r="W82" s="128">
        <v>9.4480054773328013E-10</v>
      </c>
      <c r="X82" s="128">
        <f t="shared" si="2"/>
        <v>6.6809140696625119E-10</v>
      </c>
      <c r="Y82" s="139">
        <f t="shared" si="3"/>
        <v>0.67495344906121169</v>
      </c>
      <c r="AA82" s="73"/>
      <c r="AB82" s="176"/>
      <c r="AC82" s="176"/>
      <c r="AD82" s="176"/>
      <c r="AJ82" s="135"/>
    </row>
    <row r="83" spans="2:36" x14ac:dyDescent="0.35">
      <c r="I83" s="109">
        <v>1.8687766773700001E-2</v>
      </c>
      <c r="J83" s="109">
        <v>8.9615894521177415E-10</v>
      </c>
      <c r="K83" s="109">
        <v>1.0058276263749338E-10</v>
      </c>
      <c r="L83" s="152">
        <v>8.4157773368129993E-10</v>
      </c>
      <c r="N83" s="18">
        <v>2.4296303745312318E-6</v>
      </c>
      <c r="O83" s="18">
        <v>9.2360844852852474E-11</v>
      </c>
      <c r="P83" s="18">
        <v>2.6333157437289582E-8</v>
      </c>
      <c r="Q83" s="28">
        <v>0.22727272727272727</v>
      </c>
      <c r="R83" s="60">
        <v>279.37977591357827</v>
      </c>
      <c r="S83" s="57">
        <v>1.681490837500083E-6</v>
      </c>
      <c r="U83" s="127">
        <v>5.6108039918246712E-10</v>
      </c>
      <c r="V83" s="127">
        <v>8.4157773368129993E-10</v>
      </c>
      <c r="W83" s="128">
        <v>1.1333674542440606E-9</v>
      </c>
      <c r="X83" s="128">
        <f t="shared" si="2"/>
        <v>8.4440083019728183E-10</v>
      </c>
      <c r="Y83" s="139">
        <f t="shared" si="3"/>
        <v>0.26479500155162611</v>
      </c>
      <c r="AA83" s="73"/>
      <c r="AB83" s="176"/>
      <c r="AC83" s="176"/>
      <c r="AD83" s="176"/>
      <c r="AJ83" s="135"/>
    </row>
    <row r="84" spans="2:36" x14ac:dyDescent="0.35">
      <c r="I84" s="109">
        <v>1.8874644441399999E-2</v>
      </c>
      <c r="J84" s="109">
        <v>1.0457713242843521E-9</v>
      </c>
      <c r="K84" s="109">
        <v>1.0632661770859149E-10</v>
      </c>
      <c r="L84" s="152">
        <v>1.0293555175291136E-9</v>
      </c>
      <c r="N84" s="18">
        <v>2.5000403822831728E-6</v>
      </c>
      <c r="O84" s="18">
        <v>8.6317846783659503E-11</v>
      </c>
      <c r="P84" s="18">
        <v>2.3960082842590184E-8</v>
      </c>
      <c r="Q84" s="28">
        <v>0.27433079872934468</v>
      </c>
      <c r="R84" s="60">
        <v>282.17426166703677</v>
      </c>
      <c r="S84" s="57">
        <v>1.681490837500083E-6</v>
      </c>
      <c r="U84" s="127">
        <v>7.3400472369329514E-10</v>
      </c>
      <c r="V84" s="127">
        <v>1.0293555175291136E-9</v>
      </c>
      <c r="W84" s="128">
        <v>1.3124292859112428E-9</v>
      </c>
      <c r="X84" s="128">
        <f t="shared" si="2"/>
        <v>1.0262862611656913E-9</v>
      </c>
      <c r="Y84" s="139">
        <f t="shared" si="3"/>
        <v>3.3583011322200554E-2</v>
      </c>
      <c r="AA84" s="73"/>
      <c r="AB84" s="176"/>
      <c r="AC84" s="176"/>
      <c r="AD84" s="176"/>
      <c r="AJ84" s="135"/>
    </row>
    <row r="85" spans="2:36" x14ac:dyDescent="0.35">
      <c r="I85" s="109">
        <v>1.9063390885799999E-2</v>
      </c>
      <c r="J85" s="109">
        <v>1.0534810337388136E-9</v>
      </c>
      <c r="K85" s="109">
        <v>1.0878536311394498E-10</v>
      </c>
      <c r="L85" s="152">
        <v>1.2131696149814942E-9</v>
      </c>
      <c r="N85" s="18">
        <v>2.5757225525322249E-6</v>
      </c>
      <c r="O85" s="18">
        <v>7.9721203172187416E-11</v>
      </c>
      <c r="P85" s="18">
        <v>2.1369592628059781E-8</v>
      </c>
      <c r="Q85" s="28">
        <v>0.27901782563242211</v>
      </c>
      <c r="R85" s="60">
        <v>282.17426166703677</v>
      </c>
      <c r="S85" s="57">
        <v>1.6664587252655242E-6</v>
      </c>
      <c r="U85" s="127">
        <v>9.1808734884938749E-10</v>
      </c>
      <c r="V85" s="127">
        <v>1.2131696149814942E-9</v>
      </c>
      <c r="W85" s="128">
        <v>1.4718053293945631E-9</v>
      </c>
      <c r="X85" s="128">
        <f t="shared" si="2"/>
        <v>1.2040579770517349E-9</v>
      </c>
      <c r="Y85" s="139">
        <f t="shared" si="3"/>
        <v>1.9159140495920148</v>
      </c>
      <c r="AA85" s="73"/>
      <c r="AB85" s="176"/>
      <c r="AC85" s="176"/>
      <c r="AD85" s="176"/>
      <c r="AJ85" s="135"/>
    </row>
    <row r="86" spans="2:36" x14ac:dyDescent="0.35">
      <c r="I86" s="109">
        <v>1.9254024794699998E-2</v>
      </c>
      <c r="J86" s="109">
        <v>1.3188075380298666E-9</v>
      </c>
      <c r="K86" s="109">
        <v>1.196887733509431E-10</v>
      </c>
      <c r="L86" s="152">
        <v>1.3829172633047886E-9</v>
      </c>
      <c r="N86" s="18">
        <v>2.6513899201141974E-6</v>
      </c>
      <c r="O86" s="18">
        <v>7.3125849797489764E-11</v>
      </c>
      <c r="P86" s="18">
        <v>1.8779609087216092E-8</v>
      </c>
      <c r="Q86" s="28">
        <v>0.28889548286974742</v>
      </c>
      <c r="R86" s="60">
        <v>285.41047218996033</v>
      </c>
      <c r="S86" s="57">
        <v>1.6664587252655242E-6</v>
      </c>
      <c r="U86" s="127">
        <v>1.1038733892580192E-9</v>
      </c>
      <c r="V86" s="127">
        <v>1.3829172633047886E-9</v>
      </c>
      <c r="W86" s="128">
        <v>1.6020525434400984E-9</v>
      </c>
      <c r="X86" s="128">
        <f t="shared" si="2"/>
        <v>1.3679401148269236E-9</v>
      </c>
      <c r="Y86" s="139">
        <f t="shared" si="3"/>
        <v>0.16851255023413253</v>
      </c>
      <c r="AA86" s="73"/>
      <c r="AB86" s="176"/>
      <c r="AC86" s="176"/>
      <c r="AD86" s="176"/>
      <c r="AJ86" s="135"/>
    </row>
    <row r="87" spans="2:36" x14ac:dyDescent="0.35">
      <c r="I87" s="109">
        <v>1.9446565042599999E-2</v>
      </c>
      <c r="J87" s="109">
        <v>1.5405205443407319E-9</v>
      </c>
      <c r="K87" s="109">
        <v>1.3233565209634814E-10</v>
      </c>
      <c r="L87" s="152">
        <v>1.5289081763350555E-9</v>
      </c>
      <c r="N87" s="18">
        <v>2.7269931385250332E-6</v>
      </c>
      <c r="O87" s="18">
        <v>6.6536087821909837E-11</v>
      </c>
      <c r="P87" s="18">
        <v>1.619182127886201E-8</v>
      </c>
      <c r="Q87" s="28">
        <v>0.30511585966628851</v>
      </c>
      <c r="R87" s="60">
        <v>285.41047218996033</v>
      </c>
      <c r="S87" s="57">
        <v>1.6518034200960911E-6</v>
      </c>
      <c r="U87" s="127">
        <v>1.2815040994565242E-9</v>
      </c>
      <c r="V87" s="127">
        <v>1.5289081763350555E-9</v>
      </c>
      <c r="W87" s="128">
        <v>1.6950129366869669E-9</v>
      </c>
      <c r="X87" s="128">
        <f t="shared" si="2"/>
        <v>1.5085833472034006E-9</v>
      </c>
      <c r="Y87" s="139">
        <f t="shared" si="3"/>
        <v>5.8242482064842956E-2</v>
      </c>
      <c r="AA87" s="73"/>
      <c r="AB87" s="176"/>
      <c r="AC87" s="176"/>
      <c r="AD87" s="176"/>
      <c r="AJ87" s="135"/>
    </row>
    <row r="88" spans="2:36" x14ac:dyDescent="0.35">
      <c r="B88" s="42"/>
      <c r="C88" s="42"/>
      <c r="D88" s="20"/>
      <c r="E88" s="20"/>
      <c r="F88" s="43"/>
      <c r="G88" s="43"/>
      <c r="I88" s="109">
        <v>1.9641030693100001E-2</v>
      </c>
      <c r="J88" s="109">
        <v>1.7211031208697976E-9</v>
      </c>
      <c r="K88" s="109">
        <v>1.4170244747543631E-10</v>
      </c>
      <c r="L88" s="152">
        <v>1.642400380864147E-9</v>
      </c>
      <c r="N88" s="18">
        <v>2.802411166912967E-6</v>
      </c>
      <c r="O88" s="18">
        <v>5.9962467463007486E-11</v>
      </c>
      <c r="P88" s="18">
        <v>1.3610372254670404E-8</v>
      </c>
      <c r="Q88" s="28">
        <v>0.32985484968757195</v>
      </c>
      <c r="R88" s="60">
        <v>289.38720475803274</v>
      </c>
      <c r="S88" s="57">
        <v>1.6518034200960911E-6</v>
      </c>
      <c r="U88" s="127">
        <v>1.4412095665135785E-9</v>
      </c>
      <c r="V88" s="127">
        <v>1.642400380864147E-9</v>
      </c>
      <c r="W88" s="128">
        <v>1.7443322381209221E-9</v>
      </c>
      <c r="X88" s="128">
        <f t="shared" si="2"/>
        <v>1.6175856415906985E-9</v>
      </c>
      <c r="Y88" s="139">
        <f t="shared" si="3"/>
        <v>0.5336698568461905</v>
      </c>
      <c r="AA88" s="73"/>
      <c r="AB88" s="176"/>
      <c r="AC88" s="176"/>
      <c r="AD88" s="176"/>
      <c r="AJ88" s="135"/>
    </row>
    <row r="89" spans="2:36" x14ac:dyDescent="0.35">
      <c r="I89" s="109">
        <v>1.9837441000000001E-2</v>
      </c>
      <c r="J89" s="109">
        <v>1.558474809611776E-9</v>
      </c>
      <c r="K89" s="109">
        <v>1.3346969600543087E-10</v>
      </c>
      <c r="L89" s="152">
        <v>1.716123086162717E-9</v>
      </c>
      <c r="N89" s="18">
        <v>2.8773923806993435E-6</v>
      </c>
      <c r="O89" s="18">
        <v>5.3426920936307296E-11</v>
      </c>
      <c r="P89" s="18">
        <v>1.1043874756672797E-8</v>
      </c>
      <c r="Q89" s="28">
        <v>0.36718140925644527</v>
      </c>
      <c r="R89" s="60">
        <v>289.38720475803274</v>
      </c>
      <c r="S89" s="57">
        <v>1.6379134498640481E-6</v>
      </c>
      <c r="U89" s="127">
        <v>1.5738244513065235E-9</v>
      </c>
      <c r="V89" s="127">
        <v>1.716123086162717E-9</v>
      </c>
      <c r="W89" s="128">
        <v>1.7459232965808278E-9</v>
      </c>
      <c r="X89" s="128">
        <f t="shared" si="2"/>
        <v>1.6879984800531962E-9</v>
      </c>
      <c r="Y89" s="139">
        <f t="shared" si="3"/>
        <v>0.94174417645150577</v>
      </c>
      <c r="AA89" s="73"/>
      <c r="AB89" s="176"/>
      <c r="AC89" s="176"/>
      <c r="AD89" s="176"/>
      <c r="AJ89" s="135"/>
    </row>
    <row r="90" spans="2:36" x14ac:dyDescent="0.35">
      <c r="I90" s="109">
        <v>2.0035815410000001E-2</v>
      </c>
      <c r="J90" s="109">
        <v>1.8576422439657235E-9</v>
      </c>
      <c r="K90" s="109">
        <v>1.4787274439701943E-10</v>
      </c>
      <c r="L90" s="152">
        <v>1.7447619140402761E-9</v>
      </c>
      <c r="N90" s="18">
        <v>2.9514457649592163E-6</v>
      </c>
      <c r="O90" s="18">
        <v>4.69722463071545E-11</v>
      </c>
      <c r="P90" s="18">
        <v>8.5091355090167258E-9</v>
      </c>
      <c r="Q90" s="28">
        <v>0.42522182801861985</v>
      </c>
      <c r="R90" s="60">
        <v>294.81494004468317</v>
      </c>
      <c r="S90" s="57">
        <v>1.6379134498640481E-6</v>
      </c>
      <c r="U90" s="127">
        <v>1.671306032069207E-9</v>
      </c>
      <c r="V90" s="127">
        <v>1.7447619140402761E-9</v>
      </c>
      <c r="W90" s="128">
        <v>1.698344949128963E-9</v>
      </c>
      <c r="X90" s="128">
        <f t="shared" si="2"/>
        <v>1.7147937023196806E-9</v>
      </c>
      <c r="Y90" s="139">
        <f t="shared" si="3"/>
        <v>0.93320134439761637</v>
      </c>
      <c r="AA90" s="73"/>
      <c r="AB90" s="176"/>
      <c r="AC90" s="176"/>
      <c r="AD90" s="176"/>
      <c r="AJ90" s="135"/>
    </row>
    <row r="91" spans="2:36" x14ac:dyDescent="0.35">
      <c r="I91" s="109">
        <v>2.0236173564099999E-2</v>
      </c>
      <c r="J91" s="109">
        <v>1.513606673375036E-9</v>
      </c>
      <c r="K91" s="109">
        <v>1.3220226700820976E-10</v>
      </c>
      <c r="L91" s="152">
        <v>1.7253792606416677E-9</v>
      </c>
      <c r="N91" s="18">
        <v>3.0236206968941626E-6</v>
      </c>
      <c r="O91" s="18">
        <v>4.0681302190590146E-11</v>
      </c>
      <c r="P91" s="18">
        <v>6.038692942470242E-9</v>
      </c>
      <c r="Q91" s="28">
        <v>0.52252270986663085</v>
      </c>
      <c r="R91" s="60">
        <v>294.81494004468317</v>
      </c>
      <c r="S91" s="57">
        <v>1.6256360678990014E-6</v>
      </c>
      <c r="U91" s="127">
        <v>1.7272317423895847E-9</v>
      </c>
      <c r="V91" s="127">
        <v>1.7253792606416677E-9</v>
      </c>
      <c r="W91" s="128">
        <v>1.6030649602714414E-9</v>
      </c>
      <c r="X91" s="128">
        <f t="shared" si="2"/>
        <v>1.6952638059860904E-9</v>
      </c>
      <c r="Y91" s="139">
        <f t="shared" si="3"/>
        <v>1.8881091828867276</v>
      </c>
      <c r="AA91" s="73"/>
      <c r="AB91" s="176"/>
      <c r="AC91" s="176"/>
      <c r="AD91" s="176"/>
      <c r="AJ91" s="135"/>
    </row>
    <row r="92" spans="2:36" x14ac:dyDescent="0.35">
      <c r="I92" s="109">
        <v>2.0438535299700002E-2</v>
      </c>
      <c r="J92" s="109">
        <v>1.5812782426019929E-9</v>
      </c>
      <c r="K92" s="109">
        <v>1.3597284257111126E-10</v>
      </c>
      <c r="L92" s="152">
        <v>1.6577402078154994E-9</v>
      </c>
      <c r="N92" s="18">
        <v>3.0920102541720052E-6</v>
      </c>
      <c r="O92" s="18">
        <v>3.4720300614873111E-11</v>
      </c>
      <c r="P92" s="18">
        <v>3.6978182249334949E-9</v>
      </c>
      <c r="Q92" s="28">
        <v>0.71317718802348939</v>
      </c>
      <c r="R92" s="60">
        <v>304.56865241611195</v>
      </c>
      <c r="S92" s="57">
        <v>1.6256360678990014E-6</v>
      </c>
      <c r="U92" s="127">
        <v>1.7372510134303028E-9</v>
      </c>
      <c r="V92" s="127">
        <v>1.6577402078154994E-9</v>
      </c>
      <c r="W92" s="128">
        <v>1.4645751563468754E-9</v>
      </c>
      <c r="X92" s="128">
        <f t="shared" si="2"/>
        <v>1.6293266463520441E-9</v>
      </c>
      <c r="Y92" s="139">
        <f t="shared" si="3"/>
        <v>0.12486869558250777</v>
      </c>
      <c r="AA92" s="73"/>
      <c r="AB92" s="176"/>
      <c r="AC92" s="176"/>
      <c r="AD92" s="176"/>
      <c r="AJ92" s="135"/>
    </row>
    <row r="93" spans="2:36" x14ac:dyDescent="0.35">
      <c r="I93" s="109">
        <v>2.06429206527E-2</v>
      </c>
      <c r="J93" s="109">
        <v>1.5432671725649161E-9</v>
      </c>
      <c r="K93" s="109">
        <v>1.3762552452197275E-10</v>
      </c>
      <c r="L93" s="152">
        <v>1.5445130835804595E-9</v>
      </c>
      <c r="N93" s="18">
        <v>3.1524489597356358E-6</v>
      </c>
      <c r="O93" s="18">
        <v>2.9452314778447387E-11</v>
      </c>
      <c r="P93" s="18">
        <v>1.6290895557337576E-9</v>
      </c>
      <c r="Q93" s="28">
        <v>1.281588875373888</v>
      </c>
      <c r="R93" s="60">
        <v>304.56865241611195</v>
      </c>
      <c r="S93" s="57">
        <v>1.6171477193448048E-6</v>
      </c>
      <c r="U93" s="127">
        <v>1.6994638063286799E-9</v>
      </c>
      <c r="V93" s="127">
        <v>1.5445130835804595E-9</v>
      </c>
      <c r="W93" s="128">
        <v>1.2903292997808063E-9</v>
      </c>
      <c r="X93" s="128">
        <f t="shared" si="2"/>
        <v>1.5197048183176013E-9</v>
      </c>
      <c r="Y93" s="139">
        <f t="shared" si="3"/>
        <v>2.931159071165599E-2</v>
      </c>
      <c r="AA93" s="73"/>
      <c r="AB93" s="176"/>
      <c r="AC93" s="176"/>
      <c r="AD93" s="176"/>
      <c r="AJ93" s="135"/>
    </row>
    <row r="94" spans="2:36" x14ac:dyDescent="0.35">
      <c r="I94" s="109">
        <v>2.0849349859299999E-2</v>
      </c>
      <c r="J94" s="109">
        <v>1.5001223260787731E-9</v>
      </c>
      <c r="K94" s="109">
        <v>1.3533103111069971E-10</v>
      </c>
      <c r="L94" s="152">
        <v>1.3913145613061795E-9</v>
      </c>
      <c r="N94" s="18">
        <v>3.1942273436063003E-6</v>
      </c>
      <c r="O94" s="18">
        <v>2.5810808355585536E-11</v>
      </c>
      <c r="P94" s="18">
        <v>1.990764596544104E-10</v>
      </c>
      <c r="Q94" s="28">
        <v>1.7210815880741237</v>
      </c>
      <c r="R94" s="60">
        <v>317.66718588531006</v>
      </c>
      <c r="S94" s="57">
        <v>1.6171477193448048E-6</v>
      </c>
      <c r="U94" s="127">
        <v>1.6146963673759568E-9</v>
      </c>
      <c r="V94" s="127">
        <v>1.3913145613061795E-9</v>
      </c>
      <c r="W94" s="128">
        <v>1.0904807158565665E-9</v>
      </c>
      <c r="X94" s="128">
        <f t="shared" si="2"/>
        <v>1.3719515514612206E-9</v>
      </c>
      <c r="Y94" s="139">
        <f t="shared" si="3"/>
        <v>0.89698098481764132</v>
      </c>
      <c r="AA94" s="73"/>
      <c r="AB94" s="176"/>
      <c r="AC94" s="176"/>
      <c r="AD94" s="176"/>
      <c r="AJ94" s="135"/>
    </row>
    <row r="95" spans="2:36" x14ac:dyDescent="0.35">
      <c r="I95" s="109">
        <v>2.1057843357800001E-2</v>
      </c>
      <c r="J95" s="109">
        <v>1.2494811053209037E-9</v>
      </c>
      <c r="K95" s="109">
        <v>1.2215541195314736E-10</v>
      </c>
      <c r="L95" s="152">
        <v>1.2065731882018244E-9</v>
      </c>
      <c r="N95" s="18">
        <v>3.1999999999999999E-6</v>
      </c>
      <c r="O95" s="18">
        <v>2.5307649463664093E-11</v>
      </c>
      <c r="P95" s="18">
        <v>1.486857631694136E-12</v>
      </c>
      <c r="Q95" s="28">
        <v>28.246868249365853</v>
      </c>
      <c r="R95" s="60">
        <v>317.66718588531006</v>
      </c>
      <c r="S95" s="57">
        <v>1.61597482064069E-6</v>
      </c>
      <c r="U95" s="127">
        <v>1.4866443092212704E-9</v>
      </c>
      <c r="V95" s="127">
        <v>1.2065731882018244E-9</v>
      </c>
      <c r="W95" s="128">
        <v>8.7740793444215258E-10</v>
      </c>
      <c r="X95" s="128">
        <f t="shared" si="2"/>
        <v>1.1942996550167679E-9</v>
      </c>
      <c r="Y95" s="139">
        <f t="shared" si="3"/>
        <v>0.20406136901869629</v>
      </c>
      <c r="AA95" s="73"/>
      <c r="AB95" s="176"/>
      <c r="AC95" s="176"/>
      <c r="AD95" s="176"/>
      <c r="AJ95" s="135"/>
    </row>
    <row r="96" spans="2:36" x14ac:dyDescent="0.35">
      <c r="I96" s="109">
        <v>2.12684217914E-2</v>
      </c>
      <c r="J96" s="109">
        <v>1.0265294701567949E-9</v>
      </c>
      <c r="K96" s="109">
        <v>1.1282721411919035E-10</v>
      </c>
      <c r="L96" s="152">
        <v>1.0011933467927463E-9</v>
      </c>
      <c r="N96" s="18">
        <v>3.1954282917291422E-6</v>
      </c>
      <c r="O96" s="18">
        <v>2.5394460155846639E-11</v>
      </c>
      <c r="P96" s="18">
        <v>1.4888560802367562E-12</v>
      </c>
      <c r="Q96" s="28">
        <v>1.7210815880741237</v>
      </c>
      <c r="R96" s="60">
        <v>1248.9387309878709</v>
      </c>
      <c r="S96" s="57">
        <v>1.61597482064069E-6</v>
      </c>
      <c r="U96" s="127">
        <v>1.3218551117073913E-9</v>
      </c>
      <c r="V96" s="127">
        <v>1.0011933467927463E-9</v>
      </c>
      <c r="W96" s="128">
        <v>6.6503265890469002E-10</v>
      </c>
      <c r="X96" s="128">
        <f t="shared" si="2"/>
        <v>9.9731861604939334E-10</v>
      </c>
      <c r="Y96" s="139">
        <f t="shared" si="3"/>
        <v>6.7028697704293261E-2</v>
      </c>
      <c r="AA96" s="73"/>
      <c r="AB96" s="176"/>
      <c r="AC96" s="176"/>
      <c r="AD96" s="176"/>
      <c r="AJ96" s="135"/>
    </row>
    <row r="97" spans="9:36" x14ac:dyDescent="0.35">
      <c r="I97" s="109">
        <v>2.1481106009300002E-2</v>
      </c>
      <c r="J97" s="109">
        <v>8.6183927159347561E-10</v>
      </c>
      <c r="K97" s="109">
        <v>1.0438285662051755E-10</v>
      </c>
      <c r="L97" s="152">
        <v>7.8801429288844018E-10</v>
      </c>
      <c r="N97" s="18">
        <v>3.1623415167579099E-6</v>
      </c>
      <c r="O97" s="18">
        <v>2.6022734242286083E-11</v>
      </c>
      <c r="P97" s="18">
        <v>1.5033194303246767E-12</v>
      </c>
      <c r="Q97" s="28">
        <v>1.281588875373888</v>
      </c>
      <c r="R97" s="60">
        <v>1248.9387309878709</v>
      </c>
      <c r="S97" s="57">
        <v>1.6163989751356594E-6</v>
      </c>
      <c r="U97" s="127">
        <v>1.1295274983836665E-9</v>
      </c>
      <c r="V97" s="127">
        <v>7.8801429288844018E-10</v>
      </c>
      <c r="W97" s="128">
        <v>4.679542829552824E-10</v>
      </c>
      <c r="X97" s="128">
        <f t="shared" si="2"/>
        <v>7.9337759177895739E-10</v>
      </c>
      <c r="Y97" s="139">
        <f t="shared" si="3"/>
        <v>0.43016665880808702</v>
      </c>
      <c r="AA97" s="73"/>
      <c r="AB97" s="176"/>
      <c r="AC97" s="176"/>
      <c r="AD97" s="176"/>
      <c r="AJ97" s="135"/>
    </row>
    <row r="98" spans="9:36" x14ac:dyDescent="0.35">
      <c r="I98" s="109">
        <v>2.1695917069400002E-2</v>
      </c>
      <c r="J98" s="109">
        <v>5.0653068044669008E-10</v>
      </c>
      <c r="K98" s="109">
        <v>8.3160742902430527E-11</v>
      </c>
      <c r="L98" s="152">
        <v>5.8107572216974901E-10</v>
      </c>
      <c r="N98" s="18">
        <v>3.1144765285686335E-6</v>
      </c>
      <c r="O98" s="18">
        <v>2.6931627047740807E-11</v>
      </c>
      <c r="P98" s="18">
        <v>1.5242428379924715E-12</v>
      </c>
      <c r="Q98" s="28">
        <v>0.71317718802348939</v>
      </c>
      <c r="R98" s="60">
        <v>1252.3808941640191</v>
      </c>
      <c r="S98" s="57">
        <v>1.6163989751356594E-6</v>
      </c>
      <c r="U98" s="127">
        <v>9.2111452917102001E-10</v>
      </c>
      <c r="V98" s="127">
        <v>5.8107572216974901E-10</v>
      </c>
      <c r="W98" s="128">
        <v>3.0044694842893859E-10</v>
      </c>
      <c r="X98" s="128">
        <f t="shared" si="2"/>
        <v>5.9592823048486422E-10</v>
      </c>
      <c r="Y98" s="139">
        <f t="shared" si="3"/>
        <v>1.155618573284624</v>
      </c>
      <c r="AA98" s="73"/>
      <c r="AB98" s="176"/>
      <c r="AC98" s="176"/>
      <c r="AD98" s="176"/>
      <c r="AJ98" s="135"/>
    </row>
    <row r="99" spans="9:36" x14ac:dyDescent="0.35">
      <c r="I99" s="109">
        <v>2.19128762401E-2</v>
      </c>
      <c r="J99" s="109">
        <v>4.8357567575810841E-10</v>
      </c>
      <c r="K99" s="109">
        <v>3.5729717692164846E-11</v>
      </c>
      <c r="L99" s="152">
        <v>3.9472106241556035E-10</v>
      </c>
      <c r="N99" s="18">
        <v>3.0603147903108973E-6</v>
      </c>
      <c r="O99" s="18">
        <v>2.7960086807068764E-11</v>
      </c>
      <c r="P99" s="18">
        <v>1.5479187684049419E-12</v>
      </c>
      <c r="Q99" s="28">
        <v>0.52252270986663085</v>
      </c>
      <c r="R99" s="60">
        <v>1252.3808941640191</v>
      </c>
      <c r="S99" s="57">
        <v>1.6194687038883762E-6</v>
      </c>
      <c r="U99" s="127">
        <v>7.0973079471668476E-10</v>
      </c>
      <c r="V99" s="127">
        <v>3.9472106241556035E-10</v>
      </c>
      <c r="W99" s="128">
        <v>1.7538596289157219E-10</v>
      </c>
      <c r="X99" s="128">
        <f t="shared" si="2"/>
        <v>4.1863972060984439E-10</v>
      </c>
      <c r="Y99" s="139">
        <f t="shared" si="3"/>
        <v>3.3030207078026033</v>
      </c>
      <c r="AA99" s="73"/>
      <c r="AB99" s="176"/>
      <c r="AC99" s="176"/>
      <c r="AD99" s="176"/>
      <c r="AJ99" s="135"/>
    </row>
    <row r="100" spans="9:36" x14ac:dyDescent="0.35">
      <c r="I100" s="109">
        <v>2.21320050025E-2</v>
      </c>
      <c r="J100" s="109">
        <v>3.775896216266454E-10</v>
      </c>
      <c r="K100" s="109">
        <v>3.2318762617274582E-11</v>
      </c>
      <c r="L100" s="152">
        <v>2.4259020251114529E-10</v>
      </c>
      <c r="N100" s="18">
        <v>3.0031551898129859E-6</v>
      </c>
      <c r="O100" s="18">
        <v>2.9045472004486553E-11</v>
      </c>
      <c r="P100" s="18">
        <v>1.5729051659491501E-12</v>
      </c>
      <c r="Q100" s="28">
        <v>0.42522182801861985</v>
      </c>
      <c r="R100" s="60">
        <v>1254.9440719147669</v>
      </c>
      <c r="S100" s="57">
        <v>1.6194687038883762E-6</v>
      </c>
      <c r="U100" s="127">
        <v>5.0938116897933956E-10</v>
      </c>
      <c r="V100" s="127">
        <v>2.4259020251114529E-10</v>
      </c>
      <c r="W100" s="128">
        <v>1.0318699555045644E-10</v>
      </c>
      <c r="X100" s="128">
        <f t="shared" si="2"/>
        <v>2.7443714238802169E-10</v>
      </c>
      <c r="Y100" s="139">
        <f t="shared" si="3"/>
        <v>10.18708410699287</v>
      </c>
      <c r="AA100" s="73"/>
      <c r="AB100" s="176"/>
      <c r="AC100" s="176"/>
      <c r="AD100" s="176"/>
      <c r="AJ100" s="135"/>
    </row>
    <row r="101" spans="9:36" x14ac:dyDescent="0.35">
      <c r="I101" s="109">
        <v>2.2353325052600001E-2</v>
      </c>
      <c r="J101" s="109">
        <v>2.1541948289249564E-10</v>
      </c>
      <c r="K101" s="109">
        <v>2.2963695894903881E-11</v>
      </c>
      <c r="L101" s="152">
        <v>1.3657187528795359E-10</v>
      </c>
      <c r="N101" s="18">
        <v>2.9445079317369009E-6</v>
      </c>
      <c r="O101" s="18">
        <v>3.015910585130201E-11</v>
      </c>
      <c r="P101" s="18">
        <v>1.5985418690121882E-12</v>
      </c>
      <c r="Q101" s="28">
        <v>0.36718140925644527</v>
      </c>
      <c r="R101" s="60">
        <v>1254.9440719147669</v>
      </c>
      <c r="S101" s="57">
        <v>1.6239095274688198E-6</v>
      </c>
      <c r="U101" s="127">
        <v>3.3404772923903139E-10</v>
      </c>
      <c r="V101" s="127">
        <v>1.3657187528795359E-10</v>
      </c>
      <c r="W101" s="128">
        <v>9.0850812983784067E-11</v>
      </c>
      <c r="X101" s="128">
        <f t="shared" si="2"/>
        <v>1.7451057319968066E-10</v>
      </c>
      <c r="Y101" s="139">
        <f t="shared" si="3"/>
        <v>3.1736003528198213</v>
      </c>
      <c r="AA101" s="73"/>
      <c r="AB101" s="176"/>
      <c r="AC101" s="176"/>
      <c r="AD101" s="176"/>
      <c r="AJ101" s="135"/>
    </row>
    <row r="102" spans="9:36" x14ac:dyDescent="0.35">
      <c r="I102" s="109">
        <v>2.2576858303100002E-2</v>
      </c>
      <c r="J102" s="109">
        <v>1.8221314444221576E-10</v>
      </c>
      <c r="K102" s="109">
        <v>2.1153767780098503E-11</v>
      </c>
      <c r="L102" s="152">
        <v>8.5799427901525088E-11</v>
      </c>
      <c r="N102" s="18">
        <v>2.885125870542291E-6</v>
      </c>
      <c r="O102" s="18">
        <v>3.1286692637272319E-11</v>
      </c>
      <c r="P102" s="18">
        <v>1.6244997794083121E-12</v>
      </c>
      <c r="Q102" s="28">
        <v>0.32985484968757195</v>
      </c>
      <c r="R102" s="60">
        <v>1256.3704262908138</v>
      </c>
      <c r="S102" s="57">
        <v>1.6239095274688198E-6</v>
      </c>
      <c r="U102" s="127">
        <v>1.966904805033337E-10</v>
      </c>
      <c r="V102" s="127">
        <v>8.5799427901525088E-11</v>
      </c>
      <c r="W102" s="128">
        <v>1.4120623346173463E-10</v>
      </c>
      <c r="X102" s="128">
        <f t="shared" si="2"/>
        <v>1.2737389244202962E-10</v>
      </c>
      <c r="Y102" s="139">
        <f t="shared" si="3"/>
        <v>6.7205927624048227</v>
      </c>
      <c r="AA102" s="73"/>
      <c r="AB102" s="176"/>
      <c r="AC102" s="176"/>
      <c r="AD102" s="176"/>
      <c r="AJ102" s="135"/>
    </row>
    <row r="103" spans="9:36" x14ac:dyDescent="0.35">
      <c r="I103" s="109">
        <v>2.2802626886099998E-2</v>
      </c>
      <c r="J103" s="109">
        <v>1.8314541384716296E-10</v>
      </c>
      <c r="K103" s="109">
        <v>2.1947301567094334E-11</v>
      </c>
      <c r="L103" s="152">
        <v>9.5779674464921474E-11</v>
      </c>
      <c r="N103" s="18">
        <v>2.8253978700104729E-6</v>
      </c>
      <c r="O103" s="18">
        <v>3.242084835361548E-11</v>
      </c>
      <c r="P103" s="18">
        <v>1.6506089116067295E-12</v>
      </c>
      <c r="Q103" s="28">
        <v>0.30511585966628851</v>
      </c>
      <c r="R103" s="60">
        <v>1256.3704262908138</v>
      </c>
      <c r="S103" s="57">
        <v>1.6289345516777812E-6</v>
      </c>
      <c r="U103" s="127">
        <v>1.082337631241807E-10</v>
      </c>
      <c r="V103" s="127">
        <v>9.5779674464921474E-11</v>
      </c>
      <c r="W103" s="128">
        <v>2.5243371684387635E-10</v>
      </c>
      <c r="X103" s="128">
        <f t="shared" si="2"/>
        <v>1.3805670722447498E-10</v>
      </c>
      <c r="Y103" s="139">
        <f t="shared" si="3"/>
        <v>4.2205912391416831</v>
      </c>
      <c r="AA103" s="73"/>
      <c r="AB103" s="176"/>
      <c r="AC103" s="176"/>
      <c r="AD103" s="176"/>
      <c r="AJ103" s="135"/>
    </row>
    <row r="104" spans="9:36" x14ac:dyDescent="0.35">
      <c r="I104" s="109">
        <v>2.3030653155000001E-2</v>
      </c>
      <c r="J104" s="109">
        <v>2.7073478304937553E-10</v>
      </c>
      <c r="K104" s="109">
        <v>2.6340097113506506E-11</v>
      </c>
      <c r="L104" s="152">
        <v>1.6774133985079505E-10</v>
      </c>
      <c r="N104" s="18">
        <v>2.7655232065384687E-6</v>
      </c>
      <c r="O104" s="18">
        <v>3.3557789005173389E-11</v>
      </c>
      <c r="P104" s="18">
        <v>1.6767821551442145E-12</v>
      </c>
      <c r="Q104" s="28">
        <v>0.28889548286974742</v>
      </c>
      <c r="R104" s="60">
        <v>1257.4154717105471</v>
      </c>
      <c r="S104" s="57">
        <v>1.6289345516777812E-6</v>
      </c>
      <c r="U104" s="127">
        <v>7.6621020874216839E-11</v>
      </c>
      <c r="V104" s="127">
        <v>1.6774133985079505E-10</v>
      </c>
      <c r="W104" s="128">
        <v>4.1793241121755279E-10</v>
      </c>
      <c r="X104" s="128">
        <f t="shared" si="2"/>
        <v>2.0750902794833993E-10</v>
      </c>
      <c r="Y104" s="139">
        <f t="shared" si="3"/>
        <v>5.7617353459033387</v>
      </c>
      <c r="AA104" s="73"/>
      <c r="AB104" s="176"/>
      <c r="AC104" s="176"/>
      <c r="AD104" s="176"/>
      <c r="AJ104" s="135"/>
    </row>
    <row r="105" spans="9:36" x14ac:dyDescent="0.35">
      <c r="I105" s="109">
        <v>2.32609596865E-2</v>
      </c>
      <c r="J105" s="109">
        <v>3.6559919966235119E-10</v>
      </c>
      <c r="K105" s="109">
        <v>2.9645620244779443E-11</v>
      </c>
      <c r="L105" s="152">
        <v>2.9827702259203775E-10</v>
      </c>
      <c r="N105" s="18">
        <v>2.7055977395409723E-6</v>
      </c>
      <c r="O105" s="18">
        <v>3.4695694348472758E-11</v>
      </c>
      <c r="P105" s="18">
        <v>1.7029776066235592E-12</v>
      </c>
      <c r="Q105" s="28">
        <v>0.27901782563242211</v>
      </c>
      <c r="R105" s="60">
        <v>1257.4154717105471</v>
      </c>
      <c r="S105" s="57">
        <v>1.6342377119070514E-6</v>
      </c>
      <c r="U105" s="127">
        <v>1.06023817973195E-10</v>
      </c>
      <c r="V105" s="127">
        <v>2.9827702259203775E-10</v>
      </c>
      <c r="W105" s="128">
        <v>6.2656678727152346E-10</v>
      </c>
      <c r="X105" s="128">
        <f t="shared" si="2"/>
        <v>3.3228616260719849E-10</v>
      </c>
      <c r="Y105" s="139">
        <f t="shared" si="3"/>
        <v>1.2627209141400992</v>
      </c>
      <c r="AA105" s="73"/>
      <c r="AB105" s="176"/>
      <c r="AC105" s="176"/>
      <c r="AD105" s="176"/>
      <c r="AJ105" s="135"/>
    </row>
    <row r="106" spans="9:36" x14ac:dyDescent="0.35">
      <c r="I106" s="109">
        <v>2.34935692834E-2</v>
      </c>
      <c r="J106" s="109">
        <v>5.2234031356396941E-10</v>
      </c>
      <c r="K106" s="109">
        <v>3.6889573541654648E-11</v>
      </c>
      <c r="L106" s="152">
        <v>4.7933180561539334E-10</v>
      </c>
      <c r="N106" s="18">
        <v>2.645660549435274E-6</v>
      </c>
      <c r="O106" s="18">
        <v>3.5833822298088476E-11</v>
      </c>
      <c r="P106" s="18">
        <v>1.7291781826705961E-12</v>
      </c>
      <c r="Q106" s="28">
        <v>0.27433079872934468</v>
      </c>
      <c r="R106" s="60">
        <v>1258.2659153665843</v>
      </c>
      <c r="S106" s="57">
        <v>1.6342377119070514E-6</v>
      </c>
      <c r="U106" s="127">
        <v>1.9628548854752543E-10</v>
      </c>
      <c r="V106" s="127">
        <v>4.7933180561539334E-10</v>
      </c>
      <c r="W106" s="128">
        <v>8.6329828892402118E-10</v>
      </c>
      <c r="X106" s="128">
        <f t="shared" si="2"/>
        <v>5.0456184717558325E-10</v>
      </c>
      <c r="Y106" s="139">
        <f t="shared" si="3"/>
        <v>0.23226368962074409</v>
      </c>
      <c r="AA106" s="73"/>
      <c r="AB106" s="176"/>
      <c r="AC106" s="176"/>
      <c r="AD106" s="176"/>
      <c r="AJ106" s="135"/>
    </row>
    <row r="107" spans="9:36" x14ac:dyDescent="0.35">
      <c r="I107" s="109">
        <v>2.37285049762E-2</v>
      </c>
      <c r="J107" s="109">
        <v>6.505455183873144E-10</v>
      </c>
      <c r="K107" s="109">
        <v>4.1900066092714589E-11</v>
      </c>
      <c r="L107" s="152">
        <v>6.9856491345082088E-10</v>
      </c>
      <c r="N107" s="18">
        <v>2.5857220530311834E-6</v>
      </c>
      <c r="O107" s="18">
        <v>3.6971975052582559E-11</v>
      </c>
      <c r="P107" s="18">
        <v>1.7553793297449081E-12</v>
      </c>
      <c r="Q107" s="28">
        <v>0.27433079872934468</v>
      </c>
      <c r="R107" s="60">
        <v>1258.2659153665843</v>
      </c>
      <c r="S107" s="57">
        <v>1.6396788942084604E-6</v>
      </c>
      <c r="U107" s="127">
        <v>3.4266569030290656E-10</v>
      </c>
      <c r="V107" s="127">
        <v>6.9856491345082088E-10</v>
      </c>
      <c r="W107" s="128">
        <v>1.1101758992645532E-9</v>
      </c>
      <c r="X107" s="128">
        <f t="shared" si="2"/>
        <v>7.1249285411727533E-10</v>
      </c>
      <c r="Y107" s="139">
        <f t="shared" si="3"/>
        <v>2.1858273179547103</v>
      </c>
      <c r="AA107" s="73"/>
      <c r="AB107" s="176"/>
      <c r="AC107" s="176"/>
      <c r="AD107" s="176"/>
      <c r="AJ107" s="135"/>
    </row>
    <row r="108" spans="9:36" x14ac:dyDescent="0.35">
      <c r="I108" s="109">
        <v>2.3965790026000001E-2</v>
      </c>
      <c r="J108" s="109">
        <v>9.7824470507266254E-10</v>
      </c>
      <c r="K108" s="109">
        <v>5.5304266947501716E-11</v>
      </c>
      <c r="L108" s="152">
        <v>9.400810327104448E-10</v>
      </c>
      <c r="N108" s="18">
        <v>2.5257848629254851E-6</v>
      </c>
      <c r="O108" s="18">
        <v>3.8110103002198277E-11</v>
      </c>
      <c r="P108" s="18">
        <v>1.781579905791945E-12</v>
      </c>
      <c r="Q108" s="28">
        <v>0.27901782563242211</v>
      </c>
      <c r="R108" s="60">
        <v>1259.0002781850972</v>
      </c>
      <c r="S108" s="57">
        <v>1.6396788942084604E-6</v>
      </c>
      <c r="U108" s="127">
        <v>5.3593075891032965E-10</v>
      </c>
      <c r="V108" s="127">
        <v>9.400810327104448E-10</v>
      </c>
      <c r="W108" s="128">
        <v>1.3476298244275343E-9</v>
      </c>
      <c r="X108" s="128">
        <f t="shared" si="2"/>
        <v>9.4093066218968834E-10</v>
      </c>
      <c r="Y108" s="139">
        <f t="shared" si="3"/>
        <v>0.4552262868636256</v>
      </c>
      <c r="AA108" s="73"/>
      <c r="AB108" s="176"/>
      <c r="AC108" s="176"/>
      <c r="AD108" s="176"/>
      <c r="AJ108" s="135"/>
    </row>
    <row r="109" spans="9:36" x14ac:dyDescent="0.35">
      <c r="I109" s="109">
        <v>2.42054479262E-2</v>
      </c>
      <c r="J109" s="109">
        <v>1.222419442911666E-9</v>
      </c>
      <c r="K109" s="109">
        <v>6.4098871375770269E-11</v>
      </c>
      <c r="L109" s="152">
        <v>1.1854978813593516E-9</v>
      </c>
      <c r="N109" s="18">
        <v>2.4658593959279887E-6</v>
      </c>
      <c r="O109" s="18">
        <v>3.9248008345497645E-11</v>
      </c>
      <c r="P109" s="18">
        <v>1.8077753572712897E-12</v>
      </c>
      <c r="Q109" s="28">
        <v>0.28889548286974742</v>
      </c>
      <c r="R109" s="60">
        <v>1259.0002781850972</v>
      </c>
      <c r="S109" s="57">
        <v>1.6451882501611994E-6</v>
      </c>
      <c r="U109" s="127">
        <v>7.628083618234505E-10</v>
      </c>
      <c r="V109" s="127">
        <v>1.1854978813593516E-9</v>
      </c>
      <c r="W109" s="128">
        <v>1.5559863459953542E-9</v>
      </c>
      <c r="X109" s="128">
        <f t="shared" si="2"/>
        <v>1.1724476176343769E-9</v>
      </c>
      <c r="Y109" s="139">
        <f t="shared" si="3"/>
        <v>0.6077845558421886</v>
      </c>
      <c r="AA109" s="73"/>
      <c r="AB109" s="176"/>
      <c r="AC109" s="176"/>
      <c r="AD109" s="176"/>
      <c r="AJ109" s="135"/>
    </row>
    <row r="110" spans="9:36" x14ac:dyDescent="0.35">
      <c r="I110" s="109">
        <v>2.4447502405500001E-2</v>
      </c>
      <c r="J110" s="109">
        <v>1.33489826080331E-9</v>
      </c>
      <c r="K110" s="109">
        <v>6.8422553365183349E-11</v>
      </c>
      <c r="L110" s="152">
        <v>1.4152885834834652E-9</v>
      </c>
      <c r="N110" s="18">
        <v>2.4059847324559845E-6</v>
      </c>
      <c r="O110" s="18">
        <v>4.0384948997055555E-11</v>
      </c>
      <c r="P110" s="18">
        <v>1.8339486008087749E-12</v>
      </c>
      <c r="Q110" s="28">
        <v>0.30511585966628851</v>
      </c>
      <c r="R110" s="60">
        <v>1259.6599878844722</v>
      </c>
      <c r="S110" s="57">
        <v>1.6451882501611994E-6</v>
      </c>
      <c r="U110" s="127">
        <v>1.0067961678633372E-9</v>
      </c>
      <c r="V110" s="127">
        <v>1.4152885834834652E-9</v>
      </c>
      <c r="W110" s="128">
        <v>1.7171001279252765E-9</v>
      </c>
      <c r="X110" s="128">
        <f t="shared" si="2"/>
        <v>1.3886183656888861E-9</v>
      </c>
      <c r="Y110" s="139">
        <f t="shared" si="3"/>
        <v>0.61641776987112928</v>
      </c>
      <c r="AA110" s="73"/>
      <c r="AB110" s="176"/>
      <c r="AC110" s="176"/>
      <c r="AD110" s="176"/>
      <c r="AJ110" s="135"/>
    </row>
    <row r="111" spans="9:36" x14ac:dyDescent="0.35">
      <c r="I111" s="109">
        <v>2.4691977429599998E-2</v>
      </c>
      <c r="J111" s="109">
        <v>1.6566696886762741E-9</v>
      </c>
      <c r="K111" s="109">
        <v>7.8151850090956927E-11</v>
      </c>
      <c r="L111" s="152">
        <v>1.6103127969834171E-9</v>
      </c>
      <c r="N111" s="18">
        <v>2.3462567319241665E-6</v>
      </c>
      <c r="O111" s="18">
        <v>4.1519104713398716E-11</v>
      </c>
      <c r="P111" s="18">
        <v>1.8600577330071923E-12</v>
      </c>
      <c r="Q111" s="28">
        <v>0.32985484968757195</v>
      </c>
      <c r="R111" s="60">
        <v>1259.6599878844722</v>
      </c>
      <c r="S111" s="57">
        <v>1.6507297017150068E-6</v>
      </c>
      <c r="U111" s="127">
        <v>1.2492855535867E-9</v>
      </c>
      <c r="V111" s="127">
        <v>1.6103127969834171E-9</v>
      </c>
      <c r="W111" s="128">
        <v>1.8159831772711478E-9</v>
      </c>
      <c r="X111" s="128">
        <f t="shared" si="2"/>
        <v>1.5714735812061705E-9</v>
      </c>
      <c r="Y111" s="139">
        <f t="shared" si="3"/>
        <v>1.1883954444956277</v>
      </c>
      <c r="AA111" s="73"/>
      <c r="AB111" s="176"/>
      <c r="AC111" s="176"/>
      <c r="AD111" s="176"/>
      <c r="AJ111" s="135"/>
    </row>
    <row r="112" spans="9:36" x14ac:dyDescent="0.35">
      <c r="I112" s="109">
        <v>2.4938897203899999E-2</v>
      </c>
      <c r="J112" s="109">
        <v>1.618791604941266E-9</v>
      </c>
      <c r="K112" s="109">
        <v>7.5140219881053932E-11</v>
      </c>
      <c r="L112" s="152">
        <v>1.7534301149646178E-9</v>
      </c>
      <c r="N112" s="18">
        <v>2.2868746707295566E-6</v>
      </c>
      <c r="O112" s="18">
        <v>4.2646691499369025E-11</v>
      </c>
      <c r="P112" s="18">
        <v>1.8860156434033162E-12</v>
      </c>
      <c r="Q112" s="28">
        <v>0.36718140925644527</v>
      </c>
      <c r="R112" s="60">
        <v>1260.2702196038049</v>
      </c>
      <c r="S112" s="57">
        <v>1.6507297017150068E-6</v>
      </c>
      <c r="U112" s="127">
        <v>1.4709347082047196E-9</v>
      </c>
      <c r="V112" s="127">
        <v>1.7534301149646178E-9</v>
      </c>
      <c r="W112" s="128">
        <v>1.8422976763994308E-9</v>
      </c>
      <c r="X112" s="128">
        <f t="shared" si="2"/>
        <v>1.7050231536333465E-9</v>
      </c>
      <c r="Y112" s="139">
        <f t="shared" si="3"/>
        <v>1.3170050757559744</v>
      </c>
      <c r="AA112" s="73"/>
      <c r="AB112" s="176"/>
      <c r="AC112" s="176"/>
      <c r="AD112" s="176"/>
      <c r="AJ112" s="135"/>
    </row>
    <row r="113" spans="9:36" x14ac:dyDescent="0.35">
      <c r="I113" s="109">
        <v>2.51882861759E-2</v>
      </c>
      <c r="J113" s="109">
        <v>1.682049233972043E-9</v>
      </c>
      <c r="K113" s="109">
        <v>7.7584519747793591E-11</v>
      </c>
      <c r="L113" s="152">
        <v>1.8310734627097271E-9</v>
      </c>
      <c r="N113" s="18">
        <v>2.2282274126534715E-6</v>
      </c>
      <c r="O113" s="18">
        <v>4.3760325346184482E-11</v>
      </c>
      <c r="P113" s="18">
        <v>1.9116523464663543E-12</v>
      </c>
      <c r="Q113" s="28">
        <v>0.42522182801861985</v>
      </c>
      <c r="R113" s="60">
        <v>1260.2702196038049</v>
      </c>
      <c r="S113" s="57">
        <v>1.6562847603805633E-6</v>
      </c>
      <c r="U113" s="127">
        <v>1.6532021195792978E-9</v>
      </c>
      <c r="V113" s="127">
        <v>1.8310734627097271E-9</v>
      </c>
      <c r="W113" s="128">
        <v>1.7915741206507366E-9</v>
      </c>
      <c r="X113" s="128">
        <f t="shared" si="2"/>
        <v>1.7767307914123722E-9</v>
      </c>
      <c r="Y113" s="139">
        <f t="shared" si="3"/>
        <v>1.4892946655472585</v>
      </c>
      <c r="AA113" s="73"/>
      <c r="AB113" s="176"/>
      <c r="AC113" s="176"/>
      <c r="AD113" s="176"/>
      <c r="AJ113" s="135"/>
    </row>
    <row r="114" spans="9:36" x14ac:dyDescent="0.35">
      <c r="I114" s="109">
        <v>2.5440169037600002E-2</v>
      </c>
      <c r="J114" s="109">
        <v>1.6666781031743144E-9</v>
      </c>
      <c r="K114" s="109">
        <v>7.676944845454614E-11</v>
      </c>
      <c r="L114" s="152">
        <v>1.8346497916943471E-9</v>
      </c>
      <c r="N114" s="18">
        <v>2.1710678121555601E-6</v>
      </c>
      <c r="O114" s="18">
        <v>4.4845710543602274E-11</v>
      </c>
      <c r="P114" s="18">
        <v>1.9366387440105623E-12</v>
      </c>
      <c r="Q114" s="28">
        <v>0.52252270986663085</v>
      </c>
      <c r="R114" s="60">
        <v>1260.8480105695444</v>
      </c>
      <c r="S114" s="57">
        <v>1.6562847603805633E-6</v>
      </c>
      <c r="U114" s="127">
        <v>1.7799320949818525E-9</v>
      </c>
      <c r="V114" s="127">
        <v>1.8346497916943471E-9</v>
      </c>
      <c r="W114" s="128">
        <v>1.6660187875947174E-9</v>
      </c>
      <c r="X114" s="128">
        <f t="shared" si="2"/>
        <v>1.7788126164913158E-9</v>
      </c>
      <c r="Y114" s="139">
        <f t="shared" si="3"/>
        <v>2.1335447876156488</v>
      </c>
      <c r="AA114" s="73"/>
      <c r="AB114" s="176"/>
      <c r="AC114" s="176"/>
      <c r="AD114" s="176"/>
      <c r="AJ114" s="135"/>
    </row>
    <row r="115" spans="9:36" x14ac:dyDescent="0.35">
      <c r="I115" s="109">
        <v>2.5694570728E-2</v>
      </c>
      <c r="J115" s="109">
        <v>1.5161552080728559E-9</v>
      </c>
      <c r="K115" s="109">
        <v>7.4458531604877871E-11</v>
      </c>
      <c r="L115" s="152">
        <v>1.7616318039377141E-9</v>
      </c>
      <c r="N115" s="18">
        <v>2.1169060738978239E-6</v>
      </c>
      <c r="O115" s="18">
        <v>4.5874170302930228E-11</v>
      </c>
      <c r="P115" s="18">
        <v>1.9603146744230327E-12</v>
      </c>
      <c r="Q115" s="28">
        <v>0.71317718802348939</v>
      </c>
      <c r="R115" s="60">
        <v>1260.8480105695444</v>
      </c>
      <c r="S115" s="57">
        <v>1.6618445325016645E-6</v>
      </c>
      <c r="U115" s="127">
        <v>1.8388693402694529E-9</v>
      </c>
      <c r="V115" s="127">
        <v>1.7616318039377141E-9</v>
      </c>
      <c r="W115" s="128">
        <v>1.4747886227050408E-9</v>
      </c>
      <c r="X115" s="128">
        <f t="shared" si="2"/>
        <v>1.7092303927124805E-9</v>
      </c>
      <c r="Y115" s="139">
        <f t="shared" si="3"/>
        <v>6.723942380029106</v>
      </c>
      <c r="AA115" s="73"/>
      <c r="AB115" s="176"/>
      <c r="AC115" s="176"/>
      <c r="AD115" s="176"/>
      <c r="AJ115" s="135"/>
    </row>
    <row r="116" spans="9:36" x14ac:dyDescent="0.35">
      <c r="I116" s="109">
        <v>2.5951516435299998E-2</v>
      </c>
      <c r="J116" s="109">
        <v>1.4026113279414999E-9</v>
      </c>
      <c r="K116" s="109">
        <v>7.1291087216819879E-11</v>
      </c>
      <c r="L116" s="152">
        <v>1.6162101334332358E-9</v>
      </c>
      <c r="N116" s="18">
        <v>2.0690410857085476E-6</v>
      </c>
      <c r="O116" s="18">
        <v>4.6783063108384949E-11</v>
      </c>
      <c r="P116" s="18">
        <v>1.9812380820908275E-12</v>
      </c>
      <c r="Q116" s="28">
        <v>1.281588875373888</v>
      </c>
      <c r="R116" s="60">
        <v>1261.4060462208092</v>
      </c>
      <c r="S116" s="57">
        <v>1.6618445325016645E-6</v>
      </c>
      <c r="U116" s="127">
        <v>1.8229707159724103E-9</v>
      </c>
      <c r="V116" s="127">
        <v>1.6162101334332358E-9</v>
      </c>
      <c r="W116" s="128">
        <v>1.2336404910462304E-9</v>
      </c>
      <c r="X116" s="128">
        <f t="shared" si="2"/>
        <v>1.5722578684712781E-9</v>
      </c>
      <c r="Y116" s="139">
        <f t="shared" si="3"/>
        <v>5.6626476592553416</v>
      </c>
      <c r="AA116" s="73"/>
      <c r="AB116" s="176"/>
      <c r="AC116" s="176"/>
      <c r="AD116" s="176"/>
      <c r="AJ116" s="135"/>
    </row>
    <row r="117" spans="9:36" x14ac:dyDescent="0.35">
      <c r="I117" s="109">
        <v>2.6211031599700001E-2</v>
      </c>
      <c r="J117" s="109">
        <v>1.1898620286164964E-9</v>
      </c>
      <c r="K117" s="109">
        <v>6.5859774040080976E-11</v>
      </c>
      <c r="L117" s="152">
        <v>1.409393419156716E-9</v>
      </c>
      <c r="N117" s="18">
        <v>2.0359543107373152E-6</v>
      </c>
      <c r="O117" s="18">
        <v>4.7411337194824393E-11</v>
      </c>
      <c r="P117" s="18">
        <v>1.995701432178748E-12</v>
      </c>
      <c r="Q117" s="28">
        <v>1.7210815880741237</v>
      </c>
      <c r="R117" s="60">
        <v>1261.4060462208092</v>
      </c>
      <c r="S117" s="57">
        <v>1.6674053922706958E-6</v>
      </c>
      <c r="U117" s="127">
        <v>1.7313808578559056E-9</v>
      </c>
      <c r="V117" s="127">
        <v>1.409393419156716E-9</v>
      </c>
      <c r="W117" s="128">
        <v>9.6390777377629583E-10</v>
      </c>
      <c r="X117" s="128">
        <f t="shared" si="2"/>
        <v>1.3785188674864085E-9</v>
      </c>
      <c r="Y117" s="139">
        <f t="shared" si="3"/>
        <v>8.2054921355983108</v>
      </c>
      <c r="AA117" s="73"/>
      <c r="AB117" s="176"/>
      <c r="AC117" s="176"/>
      <c r="AD117" s="176"/>
      <c r="AJ117" s="135"/>
    </row>
    <row r="118" spans="9:36" x14ac:dyDescent="0.35">
      <c r="I118" s="109">
        <v>2.6473141915700001E-2</v>
      </c>
      <c r="J118" s="109">
        <v>1.0834813720230279E-9</v>
      </c>
      <c r="K118" s="109">
        <v>6.4836669854459351E-11</v>
      </c>
      <c r="L118" s="152">
        <v>1.1584769273612133E-9</v>
      </c>
      <c r="N118" s="18">
        <v>2.0313826024664576E-6</v>
      </c>
      <c r="O118" s="18">
        <v>4.7498147887006942E-11</v>
      </c>
      <c r="P118" s="18">
        <v>1.9976998807213682E-12</v>
      </c>
      <c r="Q118" s="28">
        <v>100</v>
      </c>
      <c r="R118" s="60">
        <v>1261.9547078182679</v>
      </c>
      <c r="S118" s="57">
        <v>1.6674053922706958E-6</v>
      </c>
      <c r="U118" s="127">
        <v>1.5699469072626116E-9</v>
      </c>
      <c r="V118" s="127">
        <v>1.1584769273612133E-9</v>
      </c>
      <c r="W118" s="128">
        <v>6.908203837480346E-10</v>
      </c>
      <c r="X118" s="128">
        <f t="shared" si="2"/>
        <v>1.1444302864332681E-9</v>
      </c>
      <c r="Y118" s="139">
        <f t="shared" si="3"/>
        <v>0.88367088915336822</v>
      </c>
      <c r="AA118" s="73"/>
      <c r="AB118" s="176"/>
      <c r="AC118" s="176"/>
      <c r="AD118" s="176"/>
      <c r="AJ118" s="135"/>
    </row>
    <row r="119" spans="9:36" x14ac:dyDescent="0.35">
      <c r="I119" s="109">
        <v>2.6737873334799999E-2</v>
      </c>
      <c r="J119" s="109">
        <v>9.8710453347683031E-10</v>
      </c>
      <c r="K119" s="109">
        <v>6.2787014627128564E-11</v>
      </c>
      <c r="L119" s="152">
        <v>8.8585034572549621E-10</v>
      </c>
      <c r="R119" s="60">
        <v>1261.9547078182679</v>
      </c>
      <c r="S119" s="57">
        <v>1.6713455097281112E-6</v>
      </c>
      <c r="U119" s="127">
        <v>1.3511690313184577E-9</v>
      </c>
      <c r="V119" s="127">
        <v>8.8585034572549621E-10</v>
      </c>
      <c r="W119" s="128">
        <v>4.4126055736637764E-10</v>
      </c>
      <c r="X119" s="128">
        <f t="shared" si="2"/>
        <v>8.9103257003395685E-10</v>
      </c>
      <c r="Y119" s="139">
        <f t="shared" si="3"/>
        <v>2.3412816717639489</v>
      </c>
      <c r="AA119" s="73"/>
      <c r="AB119" s="176"/>
      <c r="AC119" s="176"/>
      <c r="AD119" s="176"/>
      <c r="AJ119" s="135"/>
    </row>
    <row r="120" spans="9:36" x14ac:dyDescent="0.35">
      <c r="I120" s="109">
        <v>2.7005252068200002E-2</v>
      </c>
      <c r="J120" s="109">
        <v>7.7098629796405229E-10</v>
      </c>
      <c r="K120" s="109">
        <v>5.5333453323533991E-11</v>
      </c>
      <c r="L120" s="152">
        <v>6.171808912982891E-10</v>
      </c>
      <c r="R120" s="60">
        <v>1262.1819805455407</v>
      </c>
      <c r="S120" s="57">
        <v>1.6713455097281112E-6</v>
      </c>
      <c r="U120" s="127">
        <v>1.093520129680804E-9</v>
      </c>
      <c r="V120" s="127">
        <v>6.171808912982891E-10</v>
      </c>
      <c r="W120" s="128">
        <v>2.4112803113418708E-10</v>
      </c>
      <c r="X120" s="128">
        <f t="shared" si="2"/>
        <v>6.4225248585289232E-10</v>
      </c>
      <c r="Y120" s="139">
        <f t="shared" si="3"/>
        <v>5.41264706628656</v>
      </c>
      <c r="AA120" s="73"/>
      <c r="AB120" s="176"/>
      <c r="AC120" s="176"/>
      <c r="AD120" s="176"/>
      <c r="AJ120" s="135"/>
    </row>
    <row r="121" spans="9:36" x14ac:dyDescent="0.35">
      <c r="I121" s="109">
        <v>2.7275304588799999E-2</v>
      </c>
      <c r="J121" s="109">
        <v>5.359647729440414E-10</v>
      </c>
      <c r="K121" s="109">
        <v>4.5665335439343913E-11</v>
      </c>
      <c r="L121" s="152">
        <v>3.7908400042121451E-10</v>
      </c>
      <c r="R121" s="60">
        <v>1262.1819805455407</v>
      </c>
      <c r="S121" s="57">
        <v>1.6748117005356557E-6</v>
      </c>
      <c r="U121" s="127">
        <v>8.2012087848722185E-10</v>
      </c>
      <c r="V121" s="127">
        <v>3.7908400042121451E-10</v>
      </c>
      <c r="W121" s="128">
        <v>1.1256245587731055E-10</v>
      </c>
      <c r="X121" s="128">
        <f t="shared" si="2"/>
        <v>4.2271283380174037E-10</v>
      </c>
      <c r="Y121" s="139">
        <f t="shared" si="3"/>
        <v>6.1506071604883337</v>
      </c>
      <c r="AA121" s="73"/>
      <c r="AB121" s="176"/>
      <c r="AC121" s="176"/>
      <c r="AD121" s="176"/>
      <c r="AJ121" s="135"/>
    </row>
    <row r="122" spans="9:36" x14ac:dyDescent="0.35">
      <c r="I122" s="109">
        <v>2.7548057634700002E-2</v>
      </c>
      <c r="J122" s="109">
        <v>4.8708250199539281E-10</v>
      </c>
      <c r="K122" s="109">
        <v>4.5825832525446454E-11</v>
      </c>
      <c r="L122" s="152">
        <v>1.9647166089984227E-10</v>
      </c>
      <c r="R122" s="60">
        <v>1262.6365260000862</v>
      </c>
      <c r="S122" s="57">
        <v>1.6748117005356557E-6</v>
      </c>
      <c r="U122" s="127">
        <v>5.5682296122963748E-10</v>
      </c>
      <c r="V122" s="127">
        <v>1.9647166089984227E-10</v>
      </c>
      <c r="W122" s="128">
        <v>7.1324376379734875E-11</v>
      </c>
      <c r="X122" s="128">
        <f t="shared" si="2"/>
        <v>2.5527266485226422E-10</v>
      </c>
      <c r="Y122" s="139">
        <f t="shared" si="3"/>
        <v>25.588392073562396</v>
      </c>
      <c r="AA122" s="73"/>
      <c r="AB122" s="176"/>
      <c r="AC122" s="176"/>
      <c r="AD122" s="176"/>
      <c r="AJ122" s="135"/>
    </row>
    <row r="123" spans="9:36" x14ac:dyDescent="0.35">
      <c r="I123" s="109">
        <v>2.78235382111E-2</v>
      </c>
      <c r="J123" s="109">
        <v>3.5182708546268648E-10</v>
      </c>
      <c r="K123" s="109">
        <v>4.1180943658506041E-11</v>
      </c>
      <c r="L123" s="152">
        <v>8.9835906876323812E-11</v>
      </c>
      <c r="R123" s="60">
        <v>1262.6365260000862</v>
      </c>
      <c r="S123" s="57">
        <v>1.6793883847298279E-6</v>
      </c>
      <c r="U123" s="127">
        <v>3.2982827620109169E-10</v>
      </c>
      <c r="V123" s="127">
        <v>8.9835906876323812E-11</v>
      </c>
      <c r="W123" s="128">
        <v>1.2465622718711052E-10</v>
      </c>
      <c r="X123" s="128">
        <f t="shared" si="2"/>
        <v>1.5853907928521246E-10</v>
      </c>
      <c r="Y123" s="139">
        <f t="shared" si="3"/>
        <v>22.030138321402777</v>
      </c>
      <c r="AA123" s="73"/>
      <c r="AB123" s="176"/>
      <c r="AC123" s="176"/>
      <c r="AD123" s="176"/>
      <c r="AJ123" s="135"/>
    </row>
    <row r="124" spans="9:36" x14ac:dyDescent="0.35">
      <c r="I124" s="109">
        <v>2.81017735932E-2</v>
      </c>
      <c r="J124" s="109">
        <v>3.1649558250826401E-10</v>
      </c>
      <c r="K124" s="109">
        <v>3.7123973219252968E-11</v>
      </c>
      <c r="L124" s="152">
        <v>7.2769118692498076E-11</v>
      </c>
      <c r="R124" s="60">
        <v>1263.0910714546317</v>
      </c>
      <c r="S124" s="57">
        <v>1.6793883847298279E-6</v>
      </c>
      <c r="U124" s="127">
        <v>1.6304575842768866E-10</v>
      </c>
      <c r="V124" s="127">
        <v>7.2769118692498076E-11</v>
      </c>
      <c r="W124" s="128">
        <v>2.6992330240440689E-10</v>
      </c>
      <c r="X124" s="128">
        <f t="shared" si="2"/>
        <v>1.4462682455427292E-10</v>
      </c>
      <c r="Y124" s="139">
        <f t="shared" si="3"/>
        <v>21.433099272687031</v>
      </c>
      <c r="AA124" s="73"/>
      <c r="AB124" s="176"/>
      <c r="AC124" s="176"/>
      <c r="AD124" s="176"/>
      <c r="AJ124" s="135"/>
    </row>
    <row r="125" spans="9:36" x14ac:dyDescent="0.35">
      <c r="I125" s="109">
        <v>2.8382791329100002E-2</v>
      </c>
      <c r="J125" s="109">
        <v>4.2128351129752801E-10</v>
      </c>
      <c r="K125" s="109">
        <v>4.4624152993145959E-11</v>
      </c>
      <c r="L125" s="152">
        <v>1.5003247451225904E-10</v>
      </c>
      <c r="R125" s="60">
        <v>1263.0910714546317</v>
      </c>
      <c r="S125" s="57">
        <v>1.6838745174080099E-6</v>
      </c>
      <c r="U125" s="127">
        <v>7.544845578942601E-11</v>
      </c>
      <c r="V125" s="127">
        <v>1.5003247451225904E-10</v>
      </c>
      <c r="W125" s="128">
        <v>4.9426999397873859E-10</v>
      </c>
      <c r="X125" s="128">
        <f t="shared" si="2"/>
        <v>2.1744584969817067E-10</v>
      </c>
      <c r="Y125" s="139">
        <f t="shared" si="3"/>
        <v>20.865504278784211</v>
      </c>
      <c r="AA125" s="73"/>
      <c r="AB125" s="176"/>
      <c r="AC125" s="176"/>
      <c r="AD125" s="176"/>
      <c r="AJ125" s="135"/>
    </row>
    <row r="126" spans="9:36" x14ac:dyDescent="0.35">
      <c r="I126" s="109">
        <v>2.86666192424E-2</v>
      </c>
      <c r="J126" s="109">
        <v>5.1509428401306753E-10</v>
      </c>
      <c r="K126" s="109">
        <v>5.0723583594109086E-11</v>
      </c>
      <c r="L126" s="152">
        <v>3.1645275183765284E-10</v>
      </c>
      <c r="R126" s="60">
        <v>1263.5456169091772</v>
      </c>
      <c r="S126" s="57">
        <v>1.6838745174080099E-6</v>
      </c>
      <c r="U126" s="127">
        <v>7.8729530788534524E-11</v>
      </c>
      <c r="V126" s="127">
        <v>3.1645275183765284E-10</v>
      </c>
      <c r="W126" s="128">
        <v>7.7542451117419108E-10</v>
      </c>
      <c r="X126" s="128">
        <f t="shared" si="2"/>
        <v>3.7176488640950782E-10</v>
      </c>
      <c r="Y126" s="139">
        <f t="shared" si="3"/>
        <v>7.9845545793900197</v>
      </c>
      <c r="AA126" s="73"/>
      <c r="AB126" s="176"/>
      <c r="AC126" s="176"/>
      <c r="AD126" s="176"/>
      <c r="AJ126" s="135"/>
    </row>
    <row r="127" spans="9:36" x14ac:dyDescent="0.35">
      <c r="I127" s="109">
        <v>2.89532854348E-2</v>
      </c>
      <c r="J127" s="109">
        <v>7.19204862102997E-10</v>
      </c>
      <c r="K127" s="109">
        <v>6.0663945716988855E-11</v>
      </c>
      <c r="L127" s="152">
        <v>5.5685577748048612E-10</v>
      </c>
      <c r="R127" s="60">
        <v>1263.5456169091772</v>
      </c>
      <c r="S127" s="57">
        <v>1.6882395162753945E-6</v>
      </c>
      <c r="U127" s="127">
        <v>1.7555716895329224E-10</v>
      </c>
      <c r="V127" s="127">
        <v>5.5685577748048612E-10</v>
      </c>
      <c r="W127" s="128">
        <v>1.083657647369989E-9</v>
      </c>
      <c r="X127" s="128">
        <f t="shared" si="2"/>
        <v>5.9323159282106337E-10</v>
      </c>
      <c r="Y127" s="139">
        <f t="shared" si="3"/>
        <v>4.3121662092550359</v>
      </c>
      <c r="AA127" s="73"/>
      <c r="AB127" s="176"/>
      <c r="AC127" s="176"/>
      <c r="AD127" s="176"/>
      <c r="AJ127" s="135"/>
    </row>
    <row r="128" spans="9:36" x14ac:dyDescent="0.35">
      <c r="I128" s="109">
        <v>2.9242818289200001E-2</v>
      </c>
      <c r="J128" s="109">
        <v>8.8707249557956851E-10</v>
      </c>
      <c r="K128" s="109">
        <v>6.7874744389725143E-11</v>
      </c>
      <c r="L128" s="152">
        <v>8.4713899686517431E-10</v>
      </c>
      <c r="R128" s="60">
        <v>1264.0001623637227</v>
      </c>
      <c r="S128" s="57">
        <v>1.6882395162753945E-6</v>
      </c>
      <c r="U128" s="127">
        <v>3.5869001452912459E-10</v>
      </c>
      <c r="V128" s="127">
        <v>8.4713899686517431E-10</v>
      </c>
      <c r="W128" s="128">
        <v>1.3847632246340386E-9</v>
      </c>
      <c r="X128" s="128">
        <f t="shared" si="2"/>
        <v>8.5943280822337797E-10</v>
      </c>
      <c r="Y128" s="139">
        <f t="shared" si="3"/>
        <v>0.16582493598820836</v>
      </c>
      <c r="AA128" s="73"/>
      <c r="AB128" s="176"/>
      <c r="AC128" s="176"/>
      <c r="AD128" s="176"/>
      <c r="AJ128" s="135"/>
    </row>
    <row r="129" spans="9:36" x14ac:dyDescent="0.35">
      <c r="I129" s="109">
        <v>2.9535246472099999E-2</v>
      </c>
      <c r="J129" s="109">
        <v>1.1505316369714759E-9</v>
      </c>
      <c r="K129" s="109">
        <v>7.9716794694861229E-11</v>
      </c>
      <c r="L129" s="152">
        <v>1.1564579599075499E-9</v>
      </c>
      <c r="R129" s="60">
        <v>1264.0001623637227</v>
      </c>
      <c r="S129" s="57">
        <v>1.6924764028526558E-6</v>
      </c>
      <c r="U129" s="127">
        <v>6.1113800137422007E-10</v>
      </c>
      <c r="V129" s="127">
        <v>1.1564579599075499E-9</v>
      </c>
      <c r="W129" s="128">
        <v>1.6437953604751398E-9</v>
      </c>
      <c r="X129" s="128">
        <f t="shared" si="2"/>
        <v>1.1419623204161149E-9</v>
      </c>
      <c r="Y129" s="139">
        <f t="shared" si="3"/>
        <v>1.1555605753492506E-2</v>
      </c>
      <c r="AA129" s="73"/>
      <c r="AB129" s="176"/>
      <c r="AC129" s="176"/>
      <c r="AD129" s="176"/>
      <c r="AJ129" s="135"/>
    </row>
    <row r="130" spans="9:36" x14ac:dyDescent="0.35">
      <c r="I130" s="109">
        <v>2.9830598936799999E-2</v>
      </c>
      <c r="J130" s="109">
        <v>1.4045505007319364E-9</v>
      </c>
      <c r="K130" s="109">
        <v>8.9120278425666992E-11</v>
      </c>
      <c r="L130" s="152">
        <v>1.4503668297559316E-9</v>
      </c>
      <c r="R130" s="60">
        <v>1264.4547078182682</v>
      </c>
      <c r="S130" s="57">
        <v>1.6924764028526558E-6</v>
      </c>
      <c r="U130" s="127">
        <v>9.0744573304824721E-10</v>
      </c>
      <c r="V130" s="127">
        <v>1.4503668297559316E-9</v>
      </c>
      <c r="W130" s="127">
        <v>1.8291847411163556E-9</v>
      </c>
      <c r="X130" s="128">
        <f t="shared" si="2"/>
        <v>1.4093410334191166E-9</v>
      </c>
      <c r="Y130" s="139">
        <f t="shared" si="3"/>
        <v>2.8894457598694144E-3</v>
      </c>
      <c r="AA130" s="73"/>
      <c r="AB130" s="176"/>
      <c r="AC130" s="176"/>
      <c r="AD130" s="176"/>
      <c r="AJ130" s="135"/>
    </row>
    <row r="131" spans="9:36" x14ac:dyDescent="0.35">
      <c r="I131" s="109">
        <v>3.01289049262E-2</v>
      </c>
      <c r="J131" s="49">
        <v>1.6421609426263118E-9</v>
      </c>
      <c r="K131" s="49">
        <v>1.0161129484430338E-10</v>
      </c>
      <c r="L131" s="152">
        <v>1.6946262689039773E-9</v>
      </c>
      <c r="R131" s="60">
        <v>1264.4547078182682</v>
      </c>
      <c r="S131" s="57">
        <v>1.6966199785749175E-6</v>
      </c>
      <c r="U131" s="127">
        <v>1.2160489337163039E-9</v>
      </c>
      <c r="V131" s="127">
        <v>1.6946262689039773E-9</v>
      </c>
      <c r="W131" s="127">
        <v>1.9167743681570888E-9</v>
      </c>
      <c r="X131" s="128">
        <f t="shared" ref="X131:X194" si="4">(U131+2*V131+W131)/4</f>
        <v>1.6305189599203369E-9</v>
      </c>
      <c r="Y131" s="139">
        <f t="shared" ref="Y131:Y194" si="5">(J131-X131)*(J131-X131)/(K131*K131)</f>
        <v>1.3127134296466759E-2</v>
      </c>
      <c r="AA131" s="73"/>
      <c r="AB131" s="176"/>
      <c r="AC131" s="176"/>
      <c r="AD131" s="176"/>
      <c r="AJ131" s="135"/>
    </row>
    <row r="132" spans="9:36" x14ac:dyDescent="0.35">
      <c r="I132" s="109">
        <v>3.0430193975400002E-2</v>
      </c>
      <c r="J132" s="49">
        <v>1.7836669210507283E-9</v>
      </c>
      <c r="K132" s="49">
        <v>1.0972577815816771E-10</v>
      </c>
      <c r="L132" s="152">
        <v>1.8592866576318155E-9</v>
      </c>
      <c r="R132" s="60">
        <v>1264.9092532728137</v>
      </c>
      <c r="S132" s="57">
        <v>1.6966199785749175E-6</v>
      </c>
      <c r="U132" s="127">
        <v>1.5025232609174758E-9</v>
      </c>
      <c r="V132" s="127">
        <v>1.8592866576318155E-9</v>
      </c>
      <c r="W132" s="127">
        <v>1.8932748113023762E-9</v>
      </c>
      <c r="X132" s="128">
        <f t="shared" si="4"/>
        <v>1.7785928468708707E-9</v>
      </c>
      <c r="Y132" s="139">
        <f t="shared" si="5"/>
        <v>2.1384361383987678E-3</v>
      </c>
      <c r="AA132" s="73"/>
      <c r="AB132" s="176"/>
      <c r="AC132" s="176"/>
      <c r="AD132" s="176"/>
      <c r="AJ132" s="135"/>
    </row>
    <row r="133" spans="9:36" x14ac:dyDescent="0.35">
      <c r="I133" s="109">
        <v>3.07344959152E-2</v>
      </c>
      <c r="J133" s="49">
        <v>1.5329726856786111E-9</v>
      </c>
      <c r="K133" s="49">
        <v>9.7227752675331776E-11</v>
      </c>
      <c r="L133" s="152">
        <v>1.9225819930074548E-9</v>
      </c>
      <c r="R133" s="60">
        <v>1264.9092532728137</v>
      </c>
      <c r="S133" s="57">
        <v>1.7007761169901288E-6</v>
      </c>
      <c r="U133" s="127">
        <v>1.7334232723307392E-9</v>
      </c>
      <c r="V133" s="127">
        <v>1.9225819930074548E-9</v>
      </c>
      <c r="W133" s="127">
        <v>1.7586491638724906E-9</v>
      </c>
      <c r="X133" s="128">
        <f t="shared" si="4"/>
        <v>1.8343091055545347E-9</v>
      </c>
      <c r="Y133" s="139">
        <f t="shared" si="5"/>
        <v>9.6055614180596347</v>
      </c>
      <c r="AA133" s="73"/>
      <c r="AB133" s="176"/>
      <c r="AC133" s="176"/>
      <c r="AD133" s="176"/>
      <c r="AJ133" s="135"/>
    </row>
    <row r="134" spans="9:36" x14ac:dyDescent="0.35">
      <c r="I134" s="109">
        <v>3.1041840874300002E-2</v>
      </c>
      <c r="J134" s="49">
        <v>1.816129367269394E-9</v>
      </c>
      <c r="K134" s="49">
        <v>1.1095242326007175E-10</v>
      </c>
      <c r="L134" s="152">
        <v>1.8741400799118629E-9</v>
      </c>
      <c r="R134" s="60">
        <v>1265.3637987273592</v>
      </c>
      <c r="S134" s="57">
        <v>1.7007761169901288E-6</v>
      </c>
      <c r="U134" s="127">
        <v>1.8803105216531307E-9</v>
      </c>
      <c r="V134" s="127">
        <v>1.8741400799118629E-9</v>
      </c>
      <c r="W134" s="127">
        <v>1.5270073156523686E-9</v>
      </c>
      <c r="X134" s="128">
        <f t="shared" si="4"/>
        <v>1.7888994992823064E-9</v>
      </c>
      <c r="Y134" s="139">
        <f t="shared" si="5"/>
        <v>6.0230641382831927E-2</v>
      </c>
      <c r="AA134" s="73"/>
      <c r="AB134" s="176"/>
      <c r="AC134" s="176"/>
      <c r="AD134" s="176"/>
      <c r="AJ134" s="135"/>
    </row>
    <row r="135" spans="9:36" x14ac:dyDescent="0.35">
      <c r="I135" s="109">
        <v>3.1352259283100002E-2</v>
      </c>
      <c r="J135" s="49">
        <v>1.4863773564988036E-9</v>
      </c>
      <c r="K135" s="49">
        <v>1.0156503863452809E-10</v>
      </c>
      <c r="L135" s="152">
        <v>1.7170370988599381E-9</v>
      </c>
      <c r="R135" s="60">
        <v>1265.3637987273592</v>
      </c>
      <c r="S135" s="57">
        <v>1.7051663228829152E-6</v>
      </c>
      <c r="U135" s="127">
        <v>1.9235049563635622E-9</v>
      </c>
      <c r="V135" s="127">
        <v>1.7170370988599381E-9</v>
      </c>
      <c r="W135" s="127">
        <v>1.2257238467804108E-9</v>
      </c>
      <c r="X135" s="128">
        <f t="shared" si="4"/>
        <v>1.6458257502159622E-9</v>
      </c>
      <c r="Y135" s="139">
        <f t="shared" si="5"/>
        <v>2.4646305131682604</v>
      </c>
      <c r="AA135" s="73"/>
      <c r="AB135" s="176"/>
      <c r="AC135" s="176"/>
      <c r="AD135" s="176"/>
      <c r="AJ135" s="135"/>
    </row>
    <row r="136" spans="9:36" x14ac:dyDescent="0.35">
      <c r="I136" s="109">
        <v>3.1665781875900002E-2</v>
      </c>
      <c r="J136" s="49">
        <v>1.0771803574818843E-9</v>
      </c>
      <c r="K136" s="49">
        <v>9.2885673476905946E-11</v>
      </c>
      <c r="L136" s="152">
        <v>1.4683073807274458E-9</v>
      </c>
      <c r="R136" s="60">
        <v>1265.8183441819046</v>
      </c>
      <c r="S136" s="57">
        <v>1.7051663228829152E-6</v>
      </c>
      <c r="U136" s="127">
        <v>1.8550731187674249E-9</v>
      </c>
      <c r="V136" s="127">
        <v>1.4683073807274458E-9</v>
      </c>
      <c r="W136" s="127">
        <v>8.9269310525978509E-10</v>
      </c>
      <c r="X136" s="128">
        <f t="shared" si="4"/>
        <v>1.4210952463705254E-9</v>
      </c>
      <c r="Y136" s="139">
        <f t="shared" si="5"/>
        <v>13.708959299208184</v>
      </c>
      <c r="AA136" s="73"/>
      <c r="AB136" s="176"/>
      <c r="AC136" s="176"/>
      <c r="AD136" s="176"/>
      <c r="AJ136" s="135"/>
    </row>
    <row r="137" spans="9:36" x14ac:dyDescent="0.35">
      <c r="I137" s="109">
        <v>3.19824396947E-2</v>
      </c>
      <c r="J137" s="49">
        <v>1.1048868710203732E-9</v>
      </c>
      <c r="K137" s="49">
        <v>9.6078071041477496E-11</v>
      </c>
      <c r="L137" s="152">
        <v>1.1576666429174881E-9</v>
      </c>
      <c r="R137" s="60">
        <v>1265.8183441819046</v>
      </c>
      <c r="S137" s="57">
        <v>1.7101903765548246E-6</v>
      </c>
      <c r="U137" s="127">
        <v>1.680599336500948E-9</v>
      </c>
      <c r="V137" s="127">
        <v>1.1576666429174881E-9</v>
      </c>
      <c r="W137" s="127">
        <v>5.7188637500889567E-10</v>
      </c>
      <c r="X137" s="128">
        <f t="shared" si="4"/>
        <v>1.141954749336205E-9</v>
      </c>
      <c r="Y137" s="139">
        <f t="shared" si="5"/>
        <v>0.14884933784769969</v>
      </c>
      <c r="AA137" s="73"/>
      <c r="AB137" s="176"/>
      <c r="AC137" s="176"/>
      <c r="AD137" s="176"/>
      <c r="AJ137" s="135"/>
    </row>
    <row r="138" spans="9:36" x14ac:dyDescent="0.35">
      <c r="I138" s="109">
        <v>3.2302264091600003E-2</v>
      </c>
      <c r="J138" s="49">
        <v>8.6697512997304555E-10</v>
      </c>
      <c r="K138" s="49">
        <v>8.3359692424104392E-11</v>
      </c>
      <c r="L138" s="152">
        <v>8.2441562705939402E-10</v>
      </c>
      <c r="R138" s="60">
        <v>1266.2728896364501</v>
      </c>
      <c r="S138" s="57">
        <v>1.7101903765548246E-6</v>
      </c>
      <c r="U138" s="127">
        <v>1.4193794525674896E-9</v>
      </c>
      <c r="V138" s="127">
        <v>8.2441562705939402E-10</v>
      </c>
      <c r="W138" s="127">
        <v>3.0765153776050688E-10</v>
      </c>
      <c r="X138" s="128">
        <f t="shared" si="4"/>
        <v>8.4396556111169621E-10</v>
      </c>
      <c r="Y138" s="139">
        <f t="shared" si="5"/>
        <v>7.6191189767938108E-2</v>
      </c>
      <c r="AA138" s="73"/>
      <c r="AB138" s="176"/>
      <c r="AC138" s="176"/>
      <c r="AD138" s="176"/>
      <c r="AJ138" s="135"/>
    </row>
    <row r="139" spans="9:36" x14ac:dyDescent="0.35">
      <c r="I139" s="109">
        <v>3.2625286732500001E-2</v>
      </c>
      <c r="J139" s="49">
        <v>6.5276209636329028E-10</v>
      </c>
      <c r="K139" s="49">
        <v>7.532049719350324E-11</v>
      </c>
      <c r="L139" s="152">
        <v>5.1274524750429667E-10</v>
      </c>
      <c r="R139" s="60">
        <v>1266.2728896364501</v>
      </c>
      <c r="S139" s="57">
        <v>1.7165058181163524E-6</v>
      </c>
      <c r="U139" s="127">
        <v>1.1028334903925727E-9</v>
      </c>
      <c r="V139" s="127">
        <v>5.1274524750429667E-10</v>
      </c>
      <c r="W139" s="127">
        <v>1.3845216709138362E-10</v>
      </c>
      <c r="X139" s="128">
        <f t="shared" si="4"/>
        <v>5.6669403812313747E-10</v>
      </c>
      <c r="Y139" s="139">
        <f t="shared" si="5"/>
        <v>1.305742842291451</v>
      </c>
      <c r="AA139" s="73"/>
      <c r="AB139" s="176"/>
      <c r="AC139" s="176"/>
      <c r="AD139" s="176"/>
      <c r="AJ139" s="135"/>
    </row>
    <row r="140" spans="9:36" x14ac:dyDescent="0.35">
      <c r="I140" s="109">
        <v>3.29515395999E-2</v>
      </c>
      <c r="J140" s="49">
        <v>5.4077059470400567E-10</v>
      </c>
      <c r="K140" s="49">
        <v>7.0491581357458963E-11</v>
      </c>
      <c r="L140" s="152">
        <v>2.6593324793721662E-10</v>
      </c>
      <c r="R140" s="60">
        <v>1266.7274350909956</v>
      </c>
      <c r="S140" s="57">
        <v>1.7165058181163524E-6</v>
      </c>
      <c r="U140" s="127">
        <v>7.711481925179786E-10</v>
      </c>
      <c r="V140" s="127">
        <v>2.6593324793721662E-10</v>
      </c>
      <c r="W140" s="127">
        <v>9.0928465046649008E-11</v>
      </c>
      <c r="X140" s="128">
        <f t="shared" si="4"/>
        <v>3.4848578835976517E-10</v>
      </c>
      <c r="Y140" s="139">
        <f t="shared" si="5"/>
        <v>7.4407280479807536</v>
      </c>
      <c r="AA140" s="73"/>
      <c r="AB140" s="176"/>
      <c r="AC140" s="176"/>
      <c r="AD140" s="176"/>
      <c r="AJ140" s="135"/>
    </row>
    <row r="141" spans="9:36" x14ac:dyDescent="0.35">
      <c r="I141" s="109">
        <v>3.3281054995899999E-2</v>
      </c>
      <c r="J141" s="49">
        <v>5.4669898697366846E-10</v>
      </c>
      <c r="K141" s="49">
        <v>7.0852016129672678E-11</v>
      </c>
      <c r="L141" s="152">
        <v>1.2016174581300121E-10</v>
      </c>
      <c r="R141" s="60">
        <v>1266.7274350909956</v>
      </c>
      <c r="S141" s="57">
        <v>1.7251154547126823E-6</v>
      </c>
      <c r="U141" s="127">
        <v>4.6841428311473885E-10</v>
      </c>
      <c r="V141" s="127">
        <v>1.2016174581300121E-10</v>
      </c>
      <c r="W141" s="127">
        <v>1.7522717789571691E-10</v>
      </c>
      <c r="X141" s="128">
        <f t="shared" si="4"/>
        <v>2.2099123815911453E-10</v>
      </c>
      <c r="Y141" s="139">
        <f t="shared" si="5"/>
        <v>21.132542743015925</v>
      </c>
      <c r="AA141" s="73"/>
      <c r="AB141" s="176"/>
      <c r="AC141" s="176"/>
      <c r="AD141" s="176"/>
      <c r="AJ141" s="135"/>
    </row>
    <row r="142" spans="9:36" x14ac:dyDescent="0.35">
      <c r="I142" s="109">
        <v>3.3613865545800002E-2</v>
      </c>
      <c r="J142" s="49">
        <v>4.3977054377619706E-10</v>
      </c>
      <c r="K142" s="49">
        <v>6.4739512824274899E-11</v>
      </c>
      <c r="L142" s="152">
        <v>9.8844328856577134E-11</v>
      </c>
      <c r="R142" s="60">
        <v>1267.1819805455411</v>
      </c>
      <c r="S142" s="57">
        <v>1.7251154547126823E-6</v>
      </c>
      <c r="U142" s="127">
        <v>2.3678398525844152E-10</v>
      </c>
      <c r="V142" s="127">
        <v>9.8844328856577134E-11</v>
      </c>
      <c r="W142" s="127">
        <v>3.8245822657037245E-10</v>
      </c>
      <c r="X142" s="128">
        <f t="shared" si="4"/>
        <v>2.0423271738549208E-10</v>
      </c>
      <c r="Y142" s="139">
        <f t="shared" si="5"/>
        <v>13.236783694647389</v>
      </c>
      <c r="AA142" s="73"/>
      <c r="AB142" s="176"/>
      <c r="AC142" s="176"/>
      <c r="AD142" s="176"/>
      <c r="AJ142" s="135"/>
    </row>
    <row r="143" spans="9:36" x14ac:dyDescent="0.35">
      <c r="I143" s="109">
        <v>3.3950004201300003E-2</v>
      </c>
      <c r="J143" s="49">
        <v>6.7084431493349987E-10</v>
      </c>
      <c r="K143" s="49">
        <v>8.0305670950067857E-11</v>
      </c>
      <c r="L143" s="152">
        <v>2.083851151894699E-10</v>
      </c>
      <c r="R143" s="60">
        <v>1267.1819805455411</v>
      </c>
      <c r="S143" s="57">
        <v>1.7374433823392008E-6</v>
      </c>
      <c r="U143" s="127">
        <v>1.1039739869616908E-10</v>
      </c>
      <c r="V143" s="127">
        <v>2.083851151894699E-10</v>
      </c>
      <c r="W143" s="127">
        <v>6.8488646071574299E-10</v>
      </c>
      <c r="X143" s="128">
        <f t="shared" si="4"/>
        <v>3.0301352244771298E-10</v>
      </c>
      <c r="Y143" s="139">
        <f t="shared" si="5"/>
        <v>20.979915552019108</v>
      </c>
      <c r="AA143" s="73"/>
      <c r="AB143" s="176"/>
      <c r="AC143" s="176"/>
      <c r="AD143" s="176"/>
      <c r="AJ143" s="135"/>
    </row>
    <row r="144" spans="9:36" x14ac:dyDescent="0.35">
      <c r="I144" s="109">
        <v>3.4289504243299997E-2</v>
      </c>
      <c r="J144" s="49">
        <v>7.3389216927455421E-10</v>
      </c>
      <c r="K144" s="49">
        <v>8.7158109070153214E-11</v>
      </c>
      <c r="L144" s="152">
        <v>4.3617298119722911E-10</v>
      </c>
      <c r="O144" s="30"/>
      <c r="R144" s="60">
        <v>1267.6365260000866</v>
      </c>
      <c r="S144" s="57">
        <v>1.7374433823392008E-6</v>
      </c>
      <c r="U144" s="127">
        <v>1.0996319982718342E-10</v>
      </c>
      <c r="V144" s="127">
        <v>4.3617298119722911E-10</v>
      </c>
      <c r="W144" s="127">
        <v>1.0390839997795854E-9</v>
      </c>
      <c r="X144" s="128">
        <f t="shared" si="4"/>
        <v>5.053482905003067E-10</v>
      </c>
      <c r="Y144" s="139">
        <f t="shared" si="5"/>
        <v>6.8758055889538667</v>
      </c>
      <c r="AA144" s="73"/>
      <c r="AB144" s="176"/>
      <c r="AC144" s="176"/>
      <c r="AD144" s="176"/>
      <c r="AJ144" s="135"/>
    </row>
    <row r="145" spans="9:36" x14ac:dyDescent="0.35">
      <c r="I145" s="109">
        <v>3.46323992857E-2</v>
      </c>
      <c r="J145" s="49">
        <v>1.0805107060321146E-9</v>
      </c>
      <c r="K145" s="49">
        <v>1.0548073292782641E-10</v>
      </c>
      <c r="L145" s="152">
        <v>7.5134228806053327E-10</v>
      </c>
      <c r="R145" s="60">
        <v>1267.6365260000866</v>
      </c>
      <c r="S145" s="57">
        <v>1.7553686154331296E-6</v>
      </c>
      <c r="U145" s="127">
        <v>2.3888827442525941E-10</v>
      </c>
      <c r="V145" s="127">
        <v>7.5134228806053327E-10</v>
      </c>
      <c r="W145" s="127">
        <v>1.3918063676192999E-9</v>
      </c>
      <c r="X145" s="128">
        <f t="shared" si="4"/>
        <v>7.8334480454140642E-10</v>
      </c>
      <c r="Y145" s="139">
        <f t="shared" si="5"/>
        <v>7.9369139429239963</v>
      </c>
      <c r="AA145" s="73"/>
      <c r="AB145" s="176"/>
      <c r="AC145" s="176"/>
      <c r="AD145" s="176"/>
      <c r="AJ145" s="135"/>
    </row>
    <row r="146" spans="9:36" x14ac:dyDescent="0.35">
      <c r="I146" s="109">
        <v>3.49787232786E-2</v>
      </c>
      <c r="J146" s="49">
        <v>1.0723535460392252E-9</v>
      </c>
      <c r="K146" s="49">
        <v>1.047784565517855E-10</v>
      </c>
      <c r="L146" s="152">
        <v>1.1084376677203813E-9</v>
      </c>
      <c r="R146" s="60">
        <v>1268.0910714546321</v>
      </c>
      <c r="S146" s="57">
        <v>1.7553686154331296E-6</v>
      </c>
      <c r="U146" s="127">
        <v>4.8170980317536204E-10</v>
      </c>
      <c r="V146" s="127">
        <v>1.1084376677203813E-9</v>
      </c>
      <c r="W146" s="127">
        <v>1.6878855682657852E-9</v>
      </c>
      <c r="X146" s="128">
        <f t="shared" si="4"/>
        <v>1.0966176767204773E-9</v>
      </c>
      <c r="Y146" s="139">
        <f t="shared" si="5"/>
        <v>5.3627244097251336E-2</v>
      </c>
      <c r="AA146" s="73"/>
      <c r="AB146" s="176"/>
      <c r="AC146" s="176"/>
      <c r="AD146" s="176"/>
      <c r="AJ146" s="135"/>
    </row>
    <row r="147" spans="9:36" x14ac:dyDescent="0.35">
      <c r="I147" s="109">
        <v>3.5328510511399999E-2</v>
      </c>
      <c r="J147" s="49">
        <v>1.326369001615748E-9</v>
      </c>
      <c r="K147" s="49">
        <v>1.2365785863569089E-10</v>
      </c>
      <c r="L147" s="152">
        <v>1.4536609908797868E-9</v>
      </c>
      <c r="R147" s="60">
        <v>1268.0910714546321</v>
      </c>
      <c r="S147" s="57">
        <v>1.7811780570601049E-6</v>
      </c>
      <c r="U147" s="127">
        <v>8.0529670019520571E-10</v>
      </c>
      <c r="V147" s="127">
        <v>1.4536609908797868E-9</v>
      </c>
      <c r="W147" s="127">
        <v>1.8790311723252526E-9</v>
      </c>
      <c r="X147" s="128">
        <f t="shared" si="4"/>
        <v>1.3979124635700081E-9</v>
      </c>
      <c r="Y147" s="139">
        <f t="shared" si="5"/>
        <v>0.33473140468612567</v>
      </c>
      <c r="AA147" s="73"/>
      <c r="AB147" s="176"/>
      <c r="AC147" s="176"/>
      <c r="AD147" s="176"/>
      <c r="AJ147" s="135"/>
    </row>
    <row r="148" spans="9:36" x14ac:dyDescent="0.35">
      <c r="I148" s="109">
        <v>3.5681795616499999E-2</v>
      </c>
      <c r="J148" s="49">
        <v>1.5370601804516065E-9</v>
      </c>
      <c r="K148" s="49">
        <v>1.3083306234343913E-10</v>
      </c>
      <c r="L148" s="152">
        <v>1.7329245524301024E-9</v>
      </c>
      <c r="R148" s="60">
        <v>1268.5456169091776</v>
      </c>
      <c r="S148" s="57">
        <v>1.7811780570601049E-6</v>
      </c>
      <c r="U148" s="127">
        <v>1.1628887642896041E-9</v>
      </c>
      <c r="V148" s="127">
        <v>1.7329245524301024E-9</v>
      </c>
      <c r="W148" s="127">
        <v>1.9321656084819168E-9</v>
      </c>
      <c r="X148" s="128">
        <f t="shared" si="4"/>
        <v>1.6402258694079315E-9</v>
      </c>
      <c r="Y148" s="139">
        <f t="shared" si="5"/>
        <v>0.62177828687444658</v>
      </c>
      <c r="AA148" s="73"/>
      <c r="AB148" s="176"/>
      <c r="AC148" s="176"/>
      <c r="AD148" s="176"/>
      <c r="AJ148" s="135"/>
    </row>
    <row r="149" spans="9:36" x14ac:dyDescent="0.35">
      <c r="I149" s="109">
        <v>3.6038613572599999E-2</v>
      </c>
      <c r="J149" s="49">
        <v>1.4991611686950327E-9</v>
      </c>
      <c r="K149" s="49">
        <v>1.2626794807942648E-10</v>
      </c>
      <c r="L149" s="152">
        <v>1.900559483203616E-9</v>
      </c>
      <c r="R149" s="60">
        <v>1268.5456169091776</v>
      </c>
      <c r="S149" s="57">
        <v>1.817403389304832E-6</v>
      </c>
      <c r="U149" s="127">
        <v>1.5005884112937291E-9</v>
      </c>
      <c r="V149" s="127">
        <v>1.900559483203616E-9</v>
      </c>
      <c r="W149" s="127">
        <v>1.8358479404325368E-9</v>
      </c>
      <c r="X149" s="128">
        <f t="shared" si="4"/>
        <v>1.7843888295333744E-9</v>
      </c>
      <c r="Y149" s="139">
        <f t="shared" si="5"/>
        <v>5.1026647362728719</v>
      </c>
      <c r="AA149" s="73"/>
      <c r="AB149" s="176"/>
      <c r="AC149" s="176"/>
      <c r="AD149" s="176"/>
      <c r="AJ149" s="135"/>
    </row>
    <row r="150" spans="9:36" x14ac:dyDescent="0.35">
      <c r="I150" s="109">
        <v>3.63989997084E-2</v>
      </c>
      <c r="J150" s="49">
        <v>1.5105886329728879E-9</v>
      </c>
      <c r="K150" s="49">
        <v>1.371963894009764E-10</v>
      </c>
      <c r="L150" s="152">
        <v>1.9272989652613688E-9</v>
      </c>
      <c r="R150" s="60">
        <v>1269.0001623637231</v>
      </c>
      <c r="S150" s="57">
        <v>1.817403389304832E-6</v>
      </c>
      <c r="U150" s="127">
        <v>1.7654814686283128E-9</v>
      </c>
      <c r="V150" s="127">
        <v>1.9272989652613688E-9</v>
      </c>
      <c r="W150" s="127">
        <v>1.6034988567039886E-9</v>
      </c>
      <c r="X150" s="128">
        <f t="shared" si="4"/>
        <v>1.8058945639637596E-9</v>
      </c>
      <c r="Y150" s="139">
        <f t="shared" si="5"/>
        <v>4.6329645237129062</v>
      </c>
      <c r="AA150" s="73"/>
      <c r="AB150" s="176"/>
      <c r="AC150" s="176"/>
      <c r="AD150" s="176"/>
      <c r="AJ150" s="135"/>
    </row>
    <row r="151" spans="9:36" x14ac:dyDescent="0.35">
      <c r="I151" s="109">
        <v>3.6762989705399998E-2</v>
      </c>
      <c r="J151" s="49">
        <v>1.4011064290903103E-9</v>
      </c>
      <c r="K151" s="49">
        <v>1.3079712883561023E-10</v>
      </c>
      <c r="L151" s="152">
        <v>1.8066494124985208E-9</v>
      </c>
      <c r="R151" s="60">
        <v>1269.0001623637231</v>
      </c>
      <c r="S151" s="57">
        <v>1.8665246622239643E-6</v>
      </c>
      <c r="U151" s="127">
        <v>1.9145483583298519E-9</v>
      </c>
      <c r="V151" s="127">
        <v>1.8066494124985208E-9</v>
      </c>
      <c r="W151" s="127">
        <v>1.272985580451954E-9</v>
      </c>
      <c r="X151" s="128">
        <f t="shared" si="4"/>
        <v>1.7002081909447119E-9</v>
      </c>
      <c r="Y151" s="139">
        <f t="shared" si="5"/>
        <v>5.2292754767388301</v>
      </c>
      <c r="AA151" s="73"/>
      <c r="AB151" s="176"/>
      <c r="AC151" s="176"/>
      <c r="AD151" s="176"/>
      <c r="AJ151" s="135"/>
    </row>
    <row r="152" spans="9:36" x14ac:dyDescent="0.35">
      <c r="I152" s="109">
        <v>3.7130619602499998E-2</v>
      </c>
      <c r="J152" s="49">
        <v>1.5132404153012289E-9</v>
      </c>
      <c r="K152" s="49">
        <v>1.3982396502133699E-10</v>
      </c>
      <c r="L152" s="152">
        <v>1.5552720611147973E-9</v>
      </c>
      <c r="R152" s="60">
        <v>1269.4547078182686</v>
      </c>
      <c r="S152" s="57">
        <v>1.8665246622239643E-6</v>
      </c>
      <c r="U152" s="127">
        <v>1.9210951052103714E-9</v>
      </c>
      <c r="V152" s="127">
        <v>1.5552720611147973E-9</v>
      </c>
      <c r="W152" s="127">
        <v>8.9947802791018153E-10</v>
      </c>
      <c r="X152" s="128">
        <f t="shared" si="4"/>
        <v>1.4827793138375367E-9</v>
      </c>
      <c r="Y152" s="139">
        <f t="shared" si="5"/>
        <v>4.7460026868569094E-2</v>
      </c>
      <c r="AA152" s="73"/>
      <c r="AB152" s="176"/>
      <c r="AC152" s="176"/>
      <c r="AD152" s="176"/>
      <c r="AJ152" s="135"/>
    </row>
    <row r="153" spans="9:36" x14ac:dyDescent="0.35">
      <c r="I153" s="109">
        <v>3.7501925798500001E-2</v>
      </c>
      <c r="J153" s="49">
        <v>1.0185799049394135E-9</v>
      </c>
      <c r="K153" s="49">
        <v>1.1588712250381616E-10</v>
      </c>
      <c r="L153" s="152">
        <v>1.2144800760616741E-9</v>
      </c>
      <c r="R153" s="60">
        <v>1269.4547078182686</v>
      </c>
      <c r="S153" s="57">
        <v>1.9305575974777457E-6</v>
      </c>
      <c r="U153" s="127">
        <v>1.7816910836851965E-9</v>
      </c>
      <c r="V153" s="127">
        <v>1.2144800760616741E-9</v>
      </c>
      <c r="W153" s="127">
        <v>5.4949369869919611E-10</v>
      </c>
      <c r="X153" s="128">
        <f t="shared" si="4"/>
        <v>1.1900362336269352E-9</v>
      </c>
      <c r="Y153" s="139">
        <f t="shared" si="5"/>
        <v>2.1889542337240724</v>
      </c>
      <c r="AA153" s="73"/>
      <c r="AB153" s="176"/>
      <c r="AC153" s="176"/>
      <c r="AD153" s="176"/>
      <c r="AJ153" s="135"/>
    </row>
    <row r="154" spans="9:36" x14ac:dyDescent="0.35">
      <c r="I154" s="109">
        <v>3.7876945056500001E-2</v>
      </c>
      <c r="J154" s="49">
        <v>1.0740277132534856E-9</v>
      </c>
      <c r="K154" s="49">
        <v>1.1725234395256436E-10</v>
      </c>
      <c r="L154" s="152">
        <v>8.423892521654239E-10</v>
      </c>
      <c r="R154" s="60">
        <v>1269.9092532728141</v>
      </c>
      <c r="S154" s="57">
        <v>1.9305575974777457E-6</v>
      </c>
      <c r="U154" s="127">
        <v>1.5172414567405787E-9</v>
      </c>
      <c r="V154" s="127">
        <v>8.423892521654239E-10</v>
      </c>
      <c r="W154" s="127">
        <v>2.8718593469234615E-10</v>
      </c>
      <c r="X154" s="128">
        <f t="shared" si="4"/>
        <v>8.7230147394094312E-10</v>
      </c>
      <c r="Y154" s="139">
        <f t="shared" si="5"/>
        <v>2.9599318907625767</v>
      </c>
      <c r="AA154" s="73"/>
      <c r="AB154" s="176"/>
      <c r="AC154" s="176"/>
      <c r="AD154" s="176"/>
      <c r="AJ154" s="135"/>
    </row>
    <row r="155" spans="9:36" x14ac:dyDescent="0.35">
      <c r="I155" s="109">
        <v>3.8255714507099997E-2</v>
      </c>
      <c r="J155" s="49">
        <v>7.5641218013853535E-10</v>
      </c>
      <c r="K155" s="49">
        <v>1.009059730400808E-10</v>
      </c>
      <c r="L155" s="152">
        <v>5.0489435976157344E-10</v>
      </c>
      <c r="R155" s="60">
        <v>1269.9092532728141</v>
      </c>
      <c r="S155" s="57">
        <v>2.0105853132600411E-6</v>
      </c>
      <c r="U155" s="127">
        <v>1.1709549986551116E-9</v>
      </c>
      <c r="V155" s="127">
        <v>5.0489435976157344E-10</v>
      </c>
      <c r="W155" s="127">
        <v>1.6273001984848388E-10</v>
      </c>
      <c r="X155" s="128">
        <f t="shared" si="4"/>
        <v>5.8586843450668553E-10</v>
      </c>
      <c r="Y155" s="139">
        <f t="shared" si="5"/>
        <v>2.8565237868281872</v>
      </c>
      <c r="AA155" s="73"/>
      <c r="AB155" s="176"/>
      <c r="AC155" s="176"/>
      <c r="AD155" s="176"/>
      <c r="AJ155" s="135"/>
    </row>
    <row r="156" spans="9:36" x14ac:dyDescent="0.35">
      <c r="I156" s="109">
        <v>3.8638271652100001E-2</v>
      </c>
      <c r="J156" s="49">
        <v>3.9923714797513841E-10</v>
      </c>
      <c r="K156" s="49">
        <v>8.2059774999669624E-11</v>
      </c>
      <c r="L156" s="152">
        <v>2.6399406538918517E-10</v>
      </c>
      <c r="R156" s="60">
        <v>1270.3637987273596</v>
      </c>
      <c r="S156" s="57">
        <v>2.0105853132600411E-6</v>
      </c>
      <c r="U156" s="127">
        <v>8.0200358650361435E-10</v>
      </c>
      <c r="V156" s="127">
        <v>2.6399406538918517E-10</v>
      </c>
      <c r="W156" s="127">
        <v>2.0195600278056689E-10</v>
      </c>
      <c r="X156" s="128">
        <f t="shared" si="4"/>
        <v>3.8298693001563791E-10</v>
      </c>
      <c r="Y156" s="139">
        <f t="shared" si="5"/>
        <v>3.9215498239685412E-2</v>
      </c>
      <c r="AA156" s="73"/>
      <c r="AB156" s="176"/>
      <c r="AC156" s="176"/>
      <c r="AD156" s="176"/>
      <c r="AJ156" s="135"/>
    </row>
    <row r="157" spans="9:36" x14ac:dyDescent="0.35">
      <c r="I157" s="109">
        <v>3.90246543687E-2</v>
      </c>
      <c r="J157" s="49">
        <v>7.5348251145090269E-10</v>
      </c>
      <c r="K157" s="49">
        <v>1.0885696407367216E-10</v>
      </c>
      <c r="L157" s="152">
        <v>1.6595326130050706E-10</v>
      </c>
      <c r="R157" s="60">
        <v>1270.3637987273596</v>
      </c>
      <c r="S157" s="57">
        <v>2.1063343746034297E-6</v>
      </c>
      <c r="U157" s="127">
        <v>4.7578188387491836E-10</v>
      </c>
      <c r="V157" s="127">
        <v>1.6595326130050706E-10</v>
      </c>
      <c r="W157" s="127">
        <v>4.0000956915372945E-10</v>
      </c>
      <c r="X157" s="128">
        <f t="shared" si="4"/>
        <v>3.0192449390741548E-10</v>
      </c>
      <c r="Y157" s="139">
        <f t="shared" si="5"/>
        <v>17.207377215872839</v>
      </c>
      <c r="AA157" s="73"/>
      <c r="AB157" s="176"/>
      <c r="AC157" s="176"/>
      <c r="AD157" s="176"/>
      <c r="AJ157" s="135"/>
    </row>
    <row r="158" spans="9:36" x14ac:dyDescent="0.35">
      <c r="I158" s="109">
        <v>3.9414900912399999E-2</v>
      </c>
      <c r="J158" s="49">
        <v>5.9577925963761837E-10</v>
      </c>
      <c r="K158" s="49">
        <v>9.6405490592756206E-11</v>
      </c>
      <c r="L158" s="152">
        <v>2.3161362890661155E-10</v>
      </c>
      <c r="R158" s="60">
        <v>1270.8183441819051</v>
      </c>
      <c r="S158" s="57">
        <v>2.1063343746034297E-6</v>
      </c>
      <c r="U158" s="127">
        <v>2.5225579195868105E-10</v>
      </c>
      <c r="V158" s="127">
        <v>2.3161362890661155E-10</v>
      </c>
      <c r="W158" s="127">
        <v>7.2070451679726914E-10</v>
      </c>
      <c r="X158" s="128">
        <f t="shared" si="4"/>
        <v>3.590468916422933E-10</v>
      </c>
      <c r="Y158" s="139">
        <f t="shared" si="5"/>
        <v>6.0299227244501479</v>
      </c>
      <c r="AA158" s="73"/>
      <c r="AB158" s="176"/>
      <c r="AC158" s="176"/>
      <c r="AD158" s="176"/>
      <c r="AJ158" s="135"/>
    </row>
    <row r="159" spans="9:36" x14ac:dyDescent="0.35">
      <c r="I159" s="109">
        <v>3.98090499215E-2</v>
      </c>
      <c r="J159" s="49">
        <v>7.6238701142291021E-10</v>
      </c>
      <c r="K159" s="49">
        <v>1.1051726505920399E-10</v>
      </c>
      <c r="L159" s="152">
        <v>4.5099443724501582E-10</v>
      </c>
      <c r="R159" s="60">
        <v>1270.8183441819051</v>
      </c>
      <c r="S159" s="57">
        <v>2.2159124835398589E-6</v>
      </c>
      <c r="U159" s="127">
        <v>1.7444954342427911E-10</v>
      </c>
      <c r="V159" s="127">
        <v>4.5099443724501582E-10</v>
      </c>
      <c r="W159" s="127">
        <v>1.1022080153457532E-9</v>
      </c>
      <c r="X159" s="128">
        <f t="shared" si="4"/>
        <v>5.4466160831501592E-10</v>
      </c>
      <c r="Y159" s="139">
        <f t="shared" si="5"/>
        <v>3.8811278438408046</v>
      </c>
      <c r="AA159" s="73"/>
      <c r="AB159" s="176"/>
      <c r="AC159" s="176"/>
      <c r="AD159" s="176"/>
      <c r="AJ159" s="135"/>
    </row>
    <row r="160" spans="9:36" x14ac:dyDescent="0.35">
      <c r="I160" s="109">
        <v>4.0207140420699998E-2</v>
      </c>
      <c r="J160" s="49">
        <v>5.5428435054180083E-10</v>
      </c>
      <c r="K160" s="49">
        <v>1.0688095984780343E-10</v>
      </c>
      <c r="L160" s="153">
        <v>7.8367278706167751E-10</v>
      </c>
      <c r="M160" s="32"/>
      <c r="R160" s="60">
        <v>1271.2728896364506</v>
      </c>
      <c r="S160" s="57">
        <v>2.2159124835398589E-6</v>
      </c>
      <c r="U160" s="127">
        <v>2.5934172414202939E-10</v>
      </c>
      <c r="V160" s="127">
        <v>7.8367278706167751E-10</v>
      </c>
      <c r="W160" s="127">
        <v>1.4684176282924454E-9</v>
      </c>
      <c r="X160" s="128">
        <f t="shared" si="4"/>
        <v>8.2377623163945748E-10</v>
      </c>
      <c r="Y160" s="139">
        <f t="shared" si="5"/>
        <v>6.3575631249615183</v>
      </c>
      <c r="AA160" s="73"/>
      <c r="AB160" s="176"/>
      <c r="AC160" s="176"/>
      <c r="AD160" s="176"/>
      <c r="AJ160" s="135"/>
    </row>
    <row r="161" spans="1:36" x14ac:dyDescent="0.35">
      <c r="I161" s="109">
        <v>4.0609211824900002E-2</v>
      </c>
      <c r="J161" s="49">
        <v>1.1403465142961177E-9</v>
      </c>
      <c r="K161" s="49">
        <v>1.4093063081605758E-10</v>
      </c>
      <c r="L161" s="153">
        <v>1.1653757525374992E-9</v>
      </c>
      <c r="M161" s="32"/>
      <c r="R161" s="60">
        <v>1271.2728896364506</v>
      </c>
      <c r="S161" s="57">
        <v>2.3358075126342535E-6</v>
      </c>
      <c r="U161" s="127">
        <v>4.9321183844097374E-10</v>
      </c>
      <c r="V161" s="127">
        <v>1.1653757525374992E-9</v>
      </c>
      <c r="W161" s="127">
        <v>1.7441033383516551E-9</v>
      </c>
      <c r="X161" s="128">
        <f t="shared" si="4"/>
        <v>1.1420166704669067E-9</v>
      </c>
      <c r="Y161" s="139">
        <f t="shared" si="5"/>
        <v>1.4044405920793775E-4</v>
      </c>
      <c r="AA161" s="73"/>
      <c r="AB161" s="176"/>
      <c r="AC161" s="176"/>
      <c r="AD161" s="176"/>
      <c r="AJ161" s="135"/>
    </row>
    <row r="162" spans="1:36" x14ac:dyDescent="0.35">
      <c r="I162" s="109">
        <v>4.1015303943099997E-2</v>
      </c>
      <c r="J162" s="49">
        <v>1.3000994822221565E-9</v>
      </c>
      <c r="K162" s="49">
        <v>1.5204967475981077E-10</v>
      </c>
      <c r="L162" s="153">
        <v>1.5199428336277226E-9</v>
      </c>
      <c r="M162" s="32"/>
      <c r="R162" s="60">
        <v>1271.7274350909961</v>
      </c>
      <c r="S162" s="57">
        <v>2.3358075126342535E-6</v>
      </c>
      <c r="U162" s="127">
        <v>8.327829331145748E-10</v>
      </c>
      <c r="V162" s="127">
        <v>1.5199428336277226E-9</v>
      </c>
      <c r="W162" s="127">
        <v>1.8708804793126813E-9</v>
      </c>
      <c r="X162" s="128">
        <f t="shared" si="4"/>
        <v>1.4358872699206752E-9</v>
      </c>
      <c r="Y162" s="139">
        <f t="shared" si="5"/>
        <v>0.79753625449358734</v>
      </c>
      <c r="AA162" s="73"/>
      <c r="AB162" s="176"/>
      <c r="AC162" s="176"/>
      <c r="AD162" s="176"/>
      <c r="AJ162" s="135"/>
    </row>
    <row r="163" spans="1:36" x14ac:dyDescent="0.35">
      <c r="I163" s="109">
        <v>4.1425456982600001E-2</v>
      </c>
      <c r="J163" s="49">
        <v>1.3645326593180749E-9</v>
      </c>
      <c r="K163" s="49">
        <v>1.5983999549515747E-10</v>
      </c>
      <c r="L163" s="153">
        <v>1.774582984207853E-9</v>
      </c>
      <c r="M163" s="32"/>
      <c r="R163" s="60">
        <v>1271.7274350909961</v>
      </c>
      <c r="S163" s="57">
        <v>2.4296303745312318E-6</v>
      </c>
      <c r="U163" s="127">
        <v>1.2124338017059073E-9</v>
      </c>
      <c r="V163" s="127">
        <v>1.774582984207853E-9</v>
      </c>
      <c r="W163" s="127">
        <v>1.8206008742737825E-9</v>
      </c>
      <c r="X163" s="128">
        <f t="shared" si="4"/>
        <v>1.6455501610988489E-9</v>
      </c>
      <c r="Y163" s="139">
        <f t="shared" si="5"/>
        <v>3.0909773308111919</v>
      </c>
      <c r="AA163" s="73"/>
      <c r="AB163" s="176"/>
      <c r="AC163" s="176"/>
      <c r="AD163" s="176"/>
      <c r="AJ163" s="135"/>
    </row>
    <row r="164" spans="1:36" x14ac:dyDescent="0.35">
      <c r="I164" s="109">
        <v>4.1839711552400002E-2</v>
      </c>
      <c r="J164" s="49">
        <v>1.2817132096975862E-9</v>
      </c>
      <c r="K164" s="49">
        <v>1.5955302206254057E-10</v>
      </c>
      <c r="L164" s="153">
        <v>1.875430615126899E-9</v>
      </c>
      <c r="M164" s="32"/>
      <c r="R164" s="60">
        <v>1271.9547078182688</v>
      </c>
      <c r="S164" s="57">
        <v>2.4296303745312318E-6</v>
      </c>
      <c r="U164" s="127">
        <v>1.5564982224107448E-9</v>
      </c>
      <c r="V164" s="127">
        <v>1.875430615126899E-9</v>
      </c>
      <c r="W164" s="127">
        <v>1.6029689803984662E-9</v>
      </c>
      <c r="X164" s="128">
        <f t="shared" si="4"/>
        <v>1.7275821082657522E-9</v>
      </c>
      <c r="Y164" s="139">
        <f t="shared" si="5"/>
        <v>7.8091594358206207</v>
      </c>
      <c r="AA164" s="73"/>
      <c r="AB164" s="176"/>
      <c r="AC164" s="176"/>
      <c r="AD164" s="176"/>
      <c r="AJ164" s="135"/>
    </row>
    <row r="165" spans="1:36" x14ac:dyDescent="0.35">
      <c r="I165" s="109">
        <v>4.2258108667900002E-2</v>
      </c>
      <c r="J165" s="49">
        <v>1.3566514114576262E-9</v>
      </c>
      <c r="K165" s="49">
        <v>1.6262992345490836E-10</v>
      </c>
      <c r="L165" s="153">
        <v>1.8000357607374388E-9</v>
      </c>
      <c r="M165" s="32"/>
      <c r="R165" s="60">
        <v>1271.9547078182688</v>
      </c>
      <c r="S165" s="57">
        <v>2.5000403822831728E-6</v>
      </c>
      <c r="U165" s="127">
        <v>1.7944837809391987E-9</v>
      </c>
      <c r="V165" s="127">
        <v>1.8000357607374388E-9</v>
      </c>
      <c r="W165" s="127">
        <v>1.2651559775583344E-9</v>
      </c>
      <c r="X165" s="128">
        <f t="shared" si="4"/>
        <v>1.6649278199931027E-9</v>
      </c>
      <c r="Y165" s="139">
        <f t="shared" si="5"/>
        <v>3.593185730548814</v>
      </c>
      <c r="AA165" s="73"/>
      <c r="AB165" s="176"/>
      <c r="AC165" s="176"/>
      <c r="AD165" s="176"/>
      <c r="AJ165" s="135"/>
    </row>
    <row r="166" spans="1:36" x14ac:dyDescent="0.35">
      <c r="I166" s="109">
        <v>4.2680689754600001E-2</v>
      </c>
      <c r="J166" s="49">
        <v>1.2464126269977959E-9</v>
      </c>
      <c r="K166" s="49">
        <v>1.6541657586992396E-10</v>
      </c>
      <c r="L166" s="153">
        <v>1.5637554684170711E-9</v>
      </c>
      <c r="M166" s="32"/>
      <c r="R166" s="60">
        <v>1272.2290386169982</v>
      </c>
      <c r="S166" s="57">
        <v>2.5000403822831728E-6</v>
      </c>
      <c r="U166" s="127">
        <v>1.8761956524324715E-9</v>
      </c>
      <c r="V166" s="127">
        <v>1.5637554684170711E-9</v>
      </c>
      <c r="W166" s="127">
        <v>8.82793572077178E-10</v>
      </c>
      <c r="X166" s="128">
        <f t="shared" si="4"/>
        <v>1.4716250403359481E-9</v>
      </c>
      <c r="Y166" s="139">
        <f t="shared" si="5"/>
        <v>1.853645134365371</v>
      </c>
      <c r="AA166" s="73"/>
      <c r="AB166" s="176"/>
      <c r="AC166" s="176"/>
      <c r="AD166" s="176"/>
      <c r="AJ166" s="135"/>
    </row>
    <row r="167" spans="1:36" x14ac:dyDescent="0.35">
      <c r="I167" s="109">
        <v>4.3107496652199997E-2</v>
      </c>
      <c r="J167" s="49">
        <v>1.0418415391236793E-9</v>
      </c>
      <c r="K167" s="49">
        <v>1.566480470933413E-10</v>
      </c>
      <c r="L167" s="153">
        <v>1.2180719228468031E-9</v>
      </c>
      <c r="M167" s="32"/>
      <c r="R167" s="60">
        <v>1272.2290386169982</v>
      </c>
      <c r="S167" s="57">
        <v>2.5757225525322249E-6</v>
      </c>
      <c r="U167" s="127">
        <v>1.7834655943317164E-9</v>
      </c>
      <c r="V167" s="127">
        <v>1.2180719228468031E-9</v>
      </c>
      <c r="W167" s="127">
        <v>5.4370750675770641E-10</v>
      </c>
      <c r="X167" s="128">
        <f t="shared" si="4"/>
        <v>1.1908292366957574E-9</v>
      </c>
      <c r="Y167" s="139">
        <f t="shared" si="5"/>
        <v>0.90458805256155239</v>
      </c>
      <c r="AA167" s="73"/>
      <c r="AB167" s="176"/>
      <c r="AC167" s="176"/>
      <c r="AD167" s="176"/>
      <c r="AJ167" s="135"/>
    </row>
    <row r="168" spans="1:36" x14ac:dyDescent="0.35">
      <c r="I168" s="109">
        <v>4.3538571618699999E-2</v>
      </c>
      <c r="J168" s="49">
        <v>1.0318581241025285E-9</v>
      </c>
      <c r="K168" s="49">
        <v>6.9068621541166268E-11</v>
      </c>
      <c r="L168" s="153">
        <v>8.4051884087917379E-10</v>
      </c>
      <c r="M168" s="32"/>
      <c r="R168" s="60">
        <v>1272.5080564426305</v>
      </c>
      <c r="S168" s="57">
        <v>2.5757225525322249E-6</v>
      </c>
      <c r="U168" s="127">
        <v>1.5355984507150475E-9</v>
      </c>
      <c r="V168" s="127">
        <v>8.4051884087917379E-10</v>
      </c>
      <c r="W168" s="127">
        <v>3.2767225131076819E-10</v>
      </c>
      <c r="X168" s="128">
        <f t="shared" si="4"/>
        <v>8.8607709594604077E-10</v>
      </c>
      <c r="Y168" s="139">
        <f t="shared" si="5"/>
        <v>4.4549254486838352</v>
      </c>
      <c r="AA168" s="73"/>
      <c r="AB168" s="176"/>
      <c r="AC168" s="176"/>
      <c r="AD168" s="176"/>
      <c r="AJ168" s="135"/>
    </row>
    <row r="169" spans="1:36" x14ac:dyDescent="0.35">
      <c r="I169" s="109">
        <v>4.3973957334899998E-2</v>
      </c>
      <c r="J169" s="49">
        <v>8.1575394360450815E-10</v>
      </c>
      <c r="K169" s="49">
        <v>6.1998350180445001E-11</v>
      </c>
      <c r="L169" s="153">
        <v>5.1785642562880027E-10</v>
      </c>
      <c r="M169" s="32"/>
      <c r="R169" s="60">
        <v>1272.5080564426305</v>
      </c>
      <c r="S169" s="57">
        <v>2.6513899201141974E-6</v>
      </c>
      <c r="U169" s="127">
        <v>1.1867654073295287E-9</v>
      </c>
      <c r="V169" s="127">
        <v>5.1785642562880027E-10</v>
      </c>
      <c r="W169" s="127">
        <v>2.8682540852010627E-10</v>
      </c>
      <c r="X169" s="128">
        <f t="shared" si="4"/>
        <v>6.2732591677680892E-10</v>
      </c>
      <c r="Y169" s="139">
        <f t="shared" si="5"/>
        <v>9.2369955649456461</v>
      </c>
      <c r="AA169" s="73"/>
      <c r="AB169" s="176"/>
      <c r="AC169" s="176"/>
      <c r="AD169" s="176"/>
      <c r="AJ169" s="135"/>
    </row>
    <row r="170" spans="1:36" x14ac:dyDescent="0.35">
      <c r="I170" s="109">
        <v>4.4413696908199997E-2</v>
      </c>
      <c r="J170" s="49">
        <v>6.059702975662656E-10</v>
      </c>
      <c r="K170" s="49">
        <v>5.2665573026306593E-11</v>
      </c>
      <c r="L170" s="153">
        <v>3.2596134722767352E-10</v>
      </c>
      <c r="M170" s="32"/>
      <c r="R170" s="60">
        <v>1272.7969519255003</v>
      </c>
      <c r="S170" s="57">
        <v>2.6513899201141974E-6</v>
      </c>
      <c r="U170" s="127">
        <v>8.1524805298250739E-10</v>
      </c>
      <c r="V170" s="127">
        <v>3.2596134722767352E-10</v>
      </c>
      <c r="W170" s="127">
        <v>4.3171322023905476E-10</v>
      </c>
      <c r="X170" s="128">
        <f t="shared" si="4"/>
        <v>4.7472099191922731E-10</v>
      </c>
      <c r="Y170" s="139">
        <f t="shared" si="5"/>
        <v>6.2106978489189624</v>
      </c>
      <c r="AA170" s="73"/>
      <c r="AB170" s="176"/>
      <c r="AC170" s="176"/>
      <c r="AD170" s="176"/>
      <c r="AJ170" s="135"/>
    </row>
    <row r="171" spans="1:36" x14ac:dyDescent="0.35">
      <c r="I171" s="109">
        <v>4.4857833877300003E-2</v>
      </c>
      <c r="J171" s="49">
        <v>5.1301268715482291E-10</v>
      </c>
      <c r="K171" s="49">
        <v>4.640707570767493E-11</v>
      </c>
      <c r="L171" s="153">
        <v>3.1109583651693478E-10</v>
      </c>
      <c r="M171" s="32"/>
      <c r="R171" s="60">
        <v>1272.7969519255003</v>
      </c>
      <c r="S171" s="57">
        <v>2.7269931385250332E-6</v>
      </c>
      <c r="U171" s="127">
        <v>5.0636184760897681E-10</v>
      </c>
      <c r="V171" s="127">
        <v>3.1109583651693478E-10</v>
      </c>
      <c r="W171" s="127">
        <v>7.269927508034932E-10</v>
      </c>
      <c r="X171" s="128">
        <f t="shared" si="4"/>
        <v>4.6388656786158494E-10</v>
      </c>
      <c r="Y171" s="139">
        <f t="shared" si="5"/>
        <v>1.1206152069687962</v>
      </c>
      <c r="AA171" s="73"/>
      <c r="AB171" s="176"/>
      <c r="AC171" s="176"/>
      <c r="AD171" s="176"/>
      <c r="AJ171" s="135"/>
    </row>
    <row r="172" spans="1:36" s="17" customFormat="1" x14ac:dyDescent="0.35">
      <c r="A172" s="64"/>
      <c r="B172" s="21"/>
      <c r="C172" s="21"/>
      <c r="D172" s="19"/>
      <c r="E172" s="19"/>
      <c r="F172" s="39"/>
      <c r="G172" s="39"/>
      <c r="H172" s="41"/>
      <c r="I172" s="109">
        <v>4.5306412216100003E-2</v>
      </c>
      <c r="J172" s="49">
        <v>6.4958193466710724E-10</v>
      </c>
      <c r="K172" s="49">
        <v>5.1742703657830036E-11</v>
      </c>
      <c r="L172" s="153">
        <v>4.7736438948073386E-10</v>
      </c>
      <c r="M172" s="32"/>
      <c r="N172" s="18"/>
      <c r="O172" s="18"/>
      <c r="P172" s="30"/>
      <c r="Q172" s="65"/>
      <c r="R172" s="62">
        <v>1273.1020677851666</v>
      </c>
      <c r="S172" s="61">
        <v>2.7269931385250332E-6</v>
      </c>
      <c r="T172" s="75"/>
      <c r="U172" s="127">
        <v>3.326248157290369E-10</v>
      </c>
      <c r="V172" s="127">
        <v>4.7736438948073386E-10</v>
      </c>
      <c r="W172" s="127">
        <v>1.0986687768922277E-9</v>
      </c>
      <c r="X172" s="128">
        <f t="shared" si="4"/>
        <v>5.9650559289568309E-10</v>
      </c>
      <c r="Y172" s="139">
        <f t="shared" si="5"/>
        <v>1.0522131582515093</v>
      </c>
      <c r="AA172" s="73"/>
      <c r="AB172" s="176"/>
      <c r="AC172" s="176"/>
      <c r="AD172" s="176"/>
      <c r="AE172" s="75"/>
      <c r="AF172" s="75"/>
      <c r="AG172" s="75"/>
      <c r="AH172" s="75"/>
      <c r="AI172" s="155"/>
      <c r="AJ172" s="135"/>
    </row>
    <row r="173" spans="1:36" x14ac:dyDescent="0.35">
      <c r="I173" s="109">
        <v>4.5759476338200003E-2</v>
      </c>
      <c r="J173" s="49">
        <v>9.3782094443073425E-10</v>
      </c>
      <c r="K173" s="49">
        <v>6.4820221971488727E-11</v>
      </c>
      <c r="L173" s="153">
        <v>7.8405459403584944E-10</v>
      </c>
      <c r="M173" s="32"/>
      <c r="R173" s="60">
        <v>1273.1020677851666</v>
      </c>
      <c r="S173" s="57">
        <v>2.802411166912967E-6</v>
      </c>
      <c r="U173" s="127">
        <v>3.3580618763810233E-10</v>
      </c>
      <c r="V173" s="127">
        <v>7.8405459403584944E-10</v>
      </c>
      <c r="W173" s="127">
        <v>1.4518364380177006E-9</v>
      </c>
      <c r="X173" s="128">
        <f t="shared" si="4"/>
        <v>8.3893795343187544E-10</v>
      </c>
      <c r="Y173" s="139">
        <f t="shared" si="5"/>
        <v>2.3271381242552094</v>
      </c>
      <c r="AA173" s="73"/>
      <c r="AB173" s="176"/>
      <c r="AC173" s="176"/>
      <c r="AD173" s="176"/>
      <c r="AJ173" s="135"/>
    </row>
    <row r="174" spans="1:36" x14ac:dyDescent="0.35">
      <c r="I174" s="109">
        <v>4.6217071101599998E-2</v>
      </c>
      <c r="J174" s="49">
        <v>1.1447011966309413E-9</v>
      </c>
      <c r="K174" s="49">
        <v>7.0807345155804946E-11</v>
      </c>
      <c r="L174" s="153">
        <v>1.1543188156747775E-9</v>
      </c>
      <c r="M174" s="32"/>
      <c r="R174" s="60">
        <v>1273.4319226348541</v>
      </c>
      <c r="S174" s="57">
        <v>2.802411166912967E-6</v>
      </c>
      <c r="U174" s="127">
        <v>5.1549691529775518E-10</v>
      </c>
      <c r="V174" s="127">
        <v>1.1543188156747775E-9</v>
      </c>
      <c r="W174" s="127">
        <v>1.6949573111101915E-9</v>
      </c>
      <c r="X174" s="128">
        <f t="shared" si="4"/>
        <v>1.1297729644393754E-9</v>
      </c>
      <c r="Y174" s="139">
        <f t="shared" si="5"/>
        <v>4.4448810190372064E-2</v>
      </c>
      <c r="AA174" s="73"/>
      <c r="AB174" s="176"/>
      <c r="AC174" s="176"/>
      <c r="AD174" s="176"/>
      <c r="AJ174" s="135"/>
    </row>
    <row r="175" spans="1:36" x14ac:dyDescent="0.35">
      <c r="I175" s="109">
        <v>4.6679241812599997E-2</v>
      </c>
      <c r="J175" s="49">
        <v>1.3339424254420006E-9</v>
      </c>
      <c r="K175" s="49">
        <v>7.9776202830834812E-11</v>
      </c>
      <c r="L175" s="153">
        <v>1.4937628420091448E-9</v>
      </c>
      <c r="M175" s="32"/>
      <c r="R175" s="60">
        <v>1273.4319226348541</v>
      </c>
      <c r="S175" s="57">
        <v>2.8773923806993435E-6</v>
      </c>
      <c r="U175" s="127">
        <v>8.276258506967612E-10</v>
      </c>
      <c r="V175" s="127">
        <v>1.4937628420091448E-9</v>
      </c>
      <c r="W175" s="127">
        <v>1.7645391774754122E-9</v>
      </c>
      <c r="X175" s="128">
        <f t="shared" si="4"/>
        <v>1.3949226780476157E-9</v>
      </c>
      <c r="Y175" s="139">
        <f t="shared" si="5"/>
        <v>0.5842943894075695</v>
      </c>
      <c r="AA175" s="73"/>
      <c r="AB175" s="176"/>
      <c r="AC175" s="176"/>
      <c r="AD175" s="176"/>
      <c r="AJ175" s="135"/>
    </row>
    <row r="176" spans="1:36" x14ac:dyDescent="0.35">
      <c r="I176" s="109">
        <v>4.71460342308E-2</v>
      </c>
      <c r="J176" s="49">
        <v>1.4390205575205332E-9</v>
      </c>
      <c r="K176" s="49">
        <v>8.4023587211180238E-11</v>
      </c>
      <c r="L176" s="153">
        <v>1.7146949093954813E-9</v>
      </c>
      <c r="M176" s="32"/>
      <c r="R176" s="60">
        <v>1273.7991040441107</v>
      </c>
      <c r="S176" s="57">
        <v>2.8773923806993435E-6</v>
      </c>
      <c r="U176" s="127">
        <v>1.194065415228746E-9</v>
      </c>
      <c r="V176" s="127">
        <v>1.7146949093954813E-9</v>
      </c>
      <c r="W176" s="127">
        <v>1.6434181120505577E-9</v>
      </c>
      <c r="X176" s="128">
        <f t="shared" si="4"/>
        <v>1.5667183365175665E-9</v>
      </c>
      <c r="Y176" s="139">
        <f t="shared" si="5"/>
        <v>2.3097461389995249</v>
      </c>
      <c r="AA176" s="73"/>
      <c r="AB176" s="176"/>
      <c r="AC176" s="176"/>
      <c r="AD176" s="176"/>
      <c r="AJ176" s="135"/>
    </row>
    <row r="177" spans="9:36" x14ac:dyDescent="0.35">
      <c r="I177" s="109">
        <v>4.7617494573100001E-2</v>
      </c>
      <c r="J177" s="49">
        <v>1.4922903378274377E-9</v>
      </c>
      <c r="K177" s="49">
        <v>8.4637452619786937E-11</v>
      </c>
      <c r="L177" s="152">
        <v>1.7598508643486398E-9</v>
      </c>
      <c r="M177" s="33"/>
      <c r="R177" s="60">
        <v>1273.7991040441107</v>
      </c>
      <c r="S177" s="57">
        <v>2.9514457649592163E-6</v>
      </c>
      <c r="U177" s="127">
        <v>1.5216238884978863E-9</v>
      </c>
      <c r="V177" s="127">
        <v>1.7598508643486398E-9</v>
      </c>
      <c r="W177" s="127">
        <v>1.3670280630995386E-9</v>
      </c>
      <c r="X177" s="128">
        <f t="shared" si="4"/>
        <v>1.6020884200736761E-9</v>
      </c>
      <c r="Y177" s="139">
        <f t="shared" si="5"/>
        <v>1.6829233728269894</v>
      </c>
      <c r="AA177" s="73"/>
      <c r="AB177" s="176"/>
      <c r="AC177" s="176"/>
      <c r="AD177" s="176"/>
      <c r="AJ177" s="135"/>
    </row>
    <row r="178" spans="9:36" x14ac:dyDescent="0.35">
      <c r="I178" s="109">
        <v>4.8093669518800002E-2</v>
      </c>
      <c r="J178" s="49">
        <v>1.418492383792652E-9</v>
      </c>
      <c r="K178" s="49">
        <v>8.3607512552747218E-11</v>
      </c>
      <c r="L178" s="152">
        <v>1.6189972557679075E-9</v>
      </c>
      <c r="M178" s="33"/>
      <c r="R178" s="60">
        <v>1274.2243258721294</v>
      </c>
      <c r="S178" s="57">
        <v>2.9514457649592163E-6</v>
      </c>
      <c r="U178" s="127">
        <v>1.7260319304206093E-9</v>
      </c>
      <c r="V178" s="127">
        <v>1.6189972557679075E-9</v>
      </c>
      <c r="W178" s="127">
        <v>1.0149875532110472E-9</v>
      </c>
      <c r="X178" s="128">
        <f t="shared" si="4"/>
        <v>1.4947534987918679E-9</v>
      </c>
      <c r="Y178" s="139">
        <f t="shared" si="5"/>
        <v>0.83198538239038922</v>
      </c>
      <c r="AA178" s="73"/>
      <c r="AB178" s="176"/>
      <c r="AC178" s="176"/>
      <c r="AD178" s="176"/>
      <c r="AJ178" s="135"/>
    </row>
    <row r="179" spans="9:36" x14ac:dyDescent="0.35">
      <c r="I179" s="109">
        <v>4.8574606213999998E-2</v>
      </c>
      <c r="J179" s="49">
        <v>1.2305468537213264E-9</v>
      </c>
      <c r="K179" s="49">
        <v>7.8849412908604887E-11</v>
      </c>
      <c r="L179" s="152">
        <v>1.333229311645591E-9</v>
      </c>
      <c r="M179" s="33"/>
      <c r="R179" s="60">
        <v>1274.2243258721294</v>
      </c>
      <c r="S179" s="57">
        <v>3.0236206968941626E-6</v>
      </c>
      <c r="U179" s="127">
        <v>1.754768719301391E-9</v>
      </c>
      <c r="V179" s="127">
        <v>1.333229311645591E-9</v>
      </c>
      <c r="W179" s="127">
        <v>6.8940904709527174E-10</v>
      </c>
      <c r="X179" s="128">
        <f t="shared" si="4"/>
        <v>1.2776590974219612E-9</v>
      </c>
      <c r="Y179" s="139">
        <f t="shared" si="5"/>
        <v>0.35700199871725197</v>
      </c>
      <c r="AA179" s="73"/>
      <c r="AB179" s="176"/>
      <c r="AC179" s="176"/>
      <c r="AD179" s="176"/>
      <c r="AJ179" s="135"/>
    </row>
    <row r="180" spans="9:36" x14ac:dyDescent="0.35">
      <c r="I180" s="109">
        <v>4.9060352276099999E-2</v>
      </c>
      <c r="J180" s="49">
        <v>1.1184413799571583E-9</v>
      </c>
      <c r="K180" s="49">
        <v>7.510087193385881E-11</v>
      </c>
      <c r="L180" s="152">
        <v>9.8485478032966183E-10</v>
      </c>
      <c r="M180" s="33"/>
      <c r="R180" s="60">
        <v>1274.7468485819961</v>
      </c>
      <c r="S180" s="57">
        <v>3.0236206968941626E-6</v>
      </c>
      <c r="U180" s="127">
        <v>1.6023438044500814E-9</v>
      </c>
      <c r="V180" s="127">
        <v>9.8485478032966183E-10</v>
      </c>
      <c r="W180" s="127">
        <v>4.854670894741787E-10</v>
      </c>
      <c r="X180" s="128">
        <f t="shared" si="4"/>
        <v>1.014380113645896E-9</v>
      </c>
      <c r="Y180" s="139">
        <f t="shared" si="5"/>
        <v>1.9199426420488088</v>
      </c>
      <c r="AA180" s="73"/>
      <c r="AB180" s="176"/>
      <c r="AC180" s="176"/>
      <c r="AD180" s="176"/>
      <c r="AJ180" s="135"/>
    </row>
    <row r="181" spans="9:36" x14ac:dyDescent="0.35">
      <c r="I181" s="109">
        <v>4.9550955798900002E-2</v>
      </c>
      <c r="J181" s="49">
        <v>7.4852725101733491E-10</v>
      </c>
      <c r="K181" s="49">
        <v>6.1609106104772656E-11</v>
      </c>
      <c r="L181" s="152">
        <v>6.748058409800333E-10</v>
      </c>
      <c r="M181" s="33"/>
      <c r="R181" s="60">
        <v>1274.7468485819961</v>
      </c>
      <c r="S181" s="57">
        <v>3.0920102541720052E-6</v>
      </c>
      <c r="U181" s="127">
        <v>1.3132091037682876E-9</v>
      </c>
      <c r="V181" s="127">
        <v>6.748058409800333E-10</v>
      </c>
      <c r="W181" s="127">
        <v>4.6265744949808019E-10</v>
      </c>
      <c r="X181" s="128">
        <f t="shared" si="4"/>
        <v>7.8136955880660861E-10</v>
      </c>
      <c r="Y181" s="139">
        <f t="shared" si="5"/>
        <v>0.28416953625323133</v>
      </c>
      <c r="AA181" s="73"/>
      <c r="AB181" s="176"/>
      <c r="AC181" s="176"/>
      <c r="AD181" s="176"/>
      <c r="AJ181" s="135"/>
    </row>
    <row r="182" spans="9:36" x14ac:dyDescent="0.35">
      <c r="I182" s="109">
        <v>5.0046465356900001E-2</v>
      </c>
      <c r="J182" s="49">
        <v>6.861180913892463E-10</v>
      </c>
      <c r="K182" s="49">
        <v>6.2174503492560139E-11</v>
      </c>
      <c r="L182" s="152">
        <v>4.9345441910686882E-10</v>
      </c>
      <c r="M182" s="33"/>
      <c r="R182" s="60">
        <v>1275.4600257700197</v>
      </c>
      <c r="S182" s="57">
        <v>3.0920102541720052E-6</v>
      </c>
      <c r="U182" s="127">
        <v>9.7060336116633709E-10</v>
      </c>
      <c r="V182" s="127">
        <v>4.9345441910686882E-10</v>
      </c>
      <c r="W182" s="127">
        <v>6.2572622495496075E-10</v>
      </c>
      <c r="X182" s="128">
        <f t="shared" si="4"/>
        <v>6.4580960608375887E-10</v>
      </c>
      <c r="Y182" s="139">
        <f t="shared" si="5"/>
        <v>0.42030862863552243</v>
      </c>
      <c r="AA182" s="73"/>
      <c r="AB182" s="176"/>
      <c r="AC182" s="176"/>
      <c r="AD182" s="176"/>
      <c r="AJ182" s="135"/>
    </row>
    <row r="183" spans="9:36" x14ac:dyDescent="0.35">
      <c r="I183" s="109">
        <v>5.0546930010399997E-2</v>
      </c>
      <c r="J183" s="49">
        <v>6.2270869753921565E-10</v>
      </c>
      <c r="K183" s="49">
        <v>5.9221586675756362E-11</v>
      </c>
      <c r="L183" s="152">
        <v>4.9326872896660204E-10</v>
      </c>
      <c r="M183" s="33"/>
      <c r="R183" s="60">
        <v>1275.4600257700197</v>
      </c>
      <c r="S183" s="57">
        <v>3.1524489597356358E-6</v>
      </c>
      <c r="U183" s="127">
        <v>6.7361613749464556E-10</v>
      </c>
      <c r="V183" s="127">
        <v>4.9326872896660204E-10</v>
      </c>
      <c r="W183" s="127">
        <v>9.2193762339009631E-10</v>
      </c>
      <c r="X183" s="128">
        <f t="shared" si="4"/>
        <v>6.4552280470448646E-10</v>
      </c>
      <c r="Y183" s="139">
        <f t="shared" si="5"/>
        <v>0.1484044339162445</v>
      </c>
      <c r="AA183" s="73"/>
      <c r="AB183" s="176"/>
      <c r="AC183" s="176"/>
      <c r="AD183" s="176"/>
      <c r="AJ183" s="135"/>
    </row>
    <row r="184" spans="9:36" x14ac:dyDescent="0.35">
      <c r="I184" s="109">
        <v>5.1052399310499999E-2</v>
      </c>
      <c r="J184" s="49">
        <v>8.5061444472015216E-10</v>
      </c>
      <c r="K184" s="49">
        <v>7.0333804603407464E-11</v>
      </c>
      <c r="L184" s="152">
        <v>6.7191898036953632E-10</v>
      </c>
      <c r="M184" s="33"/>
      <c r="R184" s="60">
        <v>1276.7416146453936</v>
      </c>
      <c r="S184" s="57">
        <v>3.1524489597356358E-6</v>
      </c>
      <c r="U184" s="127">
        <v>5.0850590936768434E-10</v>
      </c>
      <c r="V184" s="127">
        <v>6.7191898036953632E-10</v>
      </c>
      <c r="W184" s="127">
        <v>1.2565868920652368E-9</v>
      </c>
      <c r="X184" s="128">
        <f t="shared" si="4"/>
        <v>7.7723269054299848E-10</v>
      </c>
      <c r="Y184" s="139">
        <f t="shared" si="5"/>
        <v>1.0885489354279909</v>
      </c>
      <c r="AA184" s="73"/>
      <c r="AB184" s="176"/>
      <c r="AC184" s="176"/>
      <c r="AD184" s="176"/>
      <c r="AJ184" s="135"/>
    </row>
    <row r="185" spans="9:36" x14ac:dyDescent="0.35">
      <c r="I185" s="109">
        <v>5.1562923303600003E-2</v>
      </c>
      <c r="J185" s="49">
        <v>1.0526131622473182E-9</v>
      </c>
      <c r="K185" s="49">
        <v>7.842896656108592E-11</v>
      </c>
      <c r="L185" s="152">
        <v>9.7183661844177191E-10</v>
      </c>
      <c r="M185" s="33"/>
      <c r="R185" s="60">
        <v>1276.7416146453936</v>
      </c>
      <c r="S185" s="57">
        <v>3.1942273436063003E-6</v>
      </c>
      <c r="U185" s="127">
        <v>5.2260759661607202E-10</v>
      </c>
      <c r="V185" s="127">
        <v>9.7183661844177191E-10</v>
      </c>
      <c r="W185" s="127">
        <v>1.5227768217257274E-9</v>
      </c>
      <c r="X185" s="128">
        <f t="shared" si="4"/>
        <v>9.9726441380633583E-10</v>
      </c>
      <c r="Y185" s="139">
        <f t="shared" si="5"/>
        <v>0.49803816578305549</v>
      </c>
      <c r="AA185" s="73"/>
      <c r="AB185" s="176"/>
      <c r="AC185" s="176"/>
      <c r="AD185" s="176"/>
      <c r="AJ185" s="135"/>
    </row>
    <row r="186" spans="9:36" x14ac:dyDescent="0.35">
      <c r="I186" s="109">
        <v>5.2078552536699997E-2</v>
      </c>
      <c r="J186" s="49">
        <v>1.1841649600475955E-9</v>
      </c>
      <c r="K186" s="49">
        <v>8.5791170679580894E-11</v>
      </c>
      <c r="L186" s="152">
        <v>1.2973738866864441E-9</v>
      </c>
      <c r="M186" s="33"/>
      <c r="R186" s="60">
        <v>1278.4626962334678</v>
      </c>
      <c r="S186" s="57">
        <v>3.1942273436063003E-6</v>
      </c>
      <c r="U186" s="127">
        <v>7.0907676392379528E-10</v>
      </c>
      <c r="V186" s="127">
        <v>1.2973738866864441E-9</v>
      </c>
      <c r="W186" s="127">
        <v>1.6363636162951769E-9</v>
      </c>
      <c r="X186" s="128">
        <f t="shared" si="4"/>
        <v>1.235047038397965E-9</v>
      </c>
      <c r="Y186" s="139">
        <f t="shared" si="5"/>
        <v>0.351758415653454</v>
      </c>
      <c r="AA186" s="73"/>
      <c r="AB186" s="176"/>
      <c r="AC186" s="176"/>
      <c r="AD186" s="176"/>
      <c r="AJ186" s="135"/>
    </row>
    <row r="187" spans="9:36" x14ac:dyDescent="0.35">
      <c r="I187" s="109">
        <v>5.2599338062100001E-2</v>
      </c>
      <c r="J187" s="49">
        <v>1.4460154103783726E-9</v>
      </c>
      <c r="K187" s="49">
        <v>9.7530336340055641E-11</v>
      </c>
      <c r="L187" s="152">
        <v>1.5449817838117478E-9</v>
      </c>
      <c r="M187" s="33"/>
      <c r="R187" s="60">
        <v>1278.4626962334678</v>
      </c>
      <c r="S187" s="57">
        <v>3.1999999999999999E-6</v>
      </c>
      <c r="U187" s="127">
        <v>1.0079519106717408E-9</v>
      </c>
      <c r="V187" s="127">
        <v>1.5449817838117478E-9</v>
      </c>
      <c r="W187" s="127">
        <v>1.5645089671165133E-9</v>
      </c>
      <c r="X187" s="128">
        <f t="shared" si="4"/>
        <v>1.4156061113529375E-9</v>
      </c>
      <c r="Y187" s="139">
        <f t="shared" si="5"/>
        <v>9.7215021055012521E-2</v>
      </c>
      <c r="AA187" s="73"/>
      <c r="AB187" s="176"/>
      <c r="AC187" s="176"/>
      <c r="AD187" s="176"/>
      <c r="AJ187" s="135"/>
    </row>
    <row r="188" spans="9:36" x14ac:dyDescent="0.35">
      <c r="I188" s="109">
        <v>5.31253314427E-2</v>
      </c>
      <c r="J188" s="49">
        <v>1.6632514270138345E-9</v>
      </c>
      <c r="K188" s="49">
        <v>1.0739156162944791E-10</v>
      </c>
      <c r="L188" s="152">
        <v>1.637096861595524E-9</v>
      </c>
      <c r="M188" s="33"/>
      <c r="R188" s="60">
        <v>1306.7095644828337</v>
      </c>
      <c r="S188" s="57">
        <v>3.1999999999999999E-6</v>
      </c>
      <c r="U188" s="127">
        <v>1.3241623318158014E-9</v>
      </c>
      <c r="V188" s="127">
        <v>1.637096861595524E-9</v>
      </c>
      <c r="W188" s="127">
        <v>1.3376166212140284E-9</v>
      </c>
      <c r="X188" s="128">
        <f t="shared" si="4"/>
        <v>1.4839931690552193E-9</v>
      </c>
      <c r="Y188" s="139">
        <f t="shared" si="5"/>
        <v>2.7862368246011684</v>
      </c>
      <c r="AA188" s="73"/>
      <c r="AB188" s="176"/>
      <c r="AC188" s="176"/>
      <c r="AD188" s="176"/>
      <c r="AJ188" s="135"/>
    </row>
    <row r="189" spans="9:36" x14ac:dyDescent="0.35">
      <c r="I189" s="109">
        <v>5.3656584757100001E-2</v>
      </c>
      <c r="J189" s="49">
        <v>1.582381383632245E-9</v>
      </c>
      <c r="K189" s="49">
        <v>1.0465102577999871E-10</v>
      </c>
      <c r="L189" s="152">
        <v>1.5484568784327847E-9</v>
      </c>
      <c r="M189" s="33"/>
      <c r="R189" s="60">
        <v>1306.7095644828337</v>
      </c>
      <c r="S189" s="57">
        <v>3.1954282917291422E-6</v>
      </c>
      <c r="U189" s="127">
        <v>1.557567019976963E-9</v>
      </c>
      <c r="V189" s="127">
        <v>1.5484568784327847E-9</v>
      </c>
      <c r="W189" s="127">
        <v>1.0395412021010246E-9</v>
      </c>
      <c r="X189" s="128">
        <f t="shared" si="4"/>
        <v>1.4235054947358892E-9</v>
      </c>
      <c r="Y189" s="139">
        <f t="shared" si="5"/>
        <v>2.3047775107512347</v>
      </c>
      <c r="AA189" s="73"/>
      <c r="AB189" s="176"/>
      <c r="AC189" s="176"/>
      <c r="AD189" s="176"/>
      <c r="AJ189" s="135"/>
    </row>
    <row r="190" spans="9:36" x14ac:dyDescent="0.35">
      <c r="I190" s="109">
        <v>5.4193150604700001E-2</v>
      </c>
      <c r="J190" s="49">
        <v>1.3131371938818227E-9</v>
      </c>
      <c r="K190" s="49">
        <v>9.4120943522907319E-11</v>
      </c>
      <c r="L190" s="152">
        <v>1.3153535430209807E-9</v>
      </c>
      <c r="M190" s="33"/>
      <c r="R190" s="60">
        <v>1308.4306460709079</v>
      </c>
      <c r="S190" s="57">
        <v>3.1954282917291422E-6</v>
      </c>
      <c r="U190" s="127">
        <v>1.6357047137238957E-9</v>
      </c>
      <c r="V190" s="127">
        <v>1.3153535430209807E-9</v>
      </c>
      <c r="W190" s="127">
        <v>7.7841821492875534E-10</v>
      </c>
      <c r="X190" s="128">
        <f t="shared" si="4"/>
        <v>1.2612075036736531E-9</v>
      </c>
      <c r="Y190" s="139">
        <f t="shared" si="5"/>
        <v>0.30441000291928855</v>
      </c>
      <c r="AA190" s="73"/>
      <c r="AB190" s="176"/>
      <c r="AC190" s="176"/>
      <c r="AD190" s="176"/>
      <c r="AJ190" s="135"/>
    </row>
    <row r="191" spans="9:36" x14ac:dyDescent="0.35">
      <c r="I191" s="109">
        <v>5.4735082110700002E-2</v>
      </c>
      <c r="J191" s="49">
        <v>1.1566287148655173E-9</v>
      </c>
      <c r="K191" s="49">
        <v>9.3756887061072891E-11</v>
      </c>
      <c r="L191" s="152">
        <v>1.0236659056412276E-9</v>
      </c>
      <c r="M191" s="33"/>
      <c r="R191" s="60">
        <v>1308.4306460709079</v>
      </c>
      <c r="S191" s="57">
        <v>3.1623415167579099E-6</v>
      </c>
      <c r="U191" s="127">
        <v>1.5383216096409218E-9</v>
      </c>
      <c r="V191" s="127">
        <v>1.0236659056412276E-9</v>
      </c>
      <c r="W191" s="127">
        <v>6.4778069867648737E-10</v>
      </c>
      <c r="X191" s="128">
        <f t="shared" si="4"/>
        <v>1.0583585298999661E-9</v>
      </c>
      <c r="Y191" s="139">
        <f t="shared" si="5"/>
        <v>1.0985939126526363</v>
      </c>
      <c r="AA191" s="73"/>
      <c r="AB191" s="176"/>
      <c r="AC191" s="176"/>
      <c r="AD191" s="176"/>
      <c r="AJ191" s="135"/>
    </row>
    <row r="192" spans="9:36" x14ac:dyDescent="0.35">
      <c r="I192" s="109">
        <v>5.5282432931799998E-2</v>
      </c>
      <c r="J192" s="49">
        <v>7.7755321414740211E-10</v>
      </c>
      <c r="K192" s="49">
        <v>8.1504320028007588E-11</v>
      </c>
      <c r="L192" s="152">
        <v>7.7886982212899151E-10</v>
      </c>
      <c r="M192" s="33"/>
      <c r="R192" s="60">
        <v>1309.7122349462818</v>
      </c>
      <c r="S192" s="57">
        <v>3.1623415167579099E-6</v>
      </c>
      <c r="U192" s="127">
        <v>1.3047977864868344E-9</v>
      </c>
      <c r="V192" s="127">
        <v>7.7886982212899151E-10</v>
      </c>
      <c r="W192" s="127">
        <v>6.9198745475591259E-10</v>
      </c>
      <c r="X192" s="128">
        <f t="shared" si="4"/>
        <v>8.8863122137518251E-10</v>
      </c>
      <c r="Y192" s="139">
        <f t="shared" si="5"/>
        <v>1.8573549281502826</v>
      </c>
      <c r="AA192" s="73"/>
      <c r="AB192" s="176"/>
      <c r="AC192" s="176"/>
      <c r="AD192" s="176"/>
      <c r="AJ192" s="135"/>
    </row>
    <row r="193" spans="9:36" x14ac:dyDescent="0.35">
      <c r="I193" s="109">
        <v>5.5835257261100002E-2</v>
      </c>
      <c r="J193" s="49">
        <v>6.9404479313498604E-10</v>
      </c>
      <c r="K193" s="49">
        <v>7.2680939149135618E-11</v>
      </c>
      <c r="L193" s="152">
        <v>6.6808641082580754E-10</v>
      </c>
      <c r="M193" s="33"/>
      <c r="R193" s="60">
        <v>1309.7122349462818</v>
      </c>
      <c r="S193" s="57">
        <v>3.1144765285686335E-6</v>
      </c>
      <c r="U193" s="127">
        <v>1.020994836780383E-9</v>
      </c>
      <c r="V193" s="127">
        <v>6.6808641082580754E-10</v>
      </c>
      <c r="W193" s="127">
        <v>8.8932843671211097E-10</v>
      </c>
      <c r="X193" s="128">
        <f t="shared" si="4"/>
        <v>8.1162402378602723E-10</v>
      </c>
      <c r="Y193" s="139">
        <f t="shared" si="5"/>
        <v>2.617099096354027</v>
      </c>
      <c r="AA193" s="73"/>
      <c r="AB193" s="176"/>
      <c r="AC193" s="176"/>
      <c r="AD193" s="176"/>
      <c r="AJ193" s="135"/>
    </row>
    <row r="194" spans="9:36" x14ac:dyDescent="0.35">
      <c r="I194" s="109">
        <v>5.6393609833799999E-2</v>
      </c>
      <c r="J194" s="49">
        <v>6.7915425601260236E-10</v>
      </c>
      <c r="K194" s="49">
        <v>7.5610949070229117E-11</v>
      </c>
      <c r="L194" s="152">
        <v>7.279353215694223E-10</v>
      </c>
      <c r="M194" s="33"/>
      <c r="R194" s="60">
        <v>1310.4254121343054</v>
      </c>
      <c r="S194" s="57">
        <v>3.1144765285686335E-6</v>
      </c>
      <c r="U194" s="127">
        <v>7.8921276963642563E-10</v>
      </c>
      <c r="V194" s="127">
        <v>7.279353215694223E-10</v>
      </c>
      <c r="W194" s="127">
        <v>1.1601729978479675E-9</v>
      </c>
      <c r="X194" s="128">
        <f t="shared" si="4"/>
        <v>8.5131410265580945E-10</v>
      </c>
      <c r="Y194" s="139">
        <f t="shared" si="5"/>
        <v>5.1843505020610001</v>
      </c>
      <c r="AA194" s="73"/>
      <c r="AB194" s="176"/>
      <c r="AC194" s="176"/>
      <c r="AD194" s="176"/>
      <c r="AJ194" s="135"/>
    </row>
    <row r="195" spans="9:36" x14ac:dyDescent="0.35">
      <c r="I195" s="109">
        <v>5.69575459321E-2</v>
      </c>
      <c r="J195" s="49">
        <v>9.1799437459734554E-10</v>
      </c>
      <c r="K195" s="49">
        <v>8.7310126755465012E-11</v>
      </c>
      <c r="L195" s="152">
        <v>9.3067777363122459E-10</v>
      </c>
      <c r="M195" s="33"/>
      <c r="R195" s="60">
        <v>1310.4254121343054</v>
      </c>
      <c r="S195" s="57">
        <v>3.0603147903108973E-6</v>
      </c>
      <c r="U195" s="127">
        <v>6.9141074654128802E-10</v>
      </c>
      <c r="V195" s="127">
        <v>9.3067777363122459E-10</v>
      </c>
      <c r="W195" s="127">
        <v>1.3980343454035074E-9</v>
      </c>
      <c r="X195" s="128">
        <f t="shared" ref="X195:X254" si="6">(U195+2*V195+W195)/4</f>
        <v>9.8770015980181114E-10</v>
      </c>
      <c r="Y195" s="139">
        <f t="shared" ref="Y195:Y254" si="7">(J195-X195)*(J195-X195)/(K195*K195)</f>
        <v>0.63739464422092273</v>
      </c>
      <c r="AA195" s="73"/>
      <c r="AB195" s="176"/>
      <c r="AC195" s="176"/>
      <c r="AD195" s="176"/>
      <c r="AJ195" s="135"/>
    </row>
    <row r="196" spans="9:36" x14ac:dyDescent="0.35">
      <c r="I196" s="109">
        <v>5.7527121391400003E-2</v>
      </c>
      <c r="J196" s="49">
        <v>1.1240250858214855E-9</v>
      </c>
      <c r="K196" s="49">
        <v>1.0056256968858746E-10</v>
      </c>
      <c r="L196" s="152">
        <v>1.1948143774349688E-9</v>
      </c>
      <c r="M196" s="33"/>
      <c r="R196" s="60">
        <v>1310.9479348441721</v>
      </c>
      <c r="S196" s="57">
        <v>3.0603147903108973E-6</v>
      </c>
      <c r="U196" s="127">
        <v>7.5906635667315564E-10</v>
      </c>
      <c r="V196" s="127">
        <v>1.1948143774349688E-9</v>
      </c>
      <c r="W196" s="127">
        <v>1.5119956649054553E-9</v>
      </c>
      <c r="X196" s="128">
        <f t="shared" si="6"/>
        <v>1.1651726941121371E-9</v>
      </c>
      <c r="Y196" s="139">
        <f t="shared" si="7"/>
        <v>0.16742352015468423</v>
      </c>
      <c r="AA196" s="73"/>
      <c r="AB196" s="176"/>
      <c r="AC196" s="176"/>
      <c r="AD196" s="176"/>
      <c r="AJ196" s="135"/>
    </row>
    <row r="197" spans="9:36" x14ac:dyDescent="0.35">
      <c r="I197" s="109">
        <v>5.81023926053E-2</v>
      </c>
      <c r="J197" s="49">
        <v>1.3150772721322204E-9</v>
      </c>
      <c r="K197" s="49">
        <v>1.092974074616073E-10</v>
      </c>
      <c r="L197" s="152">
        <v>1.4169647602086914E-9</v>
      </c>
      <c r="M197" s="33"/>
      <c r="R197" s="60">
        <v>1310.9479348441721</v>
      </c>
      <c r="S197" s="57">
        <v>3.0031551898129859E-6</v>
      </c>
      <c r="U197" s="127">
        <v>9.6139378523968854E-10</v>
      </c>
      <c r="V197" s="127">
        <v>1.4169647602086914E-9</v>
      </c>
      <c r="W197" s="127">
        <v>1.4635466589146257E-9</v>
      </c>
      <c r="X197" s="128">
        <f t="shared" si="6"/>
        <v>1.3147174911429243E-9</v>
      </c>
      <c r="Y197" s="139">
        <f t="shared" si="7"/>
        <v>1.0835693252700958E-5</v>
      </c>
      <c r="AA197" s="73"/>
      <c r="AB197" s="176"/>
      <c r="AC197" s="176"/>
      <c r="AD197" s="176"/>
      <c r="AJ197" s="135"/>
    </row>
    <row r="198" spans="9:36" x14ac:dyDescent="0.35">
      <c r="I198" s="109">
        <v>5.8683416531400003E-2</v>
      </c>
      <c r="J198" s="49">
        <v>1.454624637288295E-9</v>
      </c>
      <c r="K198" s="49">
        <v>1.1782298933564143E-10</v>
      </c>
      <c r="L198" s="152">
        <v>1.5133274050113184E-9</v>
      </c>
      <c r="M198" s="33"/>
      <c r="R198" s="60">
        <v>1311.3731566721908</v>
      </c>
      <c r="S198" s="57">
        <v>3.0031551898129859E-6</v>
      </c>
      <c r="U198" s="127">
        <v>1.2173842265318643E-9</v>
      </c>
      <c r="V198" s="127">
        <v>1.5133274050113184E-9</v>
      </c>
      <c r="W198" s="127">
        <v>1.2821733963812076E-9</v>
      </c>
      <c r="X198" s="128">
        <f t="shared" si="6"/>
        <v>1.3815531082339273E-9</v>
      </c>
      <c r="Y198" s="139">
        <f t="shared" si="7"/>
        <v>0.38462394329101124</v>
      </c>
      <c r="AA198" s="73"/>
      <c r="AB198" s="176"/>
      <c r="AC198" s="176"/>
      <c r="AD198" s="176"/>
      <c r="AJ198" s="135"/>
    </row>
    <row r="199" spans="9:36" x14ac:dyDescent="0.35">
      <c r="I199" s="109">
        <v>5.92702506967E-2</v>
      </c>
      <c r="J199" s="49">
        <v>1.3017741638650339E-9</v>
      </c>
      <c r="K199" s="49">
        <v>1.1172067122410997E-10</v>
      </c>
      <c r="L199" s="152">
        <v>1.4523557784876733E-9</v>
      </c>
      <c r="M199" s="33"/>
      <c r="R199" s="60">
        <v>1311.3731566721908</v>
      </c>
      <c r="S199" s="57">
        <v>2.9445079317369009E-6</v>
      </c>
      <c r="U199" s="127">
        <v>1.4271090351546098E-9</v>
      </c>
      <c r="V199" s="127">
        <v>1.4523557784876733E-9</v>
      </c>
      <c r="W199" s="127">
        <v>1.0523362286481797E-9</v>
      </c>
      <c r="X199" s="128">
        <f t="shared" si="6"/>
        <v>1.346039205194534E-9</v>
      </c>
      <c r="Y199" s="139">
        <f t="shared" si="7"/>
        <v>0.1569837414230951</v>
      </c>
      <c r="AA199" s="73"/>
      <c r="AB199" s="176"/>
      <c r="AC199" s="176"/>
      <c r="AD199" s="176"/>
      <c r="AJ199" s="135"/>
    </row>
    <row r="200" spans="9:36" x14ac:dyDescent="0.35">
      <c r="I200" s="109">
        <v>5.9862953203699998E-2</v>
      </c>
      <c r="J200" s="49">
        <v>1.3045518978927113E-9</v>
      </c>
      <c r="K200" s="49">
        <v>1.1802658110962973E-10</v>
      </c>
      <c r="L200" s="152">
        <v>1.269100486588806E-9</v>
      </c>
      <c r="M200" s="33"/>
      <c r="R200" s="60">
        <v>1311.7403380814474</v>
      </c>
      <c r="S200" s="57">
        <v>2.9445079317369009E-6</v>
      </c>
      <c r="U200" s="127">
        <v>1.5118084121863233E-9</v>
      </c>
      <c r="V200" s="127">
        <v>1.269100486588806E-9</v>
      </c>
      <c r="W200" s="127">
        <v>8.7693549227165814E-10</v>
      </c>
      <c r="X200" s="128">
        <f t="shared" si="6"/>
        <v>1.2317362194088984E-9</v>
      </c>
      <c r="Y200" s="139">
        <f t="shared" si="7"/>
        <v>0.38061872226986648</v>
      </c>
      <c r="AA200" s="73"/>
      <c r="AB200" s="176"/>
      <c r="AC200" s="176"/>
      <c r="AD200" s="176"/>
      <c r="AJ200" s="135"/>
    </row>
    <row r="201" spans="9:36" x14ac:dyDescent="0.35">
      <c r="I201" s="109">
        <v>6.0461582735700001E-2</v>
      </c>
      <c r="J201" s="49">
        <v>8.7973242540564717E-10</v>
      </c>
      <c r="K201" s="49">
        <v>1.0273983061585127E-10</v>
      </c>
      <c r="L201" s="152">
        <v>1.0485610032486378E-9</v>
      </c>
      <c r="M201" s="33"/>
      <c r="R201" s="60">
        <v>1311.7403380814474</v>
      </c>
      <c r="S201" s="57">
        <v>2.885125870542291E-6</v>
      </c>
      <c r="U201" s="127">
        <v>1.4455388286015063E-9</v>
      </c>
      <c r="V201" s="127">
        <v>1.0485610032486378E-9</v>
      </c>
      <c r="W201" s="127">
        <v>8.3136664577814663E-10</v>
      </c>
      <c r="X201" s="128">
        <f t="shared" si="6"/>
        <v>1.093506870219232E-9</v>
      </c>
      <c r="Y201" s="139">
        <f t="shared" si="7"/>
        <v>4.3294615165999133</v>
      </c>
      <c r="AA201" s="73"/>
      <c r="AB201" s="176"/>
      <c r="AC201" s="176"/>
      <c r="AD201" s="176"/>
      <c r="AJ201" s="135"/>
    </row>
    <row r="202" spans="9:36" x14ac:dyDescent="0.35">
      <c r="I202" s="109">
        <v>6.1066198563099999E-2</v>
      </c>
      <c r="J202" s="49">
        <v>8.1455082248011172E-10</v>
      </c>
      <c r="K202" s="49">
        <v>9.5112831316262886E-11</v>
      </c>
      <c r="L202" s="152">
        <v>8.8876214439649159E-10</v>
      </c>
      <c r="M202" s="33"/>
      <c r="R202" s="60">
        <v>1312.0701929311349</v>
      </c>
      <c r="S202" s="57">
        <v>2.885125870542291E-6</v>
      </c>
      <c r="U202" s="127">
        <v>1.2652082520507804E-9</v>
      </c>
      <c r="V202" s="127">
        <v>8.8876214439649159E-10</v>
      </c>
      <c r="W202" s="127">
        <v>9.30214475394703E-10</v>
      </c>
      <c r="X202" s="128">
        <f t="shared" si="6"/>
        <v>9.9323675405961672E-10</v>
      </c>
      <c r="Y202" s="139">
        <f t="shared" si="7"/>
        <v>3.5294131665923896</v>
      </c>
      <c r="AA202" s="73"/>
      <c r="AB202" s="176"/>
      <c r="AC202" s="176"/>
      <c r="AD202" s="176"/>
      <c r="AJ202" s="135"/>
    </row>
    <row r="203" spans="9:36" x14ac:dyDescent="0.35">
      <c r="I203" s="109">
        <v>6.1676860548700002E-2</v>
      </c>
      <c r="J203" s="49">
        <v>8.4025092130092022E-10</v>
      </c>
      <c r="K203" s="49">
        <v>1.0192903255433614E-10</v>
      </c>
      <c r="L203" s="152">
        <v>8.5750742609246599E-10</v>
      </c>
      <c r="M203" s="33"/>
      <c r="R203" s="60">
        <v>1312.0701929311349</v>
      </c>
      <c r="S203" s="57">
        <v>2.8253978700104729E-6</v>
      </c>
      <c r="U203" s="127">
        <v>1.0541968323509814E-9</v>
      </c>
      <c r="V203" s="127">
        <v>8.5750742609246599E-10</v>
      </c>
      <c r="W203" s="127">
        <v>1.1215044775326646E-9</v>
      </c>
      <c r="X203" s="128">
        <f t="shared" si="6"/>
        <v>9.7267904051714449E-10</v>
      </c>
      <c r="Y203" s="139">
        <f t="shared" si="7"/>
        <v>1.6879695885683446</v>
      </c>
      <c r="AA203" s="73"/>
      <c r="AB203" s="176"/>
      <c r="AC203" s="176"/>
      <c r="AD203" s="176"/>
      <c r="AJ203" s="135"/>
    </row>
    <row r="204" spans="9:36" x14ac:dyDescent="0.35">
      <c r="I204" s="109">
        <v>6.2293629154200003E-2</v>
      </c>
      <c r="J204" s="49">
        <v>8.0827529374005106E-10</v>
      </c>
      <c r="K204" s="49">
        <v>1.0363358842815487E-10</v>
      </c>
      <c r="L204" s="152">
        <v>9.6248274810085289E-10</v>
      </c>
      <c r="M204" s="33"/>
      <c r="R204" s="60">
        <v>1312.3753087908012</v>
      </c>
      <c r="S204" s="57">
        <v>2.8253978700104729E-6</v>
      </c>
      <c r="U204" s="127">
        <v>9.058261882765618E-10</v>
      </c>
      <c r="V204" s="127">
        <v>9.6248274810085289E-10</v>
      </c>
      <c r="W204" s="127">
        <v>1.3121651310502678E-9</v>
      </c>
      <c r="X204" s="128">
        <f t="shared" si="6"/>
        <v>1.0357392038821339E-9</v>
      </c>
      <c r="Y204" s="139">
        <f t="shared" si="7"/>
        <v>4.817524458594125</v>
      </c>
      <c r="AA204" s="73"/>
      <c r="AB204" s="176"/>
      <c r="AC204" s="176"/>
      <c r="AD204" s="176"/>
      <c r="AJ204" s="135"/>
    </row>
    <row r="205" spans="9:36" x14ac:dyDescent="0.35">
      <c r="I205" s="109">
        <v>6.2916565445699998E-2</v>
      </c>
      <c r="J205" s="49">
        <v>1.0744795335118914E-9</v>
      </c>
      <c r="K205" s="49">
        <v>1.2088215534860427E-10</v>
      </c>
      <c r="L205" s="152">
        <v>1.148859884967524E-9</v>
      </c>
      <c r="M205" s="33"/>
      <c r="R205" s="60">
        <v>1312.3753087908012</v>
      </c>
      <c r="S205" s="57">
        <v>2.7655232065384687E-6</v>
      </c>
      <c r="U205" s="127">
        <v>8.8228344671684306E-10</v>
      </c>
      <c r="V205" s="127">
        <v>1.148859884967524E-9</v>
      </c>
      <c r="W205" s="127">
        <v>1.4132723165350209E-9</v>
      </c>
      <c r="X205" s="128">
        <f t="shared" si="6"/>
        <v>1.1483188832967279E-9</v>
      </c>
      <c r="Y205" s="139">
        <f t="shared" si="7"/>
        <v>0.3731224131748464</v>
      </c>
      <c r="AA205" s="73"/>
      <c r="AB205" s="176"/>
      <c r="AC205" s="176"/>
      <c r="AD205" s="176"/>
      <c r="AJ205" s="135"/>
    </row>
    <row r="206" spans="9:36" x14ac:dyDescent="0.35">
      <c r="I206" s="109">
        <v>6.3545731100199995E-2</v>
      </c>
      <c r="J206" s="49">
        <v>1.0511032036444558E-9</v>
      </c>
      <c r="K206" s="49">
        <v>1.2526106846877265E-10</v>
      </c>
      <c r="L206" s="152">
        <v>1.3262063527556579E-9</v>
      </c>
      <c r="M206" s="33"/>
      <c r="R206" s="60">
        <v>1312.664204273671</v>
      </c>
      <c r="S206" s="57">
        <v>2.7655232065384687E-6</v>
      </c>
      <c r="U206" s="127">
        <v>9.8742245123467609E-10</v>
      </c>
      <c r="V206" s="127">
        <v>1.3262063527556579E-9</v>
      </c>
      <c r="W206" s="127">
        <v>1.3833619314145872E-9</v>
      </c>
      <c r="X206" s="128">
        <f t="shared" si="6"/>
        <v>1.2557992720401448E-9</v>
      </c>
      <c r="Y206" s="139">
        <f t="shared" si="7"/>
        <v>2.6704643135477646</v>
      </c>
      <c r="AA206" s="73"/>
      <c r="AB206" s="176"/>
      <c r="AC206" s="176"/>
      <c r="AD206" s="176"/>
      <c r="AJ206" s="135"/>
    </row>
    <row r="207" spans="9:36" x14ac:dyDescent="0.35">
      <c r="I207" s="109">
        <v>6.4181188411200005E-2</v>
      </c>
      <c r="J207" s="49">
        <v>1.2753509858664062E-9</v>
      </c>
      <c r="K207" s="49">
        <v>1.36533141314032E-10</v>
      </c>
      <c r="L207" s="152">
        <v>1.4124441715529579E-9</v>
      </c>
      <c r="M207" s="33"/>
      <c r="R207" s="60">
        <v>1312.664204273671</v>
      </c>
      <c r="S207" s="57">
        <v>2.7055977395409723E-6</v>
      </c>
      <c r="U207" s="127">
        <v>1.1662916509918897E-9</v>
      </c>
      <c r="V207" s="127">
        <v>1.4124441715529579E-9</v>
      </c>
      <c r="W207" s="127">
        <v>1.2480721327465312E-9</v>
      </c>
      <c r="X207" s="128">
        <f t="shared" si="6"/>
        <v>1.309813031711084E-9</v>
      </c>
      <c r="Y207" s="139">
        <f t="shared" si="7"/>
        <v>6.3709756727467898E-2</v>
      </c>
      <c r="AA207" s="73"/>
      <c r="AB207" s="176"/>
      <c r="AC207" s="176"/>
      <c r="AD207" s="176"/>
      <c r="AJ207" s="135"/>
    </row>
    <row r="208" spans="9:36" x14ac:dyDescent="0.35">
      <c r="I208" s="109">
        <v>6.4823000295299998E-2</v>
      </c>
      <c r="J208" s="49">
        <v>1.1429274375694256E-9</v>
      </c>
      <c r="K208" s="49">
        <v>1.3102362465542561E-10</v>
      </c>
      <c r="L208" s="152">
        <v>1.373667932252214E-9</v>
      </c>
      <c r="M208" s="33"/>
      <c r="R208" s="60">
        <v>1312.9432220993033</v>
      </c>
      <c r="S208" s="57">
        <v>2.7055977395409723E-6</v>
      </c>
      <c r="U208" s="127">
        <v>1.332181007247779E-9</v>
      </c>
      <c r="V208" s="127">
        <v>1.373667932252214E-9</v>
      </c>
      <c r="W208" s="127">
        <v>1.08553799841649E-9</v>
      </c>
      <c r="X208" s="128">
        <f t="shared" si="6"/>
        <v>1.2912637175421742E-9</v>
      </c>
      <c r="Y208" s="139">
        <f t="shared" si="7"/>
        <v>1.2817270430941083</v>
      </c>
      <c r="AA208" s="73"/>
      <c r="AB208" s="176"/>
      <c r="AC208" s="176"/>
      <c r="AD208" s="176"/>
      <c r="AJ208" s="135"/>
    </row>
    <row r="209" spans="9:36" x14ac:dyDescent="0.35">
      <c r="I209" s="109">
        <v>6.5471230298199998E-2</v>
      </c>
      <c r="J209" s="49">
        <v>9.5710072666448897E-10</v>
      </c>
      <c r="K209" s="49">
        <v>1.2543032013970729E-10</v>
      </c>
      <c r="L209" s="152">
        <v>1.2398089931017088E-9</v>
      </c>
      <c r="M209" s="33"/>
      <c r="R209" s="60">
        <v>1312.9432220993033</v>
      </c>
      <c r="S209" s="57">
        <v>2.645660549435274E-6</v>
      </c>
      <c r="U209" s="127">
        <v>1.408753245335838E-9</v>
      </c>
      <c r="V209" s="127">
        <v>1.2398089931017088E-9</v>
      </c>
      <c r="W209" s="127">
        <v>9.8442114254777906E-10</v>
      </c>
      <c r="X209" s="128">
        <f t="shared" si="6"/>
        <v>1.2181980935217588E-9</v>
      </c>
      <c r="Y209" s="139">
        <f t="shared" si="7"/>
        <v>4.333112079684148</v>
      </c>
      <c r="AA209" s="73"/>
      <c r="AB209" s="176"/>
      <c r="AC209" s="176"/>
      <c r="AD209" s="176"/>
      <c r="AJ209" s="135"/>
    </row>
    <row r="210" spans="9:36" x14ac:dyDescent="0.35">
      <c r="I210" s="109">
        <v>6.61259426012E-2</v>
      </c>
      <c r="J210" s="49">
        <v>9.8364980082354634E-10</v>
      </c>
      <c r="K210" s="49">
        <v>1.2785110775774607E-10</v>
      </c>
      <c r="L210" s="153">
        <v>1.087679557138651E-9</v>
      </c>
      <c r="M210" s="18"/>
      <c r="R210" s="60">
        <v>1313.2175528980326</v>
      </c>
      <c r="S210" s="57">
        <v>2.645660549435274E-6</v>
      </c>
      <c r="U210" s="127">
        <v>1.3669054760153301E-9</v>
      </c>
      <c r="V210" s="127">
        <v>1.087679557138651E-9</v>
      </c>
      <c r="W210" s="127">
        <v>9.9638652375181262E-10</v>
      </c>
      <c r="X210" s="128">
        <f t="shared" si="6"/>
        <v>1.1346627785111112E-9</v>
      </c>
      <c r="Y210" s="139">
        <f t="shared" si="7"/>
        <v>1.3951456573920804</v>
      </c>
      <c r="AA210" s="73"/>
      <c r="AB210" s="176"/>
      <c r="AC210" s="176"/>
      <c r="AD210" s="176"/>
      <c r="AJ210" s="135"/>
    </row>
    <row r="211" spans="9:36" x14ac:dyDescent="0.35">
      <c r="I211" s="49">
        <v>6.6787202027199996E-2</v>
      </c>
      <c r="J211" s="49">
        <v>9.2347481419909836E-10</v>
      </c>
      <c r="K211" s="49">
        <v>1.2152734533856976E-10</v>
      </c>
      <c r="L211" s="153">
        <v>9.9965448756582987E-10</v>
      </c>
      <c r="M211" s="18"/>
      <c r="R211" s="60">
        <v>1313.2175528980326</v>
      </c>
      <c r="S211" s="57">
        <v>2.5857220530311834E-6</v>
      </c>
      <c r="U211" s="127">
        <v>1.2378518468043992E-9</v>
      </c>
      <c r="V211" s="127">
        <v>9.9965448756582987E-10</v>
      </c>
      <c r="W211" s="127">
        <v>1.1088145929219179E-9</v>
      </c>
      <c r="X211" s="128">
        <f t="shared" si="6"/>
        <v>1.0864938537144943E-9</v>
      </c>
      <c r="Y211" s="139">
        <f t="shared" si="7"/>
        <v>1.7994038178107916</v>
      </c>
      <c r="AA211" s="73"/>
      <c r="AB211" s="176"/>
      <c r="AC211" s="176"/>
      <c r="AD211" s="176"/>
      <c r="AJ211" s="135"/>
    </row>
    <row r="212" spans="9:36" x14ac:dyDescent="0.35">
      <c r="I212" s="49">
        <v>6.7455074047499994E-2</v>
      </c>
      <c r="J212" s="49">
        <v>9.4686923010180809E-10</v>
      </c>
      <c r="K212" s="49">
        <v>1.2713282055230124E-10</v>
      </c>
      <c r="L212" s="153">
        <v>1.0196017907701459E-9</v>
      </c>
      <c r="M212" s="18"/>
      <c r="R212" s="60">
        <v>1313.491883696762</v>
      </c>
      <c r="S212" s="57">
        <v>2.5857220530311834E-6</v>
      </c>
      <c r="U212" s="127">
        <v>1.0953842213946151E-9</v>
      </c>
      <c r="V212" s="127">
        <v>1.0196017907701459E-9</v>
      </c>
      <c r="W212" s="127">
        <v>1.2533604137970918E-9</v>
      </c>
      <c r="X212" s="128">
        <f t="shared" si="6"/>
        <v>1.0969870541829997E-9</v>
      </c>
      <c r="Y212" s="139">
        <f t="shared" si="7"/>
        <v>1.3942773008242859</v>
      </c>
      <c r="AA212" s="73"/>
      <c r="AB212" s="176"/>
      <c r="AC212" s="176"/>
      <c r="AD212" s="176"/>
      <c r="AJ212" s="135"/>
    </row>
    <row r="213" spans="9:36" x14ac:dyDescent="0.35">
      <c r="I213" s="49">
        <v>6.8129624787999998E-2</v>
      </c>
      <c r="J213" s="49">
        <v>9.3061059785748655E-10</v>
      </c>
      <c r="K213" s="49">
        <v>1.3340692392061022E-10</v>
      </c>
      <c r="L213" s="153">
        <v>1.1300341672520943E-9</v>
      </c>
      <c r="M213" s="18"/>
      <c r="R213" s="60">
        <v>1313.491883696762</v>
      </c>
      <c r="S213" s="57">
        <v>2.5257848629254851E-6</v>
      </c>
      <c r="U213" s="127">
        <v>1.0161155614984423E-9</v>
      </c>
      <c r="V213" s="127">
        <v>1.1300341672520943E-9</v>
      </c>
      <c r="W213" s="127">
        <v>1.3462282054462155E-9</v>
      </c>
      <c r="X213" s="128">
        <f t="shared" si="6"/>
        <v>1.1556030253622116E-9</v>
      </c>
      <c r="Y213" s="139">
        <f t="shared" si="7"/>
        <v>2.84432397590676</v>
      </c>
      <c r="AA213" s="73"/>
      <c r="AB213" s="176"/>
      <c r="AC213" s="176"/>
      <c r="AD213" s="176"/>
      <c r="AJ213" s="135"/>
    </row>
    <row r="214" spans="9:36" x14ac:dyDescent="0.35">
      <c r="I214" s="49">
        <v>6.8810921035900002E-2</v>
      </c>
      <c r="J214" s="49">
        <v>8.2162524075734576E-10</v>
      </c>
      <c r="K214" s="49">
        <v>1.2948516778170519E-10</v>
      </c>
      <c r="L214" s="153">
        <v>1.263565256342434E-9</v>
      </c>
      <c r="M214" s="18"/>
      <c r="R214" s="60">
        <v>1313.7709015223943</v>
      </c>
      <c r="S214" s="57">
        <v>2.5257848629254851E-6</v>
      </c>
      <c r="U214" s="127">
        <v>1.0385875352945118E-9</v>
      </c>
      <c r="V214" s="127">
        <v>1.263565256342434E-9</v>
      </c>
      <c r="W214" s="127">
        <v>1.3374180064386348E-9</v>
      </c>
      <c r="X214" s="128">
        <f t="shared" si="6"/>
        <v>1.2257840136045036E-9</v>
      </c>
      <c r="Y214" s="139">
        <f t="shared" si="7"/>
        <v>9.7423554937220125</v>
      </c>
      <c r="AA214" s="73"/>
      <c r="AB214" s="176"/>
      <c r="AC214" s="176"/>
      <c r="AD214" s="176"/>
      <c r="AJ214" s="135"/>
    </row>
    <row r="215" spans="9:36" x14ac:dyDescent="0.35">
      <c r="I215" s="49">
        <v>6.9499030246199994E-2</v>
      </c>
      <c r="J215" s="49">
        <v>1.1220152667718195E-9</v>
      </c>
      <c r="K215" s="49">
        <v>1.3900558518092394E-10</v>
      </c>
      <c r="L215" s="153">
        <v>1.3427319446798561E-9</v>
      </c>
      <c r="M215" s="18"/>
      <c r="R215" s="60">
        <v>1313.7709015223943</v>
      </c>
      <c r="S215" s="57">
        <v>2.4658593959279887E-6</v>
      </c>
      <c r="U215" s="127">
        <v>1.1434955967987675E-9</v>
      </c>
      <c r="V215" s="127">
        <v>1.3427319446798561E-9</v>
      </c>
      <c r="W215" s="127">
        <v>1.2398964015829531E-9</v>
      </c>
      <c r="X215" s="128">
        <f t="shared" si="6"/>
        <v>1.2672139719353583E-9</v>
      </c>
      <c r="Y215" s="139">
        <f t="shared" si="7"/>
        <v>1.0910910321197067</v>
      </c>
      <c r="AA215" s="73"/>
      <c r="AB215" s="176"/>
      <c r="AC215" s="176"/>
      <c r="AD215" s="176"/>
      <c r="AJ215" s="135"/>
    </row>
    <row r="216" spans="9:36" x14ac:dyDescent="0.35">
      <c r="I216" s="49">
        <v>7.0194020548699998E-2</v>
      </c>
      <c r="J216" s="49">
        <v>1.2334982150033153E-9</v>
      </c>
      <c r="K216" s="49">
        <v>1.5369127087157073E-10</v>
      </c>
      <c r="L216" s="153">
        <v>1.3255163716075626E-9</v>
      </c>
      <c r="M216" s="18"/>
      <c r="R216" s="60">
        <v>1314.059797005264</v>
      </c>
      <c r="S216" s="57">
        <v>2.4658593959279887E-6</v>
      </c>
      <c r="U216" s="127">
        <v>1.2663114151082411E-9</v>
      </c>
      <c r="V216" s="127">
        <v>1.3255163716075626E-9</v>
      </c>
      <c r="W216" s="127">
        <v>1.1205307873484552E-9</v>
      </c>
      <c r="X216" s="128">
        <f t="shared" si="6"/>
        <v>1.2594687364179553E-9</v>
      </c>
      <c r="Y216" s="139">
        <f t="shared" si="7"/>
        <v>2.8553735660454986E-2</v>
      </c>
      <c r="AA216" s="73"/>
      <c r="AB216" s="176"/>
      <c r="AC216" s="176"/>
      <c r="AD216" s="176"/>
      <c r="AJ216" s="135"/>
    </row>
    <row r="217" spans="9:36" x14ac:dyDescent="0.35">
      <c r="I217" s="49">
        <v>7.0895960754200002E-2</v>
      </c>
      <c r="J217" s="49">
        <v>1.2009800713077151E-9</v>
      </c>
      <c r="K217" s="49">
        <v>1.5319850167200293E-10</v>
      </c>
      <c r="L217" s="153">
        <v>1.2296167415114799E-9</v>
      </c>
      <c r="M217" s="18"/>
      <c r="R217" s="60">
        <v>1314.059797005264</v>
      </c>
      <c r="S217" s="57">
        <v>2.4059847324559845E-6</v>
      </c>
      <c r="U217" s="127">
        <v>1.3355440385366051E-9</v>
      </c>
      <c r="V217" s="127">
        <v>1.2296167415114799E-9</v>
      </c>
      <c r="W217" s="127">
        <v>1.0574615503537054E-9</v>
      </c>
      <c r="X217" s="128">
        <f t="shared" si="6"/>
        <v>1.2130597679783176E-9</v>
      </c>
      <c r="Y217" s="139">
        <f t="shared" si="7"/>
        <v>6.2173171613768277E-3</v>
      </c>
      <c r="AA217" s="73"/>
      <c r="AB217" s="176"/>
      <c r="AC217" s="176"/>
      <c r="AD217" s="176"/>
      <c r="AJ217" s="135"/>
    </row>
    <row r="218" spans="9:36" x14ac:dyDescent="0.35">
      <c r="I218" s="49">
        <v>7.1604920361700006E-2</v>
      </c>
      <c r="J218" s="49">
        <v>7.7539894809840225E-10</v>
      </c>
      <c r="K218" s="49">
        <v>1.2771797605587558E-10</v>
      </c>
      <c r="L218" s="153">
        <v>1.1203084177158127E-9</v>
      </c>
      <c r="M218" s="18"/>
      <c r="R218" s="60">
        <v>1314.3649128649304</v>
      </c>
      <c r="S218" s="57">
        <v>2.4059847324559845E-6</v>
      </c>
      <c r="U218" s="127">
        <v>1.3147373081892679E-9</v>
      </c>
      <c r="V218" s="127">
        <v>1.1203084177158127E-9</v>
      </c>
      <c r="W218" s="127">
        <v>1.0900045195506708E-9</v>
      </c>
      <c r="X218" s="128">
        <f t="shared" si="6"/>
        <v>1.161339665792891E-9</v>
      </c>
      <c r="Y218" s="139">
        <f t="shared" si="7"/>
        <v>9.1313953216474513</v>
      </c>
      <c r="AA218" s="73"/>
      <c r="AB218" s="176"/>
      <c r="AC218" s="176"/>
      <c r="AD218" s="176"/>
      <c r="AJ218" s="135"/>
    </row>
    <row r="219" spans="9:36" x14ac:dyDescent="0.35">
      <c r="I219" s="49">
        <v>7.23209695653E-2</v>
      </c>
      <c r="J219" s="49">
        <v>8.4861601771939901E-10</v>
      </c>
      <c r="K219" s="49">
        <v>1.400532247983726E-10</v>
      </c>
      <c r="L219" s="153">
        <v>1.0686504242862837E-9</v>
      </c>
      <c r="M219" s="18"/>
      <c r="R219" s="60">
        <v>1314.3649128649304</v>
      </c>
      <c r="S219" s="57">
        <v>2.3462567319241665E-6</v>
      </c>
      <c r="U219" s="127">
        <v>1.2232930946661824E-9</v>
      </c>
      <c r="V219" s="127">
        <v>1.0686504242862837E-9</v>
      </c>
      <c r="W219" s="127">
        <v>1.1932559100663197E-9</v>
      </c>
      <c r="X219" s="128">
        <f t="shared" si="6"/>
        <v>1.1384624633262674E-9</v>
      </c>
      <c r="Y219" s="139">
        <f t="shared" si="7"/>
        <v>4.2830163442290852</v>
      </c>
      <c r="AA219" s="73"/>
      <c r="AB219" s="176"/>
      <c r="AC219" s="176"/>
      <c r="AD219" s="176"/>
      <c r="AJ219" s="135"/>
    </row>
    <row r="220" spans="9:36" x14ac:dyDescent="0.35">
      <c r="I220" s="49">
        <v>7.3044179261E-2</v>
      </c>
      <c r="J220" s="49">
        <v>6.8901514191194044E-10</v>
      </c>
      <c r="K220" s="49">
        <v>1.2906380768294089E-10</v>
      </c>
      <c r="L220" s="153">
        <v>1.1058420021758266E-9</v>
      </c>
      <c r="M220" s="18"/>
      <c r="R220" s="60">
        <v>1314.6947677146179</v>
      </c>
      <c r="S220" s="57">
        <v>2.3462567319241665E-6</v>
      </c>
      <c r="U220" s="127">
        <v>1.1231303616855782E-9</v>
      </c>
      <c r="V220" s="127">
        <v>1.1058420021758266E-9</v>
      </c>
      <c r="W220" s="127">
        <v>1.2949354352133726E-9</v>
      </c>
      <c r="X220" s="128">
        <f t="shared" si="6"/>
        <v>1.157437450312651E-9</v>
      </c>
      <c r="Y220" s="139">
        <f t="shared" si="7"/>
        <v>13.172438895098441</v>
      </c>
      <c r="AA220" s="73"/>
      <c r="AB220" s="176"/>
      <c r="AC220" s="176"/>
      <c r="AD220" s="176"/>
      <c r="AJ220" s="135"/>
    </row>
    <row r="221" spans="9:36" x14ac:dyDescent="0.35">
      <c r="I221" s="49">
        <v>7.3774621053599998E-2</v>
      </c>
      <c r="J221" s="49">
        <v>9.9552118640124964E-10</v>
      </c>
      <c r="K221" s="49">
        <v>1.5199251945150185E-10</v>
      </c>
      <c r="L221" s="153">
        <v>1.2031920177072528E-9</v>
      </c>
      <c r="M221" s="18"/>
      <c r="R221" s="60">
        <v>1314.6947677146179</v>
      </c>
      <c r="S221" s="57">
        <v>2.2868746707295566E-6</v>
      </c>
      <c r="U221" s="127">
        <v>1.0788586734707874E-9</v>
      </c>
      <c r="V221" s="127">
        <v>1.2031920177072528E-9</v>
      </c>
      <c r="W221" s="127">
        <v>1.3245696520382208E-9</v>
      </c>
      <c r="X221" s="128">
        <f t="shared" si="6"/>
        <v>1.2024530902308783E-9</v>
      </c>
      <c r="Y221" s="139">
        <f t="shared" si="7"/>
        <v>1.8535763466165576</v>
      </c>
      <c r="AA221" s="73"/>
      <c r="AB221" s="176"/>
      <c r="AC221" s="176"/>
      <c r="AD221" s="176"/>
      <c r="AJ221" s="135"/>
    </row>
    <row r="222" spans="9:36" x14ac:dyDescent="0.35">
      <c r="I222" s="49">
        <v>7.4512367264100002E-2</v>
      </c>
      <c r="J222" s="49">
        <v>1.177513597204432E-9</v>
      </c>
      <c r="K222" s="49">
        <v>1.6503311117557525E-10</v>
      </c>
      <c r="L222" s="153">
        <v>1.2916820659038851E-9</v>
      </c>
      <c r="M222" s="18"/>
      <c r="R222" s="60">
        <v>1315.0619491238745</v>
      </c>
      <c r="S222" s="57">
        <v>2.2868746707295566E-6</v>
      </c>
      <c r="U222" s="127">
        <v>1.1162154408749568E-9</v>
      </c>
      <c r="V222" s="127">
        <v>1.2916820659038851E-9</v>
      </c>
      <c r="W222" s="127">
        <v>1.2624425846138391E-9</v>
      </c>
      <c r="X222" s="128">
        <f t="shared" si="6"/>
        <v>1.2405055393241414E-9</v>
      </c>
      <c r="Y222" s="139">
        <f t="shared" si="7"/>
        <v>0.1456893557450844</v>
      </c>
      <c r="AA222" s="73"/>
      <c r="AB222" s="176"/>
      <c r="AC222" s="176"/>
      <c r="AD222" s="176"/>
      <c r="AJ222" s="135"/>
    </row>
    <row r="223" spans="9:36" x14ac:dyDescent="0.35">
      <c r="I223" s="49">
        <v>7.5257490936799995E-2</v>
      </c>
      <c r="J223" s="49">
        <v>1.1829144715308256E-9</v>
      </c>
      <c r="K223" s="49">
        <v>1.6718470154372609E-10</v>
      </c>
      <c r="L223" s="153">
        <v>1.3091761358054316E-9</v>
      </c>
      <c r="M223" s="18"/>
      <c r="R223" s="60">
        <v>1315.0619491238745</v>
      </c>
      <c r="S223" s="57">
        <v>2.2282274126534715E-6</v>
      </c>
      <c r="U223" s="127">
        <v>1.2056827254262128E-9</v>
      </c>
      <c r="V223" s="127">
        <v>1.3091761358054316E-9</v>
      </c>
      <c r="W223" s="127">
        <v>1.1540427104132794E-9</v>
      </c>
      <c r="X223" s="128">
        <f t="shared" si="6"/>
        <v>1.2445194268625888E-9</v>
      </c>
      <c r="Y223" s="139">
        <f t="shared" si="7"/>
        <v>0.13578075698528841</v>
      </c>
      <c r="AA223" s="73"/>
      <c r="AB223" s="176"/>
      <c r="AC223" s="176"/>
      <c r="AD223" s="176"/>
      <c r="AJ223" s="135"/>
    </row>
    <row r="224" spans="9:36" x14ac:dyDescent="0.35">
      <c r="I224" s="49">
        <v>7.6010065846099997E-2</v>
      </c>
      <c r="J224" s="49">
        <v>1.0320957534244511E-9</v>
      </c>
      <c r="K224" s="49">
        <v>1.646235801107927E-10</v>
      </c>
      <c r="L224" s="153">
        <v>1.2437475201116215E-9</v>
      </c>
      <c r="M224" s="18"/>
      <c r="R224" s="60">
        <v>1315.4871709518932</v>
      </c>
      <c r="S224" s="57">
        <v>2.2282274126534715E-6</v>
      </c>
      <c r="U224" s="127">
        <v>1.2827825445922267E-9</v>
      </c>
      <c r="V224" s="127">
        <v>1.2437475201116215E-9</v>
      </c>
      <c r="W224" s="127">
        <v>1.0782080267321864E-9</v>
      </c>
      <c r="X224" s="128">
        <f t="shared" si="6"/>
        <v>1.2121214028869139E-9</v>
      </c>
      <c r="Y224" s="139">
        <f t="shared" si="7"/>
        <v>1.1958719749404276</v>
      </c>
      <c r="AA224" s="73"/>
      <c r="AB224" s="176"/>
      <c r="AC224" s="176"/>
      <c r="AD224" s="176"/>
      <c r="AJ224" s="135"/>
    </row>
    <row r="225" spans="9:36" x14ac:dyDescent="0.35">
      <c r="I225" s="49">
        <v>7.6770166504600001E-2</v>
      </c>
      <c r="J225" s="49">
        <v>9.3656389297629581E-10</v>
      </c>
      <c r="K225" s="49">
        <v>1.5245090060882598E-10</v>
      </c>
      <c r="L225" s="153">
        <v>1.1425744364918838E-9</v>
      </c>
      <c r="M225" s="18"/>
      <c r="R225" s="60">
        <v>1315.4871709518932</v>
      </c>
      <c r="S225" s="57">
        <v>2.1710678121555601E-6</v>
      </c>
      <c r="U225" s="127">
        <v>1.2923944031095991E-9</v>
      </c>
      <c r="V225" s="127">
        <v>1.1425744364918838E-9</v>
      </c>
      <c r="W225" s="127">
        <v>1.0899397032905735E-9</v>
      </c>
      <c r="X225" s="128">
        <f t="shared" si="6"/>
        <v>1.166870744845985E-9</v>
      </c>
      <c r="Y225" s="139">
        <f t="shared" si="7"/>
        <v>2.2822001475231635</v>
      </c>
      <c r="AA225" s="73"/>
      <c r="AB225" s="176"/>
      <c r="AC225" s="176"/>
      <c r="AD225" s="176"/>
      <c r="AJ225" s="135"/>
    </row>
    <row r="226" spans="9:36" x14ac:dyDescent="0.35">
      <c r="I226" s="49">
        <v>7.7537868169599997E-2</v>
      </c>
      <c r="J226" s="49">
        <v>6.8626408624523735E-10</v>
      </c>
      <c r="K226" s="49">
        <v>1.4320244597364619E-10</v>
      </c>
      <c r="L226" s="153">
        <v>1.078608954261364E-9</v>
      </c>
      <c r="M226" s="18"/>
      <c r="R226" s="60">
        <v>1316.0096936617599</v>
      </c>
      <c r="S226" s="57">
        <v>2.1710678121555601E-6</v>
      </c>
      <c r="U226" s="127">
        <v>1.2273125941077685E-9</v>
      </c>
      <c r="V226" s="127">
        <v>1.078608954261364E-9</v>
      </c>
      <c r="W226" s="127">
        <v>1.1788680386022772E-9</v>
      </c>
      <c r="X226" s="128">
        <f t="shared" si="6"/>
        <v>1.1408496353081934E-9</v>
      </c>
      <c r="Y226" s="139">
        <f t="shared" si="7"/>
        <v>10.076979600442643</v>
      </c>
      <c r="AA226" s="73"/>
      <c r="AB226" s="176"/>
      <c r="AC226" s="176"/>
      <c r="AD226" s="176"/>
      <c r="AJ226" s="135"/>
    </row>
    <row r="227" spans="9:36" x14ac:dyDescent="0.35">
      <c r="I227" s="49">
        <v>7.8313246851300006E-2</v>
      </c>
      <c r="J227" s="49">
        <v>9.2343266543936615E-10</v>
      </c>
      <c r="K227" s="49">
        <v>1.6036148279401575E-10</v>
      </c>
      <c r="L227" s="153">
        <v>1.0973705813742845E-9</v>
      </c>
      <c r="M227" s="18"/>
      <c r="R227" s="60">
        <v>1316.0096936617599</v>
      </c>
      <c r="S227" s="57">
        <v>2.1169060738978239E-6</v>
      </c>
      <c r="U227" s="127">
        <v>1.1337239841463136E-9</v>
      </c>
      <c r="V227" s="127">
        <v>1.0973705813742845E-9</v>
      </c>
      <c r="W227" s="127">
        <v>1.2753759467065793E-9</v>
      </c>
      <c r="X227" s="128">
        <f t="shared" si="6"/>
        <v>1.1509602734003655E-9</v>
      </c>
      <c r="Y227" s="139">
        <f t="shared" si="7"/>
        <v>2.0131126384927196</v>
      </c>
      <c r="AA227" s="73"/>
      <c r="AB227" s="176"/>
      <c r="AC227" s="176"/>
      <c r="AD227" s="176"/>
      <c r="AJ227" s="135"/>
    </row>
    <row r="228" spans="9:36" x14ac:dyDescent="0.35">
      <c r="I228" s="49">
        <v>7.90963793198E-2</v>
      </c>
      <c r="J228" s="49">
        <v>9.6048594457536113E-10</v>
      </c>
      <c r="K228" s="49">
        <v>1.6248012153447283E-10</v>
      </c>
      <c r="L228" s="153">
        <v>1.1822965919145116E-9</v>
      </c>
      <c r="M228" s="18"/>
      <c r="R228" s="60">
        <v>1316.7228708497835</v>
      </c>
      <c r="S228" s="57">
        <v>2.1169060738978239E-6</v>
      </c>
      <c r="U228" s="127">
        <v>1.0783592493407875E-9</v>
      </c>
      <c r="V228" s="127">
        <v>1.1822965919145116E-9</v>
      </c>
      <c r="W228" s="127">
        <v>1.3023012116661543E-9</v>
      </c>
      <c r="X228" s="128">
        <f t="shared" si="6"/>
        <v>1.1863134112089912E-9</v>
      </c>
      <c r="Y228" s="139">
        <f t="shared" si="7"/>
        <v>1.9317594909355684</v>
      </c>
      <c r="AA228" s="73"/>
      <c r="AB228" s="176"/>
      <c r="AC228" s="176"/>
      <c r="AD228" s="176"/>
      <c r="AJ228" s="135"/>
    </row>
    <row r="229" spans="9:36" x14ac:dyDescent="0.35">
      <c r="I229" s="49">
        <v>7.9887343112999998E-2</v>
      </c>
      <c r="J229" s="49">
        <v>1.0915102379211313E-9</v>
      </c>
      <c r="K229" s="49">
        <v>1.785947959425155E-10</v>
      </c>
      <c r="L229" s="153">
        <v>1.2656768981868819E-9</v>
      </c>
      <c r="M229" s="18"/>
      <c r="R229" s="60">
        <v>1316.7228708497835</v>
      </c>
      <c r="S229" s="57">
        <v>2.0690410857085476E-6</v>
      </c>
      <c r="U229" s="127">
        <v>1.0996011334165805E-9</v>
      </c>
      <c r="V229" s="127">
        <v>1.2656768981868819E-9</v>
      </c>
      <c r="W229" s="127">
        <v>1.2347257777714689E-9</v>
      </c>
      <c r="X229" s="128">
        <f t="shared" si="6"/>
        <v>1.2164201768904533E-9</v>
      </c>
      <c r="Y229" s="139">
        <f t="shared" si="7"/>
        <v>0.48916614560311744</v>
      </c>
      <c r="AA229" s="73"/>
      <c r="AB229" s="176"/>
      <c r="AC229" s="176"/>
      <c r="AD229" s="176"/>
      <c r="AJ229" s="135"/>
    </row>
    <row r="230" spans="9:36" x14ac:dyDescent="0.35">
      <c r="I230" s="49">
        <v>8.0686216544199996E-2</v>
      </c>
      <c r="J230" s="49">
        <v>1.2397784874572143E-9</v>
      </c>
      <c r="K230" s="49">
        <v>1.9234490867119549E-10</v>
      </c>
      <c r="L230" s="153">
        <v>1.2792554756750927E-9</v>
      </c>
      <c r="M230" s="27"/>
      <c r="R230" s="60">
        <v>1318.0044597251574</v>
      </c>
      <c r="S230" s="57">
        <v>2.0690410857085476E-6</v>
      </c>
      <c r="U230" s="127">
        <v>1.1780676822277432E-9</v>
      </c>
      <c r="V230" s="127">
        <v>1.2792554756750927E-9</v>
      </c>
      <c r="W230" s="127">
        <v>1.1213005537845287E-9</v>
      </c>
      <c r="X230" s="128">
        <f t="shared" si="6"/>
        <v>1.2144697968406142E-9</v>
      </c>
      <c r="Y230" s="139">
        <f t="shared" si="7"/>
        <v>1.7313224617325849E-2</v>
      </c>
      <c r="AA230" s="73"/>
      <c r="AB230" s="176"/>
      <c r="AC230" s="176"/>
      <c r="AD230" s="176"/>
      <c r="AJ230" s="135"/>
    </row>
    <row r="231" spans="9:36" x14ac:dyDescent="0.35">
      <c r="I231" s="49">
        <v>8.14930787096E-2</v>
      </c>
      <c r="J231" s="49">
        <v>1.0304658816803838E-9</v>
      </c>
      <c r="K231" s="49">
        <v>1.7952858026489061E-10</v>
      </c>
      <c r="L231" s="153">
        <v>1.207422816894104E-9</v>
      </c>
      <c r="M231" s="27"/>
      <c r="R231" s="60">
        <v>1318.0044597251574</v>
      </c>
      <c r="S231" s="57">
        <v>2.0359543107373152E-6</v>
      </c>
      <c r="U231" s="127">
        <v>1.2498326139796961E-9</v>
      </c>
      <c r="V231" s="127">
        <v>1.207422816894104E-9</v>
      </c>
      <c r="W231" s="127">
        <v>1.0478220864860077E-9</v>
      </c>
      <c r="X231" s="128">
        <f t="shared" si="6"/>
        <v>1.1781250835634779E-9</v>
      </c>
      <c r="Y231" s="139">
        <f t="shared" si="7"/>
        <v>0.67647825414578144</v>
      </c>
      <c r="AA231" s="73"/>
      <c r="AB231" s="176"/>
      <c r="AC231" s="176"/>
      <c r="AD231" s="176"/>
      <c r="AJ231" s="135"/>
    </row>
    <row r="232" spans="9:36" x14ac:dyDescent="0.35">
      <c r="I232" s="49">
        <v>8.2308009496700002E-2</v>
      </c>
      <c r="J232" s="49">
        <v>1.3238892696197005E-9</v>
      </c>
      <c r="K232" s="49">
        <v>2.0470777918981226E-10</v>
      </c>
      <c r="L232" s="153">
        <v>1.10124402185917E-9</v>
      </c>
      <c r="M232" s="27"/>
      <c r="R232" s="60">
        <v>1319.7255413132316</v>
      </c>
      <c r="S232" s="57">
        <v>2.0359543107373152E-6</v>
      </c>
      <c r="U232" s="127">
        <v>1.2544094151029383E-9</v>
      </c>
      <c r="V232" s="127">
        <v>1.10124402185917E-9</v>
      </c>
      <c r="W232" s="127">
        <v>1.0690850931480181E-9</v>
      </c>
      <c r="X232" s="128">
        <f t="shared" si="6"/>
        <v>1.1314956379923242E-9</v>
      </c>
      <c r="Y232" s="139">
        <f t="shared" si="7"/>
        <v>0.88330907299153127</v>
      </c>
      <c r="AA232" s="73"/>
      <c r="AB232" s="176"/>
      <c r="AC232" s="176"/>
      <c r="AD232" s="176"/>
      <c r="AJ232" s="135"/>
    </row>
    <row r="233" spans="9:36" x14ac:dyDescent="0.35">
      <c r="I233" s="49">
        <v>8.31310895917E-2</v>
      </c>
      <c r="J233" s="49">
        <v>9.095667971736317E-10</v>
      </c>
      <c r="K233" s="49">
        <v>1.9745085753251662E-10</v>
      </c>
      <c r="L233" s="153">
        <v>1.0398254968252232E-9</v>
      </c>
      <c r="M233" s="27"/>
      <c r="R233" s="60">
        <v>1319.7255413132316</v>
      </c>
      <c r="S233" s="57">
        <v>2.0313826024664576E-6</v>
      </c>
      <c r="U233" s="127">
        <v>1.1821015974640249E-9</v>
      </c>
      <c r="V233" s="127">
        <v>1.0398254968252232E-9</v>
      </c>
      <c r="W233" s="127">
        <v>1.1630056133517216E-9</v>
      </c>
      <c r="X233" s="128">
        <f t="shared" si="6"/>
        <v>1.1061895511165484E-9</v>
      </c>
      <c r="Y233" s="139">
        <f t="shared" si="7"/>
        <v>0.99162964316460445</v>
      </c>
      <c r="AA233" s="73"/>
      <c r="AB233" s="176"/>
      <c r="AC233" s="176"/>
      <c r="AD233" s="176"/>
      <c r="AJ233" s="135"/>
    </row>
    <row r="234" spans="9:36" x14ac:dyDescent="0.35">
      <c r="I234" s="49">
        <v>8.3962400487599995E-2</v>
      </c>
      <c r="J234" s="49">
        <v>8.9993766716400947E-10</v>
      </c>
      <c r="K234" s="49">
        <v>1.9366768117198785E-10</v>
      </c>
      <c r="L234" s="153">
        <v>1.0672056468164975E-9</v>
      </c>
      <c r="M234" s="27"/>
      <c r="R234" s="60">
        <v>1419.7255413132316</v>
      </c>
      <c r="S234" s="57">
        <v>2.0313826024664576E-6</v>
      </c>
      <c r="U234" s="127">
        <v>1.0833296482068347E-9</v>
      </c>
      <c r="V234" s="127">
        <v>1.0672056468164975E-9</v>
      </c>
      <c r="W234" s="127">
        <v>1.24646364150324E-9</v>
      </c>
      <c r="X234" s="128">
        <f t="shared" si="6"/>
        <v>1.1160511458357675E-9</v>
      </c>
      <c r="Y234" s="139">
        <f t="shared" si="7"/>
        <v>1.2452295055565377</v>
      </c>
      <c r="AA234" s="73"/>
      <c r="AB234" s="176"/>
      <c r="AC234" s="176"/>
      <c r="AD234" s="176"/>
      <c r="AJ234" s="135"/>
    </row>
    <row r="235" spans="9:36" x14ac:dyDescent="0.35">
      <c r="I235" s="49">
        <v>8.4802024492500003E-2</v>
      </c>
      <c r="J235" s="49">
        <v>7.7487566184029583E-10</v>
      </c>
      <c r="K235" s="49">
        <v>1.8968580117512648E-10</v>
      </c>
      <c r="L235" s="153">
        <v>1.1551314254852433E-9</v>
      </c>
      <c r="M235" s="27"/>
      <c r="U235" s="127">
        <v>1.0302691866708424E-9</v>
      </c>
      <c r="V235" s="127">
        <v>1.1551314254852433E-9</v>
      </c>
      <c r="W235" s="127">
        <v>1.2431267595230316E-9</v>
      </c>
      <c r="X235" s="128">
        <f t="shared" si="6"/>
        <v>1.1459146992910902E-9</v>
      </c>
      <c r="Y235" s="139">
        <f t="shared" si="7"/>
        <v>3.8262166993155593</v>
      </c>
      <c r="AA235" s="73"/>
      <c r="AB235" s="176"/>
      <c r="AC235" s="176"/>
      <c r="AD235" s="176"/>
      <c r="AJ235" s="135"/>
    </row>
    <row r="236" spans="9:36" x14ac:dyDescent="0.35">
      <c r="I236" s="49">
        <v>8.5650044737399997E-2</v>
      </c>
      <c r="J236" s="49">
        <v>1.1907306812246512E-9</v>
      </c>
      <c r="K236" s="49">
        <v>2.3134143029511104E-10</v>
      </c>
      <c r="L236" s="153">
        <v>1.2241951643051687E-9</v>
      </c>
      <c r="M236" s="27"/>
      <c r="U236" s="127">
        <v>1.0591078608095903E-9</v>
      </c>
      <c r="V236" s="127">
        <v>1.2241951643051687E-9</v>
      </c>
      <c r="W236" s="127">
        <v>1.1483670354996716E-9</v>
      </c>
      <c r="X236" s="128">
        <f t="shared" si="6"/>
        <v>1.1639663062298997E-9</v>
      </c>
      <c r="Y236" s="139">
        <f t="shared" si="7"/>
        <v>1.3384661109151394E-2</v>
      </c>
      <c r="AA236" s="73"/>
      <c r="AB236" s="176"/>
      <c r="AC236" s="176"/>
      <c r="AD236" s="176"/>
      <c r="AJ236" s="135"/>
    </row>
    <row r="237" spans="9:36" x14ac:dyDescent="0.35">
      <c r="I237" s="49">
        <v>8.6506545184799999E-2</v>
      </c>
      <c r="J237" s="49">
        <v>7.8858873450103629E-10</v>
      </c>
      <c r="K237" s="49">
        <v>2.0547954772156182E-10</v>
      </c>
      <c r="L237" s="153">
        <v>1.2088818278277993E-9</v>
      </c>
      <c r="M237" s="27"/>
      <c r="U237" s="127">
        <v>1.1392158320444136E-9</v>
      </c>
      <c r="V237" s="127">
        <v>1.2088818278277993E-9</v>
      </c>
      <c r="W237" s="127">
        <v>1.0350321530229361E-9</v>
      </c>
      <c r="X237" s="128">
        <f t="shared" si="6"/>
        <v>1.148002910180737E-9</v>
      </c>
      <c r="Y237" s="139">
        <f t="shared" si="7"/>
        <v>3.0595193344063834</v>
      </c>
      <c r="AA237" s="73"/>
      <c r="AB237" s="176"/>
      <c r="AC237" s="176"/>
      <c r="AD237" s="176"/>
      <c r="AJ237" s="135"/>
    </row>
    <row r="238" spans="9:36" x14ac:dyDescent="0.35">
      <c r="I238" s="49">
        <v>8.7371610636599997E-2</v>
      </c>
      <c r="J238" s="49">
        <v>1.1410405799843248E-9</v>
      </c>
      <c r="K238" s="49">
        <v>1.2640164492488829E-10</v>
      </c>
      <c r="L238" s="153">
        <v>1.1134909561777549E-9</v>
      </c>
      <c r="M238" s="27"/>
      <c r="U238" s="127">
        <v>1.1964385379400564E-9</v>
      </c>
      <c r="V238" s="127">
        <v>1.1134909561777549E-9</v>
      </c>
      <c r="W238" s="127">
        <v>9.9189378656011245E-10</v>
      </c>
      <c r="X238" s="128">
        <f t="shared" si="6"/>
        <v>1.1038285592139196E-9</v>
      </c>
      <c r="Y238" s="139">
        <f t="shared" si="7"/>
        <v>8.6668455678110337E-2</v>
      </c>
      <c r="AA238" s="73"/>
      <c r="AB238" s="176"/>
      <c r="AC238" s="176"/>
      <c r="AD238" s="176"/>
      <c r="AJ238" s="135"/>
    </row>
    <row r="239" spans="9:36" x14ac:dyDescent="0.35">
      <c r="I239" s="49">
        <v>8.8245326742999994E-2</v>
      </c>
      <c r="J239" s="49">
        <v>1.0381823933700479E-9</v>
      </c>
      <c r="K239" s="49">
        <v>1.1753336961183469E-10</v>
      </c>
      <c r="L239" s="153">
        <v>1.0101303439817474E-9</v>
      </c>
      <c r="M239" s="27"/>
      <c r="U239" s="127">
        <v>1.1739629064260742E-9</v>
      </c>
      <c r="V239" s="127">
        <v>1.0101303439817474E-9</v>
      </c>
      <c r="W239" s="127">
        <v>1.0459236735790772E-9</v>
      </c>
      <c r="X239" s="128">
        <f t="shared" si="6"/>
        <v>1.0600368169921615E-9</v>
      </c>
      <c r="Y239" s="139">
        <f t="shared" si="7"/>
        <v>3.4574534340552916E-2</v>
      </c>
      <c r="AA239" s="73"/>
      <c r="AB239" s="176"/>
      <c r="AC239" s="176"/>
      <c r="AD239" s="176"/>
      <c r="AJ239" s="135"/>
    </row>
    <row r="240" spans="9:36" x14ac:dyDescent="0.35">
      <c r="I240" s="49">
        <v>8.9127780010400004E-2</v>
      </c>
      <c r="J240" s="49">
        <v>9.401513392151432E-10</v>
      </c>
      <c r="K240" s="49">
        <v>1.1073656401368253E-10</v>
      </c>
      <c r="L240" s="153">
        <v>9.7754781291496211E-10</v>
      </c>
      <c r="M240" s="27"/>
      <c r="U240" s="127">
        <v>1.0809121094135887E-9</v>
      </c>
      <c r="V240" s="127">
        <v>9.7754781291496211E-10</v>
      </c>
      <c r="W240" s="127">
        <v>1.1373679659576199E-9</v>
      </c>
      <c r="X240" s="128">
        <f t="shared" si="6"/>
        <v>1.0433439253002832E-9</v>
      </c>
      <c r="Y240" s="139">
        <f t="shared" si="7"/>
        <v>0.86839018243021648</v>
      </c>
      <c r="AA240" s="73"/>
      <c r="AB240" s="176"/>
      <c r="AC240" s="176"/>
      <c r="AD240" s="176"/>
      <c r="AJ240" s="135"/>
    </row>
    <row r="241" spans="9:36" x14ac:dyDescent="0.35">
      <c r="I241" s="49">
        <v>9.00190578105E-2</v>
      </c>
      <c r="J241" s="49">
        <v>9.9744061684709448E-10</v>
      </c>
      <c r="K241" s="49">
        <v>1.1180220597408068E-10</v>
      </c>
      <c r="L241" s="153">
        <v>1.032090613745664E-9</v>
      </c>
      <c r="M241" s="27"/>
      <c r="U241" s="127">
        <v>9.8605636247643495E-10</v>
      </c>
      <c r="V241" s="127">
        <v>1.032090613745664E-9</v>
      </c>
      <c r="W241" s="127">
        <v>1.1725818922612966E-9</v>
      </c>
      <c r="X241" s="128">
        <f t="shared" si="6"/>
        <v>1.0557048705572649E-9</v>
      </c>
      <c r="Y241" s="139">
        <f t="shared" si="7"/>
        <v>0.27158365619563168</v>
      </c>
      <c r="AA241" s="73"/>
      <c r="AB241" s="176"/>
      <c r="AC241" s="176"/>
      <c r="AD241" s="176"/>
      <c r="AJ241" s="135"/>
    </row>
    <row r="242" spans="9:36" x14ac:dyDescent="0.35">
      <c r="I242" s="49">
        <v>9.0919248388599994E-2</v>
      </c>
      <c r="J242" s="49">
        <v>1.0851296820099426E-9</v>
      </c>
      <c r="K242" s="49">
        <v>1.2289494771621009E-10</v>
      </c>
      <c r="L242" s="153">
        <v>1.1123455042644215E-9</v>
      </c>
      <c r="M242" s="27"/>
      <c r="U242" s="127">
        <v>9.5937175749796264E-10</v>
      </c>
      <c r="V242" s="127">
        <v>1.1123455042644215E-9</v>
      </c>
      <c r="W242" s="127">
        <v>1.1091366849629214E-9</v>
      </c>
      <c r="X242" s="128">
        <f t="shared" si="6"/>
        <v>1.0732998627474318E-9</v>
      </c>
      <c r="Y242" s="139">
        <f t="shared" si="7"/>
        <v>9.2659117722736495E-3</v>
      </c>
      <c r="AA242" s="73"/>
      <c r="AB242" s="176"/>
      <c r="AC242" s="176"/>
      <c r="AD242" s="176"/>
      <c r="AJ242" s="135"/>
    </row>
    <row r="243" spans="9:36" x14ac:dyDescent="0.35">
      <c r="I243" s="49">
        <v>9.18284408725E-2</v>
      </c>
      <c r="J243" s="49">
        <v>9.5529199408818869E-10</v>
      </c>
      <c r="K243" s="49">
        <v>1.1409364069805321E-10</v>
      </c>
      <c r="L243" s="153">
        <v>1.1336596039803615E-9</v>
      </c>
      <c r="M243" s="27"/>
      <c r="U243" s="127">
        <v>1.0106926122336044E-9</v>
      </c>
      <c r="V243" s="127">
        <v>1.1336596039803615E-9</v>
      </c>
      <c r="W243" s="127">
        <v>9.9507062160922945E-10</v>
      </c>
      <c r="X243" s="128">
        <f t="shared" si="6"/>
        <v>1.0682706104508892E-9</v>
      </c>
      <c r="Y243" s="139">
        <f t="shared" si="7"/>
        <v>0.98054973397693312</v>
      </c>
      <c r="AA243" s="73"/>
      <c r="AB243" s="176"/>
      <c r="AC243" s="176"/>
      <c r="AD243" s="176"/>
      <c r="AJ243" s="135"/>
    </row>
    <row r="244" spans="9:36" x14ac:dyDescent="0.35">
      <c r="I244" s="49">
        <v>9.2746725281199996E-2</v>
      </c>
      <c r="J244" s="49">
        <v>1.4124123867178542E-9</v>
      </c>
      <c r="K244" s="49">
        <v>1.4122653423055169E-10</v>
      </c>
      <c r="L244" s="153">
        <v>1.0650819267078533E-9</v>
      </c>
      <c r="M244" s="27"/>
      <c r="U244" s="127">
        <v>1.0802865395001278E-9</v>
      </c>
      <c r="V244" s="127">
        <v>1.0650819267078533E-9</v>
      </c>
      <c r="W244" s="127">
        <v>9.2378567417292065E-10</v>
      </c>
      <c r="X244" s="128">
        <f t="shared" si="6"/>
        <v>1.0335590167721887E-9</v>
      </c>
      <c r="Y244" s="139">
        <f t="shared" si="7"/>
        <v>7.1963073996390472</v>
      </c>
      <c r="AA244" s="73"/>
      <c r="AB244" s="176"/>
      <c r="AC244" s="176"/>
      <c r="AD244" s="176"/>
      <c r="AJ244" s="135"/>
    </row>
    <row r="245" spans="9:36" x14ac:dyDescent="0.35">
      <c r="I245" s="49">
        <v>9.3674192534E-2</v>
      </c>
      <c r="J245" s="49">
        <v>1.1214024896083976E-9</v>
      </c>
      <c r="K245" s="49">
        <v>1.2706204013745264E-10</v>
      </c>
      <c r="L245" s="153">
        <v>9.5786453890165345E-10</v>
      </c>
      <c r="M245" s="27"/>
      <c r="U245" s="127">
        <v>1.0919852033259288E-9</v>
      </c>
      <c r="V245" s="127">
        <v>9.5786453890165345E-10</v>
      </c>
      <c r="W245" s="127">
        <v>9.4538059142747534E-10</v>
      </c>
      <c r="X245" s="128">
        <f t="shared" si="6"/>
        <v>9.8827371813917777E-10</v>
      </c>
      <c r="Y245" s="139">
        <f t="shared" si="7"/>
        <v>1.0977721284910089</v>
      </c>
      <c r="AA245" s="73"/>
      <c r="AB245" s="176"/>
      <c r="AC245" s="176"/>
      <c r="AD245" s="176"/>
      <c r="AJ245" s="135"/>
    </row>
    <row r="246" spans="9:36" x14ac:dyDescent="0.35">
      <c r="I246" s="49">
        <v>9.4610934459399998E-2</v>
      </c>
      <c r="J246" s="49">
        <v>1.0528615530316237E-9</v>
      </c>
      <c r="K246" s="49">
        <v>1.2382743889529445E-10</v>
      </c>
      <c r="L246" s="153">
        <v>8.9723454214639035E-10</v>
      </c>
      <c r="M246" s="27"/>
      <c r="U246" s="127">
        <v>1.0223467752231261E-9</v>
      </c>
      <c r="V246" s="127">
        <v>8.9723454214639035E-10</v>
      </c>
      <c r="W246" s="127">
        <v>1.0192471293095583E-9</v>
      </c>
      <c r="X246" s="128">
        <f t="shared" si="6"/>
        <v>9.5901574720636638E-10</v>
      </c>
      <c r="Y246" s="139">
        <f t="shared" si="7"/>
        <v>0.57437556310329674</v>
      </c>
      <c r="AA246" s="73"/>
      <c r="AB246" s="176"/>
      <c r="AC246" s="176"/>
      <c r="AD246" s="176"/>
      <c r="AJ246" s="135"/>
    </row>
    <row r="247" spans="9:36" x14ac:dyDescent="0.35">
      <c r="I247" s="49">
        <v>9.5557043804E-2</v>
      </c>
      <c r="J247" s="49">
        <v>9.8468243038009862E-10</v>
      </c>
      <c r="K247" s="49">
        <v>1.2362652880587911E-10</v>
      </c>
      <c r="L247" s="153">
        <v>9.2157783192919631E-10</v>
      </c>
      <c r="M247" s="27"/>
      <c r="U247" s="127">
        <v>9.2207137317927934E-10</v>
      </c>
      <c r="V247" s="127">
        <v>9.2157783192919631E-10</v>
      </c>
      <c r="W247" s="127">
        <v>1.0551142966034959E-9</v>
      </c>
      <c r="X247" s="128">
        <f t="shared" si="6"/>
        <v>9.5508533341029189E-10</v>
      </c>
      <c r="Y247" s="139">
        <f t="shared" si="7"/>
        <v>5.7315868849120641E-2</v>
      </c>
      <c r="AA247" s="73"/>
      <c r="AB247" s="176"/>
      <c r="AC247" s="176"/>
      <c r="AD247" s="176"/>
      <c r="AJ247" s="135"/>
    </row>
    <row r="248" spans="9:36" x14ac:dyDescent="0.35">
      <c r="I248" s="49">
        <v>9.6512614242E-2</v>
      </c>
      <c r="J248" s="49">
        <v>1.0430715151844772E-9</v>
      </c>
      <c r="K248" s="49">
        <v>1.2958822964639025E-10</v>
      </c>
      <c r="L248" s="153">
        <v>9.8650898446237713E-10</v>
      </c>
      <c r="M248" s="27"/>
      <c r="U248" s="127">
        <v>8.6823170513888017E-10</v>
      </c>
      <c r="V248" s="127">
        <v>9.8650898446237713E-10</v>
      </c>
      <c r="W248" s="127">
        <v>1.0028744686254572E-9</v>
      </c>
      <c r="X248" s="128">
        <f t="shared" si="6"/>
        <v>9.6103103567227295E-10</v>
      </c>
      <c r="Y248" s="139">
        <f t="shared" si="7"/>
        <v>0.40079774228991566</v>
      </c>
      <c r="AA248" s="73"/>
      <c r="AB248" s="176"/>
      <c r="AC248" s="176"/>
      <c r="AD248" s="176"/>
      <c r="AJ248" s="135"/>
    </row>
    <row r="249" spans="9:36" x14ac:dyDescent="0.35">
      <c r="I249" s="49">
        <v>9.7477740384400005E-2</v>
      </c>
      <c r="J249" s="49">
        <v>1.283127068636733E-9</v>
      </c>
      <c r="K249" s="49">
        <v>1.4426943567113278E-10</v>
      </c>
      <c r="L249" s="153">
        <v>1.0096386480640272E-9</v>
      </c>
      <c r="M249" s="27"/>
      <c r="U249" s="127">
        <v>8.9132108178401841E-10</v>
      </c>
      <c r="V249" s="127">
        <v>1.0096386480640272E-9</v>
      </c>
      <c r="W249" s="127">
        <v>9.0120688346556323E-10</v>
      </c>
      <c r="X249" s="128">
        <f t="shared" si="6"/>
        <v>9.5295131534440913E-10</v>
      </c>
      <c r="Y249" s="139">
        <f t="shared" si="7"/>
        <v>5.2377128926060283</v>
      </c>
      <c r="AA249" s="73"/>
      <c r="AB249" s="176"/>
      <c r="AC249" s="176"/>
      <c r="AD249" s="176"/>
      <c r="AJ249" s="135"/>
    </row>
    <row r="250" spans="9:36" x14ac:dyDescent="0.35">
      <c r="I250" s="49">
        <v>9.8452517788299998E-2</v>
      </c>
      <c r="J250" s="49">
        <v>1.231313852068833E-9</v>
      </c>
      <c r="K250" s="49">
        <v>1.3866276909175998E-10</v>
      </c>
      <c r="L250" s="153">
        <v>9.5236995915875248E-10</v>
      </c>
      <c r="M250" s="27"/>
      <c r="U250" s="127">
        <v>9.4708490100561041E-10</v>
      </c>
      <c r="V250" s="127">
        <v>9.5236995915875248E-10</v>
      </c>
      <c r="W250" s="127">
        <v>8.3545888910233238E-10</v>
      </c>
      <c r="X250" s="128">
        <f t="shared" si="6"/>
        <v>9.2182092710636199E-10</v>
      </c>
      <c r="Y250" s="139">
        <f t="shared" si="7"/>
        <v>4.981747520477243</v>
      </c>
      <c r="AA250" s="73"/>
      <c r="AB250" s="176"/>
      <c r="AC250" s="176"/>
      <c r="AD250" s="176"/>
      <c r="AJ250" s="135"/>
    </row>
    <row r="251" spans="9:36" x14ac:dyDescent="0.35">
      <c r="I251" s="49">
        <v>9.9437042966199998E-2</v>
      </c>
      <c r="J251" s="49">
        <v>1.2354608502797108E-9</v>
      </c>
      <c r="K251" s="49">
        <v>1.5583288288599573E-10</v>
      </c>
      <c r="L251" s="153">
        <v>8.5672639926477146E-10</v>
      </c>
      <c r="M251" s="27"/>
      <c r="U251" s="127">
        <v>9.6114883587532399E-10</v>
      </c>
      <c r="V251" s="127">
        <v>8.5672639926477146E-10</v>
      </c>
      <c r="W251" s="127">
        <v>8.4869678894431906E-10</v>
      </c>
      <c r="X251" s="128">
        <f t="shared" si="6"/>
        <v>8.8082460583729652E-10</v>
      </c>
      <c r="Y251" s="139">
        <f t="shared" si="7"/>
        <v>5.179025246652456</v>
      </c>
      <c r="AA251" s="73"/>
      <c r="AB251" s="176"/>
      <c r="AC251" s="176"/>
      <c r="AD251" s="176"/>
      <c r="AJ251" s="135"/>
    </row>
    <row r="252" spans="9:36" x14ac:dyDescent="0.35">
      <c r="I252" s="49">
        <v>0.10043141339599999</v>
      </c>
      <c r="J252" s="49">
        <v>1.0845427113076823E-9</v>
      </c>
      <c r="K252" s="49">
        <v>1.4852076748545581E-10</v>
      </c>
      <c r="L252" s="153">
        <v>7.9991909119318368E-10</v>
      </c>
      <c r="M252" s="27"/>
      <c r="U252" s="127">
        <v>9.0267634920867591E-10</v>
      </c>
      <c r="V252" s="127">
        <v>7.9991909119318368E-10</v>
      </c>
      <c r="W252" s="127">
        <v>8.9935496732634093E-10</v>
      </c>
      <c r="X252" s="128">
        <f t="shared" si="6"/>
        <v>8.50467374730346E-10</v>
      </c>
      <c r="Y252" s="139">
        <f t="shared" si="7"/>
        <v>2.4839162202676586</v>
      </c>
      <c r="AA252" s="73"/>
      <c r="AB252" s="176"/>
      <c r="AC252" s="176"/>
      <c r="AD252" s="176"/>
      <c r="AJ252" s="135"/>
    </row>
    <row r="253" spans="9:36" x14ac:dyDescent="0.35">
      <c r="I253" s="49">
        <v>0.10143572753000001</v>
      </c>
      <c r="J253" s="49">
        <v>1.1560806888580769E-9</v>
      </c>
      <c r="K253" s="49">
        <v>1.558872573925176E-10</v>
      </c>
      <c r="L253" s="153">
        <v>8.1420304118143005E-10</v>
      </c>
      <c r="M253" s="27"/>
      <c r="U253" s="127">
        <v>8.1325191496574429E-10</v>
      </c>
      <c r="V253" s="127">
        <v>8.1420304118143005E-10</v>
      </c>
      <c r="W253" s="127">
        <v>9.0940916403902227E-10</v>
      </c>
      <c r="X253" s="128">
        <f t="shared" si="6"/>
        <v>8.3776679034190669E-10</v>
      </c>
      <c r="Y253" s="139">
        <f t="shared" si="7"/>
        <v>4.1695575307210566</v>
      </c>
      <c r="AA253" s="73"/>
      <c r="AB253" s="176"/>
      <c r="AC253" s="176"/>
      <c r="AD253" s="176"/>
      <c r="AJ253" s="135"/>
    </row>
    <row r="254" spans="9:36" x14ac:dyDescent="0.35">
      <c r="I254" s="49">
        <v>0.10245008480499999</v>
      </c>
      <c r="J254" s="49">
        <v>1.3514539885529417E-9</v>
      </c>
      <c r="K254" s="49">
        <v>1.6846173391029098E-10</v>
      </c>
      <c r="L254" s="153">
        <v>8.5611292556965867E-10</v>
      </c>
      <c r="M254" s="27"/>
      <c r="U254" s="127">
        <v>7.6202403739525109E-10</v>
      </c>
      <c r="V254" s="127">
        <v>8.5611292556965867E-10</v>
      </c>
      <c r="W254" s="127">
        <v>8.4920835242193975E-10</v>
      </c>
      <c r="X254" s="128">
        <f t="shared" si="6"/>
        <v>8.3086456023912707E-10</v>
      </c>
      <c r="Y254" s="139">
        <f t="shared" si="7"/>
        <v>9.5496654278499395</v>
      </c>
      <c r="AA254" s="73"/>
      <c r="AB254" s="176"/>
      <c r="AC254" s="176"/>
      <c r="AD254" s="176"/>
      <c r="AJ254" s="135"/>
    </row>
    <row r="255" spans="9:36" x14ac:dyDescent="0.35">
      <c r="I255" s="49">
        <v>0.103474585653</v>
      </c>
      <c r="J255" s="49">
        <v>1.262957187859944E-9</v>
      </c>
      <c r="K255" s="49">
        <v>1.6363528399756329E-10</v>
      </c>
      <c r="L255" s="153">
        <v>8.5639508112559922E-10</v>
      </c>
      <c r="M255" s="27"/>
      <c r="U255" s="127">
        <v>7.7420068309761573E-10</v>
      </c>
      <c r="V255" s="127">
        <v>8.5639508112559922E-10</v>
      </c>
      <c r="W255" s="127">
        <v>7.6582701012467426E-10</v>
      </c>
      <c r="X255" s="128">
        <f t="shared" ref="X255:X277" si="8">(U255+2*V255+W255)/4</f>
        <v>8.1320446386837203E-10</v>
      </c>
      <c r="Y255" s="139">
        <f t="shared" ref="Y255:Y277" si="9">(J255-X255)*(J255-X255)/(K255*K255)</f>
        <v>7.5542907450823504</v>
      </c>
      <c r="AA255" s="73"/>
      <c r="AB255" s="176"/>
      <c r="AC255" s="176"/>
      <c r="AD255" s="176"/>
      <c r="AJ255" s="135"/>
    </row>
    <row r="256" spans="9:36" x14ac:dyDescent="0.35">
      <c r="I256" s="49">
        <v>0.10450933151</v>
      </c>
      <c r="J256" s="49">
        <v>1.1769729607093242E-9</v>
      </c>
      <c r="K256" s="49">
        <v>1.6241339138993008E-10</v>
      </c>
      <c r="L256" s="153">
        <v>7.9483356525603907E-10</v>
      </c>
      <c r="M256" s="27"/>
      <c r="U256" s="127">
        <v>8.077914957786338E-10</v>
      </c>
      <c r="V256" s="127">
        <v>7.9483356525603907E-10</v>
      </c>
      <c r="W256" s="127">
        <v>7.2611134946471044E-10</v>
      </c>
      <c r="X256" s="128">
        <f t="shared" si="8"/>
        <v>7.8089249393885562E-10</v>
      </c>
      <c r="Y256" s="139">
        <f t="shared" si="9"/>
        <v>5.9473456561061644</v>
      </c>
      <c r="AA256" s="73"/>
      <c r="AB256" s="176"/>
      <c r="AC256" s="176"/>
      <c r="AD256" s="176"/>
      <c r="AJ256" s="135"/>
    </row>
    <row r="257" spans="9:36" x14ac:dyDescent="0.35">
      <c r="I257" s="49">
        <v>0.10555442482500001</v>
      </c>
      <c r="J257" s="49">
        <v>1.3233731857986218E-9</v>
      </c>
      <c r="K257" s="49">
        <v>1.7653180937290642E-10</v>
      </c>
      <c r="L257" s="153">
        <v>7.1811452677430211E-10</v>
      </c>
      <c r="M257" s="27"/>
      <c r="U257" s="127">
        <v>8.0170503729790477E-10</v>
      </c>
      <c r="V257" s="127">
        <v>7.1811452677430211E-10</v>
      </c>
      <c r="W257" s="127">
        <v>7.4177773744196697E-10</v>
      </c>
      <c r="X257" s="128">
        <f t="shared" si="8"/>
        <v>7.4492795707211899E-10</v>
      </c>
      <c r="Y257" s="139">
        <f t="shared" si="9"/>
        <v>10.736890926100548</v>
      </c>
      <c r="AA257" s="73"/>
      <c r="AB257" s="176"/>
      <c r="AC257" s="176"/>
      <c r="AD257" s="176"/>
      <c r="AJ257" s="136"/>
    </row>
    <row r="258" spans="9:36" x14ac:dyDescent="0.35">
      <c r="I258" s="49">
        <v>0.10660996907299999</v>
      </c>
      <c r="J258" s="49">
        <v>9.6697143287143795E-10</v>
      </c>
      <c r="K258" s="49">
        <v>1.5922042923202693E-10</v>
      </c>
      <c r="L258" s="153">
        <v>6.8381879845154649E-10</v>
      </c>
      <c r="M258" s="27"/>
      <c r="U258" s="127">
        <v>7.4139741042228861E-10</v>
      </c>
      <c r="V258" s="127">
        <v>6.8381879845154649E-10</v>
      </c>
      <c r="W258" s="127">
        <v>7.6171866158126871E-10</v>
      </c>
      <c r="X258" s="128">
        <f t="shared" si="8"/>
        <v>7.1768841722666257E-10</v>
      </c>
      <c r="Y258" s="139">
        <f t="shared" si="9"/>
        <v>2.4512510847542193</v>
      </c>
      <c r="AA258" s="73"/>
      <c r="AB258" s="176"/>
      <c r="AC258" s="176"/>
      <c r="AD258" s="176"/>
      <c r="AJ258" s="136"/>
    </row>
    <row r="259" spans="9:36" x14ac:dyDescent="0.35">
      <c r="I259" s="49">
        <v>0.107676068764</v>
      </c>
      <c r="J259" s="49">
        <v>1.1843212963955227E-9</v>
      </c>
      <c r="K259" s="49">
        <v>1.7090169094757309E-10</v>
      </c>
      <c r="L259" s="153">
        <v>6.9659589301208798E-10</v>
      </c>
      <c r="M259" s="27"/>
      <c r="U259" s="127">
        <v>6.7053383778191716E-10</v>
      </c>
      <c r="V259" s="127">
        <v>6.9659589301208798E-10</v>
      </c>
      <c r="W259" s="127">
        <v>7.3582764345950379E-10</v>
      </c>
      <c r="X259" s="128">
        <f t="shared" si="8"/>
        <v>6.9988831681639928E-10</v>
      </c>
      <c r="Y259" s="139">
        <f t="shared" si="9"/>
        <v>8.0347928392322103</v>
      </c>
      <c r="AA259" s="73"/>
      <c r="AB259" s="176"/>
      <c r="AC259" s="176"/>
      <c r="AD259" s="176"/>
      <c r="AJ259" s="136"/>
    </row>
    <row r="260" spans="9:36" x14ac:dyDescent="0.35">
      <c r="I260" s="49">
        <v>0.108752829451</v>
      </c>
      <c r="J260" s="49">
        <v>1.199022072443531E-9</v>
      </c>
      <c r="K260" s="49">
        <v>1.8183058026417205E-10</v>
      </c>
      <c r="L260" s="153">
        <v>7.0848962545830261E-10</v>
      </c>
      <c r="M260" s="27"/>
      <c r="U260" s="127">
        <v>6.3878962940905744E-10</v>
      </c>
      <c r="V260" s="127">
        <v>7.0848962545830261E-10</v>
      </c>
      <c r="W260" s="127">
        <v>6.7162547120601493E-10</v>
      </c>
      <c r="X260" s="128">
        <f t="shared" si="8"/>
        <v>6.8184858788291932E-10</v>
      </c>
      <c r="Y260" s="139">
        <f t="shared" si="9"/>
        <v>8.0898161470075873</v>
      </c>
      <c r="AA260" s="73"/>
      <c r="AB260" s="176"/>
      <c r="AC260" s="176"/>
      <c r="AD260" s="176"/>
      <c r="AJ260" s="136"/>
    </row>
    <row r="261" spans="9:36" x14ac:dyDescent="0.35">
      <c r="I261" s="49">
        <v>0.109840357746</v>
      </c>
      <c r="J261" s="49">
        <v>9.2947574483580449E-10</v>
      </c>
      <c r="K261" s="49">
        <v>1.7522520013682859E-10</v>
      </c>
      <c r="L261" s="153">
        <v>6.7834157398435894E-10</v>
      </c>
      <c r="M261" s="27"/>
      <c r="U261" s="127">
        <v>6.4731173768935451E-10</v>
      </c>
      <c r="V261" s="127">
        <v>6.7834157398435894E-10</v>
      </c>
      <c r="W261" s="127">
        <v>6.1855866334144965E-10</v>
      </c>
      <c r="X261" s="128">
        <f t="shared" si="8"/>
        <v>6.5563838724988046E-10</v>
      </c>
      <c r="Y261" s="139">
        <f t="shared" si="9"/>
        <v>2.4422620518591209</v>
      </c>
      <c r="AA261" s="73"/>
      <c r="AB261" s="176"/>
      <c r="AC261" s="176"/>
      <c r="AD261" s="176"/>
      <c r="AJ261" s="136"/>
    </row>
    <row r="262" spans="9:36" x14ac:dyDescent="0.35">
      <c r="I262" s="49">
        <v>0.110938761323</v>
      </c>
      <c r="J262" s="49">
        <v>9.9423872210889858E-10</v>
      </c>
      <c r="K262" s="49">
        <v>1.6319124232919339E-10</v>
      </c>
      <c r="L262" s="153">
        <v>6.1735877016256656E-10</v>
      </c>
      <c r="M262" s="27"/>
      <c r="U262" s="127">
        <v>6.5284097723235884E-10</v>
      </c>
      <c r="V262" s="127">
        <v>6.1735877016256656E-10</v>
      </c>
      <c r="W262" s="127">
        <v>6.0536655846977597E-10</v>
      </c>
      <c r="X262" s="128">
        <f t="shared" si="8"/>
        <v>6.2323126900681706E-10</v>
      </c>
      <c r="Y262" s="139">
        <f t="shared" si="9"/>
        <v>5.1685839084340461</v>
      </c>
      <c r="AA262" s="73"/>
      <c r="AB262" s="176"/>
      <c r="AC262" s="176"/>
      <c r="AD262" s="176"/>
      <c r="AJ262" s="136"/>
    </row>
    <row r="263" spans="9:36" x14ac:dyDescent="0.35">
      <c r="I263" s="49">
        <v>0.11204814893700001</v>
      </c>
      <c r="J263" s="49">
        <v>1.0298360468862515E-9</v>
      </c>
      <c r="K263" s="49">
        <v>1.7330047726927145E-10</v>
      </c>
      <c r="L263" s="153">
        <v>5.6946890331969982E-10</v>
      </c>
      <c r="M263" s="27"/>
      <c r="U263" s="127">
        <v>6.2107443411002554E-10</v>
      </c>
      <c r="V263" s="127">
        <v>5.6946890331969982E-10</v>
      </c>
      <c r="W263" s="127">
        <v>6.097570918229629E-10</v>
      </c>
      <c r="X263" s="128">
        <f t="shared" si="8"/>
        <v>5.9244233314309702E-10</v>
      </c>
      <c r="Y263" s="139">
        <f t="shared" si="9"/>
        <v>6.3700898272052857</v>
      </c>
      <c r="AA263" s="73"/>
      <c r="AB263" s="176"/>
      <c r="AC263" s="176"/>
      <c r="AD263" s="176"/>
      <c r="AJ263" s="136"/>
    </row>
    <row r="264" spans="9:36" x14ac:dyDescent="0.35">
      <c r="I264" s="49">
        <v>0.11316863042600001</v>
      </c>
      <c r="J264" s="49">
        <v>1.1663633229708614E-9</v>
      </c>
      <c r="K264" s="49">
        <v>1.8462437209832644E-10</v>
      </c>
      <c r="L264" s="153">
        <v>5.5629983250777463E-10</v>
      </c>
      <c r="M264" s="27"/>
      <c r="U264" s="127">
        <v>5.6394893336799531E-10</v>
      </c>
      <c r="V264" s="127">
        <v>5.5629983250777463E-10</v>
      </c>
      <c r="W264" s="127">
        <v>5.9271260711953559E-10</v>
      </c>
      <c r="X264" s="128">
        <f t="shared" si="8"/>
        <v>5.6731530137577012E-10</v>
      </c>
      <c r="Y264" s="139">
        <f t="shared" si="9"/>
        <v>10.527983941223473</v>
      </c>
      <c r="AA264" s="73"/>
      <c r="AB264" s="176"/>
      <c r="AC264" s="176"/>
      <c r="AD264" s="176"/>
      <c r="AJ264" s="136"/>
    </row>
    <row r="265" spans="9:36" x14ac:dyDescent="0.35">
      <c r="I265" s="49">
        <v>0.11430031673</v>
      </c>
      <c r="J265" s="49">
        <v>1.390609154070842E-9</v>
      </c>
      <c r="K265" s="49">
        <v>2.1282203387642895E-10</v>
      </c>
      <c r="L265" s="153">
        <v>5.557671465978335E-10</v>
      </c>
      <c r="M265" s="27"/>
      <c r="U265" s="127">
        <v>5.1963498624948989E-10</v>
      </c>
      <c r="V265" s="127">
        <v>5.557671465978335E-10</v>
      </c>
      <c r="W265" s="127">
        <v>5.474338367779032E-10</v>
      </c>
      <c r="X265" s="128">
        <f t="shared" si="8"/>
        <v>5.4465077905576499E-10</v>
      </c>
      <c r="Y265" s="139">
        <f t="shared" si="9"/>
        <v>15.800280974206393</v>
      </c>
      <c r="AA265" s="73"/>
      <c r="AB265" s="176"/>
      <c r="AC265" s="176"/>
      <c r="AD265" s="176"/>
      <c r="AJ265" s="136"/>
    </row>
    <row r="266" spans="9:36" x14ac:dyDescent="0.35">
      <c r="I266" s="49">
        <v>0.115443319898</v>
      </c>
      <c r="J266" s="49">
        <v>1.3502248692464446E-9</v>
      </c>
      <c r="K266" s="49">
        <v>2.1219777013080005E-10</v>
      </c>
      <c r="L266" s="153">
        <v>5.3525475568028055E-10</v>
      </c>
      <c r="M266" s="27"/>
      <c r="U266" s="127">
        <v>5.0511165221987559E-10</v>
      </c>
      <c r="V266" s="127">
        <v>5.3525475568028055E-10</v>
      </c>
      <c r="W266" s="127">
        <v>5.0140991991804251E-10</v>
      </c>
      <c r="X266" s="128">
        <f t="shared" si="8"/>
        <v>5.1925777087461975E-10</v>
      </c>
      <c r="Y266" s="139">
        <f t="shared" si="9"/>
        <v>15.335079272573083</v>
      </c>
      <c r="AA266" s="73"/>
      <c r="AB266" s="176"/>
      <c r="AC266" s="176"/>
      <c r="AD266" s="176"/>
      <c r="AJ266" s="136"/>
    </row>
    <row r="267" spans="9:36" x14ac:dyDescent="0.35">
      <c r="I267" s="49">
        <v>0.116597753096</v>
      </c>
      <c r="J267" s="49">
        <v>1.1835011602355354E-9</v>
      </c>
      <c r="K267" s="49">
        <v>2.0694992305773047E-10</v>
      </c>
      <c r="L267" s="152">
        <v>4.9171981923726478E-10</v>
      </c>
      <c r="M267" s="34"/>
      <c r="U267" s="127">
        <v>5.0035659537187243E-10</v>
      </c>
      <c r="V267" s="127">
        <v>4.9171981923726478E-10</v>
      </c>
      <c r="W267" s="127">
        <v>4.7686275926219267E-10</v>
      </c>
      <c r="X267" s="128">
        <f t="shared" si="8"/>
        <v>4.9016474827714869E-10</v>
      </c>
      <c r="Y267" s="139">
        <f t="shared" si="9"/>
        <v>11.224253812053377</v>
      </c>
      <c r="AA267" s="73"/>
      <c r="AB267" s="176"/>
      <c r="AC267" s="176"/>
      <c r="AD267" s="176"/>
      <c r="AJ267" s="136"/>
    </row>
    <row r="268" spans="9:36" x14ac:dyDescent="0.35">
      <c r="I268" s="49">
        <v>0.117763730627</v>
      </c>
      <c r="J268" s="49">
        <v>1.4851867683944251E-9</v>
      </c>
      <c r="K268" s="49">
        <v>2.2654229781655907E-10</v>
      </c>
      <c r="L268" s="152">
        <v>4.4939070027384652E-10</v>
      </c>
      <c r="M268" s="34"/>
      <c r="U268" s="127">
        <v>4.7821771799830978E-10</v>
      </c>
      <c r="V268" s="127">
        <v>4.4939070027384652E-10</v>
      </c>
      <c r="W268" s="127">
        <v>4.6559423468045262E-10</v>
      </c>
      <c r="X268" s="128">
        <f t="shared" si="8"/>
        <v>4.606483383066139E-10</v>
      </c>
      <c r="Y268" s="139">
        <f t="shared" si="9"/>
        <v>20.453041713067705</v>
      </c>
      <c r="AA268" s="73"/>
      <c r="AB268" s="176"/>
      <c r="AC268" s="176"/>
      <c r="AD268" s="176"/>
      <c r="AJ268" s="136"/>
    </row>
    <row r="269" spans="9:36" x14ac:dyDescent="0.35">
      <c r="I269" s="49">
        <v>0.11894136793399999</v>
      </c>
      <c r="J269" s="49">
        <v>1.2005426661793629E-9</v>
      </c>
      <c r="K269" s="49">
        <v>2.2181322601821314E-10</v>
      </c>
      <c r="L269" s="152">
        <v>4.2549960053770928E-10</v>
      </c>
      <c r="M269" s="33"/>
      <c r="U269" s="127">
        <v>4.3725252597322503E-10</v>
      </c>
      <c r="V269" s="127">
        <v>4.2549960053770928E-10</v>
      </c>
      <c r="W269" s="127">
        <v>4.4608232044064813E-10</v>
      </c>
      <c r="X269" s="128">
        <f t="shared" si="8"/>
        <v>4.3358351187232294E-10</v>
      </c>
      <c r="Y269" s="139">
        <f t="shared" si="9"/>
        <v>11.95555095023785</v>
      </c>
      <c r="AA269" s="73"/>
      <c r="AB269" s="176"/>
      <c r="AC269" s="176"/>
      <c r="AD269" s="176"/>
      <c r="AJ269" s="136"/>
    </row>
    <row r="270" spans="9:36" x14ac:dyDescent="0.35">
      <c r="I270" s="49">
        <v>0.120130781613</v>
      </c>
      <c r="J270" s="49">
        <v>1.300740348413464E-9</v>
      </c>
      <c r="K270" s="49">
        <v>2.3450765654496033E-10</v>
      </c>
      <c r="L270" s="152">
        <v>4.118680321020062E-10</v>
      </c>
      <c r="M270" s="34"/>
      <c r="U270" s="127">
        <v>3.9793901287473863E-10</v>
      </c>
      <c r="V270" s="127">
        <v>4.118680321020062E-10</v>
      </c>
      <c r="W270" s="127">
        <v>4.1233194861667915E-10</v>
      </c>
      <c r="X270" s="128">
        <f t="shared" si="8"/>
        <v>4.0850175642385757E-10</v>
      </c>
      <c r="Y270" s="139">
        <f t="shared" si="9"/>
        <v>14.475979325594665</v>
      </c>
      <c r="AA270" s="73"/>
      <c r="AB270" s="176"/>
      <c r="AC270" s="176"/>
      <c r="AD270" s="176"/>
      <c r="AJ270" s="136"/>
    </row>
    <row r="271" spans="9:36" x14ac:dyDescent="0.35">
      <c r="I271" s="49">
        <v>0.12133208942900001</v>
      </c>
      <c r="J271" s="49">
        <v>1.6650786928127581E-9</v>
      </c>
      <c r="K271" s="49">
        <v>2.4847325744391928E-10</v>
      </c>
      <c r="L271" s="152">
        <v>3.9102051900332951E-10</v>
      </c>
      <c r="M271" s="35"/>
      <c r="U271" s="127">
        <v>3.7400731549306046E-10</v>
      </c>
      <c r="V271" s="127">
        <v>3.9102051900332951E-10</v>
      </c>
      <c r="W271" s="127">
        <v>3.7649163386283139E-10</v>
      </c>
      <c r="X271" s="128">
        <f t="shared" si="8"/>
        <v>3.8313499684063772E-10</v>
      </c>
      <c r="Y271" s="139">
        <f t="shared" si="9"/>
        <v>26.618194549524112</v>
      </c>
      <c r="AA271" s="73"/>
      <c r="AB271" s="176"/>
      <c r="AC271" s="176"/>
      <c r="AD271" s="176"/>
      <c r="AJ271" s="136"/>
    </row>
    <row r="272" spans="9:36" x14ac:dyDescent="0.35">
      <c r="I272" s="49">
        <v>0.122545410323</v>
      </c>
      <c r="J272" s="49">
        <v>1.1895253742682925E-9</v>
      </c>
      <c r="K272" s="49">
        <v>2.2174200883732009E-10</v>
      </c>
      <c r="L272" s="152">
        <v>3.5891348234509203E-10</v>
      </c>
      <c r="M272" s="34"/>
      <c r="U272" s="127">
        <v>3.5848481448578512E-10</v>
      </c>
      <c r="V272" s="127">
        <v>3.5891348234509203E-10</v>
      </c>
      <c r="W272" s="127">
        <v>3.4956719379849796E-10</v>
      </c>
      <c r="X272" s="128">
        <f t="shared" si="8"/>
        <v>3.5646974324361676E-10</v>
      </c>
      <c r="Y272" s="139">
        <f t="shared" si="9"/>
        <v>14.114063057560626</v>
      </c>
      <c r="AA272" s="73"/>
      <c r="AB272" s="176"/>
      <c r="AC272" s="176"/>
      <c r="AD272" s="176"/>
      <c r="AJ272" s="136"/>
    </row>
    <row r="273" spans="9:36" x14ac:dyDescent="0.35">
      <c r="I273" s="49">
        <v>0.123770864427</v>
      </c>
      <c r="J273" s="49">
        <v>9.8519895832855769E-10</v>
      </c>
      <c r="K273" s="49">
        <v>2.2538830136741425E-10</v>
      </c>
      <c r="L273" s="152">
        <v>3.2550599471718606E-10</v>
      </c>
      <c r="M273" s="33"/>
      <c r="U273" s="127">
        <v>3.37388792494461E-10</v>
      </c>
      <c r="V273" s="127">
        <v>3.2550599471718606E-10</v>
      </c>
      <c r="W273" s="127">
        <v>3.2980273192479273E-10</v>
      </c>
      <c r="X273" s="128">
        <f t="shared" si="8"/>
        <v>3.295508784634065E-10</v>
      </c>
      <c r="Y273" s="139">
        <f t="shared" si="9"/>
        <v>8.4621135036170951</v>
      </c>
      <c r="AA273" s="73"/>
      <c r="AB273" s="176"/>
      <c r="AC273" s="176"/>
      <c r="AD273" s="176"/>
      <c r="AJ273" s="136"/>
    </row>
    <row r="274" spans="9:36" x14ac:dyDescent="0.35">
      <c r="I274" s="49">
        <v>0.125008573071</v>
      </c>
      <c r="J274" s="49">
        <v>9.669510068816356E-10</v>
      </c>
      <c r="K274" s="49">
        <v>2.3794961149375512E-10</v>
      </c>
      <c r="L274" s="152">
        <v>2.9942679083300773E-10</v>
      </c>
      <c r="M274" s="34"/>
      <c r="U274" s="127">
        <v>3.0747432242003717E-10</v>
      </c>
      <c r="V274" s="127">
        <v>2.9942679083300773E-10</v>
      </c>
      <c r="W274" s="127">
        <v>3.0902153968457692E-10</v>
      </c>
      <c r="X274" s="128">
        <f t="shared" si="8"/>
        <v>3.0383736094265739E-10</v>
      </c>
      <c r="Y274" s="139">
        <f t="shared" si="9"/>
        <v>7.7661527846751826</v>
      </c>
      <c r="AA274" s="73"/>
      <c r="AB274" s="176"/>
      <c r="AC274" s="176"/>
      <c r="AD274" s="176"/>
      <c r="AJ274" s="136"/>
    </row>
    <row r="275" spans="9:36" x14ac:dyDescent="0.35">
      <c r="I275" s="49">
        <v>0.12625865880199999</v>
      </c>
      <c r="J275" s="49">
        <v>1.2376812923395929E-9</v>
      </c>
      <c r="K275" s="49">
        <v>2.6810443279021775E-10</v>
      </c>
      <c r="L275" s="152">
        <v>2.794939815333436E-10</v>
      </c>
      <c r="M275" s="34"/>
      <c r="U275" s="127">
        <v>2.7639330763293967E-10</v>
      </c>
      <c r="V275" s="127">
        <v>2.794939815333436E-10</v>
      </c>
      <c r="W275" s="127">
        <v>2.8294307864889144E-10</v>
      </c>
      <c r="X275" s="128">
        <f t="shared" si="8"/>
        <v>2.7958108733712955E-10</v>
      </c>
      <c r="Y275" s="139">
        <f t="shared" si="9"/>
        <v>12.770675714447625</v>
      </c>
      <c r="AA275" s="73"/>
      <c r="AB275" s="176"/>
      <c r="AC275" s="176"/>
      <c r="AD275" s="176"/>
      <c r="AJ275" s="136"/>
    </row>
    <row r="276" spans="9:36" x14ac:dyDescent="0.35">
      <c r="I276" s="49">
        <v>0.12752124539000001</v>
      </c>
      <c r="J276" s="49">
        <v>9.0468907091761224E-10</v>
      </c>
      <c r="K276" s="49">
        <v>2.3658931248745332E-10</v>
      </c>
      <c r="L276" s="152">
        <v>2.5932773790641557E-10</v>
      </c>
      <c r="M276" s="33"/>
      <c r="U276" s="127">
        <v>2.511280643123492E-10</v>
      </c>
      <c r="V276" s="127">
        <v>2.5932773790641557E-10</v>
      </c>
      <c r="W276" s="127">
        <v>2.5404158497316203E-10</v>
      </c>
      <c r="X276" s="128">
        <f t="shared" si="8"/>
        <v>2.5595628127458563E-10</v>
      </c>
      <c r="Y276" s="139">
        <f t="shared" si="9"/>
        <v>7.5186774590464394</v>
      </c>
      <c r="AA276" s="73"/>
      <c r="AB276" s="176"/>
      <c r="AC276" s="176"/>
      <c r="AD276" s="176"/>
      <c r="AJ276" s="136"/>
    </row>
    <row r="277" spans="9:36" x14ac:dyDescent="0.35">
      <c r="I277" s="49">
        <v>0.12879645784400001</v>
      </c>
      <c r="J277" s="49">
        <v>1.0657874424568963E-9</v>
      </c>
      <c r="K277" s="49">
        <v>2.551884947330885E-10</v>
      </c>
      <c r="L277" s="152">
        <v>2.3495011984216336E-10</v>
      </c>
      <c r="M277" s="34"/>
      <c r="U277" s="127">
        <v>2.3141036798820343E-10</v>
      </c>
      <c r="V277" s="127">
        <v>2.3495011984216336E-10</v>
      </c>
      <c r="W277" s="127">
        <v>2.2806069672928128E-10</v>
      </c>
      <c r="X277" s="128">
        <f t="shared" si="8"/>
        <v>2.3234282610045285E-10</v>
      </c>
      <c r="Y277" s="139">
        <f t="shared" si="9"/>
        <v>10.666730212763699</v>
      </c>
      <c r="AA277" s="73"/>
      <c r="AB277" s="176"/>
      <c r="AC277" s="176"/>
      <c r="AD277" s="176"/>
      <c r="AJ277" s="136"/>
    </row>
    <row r="278" spans="9:36" x14ac:dyDescent="0.35">
      <c r="I278" s="49">
        <v>0.130084422422</v>
      </c>
      <c r="J278" s="49">
        <v>8.6303041884020466E-10</v>
      </c>
      <c r="K278" s="49">
        <v>2.4732439486846511E-10</v>
      </c>
      <c r="L278" s="152">
        <v>2.0793873520546769E-10</v>
      </c>
      <c r="M278" s="34"/>
      <c r="U278" s="127">
        <v>2.1231746207829726E-10</v>
      </c>
      <c r="V278" s="127">
        <v>2.0793873520546769E-10</v>
      </c>
      <c r="W278" s="127">
        <v>2.0801313238406594E-10</v>
      </c>
      <c r="X278" s="128">
        <f t="shared" ref="X278:X279" si="10">(U278+2*V278+W278)/4</f>
        <v>2.0905201621832465E-10</v>
      </c>
      <c r="Y278" s="139">
        <f t="shared" ref="Y278:Y279" si="11">(J278-X278)*(J278-X278)/(K278*K278)</f>
        <v>6.9918628703384718</v>
      </c>
      <c r="AA278" s="73"/>
      <c r="AB278" s="176"/>
      <c r="AC278" s="176"/>
      <c r="AD278" s="176"/>
      <c r="AJ278" s="136"/>
    </row>
    <row r="279" spans="9:36" x14ac:dyDescent="0.35">
      <c r="I279" s="49">
        <v>0.131385266646</v>
      </c>
      <c r="J279" s="49">
        <v>1.6191409949554613E-9</v>
      </c>
      <c r="K279" s="49">
        <v>3.0868377405581105E-10</v>
      </c>
      <c r="L279" s="152">
        <v>1.8361380162252927E-10</v>
      </c>
      <c r="M279" s="35"/>
      <c r="U279" s="127">
        <v>1.899401296123211E-10</v>
      </c>
      <c r="V279" s="127">
        <v>1.8361380162252927E-10</v>
      </c>
      <c r="W279" s="127">
        <v>1.9026653044099992E-10</v>
      </c>
      <c r="X279" s="128">
        <f t="shared" si="10"/>
        <v>1.868585658245949E-10</v>
      </c>
      <c r="Y279" s="139">
        <f t="shared" si="11"/>
        <v>21.529290877347496</v>
      </c>
      <c r="AA279" s="73"/>
      <c r="AB279" s="176"/>
      <c r="AC279" s="176"/>
      <c r="AD279" s="176"/>
      <c r="AJ279" s="136"/>
    </row>
    <row r="280" spans="9:36" x14ac:dyDescent="0.35">
      <c r="I280" s="49"/>
      <c r="J280" s="49"/>
      <c r="K280" s="49"/>
      <c r="M280" s="33"/>
      <c r="U280" s="127"/>
      <c r="V280" s="127"/>
      <c r="W280" s="127"/>
      <c r="X280" s="128"/>
      <c r="Y280" s="139"/>
      <c r="AA280" s="73"/>
      <c r="AB280" s="176"/>
      <c r="AC280" s="176"/>
      <c r="AD280" s="176"/>
      <c r="AJ280" s="136"/>
    </row>
    <row r="281" spans="9:36" x14ac:dyDescent="0.35">
      <c r="I281" s="49"/>
      <c r="J281" s="49"/>
      <c r="K281" s="49"/>
      <c r="M281" s="34"/>
      <c r="U281" s="127"/>
      <c r="V281" s="127"/>
      <c r="W281" s="127"/>
      <c r="X281" s="128"/>
      <c r="Y281" s="139"/>
      <c r="AA281" s="73"/>
      <c r="AB281" s="176"/>
      <c r="AC281" s="176"/>
      <c r="AD281" s="176"/>
      <c r="AJ281" s="136"/>
    </row>
    <row r="282" spans="9:36" x14ac:dyDescent="0.35">
      <c r="I282" s="49"/>
      <c r="J282" s="49"/>
      <c r="K282" s="49"/>
      <c r="M282" s="34"/>
      <c r="U282" s="127"/>
      <c r="V282" s="127"/>
      <c r="W282" s="127"/>
      <c r="X282" s="128"/>
      <c r="Y282" s="139"/>
      <c r="AA282" s="73"/>
      <c r="AB282" s="176"/>
      <c r="AC282" s="176"/>
      <c r="AD282" s="176"/>
      <c r="AJ282" s="136"/>
    </row>
    <row r="283" spans="9:36" x14ac:dyDescent="0.35">
      <c r="I283" s="49"/>
      <c r="J283" s="49"/>
      <c r="K283" s="49"/>
      <c r="M283" s="33"/>
      <c r="U283" s="127"/>
      <c r="V283" s="127"/>
      <c r="W283" s="127"/>
      <c r="X283" s="128"/>
      <c r="Y283" s="139"/>
      <c r="AA283" s="73"/>
      <c r="AB283" s="176"/>
      <c r="AC283" s="176"/>
      <c r="AD283" s="176"/>
      <c r="AJ283" s="136"/>
    </row>
    <row r="284" spans="9:36" x14ac:dyDescent="0.35">
      <c r="I284" s="49"/>
      <c r="J284" s="49"/>
      <c r="K284" s="49"/>
      <c r="M284" s="34"/>
      <c r="U284" s="127"/>
      <c r="V284" s="127"/>
      <c r="W284" s="127"/>
      <c r="X284" s="128"/>
      <c r="Y284" s="139"/>
      <c r="AA284" s="73"/>
      <c r="AB284" s="176"/>
      <c r="AC284" s="176"/>
      <c r="AD284" s="176"/>
      <c r="AJ284" s="136"/>
    </row>
    <row r="285" spans="9:36" x14ac:dyDescent="0.35">
      <c r="I285" s="49"/>
      <c r="J285" s="49"/>
      <c r="K285" s="49"/>
      <c r="M285" s="34"/>
      <c r="U285" s="127"/>
      <c r="V285" s="127"/>
      <c r="W285" s="127"/>
      <c r="X285" s="128"/>
      <c r="Y285" s="139"/>
      <c r="AA285" s="73"/>
      <c r="AB285" s="176"/>
      <c r="AC285" s="176"/>
      <c r="AD285" s="176"/>
      <c r="AJ285" s="136"/>
    </row>
    <row r="286" spans="9:36" x14ac:dyDescent="0.35">
      <c r="I286" s="49"/>
      <c r="J286" s="49"/>
      <c r="K286" s="49"/>
      <c r="M286" s="34"/>
      <c r="U286" s="127"/>
      <c r="V286" s="127"/>
      <c r="W286" s="127"/>
      <c r="X286" s="128"/>
      <c r="Y286" s="139"/>
      <c r="AA286" s="73"/>
      <c r="AB286" s="176"/>
      <c r="AC286" s="176"/>
      <c r="AD286" s="176"/>
      <c r="AJ286" s="136"/>
    </row>
    <row r="287" spans="9:36" x14ac:dyDescent="0.35">
      <c r="I287" s="49"/>
      <c r="J287" s="49"/>
      <c r="K287" s="49"/>
      <c r="M287" s="33"/>
      <c r="U287" s="127"/>
      <c r="V287" s="127"/>
      <c r="W287" s="127"/>
      <c r="X287" s="128"/>
      <c r="Y287" s="139"/>
      <c r="AA287" s="73"/>
      <c r="AB287" s="176"/>
      <c r="AC287" s="176"/>
      <c r="AD287" s="176"/>
      <c r="AJ287" s="136"/>
    </row>
    <row r="288" spans="9:36" x14ac:dyDescent="0.35">
      <c r="I288" s="49"/>
      <c r="J288" s="49"/>
      <c r="K288" s="49"/>
      <c r="M288" s="35"/>
      <c r="U288" s="127"/>
      <c r="V288" s="127"/>
      <c r="W288" s="127"/>
      <c r="X288" s="128"/>
      <c r="Y288" s="139"/>
      <c r="AA288" s="73"/>
      <c r="AB288" s="176"/>
      <c r="AC288" s="176"/>
      <c r="AD288" s="176"/>
      <c r="AJ288" s="136"/>
    </row>
    <row r="289" spans="9:36" x14ac:dyDescent="0.35">
      <c r="I289" s="49"/>
      <c r="J289" s="49"/>
      <c r="K289" s="49"/>
      <c r="M289" s="34"/>
      <c r="U289" s="127"/>
      <c r="V289" s="127"/>
      <c r="W289" s="127"/>
      <c r="X289" s="128"/>
      <c r="Y289" s="139"/>
      <c r="AA289" s="73"/>
      <c r="AB289" s="176"/>
      <c r="AC289" s="176"/>
      <c r="AD289" s="176"/>
      <c r="AJ289" s="136"/>
    </row>
    <row r="290" spans="9:36" x14ac:dyDescent="0.35">
      <c r="I290" s="49"/>
      <c r="J290" s="49"/>
      <c r="K290" s="49"/>
      <c r="M290" s="34"/>
      <c r="U290" s="127"/>
      <c r="V290" s="127"/>
      <c r="W290" s="127"/>
      <c r="X290" s="128"/>
      <c r="Y290" s="139"/>
      <c r="AA290" s="73"/>
      <c r="AB290" s="176"/>
      <c r="AC290" s="176"/>
      <c r="AD290" s="176"/>
      <c r="AJ290" s="136"/>
    </row>
    <row r="291" spans="9:36" x14ac:dyDescent="0.35">
      <c r="I291" s="49"/>
      <c r="J291" s="49"/>
      <c r="K291" s="49"/>
      <c r="M291" s="33"/>
      <c r="U291" s="127"/>
      <c r="V291" s="127"/>
      <c r="W291" s="127"/>
      <c r="X291" s="128"/>
      <c r="Y291" s="139"/>
      <c r="AA291" s="73"/>
      <c r="AB291" s="176"/>
      <c r="AC291" s="176"/>
      <c r="AD291" s="176"/>
      <c r="AJ291" s="136"/>
    </row>
    <row r="292" spans="9:36" x14ac:dyDescent="0.35">
      <c r="I292" s="49"/>
      <c r="J292" s="49"/>
      <c r="K292" s="49"/>
      <c r="M292" s="34"/>
      <c r="U292" s="127"/>
      <c r="V292" s="127"/>
      <c r="W292" s="127"/>
      <c r="X292" s="128"/>
      <c r="Y292" s="139"/>
      <c r="AA292" s="73"/>
      <c r="AB292" s="176"/>
      <c r="AC292" s="176"/>
      <c r="AD292" s="176"/>
      <c r="AJ292" s="136"/>
    </row>
    <row r="293" spans="9:36" x14ac:dyDescent="0.35">
      <c r="I293" s="49"/>
      <c r="J293" s="49"/>
      <c r="K293" s="49"/>
      <c r="M293" s="34"/>
      <c r="U293" s="127"/>
      <c r="V293" s="127"/>
      <c r="W293" s="127"/>
      <c r="X293" s="128"/>
      <c r="Y293" s="139"/>
      <c r="AA293" s="73"/>
      <c r="AB293" s="176"/>
      <c r="AC293" s="176"/>
      <c r="AD293" s="176"/>
      <c r="AJ293" s="136"/>
    </row>
    <row r="294" spans="9:36" x14ac:dyDescent="0.35">
      <c r="I294" s="49"/>
      <c r="J294" s="49"/>
      <c r="K294" s="49"/>
      <c r="M294" s="33"/>
      <c r="U294" s="127"/>
      <c r="V294" s="127"/>
      <c r="W294" s="127"/>
      <c r="X294" s="128"/>
      <c r="Y294" s="139"/>
      <c r="AA294" s="73"/>
      <c r="AB294" s="176"/>
      <c r="AC294" s="176"/>
      <c r="AD294" s="176"/>
      <c r="AJ294" s="136"/>
    </row>
    <row r="295" spans="9:36" x14ac:dyDescent="0.35">
      <c r="I295" s="49"/>
      <c r="J295" s="49"/>
      <c r="K295" s="49"/>
      <c r="M295" s="34"/>
      <c r="U295" s="127"/>
      <c r="V295" s="127"/>
      <c r="W295" s="127"/>
      <c r="X295" s="128"/>
      <c r="Y295" s="139"/>
      <c r="AA295" s="73"/>
      <c r="AB295" s="176"/>
      <c r="AC295" s="176"/>
      <c r="AD295" s="176"/>
      <c r="AJ295" s="136"/>
    </row>
    <row r="296" spans="9:36" x14ac:dyDescent="0.35">
      <c r="I296" s="49"/>
      <c r="J296" s="49"/>
      <c r="K296" s="49"/>
      <c r="M296" s="35"/>
      <c r="U296" s="127"/>
      <c r="V296" s="127"/>
      <c r="W296" s="127"/>
      <c r="X296" s="128"/>
      <c r="Y296" s="139"/>
      <c r="AA296" s="73"/>
      <c r="AB296" s="176"/>
      <c r="AC296" s="176"/>
      <c r="AD296" s="176"/>
      <c r="AJ296" s="136"/>
    </row>
    <row r="297" spans="9:36" x14ac:dyDescent="0.35">
      <c r="I297" s="49"/>
      <c r="J297" s="49"/>
      <c r="K297" s="49"/>
      <c r="M297" s="34"/>
      <c r="U297" s="127"/>
      <c r="V297" s="127"/>
      <c r="W297" s="127"/>
      <c r="X297" s="128"/>
      <c r="Y297" s="139"/>
      <c r="AA297" s="73"/>
      <c r="AB297" s="176"/>
      <c r="AC297" s="176"/>
      <c r="AD297" s="176"/>
      <c r="AJ297" s="136"/>
    </row>
    <row r="298" spans="9:36" x14ac:dyDescent="0.35">
      <c r="I298" s="109"/>
      <c r="J298" s="109"/>
      <c r="K298" s="109"/>
      <c r="M298" s="33"/>
      <c r="U298" s="127"/>
      <c r="V298" s="127"/>
      <c r="W298" s="127"/>
      <c r="X298" s="128"/>
      <c r="Y298" s="139"/>
      <c r="AA298" s="73"/>
      <c r="AB298" s="176"/>
      <c r="AC298" s="176"/>
      <c r="AD298" s="176"/>
      <c r="AJ298" s="136"/>
    </row>
    <row r="299" spans="9:36" x14ac:dyDescent="0.35">
      <c r="I299" s="109"/>
      <c r="J299" s="109"/>
      <c r="K299" s="109"/>
      <c r="M299" s="34"/>
      <c r="U299" s="127"/>
      <c r="V299" s="127"/>
      <c r="W299" s="127"/>
      <c r="X299" s="128"/>
      <c r="Y299" s="139"/>
      <c r="AA299" s="73"/>
      <c r="AB299" s="176"/>
      <c r="AC299" s="176"/>
      <c r="AD299" s="176"/>
      <c r="AJ299" s="136"/>
    </row>
    <row r="300" spans="9:36" x14ac:dyDescent="0.35">
      <c r="I300" s="109"/>
      <c r="J300" s="109"/>
      <c r="K300" s="109"/>
      <c r="M300" s="34"/>
      <c r="U300" s="127"/>
      <c r="V300" s="127"/>
      <c r="W300" s="127"/>
      <c r="X300" s="128"/>
      <c r="Y300" s="139"/>
      <c r="AA300" s="73"/>
      <c r="AB300" s="176"/>
      <c r="AC300" s="176"/>
      <c r="AD300" s="176"/>
      <c r="AJ300" s="136"/>
    </row>
    <row r="301" spans="9:36" x14ac:dyDescent="0.35">
      <c r="I301" s="109"/>
      <c r="J301" s="109"/>
      <c r="K301" s="109"/>
      <c r="M301" s="33"/>
      <c r="U301" s="127"/>
      <c r="V301" s="127"/>
      <c r="W301" s="127"/>
      <c r="X301" s="128"/>
      <c r="Y301" s="139"/>
      <c r="AA301" s="73"/>
      <c r="AB301" s="176"/>
      <c r="AC301" s="176"/>
      <c r="AD301" s="176"/>
      <c r="AJ301" s="136"/>
    </row>
    <row r="302" spans="9:36" x14ac:dyDescent="0.35">
      <c r="I302" s="109"/>
      <c r="J302" s="109"/>
      <c r="K302" s="109"/>
      <c r="M302" s="34"/>
      <c r="U302" s="127"/>
      <c r="V302" s="127"/>
      <c r="W302" s="127"/>
      <c r="X302" s="128"/>
      <c r="Y302" s="139"/>
      <c r="AA302" s="73"/>
      <c r="AB302" s="176"/>
      <c r="AC302" s="176"/>
      <c r="AD302" s="176"/>
      <c r="AJ302" s="136"/>
    </row>
    <row r="303" spans="9:36" x14ac:dyDescent="0.35">
      <c r="I303" s="109"/>
      <c r="J303" s="109"/>
      <c r="K303" s="109"/>
      <c r="M303" s="34"/>
      <c r="U303" s="127"/>
      <c r="V303" s="127"/>
      <c r="W303" s="127"/>
      <c r="X303" s="128"/>
      <c r="Y303" s="139"/>
      <c r="AA303" s="73"/>
      <c r="AB303" s="176"/>
      <c r="AC303" s="176"/>
      <c r="AD303" s="176"/>
      <c r="AJ303" s="136"/>
    </row>
    <row r="304" spans="9:36" x14ac:dyDescent="0.35">
      <c r="I304" s="109"/>
      <c r="J304" s="109"/>
      <c r="K304" s="109"/>
      <c r="M304" s="35"/>
      <c r="U304" s="127"/>
      <c r="V304" s="127"/>
      <c r="W304" s="127"/>
      <c r="X304" s="128"/>
      <c r="Y304" s="139"/>
      <c r="AA304" s="73"/>
      <c r="AB304" s="176"/>
      <c r="AC304" s="176"/>
      <c r="AD304" s="176"/>
      <c r="AJ304" s="136"/>
    </row>
    <row r="305" spans="9:36" x14ac:dyDescent="0.35">
      <c r="I305" s="109"/>
      <c r="J305" s="109"/>
      <c r="K305" s="109"/>
      <c r="M305" s="33"/>
      <c r="U305" s="127"/>
      <c r="V305" s="127"/>
      <c r="W305" s="127"/>
      <c r="X305" s="128"/>
      <c r="Y305" s="139"/>
      <c r="AA305" s="73"/>
      <c r="AB305" s="176"/>
      <c r="AC305" s="176"/>
      <c r="AD305" s="176"/>
      <c r="AJ305" s="136"/>
    </row>
    <row r="306" spans="9:36" x14ac:dyDescent="0.35">
      <c r="I306" s="109"/>
      <c r="J306" s="109"/>
      <c r="K306" s="109"/>
      <c r="M306" s="34"/>
      <c r="U306" s="127"/>
      <c r="V306" s="127"/>
      <c r="W306" s="127"/>
      <c r="X306" s="128"/>
      <c r="Y306" s="139"/>
      <c r="AA306" s="73"/>
      <c r="AB306" s="176"/>
      <c r="AC306" s="176"/>
      <c r="AD306" s="176"/>
      <c r="AJ306" s="136"/>
    </row>
    <row r="307" spans="9:36" x14ac:dyDescent="0.35">
      <c r="I307" s="109"/>
      <c r="J307" s="109"/>
      <c r="K307" s="109"/>
      <c r="M307" s="34"/>
      <c r="U307" s="127"/>
      <c r="V307" s="127"/>
      <c r="W307" s="127"/>
      <c r="X307" s="128"/>
      <c r="Y307" s="139"/>
      <c r="AA307" s="73"/>
      <c r="AB307" s="176"/>
      <c r="AC307" s="176"/>
      <c r="AD307" s="176"/>
      <c r="AJ307" s="136"/>
    </row>
    <row r="308" spans="9:36" x14ac:dyDescent="0.35">
      <c r="I308" s="109"/>
      <c r="J308" s="109"/>
      <c r="K308" s="109"/>
      <c r="M308" s="33"/>
      <c r="U308" s="127"/>
      <c r="V308" s="127"/>
      <c r="W308" s="127"/>
      <c r="X308" s="128"/>
      <c r="Y308" s="139"/>
      <c r="AA308" s="73"/>
      <c r="AB308" s="176"/>
      <c r="AC308" s="176"/>
      <c r="AD308" s="176"/>
      <c r="AJ308" s="136"/>
    </row>
    <row r="309" spans="9:36" x14ac:dyDescent="0.35">
      <c r="I309" s="109"/>
      <c r="J309" s="109"/>
      <c r="K309" s="109"/>
      <c r="M309" s="34"/>
      <c r="U309" s="127"/>
      <c r="V309" s="127"/>
      <c r="W309" s="127"/>
      <c r="X309" s="128"/>
      <c r="Y309" s="139"/>
      <c r="AA309" s="73"/>
      <c r="AB309" s="176"/>
      <c r="AC309" s="176"/>
      <c r="AD309" s="176"/>
      <c r="AJ309" s="136"/>
    </row>
    <row r="310" spans="9:36" x14ac:dyDescent="0.35">
      <c r="I310" s="109"/>
      <c r="J310" s="109"/>
      <c r="K310" s="109"/>
      <c r="M310" s="34"/>
      <c r="U310" s="127"/>
      <c r="V310" s="127"/>
      <c r="W310" s="127"/>
      <c r="X310" s="128"/>
      <c r="Y310" s="139"/>
      <c r="AA310" s="73"/>
      <c r="AB310" s="176"/>
      <c r="AC310" s="176"/>
      <c r="AD310" s="176"/>
      <c r="AJ310" s="136"/>
    </row>
    <row r="311" spans="9:36" x14ac:dyDescent="0.35">
      <c r="I311" s="109"/>
      <c r="J311" s="109"/>
      <c r="K311" s="109"/>
      <c r="M311" s="34"/>
      <c r="U311" s="127"/>
      <c r="V311" s="127"/>
      <c r="W311" s="127"/>
      <c r="X311" s="128"/>
      <c r="Y311" s="139"/>
      <c r="AA311" s="73"/>
      <c r="AB311" s="176"/>
      <c r="AC311" s="176"/>
      <c r="AD311" s="176"/>
      <c r="AJ311" s="136"/>
    </row>
    <row r="312" spans="9:36" x14ac:dyDescent="0.35">
      <c r="I312" s="109"/>
      <c r="J312" s="109"/>
      <c r="K312" s="109"/>
      <c r="M312" s="33"/>
      <c r="U312" s="127"/>
      <c r="V312" s="127"/>
      <c r="W312" s="127"/>
      <c r="X312" s="128"/>
      <c r="Y312" s="139"/>
      <c r="AA312" s="73"/>
      <c r="AB312" s="176"/>
      <c r="AC312" s="176"/>
      <c r="AD312" s="176"/>
      <c r="AJ312" s="136"/>
    </row>
    <row r="313" spans="9:36" x14ac:dyDescent="0.35">
      <c r="I313" s="109"/>
      <c r="J313" s="109"/>
      <c r="K313" s="109"/>
      <c r="M313" s="34"/>
      <c r="U313" s="127"/>
      <c r="V313" s="127"/>
      <c r="W313" s="127"/>
      <c r="X313" s="128"/>
      <c r="Y313" s="139"/>
      <c r="AA313" s="73"/>
      <c r="AB313" s="176"/>
      <c r="AC313" s="176"/>
      <c r="AD313" s="176"/>
      <c r="AJ313" s="136"/>
    </row>
    <row r="314" spans="9:36" x14ac:dyDescent="0.35">
      <c r="I314" s="109"/>
      <c r="J314" s="109"/>
      <c r="K314" s="109"/>
      <c r="M314" s="34"/>
      <c r="U314" s="127"/>
      <c r="V314" s="127"/>
      <c r="W314" s="127"/>
      <c r="X314" s="128"/>
      <c r="Y314" s="139"/>
      <c r="AA314" s="73"/>
      <c r="AB314" s="176"/>
      <c r="AC314" s="176"/>
      <c r="AD314" s="176"/>
      <c r="AJ314" s="136"/>
    </row>
    <row r="315" spans="9:36" x14ac:dyDescent="0.35">
      <c r="I315" s="109"/>
      <c r="J315" s="109"/>
      <c r="K315" s="109"/>
      <c r="M315" s="33"/>
      <c r="U315" s="127"/>
      <c r="V315" s="127"/>
      <c r="W315" s="127"/>
      <c r="X315" s="128"/>
      <c r="Y315" s="139"/>
      <c r="AA315" s="73"/>
      <c r="AB315" s="176"/>
      <c r="AC315" s="176"/>
      <c r="AD315" s="176"/>
      <c r="AJ315" s="136"/>
    </row>
    <row r="316" spans="9:36" x14ac:dyDescent="0.35">
      <c r="I316" s="109"/>
      <c r="J316" s="109"/>
      <c r="K316" s="109"/>
      <c r="M316" s="34"/>
      <c r="U316" s="127"/>
      <c r="V316" s="127"/>
      <c r="W316" s="127"/>
      <c r="X316" s="128"/>
      <c r="Y316" s="139"/>
      <c r="AA316" s="73"/>
      <c r="AB316" s="176"/>
      <c r="AC316" s="176"/>
      <c r="AD316" s="176"/>
      <c r="AJ316" s="136"/>
    </row>
    <row r="317" spans="9:36" x14ac:dyDescent="0.35">
      <c r="I317" s="109"/>
      <c r="J317" s="109"/>
      <c r="K317" s="109"/>
      <c r="M317" s="34"/>
      <c r="U317" s="127"/>
      <c r="V317" s="127"/>
      <c r="W317" s="127"/>
      <c r="X317" s="128"/>
      <c r="Y317" s="139"/>
      <c r="AA317" s="73"/>
      <c r="AB317" s="176"/>
      <c r="AC317" s="176"/>
      <c r="AD317" s="176"/>
      <c r="AJ317" s="136"/>
    </row>
    <row r="318" spans="9:36" x14ac:dyDescent="0.35">
      <c r="I318" s="109"/>
      <c r="J318" s="109"/>
      <c r="K318" s="109"/>
      <c r="M318" s="33"/>
      <c r="U318" s="127"/>
      <c r="V318" s="127"/>
      <c r="W318" s="127"/>
      <c r="X318" s="128"/>
      <c r="Y318" s="139"/>
      <c r="AA318" s="73"/>
      <c r="AB318" s="176"/>
      <c r="AC318" s="176"/>
      <c r="AD318" s="176"/>
      <c r="AJ318" s="136"/>
    </row>
    <row r="319" spans="9:36" x14ac:dyDescent="0.35">
      <c r="I319" s="109"/>
      <c r="J319" s="109"/>
      <c r="K319" s="109"/>
      <c r="M319" s="34"/>
      <c r="U319" s="127"/>
      <c r="V319" s="127"/>
      <c r="W319" s="127"/>
      <c r="X319" s="128"/>
      <c r="Y319" s="139"/>
      <c r="AA319" s="73"/>
      <c r="AB319" s="176"/>
      <c r="AC319" s="176"/>
      <c r="AD319" s="176"/>
      <c r="AJ319" s="136"/>
    </row>
    <row r="320" spans="9:36" x14ac:dyDescent="0.35">
      <c r="I320" s="109"/>
      <c r="J320" s="109"/>
      <c r="K320" s="109"/>
      <c r="M320" s="34"/>
      <c r="U320" s="127"/>
      <c r="V320" s="127"/>
      <c r="W320" s="128"/>
      <c r="X320" s="128"/>
      <c r="Y320" s="139"/>
      <c r="AA320" s="73"/>
      <c r="AB320" s="176"/>
      <c r="AC320" s="176"/>
      <c r="AD320" s="176"/>
      <c r="AJ320" s="136"/>
    </row>
    <row r="321" spans="9:36" x14ac:dyDescent="0.35">
      <c r="I321" s="109"/>
      <c r="J321" s="109"/>
      <c r="K321" s="109"/>
      <c r="M321" s="33"/>
      <c r="U321" s="127"/>
      <c r="V321" s="127"/>
      <c r="W321" s="128"/>
      <c r="X321" s="128"/>
      <c r="Y321" s="139"/>
      <c r="AA321" s="73"/>
      <c r="AB321" s="176"/>
      <c r="AC321" s="176"/>
      <c r="AD321" s="176"/>
      <c r="AJ321" s="136"/>
    </row>
    <row r="322" spans="9:36" x14ac:dyDescent="0.35">
      <c r="I322" s="109"/>
      <c r="J322" s="109"/>
      <c r="K322" s="109"/>
      <c r="M322" s="34"/>
      <c r="U322" s="127"/>
      <c r="V322" s="127"/>
      <c r="W322" s="128"/>
      <c r="X322" s="128"/>
      <c r="Y322" s="139"/>
      <c r="AA322" s="73"/>
      <c r="AB322" s="176"/>
      <c r="AC322" s="176"/>
      <c r="AD322" s="176"/>
      <c r="AJ322" s="136"/>
    </row>
    <row r="323" spans="9:36" x14ac:dyDescent="0.35">
      <c r="I323" s="109"/>
      <c r="J323" s="109"/>
      <c r="K323" s="109"/>
      <c r="M323" s="34"/>
      <c r="U323" s="127"/>
      <c r="V323" s="127"/>
      <c r="W323" s="128"/>
      <c r="X323" s="128"/>
      <c r="Y323" s="139"/>
      <c r="AA323" s="73"/>
      <c r="AB323" s="176"/>
      <c r="AC323" s="176"/>
      <c r="AD323" s="176"/>
      <c r="AJ323" s="136"/>
    </row>
    <row r="324" spans="9:36" x14ac:dyDescent="0.35">
      <c r="I324" s="109"/>
      <c r="J324" s="109"/>
      <c r="K324" s="109"/>
      <c r="M324" s="33"/>
      <c r="U324" s="127"/>
      <c r="V324" s="127"/>
      <c r="W324" s="128"/>
      <c r="X324" s="128"/>
      <c r="Y324" s="139"/>
      <c r="AA324" s="73"/>
      <c r="AB324" s="176"/>
      <c r="AC324" s="176"/>
      <c r="AD324" s="176"/>
      <c r="AJ324" s="136"/>
    </row>
    <row r="325" spans="9:36" x14ac:dyDescent="0.35">
      <c r="I325" s="109"/>
      <c r="J325" s="109"/>
      <c r="K325" s="109"/>
      <c r="M325" s="34"/>
      <c r="U325" s="127"/>
      <c r="V325" s="129"/>
      <c r="W325" s="128"/>
      <c r="X325" s="128"/>
      <c r="Y325" s="139"/>
      <c r="AA325" s="73"/>
      <c r="AB325" s="176"/>
      <c r="AC325" s="176"/>
      <c r="AD325" s="176"/>
      <c r="AJ325" s="136"/>
    </row>
    <row r="326" spans="9:36" x14ac:dyDescent="0.35">
      <c r="I326" s="109"/>
      <c r="J326" s="109"/>
      <c r="K326" s="109"/>
      <c r="M326" s="34"/>
      <c r="U326" s="127"/>
      <c r="V326" s="129"/>
      <c r="W326" s="128"/>
      <c r="X326" s="128"/>
      <c r="Y326" s="139"/>
      <c r="AA326" s="73"/>
      <c r="AB326" s="176"/>
      <c r="AC326" s="176"/>
      <c r="AD326" s="176"/>
      <c r="AJ326" s="136"/>
    </row>
    <row r="327" spans="9:36" x14ac:dyDescent="0.35">
      <c r="I327" s="109"/>
      <c r="J327" s="109"/>
      <c r="K327" s="109"/>
      <c r="M327" s="33"/>
      <c r="U327" s="127"/>
      <c r="V327" s="129"/>
      <c r="W327" s="128"/>
      <c r="X327" s="128"/>
      <c r="Y327" s="139"/>
      <c r="AA327" s="73"/>
      <c r="AB327" s="176"/>
      <c r="AC327" s="176"/>
      <c r="AD327" s="176"/>
      <c r="AJ327" s="136"/>
    </row>
    <row r="328" spans="9:36" x14ac:dyDescent="0.35">
      <c r="I328" s="109"/>
      <c r="J328" s="109"/>
      <c r="K328" s="109"/>
      <c r="M328" s="34"/>
      <c r="U328" s="127"/>
      <c r="V328" s="129"/>
      <c r="W328" s="128"/>
      <c r="X328" s="128"/>
      <c r="Y328" s="139"/>
      <c r="AA328" s="73"/>
      <c r="AB328" s="176"/>
      <c r="AC328" s="176"/>
      <c r="AD328" s="176"/>
      <c r="AJ328" s="136"/>
    </row>
    <row r="329" spans="9:36" x14ac:dyDescent="0.35">
      <c r="I329" s="109"/>
      <c r="J329" s="109"/>
      <c r="K329" s="109"/>
      <c r="M329" s="34"/>
      <c r="U329" s="127"/>
      <c r="V329" s="129"/>
      <c r="W329" s="128"/>
      <c r="X329" s="128"/>
      <c r="Y329" s="139"/>
      <c r="AA329" s="73"/>
      <c r="AB329" s="176"/>
      <c r="AC329" s="176"/>
      <c r="AD329" s="176"/>
      <c r="AJ329" s="136"/>
    </row>
    <row r="330" spans="9:36" x14ac:dyDescent="0.35">
      <c r="I330" s="109"/>
      <c r="J330" s="109"/>
      <c r="K330" s="109"/>
      <c r="M330" s="36"/>
      <c r="U330" s="127"/>
      <c r="V330" s="129"/>
      <c r="W330" s="128"/>
      <c r="X330" s="128"/>
      <c r="Y330" s="139"/>
      <c r="AA330" s="73"/>
      <c r="AB330" s="176"/>
      <c r="AC330" s="176"/>
      <c r="AD330" s="176"/>
      <c r="AJ330" s="136"/>
    </row>
    <row r="331" spans="9:36" x14ac:dyDescent="0.35">
      <c r="I331" s="109"/>
      <c r="J331" s="109"/>
      <c r="K331" s="109"/>
      <c r="M331" s="34"/>
      <c r="U331" s="127"/>
      <c r="V331" s="129"/>
      <c r="W331" s="128"/>
      <c r="X331" s="128"/>
      <c r="Y331" s="139"/>
      <c r="AA331" s="73"/>
      <c r="AB331" s="176"/>
      <c r="AC331" s="176"/>
      <c r="AD331" s="176"/>
      <c r="AJ331" s="136"/>
    </row>
    <row r="332" spans="9:36" x14ac:dyDescent="0.35">
      <c r="I332" s="109"/>
      <c r="J332" s="109"/>
      <c r="K332" s="109"/>
      <c r="M332" s="34"/>
      <c r="U332" s="127"/>
      <c r="V332" s="129"/>
      <c r="W332" s="128"/>
      <c r="X332" s="128"/>
      <c r="Y332" s="139"/>
      <c r="AA332" s="73"/>
      <c r="AB332" s="176"/>
      <c r="AC332" s="176"/>
      <c r="AD332" s="176"/>
      <c r="AJ332" s="136"/>
    </row>
    <row r="333" spans="9:36" x14ac:dyDescent="0.35">
      <c r="I333" s="109"/>
      <c r="J333" s="109"/>
      <c r="K333" s="109"/>
      <c r="M333" s="33"/>
      <c r="U333" s="127"/>
      <c r="V333" s="129"/>
      <c r="W333" s="128"/>
      <c r="X333" s="128"/>
      <c r="Y333" s="139"/>
      <c r="AA333" s="73"/>
      <c r="AB333" s="176"/>
      <c r="AC333" s="176"/>
      <c r="AD333" s="176"/>
      <c r="AJ333" s="136"/>
    </row>
    <row r="334" spans="9:36" x14ac:dyDescent="0.35">
      <c r="I334" s="109"/>
      <c r="J334" s="109"/>
      <c r="K334" s="109"/>
      <c r="M334" s="34"/>
      <c r="U334" s="127"/>
      <c r="V334" s="129"/>
      <c r="W334" s="128"/>
      <c r="X334" s="128"/>
      <c r="Y334" s="139"/>
      <c r="AA334" s="73"/>
      <c r="AB334" s="176"/>
      <c r="AC334" s="176"/>
      <c r="AD334" s="176"/>
      <c r="AJ334" s="136"/>
    </row>
    <row r="335" spans="9:36" x14ac:dyDescent="0.35">
      <c r="I335" s="109"/>
      <c r="J335" s="109"/>
      <c r="K335" s="109"/>
      <c r="M335" s="34"/>
      <c r="U335" s="127"/>
      <c r="V335" s="128"/>
      <c r="W335" s="128"/>
      <c r="X335" s="128"/>
      <c r="Y335" s="139"/>
      <c r="AA335" s="73"/>
      <c r="AC335" s="77"/>
      <c r="AJ335" s="136"/>
    </row>
    <row r="336" spans="9:36" x14ac:dyDescent="0.35">
      <c r="I336" s="109"/>
      <c r="J336" s="109"/>
      <c r="K336" s="109"/>
      <c r="M336" s="33"/>
      <c r="V336" s="128"/>
      <c r="W336" s="128"/>
      <c r="X336" s="128"/>
      <c r="Y336" s="139"/>
      <c r="AA336" s="73"/>
      <c r="AC336" s="74"/>
      <c r="AJ336" s="136"/>
    </row>
    <row r="337" spans="9:29" x14ac:dyDescent="0.35">
      <c r="I337" s="109"/>
      <c r="J337" s="109"/>
      <c r="K337" s="109"/>
      <c r="M337" s="34"/>
      <c r="V337" s="128"/>
      <c r="W337" s="128"/>
      <c r="X337" s="128"/>
      <c r="Y337" s="139"/>
      <c r="AA337" s="73"/>
      <c r="AC337" s="77"/>
    </row>
    <row r="338" spans="9:29" x14ac:dyDescent="0.35">
      <c r="I338" s="109"/>
      <c r="J338" s="109"/>
      <c r="K338" s="109"/>
      <c r="M338" s="34"/>
      <c r="V338" s="128"/>
      <c r="W338" s="128"/>
      <c r="X338" s="128"/>
      <c r="Y338" s="139"/>
      <c r="AA338" s="73"/>
      <c r="AC338" s="77"/>
    </row>
    <row r="339" spans="9:29" x14ac:dyDescent="0.35">
      <c r="I339" s="109"/>
      <c r="J339" s="109"/>
      <c r="K339" s="109"/>
      <c r="M339" s="33"/>
      <c r="V339" s="128"/>
      <c r="W339" s="128"/>
      <c r="X339" s="128"/>
      <c r="Y339" s="139"/>
      <c r="AA339" s="73"/>
      <c r="AC339" s="74"/>
    </row>
    <row r="340" spans="9:29" x14ac:dyDescent="0.35">
      <c r="I340" s="109"/>
      <c r="J340" s="109"/>
      <c r="K340" s="109"/>
      <c r="M340" s="34"/>
      <c r="V340" s="128"/>
      <c r="W340" s="128"/>
      <c r="X340" s="128"/>
      <c r="Y340" s="139"/>
      <c r="AA340" s="73"/>
      <c r="AC340" s="77"/>
    </row>
    <row r="341" spans="9:29" x14ac:dyDescent="0.35">
      <c r="I341" s="109"/>
      <c r="J341" s="109"/>
      <c r="K341" s="109"/>
      <c r="M341" s="34"/>
      <c r="V341" s="128"/>
      <c r="W341" s="128"/>
      <c r="X341" s="128"/>
      <c r="Y341" s="139"/>
      <c r="AA341" s="73"/>
      <c r="AC341" s="77"/>
    </row>
    <row r="342" spans="9:29" x14ac:dyDescent="0.35">
      <c r="I342" s="109"/>
      <c r="J342" s="109"/>
      <c r="K342" s="109"/>
      <c r="M342" s="33"/>
      <c r="V342" s="128"/>
      <c r="W342" s="128"/>
      <c r="X342" s="128"/>
      <c r="Y342" s="139"/>
      <c r="AA342" s="73"/>
      <c r="AC342" s="74"/>
    </row>
    <row r="343" spans="9:29" x14ac:dyDescent="0.35">
      <c r="I343" s="109"/>
      <c r="J343" s="109"/>
      <c r="K343" s="109"/>
      <c r="M343" s="34"/>
      <c r="V343" s="128"/>
      <c r="W343" s="128"/>
      <c r="X343" s="128"/>
      <c r="Y343" s="139"/>
      <c r="AA343" s="73"/>
      <c r="AC343" s="77"/>
    </row>
    <row r="344" spans="9:29" x14ac:dyDescent="0.35">
      <c r="I344" s="109"/>
      <c r="J344" s="109"/>
      <c r="K344" s="109"/>
      <c r="M344" s="34"/>
      <c r="V344" s="128"/>
      <c r="W344" s="128"/>
      <c r="X344" s="128"/>
      <c r="Y344" s="139"/>
      <c r="AA344" s="73"/>
      <c r="AC344" s="77"/>
    </row>
    <row r="345" spans="9:29" x14ac:dyDescent="0.35">
      <c r="I345" s="109"/>
      <c r="J345" s="109"/>
      <c r="K345" s="109"/>
      <c r="M345" s="33"/>
      <c r="V345" s="128"/>
      <c r="W345" s="128"/>
      <c r="X345" s="128"/>
      <c r="Y345" s="139"/>
      <c r="AA345" s="73"/>
      <c r="AC345" s="74"/>
    </row>
    <row r="346" spans="9:29" x14ac:dyDescent="0.35">
      <c r="I346" s="109"/>
      <c r="J346" s="109"/>
      <c r="K346" s="109"/>
      <c r="M346" s="34"/>
      <c r="V346" s="128"/>
      <c r="W346" s="128"/>
      <c r="X346" s="128"/>
      <c r="Y346" s="139"/>
      <c r="AA346" s="73"/>
      <c r="AC346" s="77"/>
    </row>
    <row r="347" spans="9:29" x14ac:dyDescent="0.35">
      <c r="I347" s="109"/>
      <c r="J347" s="109"/>
      <c r="K347" s="109"/>
      <c r="M347" s="34"/>
      <c r="V347" s="128"/>
      <c r="W347" s="128"/>
      <c r="X347" s="128"/>
      <c r="Y347" s="139"/>
      <c r="AA347" s="73"/>
      <c r="AC347" s="77"/>
    </row>
    <row r="348" spans="9:29" x14ac:dyDescent="0.35">
      <c r="I348" s="109"/>
      <c r="J348" s="109"/>
      <c r="K348" s="109"/>
      <c r="M348" s="33"/>
      <c r="V348" s="128"/>
      <c r="W348" s="128"/>
      <c r="X348" s="128"/>
      <c r="Y348" s="139"/>
      <c r="AA348" s="73"/>
      <c r="AC348" s="74"/>
    </row>
    <row r="349" spans="9:29" x14ac:dyDescent="0.35">
      <c r="I349" s="109"/>
      <c r="J349" s="109"/>
      <c r="K349" s="109"/>
      <c r="M349" s="34"/>
      <c r="V349" s="128"/>
      <c r="W349" s="128"/>
      <c r="X349" s="128"/>
      <c r="Y349" s="139"/>
      <c r="AA349" s="73"/>
      <c r="AC349" s="77"/>
    </row>
    <row r="350" spans="9:29" x14ac:dyDescent="0.35">
      <c r="I350" s="109"/>
      <c r="J350" s="109"/>
      <c r="K350" s="109"/>
      <c r="M350" s="34"/>
      <c r="V350" s="128"/>
      <c r="W350" s="128"/>
      <c r="X350" s="128"/>
      <c r="Y350" s="139"/>
      <c r="AA350" s="73"/>
      <c r="AC350" s="77"/>
    </row>
    <row r="351" spans="9:29" x14ac:dyDescent="0.35">
      <c r="I351" s="109"/>
      <c r="J351" s="109"/>
      <c r="K351" s="109"/>
      <c r="M351" s="33"/>
      <c r="V351" s="128"/>
      <c r="W351" s="128"/>
      <c r="X351" s="128"/>
      <c r="Y351" s="139"/>
      <c r="AA351" s="73"/>
      <c r="AC351" s="74"/>
    </row>
    <row r="352" spans="9:29" x14ac:dyDescent="0.35">
      <c r="I352" s="109"/>
      <c r="J352" s="109"/>
      <c r="K352" s="109"/>
      <c r="M352" s="34"/>
      <c r="V352" s="128"/>
      <c r="W352" s="128"/>
      <c r="X352" s="128"/>
      <c r="Y352" s="139"/>
      <c r="AA352" s="73"/>
      <c r="AC352" s="77"/>
    </row>
    <row r="353" spans="9:29" x14ac:dyDescent="0.35">
      <c r="I353" s="109"/>
      <c r="J353" s="109"/>
      <c r="K353" s="109"/>
      <c r="M353" s="34"/>
      <c r="V353" s="128"/>
      <c r="W353" s="128"/>
      <c r="X353" s="128"/>
      <c r="Y353" s="139"/>
      <c r="AA353" s="73"/>
      <c r="AC353" s="77"/>
    </row>
    <row r="354" spans="9:29" x14ac:dyDescent="0.35">
      <c r="I354" s="109"/>
      <c r="J354" s="109"/>
      <c r="K354" s="109"/>
      <c r="M354" s="34"/>
      <c r="V354" s="128"/>
      <c r="W354" s="128"/>
      <c r="X354" s="128"/>
      <c r="Y354" s="139"/>
      <c r="AA354" s="73"/>
      <c r="AC354" s="77"/>
    </row>
    <row r="355" spans="9:29" x14ac:dyDescent="0.35">
      <c r="I355" s="109"/>
      <c r="J355" s="109"/>
      <c r="K355" s="109"/>
      <c r="M355" s="33"/>
      <c r="V355" s="128"/>
      <c r="W355" s="128"/>
      <c r="X355" s="128"/>
      <c r="Y355" s="139"/>
      <c r="AA355" s="73"/>
      <c r="AC355" s="74"/>
    </row>
    <row r="356" spans="9:29" x14ac:dyDescent="0.35">
      <c r="I356" s="109"/>
      <c r="J356" s="109"/>
      <c r="K356" s="109"/>
      <c r="M356" s="34"/>
      <c r="V356" s="128"/>
      <c r="W356" s="128"/>
      <c r="X356" s="128"/>
      <c r="Y356" s="139"/>
      <c r="AA356" s="73"/>
      <c r="AC356" s="77"/>
    </row>
    <row r="357" spans="9:29" x14ac:dyDescent="0.35">
      <c r="I357" s="109"/>
      <c r="J357" s="109"/>
      <c r="K357" s="109"/>
      <c r="M357" s="34"/>
      <c r="V357" s="128"/>
      <c r="W357" s="128"/>
      <c r="X357" s="128"/>
      <c r="Y357" s="139"/>
      <c r="AA357" s="73"/>
      <c r="AC357" s="77"/>
    </row>
    <row r="358" spans="9:29" x14ac:dyDescent="0.35">
      <c r="I358" s="109"/>
      <c r="J358" s="109"/>
      <c r="K358" s="109"/>
      <c r="M358" s="33"/>
      <c r="V358" s="128"/>
      <c r="W358" s="128"/>
      <c r="X358" s="128"/>
      <c r="Y358" s="139"/>
      <c r="AA358" s="73"/>
      <c r="AC358" s="74"/>
    </row>
    <row r="359" spans="9:29" x14ac:dyDescent="0.35">
      <c r="I359" s="109"/>
      <c r="J359" s="109"/>
      <c r="K359" s="109"/>
      <c r="M359" s="37"/>
      <c r="V359" s="128"/>
      <c r="W359" s="128"/>
      <c r="X359" s="128"/>
      <c r="Y359" s="139"/>
      <c r="AA359" s="73"/>
      <c r="AC359" s="79"/>
    </row>
    <row r="360" spans="9:29" x14ac:dyDescent="0.35">
      <c r="I360" s="109"/>
      <c r="J360" s="109"/>
      <c r="K360" s="109"/>
      <c r="M360" s="34"/>
      <c r="V360" s="128"/>
      <c r="W360" s="128"/>
      <c r="X360" s="128"/>
      <c r="Y360" s="139"/>
      <c r="AA360" s="73"/>
      <c r="AC360" s="77"/>
    </row>
    <row r="361" spans="9:29" x14ac:dyDescent="0.35">
      <c r="I361" s="109"/>
      <c r="J361" s="109"/>
      <c r="K361" s="109"/>
      <c r="M361" s="37"/>
      <c r="V361" s="128"/>
      <c r="W361" s="128"/>
      <c r="X361" s="128"/>
      <c r="Y361" s="139"/>
      <c r="AA361" s="73"/>
      <c r="AC361" s="79"/>
    </row>
    <row r="362" spans="9:29" x14ac:dyDescent="0.35">
      <c r="I362" s="109"/>
      <c r="J362" s="109"/>
      <c r="K362" s="109"/>
      <c r="M362" s="34"/>
      <c r="V362" s="128"/>
      <c r="W362" s="128"/>
      <c r="X362" s="128"/>
      <c r="Y362" s="139"/>
      <c r="AA362" s="73"/>
      <c r="AC362" s="77"/>
    </row>
    <row r="363" spans="9:29" x14ac:dyDescent="0.35">
      <c r="I363" s="109"/>
      <c r="J363" s="109"/>
      <c r="K363" s="109"/>
      <c r="M363" s="37"/>
      <c r="V363" s="128"/>
      <c r="W363" s="128"/>
      <c r="X363" s="128"/>
      <c r="Y363" s="139"/>
      <c r="AA363" s="73"/>
      <c r="AC363" s="79"/>
    </row>
    <row r="364" spans="9:29" x14ac:dyDescent="0.35">
      <c r="I364" s="109"/>
      <c r="J364" s="109"/>
      <c r="K364" s="109"/>
      <c r="M364" s="33"/>
      <c r="V364" s="128"/>
      <c r="W364" s="128"/>
      <c r="X364" s="128"/>
      <c r="Y364" s="139"/>
      <c r="AA364" s="73"/>
      <c r="AC364" s="74"/>
    </row>
    <row r="365" spans="9:29" x14ac:dyDescent="0.35">
      <c r="I365" s="109"/>
      <c r="J365" s="109"/>
      <c r="K365" s="109"/>
      <c r="M365" s="37"/>
      <c r="V365" s="128"/>
      <c r="W365" s="128"/>
      <c r="X365" s="128"/>
      <c r="Y365" s="139"/>
      <c r="AA365" s="73"/>
      <c r="AC365" s="79"/>
    </row>
    <row r="366" spans="9:29" x14ac:dyDescent="0.35">
      <c r="I366" s="109"/>
      <c r="J366" s="109"/>
      <c r="K366" s="109"/>
      <c r="M366" s="34"/>
      <c r="V366" s="128"/>
      <c r="W366" s="128"/>
      <c r="X366" s="128"/>
      <c r="Y366" s="139"/>
      <c r="AA366" s="73"/>
      <c r="AC366" s="77"/>
    </row>
    <row r="367" spans="9:29" x14ac:dyDescent="0.35">
      <c r="I367" s="109"/>
      <c r="J367" s="109"/>
      <c r="K367" s="109"/>
      <c r="M367" s="34"/>
      <c r="V367" s="128"/>
      <c r="W367" s="128"/>
      <c r="X367" s="128"/>
      <c r="Y367" s="139"/>
      <c r="AA367" s="73"/>
      <c r="AC367" s="77"/>
    </row>
    <row r="368" spans="9:29" x14ac:dyDescent="0.35">
      <c r="I368" s="109"/>
      <c r="J368" s="109"/>
      <c r="K368" s="109"/>
      <c r="M368" s="37"/>
      <c r="V368" s="128"/>
      <c r="W368" s="128"/>
      <c r="X368" s="128"/>
      <c r="Y368" s="139"/>
      <c r="AA368" s="73"/>
      <c r="AC368" s="79"/>
    </row>
    <row r="369" spans="9:29" x14ac:dyDescent="0.35">
      <c r="I369" s="109"/>
      <c r="J369" s="109"/>
      <c r="K369" s="109"/>
      <c r="M369" s="33"/>
      <c r="V369" s="128"/>
      <c r="W369" s="128"/>
      <c r="X369" s="128"/>
      <c r="Y369" s="139"/>
      <c r="AA369" s="73"/>
      <c r="AC369" s="74"/>
    </row>
    <row r="370" spans="9:29" x14ac:dyDescent="0.35">
      <c r="I370" s="109"/>
      <c r="J370" s="109"/>
      <c r="K370" s="109"/>
      <c r="M370" s="37"/>
      <c r="V370" s="128"/>
      <c r="W370" s="128"/>
      <c r="X370" s="128"/>
      <c r="Y370" s="139"/>
      <c r="AA370" s="73"/>
      <c r="AC370" s="79"/>
    </row>
    <row r="371" spans="9:29" x14ac:dyDescent="0.35">
      <c r="I371" s="109"/>
      <c r="J371" s="109"/>
      <c r="K371" s="109"/>
      <c r="M371" s="34"/>
      <c r="V371" s="128"/>
      <c r="W371" s="128"/>
      <c r="X371" s="128"/>
      <c r="Y371" s="139"/>
      <c r="AA371" s="73"/>
      <c r="AC371" s="77"/>
    </row>
    <row r="372" spans="9:29" x14ac:dyDescent="0.35">
      <c r="I372" s="109"/>
      <c r="J372" s="109"/>
      <c r="K372" s="109"/>
      <c r="M372" s="37"/>
      <c r="V372" s="128"/>
      <c r="W372" s="128"/>
      <c r="X372" s="128"/>
      <c r="Y372" s="139"/>
      <c r="AA372" s="73"/>
      <c r="AC372" s="79"/>
    </row>
    <row r="373" spans="9:29" x14ac:dyDescent="0.35">
      <c r="I373" s="109"/>
      <c r="J373" s="109"/>
      <c r="K373" s="109"/>
      <c r="M373" s="37"/>
      <c r="V373" s="128"/>
      <c r="W373" s="128"/>
      <c r="X373" s="128"/>
      <c r="Y373" s="139"/>
      <c r="AA373" s="73"/>
      <c r="AC373" s="79"/>
    </row>
    <row r="374" spans="9:29" x14ac:dyDescent="0.35">
      <c r="I374" s="109"/>
      <c r="J374" s="109"/>
      <c r="K374" s="109"/>
      <c r="M374" s="34"/>
      <c r="V374" s="128"/>
      <c r="W374" s="128"/>
      <c r="X374" s="128"/>
      <c r="Y374" s="139"/>
      <c r="AA374" s="73"/>
      <c r="AC374" s="77"/>
    </row>
    <row r="375" spans="9:29" x14ac:dyDescent="0.35">
      <c r="I375" s="109"/>
      <c r="J375" s="109"/>
      <c r="K375" s="109"/>
      <c r="M375" s="37"/>
      <c r="V375" s="128"/>
      <c r="W375" s="128"/>
      <c r="X375" s="128"/>
      <c r="Y375" s="139"/>
      <c r="AA375" s="73"/>
      <c r="AC375" s="79"/>
    </row>
    <row r="376" spans="9:29" x14ac:dyDescent="0.35">
      <c r="I376" s="109"/>
      <c r="J376" s="109"/>
      <c r="K376" s="109"/>
      <c r="M376" s="33"/>
      <c r="V376" s="128"/>
      <c r="W376" s="128"/>
      <c r="X376" s="128"/>
      <c r="Y376" s="139"/>
      <c r="AA376" s="73"/>
      <c r="AC376" s="74"/>
    </row>
    <row r="377" spans="9:29" x14ac:dyDescent="0.35">
      <c r="I377" s="109"/>
      <c r="J377" s="109"/>
      <c r="K377" s="109"/>
      <c r="M377" s="37"/>
      <c r="V377" s="128"/>
      <c r="W377" s="128"/>
      <c r="X377" s="128"/>
      <c r="Y377" s="139"/>
      <c r="AA377" s="73"/>
      <c r="AC377" s="79"/>
    </row>
    <row r="378" spans="9:29" x14ac:dyDescent="0.35">
      <c r="I378" s="109"/>
      <c r="J378" s="109"/>
      <c r="K378" s="109"/>
      <c r="M378" s="34"/>
      <c r="V378" s="128"/>
      <c r="W378" s="128"/>
      <c r="X378" s="128"/>
      <c r="Y378" s="139"/>
      <c r="AA378" s="73"/>
      <c r="AC378" s="77"/>
    </row>
    <row r="379" spans="9:29" x14ac:dyDescent="0.35">
      <c r="I379" s="109"/>
      <c r="J379" s="109"/>
      <c r="K379" s="109"/>
      <c r="M379" s="34"/>
      <c r="V379" s="128"/>
      <c r="W379" s="128"/>
      <c r="X379" s="128"/>
      <c r="Y379" s="139"/>
      <c r="AA379" s="73"/>
      <c r="AC379" s="77"/>
    </row>
    <row r="380" spans="9:29" x14ac:dyDescent="0.35">
      <c r="I380" s="109"/>
      <c r="J380" s="109"/>
      <c r="K380" s="109"/>
      <c r="M380" s="37"/>
      <c r="V380" s="128"/>
      <c r="W380" s="128"/>
      <c r="X380" s="128"/>
      <c r="Y380" s="139"/>
      <c r="AA380" s="73"/>
      <c r="AC380" s="79"/>
    </row>
    <row r="381" spans="9:29" x14ac:dyDescent="0.35">
      <c r="I381" s="109"/>
      <c r="J381" s="109"/>
      <c r="K381" s="109"/>
      <c r="M381" s="33"/>
      <c r="V381" s="128"/>
      <c r="W381" s="128"/>
      <c r="X381" s="128"/>
      <c r="Y381" s="139"/>
      <c r="AA381" s="73"/>
      <c r="AC381" s="74"/>
    </row>
    <row r="382" spans="9:29" x14ac:dyDescent="0.35">
      <c r="I382" s="109"/>
      <c r="J382" s="109"/>
      <c r="K382" s="109"/>
      <c r="M382" s="34"/>
      <c r="V382" s="128"/>
      <c r="W382" s="128"/>
      <c r="X382" s="128"/>
      <c r="Y382" s="139"/>
      <c r="AA382" s="73"/>
      <c r="AC382" s="77"/>
    </row>
    <row r="383" spans="9:29" x14ac:dyDescent="0.35">
      <c r="I383" s="109"/>
      <c r="J383" s="109"/>
      <c r="K383" s="109"/>
      <c r="M383" s="37"/>
      <c r="V383" s="128"/>
      <c r="W383" s="128"/>
      <c r="X383" s="128"/>
      <c r="Y383" s="139"/>
      <c r="AA383" s="73"/>
      <c r="AC383" s="79"/>
    </row>
    <row r="384" spans="9:29" x14ac:dyDescent="0.35">
      <c r="I384" s="109"/>
      <c r="J384" s="109"/>
      <c r="K384" s="109"/>
      <c r="M384" s="34"/>
      <c r="V384" s="128"/>
      <c r="W384" s="128"/>
      <c r="X384" s="128"/>
      <c r="Y384" s="139"/>
      <c r="AA384" s="73"/>
      <c r="AC384" s="77"/>
    </row>
    <row r="385" spans="9:33" x14ac:dyDescent="0.35">
      <c r="I385" s="109"/>
      <c r="J385" s="109"/>
      <c r="K385" s="109"/>
      <c r="M385" s="37"/>
      <c r="V385" s="128"/>
      <c r="W385" s="128"/>
      <c r="X385" s="128"/>
      <c r="Y385" s="139"/>
      <c r="AA385" s="73"/>
      <c r="AC385" s="79"/>
    </row>
    <row r="386" spans="9:33" x14ac:dyDescent="0.35">
      <c r="I386" s="109"/>
      <c r="J386" s="109"/>
      <c r="K386" s="109"/>
      <c r="M386" s="37"/>
      <c r="V386" s="128"/>
      <c r="W386" s="128"/>
      <c r="X386" s="128"/>
      <c r="Y386" s="139"/>
      <c r="AA386" s="73"/>
      <c r="AC386" s="79"/>
    </row>
    <row r="387" spans="9:33" x14ac:dyDescent="0.35">
      <c r="I387" s="109"/>
      <c r="J387" s="109"/>
      <c r="K387" s="109"/>
      <c r="M387" s="33"/>
      <c r="V387" s="128"/>
      <c r="W387" s="128"/>
      <c r="X387" s="128"/>
      <c r="Y387" s="139"/>
      <c r="AA387" s="73"/>
      <c r="AC387" s="74"/>
    </row>
    <row r="388" spans="9:33" x14ac:dyDescent="0.35">
      <c r="I388" s="109"/>
      <c r="J388" s="109"/>
      <c r="K388" s="109"/>
      <c r="M388" s="34"/>
      <c r="V388" s="128"/>
      <c r="W388" s="128"/>
      <c r="X388" s="128"/>
      <c r="Y388" s="139"/>
      <c r="AA388" s="73"/>
      <c r="AC388" s="77"/>
    </row>
    <row r="389" spans="9:33" x14ac:dyDescent="0.35">
      <c r="I389" s="109"/>
      <c r="J389" s="109"/>
      <c r="K389" s="109"/>
      <c r="M389" s="37"/>
      <c r="V389" s="128"/>
      <c r="W389" s="128"/>
      <c r="X389" s="128"/>
      <c r="Y389" s="139"/>
      <c r="AA389" s="73"/>
      <c r="AC389" s="79"/>
    </row>
    <row r="390" spans="9:33" x14ac:dyDescent="0.35">
      <c r="I390" s="109"/>
      <c r="J390" s="109"/>
      <c r="K390" s="109"/>
      <c r="M390" s="37"/>
      <c r="V390" s="128"/>
      <c r="W390" s="128"/>
      <c r="X390" s="128"/>
      <c r="Y390" s="139"/>
      <c r="AA390" s="73"/>
      <c r="AC390" s="79"/>
    </row>
    <row r="391" spans="9:33" x14ac:dyDescent="0.35">
      <c r="I391" s="109"/>
      <c r="J391" s="109"/>
      <c r="K391" s="109"/>
      <c r="M391" s="34"/>
      <c r="V391" s="128"/>
      <c r="W391" s="128"/>
      <c r="X391" s="128"/>
      <c r="Y391" s="139"/>
      <c r="AA391" s="73"/>
      <c r="AC391" s="77"/>
    </row>
    <row r="392" spans="9:33" x14ac:dyDescent="0.35">
      <c r="I392" s="109"/>
      <c r="J392" s="109"/>
      <c r="K392" s="109"/>
      <c r="M392" s="37"/>
      <c r="V392" s="128"/>
      <c r="W392" s="128"/>
      <c r="X392" s="128"/>
      <c r="Y392" s="139"/>
      <c r="AA392" s="73"/>
      <c r="AC392" s="79"/>
    </row>
    <row r="393" spans="9:33" x14ac:dyDescent="0.35">
      <c r="I393" s="109"/>
      <c r="J393" s="109"/>
      <c r="K393" s="109"/>
      <c r="M393" s="37"/>
      <c r="V393" s="128"/>
      <c r="W393" s="128"/>
      <c r="X393" s="128"/>
      <c r="Y393" s="139"/>
      <c r="AA393" s="73"/>
      <c r="AC393" s="79"/>
    </row>
    <row r="394" spans="9:33" x14ac:dyDescent="0.35">
      <c r="I394" s="109"/>
      <c r="J394" s="109"/>
      <c r="K394" s="109"/>
      <c r="M394" s="34"/>
      <c r="V394" s="128"/>
      <c r="W394" s="128"/>
      <c r="X394" s="128"/>
      <c r="Y394" s="139"/>
      <c r="AA394" s="73"/>
      <c r="AC394" s="77"/>
    </row>
    <row r="395" spans="9:33" x14ac:dyDescent="0.35">
      <c r="I395" s="109"/>
      <c r="J395" s="109"/>
      <c r="K395" s="109"/>
      <c r="M395" s="33"/>
      <c r="V395" s="128"/>
      <c r="W395" s="128"/>
      <c r="X395" s="128"/>
      <c r="Y395" s="139"/>
      <c r="AA395" s="73"/>
      <c r="AC395" s="74"/>
    </row>
    <row r="396" spans="9:33" x14ac:dyDescent="0.35">
      <c r="I396" s="109"/>
      <c r="J396" s="109"/>
      <c r="K396" s="109"/>
      <c r="M396" s="37"/>
      <c r="V396" s="128"/>
      <c r="W396" s="128"/>
      <c r="X396" s="128"/>
      <c r="Y396" s="139"/>
      <c r="AA396" s="73"/>
      <c r="AC396" s="79"/>
    </row>
    <row r="397" spans="9:33" x14ac:dyDescent="0.35">
      <c r="I397" s="109"/>
      <c r="J397" s="109"/>
      <c r="K397" s="109"/>
      <c r="M397" s="37"/>
      <c r="V397" s="128"/>
      <c r="W397" s="128"/>
      <c r="X397" s="128"/>
      <c r="Y397" s="139"/>
      <c r="AA397" s="73"/>
      <c r="AC397" s="79"/>
    </row>
    <row r="398" spans="9:33" x14ac:dyDescent="0.35">
      <c r="I398" s="109"/>
      <c r="J398" s="109"/>
      <c r="K398" s="109"/>
      <c r="M398" s="34"/>
      <c r="V398" s="128"/>
      <c r="W398" s="128"/>
      <c r="X398" s="128"/>
      <c r="Y398" s="139"/>
      <c r="AA398" s="73"/>
      <c r="AC398" s="77"/>
      <c r="AG398" s="76"/>
    </row>
    <row r="399" spans="9:33" x14ac:dyDescent="0.35">
      <c r="I399" s="109"/>
      <c r="J399" s="109"/>
      <c r="K399" s="109"/>
      <c r="M399" s="37"/>
      <c r="V399" s="128"/>
      <c r="W399" s="128"/>
      <c r="X399" s="128"/>
      <c r="Y399" s="139"/>
      <c r="AA399" s="73"/>
      <c r="AC399" s="79"/>
      <c r="AG399" s="76"/>
    </row>
    <row r="400" spans="9:33" x14ac:dyDescent="0.35">
      <c r="I400" s="109"/>
      <c r="J400" s="109"/>
      <c r="K400" s="109"/>
      <c r="M400" s="37"/>
      <c r="V400" s="128"/>
      <c r="W400" s="128"/>
      <c r="X400" s="128"/>
      <c r="Y400" s="139"/>
      <c r="AA400" s="73"/>
      <c r="AC400" s="79"/>
      <c r="AG400" s="76"/>
    </row>
    <row r="401" spans="9:33" x14ac:dyDescent="0.35">
      <c r="I401" s="109"/>
      <c r="J401" s="109"/>
      <c r="K401" s="109"/>
      <c r="M401" s="34"/>
      <c r="V401" s="128"/>
      <c r="W401" s="128"/>
      <c r="X401" s="128"/>
      <c r="Y401" s="139"/>
      <c r="AA401" s="73"/>
      <c r="AC401" s="77"/>
      <c r="AG401" s="76"/>
    </row>
    <row r="402" spans="9:33" x14ac:dyDescent="0.35">
      <c r="I402" s="109"/>
      <c r="J402" s="109"/>
      <c r="K402" s="109"/>
      <c r="M402" s="33"/>
      <c r="V402" s="128"/>
      <c r="W402" s="128"/>
      <c r="X402" s="128"/>
      <c r="Y402" s="139"/>
      <c r="AA402" s="73"/>
      <c r="AC402" s="74"/>
      <c r="AG402" s="76"/>
    </row>
    <row r="403" spans="9:33" x14ac:dyDescent="0.35">
      <c r="I403" s="109"/>
      <c r="J403" s="109"/>
      <c r="K403" s="109"/>
      <c r="M403" s="37"/>
      <c r="V403" s="128"/>
      <c r="W403" s="128"/>
      <c r="X403" s="128"/>
      <c r="Y403" s="139"/>
      <c r="AA403" s="73"/>
      <c r="AC403" s="79"/>
      <c r="AG403" s="76"/>
    </row>
    <row r="404" spans="9:33" x14ac:dyDescent="0.35">
      <c r="I404" s="109"/>
      <c r="J404" s="109"/>
      <c r="K404" s="109"/>
      <c r="M404" s="37"/>
      <c r="V404" s="128"/>
      <c r="W404" s="128"/>
      <c r="X404" s="128"/>
      <c r="Y404" s="139"/>
      <c r="AA404" s="73"/>
      <c r="AC404" s="79"/>
      <c r="AG404" s="76"/>
    </row>
    <row r="405" spans="9:33" x14ac:dyDescent="0.35">
      <c r="I405" s="109"/>
      <c r="J405" s="109"/>
      <c r="K405" s="109"/>
      <c r="M405" s="34"/>
      <c r="V405" s="128"/>
      <c r="W405" s="128"/>
      <c r="X405" s="128"/>
      <c r="Y405" s="139"/>
      <c r="AA405" s="73"/>
      <c r="AC405" s="77"/>
      <c r="AG405" s="76"/>
    </row>
    <row r="406" spans="9:33" x14ac:dyDescent="0.35">
      <c r="I406" s="109"/>
      <c r="J406" s="109"/>
      <c r="K406" s="109"/>
      <c r="M406" s="37"/>
      <c r="V406" s="128"/>
      <c r="W406" s="128"/>
      <c r="X406" s="128"/>
      <c r="Y406" s="139"/>
      <c r="AA406" s="73"/>
      <c r="AC406" s="79"/>
      <c r="AG406" s="76"/>
    </row>
    <row r="407" spans="9:33" x14ac:dyDescent="0.35">
      <c r="I407" s="109"/>
      <c r="J407" s="109"/>
      <c r="K407" s="109"/>
      <c r="M407" s="34"/>
      <c r="V407" s="128"/>
      <c r="W407" s="128"/>
      <c r="X407" s="128"/>
      <c r="Y407" s="139"/>
      <c r="AA407" s="73"/>
      <c r="AC407" s="77"/>
      <c r="AG407" s="76"/>
    </row>
    <row r="408" spans="9:33" x14ac:dyDescent="0.35">
      <c r="I408" s="109"/>
      <c r="J408" s="109"/>
      <c r="K408" s="109"/>
      <c r="M408" s="37"/>
      <c r="V408" s="128"/>
      <c r="W408" s="128"/>
      <c r="X408" s="128"/>
      <c r="Y408" s="139"/>
      <c r="AA408" s="73"/>
      <c r="AC408" s="79"/>
      <c r="AG408" s="76"/>
    </row>
    <row r="409" spans="9:33" x14ac:dyDescent="0.35">
      <c r="I409" s="109"/>
      <c r="J409" s="109"/>
      <c r="K409" s="109"/>
      <c r="M409" s="33"/>
      <c r="V409" s="128"/>
      <c r="W409" s="128"/>
      <c r="X409" s="128"/>
      <c r="Y409" s="139"/>
      <c r="AA409" s="73"/>
      <c r="AC409" s="74"/>
      <c r="AG409" s="76"/>
    </row>
    <row r="410" spans="9:33" x14ac:dyDescent="0.35">
      <c r="I410" s="109"/>
      <c r="J410" s="109"/>
      <c r="K410" s="109"/>
      <c r="M410" s="37"/>
      <c r="V410" s="128"/>
      <c r="W410" s="128"/>
      <c r="X410" s="128"/>
      <c r="Y410" s="139"/>
      <c r="AA410" s="73"/>
      <c r="AC410" s="79"/>
      <c r="AG410" s="76"/>
    </row>
    <row r="411" spans="9:33" x14ac:dyDescent="0.35">
      <c r="I411" s="109"/>
      <c r="J411" s="109"/>
      <c r="K411" s="109"/>
      <c r="M411" s="34"/>
      <c r="V411" s="128"/>
      <c r="W411" s="128"/>
      <c r="X411" s="128"/>
      <c r="Y411" s="139"/>
      <c r="AA411" s="73"/>
      <c r="AC411" s="77"/>
      <c r="AG411" s="76"/>
    </row>
    <row r="412" spans="9:33" x14ac:dyDescent="0.35">
      <c r="I412" s="109"/>
      <c r="J412" s="109"/>
      <c r="K412" s="109"/>
      <c r="M412" s="37"/>
      <c r="V412" s="128"/>
      <c r="W412" s="128"/>
      <c r="X412" s="128"/>
      <c r="Y412" s="139"/>
      <c r="AA412" s="73"/>
      <c r="AC412" s="79"/>
      <c r="AG412" s="76"/>
    </row>
    <row r="413" spans="9:33" x14ac:dyDescent="0.35">
      <c r="I413" s="109"/>
      <c r="J413" s="109"/>
      <c r="K413" s="109"/>
      <c r="M413" s="37"/>
      <c r="V413" s="128"/>
      <c r="W413" s="128"/>
      <c r="X413" s="128"/>
      <c r="Y413" s="139"/>
      <c r="AA413" s="73"/>
      <c r="AC413" s="79"/>
      <c r="AG413" s="76"/>
    </row>
    <row r="414" spans="9:33" x14ac:dyDescent="0.35">
      <c r="I414" s="109"/>
      <c r="J414" s="109"/>
      <c r="K414" s="109"/>
      <c r="M414" s="34"/>
      <c r="V414" s="128"/>
      <c r="W414" s="128"/>
      <c r="X414" s="128"/>
      <c r="Y414" s="139"/>
      <c r="AA414" s="73"/>
      <c r="AC414" s="77"/>
      <c r="AG414" s="76"/>
    </row>
    <row r="415" spans="9:33" x14ac:dyDescent="0.35">
      <c r="I415" s="109"/>
      <c r="J415" s="109"/>
      <c r="K415" s="109"/>
      <c r="M415" s="37"/>
      <c r="V415" s="128"/>
      <c r="W415" s="128"/>
      <c r="X415" s="128"/>
      <c r="Y415" s="139"/>
      <c r="AA415" s="73"/>
      <c r="AC415" s="79"/>
      <c r="AG415" s="76"/>
    </row>
    <row r="416" spans="9:33" x14ac:dyDescent="0.35">
      <c r="I416" s="109"/>
      <c r="J416" s="109"/>
      <c r="K416" s="109"/>
      <c r="M416" s="33"/>
      <c r="V416" s="128"/>
      <c r="W416" s="128"/>
      <c r="X416" s="128"/>
      <c r="Y416" s="139"/>
      <c r="AA416" s="73"/>
      <c r="AC416" s="74"/>
      <c r="AG416" s="76"/>
    </row>
    <row r="417" spans="9:34" x14ac:dyDescent="0.35">
      <c r="I417" s="109"/>
      <c r="J417" s="109"/>
      <c r="K417" s="109"/>
      <c r="M417" s="34"/>
      <c r="T417" s="76"/>
      <c r="V417" s="128"/>
      <c r="W417" s="128"/>
      <c r="X417" s="128"/>
      <c r="Y417" s="139"/>
      <c r="AA417" s="73"/>
      <c r="AC417" s="77"/>
      <c r="AG417" s="76"/>
      <c r="AH417" s="76"/>
    </row>
    <row r="418" spans="9:34" x14ac:dyDescent="0.35">
      <c r="I418" s="109"/>
      <c r="J418" s="109"/>
      <c r="K418" s="109"/>
      <c r="M418" s="37"/>
      <c r="T418" s="76"/>
      <c r="V418" s="128"/>
      <c r="W418" s="128"/>
      <c r="X418" s="128"/>
      <c r="Y418" s="139"/>
      <c r="AA418" s="73"/>
      <c r="AC418" s="79"/>
      <c r="AG418" s="76"/>
      <c r="AH418" s="76"/>
    </row>
    <row r="419" spans="9:34" x14ac:dyDescent="0.35">
      <c r="I419" s="109"/>
      <c r="J419" s="109"/>
      <c r="K419" s="109"/>
      <c r="M419" s="37"/>
      <c r="T419" s="76"/>
      <c r="V419" s="128"/>
      <c r="W419" s="128"/>
      <c r="X419" s="128"/>
      <c r="Y419" s="139"/>
      <c r="AA419" s="73"/>
      <c r="AC419" s="79"/>
      <c r="AG419" s="76"/>
      <c r="AH419" s="76"/>
    </row>
    <row r="420" spans="9:34" x14ac:dyDescent="0.35">
      <c r="I420" s="109"/>
      <c r="J420" s="109"/>
      <c r="K420" s="109"/>
      <c r="M420" s="34"/>
      <c r="T420" s="76"/>
      <c r="V420" s="128"/>
      <c r="W420" s="128"/>
      <c r="X420" s="128"/>
      <c r="Y420" s="139"/>
      <c r="AA420" s="73"/>
      <c r="AC420" s="77"/>
      <c r="AG420" s="76"/>
      <c r="AH420" s="76"/>
    </row>
    <row r="421" spans="9:34" x14ac:dyDescent="0.35">
      <c r="I421" s="109"/>
      <c r="J421" s="109"/>
      <c r="K421" s="109"/>
      <c r="M421" s="37"/>
      <c r="T421" s="76"/>
      <c r="V421" s="128"/>
      <c r="W421" s="128"/>
      <c r="X421" s="128"/>
      <c r="Y421" s="139"/>
      <c r="AA421" s="73"/>
      <c r="AC421" s="79"/>
      <c r="AG421" s="76"/>
      <c r="AH421" s="76"/>
    </row>
    <row r="422" spans="9:34" x14ac:dyDescent="0.35">
      <c r="I422" s="109"/>
      <c r="J422" s="109"/>
      <c r="K422" s="109"/>
      <c r="M422" s="33"/>
      <c r="T422" s="76"/>
      <c r="V422" s="128"/>
      <c r="W422" s="128"/>
      <c r="X422" s="128"/>
      <c r="Y422" s="139"/>
      <c r="AA422" s="73"/>
      <c r="AC422" s="74"/>
      <c r="AG422" s="76"/>
      <c r="AH422" s="76"/>
    </row>
    <row r="423" spans="9:34" x14ac:dyDescent="0.35">
      <c r="I423" s="109"/>
      <c r="J423" s="109"/>
      <c r="K423" s="109"/>
      <c r="M423" s="37"/>
      <c r="T423" s="76"/>
      <c r="V423" s="128"/>
      <c r="W423" s="128"/>
      <c r="X423" s="128"/>
      <c r="Y423" s="139"/>
      <c r="AA423" s="73"/>
      <c r="AC423" s="79"/>
      <c r="AG423" s="76"/>
      <c r="AH423" s="76"/>
    </row>
    <row r="424" spans="9:34" x14ac:dyDescent="0.35">
      <c r="I424" s="109"/>
      <c r="J424" s="109"/>
      <c r="K424" s="109"/>
      <c r="M424" s="34"/>
      <c r="T424" s="76"/>
      <c r="V424" s="128"/>
      <c r="W424" s="128"/>
      <c r="X424" s="128"/>
      <c r="Y424" s="139"/>
      <c r="AA424" s="73"/>
      <c r="AC424" s="77"/>
      <c r="AG424" s="76"/>
      <c r="AH424" s="76"/>
    </row>
    <row r="425" spans="9:34" x14ac:dyDescent="0.35">
      <c r="I425" s="109"/>
      <c r="J425" s="109"/>
      <c r="K425" s="109"/>
      <c r="M425" s="37"/>
      <c r="T425" s="76"/>
      <c r="V425" s="128"/>
      <c r="W425" s="128"/>
      <c r="X425" s="128"/>
      <c r="Y425" s="139"/>
      <c r="AA425" s="73"/>
      <c r="AC425" s="79"/>
      <c r="AG425" s="76"/>
      <c r="AH425" s="76"/>
    </row>
    <row r="426" spans="9:34" x14ac:dyDescent="0.35">
      <c r="I426" s="109"/>
      <c r="J426" s="109"/>
      <c r="K426" s="109"/>
      <c r="M426" s="37"/>
      <c r="T426" s="76"/>
      <c r="V426" s="128"/>
      <c r="W426" s="128"/>
      <c r="X426" s="128"/>
      <c r="Y426" s="139"/>
      <c r="AA426" s="73"/>
      <c r="AC426" s="79"/>
      <c r="AG426" s="76"/>
      <c r="AH426" s="76"/>
    </row>
    <row r="427" spans="9:34" x14ac:dyDescent="0.35">
      <c r="I427" s="109"/>
      <c r="J427" s="109"/>
      <c r="K427" s="109"/>
      <c r="M427" s="34"/>
      <c r="T427" s="76"/>
      <c r="V427" s="128"/>
      <c r="W427" s="128"/>
      <c r="X427" s="128"/>
      <c r="Y427" s="139"/>
      <c r="AA427" s="73"/>
      <c r="AC427" s="77"/>
      <c r="AG427" s="76"/>
      <c r="AH427" s="76"/>
    </row>
    <row r="428" spans="9:34" x14ac:dyDescent="0.35">
      <c r="I428" s="109"/>
      <c r="J428" s="109"/>
      <c r="K428" s="109"/>
      <c r="M428" s="37"/>
      <c r="T428" s="76"/>
      <c r="V428" s="128"/>
      <c r="W428" s="128"/>
      <c r="X428" s="128"/>
      <c r="Y428" s="139"/>
      <c r="AA428" s="73"/>
      <c r="AC428" s="79"/>
      <c r="AG428" s="76"/>
      <c r="AH428" s="76"/>
    </row>
    <row r="429" spans="9:34" x14ac:dyDescent="0.35">
      <c r="I429" s="109"/>
      <c r="J429" s="109"/>
      <c r="K429" s="109"/>
      <c r="M429" s="33"/>
      <c r="T429" s="76"/>
      <c r="V429" s="128"/>
      <c r="W429" s="128"/>
      <c r="X429" s="128"/>
      <c r="Y429" s="139"/>
      <c r="AA429" s="73"/>
      <c r="AC429" s="74"/>
      <c r="AG429" s="76"/>
      <c r="AH429" s="76"/>
    </row>
    <row r="430" spans="9:34" x14ac:dyDescent="0.35">
      <c r="I430" s="109"/>
      <c r="J430" s="109"/>
      <c r="K430" s="109"/>
      <c r="M430" s="34"/>
      <c r="T430" s="76"/>
      <c r="V430" s="128"/>
      <c r="W430" s="128"/>
      <c r="X430" s="128"/>
      <c r="Y430" s="139"/>
      <c r="AA430" s="73"/>
      <c r="AC430" s="77"/>
      <c r="AG430" s="76"/>
      <c r="AH430" s="76"/>
    </row>
    <row r="431" spans="9:34" x14ac:dyDescent="0.35">
      <c r="I431" s="109"/>
      <c r="J431" s="109"/>
      <c r="K431" s="109"/>
      <c r="M431" s="37"/>
      <c r="T431" s="76"/>
      <c r="V431" s="128"/>
      <c r="W431" s="128"/>
      <c r="X431" s="128"/>
      <c r="Y431" s="139"/>
      <c r="AA431" s="73"/>
      <c r="AC431" s="79"/>
      <c r="AG431" s="76"/>
      <c r="AH431" s="76"/>
    </row>
    <row r="432" spans="9:34" x14ac:dyDescent="0.35">
      <c r="I432" s="109"/>
      <c r="J432" s="109"/>
      <c r="K432" s="109"/>
      <c r="M432" s="34"/>
      <c r="T432" s="76"/>
      <c r="V432" s="128"/>
      <c r="W432" s="128"/>
      <c r="X432" s="128"/>
      <c r="Y432" s="139"/>
      <c r="AA432" s="73"/>
      <c r="AC432" s="77"/>
      <c r="AG432" s="76"/>
      <c r="AH432" s="76"/>
    </row>
    <row r="433" spans="9:34" x14ac:dyDescent="0.35">
      <c r="I433" s="109"/>
      <c r="J433" s="109"/>
      <c r="K433" s="109"/>
      <c r="M433" s="37"/>
      <c r="T433" s="76"/>
      <c r="V433" s="128"/>
      <c r="W433" s="128"/>
      <c r="X433" s="128"/>
      <c r="Y433" s="139"/>
      <c r="AA433" s="73"/>
      <c r="AC433" s="79"/>
      <c r="AG433" s="76"/>
      <c r="AH433" s="76"/>
    </row>
    <row r="434" spans="9:34" x14ac:dyDescent="0.35">
      <c r="I434" s="109"/>
      <c r="J434" s="109"/>
      <c r="K434" s="109"/>
      <c r="M434" s="37"/>
      <c r="T434" s="76"/>
      <c r="V434" s="128"/>
      <c r="W434" s="128"/>
      <c r="X434" s="128"/>
      <c r="Y434" s="139"/>
      <c r="AA434" s="73"/>
      <c r="AC434" s="79"/>
      <c r="AG434" s="76"/>
      <c r="AH434" s="76"/>
    </row>
    <row r="435" spans="9:34" x14ac:dyDescent="0.35">
      <c r="I435" s="109"/>
      <c r="J435" s="109"/>
      <c r="K435" s="109"/>
      <c r="M435" s="33"/>
      <c r="T435" s="76"/>
      <c r="V435" s="128"/>
      <c r="W435" s="128"/>
      <c r="X435" s="128"/>
      <c r="Y435" s="139"/>
      <c r="AA435" s="73"/>
      <c r="AC435" s="74"/>
      <c r="AG435" s="76"/>
      <c r="AH435" s="76"/>
    </row>
    <row r="436" spans="9:34" x14ac:dyDescent="0.35">
      <c r="I436" s="109"/>
      <c r="J436" s="109"/>
      <c r="K436" s="109"/>
      <c r="M436" s="34"/>
      <c r="T436" s="76"/>
      <c r="V436" s="128"/>
      <c r="W436" s="128"/>
      <c r="X436" s="128"/>
      <c r="Y436" s="139"/>
      <c r="AA436" s="73"/>
      <c r="AC436" s="77"/>
      <c r="AG436" s="76"/>
      <c r="AH436" s="76"/>
    </row>
    <row r="437" spans="9:34" x14ac:dyDescent="0.35">
      <c r="I437" s="109"/>
      <c r="J437" s="109"/>
      <c r="K437" s="109"/>
      <c r="M437" s="37"/>
      <c r="T437" s="76"/>
      <c r="V437" s="128"/>
      <c r="W437" s="128"/>
      <c r="X437" s="128"/>
      <c r="Y437" s="139"/>
      <c r="AA437" s="73"/>
      <c r="AC437" s="79"/>
      <c r="AG437" s="76"/>
      <c r="AH437" s="76"/>
    </row>
    <row r="438" spans="9:34" x14ac:dyDescent="0.35">
      <c r="I438" s="109"/>
      <c r="J438" s="109"/>
      <c r="K438" s="109"/>
      <c r="M438" s="37"/>
      <c r="T438" s="76"/>
      <c r="V438" s="128"/>
      <c r="W438" s="128"/>
      <c r="X438" s="128"/>
      <c r="Y438" s="139"/>
      <c r="AA438" s="73"/>
      <c r="AC438" s="79"/>
      <c r="AG438" s="76"/>
      <c r="AH438" s="76"/>
    </row>
    <row r="439" spans="9:34" x14ac:dyDescent="0.35">
      <c r="I439" s="109"/>
      <c r="J439" s="109"/>
      <c r="K439" s="109"/>
      <c r="M439" s="34"/>
      <c r="T439" s="76"/>
      <c r="V439" s="128"/>
      <c r="W439" s="128"/>
      <c r="X439" s="128"/>
      <c r="Y439" s="139"/>
      <c r="AA439" s="73"/>
      <c r="AC439" s="77"/>
      <c r="AG439" s="76"/>
      <c r="AH439" s="76"/>
    </row>
    <row r="440" spans="9:34" x14ac:dyDescent="0.35">
      <c r="I440" s="109"/>
      <c r="J440" s="109"/>
      <c r="K440" s="109"/>
      <c r="M440" s="37"/>
      <c r="T440" s="76"/>
      <c r="V440" s="128"/>
      <c r="W440" s="128"/>
      <c r="X440" s="128"/>
      <c r="Y440" s="139"/>
      <c r="AA440" s="73"/>
      <c r="AC440" s="79"/>
      <c r="AG440" s="76"/>
      <c r="AH440" s="76"/>
    </row>
    <row r="441" spans="9:34" x14ac:dyDescent="0.35">
      <c r="I441" s="109"/>
      <c r="J441" s="109"/>
      <c r="K441" s="109"/>
      <c r="M441" s="37"/>
      <c r="T441" s="76"/>
      <c r="V441" s="128"/>
      <c r="W441" s="128"/>
      <c r="X441" s="128"/>
      <c r="Y441" s="139"/>
      <c r="AA441" s="73"/>
      <c r="AC441" s="79"/>
      <c r="AG441" s="76"/>
      <c r="AH441" s="76"/>
    </row>
    <row r="442" spans="9:34" x14ac:dyDescent="0.35">
      <c r="I442" s="109"/>
      <c r="J442" s="109"/>
      <c r="K442" s="109"/>
      <c r="M442" s="34"/>
      <c r="T442" s="76"/>
      <c r="V442" s="128"/>
      <c r="W442" s="128"/>
      <c r="X442" s="128"/>
      <c r="Y442" s="139"/>
      <c r="AA442" s="73"/>
      <c r="AC442" s="77"/>
      <c r="AG442" s="76"/>
      <c r="AH442" s="76"/>
    </row>
    <row r="443" spans="9:34" x14ac:dyDescent="0.35">
      <c r="I443" s="109"/>
      <c r="J443" s="109"/>
      <c r="K443" s="109"/>
      <c r="M443" s="33"/>
      <c r="T443" s="76"/>
      <c r="V443" s="128"/>
      <c r="W443" s="128"/>
      <c r="X443" s="128"/>
      <c r="Y443" s="139"/>
      <c r="AA443" s="73"/>
      <c r="AC443" s="74"/>
      <c r="AG443" s="76"/>
      <c r="AH443" s="76"/>
    </row>
    <row r="444" spans="9:34" x14ac:dyDescent="0.35">
      <c r="I444" s="109"/>
      <c r="J444" s="109"/>
      <c r="K444" s="109"/>
      <c r="M444" s="37"/>
      <c r="T444" s="76"/>
      <c r="V444" s="128"/>
      <c r="W444" s="128"/>
      <c r="X444" s="128"/>
      <c r="Y444" s="139"/>
      <c r="AA444" s="73"/>
      <c r="AC444" s="79"/>
      <c r="AG444" s="76"/>
      <c r="AH444" s="76"/>
    </row>
    <row r="445" spans="9:34" x14ac:dyDescent="0.35">
      <c r="I445" s="109"/>
      <c r="J445" s="109"/>
      <c r="K445" s="109"/>
      <c r="M445" s="37"/>
      <c r="T445" s="76"/>
      <c r="V445" s="128"/>
      <c r="W445" s="128"/>
      <c r="X445" s="128"/>
      <c r="Y445" s="139"/>
      <c r="AA445" s="73"/>
      <c r="AC445" s="79"/>
      <c r="AG445" s="76"/>
      <c r="AH445" s="76"/>
    </row>
    <row r="446" spans="9:34" x14ac:dyDescent="0.35">
      <c r="I446" s="109"/>
      <c r="J446" s="109"/>
      <c r="K446" s="109"/>
      <c r="M446" s="34"/>
      <c r="T446" s="76"/>
      <c r="V446" s="128"/>
      <c r="W446" s="128"/>
      <c r="X446" s="128"/>
      <c r="Y446" s="139"/>
      <c r="AA446" s="73"/>
      <c r="AC446" s="77"/>
      <c r="AG446" s="76"/>
      <c r="AH446" s="76"/>
    </row>
    <row r="447" spans="9:34" x14ac:dyDescent="0.35">
      <c r="I447" s="109"/>
      <c r="J447" s="109"/>
      <c r="K447" s="109"/>
      <c r="M447" s="37"/>
      <c r="T447" s="76"/>
      <c r="V447" s="128"/>
      <c r="W447" s="128"/>
      <c r="X447" s="128"/>
      <c r="Y447" s="139"/>
      <c r="AA447" s="73"/>
      <c r="AC447" s="79"/>
      <c r="AG447" s="76"/>
      <c r="AH447" s="76"/>
    </row>
    <row r="448" spans="9:34" x14ac:dyDescent="0.35">
      <c r="I448" s="109"/>
      <c r="J448" s="109"/>
      <c r="K448" s="109"/>
      <c r="M448" s="37"/>
      <c r="T448" s="76"/>
      <c r="V448" s="128"/>
      <c r="W448" s="128"/>
      <c r="X448" s="128"/>
      <c r="Y448" s="139"/>
      <c r="AA448" s="73"/>
      <c r="AC448" s="79"/>
      <c r="AG448" s="76"/>
      <c r="AH448" s="76"/>
    </row>
    <row r="449" spans="9:34" x14ac:dyDescent="0.35">
      <c r="I449" s="109"/>
      <c r="J449" s="109"/>
      <c r="K449" s="109"/>
      <c r="M449" s="34"/>
      <c r="T449" s="76"/>
      <c r="V449" s="128"/>
      <c r="W449" s="128"/>
      <c r="X449" s="128"/>
      <c r="Y449" s="139"/>
      <c r="AA449" s="73"/>
      <c r="AC449" s="77"/>
      <c r="AG449" s="76"/>
      <c r="AH449" s="76"/>
    </row>
    <row r="450" spans="9:34" x14ac:dyDescent="0.35">
      <c r="I450" s="109"/>
      <c r="J450" s="109"/>
      <c r="K450" s="109"/>
      <c r="M450" s="33"/>
      <c r="T450" s="76"/>
      <c r="V450" s="128"/>
      <c r="W450" s="128"/>
      <c r="X450" s="128"/>
      <c r="Y450" s="139"/>
      <c r="AA450" s="73"/>
      <c r="AC450" s="74"/>
      <c r="AG450" s="76"/>
      <c r="AH450" s="76"/>
    </row>
    <row r="451" spans="9:34" x14ac:dyDescent="0.35">
      <c r="I451" s="109"/>
      <c r="J451" s="109"/>
      <c r="K451" s="109"/>
      <c r="M451" s="37"/>
      <c r="T451" s="76"/>
      <c r="V451" s="128"/>
      <c r="W451" s="128"/>
      <c r="X451" s="128"/>
      <c r="Y451" s="139"/>
      <c r="AA451" s="73"/>
      <c r="AC451" s="79"/>
      <c r="AG451" s="76"/>
      <c r="AH451" s="76"/>
    </row>
    <row r="452" spans="9:34" x14ac:dyDescent="0.35">
      <c r="I452" s="109"/>
      <c r="J452" s="109"/>
      <c r="K452" s="109"/>
      <c r="M452" s="37"/>
      <c r="T452" s="76"/>
      <c r="V452" s="128"/>
      <c r="W452" s="128"/>
      <c r="X452" s="128"/>
      <c r="Y452" s="139"/>
      <c r="AA452" s="73"/>
      <c r="AC452" s="79"/>
      <c r="AG452" s="76"/>
      <c r="AH452" s="76"/>
    </row>
    <row r="453" spans="9:34" x14ac:dyDescent="0.35">
      <c r="I453" s="109"/>
      <c r="J453" s="109"/>
      <c r="K453" s="109"/>
      <c r="M453" s="34"/>
      <c r="T453" s="76"/>
      <c r="V453" s="128"/>
      <c r="W453" s="128"/>
      <c r="X453" s="128"/>
      <c r="Y453" s="139"/>
      <c r="AA453" s="73"/>
      <c r="AC453" s="77"/>
      <c r="AG453" s="76"/>
      <c r="AH453" s="76"/>
    </row>
    <row r="454" spans="9:34" x14ac:dyDescent="0.35">
      <c r="I454" s="109"/>
      <c r="J454" s="109"/>
      <c r="K454" s="109"/>
      <c r="M454" s="37"/>
      <c r="T454" s="76"/>
      <c r="V454" s="128"/>
      <c r="W454" s="128"/>
      <c r="X454" s="128"/>
      <c r="Y454" s="139"/>
      <c r="AA454" s="73"/>
      <c r="AC454" s="79"/>
      <c r="AG454" s="76"/>
      <c r="AH454" s="76"/>
    </row>
    <row r="455" spans="9:34" x14ac:dyDescent="0.35">
      <c r="I455" s="109"/>
      <c r="J455" s="109"/>
      <c r="K455" s="109"/>
      <c r="M455" s="37"/>
      <c r="T455" s="76"/>
      <c r="V455" s="128"/>
      <c r="W455" s="128"/>
      <c r="X455" s="128"/>
      <c r="Y455" s="139"/>
      <c r="AA455" s="73"/>
      <c r="AC455" s="79"/>
      <c r="AG455" s="76"/>
      <c r="AH455" s="76"/>
    </row>
    <row r="456" spans="9:34" x14ac:dyDescent="0.35">
      <c r="I456" s="109"/>
      <c r="J456" s="109"/>
      <c r="K456" s="109"/>
      <c r="M456" s="34"/>
      <c r="T456" s="76"/>
      <c r="V456" s="128"/>
      <c r="W456" s="128"/>
      <c r="X456" s="128"/>
      <c r="Y456" s="139"/>
      <c r="AA456" s="73"/>
      <c r="AC456" s="77"/>
      <c r="AG456" s="76"/>
      <c r="AH456" s="76"/>
    </row>
    <row r="457" spans="9:34" x14ac:dyDescent="0.35">
      <c r="I457" s="109"/>
      <c r="J457" s="109"/>
      <c r="K457" s="109"/>
      <c r="M457" s="37"/>
      <c r="T457" s="76"/>
      <c r="V457" s="128"/>
      <c r="W457" s="128"/>
      <c r="X457" s="128"/>
      <c r="Y457" s="139"/>
      <c r="AA457" s="73"/>
      <c r="AC457" s="79"/>
      <c r="AG457" s="76"/>
      <c r="AH457" s="76"/>
    </row>
    <row r="458" spans="9:34" x14ac:dyDescent="0.35">
      <c r="I458" s="109"/>
      <c r="J458" s="109"/>
      <c r="K458" s="109"/>
      <c r="M458" s="33"/>
      <c r="T458" s="76"/>
      <c r="V458" s="128"/>
      <c r="W458" s="128"/>
      <c r="X458" s="128"/>
      <c r="Y458" s="139"/>
      <c r="AA458" s="73"/>
      <c r="AC458" s="74"/>
      <c r="AG458" s="76"/>
      <c r="AH458" s="76"/>
    </row>
    <row r="459" spans="9:34" x14ac:dyDescent="0.35">
      <c r="I459" s="109"/>
      <c r="J459" s="109"/>
      <c r="K459" s="109"/>
      <c r="M459" s="37"/>
      <c r="T459" s="76"/>
      <c r="V459" s="128"/>
      <c r="W459" s="128"/>
      <c r="X459" s="128"/>
      <c r="Y459" s="139"/>
      <c r="AA459" s="73"/>
      <c r="AC459" s="79"/>
      <c r="AG459" s="76"/>
      <c r="AH459" s="76"/>
    </row>
    <row r="460" spans="9:34" x14ac:dyDescent="0.35">
      <c r="I460" s="109"/>
      <c r="J460" s="109"/>
      <c r="K460" s="109"/>
      <c r="M460" s="34"/>
      <c r="T460" s="76"/>
      <c r="V460" s="128"/>
      <c r="W460" s="128"/>
      <c r="X460" s="128"/>
      <c r="Y460" s="139"/>
      <c r="AA460" s="73"/>
      <c r="AC460" s="77"/>
      <c r="AG460" s="76"/>
      <c r="AH460" s="76"/>
    </row>
    <row r="461" spans="9:34" x14ac:dyDescent="0.35">
      <c r="I461" s="109"/>
      <c r="J461" s="109"/>
      <c r="K461" s="109"/>
      <c r="M461" s="37"/>
      <c r="T461" s="76"/>
      <c r="V461" s="128"/>
      <c r="W461" s="128"/>
      <c r="X461" s="128"/>
      <c r="Y461" s="139"/>
      <c r="AA461" s="73"/>
      <c r="AC461" s="79"/>
      <c r="AG461" s="76"/>
      <c r="AH461" s="76"/>
    </row>
    <row r="462" spans="9:34" x14ac:dyDescent="0.35">
      <c r="I462" s="109"/>
      <c r="J462" s="109"/>
      <c r="K462" s="109"/>
      <c r="M462" s="37"/>
      <c r="T462" s="76"/>
      <c r="V462" s="128"/>
      <c r="W462" s="128"/>
      <c r="X462" s="128"/>
      <c r="Y462" s="139"/>
      <c r="AA462" s="73"/>
      <c r="AC462" s="79"/>
      <c r="AG462" s="76"/>
      <c r="AH462" s="76"/>
    </row>
    <row r="463" spans="9:34" x14ac:dyDescent="0.35">
      <c r="I463" s="109"/>
      <c r="J463" s="109"/>
      <c r="K463" s="109"/>
      <c r="M463" s="34"/>
      <c r="T463" s="76"/>
      <c r="V463" s="128"/>
      <c r="W463" s="128"/>
      <c r="X463" s="128"/>
      <c r="Y463" s="139"/>
      <c r="AA463" s="73"/>
      <c r="AC463" s="77"/>
      <c r="AG463" s="76"/>
      <c r="AH463" s="76"/>
    </row>
    <row r="464" spans="9:34" x14ac:dyDescent="0.35">
      <c r="I464" s="109"/>
      <c r="J464" s="109"/>
      <c r="K464" s="109"/>
      <c r="M464" s="37"/>
      <c r="T464" s="76"/>
      <c r="V464" s="128"/>
      <c r="W464" s="128"/>
      <c r="X464" s="128"/>
      <c r="Y464" s="139"/>
      <c r="AA464" s="73"/>
      <c r="AC464" s="79"/>
      <c r="AG464" s="76"/>
      <c r="AH464" s="76"/>
    </row>
    <row r="465" spans="9:34" x14ac:dyDescent="0.35">
      <c r="I465" s="109"/>
      <c r="J465" s="109"/>
      <c r="K465" s="109"/>
      <c r="M465" s="33"/>
      <c r="T465" s="76"/>
      <c r="V465" s="128"/>
      <c r="W465" s="128"/>
      <c r="X465" s="128"/>
      <c r="Y465" s="139"/>
      <c r="AA465" s="73"/>
      <c r="AC465" s="74"/>
      <c r="AG465" s="76"/>
      <c r="AH465" s="76"/>
    </row>
    <row r="466" spans="9:34" x14ac:dyDescent="0.35">
      <c r="I466" s="109"/>
      <c r="J466" s="109"/>
      <c r="K466" s="109"/>
      <c r="M466" s="37"/>
      <c r="T466" s="76"/>
      <c r="V466" s="128"/>
      <c r="W466" s="128"/>
      <c r="X466" s="128"/>
      <c r="Y466" s="139"/>
      <c r="AA466" s="73"/>
      <c r="AC466" s="79"/>
      <c r="AG466" s="76"/>
      <c r="AH466" s="76"/>
    </row>
    <row r="467" spans="9:34" x14ac:dyDescent="0.35">
      <c r="I467" s="109"/>
      <c r="J467" s="109"/>
      <c r="K467" s="109"/>
      <c r="M467" s="34"/>
      <c r="T467" s="76"/>
      <c r="V467" s="128"/>
      <c r="W467" s="128"/>
      <c r="X467" s="128"/>
      <c r="Y467" s="139"/>
      <c r="AA467" s="73"/>
      <c r="AC467" s="77"/>
      <c r="AG467" s="76"/>
      <c r="AH467" s="76"/>
    </row>
    <row r="468" spans="9:34" x14ac:dyDescent="0.35">
      <c r="I468" s="109"/>
      <c r="J468" s="109"/>
      <c r="K468" s="109"/>
      <c r="M468" s="37"/>
      <c r="T468" s="76"/>
      <c r="V468" s="128"/>
      <c r="W468" s="128"/>
      <c r="X468" s="128"/>
      <c r="Y468" s="139"/>
      <c r="AA468" s="73"/>
      <c r="AC468" s="79"/>
      <c r="AG468" s="76"/>
      <c r="AH468" s="76"/>
    </row>
    <row r="469" spans="9:34" x14ac:dyDescent="0.35">
      <c r="I469" s="109"/>
      <c r="J469" s="109"/>
      <c r="K469" s="109"/>
      <c r="M469" s="37"/>
      <c r="T469" s="76"/>
      <c r="V469" s="128"/>
      <c r="W469" s="128"/>
      <c r="X469" s="128"/>
      <c r="Y469" s="139"/>
      <c r="AA469" s="73"/>
      <c r="AC469" s="79"/>
      <c r="AG469" s="76"/>
      <c r="AH469" s="76"/>
    </row>
    <row r="470" spans="9:34" x14ac:dyDescent="0.35">
      <c r="I470" s="109"/>
      <c r="J470" s="109"/>
      <c r="K470" s="109"/>
      <c r="M470" s="34"/>
      <c r="T470" s="76"/>
      <c r="V470" s="128"/>
      <c r="W470" s="128"/>
      <c r="X470" s="128"/>
      <c r="Y470" s="139"/>
      <c r="AA470" s="73"/>
      <c r="AC470" s="77"/>
      <c r="AG470" s="76"/>
      <c r="AH470" s="76"/>
    </row>
    <row r="471" spans="9:34" x14ac:dyDescent="0.35">
      <c r="I471" s="109"/>
      <c r="J471" s="109"/>
      <c r="K471" s="109"/>
      <c r="M471" s="37"/>
      <c r="T471" s="76"/>
      <c r="V471" s="128"/>
      <c r="W471" s="128"/>
      <c r="X471" s="128"/>
      <c r="Y471" s="139"/>
      <c r="AA471" s="73"/>
      <c r="AC471" s="79"/>
      <c r="AG471" s="76"/>
      <c r="AH471" s="76"/>
    </row>
    <row r="472" spans="9:34" x14ac:dyDescent="0.35">
      <c r="I472" s="109"/>
      <c r="J472" s="109"/>
      <c r="K472" s="109"/>
      <c r="M472" s="33"/>
      <c r="T472" s="76"/>
      <c r="V472" s="128"/>
      <c r="W472" s="128"/>
      <c r="X472" s="128"/>
      <c r="Y472" s="139"/>
      <c r="AA472" s="73"/>
      <c r="AC472" s="74"/>
      <c r="AG472" s="76"/>
      <c r="AH472" s="76"/>
    </row>
    <row r="473" spans="9:34" x14ac:dyDescent="0.35">
      <c r="I473" s="109"/>
      <c r="J473" s="109"/>
      <c r="K473" s="109"/>
      <c r="M473" s="37"/>
      <c r="T473" s="76"/>
      <c r="V473" s="128"/>
      <c r="W473" s="128"/>
      <c r="X473" s="128"/>
      <c r="Y473" s="139"/>
      <c r="AA473" s="73"/>
      <c r="AC473" s="79"/>
      <c r="AG473" s="76"/>
      <c r="AH473" s="76"/>
    </row>
    <row r="474" spans="9:34" x14ac:dyDescent="0.35">
      <c r="I474" s="109"/>
      <c r="J474" s="109"/>
      <c r="K474" s="109"/>
      <c r="M474" s="34"/>
      <c r="T474" s="76"/>
      <c r="V474" s="128"/>
      <c r="W474" s="128"/>
      <c r="X474" s="128"/>
      <c r="Y474" s="139"/>
      <c r="AA474" s="73"/>
      <c r="AC474" s="77"/>
      <c r="AG474" s="76"/>
      <c r="AH474" s="76"/>
    </row>
    <row r="475" spans="9:34" x14ac:dyDescent="0.35">
      <c r="I475" s="109"/>
      <c r="J475" s="109"/>
      <c r="K475" s="109"/>
      <c r="M475" s="37"/>
      <c r="T475" s="76"/>
      <c r="V475" s="128"/>
      <c r="W475" s="128"/>
      <c r="X475" s="128"/>
      <c r="Y475" s="139"/>
      <c r="AA475" s="73"/>
      <c r="AC475" s="79"/>
      <c r="AG475" s="76"/>
      <c r="AH475" s="76"/>
    </row>
    <row r="476" spans="9:34" x14ac:dyDescent="0.35">
      <c r="I476" s="109"/>
      <c r="J476" s="109"/>
      <c r="K476" s="109"/>
      <c r="M476" s="37"/>
      <c r="T476" s="76"/>
      <c r="V476" s="128"/>
      <c r="W476" s="128"/>
      <c r="X476" s="128"/>
      <c r="Y476" s="139"/>
      <c r="AA476" s="73"/>
      <c r="AC476" s="79"/>
      <c r="AG476" s="76"/>
      <c r="AH476" s="76"/>
    </row>
    <row r="477" spans="9:34" x14ac:dyDescent="0.35">
      <c r="I477" s="109"/>
      <c r="J477" s="109"/>
      <c r="K477" s="109"/>
      <c r="M477" s="34"/>
      <c r="T477" s="76"/>
      <c r="V477" s="128"/>
      <c r="W477" s="128"/>
      <c r="X477" s="128"/>
      <c r="Y477" s="139"/>
      <c r="AA477" s="73"/>
      <c r="AC477" s="77"/>
      <c r="AG477" s="76"/>
      <c r="AH477" s="76"/>
    </row>
    <row r="478" spans="9:34" x14ac:dyDescent="0.35">
      <c r="I478" s="109"/>
      <c r="J478" s="109"/>
      <c r="K478" s="109"/>
      <c r="M478" s="37"/>
      <c r="T478" s="76"/>
      <c r="V478" s="128"/>
      <c r="W478" s="128"/>
      <c r="X478" s="128"/>
      <c r="Y478" s="139"/>
      <c r="AA478" s="73"/>
      <c r="AC478" s="79"/>
      <c r="AG478" s="76"/>
      <c r="AH478" s="76"/>
    </row>
    <row r="479" spans="9:34" x14ac:dyDescent="0.35">
      <c r="I479" s="109"/>
      <c r="J479" s="109"/>
      <c r="K479" s="109"/>
      <c r="M479" s="37"/>
      <c r="T479" s="76"/>
      <c r="V479" s="128"/>
      <c r="W479" s="128"/>
      <c r="X479" s="128"/>
      <c r="Y479" s="139"/>
      <c r="AA479" s="73"/>
      <c r="AC479" s="79"/>
      <c r="AG479" s="76"/>
      <c r="AH479" s="76"/>
    </row>
    <row r="480" spans="9:34" x14ac:dyDescent="0.35">
      <c r="I480" s="109"/>
      <c r="J480" s="109"/>
      <c r="K480" s="109"/>
      <c r="M480" s="33"/>
      <c r="T480" s="76"/>
      <c r="V480" s="128"/>
      <c r="W480" s="128"/>
      <c r="X480" s="128"/>
      <c r="Y480" s="139"/>
      <c r="AA480" s="73"/>
      <c r="AC480" s="74"/>
      <c r="AG480" s="76"/>
      <c r="AH480" s="76"/>
    </row>
    <row r="481" spans="9:34" x14ac:dyDescent="0.35">
      <c r="I481" s="109"/>
      <c r="J481" s="109"/>
      <c r="K481" s="109"/>
      <c r="M481" s="34"/>
      <c r="T481" s="76"/>
      <c r="V481" s="128"/>
      <c r="W481" s="128"/>
      <c r="X481" s="128"/>
      <c r="Y481" s="139"/>
      <c r="AA481" s="73"/>
      <c r="AC481" s="77"/>
      <c r="AG481" s="76"/>
      <c r="AH481" s="76"/>
    </row>
    <row r="482" spans="9:34" x14ac:dyDescent="0.35">
      <c r="I482" s="109"/>
      <c r="J482" s="109"/>
      <c r="K482" s="109"/>
      <c r="M482" s="37"/>
      <c r="T482" s="76"/>
      <c r="V482" s="128"/>
      <c r="W482" s="128"/>
      <c r="X482" s="128"/>
      <c r="Y482" s="139"/>
      <c r="AA482" s="73"/>
      <c r="AC482" s="79"/>
      <c r="AG482" s="76"/>
      <c r="AH482" s="76"/>
    </row>
    <row r="483" spans="9:34" x14ac:dyDescent="0.35">
      <c r="I483" s="109"/>
      <c r="J483" s="109"/>
      <c r="K483" s="109"/>
      <c r="M483" s="37"/>
      <c r="T483" s="76"/>
      <c r="V483" s="128"/>
      <c r="W483" s="128"/>
      <c r="X483" s="128"/>
      <c r="Y483" s="139"/>
      <c r="AA483" s="73"/>
      <c r="AC483" s="79"/>
      <c r="AG483" s="76"/>
      <c r="AH483" s="76"/>
    </row>
    <row r="484" spans="9:34" x14ac:dyDescent="0.35">
      <c r="I484" s="109"/>
      <c r="J484" s="109"/>
      <c r="K484" s="109"/>
      <c r="M484" s="34"/>
      <c r="T484" s="76"/>
      <c r="V484" s="128"/>
      <c r="W484" s="128"/>
      <c r="X484" s="128"/>
      <c r="Y484" s="139"/>
      <c r="AA484" s="73"/>
      <c r="AC484" s="77"/>
      <c r="AG484" s="76"/>
      <c r="AH484" s="76"/>
    </row>
    <row r="485" spans="9:34" x14ac:dyDescent="0.35">
      <c r="I485" s="109"/>
      <c r="J485" s="109"/>
      <c r="K485" s="109"/>
      <c r="M485" s="37"/>
      <c r="T485" s="76"/>
      <c r="V485" s="128"/>
      <c r="W485" s="128"/>
      <c r="X485" s="128"/>
      <c r="Y485" s="139"/>
      <c r="AA485" s="73"/>
      <c r="AC485" s="79"/>
      <c r="AG485" s="76"/>
      <c r="AH485" s="76"/>
    </row>
    <row r="486" spans="9:34" x14ac:dyDescent="0.35">
      <c r="I486" s="109"/>
      <c r="J486" s="109"/>
      <c r="K486" s="109"/>
      <c r="M486" s="37"/>
      <c r="T486" s="76"/>
      <c r="V486" s="128"/>
      <c r="W486" s="128"/>
      <c r="X486" s="128"/>
      <c r="Y486" s="139"/>
      <c r="AA486" s="73"/>
      <c r="AC486" s="79"/>
      <c r="AG486" s="76"/>
      <c r="AH486" s="76"/>
    </row>
    <row r="487" spans="9:34" x14ac:dyDescent="0.35">
      <c r="I487" s="109"/>
      <c r="J487" s="109"/>
      <c r="K487" s="109"/>
      <c r="M487" s="33"/>
      <c r="T487" s="76"/>
      <c r="V487" s="128"/>
      <c r="W487" s="128"/>
      <c r="X487" s="128"/>
      <c r="Y487" s="139"/>
      <c r="AA487" s="73"/>
      <c r="AC487" s="74"/>
      <c r="AG487" s="76"/>
      <c r="AH487" s="76"/>
    </row>
    <row r="488" spans="9:34" x14ac:dyDescent="0.35">
      <c r="I488" s="109"/>
      <c r="J488" s="109"/>
      <c r="K488" s="109"/>
      <c r="M488" s="34"/>
      <c r="T488" s="76"/>
      <c r="V488" s="128"/>
      <c r="W488" s="128"/>
      <c r="X488" s="128"/>
      <c r="Y488" s="139"/>
      <c r="AA488" s="73"/>
      <c r="AC488" s="77"/>
      <c r="AG488" s="76"/>
      <c r="AH488" s="76"/>
    </row>
    <row r="489" spans="9:34" x14ac:dyDescent="0.35">
      <c r="I489" s="109"/>
      <c r="J489" s="109"/>
      <c r="K489" s="109"/>
      <c r="M489" s="37"/>
      <c r="T489" s="76"/>
      <c r="V489" s="128"/>
      <c r="W489" s="128"/>
      <c r="X489" s="128"/>
      <c r="Y489" s="139"/>
      <c r="AA489" s="73"/>
      <c r="AC489" s="79"/>
      <c r="AG489" s="76"/>
      <c r="AH489" s="76"/>
    </row>
    <row r="490" spans="9:34" x14ac:dyDescent="0.35">
      <c r="I490" s="109"/>
      <c r="J490" s="109"/>
      <c r="K490" s="109"/>
      <c r="M490" s="37"/>
      <c r="T490" s="76"/>
      <c r="V490" s="128"/>
      <c r="W490" s="128"/>
      <c r="X490" s="128"/>
      <c r="Y490" s="139"/>
      <c r="AA490" s="73"/>
      <c r="AC490" s="79"/>
      <c r="AG490" s="76"/>
      <c r="AH490" s="76"/>
    </row>
    <row r="491" spans="9:34" x14ac:dyDescent="0.35">
      <c r="I491" s="109"/>
      <c r="J491" s="109"/>
      <c r="K491" s="109"/>
      <c r="M491" s="34"/>
      <c r="T491" s="76"/>
      <c r="V491" s="128"/>
      <c r="W491" s="128"/>
      <c r="X491" s="128"/>
      <c r="Y491" s="139"/>
      <c r="AA491" s="73"/>
      <c r="AC491" s="77"/>
      <c r="AG491" s="76"/>
      <c r="AH491" s="76"/>
    </row>
    <row r="492" spans="9:34" x14ac:dyDescent="0.35">
      <c r="I492" s="109"/>
      <c r="J492" s="109"/>
      <c r="K492" s="109"/>
      <c r="M492" s="37"/>
      <c r="T492" s="76"/>
      <c r="V492" s="128"/>
      <c r="W492" s="128"/>
      <c r="X492" s="128"/>
      <c r="Y492" s="139"/>
      <c r="AA492" s="73"/>
      <c r="AC492" s="79"/>
      <c r="AG492" s="76"/>
      <c r="AH492" s="76"/>
    </row>
    <row r="493" spans="9:34" x14ac:dyDescent="0.35">
      <c r="I493" s="109"/>
      <c r="J493" s="109"/>
      <c r="K493" s="109"/>
      <c r="M493" s="37"/>
      <c r="T493" s="76"/>
      <c r="V493" s="128"/>
      <c r="W493" s="128"/>
      <c r="X493" s="128"/>
      <c r="Y493" s="139"/>
      <c r="AA493" s="73"/>
      <c r="AC493" s="79"/>
      <c r="AG493" s="76"/>
      <c r="AH493" s="76"/>
    </row>
    <row r="494" spans="9:34" x14ac:dyDescent="0.35">
      <c r="I494" s="109"/>
      <c r="J494" s="109"/>
      <c r="K494" s="109"/>
      <c r="M494" s="34"/>
      <c r="T494" s="76"/>
      <c r="V494" s="128"/>
      <c r="W494" s="128"/>
      <c r="X494" s="128"/>
      <c r="Y494" s="139"/>
      <c r="AA494" s="73"/>
      <c r="AC494" s="77"/>
      <c r="AG494" s="76"/>
      <c r="AH494" s="76"/>
    </row>
    <row r="495" spans="9:34" x14ac:dyDescent="0.35">
      <c r="I495" s="109"/>
      <c r="J495" s="109"/>
      <c r="K495" s="109"/>
      <c r="M495" s="33"/>
      <c r="T495" s="76"/>
      <c r="V495" s="128"/>
      <c r="W495" s="128"/>
      <c r="X495" s="128"/>
      <c r="Y495" s="139"/>
      <c r="AA495" s="73"/>
      <c r="AC495" s="74"/>
      <c r="AG495" s="76"/>
      <c r="AH495" s="76"/>
    </row>
    <row r="496" spans="9:34" x14ac:dyDescent="0.35">
      <c r="I496" s="109"/>
      <c r="J496" s="109"/>
      <c r="K496" s="109"/>
      <c r="M496" s="37"/>
      <c r="T496" s="76"/>
      <c r="V496" s="128"/>
      <c r="W496" s="128"/>
      <c r="X496" s="128"/>
      <c r="Y496" s="139"/>
      <c r="AA496" s="73"/>
      <c r="AC496" s="79"/>
      <c r="AG496" s="76"/>
      <c r="AH496" s="76"/>
    </row>
    <row r="497" spans="9:34" x14ac:dyDescent="0.35">
      <c r="I497" s="109"/>
      <c r="J497" s="109"/>
      <c r="K497" s="109"/>
      <c r="M497" s="37"/>
      <c r="T497" s="76"/>
      <c r="V497" s="128"/>
      <c r="W497" s="128"/>
      <c r="X497" s="128"/>
      <c r="Y497" s="139"/>
      <c r="AA497" s="73"/>
      <c r="AC497" s="79"/>
      <c r="AG497" s="76"/>
      <c r="AH497" s="76"/>
    </row>
    <row r="498" spans="9:34" x14ac:dyDescent="0.35">
      <c r="I498" s="109"/>
      <c r="J498" s="109"/>
      <c r="K498" s="109"/>
      <c r="M498" s="34"/>
      <c r="T498" s="76"/>
      <c r="V498" s="128"/>
      <c r="W498" s="128"/>
      <c r="X498" s="128"/>
      <c r="Y498" s="139"/>
      <c r="AA498" s="73"/>
      <c r="AC498" s="77"/>
      <c r="AG498" s="76"/>
      <c r="AH498" s="76"/>
    </row>
    <row r="499" spans="9:34" x14ac:dyDescent="0.35">
      <c r="I499" s="109"/>
      <c r="J499" s="109"/>
      <c r="K499" s="109"/>
      <c r="M499" s="37"/>
      <c r="T499" s="76"/>
      <c r="V499" s="128"/>
      <c r="W499" s="128"/>
      <c r="X499" s="128"/>
      <c r="Y499" s="139"/>
      <c r="AA499" s="73"/>
      <c r="AC499" s="79"/>
      <c r="AG499" s="76"/>
      <c r="AH499" s="76"/>
    </row>
    <row r="500" spans="9:34" x14ac:dyDescent="0.35">
      <c r="I500" s="109"/>
      <c r="J500" s="109"/>
      <c r="K500" s="109"/>
      <c r="M500" s="37"/>
      <c r="T500" s="76"/>
      <c r="V500" s="128"/>
      <c r="W500" s="128"/>
      <c r="X500" s="128"/>
      <c r="Y500" s="139"/>
      <c r="AA500" s="73"/>
      <c r="AC500" s="79"/>
      <c r="AG500" s="76"/>
      <c r="AH500" s="76"/>
    </row>
    <row r="501" spans="9:34" x14ac:dyDescent="0.35">
      <c r="I501" s="109"/>
      <c r="J501" s="109"/>
      <c r="K501" s="109"/>
      <c r="M501" s="34"/>
      <c r="T501" s="76"/>
      <c r="V501" s="128"/>
      <c r="W501" s="128"/>
      <c r="X501" s="128"/>
      <c r="Y501" s="139"/>
      <c r="AA501" s="73"/>
      <c r="AC501" s="77"/>
      <c r="AG501" s="76"/>
      <c r="AH501" s="76"/>
    </row>
    <row r="502" spans="9:34" x14ac:dyDescent="0.35">
      <c r="I502" s="109"/>
      <c r="J502" s="109"/>
      <c r="K502" s="109"/>
      <c r="M502" s="33"/>
      <c r="T502" s="76"/>
      <c r="V502" s="128"/>
      <c r="W502" s="128"/>
      <c r="X502" s="128"/>
      <c r="Y502" s="139"/>
      <c r="AA502" s="73"/>
      <c r="AC502" s="74"/>
      <c r="AG502" s="76"/>
      <c r="AH502" s="76"/>
    </row>
    <row r="503" spans="9:34" x14ac:dyDescent="0.35">
      <c r="I503" s="109"/>
      <c r="J503" s="109"/>
      <c r="K503" s="109"/>
      <c r="M503" s="37"/>
      <c r="T503" s="76"/>
      <c r="V503" s="128"/>
      <c r="W503" s="128"/>
      <c r="X503" s="128"/>
      <c r="Y503" s="139"/>
      <c r="AA503" s="73"/>
      <c r="AC503" s="79"/>
      <c r="AG503" s="76"/>
      <c r="AH503" s="76"/>
    </row>
    <row r="504" spans="9:34" x14ac:dyDescent="0.35">
      <c r="I504" s="109"/>
      <c r="J504" s="109"/>
      <c r="K504" s="109"/>
      <c r="M504" s="37"/>
      <c r="T504" s="76"/>
      <c r="V504" s="128"/>
      <c r="W504" s="128"/>
      <c r="X504" s="128"/>
      <c r="Y504" s="139"/>
      <c r="AA504" s="73"/>
      <c r="AC504" s="79"/>
      <c r="AG504" s="76"/>
      <c r="AH504" s="76"/>
    </row>
    <row r="505" spans="9:34" x14ac:dyDescent="0.35">
      <c r="I505" s="109"/>
      <c r="J505" s="109"/>
      <c r="K505" s="109"/>
      <c r="M505" s="34"/>
      <c r="T505" s="76"/>
      <c r="V505" s="128"/>
      <c r="W505" s="128"/>
      <c r="X505" s="128"/>
      <c r="Y505" s="139"/>
      <c r="AA505" s="73"/>
      <c r="AC505" s="77"/>
      <c r="AG505" s="76"/>
      <c r="AH505" s="76"/>
    </row>
    <row r="506" spans="9:34" x14ac:dyDescent="0.35">
      <c r="I506" s="109"/>
      <c r="J506" s="109"/>
      <c r="K506" s="109"/>
      <c r="M506" s="37"/>
      <c r="T506" s="76"/>
      <c r="V506" s="128"/>
      <c r="W506" s="128"/>
      <c r="X506" s="128"/>
      <c r="Y506" s="139"/>
      <c r="AA506" s="73"/>
      <c r="AC506" s="79"/>
      <c r="AG506" s="76"/>
      <c r="AH506" s="76"/>
    </row>
    <row r="507" spans="9:34" x14ac:dyDescent="0.35">
      <c r="I507" s="109"/>
      <c r="J507" s="109"/>
      <c r="K507" s="109"/>
      <c r="M507" s="37"/>
      <c r="T507" s="76"/>
      <c r="V507" s="128"/>
      <c r="W507" s="128"/>
      <c r="X507" s="128"/>
      <c r="Y507" s="139"/>
      <c r="AA507" s="73"/>
      <c r="AC507" s="79"/>
      <c r="AG507" s="76"/>
      <c r="AH507" s="76"/>
    </row>
    <row r="508" spans="9:34" x14ac:dyDescent="0.35">
      <c r="I508" s="109"/>
      <c r="J508" s="109"/>
      <c r="K508" s="109"/>
      <c r="M508" s="34"/>
      <c r="T508" s="76"/>
      <c r="V508" s="128"/>
      <c r="W508" s="128"/>
      <c r="X508" s="128"/>
      <c r="Y508" s="139"/>
      <c r="AA508" s="73"/>
      <c r="AC508" s="77"/>
      <c r="AG508" s="76"/>
      <c r="AH508" s="76"/>
    </row>
    <row r="509" spans="9:34" x14ac:dyDescent="0.35">
      <c r="I509" s="109"/>
      <c r="J509" s="109"/>
      <c r="K509" s="109"/>
      <c r="M509" s="37"/>
      <c r="T509" s="76"/>
      <c r="V509" s="128"/>
      <c r="W509" s="128"/>
      <c r="X509" s="128"/>
      <c r="Y509" s="139"/>
      <c r="AA509" s="73"/>
      <c r="AC509" s="79"/>
      <c r="AG509" s="76"/>
      <c r="AH509" s="76"/>
    </row>
    <row r="510" spans="9:34" x14ac:dyDescent="0.35">
      <c r="I510" s="109"/>
      <c r="J510" s="109"/>
      <c r="K510" s="109"/>
      <c r="M510" s="33"/>
      <c r="T510" s="76"/>
      <c r="V510" s="128"/>
      <c r="W510" s="128"/>
      <c r="X510" s="128"/>
      <c r="Y510" s="139"/>
      <c r="AA510" s="73"/>
      <c r="AC510" s="74"/>
      <c r="AG510" s="76"/>
      <c r="AH510" s="76"/>
    </row>
    <row r="511" spans="9:34" x14ac:dyDescent="0.35">
      <c r="I511" s="109"/>
      <c r="J511" s="109"/>
      <c r="K511" s="109"/>
      <c r="M511" s="37"/>
      <c r="T511" s="76"/>
      <c r="V511" s="128"/>
      <c r="W511" s="128"/>
      <c r="X511" s="128"/>
      <c r="Y511" s="139"/>
      <c r="AA511" s="73"/>
      <c r="AC511" s="79"/>
      <c r="AG511" s="76"/>
      <c r="AH511" s="76"/>
    </row>
    <row r="512" spans="9:34" x14ac:dyDescent="0.35">
      <c r="I512" s="109"/>
      <c r="J512" s="109"/>
      <c r="K512" s="109"/>
      <c r="M512" s="34"/>
      <c r="T512" s="76"/>
      <c r="V512" s="128"/>
      <c r="W512" s="128"/>
      <c r="X512" s="128"/>
      <c r="Y512" s="139"/>
      <c r="AA512" s="73"/>
      <c r="AC512" s="77"/>
      <c r="AG512" s="76"/>
      <c r="AH512" s="76"/>
    </row>
    <row r="513" spans="9:34" x14ac:dyDescent="0.35">
      <c r="I513" s="109"/>
      <c r="J513" s="109"/>
      <c r="K513" s="109"/>
      <c r="M513" s="37"/>
      <c r="T513" s="76"/>
      <c r="V513" s="128"/>
      <c r="W513" s="128"/>
      <c r="X513" s="128"/>
      <c r="Y513" s="139"/>
      <c r="AA513" s="73"/>
      <c r="AC513" s="79"/>
      <c r="AG513" s="76"/>
      <c r="AH513" s="76"/>
    </row>
    <row r="514" spans="9:34" x14ac:dyDescent="0.35">
      <c r="I514" s="109"/>
      <c r="J514" s="109"/>
      <c r="K514" s="109"/>
      <c r="M514" s="37"/>
      <c r="T514" s="76"/>
      <c r="V514" s="128"/>
      <c r="W514" s="128"/>
      <c r="X514" s="128"/>
      <c r="Y514" s="139"/>
      <c r="AA514" s="73"/>
      <c r="AC514" s="79"/>
      <c r="AG514" s="76"/>
      <c r="AH514" s="76"/>
    </row>
    <row r="515" spans="9:34" x14ac:dyDescent="0.35">
      <c r="I515" s="109"/>
      <c r="J515" s="109"/>
      <c r="K515" s="109"/>
      <c r="M515" s="34"/>
      <c r="T515" s="76"/>
      <c r="V515" s="128"/>
      <c r="W515" s="128"/>
      <c r="X515" s="128"/>
      <c r="Y515" s="139"/>
      <c r="AA515" s="73"/>
      <c r="AC515" s="77"/>
      <c r="AG515" s="76"/>
      <c r="AH515" s="76"/>
    </row>
    <row r="516" spans="9:34" x14ac:dyDescent="0.35">
      <c r="I516" s="109"/>
      <c r="J516" s="109"/>
      <c r="K516" s="109"/>
      <c r="M516" s="37"/>
      <c r="T516" s="76"/>
      <c r="V516" s="128"/>
      <c r="W516" s="128"/>
      <c r="X516" s="128"/>
      <c r="Y516" s="139"/>
      <c r="AA516" s="73"/>
      <c r="AC516" s="79"/>
      <c r="AG516" s="76"/>
      <c r="AH516" s="76"/>
    </row>
    <row r="517" spans="9:34" x14ac:dyDescent="0.35">
      <c r="I517" s="109"/>
      <c r="J517" s="109"/>
      <c r="K517" s="109"/>
      <c r="M517" s="33"/>
      <c r="T517" s="76"/>
      <c r="V517" s="128"/>
      <c r="W517" s="128"/>
      <c r="X517" s="128"/>
      <c r="Y517" s="139"/>
      <c r="AA517" s="73"/>
      <c r="AC517" s="74"/>
      <c r="AG517" s="76"/>
      <c r="AH517" s="76"/>
    </row>
    <row r="518" spans="9:34" x14ac:dyDescent="0.35">
      <c r="I518" s="109"/>
      <c r="J518" s="109"/>
      <c r="K518" s="109"/>
      <c r="M518" s="37"/>
      <c r="T518" s="76"/>
      <c r="V518" s="128"/>
      <c r="W518" s="128"/>
      <c r="X518" s="128"/>
      <c r="Y518" s="139"/>
      <c r="AA518" s="73"/>
      <c r="AC518" s="79"/>
      <c r="AG518" s="76"/>
      <c r="AH518" s="76"/>
    </row>
    <row r="519" spans="9:34" x14ac:dyDescent="0.35">
      <c r="I519" s="109"/>
      <c r="J519" s="109"/>
      <c r="K519" s="109"/>
      <c r="M519" s="34"/>
      <c r="T519" s="76"/>
      <c r="V519" s="128"/>
      <c r="W519" s="128"/>
      <c r="X519" s="128"/>
      <c r="Y519" s="139"/>
      <c r="AA519" s="73"/>
      <c r="AC519" s="77"/>
      <c r="AG519" s="76"/>
      <c r="AH519" s="76"/>
    </row>
    <row r="520" spans="9:34" x14ac:dyDescent="0.35">
      <c r="I520" s="109"/>
      <c r="J520" s="109"/>
      <c r="K520" s="109"/>
      <c r="M520" s="37"/>
      <c r="T520" s="76"/>
      <c r="V520" s="128"/>
      <c r="W520" s="128"/>
      <c r="X520" s="128"/>
      <c r="Y520" s="139"/>
      <c r="AA520" s="73"/>
      <c r="AC520" s="79"/>
      <c r="AG520" s="76"/>
      <c r="AH520" s="76"/>
    </row>
    <row r="521" spans="9:34" x14ac:dyDescent="0.35">
      <c r="I521" s="109"/>
      <c r="J521" s="109"/>
      <c r="K521" s="109"/>
      <c r="M521" s="37"/>
      <c r="T521" s="76"/>
      <c r="V521" s="128"/>
      <c r="W521" s="128"/>
      <c r="X521" s="128"/>
      <c r="Y521" s="139"/>
      <c r="AA521" s="73"/>
      <c r="AC521" s="79"/>
      <c r="AG521" s="76"/>
      <c r="AH521" s="76"/>
    </row>
    <row r="522" spans="9:34" x14ac:dyDescent="0.35">
      <c r="I522" s="109"/>
      <c r="J522" s="109"/>
      <c r="K522" s="109"/>
      <c r="M522" s="34"/>
      <c r="T522" s="76"/>
      <c r="V522" s="128"/>
      <c r="W522" s="128"/>
      <c r="X522" s="128"/>
      <c r="Y522" s="139"/>
      <c r="AA522" s="73"/>
      <c r="AC522" s="77"/>
      <c r="AG522" s="76"/>
      <c r="AH522" s="76"/>
    </row>
    <row r="523" spans="9:34" x14ac:dyDescent="0.35">
      <c r="I523" s="109"/>
      <c r="J523" s="109"/>
      <c r="K523" s="109"/>
      <c r="M523" s="37"/>
      <c r="T523" s="76"/>
      <c r="V523" s="128"/>
      <c r="W523" s="128"/>
      <c r="X523" s="128"/>
      <c r="Y523" s="139"/>
      <c r="AA523" s="73"/>
      <c r="AC523" s="79"/>
      <c r="AG523" s="76"/>
      <c r="AH523" s="76"/>
    </row>
    <row r="524" spans="9:34" x14ac:dyDescent="0.35">
      <c r="I524" s="109"/>
      <c r="J524" s="109"/>
      <c r="K524" s="109"/>
      <c r="M524" s="33"/>
      <c r="T524" s="76"/>
      <c r="V524" s="128"/>
      <c r="W524" s="128"/>
      <c r="X524" s="128"/>
      <c r="Y524" s="139"/>
      <c r="AA524" s="73"/>
      <c r="AC524" s="74"/>
      <c r="AG524" s="76"/>
      <c r="AH524" s="76"/>
    </row>
    <row r="525" spans="9:34" x14ac:dyDescent="0.35">
      <c r="I525" s="109"/>
      <c r="J525" s="109"/>
      <c r="K525" s="109"/>
      <c r="M525" s="37"/>
      <c r="T525" s="76"/>
      <c r="V525" s="128"/>
      <c r="W525" s="128"/>
      <c r="X525" s="128"/>
      <c r="Y525" s="139"/>
      <c r="AA525" s="73"/>
      <c r="AC525" s="79"/>
      <c r="AG525" s="76"/>
      <c r="AH525" s="76"/>
    </row>
    <row r="526" spans="9:34" x14ac:dyDescent="0.35">
      <c r="I526" s="109"/>
      <c r="J526" s="109"/>
      <c r="K526" s="109"/>
      <c r="M526" s="34"/>
      <c r="T526" s="76"/>
      <c r="V526" s="128"/>
      <c r="W526" s="128"/>
      <c r="X526" s="128"/>
      <c r="Y526" s="139"/>
      <c r="AA526" s="73"/>
      <c r="AC526" s="77"/>
      <c r="AG526" s="76"/>
      <c r="AH526" s="76"/>
    </row>
    <row r="527" spans="9:34" x14ac:dyDescent="0.35">
      <c r="I527" s="109"/>
      <c r="J527" s="109"/>
      <c r="K527" s="109"/>
      <c r="M527" s="37"/>
      <c r="T527" s="76"/>
      <c r="V527" s="128"/>
      <c r="W527" s="128"/>
      <c r="X527" s="128"/>
      <c r="Y527" s="139"/>
      <c r="AA527" s="73"/>
      <c r="AC527" s="79"/>
      <c r="AG527" s="76"/>
      <c r="AH527" s="76"/>
    </row>
    <row r="528" spans="9:34" x14ac:dyDescent="0.35">
      <c r="I528" s="109"/>
      <c r="J528" s="109"/>
      <c r="K528" s="109"/>
      <c r="M528" s="37"/>
      <c r="T528" s="76"/>
      <c r="V528" s="128"/>
      <c r="W528" s="128"/>
      <c r="X528" s="128"/>
      <c r="Y528" s="139"/>
      <c r="AA528" s="73"/>
      <c r="AC528" s="79"/>
      <c r="AG528" s="76"/>
      <c r="AH528" s="76"/>
    </row>
    <row r="529" spans="9:34" x14ac:dyDescent="0.35">
      <c r="I529" s="109"/>
      <c r="J529" s="109"/>
      <c r="K529" s="109"/>
      <c r="M529" s="34"/>
      <c r="T529" s="76"/>
      <c r="V529" s="128"/>
      <c r="W529" s="128"/>
      <c r="X529" s="128"/>
      <c r="Y529" s="139"/>
      <c r="AA529" s="73"/>
      <c r="AC529" s="77"/>
      <c r="AG529" s="76"/>
      <c r="AH529" s="76"/>
    </row>
    <row r="530" spans="9:34" x14ac:dyDescent="0.35">
      <c r="I530" s="109"/>
      <c r="J530" s="109"/>
      <c r="K530" s="109"/>
      <c r="M530" s="37"/>
      <c r="T530" s="76"/>
      <c r="V530" s="128"/>
      <c r="W530" s="128"/>
      <c r="X530" s="128"/>
      <c r="Y530" s="139"/>
      <c r="AA530" s="73"/>
      <c r="AC530" s="79"/>
      <c r="AG530" s="76"/>
      <c r="AH530" s="76"/>
    </row>
    <row r="531" spans="9:34" x14ac:dyDescent="0.35">
      <c r="I531" s="109"/>
      <c r="J531" s="109"/>
      <c r="K531" s="109"/>
      <c r="M531" s="37"/>
      <c r="T531" s="76"/>
      <c r="V531" s="128"/>
      <c r="W531" s="128"/>
      <c r="X531" s="128"/>
      <c r="Y531" s="139"/>
      <c r="AA531" s="73"/>
      <c r="AC531" s="79"/>
      <c r="AG531" s="76"/>
      <c r="AH531" s="76"/>
    </row>
    <row r="532" spans="9:34" x14ac:dyDescent="0.35">
      <c r="I532" s="109"/>
      <c r="J532" s="109"/>
      <c r="K532" s="109"/>
      <c r="M532" s="33"/>
      <c r="T532" s="76"/>
      <c r="V532" s="128"/>
      <c r="W532" s="128"/>
      <c r="X532" s="128"/>
      <c r="Y532" s="139"/>
      <c r="AA532" s="73"/>
      <c r="AC532" s="74"/>
      <c r="AG532" s="76"/>
      <c r="AH532" s="76"/>
    </row>
    <row r="533" spans="9:34" x14ac:dyDescent="0.35">
      <c r="I533" s="109"/>
      <c r="J533" s="109"/>
      <c r="K533" s="109"/>
      <c r="M533" s="34"/>
      <c r="T533" s="76"/>
      <c r="V533" s="128"/>
      <c r="W533" s="128"/>
      <c r="X533" s="128"/>
      <c r="Y533" s="139"/>
      <c r="AA533" s="73"/>
      <c r="AC533" s="77"/>
      <c r="AG533" s="76"/>
      <c r="AH533" s="76"/>
    </row>
    <row r="534" spans="9:34" x14ac:dyDescent="0.35">
      <c r="I534" s="109"/>
      <c r="J534" s="109"/>
      <c r="K534" s="109"/>
      <c r="M534" s="37"/>
      <c r="T534" s="76"/>
      <c r="V534" s="128"/>
      <c r="W534" s="128"/>
      <c r="X534" s="128"/>
      <c r="Y534" s="139"/>
      <c r="AA534" s="73"/>
      <c r="AC534" s="79"/>
      <c r="AG534" s="76"/>
      <c r="AH534" s="76"/>
    </row>
    <row r="535" spans="9:34" x14ac:dyDescent="0.35">
      <c r="I535" s="109"/>
      <c r="J535" s="109"/>
      <c r="K535" s="109"/>
      <c r="M535" s="37"/>
      <c r="T535" s="76"/>
      <c r="V535" s="128"/>
      <c r="W535" s="128"/>
      <c r="X535" s="128"/>
      <c r="Y535" s="139"/>
      <c r="AA535" s="73"/>
      <c r="AC535" s="79"/>
      <c r="AG535" s="76"/>
      <c r="AH535" s="76"/>
    </row>
    <row r="536" spans="9:34" x14ac:dyDescent="0.35">
      <c r="I536" s="109"/>
      <c r="J536" s="109"/>
      <c r="K536" s="109"/>
      <c r="M536" s="34"/>
      <c r="T536" s="76"/>
      <c r="V536" s="128"/>
      <c r="W536" s="128"/>
      <c r="X536" s="128"/>
      <c r="Y536" s="139"/>
      <c r="AA536" s="73"/>
      <c r="AC536" s="77"/>
      <c r="AG536" s="76"/>
      <c r="AH536" s="76"/>
    </row>
    <row r="537" spans="9:34" x14ac:dyDescent="0.35">
      <c r="I537" s="109"/>
      <c r="J537" s="109"/>
      <c r="K537" s="109"/>
      <c r="M537" s="37"/>
      <c r="T537" s="76"/>
      <c r="V537" s="128"/>
      <c r="W537" s="128"/>
      <c r="X537" s="128"/>
      <c r="Y537" s="139"/>
      <c r="AA537" s="73"/>
      <c r="AC537" s="79"/>
      <c r="AG537" s="76"/>
      <c r="AH537" s="76"/>
    </row>
    <row r="538" spans="9:34" x14ac:dyDescent="0.35">
      <c r="I538" s="109"/>
      <c r="J538" s="109"/>
      <c r="K538" s="109"/>
      <c r="M538" s="37"/>
      <c r="T538" s="76"/>
      <c r="V538" s="128"/>
      <c r="W538" s="128"/>
      <c r="X538" s="128"/>
      <c r="Y538" s="139"/>
      <c r="AA538" s="73"/>
      <c r="AC538" s="79"/>
      <c r="AG538" s="76"/>
      <c r="AH538" s="76"/>
    </row>
    <row r="539" spans="9:34" x14ac:dyDescent="0.35">
      <c r="I539" s="109"/>
      <c r="J539" s="109"/>
      <c r="K539" s="109"/>
      <c r="M539" s="33"/>
      <c r="T539" s="76"/>
      <c r="V539" s="128"/>
      <c r="W539" s="128"/>
      <c r="X539" s="128"/>
      <c r="Y539" s="139"/>
      <c r="AA539" s="73"/>
      <c r="AC539" s="74"/>
      <c r="AG539" s="76"/>
      <c r="AH539" s="76"/>
    </row>
    <row r="540" spans="9:34" x14ac:dyDescent="0.35">
      <c r="I540" s="109"/>
      <c r="J540" s="109"/>
      <c r="K540" s="109"/>
      <c r="M540" s="34"/>
      <c r="T540" s="76"/>
      <c r="V540" s="128"/>
      <c r="W540" s="128"/>
      <c r="X540" s="128"/>
      <c r="Y540" s="139"/>
      <c r="AA540" s="73"/>
      <c r="AC540" s="77"/>
      <c r="AG540" s="76"/>
      <c r="AH540" s="76"/>
    </row>
    <row r="541" spans="9:34" x14ac:dyDescent="0.35">
      <c r="I541" s="109"/>
      <c r="J541" s="109"/>
      <c r="K541" s="109"/>
      <c r="M541" s="37"/>
      <c r="T541" s="76"/>
      <c r="V541" s="128"/>
      <c r="W541" s="128"/>
      <c r="X541" s="128"/>
      <c r="Y541" s="139"/>
      <c r="AA541" s="73"/>
      <c r="AC541" s="79"/>
      <c r="AG541" s="76"/>
      <c r="AH541" s="76"/>
    </row>
    <row r="542" spans="9:34" x14ac:dyDescent="0.35">
      <c r="I542" s="109"/>
      <c r="J542" s="109"/>
      <c r="K542" s="109"/>
      <c r="M542" s="37"/>
      <c r="T542" s="76"/>
      <c r="V542" s="128"/>
      <c r="W542" s="128"/>
      <c r="X542" s="128"/>
      <c r="Y542" s="139"/>
      <c r="AA542" s="73"/>
      <c r="AC542" s="79"/>
      <c r="AG542" s="76"/>
      <c r="AH542" s="76"/>
    </row>
    <row r="543" spans="9:34" x14ac:dyDescent="0.35">
      <c r="I543" s="109"/>
      <c r="J543" s="109"/>
      <c r="K543" s="109"/>
      <c r="M543" s="34"/>
      <c r="T543" s="76"/>
      <c r="V543" s="128"/>
      <c r="W543" s="128"/>
      <c r="X543" s="128"/>
      <c r="Y543" s="139"/>
      <c r="AA543" s="73"/>
      <c r="AC543" s="77"/>
      <c r="AG543" s="76"/>
      <c r="AH543" s="76"/>
    </row>
    <row r="544" spans="9:34" x14ac:dyDescent="0.35">
      <c r="I544" s="109"/>
      <c r="J544" s="109"/>
      <c r="K544" s="109"/>
      <c r="M544" s="37"/>
      <c r="T544" s="76"/>
      <c r="V544" s="128"/>
      <c r="W544" s="128"/>
      <c r="X544" s="128"/>
      <c r="Y544" s="139"/>
      <c r="AA544" s="73"/>
      <c r="AC544" s="79"/>
      <c r="AG544" s="76"/>
      <c r="AH544" s="76"/>
    </row>
    <row r="545" spans="9:34" x14ac:dyDescent="0.35">
      <c r="I545" s="109"/>
      <c r="J545" s="109"/>
      <c r="K545" s="109"/>
      <c r="M545" s="37"/>
      <c r="T545" s="76"/>
      <c r="V545" s="128"/>
      <c r="W545" s="128"/>
      <c r="X545" s="128"/>
      <c r="Y545" s="139"/>
      <c r="AA545" s="73"/>
      <c r="AC545" s="79"/>
      <c r="AG545" s="76"/>
      <c r="AH545" s="76"/>
    </row>
    <row r="546" spans="9:34" x14ac:dyDescent="0.35">
      <c r="I546" s="109"/>
      <c r="J546" s="109"/>
      <c r="K546" s="109"/>
      <c r="M546" s="34"/>
      <c r="T546" s="76"/>
      <c r="V546" s="128"/>
      <c r="W546" s="128"/>
      <c r="X546" s="128"/>
      <c r="Y546" s="139"/>
      <c r="AA546" s="73"/>
      <c r="AC546" s="77"/>
      <c r="AG546" s="76"/>
      <c r="AH546" s="76"/>
    </row>
    <row r="547" spans="9:34" x14ac:dyDescent="0.35">
      <c r="I547" s="109"/>
      <c r="J547" s="109"/>
      <c r="K547" s="109"/>
      <c r="M547" s="33"/>
      <c r="T547" s="76"/>
      <c r="V547" s="128"/>
      <c r="W547" s="128"/>
      <c r="X547" s="128"/>
      <c r="Y547" s="139"/>
      <c r="AA547" s="73"/>
      <c r="AC547" s="74"/>
      <c r="AG547" s="76"/>
      <c r="AH547" s="76"/>
    </row>
    <row r="548" spans="9:34" x14ac:dyDescent="0.35">
      <c r="I548" s="109"/>
      <c r="J548" s="109"/>
      <c r="K548" s="109"/>
      <c r="M548" s="37"/>
      <c r="T548" s="76"/>
      <c r="V548" s="128"/>
      <c r="W548" s="128"/>
      <c r="X548" s="128"/>
      <c r="Y548" s="139"/>
      <c r="AA548" s="73"/>
      <c r="AC548" s="79"/>
      <c r="AG548" s="76"/>
      <c r="AH548" s="76"/>
    </row>
    <row r="549" spans="9:34" x14ac:dyDescent="0.35">
      <c r="I549" s="109"/>
      <c r="J549" s="109"/>
      <c r="K549" s="109"/>
      <c r="M549" s="37"/>
      <c r="T549" s="76"/>
      <c r="V549" s="128"/>
      <c r="W549" s="128"/>
      <c r="X549" s="128"/>
      <c r="Y549" s="139"/>
      <c r="AA549" s="73"/>
      <c r="AC549" s="79"/>
      <c r="AG549" s="76"/>
      <c r="AH549" s="76"/>
    </row>
    <row r="550" spans="9:34" x14ac:dyDescent="0.35">
      <c r="I550" s="109"/>
      <c r="J550" s="109"/>
      <c r="K550" s="109"/>
      <c r="M550" s="34"/>
      <c r="T550" s="76"/>
      <c r="V550" s="128"/>
      <c r="W550" s="128"/>
      <c r="X550" s="128"/>
      <c r="Y550" s="139"/>
      <c r="AA550" s="73"/>
      <c r="AC550" s="77"/>
      <c r="AG550" s="76"/>
      <c r="AH550" s="76"/>
    </row>
    <row r="551" spans="9:34" x14ac:dyDescent="0.35">
      <c r="I551" s="109"/>
      <c r="J551" s="109"/>
      <c r="K551" s="109"/>
      <c r="M551" s="37"/>
      <c r="T551" s="76"/>
      <c r="V551" s="128"/>
      <c r="W551" s="128"/>
      <c r="X551" s="128"/>
      <c r="Y551" s="139"/>
      <c r="AA551" s="73"/>
      <c r="AC551" s="79"/>
      <c r="AG551" s="76"/>
      <c r="AH551" s="76"/>
    </row>
    <row r="552" spans="9:34" x14ac:dyDescent="0.35">
      <c r="I552" s="109"/>
      <c r="J552" s="109"/>
      <c r="K552" s="109"/>
      <c r="M552" s="37"/>
      <c r="T552" s="76"/>
      <c r="V552" s="128"/>
      <c r="W552" s="128"/>
      <c r="X552" s="128"/>
      <c r="Y552" s="139"/>
      <c r="AA552" s="73"/>
      <c r="AC552" s="79"/>
      <c r="AG552" s="76"/>
      <c r="AH552" s="76"/>
    </row>
    <row r="553" spans="9:34" x14ac:dyDescent="0.35">
      <c r="I553" s="109"/>
      <c r="J553" s="109"/>
      <c r="K553" s="109"/>
      <c r="M553" s="34"/>
      <c r="T553" s="76"/>
      <c r="V553" s="128"/>
      <c r="W553" s="128"/>
      <c r="X553" s="128"/>
      <c r="Y553" s="139"/>
      <c r="AA553" s="73"/>
      <c r="AC553" s="77"/>
      <c r="AG553" s="76"/>
      <c r="AH553" s="76"/>
    </row>
    <row r="554" spans="9:34" x14ac:dyDescent="0.35">
      <c r="I554" s="109"/>
      <c r="J554" s="109"/>
      <c r="K554" s="109"/>
      <c r="M554" s="33"/>
      <c r="T554" s="76"/>
      <c r="V554" s="128"/>
      <c r="W554" s="128"/>
      <c r="X554" s="128"/>
      <c r="Y554" s="139"/>
      <c r="AA554" s="73"/>
      <c r="AC554" s="74"/>
      <c r="AG554" s="76"/>
      <c r="AH554" s="76"/>
    </row>
    <row r="555" spans="9:34" x14ac:dyDescent="0.35">
      <c r="I555" s="109"/>
      <c r="J555" s="109"/>
      <c r="K555" s="109"/>
      <c r="M555" s="37"/>
      <c r="T555" s="76"/>
      <c r="V555" s="128"/>
      <c r="W555" s="128"/>
      <c r="X555" s="128"/>
      <c r="Y555" s="139"/>
      <c r="AA555" s="73"/>
      <c r="AC555" s="79"/>
      <c r="AH555" s="76"/>
    </row>
    <row r="556" spans="9:34" x14ac:dyDescent="0.35">
      <c r="I556" s="109"/>
      <c r="J556" s="109"/>
      <c r="K556" s="109"/>
      <c r="M556" s="37"/>
      <c r="T556" s="76"/>
      <c r="V556" s="128"/>
      <c r="W556" s="128"/>
      <c r="X556" s="128"/>
      <c r="Y556" s="139"/>
      <c r="AA556" s="73"/>
      <c r="AC556" s="79"/>
      <c r="AH556" s="76"/>
    </row>
    <row r="557" spans="9:34" x14ac:dyDescent="0.35">
      <c r="I557" s="109"/>
      <c r="J557" s="109"/>
      <c r="K557" s="109"/>
      <c r="M557" s="34"/>
      <c r="T557" s="76"/>
      <c r="V557" s="128"/>
      <c r="W557" s="128"/>
      <c r="X557" s="128"/>
      <c r="Y557" s="139"/>
      <c r="AA557" s="73"/>
      <c r="AC557" s="77"/>
      <c r="AH557" s="76"/>
    </row>
    <row r="558" spans="9:34" x14ac:dyDescent="0.35">
      <c r="I558" s="109"/>
      <c r="J558" s="109"/>
      <c r="K558" s="109"/>
      <c r="M558" s="37"/>
      <c r="T558" s="76"/>
      <c r="V558" s="128"/>
      <c r="W558" s="128"/>
      <c r="X558" s="128"/>
      <c r="Y558" s="139"/>
      <c r="AA558" s="73"/>
      <c r="AC558" s="79"/>
      <c r="AH558" s="76"/>
    </row>
    <row r="559" spans="9:34" x14ac:dyDescent="0.35">
      <c r="I559" s="109"/>
      <c r="J559" s="109"/>
      <c r="K559" s="109"/>
      <c r="M559" s="37"/>
      <c r="T559" s="76"/>
      <c r="V559" s="128"/>
      <c r="W559" s="128"/>
      <c r="X559" s="128"/>
      <c r="Y559" s="139"/>
      <c r="AA559" s="73"/>
      <c r="AC559" s="79"/>
      <c r="AH559" s="76"/>
    </row>
    <row r="560" spans="9:34" x14ac:dyDescent="0.35">
      <c r="I560" s="109"/>
      <c r="J560" s="109"/>
      <c r="K560" s="109"/>
      <c r="M560" s="34"/>
      <c r="T560" s="76"/>
      <c r="V560" s="128"/>
      <c r="W560" s="128"/>
      <c r="X560" s="128"/>
      <c r="Y560" s="139"/>
      <c r="AA560" s="73"/>
      <c r="AC560" s="77"/>
      <c r="AH560" s="76"/>
    </row>
    <row r="561" spans="9:34" x14ac:dyDescent="0.35">
      <c r="I561" s="109"/>
      <c r="J561" s="109"/>
      <c r="K561" s="109"/>
      <c r="M561" s="37"/>
      <c r="T561" s="76"/>
      <c r="V561" s="128"/>
      <c r="W561" s="128"/>
      <c r="X561" s="128"/>
      <c r="Y561" s="139"/>
      <c r="AA561" s="73"/>
      <c r="AC561" s="79"/>
      <c r="AH561" s="76"/>
    </row>
    <row r="562" spans="9:34" x14ac:dyDescent="0.35">
      <c r="I562" s="109"/>
      <c r="J562" s="109"/>
      <c r="K562" s="109"/>
      <c r="M562" s="33"/>
      <c r="T562" s="76"/>
      <c r="V562" s="128"/>
      <c r="W562" s="128"/>
      <c r="X562" s="128"/>
      <c r="Y562" s="139"/>
      <c r="AA562" s="73"/>
      <c r="AC562" s="74"/>
      <c r="AH562" s="76"/>
    </row>
    <row r="563" spans="9:34" x14ac:dyDescent="0.35">
      <c r="I563" s="109"/>
      <c r="J563" s="109"/>
      <c r="K563" s="109"/>
      <c r="M563" s="37"/>
      <c r="T563" s="76"/>
      <c r="V563" s="128"/>
      <c r="W563" s="128"/>
      <c r="X563" s="128"/>
      <c r="Y563" s="139"/>
      <c r="AA563" s="73"/>
      <c r="AC563" s="79"/>
      <c r="AH563" s="76"/>
    </row>
    <row r="564" spans="9:34" x14ac:dyDescent="0.35">
      <c r="I564" s="109"/>
      <c r="J564" s="109"/>
      <c r="K564" s="109"/>
      <c r="M564" s="34"/>
      <c r="T564" s="76"/>
      <c r="V564" s="128"/>
      <c r="W564" s="128"/>
      <c r="X564" s="128"/>
      <c r="Y564" s="139"/>
      <c r="AA564" s="73"/>
      <c r="AC564" s="77"/>
      <c r="AH564" s="76"/>
    </row>
    <row r="565" spans="9:34" x14ac:dyDescent="0.35">
      <c r="I565" s="109"/>
      <c r="J565" s="109"/>
      <c r="K565" s="109"/>
      <c r="M565" s="37"/>
      <c r="T565" s="76"/>
      <c r="V565" s="128"/>
      <c r="W565" s="128"/>
      <c r="X565" s="128"/>
      <c r="Y565" s="139"/>
      <c r="AA565" s="73"/>
      <c r="AC565" s="79"/>
      <c r="AH565" s="76"/>
    </row>
    <row r="566" spans="9:34" x14ac:dyDescent="0.35">
      <c r="I566" s="109"/>
      <c r="J566" s="109"/>
      <c r="K566" s="109"/>
      <c r="M566" s="37"/>
      <c r="T566" s="76"/>
      <c r="V566" s="128"/>
      <c r="W566" s="128"/>
      <c r="X566" s="128"/>
      <c r="Y566" s="139"/>
      <c r="AA566" s="73"/>
      <c r="AC566" s="79"/>
      <c r="AH566" s="76"/>
    </row>
    <row r="567" spans="9:34" x14ac:dyDescent="0.35">
      <c r="I567" s="109"/>
      <c r="J567" s="109"/>
      <c r="K567" s="109"/>
      <c r="M567" s="34"/>
      <c r="T567" s="76"/>
      <c r="V567" s="128"/>
      <c r="W567" s="128"/>
      <c r="X567" s="128"/>
      <c r="Y567" s="139"/>
      <c r="AA567" s="73"/>
      <c r="AC567" s="77"/>
      <c r="AH567" s="76"/>
    </row>
    <row r="568" spans="9:34" x14ac:dyDescent="0.35">
      <c r="I568" s="109"/>
      <c r="J568" s="109"/>
      <c r="K568" s="109"/>
      <c r="M568" s="37"/>
      <c r="T568" s="76"/>
      <c r="V568" s="128"/>
      <c r="W568" s="128"/>
      <c r="X568" s="128"/>
      <c r="Y568" s="139"/>
      <c r="AA568" s="73"/>
      <c r="AC568" s="79"/>
      <c r="AH568" s="76"/>
    </row>
    <row r="569" spans="9:34" x14ac:dyDescent="0.35">
      <c r="I569" s="109"/>
      <c r="J569" s="109"/>
      <c r="K569" s="109"/>
      <c r="M569" s="33"/>
      <c r="T569" s="76"/>
      <c r="V569" s="128"/>
      <c r="W569" s="128"/>
      <c r="X569" s="128"/>
      <c r="Y569" s="139"/>
      <c r="AA569" s="73"/>
      <c r="AC569" s="74"/>
      <c r="AH569" s="76"/>
    </row>
    <row r="570" spans="9:34" x14ac:dyDescent="0.35">
      <c r="I570" s="109"/>
      <c r="J570" s="109"/>
      <c r="K570" s="109"/>
      <c r="M570" s="37"/>
      <c r="T570" s="76"/>
      <c r="V570" s="128"/>
      <c r="W570" s="128"/>
      <c r="X570" s="128"/>
      <c r="Y570" s="139"/>
      <c r="AA570" s="73"/>
      <c r="AC570" s="79"/>
      <c r="AH570" s="76"/>
    </row>
    <row r="571" spans="9:34" x14ac:dyDescent="0.35">
      <c r="I571" s="109"/>
      <c r="J571" s="109"/>
      <c r="K571" s="109"/>
      <c r="M571" s="34"/>
      <c r="T571" s="76"/>
      <c r="V571" s="128"/>
      <c r="W571" s="128"/>
      <c r="X571" s="128"/>
      <c r="Y571" s="139"/>
      <c r="AA571" s="73"/>
      <c r="AC571" s="77"/>
      <c r="AH571" s="76"/>
    </row>
    <row r="572" spans="9:34" x14ac:dyDescent="0.35">
      <c r="I572" s="109"/>
      <c r="J572" s="109"/>
      <c r="K572" s="109"/>
      <c r="M572" s="37"/>
      <c r="T572" s="76"/>
      <c r="V572" s="128"/>
      <c r="W572" s="128"/>
      <c r="X572" s="128"/>
      <c r="Y572" s="139"/>
      <c r="AA572" s="73"/>
      <c r="AC572" s="79"/>
      <c r="AH572" s="76"/>
    </row>
    <row r="573" spans="9:34" x14ac:dyDescent="0.35">
      <c r="I573" s="109"/>
      <c r="J573" s="109"/>
      <c r="K573" s="109"/>
      <c r="M573" s="37"/>
      <c r="T573" s="76"/>
      <c r="V573" s="128"/>
      <c r="W573" s="128"/>
      <c r="X573" s="128"/>
      <c r="Y573" s="139"/>
      <c r="AA573" s="73"/>
      <c r="AC573" s="79"/>
      <c r="AH573" s="76"/>
    </row>
    <row r="574" spans="9:34" x14ac:dyDescent="0.35">
      <c r="I574" s="109"/>
      <c r="J574" s="109"/>
      <c r="K574" s="109"/>
      <c r="M574" s="34"/>
      <c r="V574" s="128"/>
      <c r="W574" s="128"/>
      <c r="X574" s="128"/>
      <c r="Y574" s="139"/>
      <c r="AA574" s="73"/>
      <c r="AC574" s="77"/>
    </row>
    <row r="575" spans="9:34" x14ac:dyDescent="0.35">
      <c r="I575" s="109"/>
      <c r="J575" s="109"/>
      <c r="K575" s="109"/>
      <c r="M575" s="33"/>
      <c r="V575" s="128"/>
      <c r="W575" s="128"/>
      <c r="X575" s="128"/>
      <c r="Y575" s="139"/>
      <c r="AA575" s="73"/>
      <c r="AC575" s="74"/>
    </row>
    <row r="576" spans="9:34" x14ac:dyDescent="0.35">
      <c r="I576" s="109"/>
      <c r="J576" s="109"/>
      <c r="K576" s="109"/>
      <c r="M576" s="37"/>
      <c r="V576" s="128"/>
      <c r="W576" s="128"/>
      <c r="X576" s="128"/>
      <c r="Y576" s="139"/>
      <c r="AA576" s="73"/>
      <c r="AC576" s="79"/>
    </row>
    <row r="577" spans="9:29" x14ac:dyDescent="0.35">
      <c r="I577" s="109"/>
      <c r="J577" s="109"/>
      <c r="K577" s="109"/>
      <c r="M577" s="34"/>
      <c r="V577" s="128"/>
      <c r="W577" s="128"/>
      <c r="X577" s="128"/>
      <c r="Y577" s="139"/>
      <c r="AA577" s="73"/>
      <c r="AC577" s="77"/>
    </row>
    <row r="578" spans="9:29" x14ac:dyDescent="0.35">
      <c r="I578" s="109"/>
      <c r="J578" s="109"/>
      <c r="K578" s="109"/>
      <c r="M578" s="37"/>
      <c r="V578" s="128"/>
      <c r="W578" s="128"/>
      <c r="X578" s="128"/>
      <c r="Y578" s="139"/>
      <c r="AA578" s="73"/>
      <c r="AC578" s="79"/>
    </row>
    <row r="579" spans="9:29" x14ac:dyDescent="0.35">
      <c r="I579" s="109"/>
      <c r="J579" s="109"/>
      <c r="K579" s="109"/>
      <c r="M579" s="37"/>
      <c r="V579" s="128"/>
      <c r="W579" s="128"/>
      <c r="X579" s="128"/>
      <c r="Y579" s="139"/>
      <c r="AA579" s="73"/>
      <c r="AC579" s="79"/>
    </row>
    <row r="580" spans="9:29" x14ac:dyDescent="0.35">
      <c r="I580" s="109"/>
      <c r="J580" s="109"/>
      <c r="K580" s="109"/>
      <c r="M580" s="34"/>
      <c r="V580" s="128"/>
      <c r="W580" s="128"/>
      <c r="X580" s="128"/>
      <c r="Y580" s="139"/>
      <c r="AA580" s="73"/>
      <c r="AC580" s="77"/>
    </row>
    <row r="581" spans="9:29" x14ac:dyDescent="0.35">
      <c r="I581" s="109"/>
      <c r="J581" s="109"/>
      <c r="K581" s="109"/>
      <c r="M581" s="37"/>
      <c r="V581" s="128"/>
      <c r="W581" s="128"/>
      <c r="X581" s="128"/>
      <c r="Y581" s="139"/>
      <c r="AA581" s="73"/>
      <c r="AC581" s="79"/>
    </row>
    <row r="582" spans="9:29" x14ac:dyDescent="0.35">
      <c r="I582" s="109"/>
      <c r="J582" s="109"/>
      <c r="K582" s="109"/>
      <c r="M582" s="33"/>
      <c r="V582" s="128"/>
      <c r="W582" s="128"/>
      <c r="X582" s="128"/>
      <c r="Y582" s="139"/>
      <c r="AA582" s="73"/>
      <c r="AC582" s="74"/>
    </row>
    <row r="583" spans="9:29" x14ac:dyDescent="0.35">
      <c r="I583" s="109"/>
      <c r="J583" s="109"/>
      <c r="K583" s="109"/>
      <c r="M583" s="34"/>
      <c r="V583" s="128"/>
      <c r="W583" s="128"/>
      <c r="X583" s="128"/>
      <c r="Y583" s="139"/>
      <c r="AA583" s="73"/>
      <c r="AC583" s="77"/>
    </row>
    <row r="584" spans="9:29" x14ac:dyDescent="0.35">
      <c r="I584" s="109"/>
      <c r="J584" s="109"/>
      <c r="K584" s="109"/>
      <c r="M584" s="37"/>
      <c r="V584" s="128"/>
      <c r="W584" s="128"/>
      <c r="X584" s="128"/>
      <c r="Y584" s="139"/>
      <c r="AA584" s="73"/>
      <c r="AC584" s="79"/>
    </row>
    <row r="585" spans="9:29" x14ac:dyDescent="0.35">
      <c r="I585" s="109"/>
      <c r="J585" s="109"/>
      <c r="K585" s="109"/>
      <c r="M585" s="37"/>
      <c r="V585" s="128"/>
      <c r="W585" s="128"/>
      <c r="X585" s="128"/>
      <c r="Y585" s="139"/>
      <c r="AA585" s="73"/>
      <c r="AC585" s="79"/>
    </row>
    <row r="586" spans="9:29" x14ac:dyDescent="0.35">
      <c r="I586" s="109"/>
      <c r="J586" s="109"/>
      <c r="K586" s="109"/>
      <c r="M586" s="34"/>
      <c r="V586" s="128"/>
      <c r="W586" s="128"/>
      <c r="X586" s="128"/>
      <c r="Y586" s="139"/>
      <c r="AA586" s="73"/>
      <c r="AC586" s="77"/>
    </row>
    <row r="587" spans="9:29" x14ac:dyDescent="0.35">
      <c r="I587" s="109"/>
      <c r="J587" s="109"/>
      <c r="K587" s="109"/>
      <c r="M587" s="37"/>
      <c r="V587" s="128"/>
      <c r="W587" s="128"/>
      <c r="X587" s="128"/>
      <c r="Y587" s="139"/>
      <c r="AA587" s="73"/>
      <c r="AC587" s="79"/>
    </row>
    <row r="588" spans="9:29" x14ac:dyDescent="0.35">
      <c r="I588" s="109"/>
      <c r="J588" s="109"/>
      <c r="K588" s="109"/>
      <c r="M588" s="37"/>
      <c r="V588" s="128"/>
      <c r="W588" s="128"/>
      <c r="X588" s="128"/>
      <c r="Y588" s="139"/>
      <c r="AA588" s="73"/>
      <c r="AC588" s="79"/>
    </row>
    <row r="589" spans="9:29" x14ac:dyDescent="0.35">
      <c r="I589" s="109"/>
      <c r="J589" s="109"/>
      <c r="K589" s="109"/>
      <c r="M589" s="33"/>
      <c r="V589" s="128"/>
      <c r="W589" s="128"/>
      <c r="X589" s="128"/>
      <c r="Y589" s="139"/>
      <c r="AA589" s="73"/>
      <c r="AC589" s="74"/>
    </row>
    <row r="590" spans="9:29" x14ac:dyDescent="0.35">
      <c r="I590" s="109"/>
      <c r="J590" s="109"/>
      <c r="K590" s="109"/>
      <c r="M590" s="34"/>
      <c r="V590" s="128"/>
      <c r="W590" s="128"/>
      <c r="X590" s="128"/>
      <c r="Y590" s="139"/>
      <c r="AA590" s="73"/>
      <c r="AC590" s="77"/>
    </row>
    <row r="591" spans="9:29" x14ac:dyDescent="0.35">
      <c r="I591" s="109"/>
      <c r="J591" s="109"/>
      <c r="K591" s="109"/>
      <c r="M591" s="37"/>
      <c r="V591" s="128"/>
      <c r="W591" s="128"/>
      <c r="X591" s="128"/>
      <c r="Y591" s="139"/>
      <c r="AA591" s="73"/>
      <c r="AC591" s="79"/>
    </row>
    <row r="592" spans="9:29" x14ac:dyDescent="0.35">
      <c r="I592" s="109"/>
      <c r="J592" s="109"/>
      <c r="K592" s="109"/>
      <c r="M592" s="37"/>
      <c r="V592" s="128"/>
      <c r="W592" s="128"/>
      <c r="X592" s="128"/>
      <c r="Y592" s="139"/>
      <c r="AA592" s="73"/>
      <c r="AC592" s="79"/>
    </row>
    <row r="593" spans="9:35" x14ac:dyDescent="0.35">
      <c r="I593" s="109"/>
      <c r="J593" s="109"/>
      <c r="K593" s="109"/>
      <c r="M593" s="34"/>
      <c r="V593" s="128"/>
      <c r="W593" s="128"/>
      <c r="X593" s="128"/>
      <c r="Y593" s="139"/>
      <c r="AA593" s="73"/>
      <c r="AC593" s="77"/>
    </row>
    <row r="594" spans="9:35" x14ac:dyDescent="0.35">
      <c r="I594" s="109"/>
      <c r="J594" s="109"/>
      <c r="K594" s="109"/>
      <c r="M594" s="37"/>
      <c r="U594" s="131"/>
      <c r="V594" s="128"/>
      <c r="W594" s="128"/>
      <c r="X594" s="128"/>
      <c r="Y594" s="139"/>
      <c r="AA594" s="73"/>
      <c r="AC594" s="79"/>
    </row>
    <row r="595" spans="9:35" x14ac:dyDescent="0.35">
      <c r="I595" s="109"/>
      <c r="J595" s="109"/>
      <c r="K595" s="109"/>
      <c r="M595" s="34"/>
      <c r="V595" s="128"/>
      <c r="W595" s="128"/>
      <c r="X595" s="128"/>
      <c r="Y595" s="139"/>
      <c r="AA595" s="73"/>
      <c r="AC595" s="77"/>
      <c r="AI595" s="156"/>
    </row>
    <row r="596" spans="9:35" x14ac:dyDescent="0.35">
      <c r="I596" s="109"/>
      <c r="J596" s="109"/>
      <c r="K596" s="109"/>
      <c r="L596" s="154"/>
      <c r="M596" s="38"/>
      <c r="V596" s="128"/>
      <c r="W596" s="128"/>
      <c r="X596" s="128"/>
      <c r="Y596" s="139"/>
      <c r="AA596" s="73"/>
      <c r="AB596" s="80"/>
      <c r="AC596" s="80"/>
    </row>
    <row r="597" spans="9:35" x14ac:dyDescent="0.35">
      <c r="I597" s="109"/>
      <c r="J597" s="109"/>
      <c r="K597" s="109"/>
      <c r="M597" s="37"/>
      <c r="V597" s="128"/>
      <c r="W597" s="128"/>
      <c r="X597" s="128"/>
      <c r="Y597" s="139"/>
      <c r="AA597" s="73"/>
      <c r="AC597" s="79"/>
    </row>
    <row r="598" spans="9:35" x14ac:dyDescent="0.35">
      <c r="I598" s="109"/>
      <c r="J598" s="109"/>
      <c r="K598" s="109"/>
      <c r="M598" s="34"/>
      <c r="V598" s="128"/>
      <c r="W598" s="128"/>
      <c r="X598" s="128"/>
      <c r="Y598" s="139"/>
      <c r="AA598" s="73"/>
      <c r="AC598" s="77"/>
    </row>
    <row r="599" spans="9:35" x14ac:dyDescent="0.35">
      <c r="I599" s="109"/>
      <c r="J599" s="109"/>
      <c r="K599" s="109"/>
      <c r="M599" s="37"/>
      <c r="V599" s="128"/>
      <c r="W599" s="128"/>
      <c r="X599" s="128"/>
      <c r="Y599" s="139"/>
      <c r="AA599" s="73"/>
      <c r="AC599" s="79"/>
    </row>
    <row r="600" spans="9:35" x14ac:dyDescent="0.35">
      <c r="I600" s="109"/>
      <c r="J600" s="109"/>
      <c r="K600" s="109"/>
      <c r="M600" s="37"/>
      <c r="V600" s="128"/>
      <c r="W600" s="128"/>
      <c r="X600" s="128"/>
      <c r="Y600" s="139"/>
      <c r="AA600" s="73"/>
      <c r="AC600" s="79"/>
    </row>
    <row r="601" spans="9:35" x14ac:dyDescent="0.35">
      <c r="I601" s="109"/>
      <c r="J601" s="109"/>
      <c r="K601" s="109"/>
      <c r="M601" s="34"/>
      <c r="V601" s="128"/>
      <c r="W601" s="128"/>
      <c r="X601" s="128"/>
      <c r="Y601" s="139"/>
      <c r="AA601" s="73"/>
      <c r="AC601" s="77"/>
    </row>
    <row r="602" spans="9:35" x14ac:dyDescent="0.35">
      <c r="I602" s="109"/>
      <c r="J602" s="109"/>
      <c r="K602" s="109"/>
      <c r="M602" s="33"/>
      <c r="V602" s="128"/>
      <c r="W602" s="128"/>
      <c r="X602" s="128"/>
      <c r="Y602" s="139"/>
      <c r="AA602" s="73"/>
      <c r="AC602" s="74"/>
    </row>
    <row r="603" spans="9:35" x14ac:dyDescent="0.35">
      <c r="I603" s="109"/>
      <c r="J603" s="109"/>
      <c r="K603" s="109"/>
      <c r="M603" s="37"/>
      <c r="V603" s="128"/>
      <c r="W603" s="128"/>
      <c r="X603" s="128"/>
      <c r="Y603" s="139"/>
      <c r="AA603" s="73"/>
      <c r="AC603" s="79"/>
    </row>
    <row r="604" spans="9:35" x14ac:dyDescent="0.35">
      <c r="I604" s="109"/>
      <c r="J604" s="109"/>
      <c r="K604" s="109"/>
      <c r="M604" s="37"/>
      <c r="V604" s="128"/>
      <c r="W604" s="128"/>
      <c r="X604" s="128"/>
      <c r="Y604" s="139"/>
      <c r="AA604" s="73"/>
      <c r="AC604" s="79"/>
    </row>
    <row r="605" spans="9:35" x14ac:dyDescent="0.35">
      <c r="I605" s="109"/>
      <c r="J605" s="109"/>
      <c r="K605" s="109"/>
      <c r="M605" s="34"/>
      <c r="V605" s="128"/>
      <c r="W605" s="128"/>
      <c r="X605" s="128"/>
      <c r="Y605" s="139"/>
      <c r="AA605" s="73"/>
      <c r="AC605" s="77"/>
    </row>
    <row r="606" spans="9:35" x14ac:dyDescent="0.35">
      <c r="I606" s="109"/>
      <c r="J606" s="109"/>
      <c r="K606" s="109"/>
      <c r="M606" s="37"/>
      <c r="V606" s="128"/>
      <c r="W606" s="128"/>
      <c r="X606" s="128"/>
      <c r="Y606" s="139"/>
      <c r="AA606" s="73"/>
      <c r="AC606" s="79"/>
    </row>
    <row r="607" spans="9:35" x14ac:dyDescent="0.35">
      <c r="I607" s="109"/>
      <c r="J607" s="109"/>
      <c r="K607" s="109"/>
      <c r="M607" s="37"/>
      <c r="V607" s="128"/>
      <c r="W607" s="128"/>
      <c r="X607" s="128"/>
      <c r="Y607" s="139"/>
      <c r="AA607" s="73"/>
      <c r="AC607" s="79"/>
    </row>
    <row r="608" spans="9:35" x14ac:dyDescent="0.35">
      <c r="I608" s="109"/>
      <c r="J608" s="109"/>
      <c r="K608" s="109"/>
      <c r="M608" s="34"/>
      <c r="V608" s="128"/>
      <c r="W608" s="128"/>
      <c r="X608" s="128"/>
      <c r="Y608" s="139"/>
      <c r="AA608" s="73"/>
      <c r="AC608" s="77"/>
    </row>
    <row r="609" spans="9:29" x14ac:dyDescent="0.35">
      <c r="I609" s="109"/>
      <c r="J609" s="109"/>
      <c r="K609" s="109"/>
      <c r="M609" s="37"/>
      <c r="V609" s="128"/>
      <c r="W609" s="128"/>
      <c r="X609" s="128"/>
      <c r="Y609" s="139"/>
      <c r="AA609" s="73"/>
      <c r="AC609" s="79"/>
    </row>
    <row r="610" spans="9:29" x14ac:dyDescent="0.35">
      <c r="I610" s="109"/>
      <c r="J610" s="109"/>
      <c r="K610" s="109"/>
      <c r="M610" s="33"/>
      <c r="V610" s="128"/>
      <c r="W610" s="128"/>
      <c r="X610" s="128"/>
      <c r="Y610" s="139"/>
      <c r="AA610" s="73"/>
      <c r="AC610" s="74"/>
    </row>
    <row r="611" spans="9:29" x14ac:dyDescent="0.35">
      <c r="I611" s="109"/>
      <c r="J611" s="109"/>
      <c r="K611" s="109"/>
      <c r="M611" s="37"/>
      <c r="V611" s="128"/>
      <c r="W611" s="128"/>
      <c r="X611" s="128"/>
      <c r="Y611" s="139"/>
      <c r="AA611" s="73"/>
      <c r="AC611" s="79"/>
    </row>
    <row r="612" spans="9:29" x14ac:dyDescent="0.35">
      <c r="I612" s="109"/>
      <c r="J612" s="109"/>
      <c r="K612" s="109"/>
      <c r="M612" s="34"/>
      <c r="V612" s="128"/>
      <c r="W612" s="128"/>
      <c r="X612" s="128"/>
      <c r="Y612" s="139"/>
      <c r="AA612" s="73"/>
      <c r="AC612" s="77"/>
    </row>
    <row r="613" spans="9:29" x14ac:dyDescent="0.35">
      <c r="I613" s="109"/>
      <c r="J613" s="109"/>
      <c r="K613" s="109"/>
      <c r="M613" s="37"/>
      <c r="V613" s="128"/>
      <c r="W613" s="128"/>
      <c r="X613" s="128"/>
      <c r="Y613" s="139"/>
      <c r="AA613" s="73"/>
      <c r="AC613" s="79"/>
    </row>
    <row r="614" spans="9:29" x14ac:dyDescent="0.35">
      <c r="I614" s="109"/>
      <c r="J614" s="109"/>
      <c r="K614" s="109"/>
      <c r="M614" s="37"/>
      <c r="V614" s="128"/>
      <c r="W614" s="128"/>
      <c r="X614" s="128"/>
      <c r="Y614" s="139"/>
      <c r="AA614" s="73"/>
      <c r="AC614" s="79"/>
    </row>
    <row r="615" spans="9:29" x14ac:dyDescent="0.35">
      <c r="I615" s="109"/>
      <c r="J615" s="109"/>
      <c r="K615" s="109"/>
      <c r="M615" s="34"/>
      <c r="V615" s="128"/>
      <c r="W615" s="128"/>
      <c r="X615" s="128"/>
      <c r="Y615" s="139"/>
      <c r="AA615" s="73"/>
      <c r="AC615" s="77"/>
    </row>
    <row r="616" spans="9:29" x14ac:dyDescent="0.35">
      <c r="I616" s="109"/>
      <c r="J616" s="109"/>
      <c r="K616" s="109"/>
      <c r="M616" s="37"/>
      <c r="V616" s="128"/>
      <c r="W616" s="128"/>
      <c r="X616" s="128"/>
      <c r="Y616" s="139"/>
      <c r="AA616" s="73"/>
      <c r="AC616" s="79"/>
    </row>
    <row r="617" spans="9:29" x14ac:dyDescent="0.35">
      <c r="I617" s="109"/>
      <c r="J617" s="109"/>
      <c r="K617" s="109"/>
      <c r="M617" s="33"/>
      <c r="V617" s="128"/>
      <c r="W617" s="128"/>
      <c r="X617" s="128"/>
      <c r="Y617" s="139"/>
      <c r="AA617" s="73"/>
      <c r="AC617" s="74"/>
    </row>
    <row r="618" spans="9:29" x14ac:dyDescent="0.35">
      <c r="I618" s="109"/>
      <c r="J618" s="109"/>
      <c r="K618" s="109"/>
      <c r="M618" s="37"/>
      <c r="V618" s="128"/>
      <c r="W618" s="128"/>
      <c r="X618" s="128"/>
      <c r="Y618" s="139"/>
      <c r="AA618" s="73"/>
      <c r="AC618" s="79"/>
    </row>
    <row r="619" spans="9:29" x14ac:dyDescent="0.35">
      <c r="I619" s="109"/>
      <c r="J619" s="109"/>
      <c r="K619" s="109"/>
      <c r="M619" s="34"/>
      <c r="V619" s="128"/>
      <c r="W619" s="128"/>
      <c r="X619" s="128"/>
      <c r="Y619" s="139"/>
      <c r="AA619" s="73"/>
      <c r="AC619" s="77"/>
    </row>
    <row r="620" spans="9:29" x14ac:dyDescent="0.35">
      <c r="I620" s="109"/>
      <c r="J620" s="109"/>
      <c r="K620" s="109"/>
      <c r="M620" s="37"/>
      <c r="V620" s="128"/>
      <c r="W620" s="128"/>
      <c r="X620" s="128"/>
      <c r="Y620" s="139"/>
      <c r="AA620" s="73"/>
      <c r="AC620" s="79"/>
    </row>
    <row r="621" spans="9:29" x14ac:dyDescent="0.35">
      <c r="I621" s="109"/>
      <c r="J621" s="109"/>
      <c r="K621" s="109"/>
      <c r="M621" s="37"/>
      <c r="V621" s="128"/>
      <c r="W621" s="128"/>
      <c r="X621" s="128"/>
      <c r="Y621" s="139"/>
      <c r="AA621" s="73"/>
      <c r="AC621" s="79"/>
    </row>
    <row r="622" spans="9:29" x14ac:dyDescent="0.35">
      <c r="I622" s="109"/>
      <c r="J622" s="109"/>
      <c r="K622" s="109"/>
      <c r="M622" s="34"/>
      <c r="V622" s="128"/>
      <c r="W622" s="128"/>
      <c r="X622" s="128"/>
      <c r="Y622" s="139"/>
      <c r="AA622" s="73"/>
      <c r="AC622" s="77"/>
    </row>
    <row r="623" spans="9:29" x14ac:dyDescent="0.35">
      <c r="I623" s="109"/>
      <c r="J623" s="109"/>
      <c r="K623" s="109"/>
      <c r="M623" s="37"/>
      <c r="V623" s="128"/>
      <c r="W623" s="128"/>
      <c r="X623" s="128"/>
      <c r="Y623" s="139"/>
      <c r="AA623" s="73"/>
      <c r="AC623" s="79"/>
    </row>
    <row r="624" spans="9:29" x14ac:dyDescent="0.35">
      <c r="I624" s="109"/>
      <c r="J624" s="109"/>
      <c r="K624" s="109"/>
      <c r="M624" s="33"/>
      <c r="V624" s="128"/>
      <c r="W624" s="128"/>
      <c r="X624" s="128"/>
      <c r="Y624" s="139"/>
      <c r="AA624" s="73"/>
      <c r="AC624" s="74"/>
    </row>
    <row r="625" spans="9:29" x14ac:dyDescent="0.35">
      <c r="I625" s="109"/>
      <c r="J625" s="109"/>
      <c r="K625" s="109"/>
      <c r="M625" s="37"/>
      <c r="V625" s="128"/>
      <c r="W625" s="128"/>
      <c r="X625" s="128"/>
      <c r="Y625" s="139"/>
      <c r="AA625" s="73"/>
      <c r="AC625" s="79"/>
    </row>
    <row r="626" spans="9:29" x14ac:dyDescent="0.35">
      <c r="I626" s="109"/>
      <c r="J626" s="109"/>
      <c r="K626" s="109"/>
      <c r="M626" s="34"/>
      <c r="V626" s="128"/>
      <c r="W626" s="128"/>
      <c r="X626" s="128"/>
      <c r="Y626" s="139"/>
      <c r="AA626" s="73"/>
      <c r="AC626" s="77"/>
    </row>
    <row r="627" spans="9:29" x14ac:dyDescent="0.35">
      <c r="I627" s="109"/>
      <c r="J627" s="109"/>
      <c r="K627" s="109"/>
      <c r="M627" s="37"/>
      <c r="V627" s="128"/>
      <c r="W627" s="128"/>
      <c r="X627" s="128"/>
      <c r="Y627" s="139"/>
      <c r="AA627" s="73"/>
      <c r="AC627" s="79"/>
    </row>
    <row r="628" spans="9:29" x14ac:dyDescent="0.35">
      <c r="I628" s="109"/>
      <c r="J628" s="109"/>
      <c r="K628" s="109"/>
      <c r="M628" s="37"/>
      <c r="V628" s="128"/>
      <c r="W628" s="128"/>
      <c r="X628" s="128"/>
      <c r="Y628" s="139"/>
      <c r="AA628" s="73"/>
      <c r="AC628" s="79"/>
    </row>
    <row r="629" spans="9:29" x14ac:dyDescent="0.35">
      <c r="I629" s="109"/>
      <c r="J629" s="109"/>
      <c r="K629" s="109"/>
      <c r="M629" s="34"/>
      <c r="V629" s="128"/>
      <c r="W629" s="128"/>
      <c r="X629" s="128"/>
      <c r="Y629" s="139"/>
      <c r="AA629" s="73"/>
      <c r="AC629" s="77"/>
    </row>
    <row r="630" spans="9:29" x14ac:dyDescent="0.35">
      <c r="I630" s="109"/>
      <c r="J630" s="109"/>
      <c r="K630" s="109"/>
      <c r="M630" s="37"/>
      <c r="V630" s="128"/>
      <c r="W630" s="128"/>
      <c r="X630" s="128"/>
      <c r="Y630" s="139"/>
      <c r="AA630" s="73"/>
      <c r="AC630" s="79"/>
    </row>
    <row r="631" spans="9:29" x14ac:dyDescent="0.35">
      <c r="I631" s="109"/>
      <c r="J631" s="109"/>
      <c r="K631" s="109"/>
      <c r="M631" s="33"/>
      <c r="V631" s="128"/>
      <c r="W631" s="128"/>
      <c r="X631" s="128"/>
      <c r="Y631" s="139"/>
      <c r="AA631" s="73"/>
      <c r="AC631" s="74"/>
    </row>
    <row r="632" spans="9:29" x14ac:dyDescent="0.35">
      <c r="I632" s="109"/>
      <c r="J632" s="109"/>
      <c r="K632" s="109"/>
      <c r="M632" s="34"/>
      <c r="V632" s="128"/>
      <c r="W632" s="128"/>
      <c r="X632" s="128"/>
      <c r="Y632" s="139"/>
      <c r="AA632" s="73"/>
      <c r="AC632" s="77"/>
    </row>
    <row r="633" spans="9:29" x14ac:dyDescent="0.35">
      <c r="I633" s="109"/>
      <c r="J633" s="109"/>
      <c r="K633" s="109"/>
      <c r="M633" s="37"/>
      <c r="V633" s="128"/>
      <c r="W633" s="128"/>
      <c r="X633" s="128"/>
      <c r="Y633" s="139"/>
      <c r="AA633" s="73"/>
      <c r="AC633" s="79"/>
    </row>
    <row r="634" spans="9:29" x14ac:dyDescent="0.35">
      <c r="I634" s="109"/>
      <c r="J634" s="109"/>
      <c r="K634" s="109"/>
      <c r="M634" s="37"/>
      <c r="V634" s="128"/>
      <c r="W634" s="128"/>
      <c r="X634" s="128"/>
      <c r="Y634" s="139"/>
      <c r="AA634" s="73"/>
      <c r="AC634" s="79"/>
    </row>
    <row r="635" spans="9:29" x14ac:dyDescent="0.35">
      <c r="I635" s="109"/>
      <c r="J635" s="109"/>
      <c r="K635" s="109"/>
      <c r="M635" s="34"/>
      <c r="V635" s="128"/>
      <c r="W635" s="128"/>
      <c r="X635" s="128"/>
      <c r="Y635" s="139"/>
      <c r="AA635" s="73"/>
      <c r="AC635" s="77"/>
    </row>
    <row r="636" spans="9:29" x14ac:dyDescent="0.35">
      <c r="I636" s="109"/>
      <c r="J636" s="109"/>
      <c r="K636" s="109"/>
      <c r="M636" s="37"/>
      <c r="V636" s="128"/>
      <c r="W636" s="128"/>
      <c r="X636" s="128"/>
      <c r="Y636" s="139"/>
      <c r="AA636" s="73"/>
      <c r="AC636" s="79"/>
    </row>
    <row r="637" spans="9:29" x14ac:dyDescent="0.35">
      <c r="I637" s="109"/>
      <c r="J637" s="109"/>
      <c r="K637" s="109"/>
      <c r="M637" s="37"/>
      <c r="V637" s="128"/>
      <c r="W637" s="128"/>
      <c r="X637" s="128"/>
      <c r="Y637" s="139"/>
      <c r="AA637" s="73"/>
      <c r="AC637" s="79"/>
    </row>
    <row r="638" spans="9:29" x14ac:dyDescent="0.35">
      <c r="I638" s="109"/>
      <c r="J638" s="109"/>
      <c r="K638" s="109"/>
      <c r="M638" s="36"/>
      <c r="V638" s="128"/>
      <c r="W638" s="128"/>
      <c r="X638" s="128"/>
      <c r="Y638" s="139"/>
      <c r="AA638" s="73"/>
      <c r="AC638" s="78"/>
    </row>
    <row r="639" spans="9:29" x14ac:dyDescent="0.35">
      <c r="I639" s="109"/>
      <c r="J639" s="109"/>
      <c r="K639" s="109"/>
      <c r="M639" s="34"/>
      <c r="V639" s="128"/>
      <c r="W639" s="128"/>
      <c r="X639" s="128"/>
      <c r="Y639" s="139"/>
      <c r="AA639" s="73"/>
      <c r="AC639" s="77"/>
    </row>
    <row r="640" spans="9:29" x14ac:dyDescent="0.35">
      <c r="I640" s="109"/>
      <c r="J640" s="109"/>
      <c r="K640" s="109"/>
      <c r="M640" s="37"/>
      <c r="V640" s="128"/>
      <c r="W640" s="128"/>
      <c r="X640" s="128"/>
      <c r="Y640" s="139"/>
      <c r="AA640" s="73"/>
      <c r="AC640" s="79"/>
    </row>
    <row r="641" spans="9:29" x14ac:dyDescent="0.35">
      <c r="I641" s="109"/>
      <c r="J641" s="109"/>
      <c r="K641" s="109"/>
      <c r="M641" s="37"/>
      <c r="V641" s="128"/>
      <c r="W641" s="128"/>
      <c r="X641" s="128"/>
      <c r="Y641" s="139"/>
      <c r="AA641" s="73"/>
      <c r="AC641" s="79"/>
    </row>
    <row r="642" spans="9:29" x14ac:dyDescent="0.35">
      <c r="I642" s="109"/>
      <c r="J642" s="109"/>
      <c r="K642" s="109"/>
      <c r="M642" s="34"/>
      <c r="V642" s="128"/>
      <c r="W642" s="128"/>
      <c r="X642" s="128"/>
      <c r="Y642" s="139"/>
      <c r="AA642" s="73"/>
      <c r="AC642" s="77"/>
    </row>
    <row r="643" spans="9:29" x14ac:dyDescent="0.35">
      <c r="I643" s="109"/>
      <c r="J643" s="109"/>
      <c r="K643" s="109"/>
      <c r="M643" s="37"/>
      <c r="V643" s="128"/>
      <c r="W643" s="128"/>
      <c r="X643" s="128"/>
      <c r="Y643" s="139"/>
      <c r="AA643" s="73"/>
      <c r="AC643" s="79"/>
    </row>
    <row r="644" spans="9:29" x14ac:dyDescent="0.35">
      <c r="I644" s="109"/>
      <c r="J644" s="109"/>
      <c r="K644" s="109"/>
      <c r="M644" s="37"/>
      <c r="V644" s="128"/>
      <c r="W644" s="128"/>
      <c r="X644" s="128"/>
      <c r="Y644" s="139"/>
      <c r="AA644" s="73"/>
      <c r="AC644" s="79"/>
    </row>
    <row r="645" spans="9:29" x14ac:dyDescent="0.35">
      <c r="I645" s="109"/>
      <c r="J645" s="109"/>
      <c r="K645" s="109"/>
      <c r="M645" s="34"/>
      <c r="V645" s="128"/>
      <c r="W645" s="128"/>
      <c r="X645" s="128"/>
      <c r="Y645" s="139"/>
      <c r="AA645" s="73"/>
      <c r="AC645" s="77"/>
    </row>
    <row r="646" spans="9:29" x14ac:dyDescent="0.35">
      <c r="I646" s="109"/>
      <c r="J646" s="109"/>
      <c r="K646" s="109"/>
      <c r="M646" s="37"/>
      <c r="V646" s="128"/>
      <c r="W646" s="128"/>
      <c r="X646" s="128"/>
      <c r="Y646" s="139"/>
      <c r="AA646" s="73"/>
      <c r="AC646" s="79"/>
    </row>
    <row r="647" spans="9:29" x14ac:dyDescent="0.35">
      <c r="I647" s="109"/>
      <c r="J647" s="109"/>
      <c r="K647" s="109"/>
      <c r="M647" s="37"/>
      <c r="V647" s="128"/>
      <c r="W647" s="128"/>
      <c r="X647" s="128"/>
      <c r="Y647" s="139"/>
      <c r="AA647" s="73"/>
      <c r="AC647" s="79"/>
    </row>
    <row r="648" spans="9:29" x14ac:dyDescent="0.35">
      <c r="I648" s="109"/>
      <c r="J648" s="109"/>
      <c r="K648" s="109"/>
      <c r="M648" s="34"/>
      <c r="V648" s="128"/>
      <c r="W648" s="128"/>
      <c r="X648" s="128"/>
      <c r="Y648" s="139"/>
      <c r="AA648" s="73"/>
      <c r="AC648" s="77"/>
    </row>
    <row r="649" spans="9:29" x14ac:dyDescent="0.35">
      <c r="I649" s="109"/>
      <c r="J649" s="109"/>
      <c r="K649" s="109"/>
      <c r="M649" s="37"/>
      <c r="V649" s="128"/>
      <c r="W649" s="128"/>
      <c r="X649" s="128"/>
      <c r="Y649" s="139"/>
      <c r="AA649" s="73"/>
      <c r="AC649" s="79"/>
    </row>
    <row r="650" spans="9:29" x14ac:dyDescent="0.35">
      <c r="I650" s="109"/>
      <c r="J650" s="109"/>
      <c r="K650" s="109"/>
      <c r="M650" s="37"/>
      <c r="V650" s="128"/>
      <c r="W650" s="128"/>
      <c r="X650" s="128"/>
      <c r="Y650" s="139"/>
      <c r="AA650" s="73"/>
      <c r="AC650" s="79"/>
    </row>
    <row r="651" spans="9:29" x14ac:dyDescent="0.35">
      <c r="I651" s="109"/>
      <c r="J651" s="109"/>
      <c r="K651" s="109"/>
      <c r="M651" s="34"/>
      <c r="V651" s="128"/>
      <c r="W651" s="128"/>
      <c r="X651" s="128"/>
      <c r="Y651" s="139"/>
      <c r="AA651" s="73"/>
      <c r="AC651" s="77"/>
    </row>
    <row r="652" spans="9:29" x14ac:dyDescent="0.35">
      <c r="I652" s="109"/>
      <c r="J652" s="109"/>
      <c r="K652" s="109"/>
      <c r="M652" s="37"/>
      <c r="V652" s="128"/>
      <c r="W652" s="128"/>
      <c r="X652" s="128"/>
      <c r="Y652" s="139"/>
      <c r="AA652" s="73"/>
      <c r="AC652" s="79"/>
    </row>
    <row r="653" spans="9:29" x14ac:dyDescent="0.35">
      <c r="I653" s="109"/>
      <c r="J653" s="109"/>
      <c r="K653" s="109"/>
      <c r="M653" s="37"/>
      <c r="V653" s="128"/>
      <c r="W653" s="128"/>
      <c r="X653" s="128"/>
      <c r="Y653" s="139"/>
      <c r="AA653" s="73"/>
      <c r="AC653" s="79"/>
    </row>
    <row r="654" spans="9:29" x14ac:dyDescent="0.35">
      <c r="I654" s="109"/>
      <c r="J654" s="109"/>
      <c r="K654" s="109"/>
      <c r="M654" s="34"/>
      <c r="V654" s="128"/>
      <c r="W654" s="128"/>
      <c r="X654" s="128"/>
      <c r="Y654" s="139"/>
      <c r="AA654" s="73"/>
      <c r="AC654" s="77"/>
    </row>
    <row r="655" spans="9:29" x14ac:dyDescent="0.35">
      <c r="I655" s="109"/>
      <c r="J655" s="109"/>
      <c r="K655" s="109"/>
      <c r="M655" s="37"/>
      <c r="V655" s="128"/>
      <c r="W655" s="128"/>
      <c r="X655" s="128"/>
      <c r="Y655" s="139"/>
      <c r="AA655" s="73"/>
      <c r="AC655" s="79"/>
    </row>
    <row r="656" spans="9:29" x14ac:dyDescent="0.35">
      <c r="I656" s="109"/>
      <c r="J656" s="109"/>
      <c r="K656" s="109"/>
      <c r="M656" s="37"/>
      <c r="V656" s="128"/>
      <c r="W656" s="128"/>
      <c r="X656" s="128"/>
      <c r="Y656" s="139"/>
      <c r="AA656" s="73"/>
      <c r="AC656" s="79"/>
    </row>
    <row r="657" spans="9:29" x14ac:dyDescent="0.35">
      <c r="I657" s="109"/>
      <c r="J657" s="109"/>
      <c r="K657" s="109"/>
      <c r="M657" s="34"/>
      <c r="V657" s="128"/>
      <c r="W657" s="128"/>
      <c r="X657" s="128"/>
      <c r="Y657" s="139"/>
      <c r="AA657" s="73"/>
      <c r="AC657" s="77"/>
    </row>
    <row r="658" spans="9:29" x14ac:dyDescent="0.35">
      <c r="I658" s="109"/>
      <c r="J658" s="109"/>
      <c r="K658" s="109"/>
      <c r="M658" s="37"/>
      <c r="V658" s="128"/>
      <c r="W658" s="128"/>
      <c r="X658" s="128"/>
      <c r="Y658" s="139"/>
      <c r="AA658" s="73"/>
      <c r="AC658" s="79"/>
    </row>
    <row r="659" spans="9:29" x14ac:dyDescent="0.35">
      <c r="I659" s="109"/>
      <c r="J659" s="109"/>
      <c r="K659" s="109"/>
      <c r="M659" s="37"/>
      <c r="V659" s="128"/>
      <c r="W659" s="128"/>
      <c r="X659" s="128"/>
      <c r="Y659" s="139"/>
      <c r="AA659" s="73"/>
      <c r="AC659" s="79"/>
    </row>
    <row r="660" spans="9:29" x14ac:dyDescent="0.35">
      <c r="I660" s="109"/>
      <c r="J660" s="109"/>
      <c r="K660" s="109"/>
      <c r="M660" s="34"/>
      <c r="V660" s="128"/>
      <c r="W660" s="128"/>
      <c r="X660" s="128"/>
      <c r="Y660" s="139"/>
      <c r="AA660" s="73"/>
      <c r="AC660" s="77"/>
    </row>
    <row r="661" spans="9:29" x14ac:dyDescent="0.35">
      <c r="I661" s="109"/>
      <c r="J661" s="109"/>
      <c r="K661" s="109"/>
      <c r="M661" s="37"/>
      <c r="V661" s="128"/>
      <c r="W661" s="128"/>
      <c r="X661" s="128"/>
      <c r="Y661" s="139"/>
      <c r="AA661" s="73"/>
      <c r="AC661" s="79"/>
    </row>
    <row r="662" spans="9:29" x14ac:dyDescent="0.35">
      <c r="I662" s="109"/>
      <c r="J662" s="109"/>
      <c r="K662" s="109"/>
      <c r="M662" s="37"/>
      <c r="V662" s="128"/>
      <c r="W662" s="128"/>
      <c r="X662" s="128"/>
      <c r="Y662" s="139"/>
      <c r="AA662" s="73"/>
      <c r="AC662" s="79"/>
    </row>
    <row r="663" spans="9:29" x14ac:dyDescent="0.35">
      <c r="I663" s="109"/>
      <c r="J663" s="109"/>
      <c r="K663" s="109"/>
      <c r="M663" s="34"/>
      <c r="V663" s="128"/>
      <c r="W663" s="128"/>
      <c r="X663" s="128"/>
      <c r="Y663" s="139"/>
      <c r="AA663" s="73"/>
      <c r="AC663" s="77"/>
    </row>
    <row r="664" spans="9:29" x14ac:dyDescent="0.35">
      <c r="I664" s="109"/>
      <c r="J664" s="109"/>
      <c r="K664" s="109"/>
      <c r="M664" s="37"/>
      <c r="V664" s="128"/>
      <c r="W664" s="128"/>
      <c r="X664" s="128"/>
      <c r="Y664" s="139"/>
      <c r="AA664" s="73"/>
      <c r="AC664" s="79"/>
    </row>
    <row r="665" spans="9:29" x14ac:dyDescent="0.35">
      <c r="I665" s="109"/>
      <c r="J665" s="109"/>
      <c r="K665" s="109"/>
      <c r="M665" s="33"/>
      <c r="V665" s="128"/>
      <c r="W665" s="128"/>
      <c r="X665" s="128"/>
      <c r="Y665" s="139"/>
      <c r="AA665" s="73"/>
      <c r="AC665" s="74"/>
    </row>
    <row r="666" spans="9:29" x14ac:dyDescent="0.35">
      <c r="I666" s="109"/>
      <c r="J666" s="109"/>
      <c r="K666" s="109"/>
      <c r="M666" s="37"/>
      <c r="V666" s="128"/>
      <c r="W666" s="128"/>
      <c r="X666" s="128"/>
      <c r="Y666" s="139"/>
      <c r="AA666" s="73"/>
      <c r="AC666" s="79"/>
    </row>
    <row r="667" spans="9:29" x14ac:dyDescent="0.35">
      <c r="I667" s="109"/>
      <c r="J667" s="109"/>
      <c r="K667" s="109"/>
      <c r="M667" s="34"/>
      <c r="V667" s="128"/>
      <c r="W667" s="128"/>
      <c r="X667" s="128"/>
      <c r="Y667" s="139"/>
      <c r="AA667" s="73"/>
      <c r="AC667" s="77"/>
    </row>
    <row r="668" spans="9:29" x14ac:dyDescent="0.35">
      <c r="I668" s="109"/>
      <c r="J668" s="109"/>
      <c r="K668" s="109"/>
      <c r="M668" s="37"/>
      <c r="V668" s="128"/>
      <c r="W668" s="128"/>
      <c r="X668" s="128"/>
      <c r="Y668" s="139"/>
      <c r="AA668" s="73"/>
      <c r="AC668" s="79"/>
    </row>
    <row r="669" spans="9:29" x14ac:dyDescent="0.35">
      <c r="I669" s="109"/>
      <c r="J669" s="109"/>
      <c r="K669" s="109"/>
      <c r="M669" s="37"/>
      <c r="V669" s="128"/>
      <c r="W669" s="128"/>
      <c r="X669" s="128"/>
      <c r="Y669" s="139"/>
      <c r="AA669" s="73"/>
      <c r="AC669" s="79"/>
    </row>
    <row r="670" spans="9:29" x14ac:dyDescent="0.35">
      <c r="I670" s="109"/>
      <c r="J670" s="109"/>
      <c r="K670" s="109"/>
      <c r="M670" s="34"/>
      <c r="V670" s="128"/>
      <c r="W670" s="128"/>
      <c r="X670" s="128"/>
      <c r="Y670" s="139"/>
      <c r="AA670" s="73"/>
      <c r="AC670" s="77"/>
    </row>
    <row r="671" spans="9:29" x14ac:dyDescent="0.35">
      <c r="I671" s="109"/>
      <c r="J671" s="109"/>
      <c r="K671" s="109"/>
      <c r="M671" s="37"/>
      <c r="V671" s="128"/>
      <c r="W671" s="128"/>
      <c r="X671" s="128"/>
      <c r="Y671" s="139"/>
      <c r="AA671" s="73"/>
      <c r="AC671" s="79"/>
    </row>
    <row r="672" spans="9:29" x14ac:dyDescent="0.35">
      <c r="I672" s="109"/>
      <c r="J672" s="109"/>
      <c r="K672" s="109"/>
      <c r="M672" s="37"/>
      <c r="V672" s="128"/>
      <c r="W672" s="128"/>
      <c r="X672" s="128"/>
      <c r="Y672" s="139"/>
      <c r="AA672" s="73"/>
      <c r="AC672" s="79"/>
    </row>
    <row r="673" spans="9:29" x14ac:dyDescent="0.35">
      <c r="I673" s="109"/>
      <c r="J673" s="109"/>
      <c r="K673" s="109"/>
      <c r="M673" s="34"/>
      <c r="V673" s="128"/>
      <c r="W673" s="128"/>
      <c r="X673" s="128"/>
      <c r="Y673" s="139"/>
      <c r="AA673" s="73"/>
      <c r="AC673" s="77"/>
    </row>
    <row r="674" spans="9:29" x14ac:dyDescent="0.35">
      <c r="I674" s="109"/>
      <c r="J674" s="109"/>
      <c r="K674" s="109"/>
      <c r="M674" s="37"/>
      <c r="V674" s="128"/>
      <c r="W674" s="128"/>
      <c r="X674" s="128"/>
      <c r="Y674" s="139"/>
      <c r="AA674" s="73"/>
      <c r="AC674" s="79"/>
    </row>
    <row r="675" spans="9:29" x14ac:dyDescent="0.35">
      <c r="I675" s="109"/>
      <c r="J675" s="109"/>
      <c r="K675" s="109"/>
      <c r="M675" s="37"/>
      <c r="V675" s="128"/>
      <c r="W675" s="128"/>
      <c r="X675" s="128"/>
      <c r="Y675" s="139"/>
      <c r="AA675" s="73"/>
      <c r="AC675" s="79"/>
    </row>
    <row r="676" spans="9:29" x14ac:dyDescent="0.35">
      <c r="I676" s="109"/>
      <c r="J676" s="109"/>
      <c r="K676" s="109"/>
      <c r="M676" s="34"/>
      <c r="V676" s="128"/>
      <c r="W676" s="128"/>
      <c r="X676" s="128"/>
      <c r="Y676" s="139"/>
      <c r="AA676" s="73"/>
      <c r="AC676" s="77"/>
    </row>
    <row r="677" spans="9:29" x14ac:dyDescent="0.35">
      <c r="I677" s="109"/>
      <c r="J677" s="109"/>
      <c r="K677" s="109"/>
      <c r="M677" s="37"/>
      <c r="V677" s="128"/>
      <c r="W677" s="128"/>
      <c r="X677" s="128"/>
      <c r="Y677" s="139"/>
      <c r="AA677" s="73"/>
      <c r="AC677" s="79"/>
    </row>
    <row r="678" spans="9:29" x14ac:dyDescent="0.35">
      <c r="I678" s="109"/>
      <c r="J678" s="109"/>
      <c r="K678" s="109"/>
      <c r="M678" s="37"/>
      <c r="V678" s="128"/>
      <c r="W678" s="128"/>
      <c r="X678" s="128"/>
      <c r="Y678" s="139"/>
      <c r="AA678" s="73"/>
      <c r="AC678" s="79"/>
    </row>
    <row r="679" spans="9:29" x14ac:dyDescent="0.35">
      <c r="I679" s="109"/>
      <c r="J679" s="109"/>
      <c r="K679" s="109"/>
      <c r="M679" s="34"/>
      <c r="V679" s="128"/>
      <c r="W679" s="128"/>
      <c r="X679" s="128"/>
      <c r="Y679" s="139"/>
      <c r="AA679" s="73"/>
      <c r="AC679" s="77"/>
    </row>
    <row r="680" spans="9:29" x14ac:dyDescent="0.35">
      <c r="I680" s="109"/>
      <c r="J680" s="109"/>
      <c r="K680" s="109"/>
      <c r="M680" s="37"/>
      <c r="V680" s="128"/>
      <c r="W680" s="128"/>
      <c r="X680" s="128"/>
      <c r="Y680" s="139"/>
      <c r="AA680" s="73"/>
      <c r="AC680" s="79"/>
    </row>
    <row r="681" spans="9:29" x14ac:dyDescent="0.35">
      <c r="I681" s="109"/>
      <c r="J681" s="109"/>
      <c r="K681" s="109"/>
      <c r="M681" s="37"/>
      <c r="V681" s="128"/>
      <c r="W681" s="128"/>
      <c r="X681" s="128"/>
      <c r="Y681" s="139"/>
      <c r="AA681" s="73"/>
      <c r="AC681" s="79"/>
    </row>
    <row r="682" spans="9:29" x14ac:dyDescent="0.35">
      <c r="I682" s="109"/>
      <c r="J682" s="109"/>
      <c r="K682" s="109"/>
      <c r="M682" s="34"/>
      <c r="V682" s="128"/>
      <c r="W682" s="128"/>
      <c r="X682" s="128"/>
      <c r="Y682" s="139"/>
      <c r="AA682" s="73"/>
      <c r="AC682" s="77"/>
    </row>
    <row r="683" spans="9:29" x14ac:dyDescent="0.35">
      <c r="I683" s="109"/>
      <c r="J683" s="109"/>
      <c r="K683" s="109"/>
      <c r="M683" s="37"/>
      <c r="V683" s="128"/>
      <c r="W683" s="128"/>
      <c r="X683" s="128"/>
      <c r="Y683" s="139"/>
      <c r="AA683" s="73"/>
      <c r="AC683" s="79"/>
    </row>
    <row r="684" spans="9:29" x14ac:dyDescent="0.35">
      <c r="I684" s="109"/>
      <c r="J684" s="109"/>
      <c r="K684" s="109"/>
      <c r="M684" s="37"/>
      <c r="V684" s="128"/>
      <c r="W684" s="128"/>
      <c r="X684" s="128"/>
      <c r="Y684" s="139"/>
      <c r="AA684" s="73"/>
      <c r="AC684" s="79"/>
    </row>
    <row r="685" spans="9:29" x14ac:dyDescent="0.35">
      <c r="I685" s="109"/>
      <c r="J685" s="109"/>
      <c r="K685" s="109"/>
      <c r="M685" s="34"/>
      <c r="V685" s="128"/>
      <c r="W685" s="128"/>
      <c r="X685" s="128"/>
      <c r="Y685" s="139"/>
      <c r="AA685" s="73"/>
      <c r="AC685" s="77"/>
    </row>
    <row r="686" spans="9:29" x14ac:dyDescent="0.35">
      <c r="I686" s="109"/>
      <c r="J686" s="109"/>
      <c r="K686" s="109"/>
      <c r="M686" s="37"/>
      <c r="V686" s="128"/>
      <c r="W686" s="128"/>
      <c r="X686" s="128"/>
      <c r="Y686" s="139"/>
      <c r="AA686" s="73"/>
      <c r="AC686" s="79"/>
    </row>
    <row r="687" spans="9:29" x14ac:dyDescent="0.35">
      <c r="I687" s="109"/>
      <c r="J687" s="109"/>
      <c r="K687" s="109"/>
      <c r="M687" s="37"/>
      <c r="V687" s="128"/>
      <c r="W687" s="128"/>
      <c r="X687" s="128"/>
      <c r="Y687" s="139"/>
      <c r="AA687" s="73"/>
      <c r="AC687" s="79"/>
    </row>
    <row r="688" spans="9:29" x14ac:dyDescent="0.35">
      <c r="I688" s="109"/>
      <c r="J688" s="109"/>
      <c r="K688" s="109"/>
      <c r="M688" s="34"/>
      <c r="V688" s="128"/>
      <c r="W688" s="128"/>
      <c r="X688" s="128"/>
      <c r="Y688" s="139"/>
      <c r="AA688" s="73"/>
      <c r="AC688" s="77"/>
    </row>
    <row r="689" spans="9:29" x14ac:dyDescent="0.35">
      <c r="I689" s="109"/>
      <c r="J689" s="109"/>
      <c r="K689" s="109"/>
      <c r="M689" s="37"/>
      <c r="V689" s="128"/>
      <c r="W689" s="128"/>
      <c r="X689" s="128"/>
      <c r="Y689" s="139"/>
      <c r="AA689" s="73"/>
      <c r="AC689" s="79"/>
    </row>
    <row r="690" spans="9:29" x14ac:dyDescent="0.35">
      <c r="I690" s="109"/>
      <c r="J690" s="109"/>
      <c r="K690" s="109"/>
      <c r="M690" s="37"/>
      <c r="V690" s="128"/>
      <c r="W690" s="128"/>
      <c r="X690" s="128"/>
      <c r="Y690" s="139"/>
      <c r="AA690" s="73"/>
      <c r="AC690" s="79"/>
    </row>
    <row r="691" spans="9:29" x14ac:dyDescent="0.35">
      <c r="I691" s="109"/>
      <c r="J691" s="109"/>
      <c r="K691" s="109"/>
      <c r="M691" s="34"/>
      <c r="V691" s="128"/>
      <c r="W691" s="128"/>
      <c r="X691" s="128"/>
      <c r="Y691" s="139"/>
      <c r="AA691" s="73"/>
      <c r="AC691" s="77"/>
    </row>
    <row r="692" spans="9:29" x14ac:dyDescent="0.35">
      <c r="I692" s="109"/>
      <c r="J692" s="109"/>
      <c r="K692" s="109"/>
      <c r="M692" s="37"/>
      <c r="V692" s="128"/>
      <c r="W692" s="128"/>
      <c r="X692" s="128"/>
      <c r="Y692" s="139"/>
      <c r="AA692" s="73"/>
      <c r="AC692" s="79"/>
    </row>
    <row r="693" spans="9:29" x14ac:dyDescent="0.35">
      <c r="I693" s="109"/>
      <c r="J693" s="109"/>
      <c r="K693" s="109"/>
      <c r="M693" s="37"/>
      <c r="V693" s="128"/>
      <c r="W693" s="128"/>
      <c r="X693" s="128"/>
      <c r="Y693" s="139"/>
      <c r="AA693" s="73"/>
      <c r="AC693" s="79"/>
    </row>
    <row r="694" spans="9:29" x14ac:dyDescent="0.35">
      <c r="I694" s="109"/>
      <c r="J694" s="109"/>
      <c r="K694" s="109"/>
      <c r="M694" s="34"/>
      <c r="V694" s="128"/>
      <c r="W694" s="128"/>
      <c r="X694" s="128"/>
      <c r="Y694" s="139"/>
      <c r="AA694" s="73"/>
      <c r="AC694" s="77"/>
    </row>
    <row r="695" spans="9:29" x14ac:dyDescent="0.35">
      <c r="I695" s="109"/>
      <c r="J695" s="109"/>
      <c r="K695" s="109"/>
      <c r="M695" s="37"/>
      <c r="V695" s="128"/>
      <c r="W695" s="128"/>
      <c r="X695" s="128"/>
      <c r="Y695" s="139"/>
      <c r="AA695" s="73"/>
      <c r="AC695" s="79"/>
    </row>
    <row r="696" spans="9:29" x14ac:dyDescent="0.35">
      <c r="I696" s="109"/>
      <c r="J696" s="109"/>
      <c r="K696" s="109"/>
      <c r="M696" s="37"/>
      <c r="V696" s="128"/>
      <c r="W696" s="128"/>
      <c r="X696" s="128"/>
      <c r="Y696" s="139"/>
      <c r="AA696" s="73"/>
      <c r="AC696" s="79"/>
    </row>
    <row r="697" spans="9:29" x14ac:dyDescent="0.35">
      <c r="I697" s="109"/>
      <c r="J697" s="109"/>
      <c r="K697" s="109"/>
      <c r="M697" s="34"/>
      <c r="V697" s="128"/>
      <c r="W697" s="128"/>
      <c r="X697" s="128"/>
      <c r="Y697" s="139"/>
      <c r="AA697" s="73"/>
      <c r="AC697" s="77"/>
    </row>
    <row r="698" spans="9:29" x14ac:dyDescent="0.35">
      <c r="I698" s="109"/>
      <c r="J698" s="109"/>
      <c r="K698" s="109"/>
      <c r="M698" s="37"/>
      <c r="V698" s="128"/>
      <c r="W698" s="128"/>
      <c r="X698" s="128"/>
      <c r="Y698" s="139"/>
      <c r="AA698" s="73"/>
      <c r="AC698" s="79"/>
    </row>
    <row r="699" spans="9:29" x14ac:dyDescent="0.35">
      <c r="I699" s="109"/>
      <c r="J699" s="109"/>
      <c r="K699" s="109"/>
      <c r="M699" s="37"/>
      <c r="V699" s="128"/>
      <c r="W699" s="128"/>
      <c r="X699" s="128"/>
      <c r="Y699" s="139"/>
      <c r="AA699" s="73"/>
      <c r="AC699" s="79"/>
    </row>
    <row r="700" spans="9:29" x14ac:dyDescent="0.35">
      <c r="I700" s="109"/>
      <c r="J700" s="109"/>
      <c r="K700" s="109"/>
      <c r="M700" s="34"/>
      <c r="V700" s="128"/>
      <c r="W700" s="128"/>
      <c r="X700" s="128"/>
      <c r="Y700" s="139"/>
      <c r="AA700" s="73"/>
      <c r="AC700" s="77"/>
    </row>
    <row r="701" spans="9:29" x14ac:dyDescent="0.35">
      <c r="I701" s="109"/>
      <c r="J701" s="109"/>
      <c r="K701" s="109"/>
      <c r="M701" s="37"/>
      <c r="V701" s="128"/>
      <c r="W701" s="128"/>
      <c r="X701" s="128"/>
      <c r="Y701" s="139"/>
      <c r="AA701" s="73"/>
      <c r="AC701" s="79"/>
    </row>
    <row r="702" spans="9:29" x14ac:dyDescent="0.35">
      <c r="I702" s="109"/>
      <c r="J702" s="109"/>
      <c r="K702" s="109"/>
      <c r="M702" s="37"/>
      <c r="V702" s="128"/>
      <c r="W702" s="128"/>
      <c r="X702" s="128"/>
      <c r="Y702" s="139"/>
      <c r="AA702" s="73"/>
      <c r="AC702" s="79"/>
    </row>
    <row r="703" spans="9:29" x14ac:dyDescent="0.35">
      <c r="I703" s="109"/>
      <c r="J703" s="109"/>
      <c r="K703" s="109"/>
      <c r="M703" s="34"/>
      <c r="V703" s="128"/>
      <c r="W703" s="128"/>
      <c r="X703" s="128"/>
      <c r="Y703" s="139"/>
      <c r="AA703" s="73"/>
      <c r="AC703" s="77"/>
    </row>
    <row r="704" spans="9:29" x14ac:dyDescent="0.35">
      <c r="I704" s="109"/>
      <c r="J704" s="109"/>
      <c r="K704" s="109"/>
      <c r="M704" s="37"/>
      <c r="V704" s="128"/>
      <c r="W704" s="128"/>
      <c r="X704" s="128"/>
      <c r="Y704" s="139"/>
      <c r="AA704" s="73"/>
      <c r="AC704" s="79"/>
    </row>
    <row r="705" spans="9:29" x14ac:dyDescent="0.35">
      <c r="I705" s="109"/>
      <c r="J705" s="109"/>
      <c r="K705" s="109"/>
      <c r="M705" s="37"/>
      <c r="V705" s="128"/>
      <c r="W705" s="128"/>
      <c r="X705" s="128"/>
      <c r="Y705" s="139"/>
      <c r="AA705" s="73"/>
      <c r="AC705" s="79"/>
    </row>
    <row r="706" spans="9:29" x14ac:dyDescent="0.35">
      <c r="I706" s="109"/>
      <c r="J706" s="109"/>
      <c r="K706" s="109"/>
      <c r="M706" s="34"/>
      <c r="V706" s="128"/>
      <c r="W706" s="128"/>
      <c r="X706" s="128"/>
      <c r="Y706" s="139"/>
      <c r="AA706" s="73"/>
      <c r="AC706" s="77"/>
    </row>
    <row r="707" spans="9:29" x14ac:dyDescent="0.35">
      <c r="I707" s="109"/>
      <c r="J707" s="109"/>
      <c r="K707" s="109"/>
      <c r="M707" s="37"/>
      <c r="V707" s="128"/>
      <c r="W707" s="128"/>
      <c r="X707" s="128"/>
      <c r="Y707" s="139"/>
      <c r="AA707" s="73"/>
      <c r="AC707" s="79"/>
    </row>
    <row r="708" spans="9:29" x14ac:dyDescent="0.35">
      <c r="I708" s="109"/>
      <c r="J708" s="109"/>
      <c r="K708" s="109"/>
      <c r="M708" s="37"/>
      <c r="V708" s="128"/>
      <c r="W708" s="128"/>
      <c r="X708" s="128"/>
      <c r="Y708" s="139"/>
      <c r="AA708" s="73"/>
      <c r="AC708" s="79"/>
    </row>
    <row r="709" spans="9:29" x14ac:dyDescent="0.35">
      <c r="I709" s="109"/>
      <c r="J709" s="109"/>
      <c r="K709" s="109"/>
      <c r="M709" s="34"/>
      <c r="V709" s="128"/>
      <c r="W709" s="128"/>
      <c r="X709" s="128"/>
      <c r="Y709" s="139"/>
      <c r="AA709" s="73"/>
      <c r="AC709" s="77"/>
    </row>
    <row r="710" spans="9:29" x14ac:dyDescent="0.35">
      <c r="I710" s="109"/>
      <c r="J710" s="109"/>
      <c r="K710" s="109"/>
      <c r="M710" s="37"/>
      <c r="V710" s="128"/>
      <c r="W710" s="128"/>
      <c r="X710" s="128"/>
      <c r="Y710" s="139"/>
      <c r="AA710" s="73"/>
      <c r="AC710" s="79"/>
    </row>
    <row r="711" spans="9:29" x14ac:dyDescent="0.35">
      <c r="I711" s="109"/>
      <c r="J711" s="109"/>
      <c r="K711" s="109"/>
      <c r="M711" s="37"/>
      <c r="V711" s="128"/>
      <c r="W711" s="128"/>
      <c r="X711" s="128"/>
      <c r="Y711" s="139"/>
      <c r="AA711" s="73"/>
      <c r="AC711" s="79"/>
    </row>
    <row r="712" spans="9:29" x14ac:dyDescent="0.35">
      <c r="I712" s="109"/>
      <c r="J712" s="109"/>
      <c r="K712" s="109"/>
      <c r="M712" s="34"/>
      <c r="V712" s="128"/>
      <c r="W712" s="128"/>
      <c r="X712" s="128"/>
      <c r="Y712" s="139"/>
      <c r="AA712" s="73"/>
      <c r="AC712" s="77"/>
    </row>
    <row r="713" spans="9:29" x14ac:dyDescent="0.35">
      <c r="I713" s="109"/>
      <c r="J713" s="109"/>
      <c r="K713" s="109"/>
      <c r="M713" s="37"/>
      <c r="V713" s="128"/>
      <c r="W713" s="128"/>
      <c r="X713" s="128"/>
      <c r="Y713" s="139"/>
      <c r="AA713" s="73"/>
      <c r="AC713" s="79"/>
    </row>
    <row r="714" spans="9:29" x14ac:dyDescent="0.35">
      <c r="I714" s="109"/>
      <c r="J714" s="109"/>
      <c r="K714" s="109"/>
      <c r="M714" s="37"/>
      <c r="V714" s="128"/>
      <c r="W714" s="128"/>
      <c r="X714" s="128"/>
      <c r="Y714" s="139"/>
      <c r="AA714" s="73"/>
      <c r="AC714" s="79"/>
    </row>
    <row r="715" spans="9:29" x14ac:dyDescent="0.35">
      <c r="I715" s="109"/>
      <c r="J715" s="109"/>
      <c r="K715" s="109"/>
      <c r="M715" s="34"/>
      <c r="V715" s="128"/>
      <c r="W715" s="128"/>
      <c r="X715" s="128"/>
      <c r="Y715" s="139"/>
      <c r="AA715" s="73"/>
      <c r="AC715" s="77"/>
    </row>
    <row r="716" spans="9:29" x14ac:dyDescent="0.35">
      <c r="I716" s="109"/>
      <c r="J716" s="109"/>
      <c r="K716" s="109"/>
      <c r="M716" s="37"/>
      <c r="V716" s="128"/>
      <c r="W716" s="128"/>
      <c r="X716" s="128"/>
      <c r="Y716" s="139"/>
      <c r="AA716" s="73"/>
      <c r="AC716" s="79"/>
    </row>
    <row r="717" spans="9:29" x14ac:dyDescent="0.35">
      <c r="I717" s="109"/>
      <c r="J717" s="109"/>
      <c r="K717" s="109"/>
      <c r="M717" s="34"/>
      <c r="V717" s="128"/>
      <c r="W717" s="128"/>
      <c r="X717" s="128"/>
      <c r="Y717" s="139"/>
      <c r="AA717" s="73"/>
      <c r="AC717" s="77"/>
    </row>
    <row r="718" spans="9:29" x14ac:dyDescent="0.35">
      <c r="I718" s="109"/>
      <c r="J718" s="109"/>
      <c r="K718" s="109"/>
      <c r="M718" s="37"/>
      <c r="V718" s="128"/>
      <c r="W718" s="128"/>
      <c r="X718" s="128"/>
      <c r="Y718" s="139"/>
      <c r="AA718" s="73"/>
      <c r="AC718" s="79"/>
    </row>
    <row r="719" spans="9:29" x14ac:dyDescent="0.35">
      <c r="I719" s="109"/>
      <c r="J719" s="109"/>
      <c r="K719" s="109"/>
      <c r="M719" s="34"/>
      <c r="V719" s="128"/>
      <c r="W719" s="128"/>
      <c r="X719" s="128"/>
      <c r="Y719" s="139"/>
      <c r="AA719" s="73"/>
      <c r="AC719" s="77"/>
    </row>
    <row r="720" spans="9:29" x14ac:dyDescent="0.35">
      <c r="I720" s="109"/>
      <c r="J720" s="109"/>
      <c r="K720" s="109"/>
      <c r="M720" s="37"/>
      <c r="V720" s="128"/>
      <c r="W720" s="128"/>
      <c r="X720" s="128"/>
      <c r="Y720" s="139"/>
      <c r="AA720" s="73"/>
      <c r="AC720" s="79"/>
    </row>
    <row r="721" spans="9:29" x14ac:dyDescent="0.35">
      <c r="I721" s="109"/>
      <c r="J721" s="109"/>
      <c r="K721" s="109"/>
      <c r="M721" s="34"/>
      <c r="V721" s="128"/>
      <c r="W721" s="128"/>
      <c r="X721" s="128"/>
      <c r="Y721" s="139"/>
      <c r="AA721" s="73"/>
      <c r="AC721" s="77"/>
    </row>
    <row r="722" spans="9:29" x14ac:dyDescent="0.35">
      <c r="I722" s="109"/>
      <c r="J722" s="109"/>
      <c r="K722" s="109"/>
      <c r="M722" s="37"/>
      <c r="V722" s="128"/>
      <c r="W722" s="128"/>
      <c r="X722" s="128"/>
      <c r="Y722" s="139"/>
      <c r="AA722" s="73"/>
      <c r="AC722" s="79"/>
    </row>
    <row r="723" spans="9:29" x14ac:dyDescent="0.35">
      <c r="I723" s="109"/>
      <c r="J723" s="109"/>
      <c r="K723" s="109"/>
      <c r="M723" s="34"/>
      <c r="V723" s="128"/>
      <c r="W723" s="128"/>
      <c r="X723" s="128"/>
      <c r="Y723" s="139"/>
      <c r="AA723" s="73"/>
      <c r="AC723" s="77"/>
    </row>
    <row r="724" spans="9:29" x14ac:dyDescent="0.35">
      <c r="I724" s="109"/>
      <c r="J724" s="109"/>
      <c r="K724" s="109"/>
      <c r="M724" s="37"/>
      <c r="V724" s="128"/>
      <c r="W724" s="128"/>
      <c r="X724" s="128"/>
      <c r="Y724" s="139"/>
      <c r="AA724" s="73"/>
      <c r="AC724" s="79"/>
    </row>
    <row r="725" spans="9:29" x14ac:dyDescent="0.35">
      <c r="I725" s="109"/>
      <c r="J725" s="109"/>
      <c r="K725" s="109"/>
      <c r="M725" s="37"/>
      <c r="V725" s="128"/>
      <c r="W725" s="128"/>
      <c r="X725" s="128"/>
      <c r="Y725" s="139"/>
      <c r="AA725" s="73"/>
      <c r="AC725" s="79"/>
    </row>
    <row r="726" spans="9:29" x14ac:dyDescent="0.35">
      <c r="I726" s="109"/>
      <c r="J726" s="109"/>
      <c r="K726" s="109"/>
      <c r="M726" s="37"/>
      <c r="V726" s="128"/>
      <c r="W726" s="128"/>
      <c r="X726" s="128"/>
      <c r="Y726" s="139"/>
      <c r="AA726" s="73"/>
      <c r="AC726" s="79"/>
    </row>
    <row r="727" spans="9:29" x14ac:dyDescent="0.35">
      <c r="I727" s="109"/>
      <c r="J727" s="109"/>
      <c r="K727" s="109"/>
      <c r="M727" s="34"/>
      <c r="V727" s="128"/>
      <c r="W727" s="128"/>
      <c r="X727" s="128"/>
      <c r="Y727" s="139"/>
      <c r="AA727" s="73"/>
      <c r="AC727" s="77"/>
    </row>
    <row r="728" spans="9:29" x14ac:dyDescent="0.35">
      <c r="I728" s="109"/>
      <c r="J728" s="109"/>
      <c r="K728" s="109"/>
      <c r="M728" s="37"/>
      <c r="V728" s="128"/>
      <c r="W728" s="128"/>
      <c r="X728" s="128"/>
      <c r="Y728" s="139"/>
      <c r="AA728" s="73"/>
      <c r="AC728" s="79"/>
    </row>
    <row r="729" spans="9:29" x14ac:dyDescent="0.35">
      <c r="I729" s="109"/>
      <c r="J729" s="109"/>
      <c r="K729" s="109"/>
      <c r="M729" s="37"/>
      <c r="V729" s="128"/>
      <c r="W729" s="128"/>
      <c r="X729" s="128"/>
      <c r="Y729" s="139"/>
      <c r="AA729" s="73"/>
      <c r="AC729" s="79"/>
    </row>
    <row r="730" spans="9:29" x14ac:dyDescent="0.35">
      <c r="I730" s="109"/>
      <c r="J730" s="109"/>
      <c r="K730" s="109"/>
      <c r="M730" s="34"/>
      <c r="V730" s="128"/>
      <c r="W730" s="128"/>
      <c r="X730" s="128"/>
      <c r="Y730" s="139"/>
      <c r="AA730" s="73"/>
      <c r="AC730" s="77"/>
    </row>
    <row r="731" spans="9:29" x14ac:dyDescent="0.35">
      <c r="I731" s="109"/>
      <c r="J731" s="109"/>
      <c r="K731" s="109"/>
      <c r="M731" s="37"/>
      <c r="V731" s="128"/>
      <c r="W731" s="128"/>
      <c r="X731" s="128"/>
      <c r="Y731" s="139"/>
      <c r="AA731" s="73"/>
      <c r="AC731" s="79"/>
    </row>
    <row r="732" spans="9:29" x14ac:dyDescent="0.35">
      <c r="I732" s="109"/>
      <c r="J732" s="109"/>
      <c r="K732" s="109"/>
      <c r="M732" s="37"/>
      <c r="V732" s="128"/>
      <c r="W732" s="128"/>
      <c r="X732" s="128"/>
      <c r="Y732" s="139"/>
      <c r="AA732" s="73"/>
      <c r="AC732" s="79"/>
    </row>
    <row r="733" spans="9:29" x14ac:dyDescent="0.35">
      <c r="I733" s="109"/>
      <c r="J733" s="109"/>
      <c r="K733" s="109"/>
      <c r="M733" s="37"/>
      <c r="V733" s="128"/>
      <c r="W733" s="128"/>
      <c r="X733" s="128"/>
      <c r="Y733" s="139"/>
      <c r="AA733" s="73"/>
      <c r="AC733" s="79"/>
    </row>
    <row r="734" spans="9:29" x14ac:dyDescent="0.35">
      <c r="I734" s="109"/>
      <c r="J734" s="109"/>
      <c r="K734" s="109"/>
      <c r="M734" s="34"/>
      <c r="V734" s="128"/>
      <c r="W734" s="128"/>
      <c r="X734" s="128"/>
      <c r="Y734" s="139"/>
      <c r="AA734" s="73"/>
      <c r="AC734" s="77"/>
    </row>
    <row r="735" spans="9:29" x14ac:dyDescent="0.35">
      <c r="I735" s="109"/>
      <c r="J735" s="109"/>
      <c r="K735" s="109"/>
      <c r="M735" s="37"/>
      <c r="V735" s="128"/>
      <c r="W735" s="128"/>
      <c r="X735" s="128"/>
      <c r="Y735" s="139"/>
      <c r="AA735" s="73"/>
      <c r="AC735" s="79"/>
    </row>
    <row r="736" spans="9:29" x14ac:dyDescent="0.35">
      <c r="I736" s="109"/>
      <c r="J736" s="109"/>
      <c r="K736" s="109"/>
      <c r="M736" s="37"/>
      <c r="V736" s="128"/>
      <c r="W736" s="128"/>
      <c r="X736" s="128"/>
      <c r="Y736" s="139"/>
      <c r="AA736" s="73"/>
      <c r="AC736" s="79"/>
    </row>
    <row r="737" spans="9:29" x14ac:dyDescent="0.35">
      <c r="I737" s="109"/>
      <c r="J737" s="109"/>
      <c r="K737" s="109"/>
      <c r="M737" s="34"/>
      <c r="V737" s="128"/>
      <c r="W737" s="128"/>
      <c r="X737" s="128"/>
      <c r="Y737" s="139"/>
      <c r="AA737" s="73"/>
      <c r="AC737" s="77"/>
    </row>
    <row r="738" spans="9:29" x14ac:dyDescent="0.35">
      <c r="I738" s="109"/>
      <c r="J738" s="109"/>
      <c r="K738" s="109"/>
      <c r="M738" s="37"/>
      <c r="V738" s="128"/>
      <c r="W738" s="128"/>
      <c r="X738" s="128"/>
      <c r="Y738" s="139"/>
      <c r="AA738" s="73"/>
      <c r="AC738" s="79"/>
    </row>
    <row r="739" spans="9:29" x14ac:dyDescent="0.35">
      <c r="I739" s="109"/>
      <c r="J739" s="109"/>
      <c r="K739" s="109"/>
      <c r="M739" s="37"/>
      <c r="V739" s="128"/>
      <c r="W739" s="128"/>
      <c r="X739" s="128"/>
      <c r="Y739" s="139"/>
      <c r="AA739" s="73"/>
      <c r="AC739" s="79"/>
    </row>
    <row r="740" spans="9:29" x14ac:dyDescent="0.35">
      <c r="I740" s="109"/>
      <c r="J740" s="109"/>
      <c r="K740" s="109"/>
      <c r="M740" s="37"/>
      <c r="V740" s="128"/>
      <c r="W740" s="128"/>
      <c r="X740" s="128"/>
      <c r="Y740" s="139"/>
      <c r="AA740" s="73"/>
      <c r="AC740" s="79"/>
    </row>
    <row r="741" spans="9:29" x14ac:dyDescent="0.35">
      <c r="I741" s="109"/>
      <c r="J741" s="109"/>
      <c r="K741" s="109"/>
      <c r="M741" s="37"/>
      <c r="V741" s="128"/>
      <c r="W741" s="128"/>
      <c r="X741" s="128"/>
      <c r="Y741" s="139"/>
      <c r="AA741" s="73"/>
      <c r="AC741" s="79"/>
    </row>
    <row r="742" spans="9:29" x14ac:dyDescent="0.35">
      <c r="I742" s="109"/>
      <c r="J742" s="109"/>
      <c r="K742" s="109"/>
      <c r="M742" s="34"/>
      <c r="V742" s="128"/>
      <c r="W742" s="128"/>
      <c r="X742" s="128"/>
      <c r="Y742" s="139"/>
      <c r="AA742" s="73"/>
      <c r="AC742" s="77"/>
    </row>
    <row r="743" spans="9:29" x14ac:dyDescent="0.35">
      <c r="I743" s="109"/>
      <c r="J743" s="109"/>
      <c r="K743" s="109"/>
      <c r="M743" s="37"/>
      <c r="V743" s="128"/>
      <c r="W743" s="128"/>
      <c r="X743" s="128"/>
      <c r="Y743" s="139"/>
      <c r="AA743" s="73"/>
      <c r="AC743" s="79"/>
    </row>
    <row r="744" spans="9:29" x14ac:dyDescent="0.35">
      <c r="I744" s="109"/>
      <c r="J744" s="109"/>
      <c r="K744" s="109"/>
      <c r="M744" s="37"/>
      <c r="V744" s="128"/>
      <c r="W744" s="128"/>
      <c r="X744" s="128"/>
      <c r="Y744" s="139"/>
      <c r="AA744" s="73"/>
      <c r="AC744" s="79"/>
    </row>
    <row r="745" spans="9:29" x14ac:dyDescent="0.35">
      <c r="I745" s="109"/>
      <c r="J745" s="109"/>
      <c r="K745" s="109"/>
      <c r="M745" s="37"/>
      <c r="V745" s="128"/>
      <c r="W745" s="128"/>
      <c r="X745" s="128"/>
      <c r="Y745" s="139"/>
      <c r="AA745" s="73"/>
      <c r="AC745" s="79"/>
    </row>
    <row r="746" spans="9:29" x14ac:dyDescent="0.35">
      <c r="I746" s="109"/>
      <c r="J746" s="109"/>
      <c r="K746" s="109"/>
      <c r="M746" s="37"/>
      <c r="V746" s="128"/>
      <c r="W746" s="128"/>
      <c r="X746" s="128"/>
      <c r="Y746" s="139"/>
      <c r="AA746" s="73"/>
      <c r="AC746" s="79"/>
    </row>
    <row r="747" spans="9:29" x14ac:dyDescent="0.35">
      <c r="I747" s="109"/>
      <c r="J747" s="109"/>
      <c r="K747" s="109"/>
      <c r="M747" s="34"/>
      <c r="V747" s="128"/>
      <c r="W747" s="128"/>
      <c r="X747" s="128"/>
      <c r="Y747" s="139"/>
      <c r="AA747" s="73"/>
      <c r="AC747" s="77"/>
    </row>
    <row r="748" spans="9:29" x14ac:dyDescent="0.35">
      <c r="I748" s="109"/>
      <c r="J748" s="109"/>
      <c r="K748" s="109"/>
      <c r="M748" s="37"/>
      <c r="V748" s="128"/>
      <c r="W748" s="128"/>
      <c r="X748" s="128"/>
      <c r="Y748" s="139"/>
      <c r="AA748" s="73"/>
      <c r="AC748" s="79"/>
    </row>
    <row r="749" spans="9:29" x14ac:dyDescent="0.35">
      <c r="I749" s="109"/>
      <c r="J749" s="109"/>
      <c r="K749" s="109"/>
      <c r="M749" s="34"/>
      <c r="V749" s="128"/>
      <c r="W749" s="128"/>
      <c r="X749" s="128"/>
      <c r="Y749" s="139"/>
      <c r="AA749" s="73"/>
      <c r="AC749" s="77"/>
    </row>
    <row r="750" spans="9:29" x14ac:dyDescent="0.35">
      <c r="I750" s="109"/>
      <c r="J750" s="109"/>
      <c r="K750" s="109"/>
      <c r="M750" s="37"/>
      <c r="V750" s="128"/>
      <c r="W750" s="128"/>
      <c r="X750" s="128"/>
      <c r="Y750" s="139"/>
      <c r="AA750" s="73"/>
      <c r="AC750" s="79"/>
    </row>
    <row r="751" spans="9:29" x14ac:dyDescent="0.35">
      <c r="I751" s="109"/>
      <c r="J751" s="109"/>
      <c r="K751" s="109"/>
      <c r="M751" s="37"/>
      <c r="V751" s="128"/>
      <c r="W751" s="128"/>
      <c r="X751" s="128"/>
      <c r="Y751" s="139"/>
      <c r="AA751" s="73"/>
      <c r="AC751" s="79"/>
    </row>
    <row r="752" spans="9:29" x14ac:dyDescent="0.35">
      <c r="I752" s="109"/>
      <c r="J752" s="109"/>
      <c r="K752" s="109"/>
      <c r="M752" s="34"/>
      <c r="V752" s="128"/>
      <c r="W752" s="128"/>
      <c r="X752" s="128"/>
      <c r="Y752" s="139"/>
      <c r="AA752" s="73"/>
      <c r="AC752" s="77"/>
    </row>
    <row r="753" spans="9:29" x14ac:dyDescent="0.35">
      <c r="I753" s="109"/>
      <c r="J753" s="109"/>
      <c r="K753" s="109"/>
      <c r="M753" s="37"/>
      <c r="V753" s="128"/>
      <c r="W753" s="128"/>
      <c r="X753" s="128"/>
      <c r="Y753" s="139"/>
      <c r="AA753" s="73"/>
      <c r="AC753" s="79"/>
    </row>
    <row r="754" spans="9:29" x14ac:dyDescent="0.35">
      <c r="I754" s="109"/>
      <c r="J754" s="109"/>
      <c r="K754" s="109"/>
      <c r="M754" s="37"/>
      <c r="V754" s="128"/>
      <c r="W754" s="128"/>
      <c r="X754" s="128"/>
      <c r="Y754" s="139"/>
      <c r="AA754" s="73"/>
      <c r="AC754" s="79"/>
    </row>
    <row r="755" spans="9:29" x14ac:dyDescent="0.35">
      <c r="I755" s="109"/>
      <c r="J755" s="109"/>
      <c r="K755" s="109"/>
      <c r="M755" s="34"/>
      <c r="V755" s="128"/>
      <c r="W755" s="128"/>
      <c r="X755" s="128"/>
      <c r="Y755" s="139"/>
      <c r="AA755" s="73"/>
      <c r="AC755" s="77"/>
    </row>
    <row r="756" spans="9:29" x14ac:dyDescent="0.35">
      <c r="I756" s="109"/>
      <c r="J756" s="109"/>
      <c r="K756" s="109"/>
      <c r="M756" s="37"/>
      <c r="V756" s="128"/>
      <c r="W756" s="128"/>
      <c r="X756" s="128"/>
      <c r="Y756" s="139"/>
      <c r="AA756" s="73"/>
      <c r="AC756" s="79"/>
    </row>
    <row r="757" spans="9:29" x14ac:dyDescent="0.35">
      <c r="I757" s="109"/>
      <c r="J757" s="109"/>
      <c r="K757" s="109"/>
      <c r="M757" s="37"/>
      <c r="V757" s="128"/>
      <c r="W757" s="128"/>
      <c r="X757" s="128"/>
      <c r="Y757" s="139"/>
      <c r="AA757" s="73"/>
      <c r="AC757" s="79"/>
    </row>
    <row r="758" spans="9:29" x14ac:dyDescent="0.35">
      <c r="I758" s="109"/>
      <c r="J758" s="109"/>
      <c r="K758" s="109"/>
      <c r="M758" s="37"/>
      <c r="V758" s="128"/>
      <c r="W758" s="128"/>
      <c r="X758" s="128"/>
      <c r="Y758" s="139"/>
      <c r="AA758" s="73"/>
      <c r="AC758" s="79"/>
    </row>
    <row r="759" spans="9:29" x14ac:dyDescent="0.35">
      <c r="I759" s="109"/>
      <c r="J759" s="109"/>
      <c r="K759" s="109"/>
      <c r="M759" s="37"/>
      <c r="V759" s="128"/>
      <c r="W759" s="128"/>
      <c r="X759" s="128"/>
      <c r="Y759" s="139"/>
      <c r="AA759" s="73"/>
      <c r="AC759" s="79"/>
    </row>
    <row r="760" spans="9:29" x14ac:dyDescent="0.35">
      <c r="I760" s="109"/>
      <c r="J760" s="109"/>
      <c r="K760" s="109"/>
      <c r="M760" s="37"/>
      <c r="V760" s="128"/>
      <c r="W760" s="128"/>
      <c r="X760" s="128"/>
      <c r="Y760" s="139"/>
      <c r="AA760" s="73"/>
      <c r="AC760" s="79"/>
    </row>
    <row r="761" spans="9:29" x14ac:dyDescent="0.35">
      <c r="I761" s="109"/>
      <c r="J761" s="109"/>
      <c r="K761" s="109"/>
      <c r="M761" s="37"/>
      <c r="V761" s="128"/>
      <c r="W761" s="128"/>
      <c r="X761" s="128"/>
      <c r="Y761" s="139"/>
      <c r="AA761" s="73"/>
      <c r="AC761" s="79"/>
    </row>
    <row r="762" spans="9:29" x14ac:dyDescent="0.35">
      <c r="I762" s="109"/>
      <c r="J762" s="109"/>
      <c r="K762" s="109"/>
      <c r="M762" s="37"/>
      <c r="V762" s="128"/>
      <c r="W762" s="128"/>
      <c r="X762" s="128"/>
      <c r="Y762" s="139"/>
      <c r="AA762" s="73"/>
      <c r="AC762" s="79"/>
    </row>
    <row r="763" spans="9:29" x14ac:dyDescent="0.35">
      <c r="I763" s="109"/>
      <c r="J763" s="109"/>
      <c r="K763" s="109"/>
      <c r="M763" s="37"/>
      <c r="V763" s="128"/>
      <c r="W763" s="128"/>
      <c r="X763" s="128"/>
      <c r="Y763" s="139"/>
      <c r="AA763" s="73"/>
      <c r="AC763" s="79"/>
    </row>
    <row r="764" spans="9:29" x14ac:dyDescent="0.35">
      <c r="I764" s="109"/>
      <c r="J764" s="109"/>
      <c r="K764" s="109"/>
      <c r="M764" s="37"/>
      <c r="V764" s="128"/>
      <c r="W764" s="128"/>
      <c r="X764" s="128"/>
      <c r="Y764" s="139"/>
      <c r="AA764" s="73"/>
      <c r="AC764" s="79"/>
    </row>
    <row r="765" spans="9:29" x14ac:dyDescent="0.35">
      <c r="I765" s="109"/>
      <c r="J765" s="109"/>
      <c r="K765" s="109"/>
      <c r="M765" s="37"/>
      <c r="V765" s="128"/>
      <c r="W765" s="128"/>
      <c r="X765" s="128"/>
      <c r="Y765" s="139"/>
      <c r="AA765" s="73"/>
      <c r="AC765" s="79"/>
    </row>
    <row r="766" spans="9:29" x14ac:dyDescent="0.35">
      <c r="I766" s="109"/>
      <c r="J766" s="109"/>
      <c r="K766" s="109"/>
      <c r="M766" s="37"/>
      <c r="V766" s="128"/>
      <c r="W766" s="128"/>
      <c r="X766" s="128"/>
      <c r="Y766" s="139"/>
      <c r="AA766" s="73"/>
      <c r="AC766" s="79"/>
    </row>
    <row r="767" spans="9:29" x14ac:dyDescent="0.35">
      <c r="I767" s="109"/>
      <c r="J767" s="109"/>
      <c r="K767" s="109"/>
      <c r="V767" s="128"/>
      <c r="W767" s="128"/>
      <c r="X767" s="128"/>
      <c r="Y767" s="139"/>
      <c r="AA767" s="73"/>
    </row>
    <row r="768" spans="9:29" x14ac:dyDescent="0.35">
      <c r="I768" s="109"/>
      <c r="J768" s="109"/>
      <c r="K768" s="109"/>
      <c r="V768" s="128"/>
      <c r="W768" s="128"/>
      <c r="X768" s="128"/>
      <c r="Y768" s="139"/>
      <c r="AA768" s="73"/>
    </row>
    <row r="769" spans="9:27" x14ac:dyDescent="0.35">
      <c r="I769" s="109"/>
      <c r="J769" s="109"/>
      <c r="K769" s="109"/>
      <c r="V769" s="128"/>
      <c r="W769" s="128"/>
      <c r="X769" s="128"/>
      <c r="Y769" s="139"/>
      <c r="AA769" s="73"/>
    </row>
    <row r="770" spans="9:27" x14ac:dyDescent="0.35">
      <c r="I770" s="109"/>
      <c r="J770" s="109"/>
      <c r="K770" s="109"/>
      <c r="V770" s="128"/>
      <c r="W770" s="128"/>
      <c r="X770" s="128"/>
      <c r="Y770" s="139"/>
      <c r="AA770" s="73"/>
    </row>
    <row r="771" spans="9:27" x14ac:dyDescent="0.35">
      <c r="I771" s="109"/>
      <c r="J771" s="109"/>
      <c r="K771" s="109"/>
      <c r="V771" s="128"/>
      <c r="W771" s="128"/>
      <c r="X771" s="128"/>
      <c r="Y771" s="139"/>
      <c r="AA771" s="73"/>
    </row>
    <row r="772" spans="9:27" x14ac:dyDescent="0.35">
      <c r="I772" s="109"/>
      <c r="J772" s="109"/>
      <c r="K772" s="109"/>
      <c r="V772" s="128"/>
      <c r="W772" s="128"/>
      <c r="X772" s="128"/>
      <c r="Y772" s="139"/>
      <c r="AA772" s="73"/>
    </row>
    <row r="773" spans="9:27" x14ac:dyDescent="0.35">
      <c r="I773" s="109"/>
      <c r="J773" s="109"/>
      <c r="K773" s="109"/>
      <c r="V773" s="128"/>
      <c r="W773" s="128"/>
      <c r="X773" s="128"/>
      <c r="Y773" s="139"/>
      <c r="AA773" s="73"/>
    </row>
    <row r="774" spans="9:27" x14ac:dyDescent="0.35">
      <c r="I774" s="109"/>
      <c r="J774" s="109"/>
      <c r="K774" s="109"/>
      <c r="V774" s="128"/>
      <c r="W774" s="128"/>
      <c r="X774" s="128"/>
      <c r="Y774" s="139"/>
      <c r="AA774" s="73"/>
    </row>
    <row r="775" spans="9:27" x14ac:dyDescent="0.35">
      <c r="I775" s="109"/>
      <c r="J775" s="109"/>
      <c r="K775" s="109"/>
      <c r="V775" s="128"/>
      <c r="W775" s="128"/>
      <c r="X775" s="128"/>
      <c r="Y775" s="139"/>
      <c r="AA775" s="73"/>
    </row>
    <row r="776" spans="9:27" x14ac:dyDescent="0.35">
      <c r="I776" s="109"/>
      <c r="J776" s="109"/>
      <c r="K776" s="109"/>
      <c r="V776" s="128"/>
      <c r="W776" s="128"/>
      <c r="X776" s="128"/>
      <c r="Y776" s="139"/>
      <c r="AA776" s="73"/>
    </row>
    <row r="777" spans="9:27" x14ac:dyDescent="0.35">
      <c r="I777" s="109"/>
      <c r="J777" s="109"/>
      <c r="K777" s="109"/>
      <c r="V777" s="128"/>
      <c r="W777" s="128"/>
      <c r="X777" s="128"/>
      <c r="Y777" s="139"/>
      <c r="AA777" s="73"/>
    </row>
    <row r="778" spans="9:27" x14ac:dyDescent="0.35">
      <c r="I778" s="109"/>
      <c r="J778" s="109"/>
      <c r="K778" s="109"/>
      <c r="V778" s="128"/>
      <c r="W778" s="128"/>
      <c r="X778" s="128"/>
      <c r="Y778" s="139"/>
      <c r="AA778" s="73"/>
    </row>
    <row r="779" spans="9:27" x14ac:dyDescent="0.35">
      <c r="I779" s="109"/>
      <c r="J779" s="109"/>
      <c r="K779" s="109"/>
      <c r="V779" s="128"/>
      <c r="W779" s="128"/>
      <c r="X779" s="128"/>
      <c r="Y779" s="139"/>
      <c r="AA779" s="73"/>
    </row>
    <row r="780" spans="9:27" x14ac:dyDescent="0.35">
      <c r="I780" s="109"/>
      <c r="J780" s="109"/>
      <c r="K780" s="109"/>
      <c r="V780" s="128"/>
      <c r="W780" s="128"/>
      <c r="X780" s="128"/>
      <c r="Y780" s="139"/>
      <c r="AA780" s="73"/>
    </row>
    <row r="781" spans="9:27" x14ac:dyDescent="0.35">
      <c r="I781" s="109"/>
      <c r="J781" s="109"/>
      <c r="K781" s="109"/>
      <c r="V781" s="128"/>
      <c r="W781" s="128"/>
      <c r="X781" s="128"/>
      <c r="Y781" s="139"/>
      <c r="AA781" s="73"/>
    </row>
    <row r="782" spans="9:27" x14ac:dyDescent="0.35">
      <c r="I782" s="109"/>
      <c r="J782" s="109"/>
      <c r="K782" s="109"/>
      <c r="V782" s="128"/>
      <c r="W782" s="128"/>
      <c r="X782" s="128"/>
      <c r="Y782" s="139"/>
      <c r="AA782" s="73"/>
    </row>
    <row r="783" spans="9:27" x14ac:dyDescent="0.35">
      <c r="I783" s="109"/>
      <c r="J783" s="109"/>
      <c r="K783" s="109"/>
      <c r="V783" s="128"/>
      <c r="W783" s="128"/>
      <c r="X783" s="128"/>
      <c r="Y783" s="139"/>
      <c r="AA783" s="73"/>
    </row>
    <row r="784" spans="9:27" x14ac:dyDescent="0.35">
      <c r="I784" s="109"/>
      <c r="J784" s="109"/>
      <c r="K784" s="109"/>
      <c r="V784" s="128"/>
      <c r="W784" s="128"/>
      <c r="X784" s="128"/>
      <c r="Y784" s="139"/>
      <c r="AA784" s="73"/>
    </row>
    <row r="785" spans="9:27" x14ac:dyDescent="0.35">
      <c r="I785" s="109"/>
      <c r="J785" s="109"/>
      <c r="K785" s="109"/>
      <c r="V785" s="128"/>
      <c r="W785" s="128"/>
      <c r="X785" s="128"/>
      <c r="Y785" s="139"/>
      <c r="AA785" s="73"/>
    </row>
    <row r="786" spans="9:27" x14ac:dyDescent="0.35">
      <c r="I786" s="109"/>
      <c r="J786" s="109"/>
      <c r="K786" s="109"/>
      <c r="V786" s="128"/>
      <c r="W786" s="128"/>
      <c r="X786" s="128"/>
      <c r="Y786" s="139"/>
      <c r="AA786" s="73"/>
    </row>
    <row r="787" spans="9:27" x14ac:dyDescent="0.35">
      <c r="I787" s="109"/>
      <c r="J787" s="109"/>
      <c r="K787" s="109"/>
      <c r="V787" s="128"/>
      <c r="W787" s="128"/>
      <c r="X787" s="128"/>
      <c r="Y787" s="139"/>
      <c r="AA787" s="73"/>
    </row>
    <row r="788" spans="9:27" x14ac:dyDescent="0.35">
      <c r="I788" s="109"/>
      <c r="J788" s="109"/>
      <c r="K788" s="109"/>
      <c r="V788" s="128"/>
      <c r="W788" s="128"/>
      <c r="X788" s="128"/>
      <c r="Y788" s="139"/>
      <c r="AA788" s="73"/>
    </row>
    <row r="789" spans="9:27" x14ac:dyDescent="0.35">
      <c r="I789" s="109"/>
      <c r="J789" s="109"/>
      <c r="K789" s="109"/>
      <c r="V789" s="128"/>
      <c r="W789" s="128"/>
      <c r="X789" s="128"/>
      <c r="Y789" s="139"/>
      <c r="AA789" s="73"/>
    </row>
    <row r="790" spans="9:27" x14ac:dyDescent="0.35">
      <c r="I790" s="109"/>
      <c r="J790" s="109"/>
      <c r="K790" s="109"/>
      <c r="V790" s="128"/>
      <c r="W790" s="128"/>
      <c r="X790" s="128"/>
      <c r="Y790" s="139"/>
      <c r="AA790" s="73"/>
    </row>
    <row r="791" spans="9:27" x14ac:dyDescent="0.35">
      <c r="I791" s="109"/>
      <c r="J791" s="109"/>
      <c r="K791" s="109"/>
      <c r="V791" s="128"/>
      <c r="W791" s="128"/>
      <c r="X791" s="128"/>
      <c r="Y791" s="139"/>
      <c r="AA791" s="73"/>
    </row>
    <row r="792" spans="9:27" x14ac:dyDescent="0.35">
      <c r="I792" s="109"/>
      <c r="J792" s="109"/>
      <c r="K792" s="109"/>
      <c r="V792" s="128"/>
      <c r="W792" s="128"/>
      <c r="X792" s="128"/>
      <c r="Y792" s="139"/>
      <c r="AA792" s="73"/>
    </row>
    <row r="793" spans="9:27" x14ac:dyDescent="0.35">
      <c r="I793" s="109"/>
      <c r="J793" s="109"/>
      <c r="K793" s="109"/>
      <c r="V793" s="128"/>
      <c r="W793" s="128"/>
      <c r="X793" s="128"/>
      <c r="Y793" s="139"/>
      <c r="AA793" s="73"/>
    </row>
    <row r="794" spans="9:27" x14ac:dyDescent="0.35">
      <c r="I794" s="109"/>
      <c r="J794" s="109"/>
      <c r="K794" s="109"/>
      <c r="V794" s="128"/>
      <c r="W794" s="128"/>
      <c r="X794" s="128"/>
      <c r="Y794" s="139"/>
      <c r="AA794" s="73"/>
    </row>
    <row r="795" spans="9:27" x14ac:dyDescent="0.35">
      <c r="I795" s="109"/>
      <c r="J795" s="109"/>
      <c r="K795" s="109"/>
      <c r="V795" s="128"/>
      <c r="W795" s="128"/>
      <c r="X795" s="128"/>
      <c r="Y795" s="139"/>
      <c r="AA795" s="73"/>
    </row>
    <row r="796" spans="9:27" x14ac:dyDescent="0.35">
      <c r="I796" s="109"/>
      <c r="J796" s="109"/>
      <c r="K796" s="109"/>
      <c r="V796" s="128"/>
      <c r="W796" s="128"/>
      <c r="X796" s="128"/>
      <c r="Y796" s="139"/>
      <c r="AA796" s="73"/>
    </row>
    <row r="797" spans="9:27" x14ac:dyDescent="0.35">
      <c r="I797" s="109"/>
      <c r="J797" s="109"/>
      <c r="K797" s="109"/>
      <c r="V797" s="128"/>
      <c r="W797" s="128"/>
      <c r="X797" s="128"/>
      <c r="Y797" s="139"/>
      <c r="AA797" s="73"/>
    </row>
    <row r="798" spans="9:27" x14ac:dyDescent="0.35">
      <c r="I798" s="109"/>
      <c r="J798" s="109"/>
      <c r="K798" s="109"/>
      <c r="V798" s="128"/>
      <c r="W798" s="128"/>
      <c r="X798" s="128"/>
      <c r="Y798" s="139"/>
      <c r="AA798" s="73"/>
    </row>
    <row r="799" spans="9:27" x14ac:dyDescent="0.35">
      <c r="I799" s="109"/>
      <c r="J799" s="109"/>
      <c r="K799" s="109"/>
      <c r="V799" s="128"/>
      <c r="W799" s="128"/>
      <c r="X799" s="128"/>
      <c r="Y799" s="139"/>
      <c r="AA799" s="73"/>
    </row>
    <row r="800" spans="9:27" x14ac:dyDescent="0.35">
      <c r="I800" s="109"/>
      <c r="J800" s="109"/>
      <c r="K800" s="109"/>
      <c r="V800" s="128"/>
      <c r="W800" s="128"/>
      <c r="X800" s="128"/>
      <c r="Y800" s="139"/>
      <c r="AA800" s="73"/>
    </row>
    <row r="801" spans="9:27" x14ac:dyDescent="0.35">
      <c r="I801" s="109"/>
      <c r="J801" s="109"/>
      <c r="K801" s="109"/>
      <c r="V801" s="128"/>
      <c r="W801" s="128"/>
      <c r="X801" s="128"/>
      <c r="Y801" s="139"/>
      <c r="AA801" s="73"/>
    </row>
    <row r="802" spans="9:27" x14ac:dyDescent="0.35">
      <c r="I802" s="109"/>
      <c r="J802" s="109"/>
      <c r="K802" s="109"/>
      <c r="V802" s="128"/>
      <c r="W802" s="128"/>
      <c r="X802" s="128"/>
      <c r="Y802" s="139"/>
      <c r="AA802" s="73"/>
    </row>
    <row r="803" spans="9:27" x14ac:dyDescent="0.35">
      <c r="I803" s="109"/>
      <c r="J803" s="109"/>
      <c r="K803" s="109"/>
      <c r="V803" s="128"/>
      <c r="W803" s="128"/>
      <c r="X803" s="128"/>
      <c r="Y803" s="139"/>
      <c r="AA803" s="73"/>
    </row>
    <row r="804" spans="9:27" x14ac:dyDescent="0.35">
      <c r="I804" s="109"/>
      <c r="J804" s="109"/>
      <c r="K804" s="109"/>
      <c r="V804" s="128"/>
      <c r="W804" s="128"/>
      <c r="X804" s="128"/>
      <c r="Y804" s="139"/>
      <c r="AA804" s="73"/>
    </row>
    <row r="805" spans="9:27" x14ac:dyDescent="0.35">
      <c r="I805" s="109"/>
      <c r="J805" s="109"/>
      <c r="K805" s="109"/>
      <c r="V805" s="128"/>
      <c r="W805" s="128"/>
      <c r="X805" s="128"/>
      <c r="Y805" s="139"/>
      <c r="AA805" s="73"/>
    </row>
    <row r="806" spans="9:27" x14ac:dyDescent="0.35">
      <c r="I806" s="109"/>
      <c r="J806" s="109"/>
      <c r="K806" s="109"/>
      <c r="V806" s="128"/>
      <c r="W806" s="128"/>
      <c r="X806" s="128"/>
      <c r="Y806" s="139"/>
      <c r="AA806" s="73"/>
    </row>
    <row r="807" spans="9:27" x14ac:dyDescent="0.35">
      <c r="I807" s="109"/>
      <c r="J807" s="109"/>
      <c r="K807" s="109"/>
      <c r="V807" s="128"/>
      <c r="W807" s="128"/>
      <c r="X807" s="128"/>
      <c r="Y807" s="139"/>
      <c r="AA807" s="73"/>
    </row>
    <row r="808" spans="9:27" x14ac:dyDescent="0.35">
      <c r="I808" s="109"/>
      <c r="J808" s="109"/>
      <c r="K808" s="109"/>
      <c r="V808" s="128"/>
      <c r="W808" s="128"/>
      <c r="X808" s="128"/>
      <c r="Y808" s="139"/>
      <c r="AA808" s="73"/>
    </row>
    <row r="809" spans="9:27" x14ac:dyDescent="0.35">
      <c r="I809" s="109"/>
      <c r="J809" s="109"/>
      <c r="K809" s="109"/>
      <c r="V809" s="128"/>
      <c r="W809" s="128"/>
      <c r="X809" s="128"/>
      <c r="Y809" s="139"/>
      <c r="AA809" s="73"/>
    </row>
    <row r="810" spans="9:27" x14ac:dyDescent="0.35">
      <c r="I810" s="109"/>
      <c r="J810" s="109"/>
      <c r="K810" s="109"/>
      <c r="V810" s="128"/>
      <c r="W810" s="128"/>
      <c r="X810" s="128"/>
      <c r="Y810" s="139"/>
      <c r="AA810" s="73"/>
    </row>
    <row r="811" spans="9:27" x14ac:dyDescent="0.35">
      <c r="I811" s="109"/>
      <c r="J811" s="109"/>
      <c r="K811" s="109"/>
      <c r="V811" s="128"/>
      <c r="W811" s="128"/>
      <c r="X811" s="128"/>
      <c r="Y811" s="139"/>
      <c r="AA811" s="73"/>
    </row>
    <row r="812" spans="9:27" x14ac:dyDescent="0.35">
      <c r="I812" s="109"/>
      <c r="J812" s="109"/>
      <c r="K812" s="109"/>
      <c r="V812" s="128"/>
      <c r="W812" s="128"/>
      <c r="X812" s="128"/>
      <c r="Y812" s="139"/>
      <c r="AA812" s="73"/>
    </row>
    <row r="813" spans="9:27" x14ac:dyDescent="0.35">
      <c r="I813" s="109"/>
      <c r="J813" s="109"/>
      <c r="K813" s="109"/>
      <c r="V813" s="128"/>
      <c r="W813" s="128"/>
      <c r="X813" s="128"/>
      <c r="Y813" s="139"/>
      <c r="AA813" s="73"/>
    </row>
    <row r="814" spans="9:27" x14ac:dyDescent="0.35">
      <c r="I814" s="109"/>
      <c r="J814" s="109"/>
      <c r="K814" s="109"/>
      <c r="V814" s="128"/>
      <c r="W814" s="128"/>
      <c r="X814" s="128"/>
      <c r="Y814" s="139"/>
      <c r="AA814" s="73"/>
    </row>
    <row r="815" spans="9:27" x14ac:dyDescent="0.35">
      <c r="I815" s="109"/>
      <c r="J815" s="109"/>
      <c r="K815" s="109"/>
      <c r="V815" s="128"/>
      <c r="W815" s="128"/>
      <c r="X815" s="128"/>
      <c r="Y815" s="139"/>
      <c r="AA815" s="73"/>
    </row>
    <row r="816" spans="9:27" x14ac:dyDescent="0.35">
      <c r="I816" s="109"/>
      <c r="J816" s="109"/>
      <c r="K816" s="109"/>
      <c r="V816" s="128"/>
      <c r="W816" s="128"/>
      <c r="X816" s="128"/>
      <c r="Y816" s="139"/>
      <c r="AA816" s="73"/>
    </row>
    <row r="817" spans="9:27" x14ac:dyDescent="0.35">
      <c r="I817" s="109"/>
      <c r="J817" s="109"/>
      <c r="K817" s="109"/>
      <c r="V817" s="128"/>
      <c r="W817" s="128"/>
      <c r="X817" s="128"/>
      <c r="Y817" s="139"/>
      <c r="AA817" s="73"/>
    </row>
    <row r="818" spans="9:27" x14ac:dyDescent="0.35">
      <c r="I818" s="109"/>
      <c r="J818" s="109"/>
      <c r="K818" s="109"/>
      <c r="V818" s="128"/>
      <c r="W818" s="128"/>
      <c r="X818" s="128"/>
      <c r="Y818" s="139"/>
      <c r="AA818" s="73"/>
    </row>
    <row r="819" spans="9:27" x14ac:dyDescent="0.35">
      <c r="I819" s="109"/>
      <c r="J819" s="109"/>
      <c r="K819" s="109"/>
      <c r="V819" s="128"/>
      <c r="W819" s="128"/>
      <c r="X819" s="128"/>
      <c r="Y819" s="139"/>
      <c r="AA819" s="73"/>
    </row>
    <row r="820" spans="9:27" x14ac:dyDescent="0.35">
      <c r="I820" s="109"/>
      <c r="J820" s="109"/>
      <c r="K820" s="109"/>
      <c r="V820" s="128"/>
      <c r="W820" s="128"/>
      <c r="X820" s="128"/>
      <c r="Y820" s="139"/>
      <c r="AA820" s="73"/>
    </row>
    <row r="821" spans="9:27" x14ac:dyDescent="0.35">
      <c r="I821" s="109"/>
      <c r="J821" s="109"/>
      <c r="K821" s="109"/>
      <c r="V821" s="128"/>
      <c r="W821" s="128"/>
      <c r="X821" s="128"/>
      <c r="Y821" s="139"/>
      <c r="AA821" s="73"/>
    </row>
    <row r="822" spans="9:27" x14ac:dyDescent="0.35">
      <c r="I822" s="109"/>
      <c r="J822" s="109"/>
      <c r="K822" s="109"/>
      <c r="V822" s="128"/>
      <c r="W822" s="128"/>
      <c r="X822" s="128"/>
      <c r="Y822" s="139"/>
      <c r="AA822" s="73"/>
    </row>
    <row r="823" spans="9:27" x14ac:dyDescent="0.35">
      <c r="I823" s="109"/>
      <c r="J823" s="109"/>
      <c r="K823" s="109"/>
      <c r="V823" s="128"/>
      <c r="W823" s="128"/>
      <c r="X823" s="128"/>
      <c r="Y823" s="139"/>
      <c r="AA823" s="73"/>
    </row>
    <row r="824" spans="9:27" x14ac:dyDescent="0.35">
      <c r="I824" s="109"/>
      <c r="J824" s="109"/>
      <c r="K824" s="109"/>
      <c r="V824" s="128"/>
      <c r="W824" s="128"/>
      <c r="X824" s="128"/>
      <c r="Y824" s="139"/>
      <c r="AA824" s="73"/>
    </row>
    <row r="825" spans="9:27" x14ac:dyDescent="0.35">
      <c r="I825" s="109"/>
      <c r="J825" s="109"/>
      <c r="K825" s="109"/>
      <c r="V825" s="128"/>
      <c r="W825" s="128"/>
      <c r="X825" s="128"/>
      <c r="Y825" s="139"/>
      <c r="AA825" s="73"/>
    </row>
    <row r="826" spans="9:27" x14ac:dyDescent="0.35">
      <c r="I826" s="109"/>
      <c r="J826" s="109"/>
      <c r="K826" s="109"/>
      <c r="V826" s="128"/>
      <c r="W826" s="128"/>
      <c r="X826" s="128"/>
      <c r="Y826" s="139"/>
      <c r="AA826" s="73"/>
    </row>
    <row r="827" spans="9:27" x14ac:dyDescent="0.35">
      <c r="I827" s="109"/>
      <c r="J827" s="109"/>
      <c r="K827" s="109"/>
      <c r="V827" s="128"/>
      <c r="W827" s="128"/>
      <c r="X827" s="128"/>
      <c r="Y827" s="139"/>
      <c r="AA827" s="73"/>
    </row>
    <row r="828" spans="9:27" x14ac:dyDescent="0.35">
      <c r="I828" s="109"/>
      <c r="J828" s="109"/>
      <c r="K828" s="109"/>
      <c r="V828" s="128"/>
      <c r="W828" s="128"/>
      <c r="X828" s="128"/>
      <c r="Y828" s="139"/>
      <c r="AA828" s="73"/>
    </row>
    <row r="829" spans="9:27" x14ac:dyDescent="0.35">
      <c r="I829" s="109"/>
      <c r="J829" s="109"/>
      <c r="K829" s="109"/>
      <c r="V829" s="128"/>
      <c r="W829" s="128"/>
      <c r="X829" s="128"/>
      <c r="Y829" s="139"/>
      <c r="AA829" s="73"/>
    </row>
    <row r="830" spans="9:27" x14ac:dyDescent="0.35">
      <c r="I830" s="109"/>
      <c r="J830" s="109"/>
      <c r="K830" s="109"/>
      <c r="V830" s="128"/>
      <c r="W830" s="128"/>
      <c r="X830" s="128"/>
      <c r="Y830" s="139"/>
      <c r="AA830" s="73"/>
    </row>
    <row r="831" spans="9:27" x14ac:dyDescent="0.35">
      <c r="I831" s="109"/>
      <c r="J831" s="109"/>
      <c r="K831" s="109"/>
      <c r="V831" s="128"/>
      <c r="W831" s="128"/>
      <c r="X831" s="128"/>
      <c r="Y831" s="139"/>
      <c r="AA831" s="73"/>
    </row>
    <row r="832" spans="9:27" x14ac:dyDescent="0.35">
      <c r="I832" s="109"/>
      <c r="J832" s="109"/>
      <c r="K832" s="109"/>
      <c r="V832" s="128"/>
      <c r="W832" s="128"/>
      <c r="X832" s="128"/>
      <c r="Y832" s="139"/>
      <c r="AA832" s="73"/>
    </row>
    <row r="833" spans="9:27" x14ac:dyDescent="0.35">
      <c r="I833" s="109"/>
      <c r="J833" s="109"/>
      <c r="K833" s="109"/>
      <c r="V833" s="128"/>
      <c r="W833" s="128"/>
      <c r="X833" s="128"/>
      <c r="Y833" s="139"/>
      <c r="AA833" s="73"/>
    </row>
    <row r="834" spans="9:27" x14ac:dyDescent="0.35">
      <c r="I834" s="109"/>
      <c r="J834" s="109"/>
      <c r="K834" s="109"/>
      <c r="V834" s="128"/>
      <c r="W834" s="128"/>
      <c r="X834" s="128"/>
      <c r="Y834" s="139"/>
      <c r="AA834" s="73"/>
    </row>
    <row r="835" spans="9:27" x14ac:dyDescent="0.35">
      <c r="I835" s="109"/>
      <c r="J835" s="109"/>
      <c r="K835" s="109"/>
      <c r="V835" s="128"/>
      <c r="W835" s="128"/>
      <c r="X835" s="128"/>
      <c r="Y835" s="139"/>
      <c r="AA835" s="73"/>
    </row>
    <row r="836" spans="9:27" x14ac:dyDescent="0.35">
      <c r="I836" s="109"/>
      <c r="J836" s="109"/>
      <c r="K836" s="109"/>
      <c r="V836" s="128"/>
      <c r="W836" s="128"/>
      <c r="X836" s="128"/>
      <c r="Y836" s="139"/>
      <c r="AA836" s="73"/>
    </row>
    <row r="837" spans="9:27" x14ac:dyDescent="0.35">
      <c r="I837" s="109"/>
      <c r="J837" s="109"/>
      <c r="K837" s="109"/>
      <c r="V837" s="128"/>
      <c r="W837" s="128"/>
      <c r="X837" s="128"/>
      <c r="Y837" s="139"/>
      <c r="AA837" s="73"/>
    </row>
    <row r="838" spans="9:27" x14ac:dyDescent="0.35">
      <c r="I838" s="109"/>
      <c r="J838" s="109"/>
      <c r="K838" s="109"/>
      <c r="V838" s="128"/>
      <c r="W838" s="128"/>
      <c r="X838" s="128"/>
      <c r="Y838" s="139"/>
      <c r="AA838" s="73"/>
    </row>
    <row r="839" spans="9:27" x14ac:dyDescent="0.35">
      <c r="I839" s="109"/>
      <c r="J839" s="109"/>
      <c r="K839" s="109"/>
      <c r="V839" s="128"/>
      <c r="W839" s="128"/>
      <c r="X839" s="128"/>
      <c r="Y839" s="139"/>
      <c r="AA839" s="73"/>
    </row>
    <row r="840" spans="9:27" x14ac:dyDescent="0.35">
      <c r="I840" s="109"/>
      <c r="J840" s="109"/>
      <c r="K840" s="109"/>
      <c r="V840" s="128"/>
      <c r="W840" s="128"/>
      <c r="X840" s="128"/>
      <c r="Y840" s="139"/>
      <c r="AA840" s="73"/>
    </row>
    <row r="841" spans="9:27" x14ac:dyDescent="0.35">
      <c r="I841" s="109"/>
      <c r="J841" s="109"/>
      <c r="K841" s="109"/>
      <c r="V841" s="128"/>
      <c r="W841" s="128"/>
      <c r="X841" s="128"/>
      <c r="Y841" s="139"/>
      <c r="AA841" s="73"/>
    </row>
    <row r="842" spans="9:27" x14ac:dyDescent="0.35">
      <c r="I842" s="109"/>
      <c r="J842" s="109"/>
      <c r="K842" s="109"/>
      <c r="V842" s="128"/>
      <c r="W842" s="128"/>
      <c r="X842" s="128"/>
      <c r="Y842" s="139"/>
      <c r="AA842" s="73"/>
    </row>
    <row r="843" spans="9:27" x14ac:dyDescent="0.35">
      <c r="I843" s="109"/>
      <c r="J843" s="109"/>
      <c r="K843" s="109"/>
      <c r="V843" s="128"/>
      <c r="W843" s="128"/>
      <c r="X843" s="128"/>
      <c r="Y843" s="139"/>
      <c r="AA843" s="73"/>
    </row>
    <row r="844" spans="9:27" x14ac:dyDescent="0.35">
      <c r="I844" s="109"/>
      <c r="J844" s="109"/>
      <c r="K844" s="109"/>
      <c r="V844" s="128"/>
      <c r="W844" s="128"/>
      <c r="X844" s="128"/>
      <c r="Y844" s="139"/>
      <c r="AA844" s="73"/>
    </row>
    <row r="845" spans="9:27" x14ac:dyDescent="0.35">
      <c r="I845" s="109"/>
      <c r="J845" s="109"/>
      <c r="K845" s="109"/>
      <c r="V845" s="128"/>
      <c r="W845" s="128"/>
      <c r="X845" s="128"/>
      <c r="Y845" s="139"/>
      <c r="AA845" s="73"/>
    </row>
    <row r="846" spans="9:27" x14ac:dyDescent="0.35">
      <c r="I846" s="109"/>
      <c r="J846" s="109"/>
      <c r="K846" s="109"/>
      <c r="V846" s="128"/>
      <c r="W846" s="128"/>
      <c r="X846" s="128"/>
      <c r="Y846" s="139"/>
      <c r="AA846" s="73"/>
    </row>
    <row r="847" spans="9:27" x14ac:dyDescent="0.35">
      <c r="I847" s="109"/>
      <c r="J847" s="109"/>
      <c r="K847" s="109"/>
      <c r="V847" s="128"/>
      <c r="W847" s="128"/>
      <c r="X847" s="128"/>
      <c r="Y847" s="139"/>
      <c r="AA847" s="73"/>
    </row>
    <row r="848" spans="9:27" x14ac:dyDescent="0.35">
      <c r="I848" s="109"/>
      <c r="J848" s="109"/>
      <c r="K848" s="109"/>
      <c r="V848" s="128"/>
      <c r="W848" s="128"/>
      <c r="X848" s="128"/>
      <c r="Y848" s="139"/>
      <c r="AA848" s="73"/>
    </row>
    <row r="849" spans="9:27" x14ac:dyDescent="0.35">
      <c r="I849" s="109"/>
      <c r="J849" s="109"/>
      <c r="K849" s="109"/>
      <c r="V849" s="128"/>
      <c r="W849" s="128"/>
      <c r="X849" s="128"/>
      <c r="Y849" s="139"/>
      <c r="AA849" s="73"/>
    </row>
    <row r="850" spans="9:27" x14ac:dyDescent="0.35">
      <c r="I850" s="109"/>
      <c r="J850" s="109"/>
      <c r="K850" s="109"/>
      <c r="V850" s="128"/>
      <c r="W850" s="128"/>
      <c r="X850" s="128"/>
      <c r="Y850" s="139"/>
      <c r="AA850" s="73"/>
    </row>
    <row r="851" spans="9:27" x14ac:dyDescent="0.35">
      <c r="I851" s="109"/>
      <c r="J851" s="109"/>
      <c r="K851" s="109"/>
      <c r="V851" s="128"/>
      <c r="W851" s="128"/>
      <c r="X851" s="128"/>
      <c r="Y851" s="139"/>
      <c r="AA851" s="73"/>
    </row>
    <row r="852" spans="9:27" x14ac:dyDescent="0.35">
      <c r="I852" s="109"/>
      <c r="J852" s="109"/>
      <c r="K852" s="109"/>
      <c r="V852" s="128"/>
      <c r="W852" s="128"/>
      <c r="X852" s="128"/>
      <c r="Y852" s="139"/>
      <c r="AA852" s="73"/>
    </row>
    <row r="853" spans="9:27" x14ac:dyDescent="0.35">
      <c r="I853" s="109"/>
      <c r="J853" s="109"/>
      <c r="K853" s="109"/>
      <c r="V853" s="128"/>
      <c r="W853" s="128"/>
      <c r="X853" s="128"/>
      <c r="Y853" s="139"/>
      <c r="AA853" s="73"/>
    </row>
    <row r="854" spans="9:27" x14ac:dyDescent="0.35">
      <c r="I854" s="109"/>
      <c r="J854" s="109"/>
      <c r="K854" s="109"/>
      <c r="V854" s="128"/>
      <c r="W854" s="128"/>
      <c r="X854" s="128"/>
      <c r="Y854" s="139"/>
      <c r="AA854" s="73"/>
    </row>
    <row r="855" spans="9:27" x14ac:dyDescent="0.35">
      <c r="I855" s="109"/>
      <c r="J855" s="109"/>
      <c r="K855" s="109"/>
      <c r="V855" s="128"/>
      <c r="W855" s="128"/>
      <c r="X855" s="128"/>
      <c r="Y855" s="139"/>
      <c r="AA855" s="73"/>
    </row>
    <row r="856" spans="9:27" x14ac:dyDescent="0.35">
      <c r="I856" s="109"/>
      <c r="J856" s="109"/>
      <c r="K856" s="109"/>
      <c r="V856" s="128"/>
      <c r="W856" s="128"/>
      <c r="X856" s="128"/>
      <c r="Y856" s="139"/>
      <c r="AA856" s="73"/>
    </row>
    <row r="857" spans="9:27" x14ac:dyDescent="0.35">
      <c r="I857" s="109"/>
      <c r="J857" s="109"/>
      <c r="K857" s="109"/>
      <c r="V857" s="128"/>
      <c r="W857" s="128"/>
      <c r="X857" s="128"/>
      <c r="Y857" s="139"/>
      <c r="AA857" s="73"/>
    </row>
    <row r="858" spans="9:27" x14ac:dyDescent="0.35">
      <c r="I858" s="109"/>
      <c r="J858" s="109"/>
      <c r="K858" s="109"/>
      <c r="V858" s="128"/>
      <c r="W858" s="128"/>
      <c r="X858" s="128"/>
      <c r="Y858" s="139"/>
      <c r="AA858" s="73"/>
    </row>
    <row r="859" spans="9:27" x14ac:dyDescent="0.35">
      <c r="I859" s="109"/>
      <c r="J859" s="109"/>
      <c r="K859" s="109"/>
      <c r="V859" s="128"/>
      <c r="W859" s="128"/>
      <c r="X859" s="128"/>
      <c r="Y859" s="139"/>
      <c r="AA859" s="73"/>
    </row>
    <row r="860" spans="9:27" x14ac:dyDescent="0.35">
      <c r="I860" s="109"/>
      <c r="J860" s="109"/>
      <c r="K860" s="109"/>
      <c r="V860" s="128"/>
      <c r="W860" s="128"/>
      <c r="X860" s="128"/>
      <c r="Y860" s="139"/>
      <c r="AA860" s="73"/>
    </row>
    <row r="861" spans="9:27" x14ac:dyDescent="0.35">
      <c r="I861" s="109"/>
      <c r="J861" s="109"/>
      <c r="K861" s="109"/>
      <c r="V861" s="128"/>
      <c r="W861" s="128"/>
      <c r="X861" s="128"/>
      <c r="Y861" s="139"/>
      <c r="AA861" s="73"/>
    </row>
    <row r="862" spans="9:27" x14ac:dyDescent="0.35">
      <c r="I862" s="109"/>
      <c r="J862" s="109"/>
      <c r="K862" s="109"/>
      <c r="V862" s="128"/>
      <c r="W862" s="128"/>
      <c r="X862" s="128"/>
      <c r="Y862" s="139"/>
      <c r="AA862" s="73"/>
    </row>
    <row r="863" spans="9:27" x14ac:dyDescent="0.35">
      <c r="I863" s="109"/>
      <c r="J863" s="109"/>
      <c r="K863" s="109"/>
      <c r="V863" s="128"/>
      <c r="W863" s="128"/>
      <c r="X863" s="128"/>
      <c r="Y863" s="139"/>
      <c r="AA863" s="73"/>
    </row>
    <row r="864" spans="9:27" x14ac:dyDescent="0.35">
      <c r="I864" s="109"/>
      <c r="J864" s="109"/>
      <c r="K864" s="109"/>
      <c r="V864" s="128"/>
      <c r="W864" s="128"/>
      <c r="X864" s="128"/>
      <c r="Y864" s="139"/>
      <c r="AA864" s="73"/>
    </row>
    <row r="865" spans="9:27" x14ac:dyDescent="0.35">
      <c r="I865" s="109"/>
      <c r="J865" s="109"/>
      <c r="K865" s="109"/>
      <c r="V865" s="128"/>
      <c r="W865" s="128"/>
      <c r="X865" s="128"/>
      <c r="Y865" s="139"/>
      <c r="AA865" s="73"/>
    </row>
    <row r="866" spans="9:27" x14ac:dyDescent="0.35">
      <c r="I866" s="109"/>
      <c r="J866" s="109"/>
      <c r="K866" s="109"/>
      <c r="V866" s="128"/>
      <c r="W866" s="128"/>
      <c r="X866" s="128"/>
      <c r="Y866" s="139"/>
      <c r="AA866" s="73"/>
    </row>
    <row r="867" spans="9:27" x14ac:dyDescent="0.35">
      <c r="I867" s="109"/>
      <c r="J867" s="109"/>
      <c r="K867" s="109"/>
      <c r="V867" s="128"/>
      <c r="W867" s="128"/>
      <c r="X867" s="128"/>
      <c r="Y867" s="139"/>
      <c r="AA867" s="73"/>
    </row>
    <row r="868" spans="9:27" x14ac:dyDescent="0.35">
      <c r="I868" s="109"/>
      <c r="J868" s="109"/>
      <c r="K868" s="109"/>
      <c r="V868" s="128"/>
      <c r="W868" s="128"/>
      <c r="X868" s="128"/>
      <c r="Y868" s="139"/>
      <c r="AA868" s="73"/>
    </row>
    <row r="869" spans="9:27" x14ac:dyDescent="0.35">
      <c r="I869" s="109"/>
      <c r="J869" s="109"/>
      <c r="K869" s="109"/>
      <c r="V869" s="128"/>
      <c r="W869" s="128"/>
      <c r="X869" s="128"/>
      <c r="Y869" s="139"/>
      <c r="AA869" s="73"/>
    </row>
    <row r="870" spans="9:27" x14ac:dyDescent="0.35">
      <c r="I870" s="109"/>
      <c r="J870" s="109"/>
      <c r="K870" s="109"/>
      <c r="V870" s="128"/>
      <c r="W870" s="128"/>
      <c r="X870" s="128"/>
      <c r="Y870" s="139"/>
      <c r="AA870" s="73"/>
    </row>
    <row r="871" spans="9:27" x14ac:dyDescent="0.35">
      <c r="I871" s="109"/>
      <c r="J871" s="109"/>
      <c r="K871" s="109"/>
      <c r="V871" s="128"/>
      <c r="W871" s="128"/>
      <c r="X871" s="128"/>
      <c r="Y871" s="139"/>
      <c r="AA871" s="73"/>
    </row>
    <row r="872" spans="9:27" x14ac:dyDescent="0.35">
      <c r="I872" s="109"/>
      <c r="J872" s="109"/>
      <c r="K872" s="109"/>
      <c r="V872" s="128"/>
      <c r="W872" s="128"/>
      <c r="X872" s="128"/>
      <c r="Y872" s="139"/>
      <c r="AA872" s="73"/>
    </row>
    <row r="873" spans="9:27" x14ac:dyDescent="0.35">
      <c r="I873" s="109"/>
      <c r="J873" s="109"/>
      <c r="K873" s="109"/>
      <c r="V873" s="128"/>
      <c r="W873" s="128"/>
      <c r="X873" s="128"/>
      <c r="Y873" s="139"/>
      <c r="AA873" s="73"/>
    </row>
    <row r="874" spans="9:27" x14ac:dyDescent="0.35">
      <c r="I874" s="109"/>
      <c r="J874" s="109"/>
      <c r="K874" s="109"/>
      <c r="V874" s="128"/>
      <c r="W874" s="128"/>
      <c r="X874" s="128"/>
      <c r="Y874" s="139"/>
      <c r="AA874" s="73"/>
    </row>
    <row r="875" spans="9:27" x14ac:dyDescent="0.35">
      <c r="I875" s="109"/>
      <c r="J875" s="109"/>
      <c r="K875" s="109"/>
      <c r="V875" s="128"/>
      <c r="W875" s="128"/>
      <c r="X875" s="128"/>
      <c r="Y875" s="139"/>
      <c r="AA875" s="73"/>
    </row>
    <row r="876" spans="9:27" x14ac:dyDescent="0.35">
      <c r="I876" s="109"/>
      <c r="J876" s="109"/>
      <c r="K876" s="109"/>
      <c r="V876" s="128"/>
      <c r="W876" s="128"/>
      <c r="X876" s="128"/>
      <c r="Y876" s="139"/>
      <c r="AA876" s="73"/>
    </row>
    <row r="877" spans="9:27" x14ac:dyDescent="0.35">
      <c r="I877" s="109"/>
      <c r="J877" s="109"/>
      <c r="K877" s="109"/>
      <c r="V877" s="128"/>
      <c r="W877" s="128"/>
      <c r="X877" s="128"/>
      <c r="Y877" s="139"/>
      <c r="AA877" s="73"/>
    </row>
    <row r="878" spans="9:27" x14ac:dyDescent="0.35">
      <c r="I878" s="109"/>
      <c r="J878" s="109"/>
      <c r="K878" s="109"/>
      <c r="V878" s="128"/>
      <c r="W878" s="128"/>
      <c r="X878" s="128"/>
      <c r="Y878" s="139"/>
      <c r="AA878" s="73"/>
    </row>
    <row r="879" spans="9:27" x14ac:dyDescent="0.35">
      <c r="I879" s="109"/>
      <c r="J879" s="109"/>
      <c r="K879" s="109"/>
      <c r="V879" s="128"/>
      <c r="W879" s="128"/>
      <c r="X879" s="128"/>
      <c r="Y879" s="139"/>
      <c r="AA879" s="73"/>
    </row>
    <row r="880" spans="9:27" x14ac:dyDescent="0.35">
      <c r="I880" s="109"/>
      <c r="J880" s="109"/>
      <c r="K880" s="109"/>
      <c r="V880" s="128"/>
      <c r="W880" s="128"/>
      <c r="X880" s="128"/>
      <c r="Y880" s="139"/>
      <c r="AA880" s="73"/>
    </row>
    <row r="881" spans="9:27" x14ac:dyDescent="0.35">
      <c r="I881" s="109"/>
      <c r="J881" s="109"/>
      <c r="K881" s="109"/>
      <c r="V881" s="128"/>
      <c r="W881" s="128"/>
      <c r="X881" s="128"/>
      <c r="Y881" s="139"/>
      <c r="AA881" s="73"/>
    </row>
    <row r="882" spans="9:27" x14ac:dyDescent="0.35">
      <c r="I882" s="109"/>
      <c r="J882" s="109"/>
      <c r="K882" s="109"/>
      <c r="V882" s="128"/>
      <c r="W882" s="128"/>
      <c r="X882" s="128"/>
      <c r="Y882" s="139"/>
      <c r="AA882" s="73"/>
    </row>
    <row r="883" spans="9:27" x14ac:dyDescent="0.35">
      <c r="I883" s="109"/>
      <c r="J883" s="109"/>
      <c r="K883" s="109"/>
      <c r="V883" s="128"/>
      <c r="W883" s="128"/>
      <c r="X883" s="128"/>
      <c r="Y883" s="139"/>
      <c r="AA883" s="73"/>
    </row>
    <row r="884" spans="9:27" x14ac:dyDescent="0.35">
      <c r="I884" s="109"/>
      <c r="J884" s="109"/>
      <c r="K884" s="109"/>
      <c r="V884" s="128"/>
      <c r="W884" s="128"/>
      <c r="X884" s="128"/>
      <c r="Y884" s="139"/>
      <c r="AA884" s="73"/>
    </row>
    <row r="885" spans="9:27" x14ac:dyDescent="0.35">
      <c r="I885" s="109"/>
      <c r="J885" s="109"/>
      <c r="K885" s="109"/>
      <c r="V885" s="128"/>
      <c r="W885" s="128"/>
      <c r="X885" s="128"/>
      <c r="Y885" s="139"/>
      <c r="AA885" s="73"/>
    </row>
    <row r="886" spans="9:27" x14ac:dyDescent="0.35">
      <c r="I886" s="109"/>
      <c r="J886" s="109"/>
      <c r="K886" s="109"/>
      <c r="V886" s="128"/>
      <c r="W886" s="128"/>
      <c r="X886" s="128"/>
      <c r="Y886" s="139"/>
      <c r="AA886" s="73"/>
    </row>
    <row r="887" spans="9:27" x14ac:dyDescent="0.35">
      <c r="I887" s="109"/>
      <c r="J887" s="109"/>
      <c r="K887" s="109"/>
      <c r="V887" s="128"/>
      <c r="W887" s="128"/>
      <c r="X887" s="128"/>
      <c r="Y887" s="139"/>
      <c r="AA887" s="73"/>
    </row>
    <row r="888" spans="9:27" x14ac:dyDescent="0.35">
      <c r="I888" s="109"/>
      <c r="J888" s="109"/>
      <c r="K888" s="109"/>
      <c r="V888" s="128"/>
      <c r="W888" s="128"/>
      <c r="X888" s="128"/>
      <c r="Y888" s="139"/>
      <c r="AA888" s="73"/>
    </row>
    <row r="889" spans="9:27" x14ac:dyDescent="0.35">
      <c r="I889" s="109"/>
      <c r="J889" s="109"/>
      <c r="K889" s="109"/>
      <c r="V889" s="128"/>
      <c r="W889" s="128"/>
      <c r="X889" s="128"/>
      <c r="Y889" s="139"/>
      <c r="AA889" s="73"/>
    </row>
    <row r="890" spans="9:27" x14ac:dyDescent="0.35">
      <c r="I890" s="109"/>
      <c r="J890" s="109"/>
      <c r="K890" s="109"/>
      <c r="V890" s="128"/>
      <c r="W890" s="128"/>
      <c r="X890" s="128"/>
      <c r="Y890" s="139"/>
      <c r="AA890" s="73"/>
    </row>
    <row r="891" spans="9:27" x14ac:dyDescent="0.35">
      <c r="I891" s="109"/>
      <c r="J891" s="109"/>
      <c r="K891" s="109"/>
      <c r="V891" s="128"/>
      <c r="W891" s="128"/>
      <c r="X891" s="128"/>
      <c r="Y891" s="139"/>
      <c r="AA891" s="73"/>
    </row>
    <row r="892" spans="9:27" x14ac:dyDescent="0.35">
      <c r="I892" s="109"/>
      <c r="J892" s="109"/>
      <c r="K892" s="109"/>
      <c r="V892" s="128"/>
      <c r="W892" s="128"/>
      <c r="X892" s="128"/>
      <c r="Y892" s="139"/>
      <c r="AA892" s="73"/>
    </row>
    <row r="893" spans="9:27" x14ac:dyDescent="0.35">
      <c r="I893" s="109"/>
      <c r="J893" s="109"/>
      <c r="K893" s="109"/>
      <c r="V893" s="128"/>
      <c r="W893" s="128"/>
      <c r="X893" s="128"/>
      <c r="Y893" s="139"/>
      <c r="AA893" s="73"/>
    </row>
    <row r="894" spans="9:27" x14ac:dyDescent="0.35">
      <c r="I894" s="109"/>
      <c r="J894" s="109"/>
      <c r="K894" s="109"/>
      <c r="V894" s="128"/>
      <c r="W894" s="128"/>
      <c r="X894" s="128"/>
      <c r="Y894" s="139"/>
      <c r="AA894" s="73"/>
    </row>
    <row r="895" spans="9:27" x14ac:dyDescent="0.35">
      <c r="I895" s="109"/>
      <c r="J895" s="109"/>
      <c r="K895" s="109"/>
      <c r="V895" s="128"/>
      <c r="W895" s="128"/>
      <c r="X895" s="128"/>
      <c r="Y895" s="139"/>
      <c r="AA895" s="73"/>
    </row>
    <row r="896" spans="9:27" x14ac:dyDescent="0.35">
      <c r="I896" s="109"/>
      <c r="J896" s="109"/>
      <c r="K896" s="109"/>
      <c r="V896" s="128"/>
      <c r="W896" s="128"/>
      <c r="X896" s="128"/>
      <c r="Y896" s="139"/>
      <c r="AA896" s="73"/>
    </row>
    <row r="897" spans="9:27" x14ac:dyDescent="0.35">
      <c r="I897" s="109"/>
      <c r="J897" s="109"/>
      <c r="K897" s="109"/>
      <c r="V897" s="128"/>
      <c r="W897" s="128"/>
      <c r="X897" s="128"/>
      <c r="Y897" s="139"/>
      <c r="AA897" s="73"/>
    </row>
    <row r="898" spans="9:27" x14ac:dyDescent="0.35">
      <c r="I898" s="109"/>
      <c r="J898" s="109"/>
      <c r="K898" s="109"/>
      <c r="V898" s="128"/>
      <c r="W898" s="128"/>
      <c r="X898" s="128"/>
      <c r="Y898" s="139"/>
      <c r="AA898" s="73"/>
    </row>
    <row r="899" spans="9:27" x14ac:dyDescent="0.35">
      <c r="I899" s="109"/>
      <c r="J899" s="109"/>
      <c r="K899" s="109"/>
      <c r="V899" s="128"/>
      <c r="W899" s="128"/>
      <c r="X899" s="128"/>
      <c r="Y899" s="139"/>
      <c r="AA899" s="73"/>
    </row>
    <row r="900" spans="9:27" x14ac:dyDescent="0.35">
      <c r="I900" s="109"/>
      <c r="J900" s="109"/>
      <c r="K900" s="109"/>
      <c r="V900" s="128"/>
      <c r="W900" s="128"/>
      <c r="X900" s="128"/>
      <c r="Y900" s="139"/>
      <c r="AA900" s="73"/>
    </row>
    <row r="901" spans="9:27" x14ac:dyDescent="0.35">
      <c r="I901" s="109"/>
      <c r="J901" s="109"/>
      <c r="K901" s="109"/>
      <c r="V901" s="128"/>
      <c r="W901" s="128"/>
      <c r="X901" s="128"/>
      <c r="Y901" s="139"/>
      <c r="AA901" s="73"/>
    </row>
    <row r="902" spans="9:27" x14ac:dyDescent="0.35">
      <c r="I902" s="109"/>
      <c r="J902" s="109"/>
      <c r="K902" s="109"/>
      <c r="V902" s="128"/>
      <c r="W902" s="128"/>
      <c r="X902" s="128"/>
      <c r="Y902" s="139"/>
      <c r="AA902" s="73"/>
    </row>
    <row r="903" spans="9:27" x14ac:dyDescent="0.35">
      <c r="I903" s="109"/>
      <c r="J903" s="109"/>
      <c r="K903" s="109"/>
      <c r="V903" s="128"/>
      <c r="W903" s="128"/>
      <c r="X903" s="128"/>
      <c r="Y903" s="139"/>
      <c r="AA903" s="73"/>
    </row>
    <row r="904" spans="9:27" x14ac:dyDescent="0.35">
      <c r="I904" s="109"/>
      <c r="J904" s="109"/>
      <c r="K904" s="109"/>
      <c r="V904" s="128"/>
      <c r="W904" s="128"/>
      <c r="X904" s="128"/>
      <c r="Y904" s="139"/>
      <c r="AA904" s="73"/>
    </row>
    <row r="905" spans="9:27" x14ac:dyDescent="0.35">
      <c r="I905" s="109"/>
      <c r="J905" s="109"/>
      <c r="K905" s="109"/>
      <c r="V905" s="128"/>
      <c r="W905" s="128"/>
      <c r="X905" s="128"/>
      <c r="Y905" s="139"/>
      <c r="AA905" s="73"/>
    </row>
    <row r="906" spans="9:27" x14ac:dyDescent="0.35">
      <c r="I906" s="109"/>
      <c r="J906" s="109"/>
      <c r="K906" s="109"/>
      <c r="V906" s="128"/>
      <c r="W906" s="128"/>
      <c r="X906" s="128"/>
      <c r="Y906" s="139"/>
      <c r="AA906" s="73"/>
    </row>
    <row r="907" spans="9:27" x14ac:dyDescent="0.35">
      <c r="I907" s="109"/>
      <c r="J907" s="109"/>
      <c r="K907" s="109"/>
      <c r="V907" s="128"/>
      <c r="W907" s="128"/>
      <c r="X907" s="128"/>
      <c r="Y907" s="139"/>
      <c r="AA907" s="73"/>
    </row>
    <row r="908" spans="9:27" x14ac:dyDescent="0.35">
      <c r="I908" s="109"/>
      <c r="J908" s="109"/>
      <c r="K908" s="109"/>
      <c r="V908" s="128"/>
      <c r="W908" s="128"/>
      <c r="X908" s="128"/>
      <c r="Y908" s="139"/>
      <c r="AA908" s="73"/>
    </row>
    <row r="909" spans="9:27" x14ac:dyDescent="0.35">
      <c r="I909" s="109"/>
      <c r="J909" s="109"/>
      <c r="K909" s="109"/>
      <c r="V909" s="128"/>
      <c r="W909" s="128"/>
      <c r="X909" s="128"/>
      <c r="Y909" s="139"/>
      <c r="AA909" s="73"/>
    </row>
    <row r="910" spans="9:27" x14ac:dyDescent="0.35">
      <c r="I910" s="109"/>
      <c r="J910" s="109"/>
      <c r="K910" s="109"/>
      <c r="V910" s="128"/>
      <c r="W910" s="128"/>
      <c r="X910" s="128"/>
      <c r="Y910" s="139"/>
      <c r="AA910" s="73"/>
    </row>
    <row r="911" spans="9:27" x14ac:dyDescent="0.35">
      <c r="I911" s="109"/>
      <c r="J911" s="109"/>
      <c r="K911" s="109"/>
      <c r="V911" s="128"/>
      <c r="W911" s="128"/>
      <c r="X911" s="128"/>
      <c r="Y911" s="139"/>
      <c r="AA911" s="73"/>
    </row>
    <row r="912" spans="9:27" x14ac:dyDescent="0.35">
      <c r="I912" s="109"/>
      <c r="J912" s="109"/>
      <c r="K912" s="109"/>
      <c r="V912" s="128"/>
      <c r="W912" s="128"/>
      <c r="X912" s="128"/>
      <c r="Y912" s="139"/>
      <c r="AA912" s="73"/>
    </row>
    <row r="913" spans="9:27" x14ac:dyDescent="0.35">
      <c r="I913" s="109"/>
      <c r="J913" s="109"/>
      <c r="K913" s="109"/>
      <c r="V913" s="128"/>
      <c r="W913" s="128"/>
      <c r="X913" s="128"/>
      <c r="Y913" s="139"/>
      <c r="AA913" s="73"/>
    </row>
    <row r="914" spans="9:27" x14ac:dyDescent="0.35">
      <c r="I914" s="109"/>
      <c r="J914" s="109"/>
      <c r="K914" s="109"/>
      <c r="V914" s="128"/>
      <c r="W914" s="128"/>
      <c r="X914" s="128"/>
      <c r="Y914" s="139"/>
      <c r="AA914" s="73"/>
    </row>
    <row r="915" spans="9:27" x14ac:dyDescent="0.35">
      <c r="I915" s="109"/>
      <c r="J915" s="109"/>
      <c r="K915" s="109"/>
      <c r="V915" s="128"/>
      <c r="W915" s="128"/>
      <c r="X915" s="128"/>
      <c r="Y915" s="139"/>
      <c r="AA915" s="73"/>
    </row>
    <row r="916" spans="9:27" x14ac:dyDescent="0.35">
      <c r="I916" s="109"/>
      <c r="J916" s="109"/>
      <c r="K916" s="109"/>
      <c r="V916" s="128"/>
      <c r="W916" s="128"/>
      <c r="X916" s="128"/>
      <c r="Y916" s="139"/>
      <c r="AA916" s="73"/>
    </row>
    <row r="917" spans="9:27" x14ac:dyDescent="0.35">
      <c r="I917" s="109"/>
      <c r="J917" s="109"/>
      <c r="K917" s="109"/>
      <c r="V917" s="128"/>
      <c r="W917" s="128"/>
      <c r="X917" s="128"/>
      <c r="Y917" s="139"/>
      <c r="AA917" s="73"/>
    </row>
    <row r="918" spans="9:27" x14ac:dyDescent="0.35">
      <c r="I918" s="109"/>
      <c r="J918" s="109"/>
      <c r="K918" s="109"/>
      <c r="V918" s="128"/>
      <c r="W918" s="128"/>
      <c r="X918" s="128"/>
      <c r="Y918" s="139"/>
      <c r="AA918" s="73"/>
    </row>
    <row r="919" spans="9:27" x14ac:dyDescent="0.35">
      <c r="I919" s="109"/>
      <c r="J919" s="109"/>
      <c r="K919" s="109"/>
      <c r="V919" s="128"/>
      <c r="W919" s="128"/>
      <c r="X919" s="128"/>
      <c r="Y919" s="139"/>
      <c r="AA919" s="73"/>
    </row>
    <row r="920" spans="9:27" x14ac:dyDescent="0.35">
      <c r="I920" s="109"/>
      <c r="J920" s="109"/>
      <c r="K920" s="109"/>
      <c r="V920" s="128"/>
      <c r="W920" s="128"/>
      <c r="X920" s="128"/>
      <c r="Y920" s="139"/>
      <c r="AA920" s="73"/>
    </row>
    <row r="921" spans="9:27" x14ac:dyDescent="0.35">
      <c r="I921" s="109"/>
      <c r="J921" s="109"/>
      <c r="K921" s="109"/>
      <c r="V921" s="128"/>
      <c r="W921" s="128"/>
      <c r="X921" s="128"/>
      <c r="Y921" s="139"/>
      <c r="AA921" s="73"/>
    </row>
    <row r="922" spans="9:27" x14ac:dyDescent="0.35">
      <c r="I922" s="109"/>
      <c r="J922" s="109"/>
      <c r="K922" s="109"/>
      <c r="V922" s="128"/>
      <c r="W922" s="128"/>
      <c r="X922" s="128"/>
      <c r="Y922" s="139"/>
      <c r="AA922" s="73"/>
    </row>
    <row r="923" spans="9:27" x14ac:dyDescent="0.35">
      <c r="I923" s="109"/>
      <c r="J923" s="109"/>
      <c r="K923" s="109"/>
      <c r="V923" s="128"/>
      <c r="W923" s="128"/>
      <c r="X923" s="128"/>
      <c r="Y923" s="139"/>
      <c r="AA923" s="73"/>
    </row>
    <row r="924" spans="9:27" x14ac:dyDescent="0.35">
      <c r="I924" s="109"/>
      <c r="J924" s="109"/>
      <c r="K924" s="109"/>
      <c r="V924" s="128"/>
      <c r="W924" s="128"/>
      <c r="X924" s="128"/>
      <c r="Y924" s="139"/>
      <c r="AA924" s="73"/>
    </row>
    <row r="925" spans="9:27" x14ac:dyDescent="0.35">
      <c r="I925" s="109"/>
      <c r="J925" s="109"/>
      <c r="K925" s="109"/>
      <c r="V925" s="128"/>
      <c r="W925" s="128"/>
      <c r="X925" s="128"/>
      <c r="Y925" s="139"/>
      <c r="AA925" s="73"/>
    </row>
    <row r="926" spans="9:27" x14ac:dyDescent="0.35">
      <c r="I926" s="109"/>
      <c r="J926" s="109"/>
      <c r="K926" s="109"/>
      <c r="V926" s="128"/>
      <c r="W926" s="128"/>
      <c r="X926" s="128"/>
      <c r="Y926" s="139"/>
      <c r="AA926" s="73"/>
    </row>
    <row r="927" spans="9:27" x14ac:dyDescent="0.35">
      <c r="I927" s="109"/>
      <c r="J927" s="109"/>
      <c r="K927" s="109"/>
      <c r="V927" s="128"/>
      <c r="W927" s="128"/>
      <c r="X927" s="128"/>
      <c r="Y927" s="139"/>
      <c r="AA927" s="73"/>
    </row>
    <row r="928" spans="9:27" x14ac:dyDescent="0.35">
      <c r="I928" s="109"/>
      <c r="J928" s="109"/>
      <c r="K928" s="109"/>
      <c r="V928" s="128"/>
      <c r="W928" s="128"/>
      <c r="X928" s="128"/>
      <c r="Y928" s="139"/>
      <c r="AA928" s="73"/>
    </row>
    <row r="929" spans="9:27" x14ac:dyDescent="0.35">
      <c r="I929" s="109"/>
      <c r="J929" s="109"/>
      <c r="K929" s="109"/>
      <c r="V929" s="128"/>
      <c r="W929" s="128"/>
      <c r="X929" s="128"/>
      <c r="Y929" s="139"/>
      <c r="AA929" s="73"/>
    </row>
    <row r="930" spans="9:27" x14ac:dyDescent="0.35">
      <c r="I930" s="109"/>
      <c r="J930" s="109"/>
      <c r="K930" s="109"/>
      <c r="V930" s="128"/>
      <c r="W930" s="128"/>
      <c r="X930" s="128"/>
      <c r="Y930" s="139"/>
      <c r="AA930" s="73"/>
    </row>
    <row r="931" spans="9:27" x14ac:dyDescent="0.35">
      <c r="I931" s="109"/>
      <c r="J931" s="109"/>
      <c r="K931" s="109"/>
      <c r="V931" s="128"/>
      <c r="W931" s="128"/>
      <c r="X931" s="128"/>
      <c r="Y931" s="139"/>
      <c r="AA931" s="73"/>
    </row>
    <row r="932" spans="9:27" x14ac:dyDescent="0.35">
      <c r="I932" s="109"/>
      <c r="J932" s="109"/>
      <c r="K932" s="109"/>
      <c r="V932" s="128"/>
      <c r="W932" s="128"/>
      <c r="X932" s="128"/>
      <c r="Y932" s="139"/>
      <c r="AA932" s="73"/>
    </row>
    <row r="933" spans="9:27" x14ac:dyDescent="0.35">
      <c r="I933" s="109"/>
      <c r="J933" s="109"/>
      <c r="K933" s="109"/>
      <c r="V933" s="128"/>
      <c r="W933" s="128"/>
      <c r="X933" s="128"/>
      <c r="Y933" s="139"/>
      <c r="AA933" s="73"/>
    </row>
    <row r="934" spans="9:27" x14ac:dyDescent="0.35">
      <c r="I934" s="109"/>
      <c r="J934" s="109"/>
      <c r="K934" s="109"/>
      <c r="V934" s="128"/>
      <c r="W934" s="128"/>
      <c r="X934" s="128"/>
      <c r="Y934" s="139"/>
      <c r="AA934" s="73"/>
    </row>
    <row r="935" spans="9:27" x14ac:dyDescent="0.35">
      <c r="I935" s="109"/>
      <c r="J935" s="109"/>
      <c r="K935" s="109"/>
      <c r="V935" s="128"/>
      <c r="W935" s="128"/>
      <c r="X935" s="128"/>
      <c r="Y935" s="139"/>
      <c r="AA935" s="73"/>
    </row>
    <row r="936" spans="9:27" x14ac:dyDescent="0.35">
      <c r="I936" s="109"/>
      <c r="J936" s="109"/>
      <c r="K936" s="109"/>
      <c r="V936" s="128"/>
      <c r="W936" s="128"/>
      <c r="X936" s="128"/>
      <c r="Y936" s="139"/>
      <c r="AA936" s="73"/>
    </row>
    <row r="937" spans="9:27" x14ac:dyDescent="0.35">
      <c r="I937" s="109"/>
      <c r="J937" s="109"/>
      <c r="K937" s="109"/>
      <c r="V937" s="128"/>
      <c r="W937" s="128"/>
      <c r="X937" s="128"/>
      <c r="Y937" s="139"/>
      <c r="AA937" s="73"/>
    </row>
    <row r="938" spans="9:27" x14ac:dyDescent="0.35">
      <c r="I938" s="109"/>
      <c r="J938" s="109"/>
      <c r="K938" s="109"/>
      <c r="V938" s="128"/>
      <c r="W938" s="128"/>
      <c r="X938" s="128"/>
      <c r="Y938" s="139"/>
      <c r="AA938" s="73"/>
    </row>
    <row r="939" spans="9:27" x14ac:dyDescent="0.35">
      <c r="I939" s="109"/>
      <c r="J939" s="109"/>
      <c r="K939" s="109"/>
      <c r="V939" s="128"/>
      <c r="W939" s="128"/>
      <c r="X939" s="128"/>
      <c r="Y939" s="139"/>
      <c r="AA939" s="73"/>
    </row>
    <row r="940" spans="9:27" x14ac:dyDescent="0.35">
      <c r="I940" s="109"/>
      <c r="J940" s="109"/>
      <c r="K940" s="109"/>
      <c r="V940" s="128"/>
      <c r="W940" s="128"/>
      <c r="X940" s="128"/>
      <c r="Y940" s="139"/>
      <c r="AA940" s="73"/>
    </row>
    <row r="941" spans="9:27" x14ac:dyDescent="0.35">
      <c r="I941" s="109"/>
      <c r="J941" s="109"/>
      <c r="K941" s="109"/>
      <c r="V941" s="128"/>
      <c r="W941" s="128"/>
      <c r="X941" s="128"/>
      <c r="Y941" s="139"/>
      <c r="AA941" s="73"/>
    </row>
    <row r="942" spans="9:27" x14ac:dyDescent="0.35">
      <c r="I942" s="109"/>
      <c r="J942" s="109"/>
      <c r="K942" s="109"/>
      <c r="V942" s="128"/>
      <c r="W942" s="128"/>
      <c r="X942" s="128"/>
      <c r="Y942" s="139"/>
      <c r="AA942" s="73"/>
    </row>
    <row r="943" spans="9:27" x14ac:dyDescent="0.35">
      <c r="I943" s="109"/>
      <c r="J943" s="109"/>
      <c r="K943" s="109"/>
      <c r="V943" s="128"/>
      <c r="W943" s="128"/>
      <c r="X943" s="128"/>
      <c r="Y943" s="139"/>
      <c r="AA943" s="73"/>
    </row>
    <row r="944" spans="9:27" x14ac:dyDescent="0.35">
      <c r="I944" s="109"/>
      <c r="J944" s="109"/>
      <c r="K944" s="109"/>
      <c r="V944" s="128"/>
      <c r="W944" s="128"/>
      <c r="X944" s="128"/>
      <c r="Y944" s="139"/>
      <c r="AA944" s="73"/>
    </row>
    <row r="945" spans="9:27" x14ac:dyDescent="0.35">
      <c r="I945" s="109"/>
      <c r="J945" s="109"/>
      <c r="K945" s="109"/>
      <c r="V945" s="128"/>
      <c r="W945" s="128"/>
      <c r="X945" s="128"/>
      <c r="Y945" s="139"/>
      <c r="AA945" s="73"/>
    </row>
    <row r="946" spans="9:27" x14ac:dyDescent="0.35">
      <c r="I946" s="109"/>
      <c r="J946" s="109"/>
      <c r="K946" s="109"/>
      <c r="V946" s="128"/>
      <c r="W946" s="128"/>
      <c r="X946" s="128"/>
      <c r="Y946" s="139"/>
      <c r="AA946" s="73"/>
    </row>
    <row r="947" spans="9:27" x14ac:dyDescent="0.35">
      <c r="I947" s="109"/>
      <c r="J947" s="109"/>
      <c r="K947" s="109"/>
      <c r="V947" s="128"/>
      <c r="W947" s="128"/>
      <c r="X947" s="128"/>
      <c r="Y947" s="139"/>
      <c r="AA947" s="73"/>
    </row>
    <row r="948" spans="9:27" x14ac:dyDescent="0.35">
      <c r="I948" s="109"/>
      <c r="J948" s="109"/>
      <c r="K948" s="109"/>
      <c r="V948" s="128"/>
      <c r="W948" s="128"/>
      <c r="X948" s="128"/>
      <c r="Y948" s="139"/>
      <c r="AA948" s="73"/>
    </row>
    <row r="949" spans="9:27" x14ac:dyDescent="0.35">
      <c r="I949" s="109"/>
      <c r="J949" s="109"/>
      <c r="K949" s="109"/>
      <c r="V949" s="128"/>
      <c r="W949" s="128"/>
      <c r="X949" s="128"/>
      <c r="Y949" s="139"/>
      <c r="AA949" s="73"/>
    </row>
    <row r="950" spans="9:27" x14ac:dyDescent="0.35">
      <c r="I950" s="109"/>
      <c r="J950" s="109"/>
      <c r="K950" s="109"/>
      <c r="V950" s="128"/>
      <c r="W950" s="128"/>
      <c r="X950" s="128"/>
      <c r="Y950" s="139"/>
      <c r="AA950" s="73"/>
    </row>
    <row r="951" spans="9:27" x14ac:dyDescent="0.35">
      <c r="I951" s="109"/>
      <c r="J951" s="109"/>
      <c r="K951" s="109"/>
      <c r="V951" s="128"/>
      <c r="W951" s="128"/>
      <c r="X951" s="128"/>
      <c r="Y951" s="139"/>
      <c r="AA951" s="73"/>
    </row>
    <row r="952" spans="9:27" x14ac:dyDescent="0.35">
      <c r="I952" s="109"/>
      <c r="J952" s="109"/>
      <c r="K952" s="109"/>
      <c r="V952" s="128"/>
      <c r="W952" s="128"/>
      <c r="X952" s="128"/>
      <c r="Y952" s="139"/>
      <c r="AA952" s="73"/>
    </row>
    <row r="953" spans="9:27" x14ac:dyDescent="0.35">
      <c r="I953" s="109"/>
      <c r="J953" s="109"/>
      <c r="K953" s="109"/>
      <c r="V953" s="128"/>
      <c r="W953" s="128"/>
      <c r="X953" s="128"/>
      <c r="Y953" s="139"/>
      <c r="AA953" s="73"/>
    </row>
    <row r="954" spans="9:27" x14ac:dyDescent="0.35">
      <c r="I954" s="109"/>
      <c r="J954" s="109"/>
      <c r="K954" s="109"/>
      <c r="V954" s="128"/>
      <c r="W954" s="128"/>
      <c r="X954" s="128"/>
      <c r="Y954" s="139"/>
      <c r="AA954" s="73"/>
    </row>
    <row r="955" spans="9:27" x14ac:dyDescent="0.35">
      <c r="I955" s="109"/>
      <c r="J955" s="109"/>
      <c r="K955" s="109"/>
      <c r="V955" s="128"/>
      <c r="W955" s="128"/>
      <c r="X955" s="128"/>
      <c r="Y955" s="139"/>
      <c r="AA955" s="73"/>
    </row>
    <row r="956" spans="9:27" x14ac:dyDescent="0.35">
      <c r="I956" s="109"/>
      <c r="J956" s="109"/>
      <c r="K956" s="109"/>
      <c r="V956" s="128"/>
      <c r="W956" s="128"/>
      <c r="X956" s="128"/>
      <c r="Y956" s="139"/>
      <c r="AA956" s="73"/>
    </row>
    <row r="957" spans="9:27" x14ac:dyDescent="0.35">
      <c r="I957" s="109"/>
      <c r="J957" s="109"/>
      <c r="K957" s="109"/>
      <c r="V957" s="128"/>
      <c r="W957" s="128"/>
      <c r="X957" s="128"/>
      <c r="Y957" s="139"/>
      <c r="AA957" s="73"/>
    </row>
    <row r="958" spans="9:27" x14ac:dyDescent="0.35">
      <c r="I958" s="109"/>
      <c r="J958" s="109"/>
      <c r="K958" s="109"/>
      <c r="V958" s="128"/>
      <c r="W958" s="128"/>
      <c r="X958" s="128"/>
      <c r="Y958" s="139"/>
      <c r="AA958" s="73"/>
    </row>
    <row r="959" spans="9:27" x14ac:dyDescent="0.35">
      <c r="I959" s="109"/>
      <c r="J959" s="109"/>
      <c r="K959" s="109"/>
      <c r="V959" s="128"/>
      <c r="W959" s="128"/>
      <c r="X959" s="128"/>
      <c r="Y959" s="139"/>
      <c r="AA959" s="73"/>
    </row>
    <row r="960" spans="9:27" x14ac:dyDescent="0.35">
      <c r="I960" s="109"/>
      <c r="J960" s="109"/>
      <c r="K960" s="109"/>
      <c r="V960" s="128"/>
      <c r="W960" s="128"/>
      <c r="X960" s="128"/>
      <c r="Y960" s="139"/>
      <c r="AA960" s="73"/>
    </row>
    <row r="961" spans="9:27" x14ac:dyDescent="0.35">
      <c r="I961" s="109"/>
      <c r="J961" s="109"/>
      <c r="K961" s="109"/>
      <c r="V961" s="128"/>
      <c r="W961" s="128"/>
      <c r="X961" s="128"/>
      <c r="Y961" s="139"/>
      <c r="AA961" s="73"/>
    </row>
    <row r="962" spans="9:27" x14ac:dyDescent="0.35">
      <c r="I962" s="109"/>
      <c r="J962" s="109"/>
      <c r="K962" s="109"/>
      <c r="V962" s="128"/>
      <c r="W962" s="128"/>
      <c r="X962" s="128"/>
      <c r="Y962" s="139"/>
      <c r="AA962" s="73"/>
    </row>
    <row r="963" spans="9:27" x14ac:dyDescent="0.35">
      <c r="I963" s="109"/>
      <c r="J963" s="109"/>
      <c r="K963" s="109"/>
      <c r="V963" s="128"/>
      <c r="W963" s="128"/>
      <c r="X963" s="128"/>
      <c r="Y963" s="139"/>
      <c r="AA963" s="73"/>
    </row>
    <row r="964" spans="9:27" x14ac:dyDescent="0.35">
      <c r="I964" s="109"/>
      <c r="J964" s="109"/>
      <c r="K964" s="109"/>
      <c r="V964" s="128"/>
      <c r="W964" s="128"/>
      <c r="X964" s="128"/>
      <c r="Y964" s="139"/>
      <c r="AA964" s="73"/>
    </row>
    <row r="965" spans="9:27" x14ac:dyDescent="0.35">
      <c r="I965" s="109"/>
      <c r="J965" s="109"/>
      <c r="K965" s="109"/>
      <c r="V965" s="128"/>
      <c r="W965" s="128"/>
      <c r="X965" s="128"/>
      <c r="Y965" s="139"/>
      <c r="AA965" s="73"/>
    </row>
    <row r="966" spans="9:27" x14ac:dyDescent="0.35">
      <c r="I966" s="109"/>
      <c r="J966" s="109"/>
      <c r="K966" s="109"/>
      <c r="V966" s="128"/>
      <c r="W966" s="128"/>
      <c r="X966" s="128"/>
      <c r="Y966" s="139"/>
      <c r="AA966" s="73"/>
    </row>
    <row r="967" spans="9:27" x14ac:dyDescent="0.35">
      <c r="I967" s="109"/>
      <c r="J967" s="109"/>
      <c r="K967" s="109"/>
      <c r="V967" s="128"/>
      <c r="W967" s="128"/>
      <c r="X967" s="128"/>
      <c r="Y967" s="139"/>
      <c r="AA967" s="73"/>
    </row>
    <row r="968" spans="9:27" x14ac:dyDescent="0.35">
      <c r="I968" s="109"/>
      <c r="J968" s="109"/>
      <c r="K968" s="109"/>
      <c r="V968" s="128"/>
      <c r="W968" s="128"/>
      <c r="X968" s="128"/>
      <c r="Y968" s="139"/>
      <c r="AA968" s="73"/>
    </row>
    <row r="969" spans="9:27" x14ac:dyDescent="0.35">
      <c r="I969" s="109"/>
      <c r="J969" s="109"/>
      <c r="K969" s="109"/>
      <c r="V969" s="128"/>
      <c r="W969" s="128"/>
      <c r="X969" s="128"/>
      <c r="Y969" s="139"/>
      <c r="AA969" s="73"/>
    </row>
    <row r="970" spans="9:27" x14ac:dyDescent="0.35">
      <c r="I970" s="109"/>
      <c r="J970" s="109"/>
      <c r="K970" s="109"/>
      <c r="V970" s="128"/>
      <c r="W970" s="128"/>
      <c r="X970" s="128"/>
      <c r="Y970" s="139"/>
      <c r="AA970" s="73"/>
    </row>
    <row r="971" spans="9:27" x14ac:dyDescent="0.35">
      <c r="I971" s="109"/>
      <c r="J971" s="109"/>
      <c r="K971" s="109"/>
      <c r="V971" s="128"/>
      <c r="W971" s="128"/>
      <c r="X971" s="128"/>
      <c r="Y971" s="139"/>
      <c r="AA971" s="73"/>
    </row>
    <row r="972" spans="9:27" x14ac:dyDescent="0.35">
      <c r="I972" s="109"/>
      <c r="J972" s="109"/>
      <c r="K972" s="109"/>
      <c r="V972" s="128"/>
      <c r="W972" s="128"/>
      <c r="X972" s="128"/>
      <c r="Y972" s="139"/>
      <c r="AA972" s="73"/>
    </row>
    <row r="973" spans="9:27" x14ac:dyDescent="0.35">
      <c r="I973" s="109"/>
      <c r="J973" s="109"/>
      <c r="K973" s="109"/>
      <c r="V973" s="128"/>
      <c r="W973" s="128"/>
      <c r="X973" s="128"/>
      <c r="Y973" s="139"/>
      <c r="AA973" s="73"/>
    </row>
    <row r="974" spans="9:27" x14ac:dyDescent="0.35">
      <c r="I974" s="109"/>
      <c r="J974" s="109"/>
      <c r="K974" s="109"/>
      <c r="V974" s="128"/>
      <c r="W974" s="128"/>
      <c r="X974" s="128"/>
      <c r="Y974" s="139"/>
      <c r="AA974" s="73"/>
    </row>
    <row r="975" spans="9:27" x14ac:dyDescent="0.35">
      <c r="I975" s="109"/>
      <c r="J975" s="109"/>
      <c r="K975" s="109"/>
      <c r="V975" s="128"/>
      <c r="W975" s="128"/>
      <c r="X975" s="128"/>
      <c r="Y975" s="139"/>
      <c r="AA975" s="73"/>
    </row>
    <row r="976" spans="9:27" x14ac:dyDescent="0.35">
      <c r="I976" s="109"/>
      <c r="J976" s="109"/>
      <c r="K976" s="109"/>
      <c r="V976" s="128"/>
      <c r="W976" s="128"/>
      <c r="X976" s="128"/>
      <c r="Y976" s="139"/>
      <c r="AA976" s="73"/>
    </row>
    <row r="977" spans="9:27" x14ac:dyDescent="0.35">
      <c r="I977" s="109"/>
      <c r="J977" s="109"/>
      <c r="K977" s="109"/>
      <c r="V977" s="128"/>
      <c r="W977" s="128"/>
      <c r="X977" s="128"/>
      <c r="Y977" s="139"/>
      <c r="AA977" s="73"/>
    </row>
    <row r="978" spans="9:27" x14ac:dyDescent="0.35">
      <c r="I978" s="109"/>
      <c r="J978" s="109"/>
      <c r="K978" s="109"/>
      <c r="V978" s="128"/>
      <c r="W978" s="128"/>
      <c r="X978" s="128"/>
      <c r="Y978" s="139"/>
      <c r="AA978" s="73"/>
    </row>
    <row r="979" spans="9:27" x14ac:dyDescent="0.35">
      <c r="I979" s="109"/>
      <c r="J979" s="109"/>
      <c r="K979" s="109"/>
      <c r="V979" s="128"/>
      <c r="W979" s="128"/>
      <c r="X979" s="128"/>
      <c r="Y979" s="139"/>
      <c r="AA979" s="73"/>
    </row>
    <row r="980" spans="9:27" x14ac:dyDescent="0.35">
      <c r="I980" s="109"/>
      <c r="J980" s="109"/>
      <c r="K980" s="109"/>
      <c r="V980" s="128"/>
      <c r="W980" s="128"/>
      <c r="X980" s="128"/>
      <c r="Y980" s="139"/>
      <c r="AA980" s="73"/>
    </row>
    <row r="981" spans="9:27" x14ac:dyDescent="0.35">
      <c r="I981" s="109"/>
      <c r="J981" s="109"/>
      <c r="K981" s="109"/>
      <c r="V981" s="128"/>
      <c r="W981" s="128"/>
      <c r="X981" s="128"/>
      <c r="Y981" s="139"/>
      <c r="AA981" s="73"/>
    </row>
    <row r="982" spans="9:27" x14ac:dyDescent="0.35">
      <c r="I982" s="109"/>
      <c r="J982" s="109"/>
      <c r="K982" s="109"/>
      <c r="V982" s="128"/>
      <c r="W982" s="128"/>
      <c r="X982" s="128"/>
      <c r="Y982" s="139"/>
      <c r="AA982" s="73"/>
    </row>
    <row r="983" spans="9:27" x14ac:dyDescent="0.35">
      <c r="I983" s="109"/>
      <c r="J983" s="109"/>
      <c r="K983" s="109"/>
      <c r="V983" s="128"/>
      <c r="W983" s="128"/>
      <c r="X983" s="128"/>
      <c r="Y983" s="139"/>
      <c r="AA983" s="73"/>
    </row>
    <row r="984" spans="9:27" x14ac:dyDescent="0.35">
      <c r="I984" s="109"/>
      <c r="J984" s="109"/>
      <c r="K984" s="109"/>
      <c r="V984" s="128"/>
      <c r="W984" s="128"/>
      <c r="X984" s="128"/>
      <c r="Y984" s="139"/>
      <c r="AA984" s="73"/>
    </row>
    <row r="985" spans="9:27" x14ac:dyDescent="0.35">
      <c r="I985" s="109"/>
      <c r="J985" s="109"/>
      <c r="K985" s="109"/>
      <c r="V985" s="128"/>
      <c r="W985" s="128"/>
      <c r="X985" s="128"/>
      <c r="Y985" s="139"/>
      <c r="AA985" s="73"/>
    </row>
    <row r="986" spans="9:27" x14ac:dyDescent="0.35">
      <c r="I986" s="109"/>
      <c r="J986" s="109"/>
      <c r="K986" s="109"/>
      <c r="V986" s="128"/>
      <c r="W986" s="128"/>
      <c r="X986" s="128"/>
      <c r="Y986" s="139"/>
      <c r="AA986" s="73"/>
    </row>
    <row r="987" spans="9:27" x14ac:dyDescent="0.35">
      <c r="I987" s="109"/>
      <c r="J987" s="109"/>
      <c r="K987" s="109"/>
      <c r="V987" s="128"/>
      <c r="W987" s="128"/>
      <c r="X987" s="128"/>
      <c r="Y987" s="139"/>
      <c r="AA987" s="73"/>
    </row>
    <row r="988" spans="9:27" x14ac:dyDescent="0.35">
      <c r="I988" s="109"/>
      <c r="J988" s="109"/>
      <c r="K988" s="109"/>
      <c r="V988" s="128"/>
      <c r="W988" s="128"/>
      <c r="X988" s="128"/>
      <c r="Y988" s="139"/>
      <c r="AA988" s="73"/>
    </row>
    <row r="989" spans="9:27" x14ac:dyDescent="0.35">
      <c r="I989" s="109"/>
      <c r="J989" s="109"/>
      <c r="K989" s="109"/>
      <c r="V989" s="128"/>
      <c r="W989" s="128"/>
      <c r="X989" s="128"/>
      <c r="Y989" s="139"/>
      <c r="AA989" s="73"/>
    </row>
    <row r="990" spans="9:27" x14ac:dyDescent="0.35">
      <c r="I990" s="109"/>
      <c r="J990" s="109"/>
      <c r="K990" s="109"/>
      <c r="V990" s="128"/>
      <c r="W990" s="128"/>
      <c r="X990" s="128"/>
      <c r="Y990" s="139"/>
      <c r="AA990" s="73"/>
    </row>
    <row r="991" spans="9:27" x14ac:dyDescent="0.35">
      <c r="I991" s="109"/>
      <c r="J991" s="109"/>
      <c r="K991" s="109"/>
      <c r="V991" s="128"/>
      <c r="W991" s="128"/>
      <c r="X991" s="128"/>
      <c r="Y991" s="139"/>
      <c r="AA991" s="73"/>
    </row>
    <row r="992" spans="9:27" x14ac:dyDescent="0.35">
      <c r="I992" s="109"/>
      <c r="J992" s="109"/>
      <c r="K992" s="109"/>
      <c r="V992" s="128"/>
      <c r="W992" s="128"/>
      <c r="X992" s="128"/>
      <c r="Y992" s="139"/>
      <c r="AA992" s="73"/>
    </row>
    <row r="993" spans="9:27" x14ac:dyDescent="0.35">
      <c r="I993" s="109"/>
      <c r="J993" s="109"/>
      <c r="K993" s="109"/>
      <c r="V993" s="128"/>
      <c r="W993" s="128"/>
      <c r="X993" s="128"/>
      <c r="Y993" s="139"/>
      <c r="AA993" s="73"/>
    </row>
    <row r="994" spans="9:27" x14ac:dyDescent="0.35">
      <c r="I994" s="109"/>
      <c r="J994" s="109"/>
      <c r="K994" s="109"/>
      <c r="V994" s="128"/>
      <c r="W994" s="128"/>
      <c r="X994" s="128"/>
      <c r="Y994" s="139"/>
      <c r="AA994" s="73"/>
    </row>
    <row r="995" spans="9:27" x14ac:dyDescent="0.35">
      <c r="I995" s="109"/>
      <c r="J995" s="109"/>
      <c r="K995" s="109"/>
      <c r="V995" s="128"/>
      <c r="W995" s="128"/>
      <c r="X995" s="128"/>
      <c r="Y995" s="139"/>
      <c r="AA995" s="73"/>
    </row>
    <row r="996" spans="9:27" x14ac:dyDescent="0.35">
      <c r="I996" s="109"/>
      <c r="J996" s="109"/>
      <c r="K996" s="109"/>
      <c r="V996" s="128"/>
      <c r="W996" s="128"/>
      <c r="X996" s="128"/>
      <c r="Y996" s="139"/>
      <c r="AA996" s="73"/>
    </row>
    <row r="997" spans="9:27" x14ac:dyDescent="0.35">
      <c r="I997" s="109"/>
      <c r="J997" s="109"/>
      <c r="K997" s="109"/>
      <c r="V997" s="128"/>
      <c r="W997" s="128"/>
      <c r="X997" s="128"/>
      <c r="Y997" s="139"/>
      <c r="AA997" s="73"/>
    </row>
    <row r="998" spans="9:27" x14ac:dyDescent="0.35">
      <c r="I998" s="109"/>
      <c r="J998" s="109"/>
      <c r="K998" s="109"/>
      <c r="V998" s="128"/>
      <c r="W998" s="128"/>
      <c r="X998" s="128"/>
      <c r="Y998" s="139"/>
      <c r="AA998" s="73"/>
    </row>
    <row r="999" spans="9:27" x14ac:dyDescent="0.35">
      <c r="I999" s="109"/>
      <c r="J999" s="109"/>
      <c r="K999" s="109"/>
      <c r="V999" s="128"/>
      <c r="W999" s="128"/>
      <c r="X999" s="128"/>
      <c r="Y999" s="139"/>
      <c r="AA999" s="73"/>
    </row>
    <row r="1000" spans="9:27" x14ac:dyDescent="0.35">
      <c r="I1000" s="109"/>
      <c r="J1000" s="109"/>
      <c r="K1000" s="109"/>
      <c r="V1000" s="128"/>
      <c r="W1000" s="128"/>
      <c r="X1000" s="128"/>
      <c r="Y1000" s="139"/>
      <c r="AA1000" s="73"/>
    </row>
    <row r="1001" spans="9:27" x14ac:dyDescent="0.35">
      <c r="I1001" s="109"/>
      <c r="J1001" s="109"/>
      <c r="K1001" s="109"/>
      <c r="V1001" s="128"/>
      <c r="W1001" s="128"/>
      <c r="X1001" s="128"/>
      <c r="Y1001" s="139"/>
      <c r="AA1001" s="73"/>
    </row>
    <row r="1002" spans="9:27" x14ac:dyDescent="0.35">
      <c r="I1002" s="109"/>
      <c r="J1002" s="109"/>
      <c r="K1002" s="109"/>
      <c r="V1002" s="128"/>
      <c r="W1002" s="128"/>
      <c r="X1002" s="128"/>
      <c r="Y1002" s="139"/>
      <c r="AA1002" s="73"/>
    </row>
    <row r="1003" spans="9:27" x14ac:dyDescent="0.35">
      <c r="I1003" s="109"/>
      <c r="J1003" s="109"/>
      <c r="K1003" s="109"/>
      <c r="V1003" s="128"/>
      <c r="W1003" s="128"/>
      <c r="X1003" s="128"/>
      <c r="Y1003" s="139"/>
      <c r="AA1003" s="73"/>
    </row>
    <row r="1004" spans="9:27" x14ac:dyDescent="0.35">
      <c r="I1004" s="109"/>
      <c r="J1004" s="109"/>
      <c r="K1004" s="109"/>
      <c r="V1004" s="128"/>
      <c r="W1004" s="128"/>
      <c r="X1004" s="128"/>
      <c r="Y1004" s="139"/>
      <c r="AA1004" s="73"/>
    </row>
    <row r="1005" spans="9:27" x14ac:dyDescent="0.35">
      <c r="I1005" s="109"/>
      <c r="J1005" s="109"/>
      <c r="K1005" s="109"/>
      <c r="V1005" s="128"/>
      <c r="W1005" s="128"/>
      <c r="X1005" s="128"/>
      <c r="Y1005" s="139"/>
      <c r="AA1005" s="73"/>
    </row>
    <row r="1006" spans="9:27" x14ac:dyDescent="0.35">
      <c r="I1006" s="109"/>
      <c r="J1006" s="109"/>
      <c r="K1006" s="109"/>
      <c r="V1006" s="128"/>
      <c r="W1006" s="128"/>
      <c r="X1006" s="128"/>
      <c r="Y1006" s="139"/>
      <c r="AA1006" s="73"/>
    </row>
    <row r="1007" spans="9:27" x14ac:dyDescent="0.35">
      <c r="I1007" s="109"/>
      <c r="J1007" s="109"/>
      <c r="K1007" s="109"/>
      <c r="V1007" s="128"/>
      <c r="W1007" s="128"/>
      <c r="X1007" s="128"/>
      <c r="Y1007" s="139"/>
      <c r="AA1007" s="73"/>
    </row>
    <row r="1008" spans="9:27" x14ac:dyDescent="0.35">
      <c r="I1008" s="109"/>
      <c r="J1008" s="109"/>
      <c r="K1008" s="109"/>
      <c r="V1008" s="128"/>
      <c r="W1008" s="128"/>
      <c r="X1008" s="128"/>
      <c r="Y1008" s="139"/>
      <c r="AA1008" s="73"/>
    </row>
    <row r="1009" spans="9:27" x14ac:dyDescent="0.35">
      <c r="I1009" s="109"/>
      <c r="J1009" s="109"/>
      <c r="K1009" s="109"/>
      <c r="V1009" s="128"/>
      <c r="W1009" s="128"/>
      <c r="X1009" s="128"/>
      <c r="Y1009" s="139"/>
      <c r="AA1009" s="73"/>
    </row>
    <row r="1010" spans="9:27" x14ac:dyDescent="0.35">
      <c r="I1010" s="109"/>
      <c r="J1010" s="109"/>
      <c r="K1010" s="109"/>
      <c r="V1010" s="128"/>
      <c r="W1010" s="128"/>
      <c r="X1010" s="128"/>
      <c r="Y1010" s="139"/>
      <c r="AA1010" s="73"/>
    </row>
    <row r="1011" spans="9:27" x14ac:dyDescent="0.35">
      <c r="I1011" s="109"/>
      <c r="J1011" s="109"/>
      <c r="K1011" s="109"/>
      <c r="V1011" s="128"/>
      <c r="W1011" s="128"/>
      <c r="X1011" s="128"/>
      <c r="Y1011" s="139"/>
      <c r="AA1011" s="73"/>
    </row>
    <row r="1012" spans="9:27" x14ac:dyDescent="0.35">
      <c r="I1012" s="109"/>
      <c r="J1012" s="109"/>
      <c r="K1012" s="109"/>
      <c r="V1012" s="128"/>
      <c r="W1012" s="128"/>
      <c r="X1012" s="128"/>
      <c r="Y1012" s="139"/>
      <c r="AA1012" s="73"/>
    </row>
    <row r="1013" spans="9:27" x14ac:dyDescent="0.35">
      <c r="I1013" s="109"/>
      <c r="J1013" s="109"/>
      <c r="K1013" s="109"/>
      <c r="V1013" s="128"/>
      <c r="W1013" s="128"/>
      <c r="X1013" s="128"/>
      <c r="Y1013" s="139"/>
      <c r="AA1013" s="73"/>
    </row>
    <row r="1014" spans="9:27" x14ac:dyDescent="0.35">
      <c r="I1014" s="109"/>
      <c r="J1014" s="109"/>
      <c r="K1014" s="109"/>
      <c r="V1014" s="128"/>
      <c r="W1014" s="128"/>
      <c r="X1014" s="128"/>
      <c r="Y1014" s="139"/>
      <c r="AA1014" s="73"/>
    </row>
    <row r="1015" spans="9:27" x14ac:dyDescent="0.35">
      <c r="I1015" s="109"/>
      <c r="J1015" s="109"/>
      <c r="K1015" s="109"/>
      <c r="V1015" s="128"/>
      <c r="W1015" s="128"/>
      <c r="X1015" s="128"/>
      <c r="Y1015" s="139"/>
      <c r="AA1015" s="73"/>
    </row>
    <row r="1016" spans="9:27" x14ac:dyDescent="0.35">
      <c r="I1016" s="109"/>
      <c r="J1016" s="109"/>
      <c r="K1016" s="109"/>
      <c r="V1016" s="128"/>
      <c r="W1016" s="128"/>
      <c r="X1016" s="128"/>
      <c r="Y1016" s="139"/>
      <c r="AA1016" s="73"/>
    </row>
    <row r="1017" spans="9:27" x14ac:dyDescent="0.35">
      <c r="I1017" s="109"/>
      <c r="J1017" s="109"/>
      <c r="K1017" s="109"/>
      <c r="V1017" s="128"/>
      <c r="W1017" s="128"/>
      <c r="X1017" s="128"/>
      <c r="Y1017" s="139"/>
      <c r="AA1017" s="73"/>
    </row>
    <row r="1018" spans="9:27" x14ac:dyDescent="0.35">
      <c r="I1018" s="109"/>
      <c r="J1018" s="109"/>
      <c r="K1018" s="109"/>
      <c r="V1018" s="128"/>
      <c r="W1018" s="128"/>
      <c r="X1018" s="128"/>
      <c r="Y1018" s="139"/>
      <c r="AA1018" s="73"/>
    </row>
    <row r="1019" spans="9:27" x14ac:dyDescent="0.35">
      <c r="I1019" s="109"/>
      <c r="J1019" s="109"/>
      <c r="K1019" s="109"/>
      <c r="V1019" s="128"/>
      <c r="W1019" s="128"/>
      <c r="X1019" s="128"/>
      <c r="Y1019" s="139"/>
      <c r="AA1019" s="73"/>
    </row>
    <row r="1020" spans="9:27" x14ac:dyDescent="0.35">
      <c r="I1020" s="109"/>
      <c r="J1020" s="109"/>
      <c r="K1020" s="109"/>
      <c r="V1020" s="128"/>
      <c r="W1020" s="128"/>
      <c r="X1020" s="128"/>
      <c r="Y1020" s="139"/>
      <c r="AA1020" s="73"/>
    </row>
    <row r="1021" spans="9:27" x14ac:dyDescent="0.35">
      <c r="I1021" s="109"/>
      <c r="J1021" s="109"/>
      <c r="K1021" s="109"/>
      <c r="V1021" s="128"/>
      <c r="W1021" s="128"/>
      <c r="X1021" s="128"/>
      <c r="Y1021" s="139"/>
      <c r="AA1021" s="73"/>
    </row>
    <row r="1022" spans="9:27" x14ac:dyDescent="0.35">
      <c r="I1022" s="109"/>
      <c r="J1022" s="109"/>
      <c r="K1022" s="109"/>
      <c r="V1022" s="128"/>
      <c r="W1022" s="128"/>
      <c r="X1022" s="128"/>
      <c r="Y1022" s="139"/>
      <c r="AA1022" s="73"/>
    </row>
    <row r="1023" spans="9:27" x14ac:dyDescent="0.35">
      <c r="I1023" s="109"/>
      <c r="J1023" s="109"/>
      <c r="K1023" s="109"/>
      <c r="V1023" s="128"/>
      <c r="W1023" s="128"/>
      <c r="X1023" s="128"/>
      <c r="Y1023" s="139"/>
      <c r="AA1023" s="73"/>
    </row>
    <row r="1024" spans="9:27" x14ac:dyDescent="0.35">
      <c r="I1024" s="109"/>
      <c r="J1024" s="109"/>
      <c r="K1024" s="109"/>
      <c r="V1024" s="128"/>
      <c r="W1024" s="128"/>
      <c r="X1024" s="128"/>
      <c r="Y1024" s="139"/>
      <c r="AA1024" s="73"/>
    </row>
    <row r="1025" spans="9:27" x14ac:dyDescent="0.35">
      <c r="I1025" s="109"/>
      <c r="J1025" s="109"/>
      <c r="K1025" s="109"/>
      <c r="V1025" s="128"/>
      <c r="W1025" s="128"/>
      <c r="X1025" s="128"/>
      <c r="Y1025" s="139"/>
      <c r="AA1025" s="73"/>
    </row>
    <row r="1026" spans="9:27" x14ac:dyDescent="0.35">
      <c r="I1026" s="109"/>
      <c r="J1026" s="109"/>
      <c r="K1026" s="109"/>
      <c r="V1026" s="128"/>
      <c r="W1026" s="128"/>
      <c r="X1026" s="128"/>
      <c r="Y1026" s="139"/>
      <c r="AA1026" s="73"/>
    </row>
    <row r="1027" spans="9:27" x14ac:dyDescent="0.35">
      <c r="I1027" s="109"/>
      <c r="J1027" s="109"/>
      <c r="K1027" s="109"/>
      <c r="V1027" s="128"/>
      <c r="W1027" s="128"/>
      <c r="X1027" s="128"/>
      <c r="Y1027" s="139"/>
      <c r="AA1027" s="73"/>
    </row>
    <row r="1028" spans="9:27" x14ac:dyDescent="0.35">
      <c r="I1028" s="109"/>
      <c r="J1028" s="109"/>
      <c r="K1028" s="109"/>
      <c r="V1028" s="128"/>
      <c r="W1028" s="128"/>
      <c r="X1028" s="128"/>
      <c r="Y1028" s="139"/>
      <c r="AA1028" s="73"/>
    </row>
    <row r="1029" spans="9:27" x14ac:dyDescent="0.35">
      <c r="I1029" s="109"/>
      <c r="J1029" s="109"/>
      <c r="K1029" s="109"/>
      <c r="V1029" s="128"/>
      <c r="W1029" s="128"/>
      <c r="X1029" s="128"/>
      <c r="Y1029" s="139"/>
      <c r="AA1029" s="73"/>
    </row>
    <row r="1030" spans="9:27" x14ac:dyDescent="0.35">
      <c r="I1030" s="109"/>
      <c r="J1030" s="109"/>
      <c r="K1030" s="109"/>
      <c r="V1030" s="128"/>
      <c r="W1030" s="128"/>
      <c r="X1030" s="128"/>
      <c r="Y1030" s="139"/>
      <c r="AA1030" s="73"/>
    </row>
    <row r="1031" spans="9:27" x14ac:dyDescent="0.35">
      <c r="I1031" s="109"/>
      <c r="J1031" s="109"/>
      <c r="K1031" s="109"/>
      <c r="V1031" s="128"/>
      <c r="W1031" s="128"/>
      <c r="X1031" s="128"/>
      <c r="Y1031" s="139"/>
      <c r="AA1031" s="73"/>
    </row>
    <row r="1032" spans="9:27" x14ac:dyDescent="0.35">
      <c r="I1032" s="109"/>
      <c r="J1032" s="109"/>
      <c r="K1032" s="109"/>
      <c r="V1032" s="128"/>
      <c r="W1032" s="128"/>
      <c r="X1032" s="128"/>
      <c r="Y1032" s="139"/>
      <c r="AA1032" s="73"/>
    </row>
    <row r="1033" spans="9:27" x14ac:dyDescent="0.35">
      <c r="I1033" s="109"/>
      <c r="J1033" s="109"/>
      <c r="K1033" s="109"/>
      <c r="V1033" s="128"/>
      <c r="W1033" s="128"/>
      <c r="X1033" s="128"/>
      <c r="Y1033" s="139"/>
      <c r="AA1033" s="73"/>
    </row>
    <row r="1034" spans="9:27" x14ac:dyDescent="0.35">
      <c r="I1034" s="109"/>
      <c r="J1034" s="109"/>
      <c r="K1034" s="109"/>
      <c r="V1034" s="128"/>
      <c r="W1034" s="128"/>
      <c r="X1034" s="128"/>
      <c r="Y1034" s="139"/>
      <c r="AA1034" s="73"/>
    </row>
    <row r="1035" spans="9:27" x14ac:dyDescent="0.35">
      <c r="I1035" s="109"/>
      <c r="J1035" s="109"/>
      <c r="K1035" s="109"/>
      <c r="V1035" s="128"/>
      <c r="W1035" s="128"/>
      <c r="X1035" s="128"/>
      <c r="Y1035" s="139"/>
      <c r="AA1035" s="73"/>
    </row>
    <row r="1036" spans="9:27" x14ac:dyDescent="0.35">
      <c r="I1036" s="109"/>
      <c r="J1036" s="109"/>
      <c r="K1036" s="109"/>
      <c r="V1036" s="128"/>
      <c r="W1036" s="128"/>
      <c r="X1036" s="128"/>
      <c r="Y1036" s="139"/>
      <c r="AA1036" s="73"/>
    </row>
    <row r="1037" spans="9:27" x14ac:dyDescent="0.35">
      <c r="I1037" s="109"/>
      <c r="J1037" s="109"/>
      <c r="K1037" s="109"/>
      <c r="V1037" s="128"/>
      <c r="W1037" s="128"/>
      <c r="X1037" s="128"/>
      <c r="Y1037" s="139"/>
      <c r="AA1037" s="73"/>
    </row>
    <row r="1038" spans="9:27" x14ac:dyDescent="0.35">
      <c r="I1038" s="109"/>
      <c r="J1038" s="109"/>
      <c r="K1038" s="109"/>
      <c r="V1038" s="128"/>
      <c r="W1038" s="128"/>
      <c r="X1038" s="128"/>
      <c r="Y1038" s="139"/>
      <c r="AA1038" s="73"/>
    </row>
    <row r="1039" spans="9:27" x14ac:dyDescent="0.35">
      <c r="I1039" s="109"/>
      <c r="J1039" s="109"/>
      <c r="K1039" s="109"/>
      <c r="V1039" s="128"/>
      <c r="W1039" s="128"/>
      <c r="X1039" s="128"/>
      <c r="Y1039" s="139"/>
      <c r="AA1039" s="73"/>
    </row>
    <row r="1040" spans="9:27" x14ac:dyDescent="0.35">
      <c r="I1040" s="109"/>
      <c r="J1040" s="109"/>
      <c r="K1040" s="109"/>
      <c r="V1040" s="128"/>
      <c r="W1040" s="128"/>
      <c r="X1040" s="128"/>
      <c r="Y1040" s="139"/>
      <c r="AA1040" s="73"/>
    </row>
    <row r="1041" spans="9:27" x14ac:dyDescent="0.35">
      <c r="I1041" s="109"/>
      <c r="J1041" s="109"/>
      <c r="K1041" s="109"/>
      <c r="V1041" s="128"/>
      <c r="W1041" s="128"/>
      <c r="X1041" s="128"/>
      <c r="Y1041" s="139"/>
      <c r="AA1041" s="73"/>
    </row>
    <row r="1042" spans="9:27" x14ac:dyDescent="0.35">
      <c r="I1042" s="109"/>
      <c r="J1042" s="109"/>
      <c r="K1042" s="109"/>
      <c r="V1042" s="128"/>
      <c r="W1042" s="128"/>
      <c r="X1042" s="128"/>
      <c r="Y1042" s="139"/>
      <c r="AA1042" s="73"/>
    </row>
    <row r="1043" spans="9:27" x14ac:dyDescent="0.35">
      <c r="I1043" s="109"/>
      <c r="J1043" s="109"/>
      <c r="K1043" s="109"/>
      <c r="V1043" s="128"/>
      <c r="W1043" s="128"/>
      <c r="X1043" s="128"/>
      <c r="Y1043" s="139"/>
      <c r="AA1043" s="73"/>
    </row>
    <row r="1044" spans="9:27" x14ac:dyDescent="0.35">
      <c r="I1044" s="109"/>
      <c r="J1044" s="109"/>
      <c r="K1044" s="109"/>
      <c r="V1044" s="128"/>
      <c r="W1044" s="128"/>
      <c r="X1044" s="128"/>
      <c r="Y1044" s="139"/>
      <c r="AA1044" s="73"/>
    </row>
    <row r="1045" spans="9:27" x14ac:dyDescent="0.35">
      <c r="I1045" s="109"/>
      <c r="J1045" s="109"/>
      <c r="K1045" s="109"/>
      <c r="V1045" s="128"/>
      <c r="W1045" s="128"/>
      <c r="X1045" s="128"/>
      <c r="Y1045" s="139"/>
      <c r="AA1045" s="73"/>
    </row>
    <row r="1046" spans="9:27" x14ac:dyDescent="0.35">
      <c r="I1046" s="109"/>
      <c r="J1046" s="109"/>
      <c r="K1046" s="109"/>
      <c r="V1046" s="128"/>
      <c r="W1046" s="128"/>
      <c r="X1046" s="128"/>
      <c r="Y1046" s="139"/>
      <c r="AA1046" s="73"/>
    </row>
    <row r="1047" spans="9:27" x14ac:dyDescent="0.35">
      <c r="I1047" s="109"/>
      <c r="J1047" s="109"/>
      <c r="K1047" s="109"/>
      <c r="V1047" s="128"/>
      <c r="W1047" s="128"/>
      <c r="X1047" s="128"/>
      <c r="Y1047" s="139"/>
      <c r="AA1047" s="73"/>
    </row>
    <row r="1048" spans="9:27" x14ac:dyDescent="0.35">
      <c r="I1048" s="109"/>
      <c r="J1048" s="109"/>
      <c r="K1048" s="109"/>
      <c r="V1048" s="128"/>
      <c r="W1048" s="128"/>
      <c r="X1048" s="128"/>
      <c r="Y1048" s="139"/>
      <c r="AA1048" s="73"/>
    </row>
    <row r="1049" spans="9:27" x14ac:dyDescent="0.35">
      <c r="I1049" s="109"/>
      <c r="J1049" s="109"/>
      <c r="K1049" s="109"/>
      <c r="V1049" s="128"/>
      <c r="W1049" s="128"/>
      <c r="X1049" s="128"/>
      <c r="Y1049" s="139"/>
      <c r="AA1049" s="73"/>
    </row>
    <row r="1050" spans="9:27" x14ac:dyDescent="0.35">
      <c r="I1050" s="109"/>
      <c r="J1050" s="109"/>
      <c r="K1050" s="109"/>
      <c r="V1050" s="128"/>
      <c r="W1050" s="128"/>
      <c r="X1050" s="128"/>
      <c r="Y1050" s="139"/>
      <c r="AA1050" s="73"/>
    </row>
    <row r="1051" spans="9:27" x14ac:dyDescent="0.35">
      <c r="I1051" s="109"/>
      <c r="J1051" s="109"/>
      <c r="K1051" s="109"/>
      <c r="V1051" s="128"/>
      <c r="W1051" s="128"/>
      <c r="X1051" s="128"/>
      <c r="Y1051" s="139"/>
      <c r="AA1051" s="73"/>
    </row>
    <row r="1052" spans="9:27" x14ac:dyDescent="0.35">
      <c r="I1052" s="109"/>
      <c r="J1052" s="109"/>
      <c r="K1052" s="109"/>
      <c r="V1052" s="128"/>
      <c r="W1052" s="128"/>
      <c r="X1052" s="128"/>
      <c r="Y1052" s="139"/>
      <c r="AA1052" s="73"/>
    </row>
    <row r="1053" spans="9:27" x14ac:dyDescent="0.35">
      <c r="I1053" s="109"/>
      <c r="J1053" s="109"/>
      <c r="K1053" s="109"/>
      <c r="V1053" s="128"/>
      <c r="W1053" s="128"/>
      <c r="X1053" s="128"/>
      <c r="Y1053" s="139"/>
      <c r="AA1053" s="73"/>
    </row>
    <row r="1054" spans="9:27" x14ac:dyDescent="0.35">
      <c r="I1054" s="109"/>
      <c r="J1054" s="109"/>
      <c r="K1054" s="109"/>
      <c r="V1054" s="128"/>
      <c r="W1054" s="128"/>
      <c r="X1054" s="128"/>
      <c r="Y1054" s="139"/>
      <c r="AA1054" s="73"/>
    </row>
    <row r="1055" spans="9:27" x14ac:dyDescent="0.35">
      <c r="I1055" s="109"/>
      <c r="J1055" s="109"/>
      <c r="K1055" s="109"/>
      <c r="V1055" s="128"/>
      <c r="W1055" s="128"/>
      <c r="X1055" s="128"/>
      <c r="Y1055" s="139"/>
      <c r="AA1055" s="73"/>
    </row>
    <row r="1056" spans="9:27" x14ac:dyDescent="0.35">
      <c r="I1056" s="109"/>
      <c r="J1056" s="109"/>
      <c r="K1056" s="109"/>
      <c r="V1056" s="128"/>
      <c r="W1056" s="128"/>
      <c r="X1056" s="128"/>
      <c r="Y1056" s="139"/>
      <c r="AA1056" s="73"/>
    </row>
    <row r="1057" spans="9:27" x14ac:dyDescent="0.35">
      <c r="I1057" s="109"/>
      <c r="J1057" s="109"/>
      <c r="K1057" s="109"/>
      <c r="V1057" s="128"/>
      <c r="W1057" s="128"/>
      <c r="X1057" s="128"/>
      <c r="Y1057" s="139"/>
      <c r="AA1057" s="73"/>
    </row>
    <row r="1058" spans="9:27" x14ac:dyDescent="0.35">
      <c r="I1058" s="109"/>
      <c r="J1058" s="109"/>
      <c r="K1058" s="109"/>
      <c r="V1058" s="128"/>
      <c r="W1058" s="128"/>
      <c r="X1058" s="128"/>
      <c r="Y1058" s="139"/>
      <c r="AA1058" s="73"/>
    </row>
    <row r="1059" spans="9:27" x14ac:dyDescent="0.35">
      <c r="I1059" s="109"/>
      <c r="J1059" s="109"/>
      <c r="K1059" s="109"/>
      <c r="V1059" s="128"/>
      <c r="W1059" s="128"/>
      <c r="X1059" s="128"/>
      <c r="Y1059" s="139"/>
      <c r="AA1059" s="73"/>
    </row>
    <row r="1060" spans="9:27" x14ac:dyDescent="0.35">
      <c r="I1060" s="109"/>
      <c r="J1060" s="109"/>
      <c r="K1060" s="109"/>
      <c r="V1060" s="128"/>
      <c r="W1060" s="128"/>
      <c r="X1060" s="128"/>
      <c r="Y1060" s="139"/>
      <c r="AA1060" s="73"/>
    </row>
    <row r="1061" spans="9:27" x14ac:dyDescent="0.35">
      <c r="I1061" s="109"/>
      <c r="J1061" s="109"/>
      <c r="K1061" s="109"/>
      <c r="V1061" s="128"/>
      <c r="W1061" s="128"/>
      <c r="X1061" s="128"/>
      <c r="Y1061" s="139"/>
      <c r="AA1061" s="73"/>
    </row>
    <row r="1062" spans="9:27" x14ac:dyDescent="0.35">
      <c r="I1062" s="109"/>
      <c r="J1062" s="109"/>
      <c r="K1062" s="109"/>
      <c r="V1062" s="128"/>
      <c r="W1062" s="128"/>
      <c r="X1062" s="128"/>
      <c r="Y1062" s="139"/>
      <c r="AA1062" s="73"/>
    </row>
    <row r="1063" spans="9:27" x14ac:dyDescent="0.35">
      <c r="I1063" s="109"/>
      <c r="J1063" s="109"/>
      <c r="K1063" s="109"/>
      <c r="V1063" s="128"/>
      <c r="W1063" s="128"/>
      <c r="X1063" s="128"/>
      <c r="Y1063" s="139"/>
      <c r="AA1063" s="73"/>
    </row>
    <row r="1064" spans="9:27" x14ac:dyDescent="0.35">
      <c r="I1064" s="109"/>
      <c r="J1064" s="109"/>
      <c r="K1064" s="109"/>
      <c r="V1064" s="128"/>
      <c r="W1064" s="128"/>
      <c r="X1064" s="128"/>
      <c r="Y1064" s="139"/>
      <c r="AA1064" s="73"/>
    </row>
    <row r="1065" spans="9:27" x14ac:dyDescent="0.35">
      <c r="I1065" s="109"/>
      <c r="J1065" s="109"/>
      <c r="K1065" s="109"/>
      <c r="V1065" s="128"/>
      <c r="W1065" s="128"/>
      <c r="X1065" s="128"/>
      <c r="Y1065" s="139"/>
      <c r="AA1065" s="73"/>
    </row>
    <row r="1066" spans="9:27" x14ac:dyDescent="0.35">
      <c r="I1066" s="109"/>
      <c r="J1066" s="109"/>
      <c r="K1066" s="109"/>
      <c r="V1066" s="128"/>
      <c r="W1066" s="128"/>
      <c r="X1066" s="128"/>
      <c r="Y1066" s="139"/>
      <c r="AA1066" s="73"/>
    </row>
    <row r="1067" spans="9:27" x14ac:dyDescent="0.35">
      <c r="I1067" s="109"/>
      <c r="J1067" s="109"/>
      <c r="K1067" s="109"/>
      <c r="V1067" s="128"/>
      <c r="W1067" s="128"/>
      <c r="X1067" s="128"/>
      <c r="Y1067" s="139"/>
      <c r="AA1067" s="73"/>
    </row>
    <row r="1068" spans="9:27" x14ac:dyDescent="0.35">
      <c r="I1068" s="109"/>
      <c r="J1068" s="109"/>
      <c r="K1068" s="109"/>
      <c r="V1068" s="128"/>
      <c r="W1068" s="128"/>
      <c r="X1068" s="128"/>
      <c r="Y1068" s="139"/>
      <c r="AA1068" s="73"/>
    </row>
    <row r="1069" spans="9:27" x14ac:dyDescent="0.35">
      <c r="I1069" s="109"/>
      <c r="J1069" s="109"/>
      <c r="K1069" s="109"/>
      <c r="V1069" s="128"/>
      <c r="W1069" s="128"/>
      <c r="X1069" s="128"/>
      <c r="Y1069" s="139"/>
      <c r="AA1069" s="73"/>
    </row>
    <row r="1070" spans="9:27" x14ac:dyDescent="0.35">
      <c r="I1070" s="109"/>
      <c r="J1070" s="109"/>
      <c r="K1070" s="109"/>
      <c r="V1070" s="128"/>
      <c r="W1070" s="128"/>
      <c r="X1070" s="128"/>
      <c r="Y1070" s="139"/>
      <c r="AA1070" s="73"/>
    </row>
    <row r="1071" spans="9:27" x14ac:dyDescent="0.35">
      <c r="I1071" s="109"/>
      <c r="J1071" s="109"/>
      <c r="K1071" s="109"/>
      <c r="V1071" s="128"/>
      <c r="W1071" s="128"/>
      <c r="X1071" s="128"/>
      <c r="Y1071" s="139"/>
      <c r="AA1071" s="73"/>
    </row>
    <row r="1072" spans="9:27" x14ac:dyDescent="0.35">
      <c r="I1072" s="109"/>
      <c r="J1072" s="109"/>
      <c r="K1072" s="109"/>
      <c r="V1072" s="128"/>
      <c r="W1072" s="128"/>
      <c r="X1072" s="128"/>
      <c r="Y1072" s="139"/>
      <c r="AA1072" s="73"/>
    </row>
    <row r="1073" spans="9:27" x14ac:dyDescent="0.35">
      <c r="I1073" s="109"/>
      <c r="J1073" s="109"/>
      <c r="K1073" s="109"/>
      <c r="V1073" s="128"/>
      <c r="W1073" s="128"/>
      <c r="X1073" s="128"/>
      <c r="Y1073" s="139"/>
      <c r="AA1073" s="73"/>
    </row>
    <row r="1074" spans="9:27" x14ac:dyDescent="0.35">
      <c r="I1074" s="109"/>
      <c r="J1074" s="109"/>
      <c r="K1074" s="109"/>
      <c r="V1074" s="128"/>
      <c r="W1074" s="128"/>
      <c r="X1074" s="128"/>
      <c r="Y1074" s="139"/>
      <c r="AA1074" s="73"/>
    </row>
    <row r="1075" spans="9:27" x14ac:dyDescent="0.35">
      <c r="I1075" s="109"/>
      <c r="J1075" s="109"/>
      <c r="K1075" s="109"/>
      <c r="V1075" s="128"/>
      <c r="W1075" s="128"/>
      <c r="X1075" s="128"/>
      <c r="Y1075" s="139"/>
      <c r="AA1075" s="73"/>
    </row>
    <row r="1076" spans="9:27" x14ac:dyDescent="0.35">
      <c r="I1076" s="109"/>
      <c r="J1076" s="109"/>
      <c r="K1076" s="109"/>
      <c r="V1076" s="128"/>
      <c r="W1076" s="128"/>
      <c r="X1076" s="128"/>
      <c r="Y1076" s="139"/>
      <c r="AA1076" s="73"/>
    </row>
    <row r="1077" spans="9:27" x14ac:dyDescent="0.35">
      <c r="I1077" s="109"/>
      <c r="J1077" s="109"/>
      <c r="K1077" s="109"/>
      <c r="V1077" s="128"/>
      <c r="W1077" s="128"/>
      <c r="X1077" s="128"/>
      <c r="Y1077" s="139"/>
      <c r="AA1077" s="73"/>
    </row>
    <row r="1078" spans="9:27" x14ac:dyDescent="0.35">
      <c r="I1078" s="109"/>
      <c r="J1078" s="109"/>
      <c r="K1078" s="109"/>
      <c r="V1078" s="128"/>
      <c r="W1078" s="128"/>
      <c r="X1078" s="128"/>
      <c r="Y1078" s="139"/>
      <c r="AA1078" s="73"/>
    </row>
    <row r="1079" spans="9:27" x14ac:dyDescent="0.35">
      <c r="I1079" s="109"/>
      <c r="J1079" s="109"/>
      <c r="K1079" s="109"/>
      <c r="V1079" s="128"/>
      <c r="W1079" s="128"/>
      <c r="X1079" s="128"/>
      <c r="Y1079" s="139"/>
      <c r="AA1079" s="73"/>
    </row>
    <row r="1080" spans="9:27" x14ac:dyDescent="0.35">
      <c r="I1080" s="109"/>
      <c r="J1080" s="109"/>
      <c r="K1080" s="109"/>
      <c r="V1080" s="128"/>
      <c r="W1080" s="128"/>
      <c r="X1080" s="128"/>
      <c r="Y1080" s="139"/>
      <c r="AA1080" s="73"/>
    </row>
    <row r="1081" spans="9:27" x14ac:dyDescent="0.35">
      <c r="I1081" s="109"/>
      <c r="J1081" s="109"/>
      <c r="K1081" s="109"/>
      <c r="V1081" s="128"/>
      <c r="W1081" s="128"/>
      <c r="X1081" s="128"/>
      <c r="Y1081" s="139"/>
      <c r="AA1081" s="73"/>
    </row>
    <row r="1082" spans="9:27" x14ac:dyDescent="0.35">
      <c r="I1082" s="109"/>
      <c r="J1082" s="109"/>
      <c r="K1082" s="109"/>
      <c r="V1082" s="128"/>
      <c r="W1082" s="128"/>
      <c r="X1082" s="128"/>
      <c r="Y1082" s="139"/>
      <c r="AA1082" s="73"/>
    </row>
    <row r="1083" spans="9:27" x14ac:dyDescent="0.35">
      <c r="I1083" s="109"/>
      <c r="J1083" s="109"/>
      <c r="K1083" s="109"/>
      <c r="V1083" s="128"/>
      <c r="W1083" s="128"/>
      <c r="X1083" s="128"/>
      <c r="Y1083" s="139"/>
      <c r="AA1083" s="73"/>
    </row>
    <row r="1084" spans="9:27" x14ac:dyDescent="0.35">
      <c r="I1084" s="109"/>
      <c r="J1084" s="109"/>
      <c r="K1084" s="109"/>
      <c r="V1084" s="128"/>
      <c r="W1084" s="128"/>
      <c r="X1084" s="128"/>
      <c r="Y1084" s="139"/>
      <c r="AA1084" s="73"/>
    </row>
    <row r="1085" spans="9:27" x14ac:dyDescent="0.35">
      <c r="I1085" s="109"/>
      <c r="J1085" s="109"/>
      <c r="K1085" s="109"/>
      <c r="V1085" s="128"/>
      <c r="W1085" s="128"/>
      <c r="X1085" s="128"/>
      <c r="Y1085" s="139"/>
      <c r="AA1085" s="73"/>
    </row>
    <row r="1086" spans="9:27" x14ac:dyDescent="0.35">
      <c r="I1086" s="109"/>
      <c r="J1086" s="109"/>
      <c r="K1086" s="109"/>
      <c r="V1086" s="128"/>
      <c r="W1086" s="128"/>
      <c r="X1086" s="128"/>
      <c r="Y1086" s="139"/>
      <c r="AA1086" s="73"/>
    </row>
    <row r="1087" spans="9:27" x14ac:dyDescent="0.35">
      <c r="I1087" s="109"/>
      <c r="J1087" s="109"/>
      <c r="K1087" s="109"/>
      <c r="V1087" s="128"/>
      <c r="W1087" s="128"/>
      <c r="X1087" s="128"/>
      <c r="Y1087" s="139"/>
      <c r="AA1087" s="73"/>
    </row>
    <row r="1088" spans="9:27" x14ac:dyDescent="0.35">
      <c r="I1088" s="109"/>
      <c r="J1088" s="109"/>
      <c r="K1088" s="109"/>
      <c r="V1088" s="128"/>
      <c r="W1088" s="128"/>
      <c r="X1088" s="128"/>
      <c r="Y1088" s="139"/>
      <c r="AA1088" s="73"/>
    </row>
    <row r="1089" spans="9:27" x14ac:dyDescent="0.35">
      <c r="I1089" s="109"/>
      <c r="J1089" s="109"/>
      <c r="K1089" s="109"/>
      <c r="V1089" s="128"/>
      <c r="W1089" s="128"/>
      <c r="X1089" s="128"/>
      <c r="Y1089" s="139"/>
      <c r="AA1089" s="73"/>
    </row>
    <row r="1090" spans="9:27" x14ac:dyDescent="0.35">
      <c r="I1090" s="109"/>
      <c r="J1090" s="109"/>
      <c r="K1090" s="109"/>
      <c r="V1090" s="128"/>
      <c r="W1090" s="128"/>
      <c r="X1090" s="128"/>
      <c r="Y1090" s="139"/>
      <c r="AA1090" s="73"/>
    </row>
    <row r="1091" spans="9:27" x14ac:dyDescent="0.35">
      <c r="I1091" s="109"/>
      <c r="J1091" s="109"/>
      <c r="K1091" s="109"/>
      <c r="V1091" s="128"/>
      <c r="W1091" s="128"/>
      <c r="X1091" s="128"/>
      <c r="Y1091" s="139"/>
      <c r="AA1091" s="73"/>
    </row>
    <row r="1092" spans="9:27" x14ac:dyDescent="0.35">
      <c r="I1092" s="109"/>
      <c r="J1092" s="109"/>
      <c r="K1092" s="109"/>
      <c r="V1092" s="128"/>
      <c r="W1092" s="128"/>
      <c r="X1092" s="128"/>
      <c r="Y1092" s="139"/>
      <c r="AA1092" s="73"/>
    </row>
    <row r="1093" spans="9:27" x14ac:dyDescent="0.35">
      <c r="I1093" s="109"/>
      <c r="J1093" s="109"/>
      <c r="K1093" s="109"/>
      <c r="V1093" s="128"/>
      <c r="W1093" s="128"/>
      <c r="X1093" s="128"/>
      <c r="Y1093" s="139"/>
      <c r="AA1093" s="73"/>
    </row>
    <row r="1094" spans="9:27" x14ac:dyDescent="0.35">
      <c r="I1094" s="109"/>
      <c r="J1094" s="109"/>
      <c r="K1094" s="109"/>
      <c r="V1094" s="128"/>
      <c r="W1094" s="128"/>
      <c r="X1094" s="128"/>
      <c r="Y1094" s="139"/>
      <c r="AA1094" s="73"/>
    </row>
    <row r="1095" spans="9:27" x14ac:dyDescent="0.35">
      <c r="I1095" s="109"/>
      <c r="J1095" s="109"/>
      <c r="K1095" s="109"/>
      <c r="V1095" s="128"/>
      <c r="W1095" s="128"/>
      <c r="X1095" s="128"/>
      <c r="Y1095" s="139"/>
      <c r="AA1095" s="73"/>
    </row>
    <row r="1096" spans="9:27" x14ac:dyDescent="0.35">
      <c r="I1096" s="109"/>
      <c r="J1096" s="109"/>
      <c r="K1096" s="109"/>
      <c r="V1096" s="128"/>
      <c r="W1096" s="128"/>
      <c r="X1096" s="128"/>
      <c r="Y1096" s="139"/>
      <c r="AA1096" s="73"/>
    </row>
    <row r="1097" spans="9:27" x14ac:dyDescent="0.35">
      <c r="I1097" s="109"/>
      <c r="J1097" s="109"/>
      <c r="K1097" s="109"/>
      <c r="V1097" s="128"/>
      <c r="W1097" s="128"/>
      <c r="X1097" s="128"/>
      <c r="Y1097" s="139"/>
      <c r="AA1097" s="73"/>
    </row>
    <row r="1098" spans="9:27" x14ac:dyDescent="0.35">
      <c r="I1098" s="109"/>
      <c r="J1098" s="109"/>
      <c r="K1098" s="109"/>
      <c r="V1098" s="128"/>
      <c r="W1098" s="128"/>
      <c r="X1098" s="128"/>
      <c r="Y1098" s="139"/>
      <c r="AA1098" s="73"/>
    </row>
    <row r="1099" spans="9:27" x14ac:dyDescent="0.35">
      <c r="I1099" s="109"/>
      <c r="J1099" s="109"/>
      <c r="K1099" s="109"/>
      <c r="V1099" s="128"/>
      <c r="W1099" s="128"/>
      <c r="X1099" s="128"/>
      <c r="Y1099" s="139"/>
      <c r="AA1099" s="73"/>
    </row>
    <row r="1100" spans="9:27" x14ac:dyDescent="0.35">
      <c r="I1100" s="109"/>
      <c r="J1100" s="109"/>
      <c r="K1100" s="109"/>
      <c r="V1100" s="128"/>
      <c r="W1100" s="128"/>
      <c r="X1100" s="128"/>
      <c r="Y1100" s="139"/>
      <c r="AA1100" s="73"/>
    </row>
    <row r="1101" spans="9:27" x14ac:dyDescent="0.35">
      <c r="I1101" s="109"/>
      <c r="J1101" s="109"/>
      <c r="K1101" s="109"/>
      <c r="V1101" s="128"/>
      <c r="W1101" s="128"/>
      <c r="X1101" s="128"/>
      <c r="Y1101" s="139"/>
      <c r="AA1101" s="73"/>
    </row>
    <row r="1102" spans="9:27" x14ac:dyDescent="0.35">
      <c r="I1102" s="109"/>
      <c r="J1102" s="109"/>
      <c r="K1102" s="109"/>
      <c r="V1102" s="128"/>
      <c r="W1102" s="128"/>
      <c r="X1102" s="128"/>
      <c r="Y1102" s="139"/>
      <c r="AA1102" s="73"/>
    </row>
    <row r="1103" spans="9:27" x14ac:dyDescent="0.35">
      <c r="I1103" s="109"/>
      <c r="J1103" s="109"/>
      <c r="K1103" s="109"/>
      <c r="V1103" s="128"/>
      <c r="W1103" s="128"/>
      <c r="X1103" s="128"/>
      <c r="Y1103" s="139"/>
      <c r="AA1103" s="73"/>
    </row>
    <row r="1104" spans="9:27" x14ac:dyDescent="0.35">
      <c r="I1104" s="109"/>
      <c r="J1104" s="109"/>
      <c r="K1104" s="109"/>
      <c r="V1104" s="128"/>
      <c r="W1104" s="128"/>
      <c r="X1104" s="128"/>
      <c r="Y1104" s="139"/>
      <c r="AA1104" s="73"/>
    </row>
    <row r="1105" spans="9:27" x14ac:dyDescent="0.35">
      <c r="I1105" s="109"/>
      <c r="J1105" s="109"/>
      <c r="K1105" s="109"/>
      <c r="V1105" s="128"/>
      <c r="W1105" s="128"/>
      <c r="X1105" s="128"/>
      <c r="Y1105" s="139"/>
      <c r="AA1105" s="73"/>
    </row>
    <row r="1106" spans="9:27" x14ac:dyDescent="0.35">
      <c r="I1106" s="109"/>
      <c r="J1106" s="109"/>
      <c r="K1106" s="109"/>
      <c r="V1106" s="128"/>
      <c r="W1106" s="128"/>
      <c r="X1106" s="128"/>
      <c r="Y1106" s="139"/>
      <c r="AA1106" s="73"/>
    </row>
    <row r="1107" spans="9:27" x14ac:dyDescent="0.35">
      <c r="I1107" s="109"/>
      <c r="J1107" s="109"/>
      <c r="K1107" s="109"/>
      <c r="V1107" s="128"/>
      <c r="W1107" s="128"/>
      <c r="X1107" s="128"/>
      <c r="Y1107" s="139"/>
      <c r="AA1107" s="73"/>
    </row>
    <row r="1108" spans="9:27" x14ac:dyDescent="0.35">
      <c r="I1108" s="109"/>
      <c r="J1108" s="109"/>
      <c r="K1108" s="109"/>
      <c r="V1108" s="128"/>
      <c r="W1108" s="128"/>
      <c r="X1108" s="128"/>
      <c r="Y1108" s="139"/>
      <c r="AA1108" s="73"/>
    </row>
    <row r="1109" spans="9:27" x14ac:dyDescent="0.35">
      <c r="I1109" s="109"/>
      <c r="J1109" s="109"/>
      <c r="K1109" s="109"/>
      <c r="V1109" s="128"/>
      <c r="W1109" s="128"/>
      <c r="X1109" s="128"/>
      <c r="Y1109" s="139"/>
      <c r="AA1109" s="73"/>
    </row>
    <row r="1110" spans="9:27" x14ac:dyDescent="0.35">
      <c r="I1110" s="109"/>
      <c r="J1110" s="109"/>
      <c r="K1110" s="109"/>
      <c r="V1110" s="128"/>
      <c r="W1110" s="128"/>
      <c r="X1110" s="128"/>
      <c r="Y1110" s="139"/>
      <c r="AA1110" s="73"/>
    </row>
    <row r="1111" spans="9:27" x14ac:dyDescent="0.35">
      <c r="I1111" s="109"/>
      <c r="J1111" s="109"/>
      <c r="K1111" s="109"/>
      <c r="V1111" s="128"/>
      <c r="W1111" s="128"/>
      <c r="X1111" s="128"/>
      <c r="Y1111" s="139"/>
      <c r="AA1111" s="73"/>
    </row>
    <row r="1112" spans="9:27" x14ac:dyDescent="0.35">
      <c r="I1112" s="109"/>
      <c r="J1112" s="109"/>
      <c r="K1112" s="109"/>
      <c r="V1112" s="128"/>
      <c r="W1112" s="128"/>
      <c r="X1112" s="128"/>
      <c r="Y1112" s="139"/>
      <c r="AA1112" s="73"/>
    </row>
    <row r="1113" spans="9:27" x14ac:dyDescent="0.35">
      <c r="I1113" s="109"/>
      <c r="J1113" s="109"/>
      <c r="K1113" s="109"/>
      <c r="V1113" s="128"/>
      <c r="W1113" s="128"/>
      <c r="X1113" s="128"/>
      <c r="Y1113" s="139"/>
      <c r="AA1113" s="73"/>
    </row>
    <row r="1114" spans="9:27" x14ac:dyDescent="0.35">
      <c r="I1114" s="109"/>
      <c r="J1114" s="109"/>
      <c r="K1114" s="109"/>
      <c r="V1114" s="128"/>
      <c r="W1114" s="128"/>
      <c r="X1114" s="128"/>
      <c r="Y1114" s="139"/>
      <c r="AA1114" s="73"/>
    </row>
    <row r="1115" spans="9:27" x14ac:dyDescent="0.35">
      <c r="I1115" s="109"/>
      <c r="J1115" s="109"/>
      <c r="K1115" s="109"/>
      <c r="V1115" s="128"/>
      <c r="W1115" s="128"/>
      <c r="X1115" s="128"/>
      <c r="Y1115" s="139"/>
      <c r="AA1115" s="73"/>
    </row>
    <row r="1116" spans="9:27" x14ac:dyDescent="0.35">
      <c r="I1116" s="109"/>
      <c r="J1116" s="109"/>
      <c r="K1116" s="109"/>
      <c r="V1116" s="128"/>
      <c r="W1116" s="128"/>
      <c r="X1116" s="128"/>
      <c r="Y1116" s="139"/>
      <c r="AA1116" s="73"/>
    </row>
    <row r="1117" spans="9:27" x14ac:dyDescent="0.35">
      <c r="I1117" s="109"/>
      <c r="J1117" s="109"/>
      <c r="K1117" s="109"/>
      <c r="V1117" s="128"/>
      <c r="W1117" s="128"/>
      <c r="X1117" s="128"/>
      <c r="Y1117" s="139"/>
      <c r="AA1117" s="73"/>
    </row>
    <row r="1118" spans="9:27" x14ac:dyDescent="0.35">
      <c r="I1118" s="109"/>
      <c r="J1118" s="109"/>
      <c r="K1118" s="109"/>
      <c r="V1118" s="128"/>
      <c r="W1118" s="128"/>
      <c r="X1118" s="128"/>
      <c r="Y1118" s="139"/>
      <c r="AA1118" s="73"/>
    </row>
    <row r="1119" spans="9:27" x14ac:dyDescent="0.35">
      <c r="I1119" s="109"/>
      <c r="J1119" s="109"/>
      <c r="K1119" s="109"/>
      <c r="V1119" s="128"/>
      <c r="W1119" s="128"/>
      <c r="X1119" s="128"/>
      <c r="Y1119" s="139"/>
      <c r="AA1119" s="73"/>
    </row>
    <row r="1120" spans="9:27" x14ac:dyDescent="0.35">
      <c r="I1120" s="109"/>
      <c r="J1120" s="109"/>
      <c r="K1120" s="109"/>
      <c r="V1120" s="128"/>
      <c r="W1120" s="128"/>
      <c r="X1120" s="128"/>
      <c r="Y1120" s="139"/>
      <c r="AA1120" s="73"/>
    </row>
    <row r="1121" spans="9:27" x14ac:dyDescent="0.35">
      <c r="I1121" s="109"/>
      <c r="J1121" s="109"/>
      <c r="K1121" s="109"/>
      <c r="V1121" s="128"/>
      <c r="W1121" s="128"/>
      <c r="X1121" s="128"/>
      <c r="Y1121" s="139"/>
      <c r="AA1121" s="73"/>
    </row>
    <row r="1122" spans="9:27" x14ac:dyDescent="0.35">
      <c r="I1122" s="109"/>
      <c r="J1122" s="109"/>
      <c r="K1122" s="109"/>
      <c r="V1122" s="128"/>
      <c r="W1122" s="128"/>
      <c r="X1122" s="128"/>
      <c r="Y1122" s="139"/>
      <c r="AA1122" s="73"/>
    </row>
    <row r="1123" spans="9:27" x14ac:dyDescent="0.35">
      <c r="I1123" s="109"/>
      <c r="J1123" s="109"/>
      <c r="K1123" s="109"/>
      <c r="V1123" s="128"/>
      <c r="W1123" s="128"/>
      <c r="X1123" s="128"/>
      <c r="Y1123" s="139"/>
      <c r="AA1123" s="73"/>
    </row>
    <row r="1124" spans="9:27" x14ac:dyDescent="0.35">
      <c r="I1124" s="109"/>
      <c r="J1124" s="109"/>
      <c r="K1124" s="109"/>
      <c r="V1124" s="128"/>
      <c r="W1124" s="128"/>
      <c r="X1124" s="128"/>
      <c r="Y1124" s="139"/>
      <c r="AA1124" s="73"/>
    </row>
    <row r="1125" spans="9:27" x14ac:dyDescent="0.35">
      <c r="I1125" s="109"/>
      <c r="J1125" s="109"/>
      <c r="K1125" s="109"/>
      <c r="V1125" s="128"/>
      <c r="W1125" s="128"/>
      <c r="X1125" s="128"/>
      <c r="Y1125" s="139"/>
      <c r="AA1125" s="73"/>
    </row>
    <row r="1126" spans="9:27" x14ac:dyDescent="0.35">
      <c r="I1126" s="109"/>
      <c r="J1126" s="109"/>
      <c r="K1126" s="109"/>
      <c r="V1126" s="128"/>
      <c r="W1126" s="128"/>
      <c r="X1126" s="128"/>
      <c r="Y1126" s="139"/>
      <c r="AA1126" s="73"/>
    </row>
    <row r="1127" spans="9:27" x14ac:dyDescent="0.35">
      <c r="I1127" s="109"/>
      <c r="J1127" s="109"/>
      <c r="K1127" s="109"/>
      <c r="V1127" s="128"/>
      <c r="W1127" s="128"/>
      <c r="X1127" s="128"/>
      <c r="Y1127" s="139"/>
      <c r="AA1127" s="73"/>
    </row>
    <row r="1128" spans="9:27" x14ac:dyDescent="0.35">
      <c r="I1128" s="109"/>
      <c r="J1128" s="109"/>
      <c r="K1128" s="109"/>
      <c r="V1128" s="128"/>
      <c r="W1128" s="128"/>
      <c r="X1128" s="128"/>
      <c r="Y1128" s="139"/>
      <c r="AA1128" s="73"/>
    </row>
    <row r="1129" spans="9:27" x14ac:dyDescent="0.35">
      <c r="I1129" s="109"/>
      <c r="J1129" s="109"/>
      <c r="K1129" s="109"/>
      <c r="V1129" s="128"/>
      <c r="W1129" s="128"/>
      <c r="X1129" s="128"/>
      <c r="Y1129" s="139"/>
      <c r="AA1129" s="73"/>
    </row>
    <row r="1130" spans="9:27" x14ac:dyDescent="0.35">
      <c r="I1130" s="109"/>
      <c r="J1130" s="109"/>
      <c r="K1130" s="109"/>
      <c r="V1130" s="128"/>
      <c r="W1130" s="128"/>
      <c r="X1130" s="128"/>
      <c r="Y1130" s="139"/>
      <c r="AA1130" s="73"/>
    </row>
    <row r="1131" spans="9:27" x14ac:dyDescent="0.35">
      <c r="I1131" s="109"/>
      <c r="J1131" s="109"/>
      <c r="K1131" s="109"/>
      <c r="V1131" s="128"/>
      <c r="W1131" s="128"/>
      <c r="X1131" s="128"/>
      <c r="Y1131" s="139"/>
      <c r="AA1131" s="73"/>
    </row>
    <row r="1132" spans="9:27" x14ac:dyDescent="0.35">
      <c r="I1132" s="109"/>
      <c r="J1132" s="109"/>
      <c r="K1132" s="109"/>
      <c r="V1132" s="128"/>
      <c r="W1132" s="128"/>
      <c r="X1132" s="128"/>
      <c r="Y1132" s="139"/>
      <c r="AA1132" s="73"/>
    </row>
    <row r="1133" spans="9:27" x14ac:dyDescent="0.35">
      <c r="I1133" s="109"/>
      <c r="J1133" s="109"/>
      <c r="K1133" s="109"/>
      <c r="V1133" s="128"/>
      <c r="W1133" s="128"/>
      <c r="X1133" s="128"/>
      <c r="Y1133" s="139"/>
      <c r="AA1133" s="73"/>
    </row>
    <row r="1134" spans="9:27" x14ac:dyDescent="0.35">
      <c r="I1134" s="109"/>
      <c r="J1134" s="109"/>
      <c r="K1134" s="109"/>
      <c r="V1134" s="128"/>
      <c r="W1134" s="128"/>
      <c r="X1134" s="128"/>
      <c r="Y1134" s="139"/>
      <c r="AA1134" s="73"/>
    </row>
    <row r="1135" spans="9:27" x14ac:dyDescent="0.35">
      <c r="I1135" s="109"/>
      <c r="J1135" s="109"/>
      <c r="K1135" s="109"/>
      <c r="V1135" s="128"/>
      <c r="W1135" s="128"/>
      <c r="X1135" s="128"/>
      <c r="Y1135" s="139"/>
      <c r="AA1135" s="73"/>
    </row>
    <row r="1136" spans="9:27" x14ac:dyDescent="0.35">
      <c r="I1136" s="109"/>
      <c r="J1136" s="109"/>
      <c r="K1136" s="109"/>
      <c r="V1136" s="128"/>
      <c r="W1136" s="128"/>
      <c r="X1136" s="128"/>
      <c r="Y1136" s="139"/>
      <c r="AA1136" s="73"/>
    </row>
    <row r="1137" spans="9:27" x14ac:dyDescent="0.35">
      <c r="I1137" s="109"/>
      <c r="J1137" s="109"/>
      <c r="K1137" s="109"/>
      <c r="V1137" s="128"/>
      <c r="W1137" s="128"/>
      <c r="X1137" s="128"/>
      <c r="Y1137" s="139"/>
      <c r="AA1137" s="73"/>
    </row>
    <row r="1138" spans="9:27" x14ac:dyDescent="0.35">
      <c r="I1138" s="109"/>
      <c r="J1138" s="109"/>
      <c r="K1138" s="109"/>
      <c r="V1138" s="128"/>
      <c r="W1138" s="128"/>
      <c r="X1138" s="128"/>
      <c r="Y1138" s="139"/>
      <c r="AA1138" s="73"/>
    </row>
    <row r="1139" spans="9:27" x14ac:dyDescent="0.35">
      <c r="I1139" s="109"/>
      <c r="J1139" s="109"/>
      <c r="K1139" s="109"/>
      <c r="V1139" s="128"/>
      <c r="W1139" s="128"/>
      <c r="X1139" s="128"/>
      <c r="Y1139" s="139"/>
      <c r="AA1139" s="73"/>
    </row>
    <row r="1140" spans="9:27" x14ac:dyDescent="0.35">
      <c r="I1140" s="109"/>
      <c r="J1140" s="109"/>
      <c r="K1140" s="109"/>
      <c r="V1140" s="128"/>
      <c r="W1140" s="128"/>
      <c r="X1140" s="128"/>
      <c r="Y1140" s="139"/>
      <c r="AA1140" s="73"/>
    </row>
    <row r="1141" spans="9:27" x14ac:dyDescent="0.35">
      <c r="I1141" s="109"/>
      <c r="J1141" s="109"/>
      <c r="K1141" s="109"/>
      <c r="V1141" s="128"/>
      <c r="W1141" s="128"/>
      <c r="X1141" s="128"/>
      <c r="Y1141" s="139"/>
      <c r="AA1141" s="73"/>
    </row>
    <row r="1142" spans="9:27" x14ac:dyDescent="0.35">
      <c r="I1142" s="109"/>
      <c r="J1142" s="109"/>
      <c r="K1142" s="109"/>
      <c r="V1142" s="128"/>
      <c r="W1142" s="128"/>
      <c r="X1142" s="128"/>
      <c r="Y1142" s="139"/>
      <c r="AA1142" s="73"/>
    </row>
    <row r="1143" spans="9:27" x14ac:dyDescent="0.35">
      <c r="I1143" s="109"/>
      <c r="J1143" s="109"/>
      <c r="K1143" s="109"/>
      <c r="V1143" s="128"/>
      <c r="W1143" s="128"/>
      <c r="X1143" s="128"/>
      <c r="Y1143" s="139"/>
      <c r="AA1143" s="73"/>
    </row>
    <row r="1144" spans="9:27" x14ac:dyDescent="0.35">
      <c r="I1144" s="109"/>
      <c r="J1144" s="109"/>
      <c r="K1144" s="109"/>
      <c r="V1144" s="128"/>
      <c r="W1144" s="128"/>
      <c r="X1144" s="128"/>
      <c r="Y1144" s="139"/>
      <c r="AA1144" s="73"/>
    </row>
    <row r="1145" spans="9:27" x14ac:dyDescent="0.35">
      <c r="I1145" s="109"/>
      <c r="J1145" s="109"/>
      <c r="K1145" s="109"/>
      <c r="V1145" s="128"/>
      <c r="W1145" s="128"/>
      <c r="X1145" s="128"/>
      <c r="Y1145" s="139"/>
      <c r="AA1145" s="73"/>
    </row>
    <row r="1146" spans="9:27" x14ac:dyDescent="0.35">
      <c r="I1146" s="109"/>
      <c r="J1146" s="109"/>
      <c r="K1146" s="109"/>
      <c r="V1146" s="128"/>
      <c r="W1146" s="128"/>
      <c r="X1146" s="128"/>
      <c r="Y1146" s="139"/>
      <c r="AA1146" s="73"/>
    </row>
    <row r="1147" spans="9:27" x14ac:dyDescent="0.35">
      <c r="I1147" s="109"/>
      <c r="J1147" s="109"/>
      <c r="K1147" s="109"/>
      <c r="V1147" s="128"/>
      <c r="W1147" s="128"/>
      <c r="X1147" s="128"/>
      <c r="Y1147" s="139"/>
      <c r="AA1147" s="73"/>
    </row>
    <row r="1148" spans="9:27" x14ac:dyDescent="0.35">
      <c r="I1148" s="109"/>
      <c r="J1148" s="109"/>
      <c r="K1148" s="109"/>
      <c r="V1148" s="128"/>
      <c r="W1148" s="128"/>
      <c r="X1148" s="128"/>
      <c r="Y1148" s="139"/>
      <c r="AA1148" s="73"/>
    </row>
    <row r="1149" spans="9:27" x14ac:dyDescent="0.35">
      <c r="I1149" s="109"/>
      <c r="J1149" s="109"/>
      <c r="K1149" s="109"/>
      <c r="V1149" s="128"/>
      <c r="W1149" s="128"/>
      <c r="X1149" s="128"/>
      <c r="Y1149" s="139"/>
      <c r="AA1149" s="73"/>
    </row>
    <row r="1150" spans="9:27" x14ac:dyDescent="0.35">
      <c r="I1150" s="109"/>
      <c r="J1150" s="109"/>
      <c r="K1150" s="109"/>
      <c r="V1150" s="128"/>
      <c r="W1150" s="128"/>
      <c r="X1150" s="128"/>
      <c r="Y1150" s="139"/>
      <c r="AA1150" s="73"/>
    </row>
    <row r="1151" spans="9:27" x14ac:dyDescent="0.35">
      <c r="I1151" s="109"/>
      <c r="J1151" s="109"/>
      <c r="K1151" s="109"/>
      <c r="V1151" s="128"/>
      <c r="W1151" s="128"/>
      <c r="X1151" s="128"/>
      <c r="Y1151" s="139"/>
      <c r="AA1151" s="73"/>
    </row>
    <row r="1152" spans="9:27" x14ac:dyDescent="0.35">
      <c r="I1152" s="109"/>
      <c r="J1152" s="109"/>
      <c r="K1152" s="109"/>
      <c r="V1152" s="128"/>
      <c r="W1152" s="128"/>
      <c r="X1152" s="128"/>
      <c r="Y1152" s="139"/>
      <c r="AA1152" s="73"/>
    </row>
    <row r="1153" spans="9:27" x14ac:dyDescent="0.35">
      <c r="I1153" s="109"/>
      <c r="J1153" s="109"/>
      <c r="K1153" s="109"/>
      <c r="V1153" s="128"/>
      <c r="W1153" s="128"/>
      <c r="X1153" s="128"/>
      <c r="Y1153" s="139"/>
      <c r="AA1153" s="73"/>
    </row>
    <row r="1154" spans="9:27" x14ac:dyDescent="0.35">
      <c r="I1154" s="109"/>
      <c r="J1154" s="109"/>
      <c r="K1154" s="109"/>
      <c r="V1154" s="128"/>
      <c r="W1154" s="128"/>
      <c r="X1154" s="128"/>
      <c r="Y1154" s="139"/>
      <c r="AA1154" s="73"/>
    </row>
    <row r="1155" spans="9:27" x14ac:dyDescent="0.35">
      <c r="I1155" s="109"/>
      <c r="J1155" s="109"/>
      <c r="K1155" s="109"/>
      <c r="V1155" s="128"/>
      <c r="W1155" s="128"/>
      <c r="X1155" s="128"/>
      <c r="Y1155" s="139"/>
      <c r="AA1155" s="73"/>
    </row>
    <row r="1156" spans="9:27" x14ac:dyDescent="0.35">
      <c r="I1156" s="109"/>
      <c r="J1156" s="109"/>
      <c r="K1156" s="109"/>
      <c r="V1156" s="128"/>
      <c r="W1156" s="128"/>
      <c r="X1156" s="128"/>
      <c r="Y1156" s="139"/>
      <c r="AA1156" s="73"/>
    </row>
    <row r="1157" spans="9:27" x14ac:dyDescent="0.35">
      <c r="I1157" s="109"/>
      <c r="J1157" s="109"/>
      <c r="K1157" s="109"/>
      <c r="V1157" s="128"/>
      <c r="W1157" s="128"/>
      <c r="X1157" s="128"/>
      <c r="Y1157" s="139"/>
      <c r="AA1157" s="73"/>
    </row>
    <row r="1158" spans="9:27" x14ac:dyDescent="0.35">
      <c r="I1158" s="109"/>
      <c r="J1158" s="109"/>
      <c r="K1158" s="109"/>
      <c r="V1158" s="128"/>
      <c r="W1158" s="128"/>
      <c r="X1158" s="128"/>
      <c r="Y1158" s="139"/>
      <c r="AA1158" s="73"/>
    </row>
    <row r="1159" spans="9:27" x14ac:dyDescent="0.35">
      <c r="I1159" s="109"/>
      <c r="J1159" s="109"/>
      <c r="K1159" s="109"/>
      <c r="V1159" s="128"/>
      <c r="W1159" s="128"/>
      <c r="X1159" s="128"/>
      <c r="Y1159" s="139"/>
      <c r="AA1159" s="73"/>
    </row>
    <row r="1160" spans="9:27" x14ac:dyDescent="0.35">
      <c r="I1160" s="109"/>
      <c r="J1160" s="109"/>
      <c r="K1160" s="109"/>
      <c r="V1160" s="128"/>
      <c r="W1160" s="128"/>
      <c r="X1160" s="128"/>
      <c r="Y1160" s="139"/>
      <c r="AA1160" s="73"/>
    </row>
    <row r="1161" spans="9:27" x14ac:dyDescent="0.35">
      <c r="I1161" s="109"/>
      <c r="J1161" s="109"/>
      <c r="K1161" s="109"/>
      <c r="V1161" s="128"/>
      <c r="W1161" s="128"/>
      <c r="X1161" s="128"/>
      <c r="Y1161" s="139"/>
      <c r="AA1161" s="73"/>
    </row>
    <row r="1162" spans="9:27" x14ac:dyDescent="0.35">
      <c r="I1162" s="109"/>
      <c r="J1162" s="109"/>
      <c r="K1162" s="109"/>
      <c r="V1162" s="128"/>
      <c r="W1162" s="128"/>
      <c r="X1162" s="128"/>
      <c r="Y1162" s="139"/>
      <c r="AA1162" s="73"/>
    </row>
    <row r="1163" spans="9:27" x14ac:dyDescent="0.35">
      <c r="I1163" s="109"/>
      <c r="J1163" s="109"/>
      <c r="K1163" s="109"/>
      <c r="V1163" s="128"/>
      <c r="W1163" s="128"/>
      <c r="X1163" s="128"/>
      <c r="Y1163" s="139"/>
      <c r="AA1163" s="73"/>
    </row>
    <row r="1164" spans="9:27" x14ac:dyDescent="0.35">
      <c r="I1164" s="109"/>
      <c r="J1164" s="109"/>
      <c r="K1164" s="109"/>
      <c r="V1164" s="128"/>
      <c r="W1164" s="128"/>
      <c r="X1164" s="128"/>
      <c r="Y1164" s="139"/>
      <c r="AA1164" s="73"/>
    </row>
    <row r="1165" spans="9:27" x14ac:dyDescent="0.35">
      <c r="I1165" s="109"/>
      <c r="J1165" s="109"/>
      <c r="K1165" s="109"/>
      <c r="V1165" s="128"/>
      <c r="W1165" s="128"/>
      <c r="X1165" s="128"/>
      <c r="Y1165" s="139"/>
      <c r="AA1165" s="73"/>
    </row>
    <row r="1166" spans="9:27" x14ac:dyDescent="0.35">
      <c r="I1166" s="109"/>
      <c r="J1166" s="109"/>
      <c r="K1166" s="109"/>
      <c r="V1166" s="128"/>
      <c r="W1166" s="128"/>
      <c r="X1166" s="128"/>
      <c r="Y1166" s="139"/>
      <c r="AA1166" s="73"/>
    </row>
    <row r="1167" spans="9:27" x14ac:dyDescent="0.35">
      <c r="I1167" s="109"/>
      <c r="J1167" s="109"/>
      <c r="K1167" s="109"/>
      <c r="V1167" s="128"/>
      <c r="W1167" s="128"/>
      <c r="X1167" s="128"/>
      <c r="Y1167" s="139"/>
      <c r="AA1167" s="73"/>
    </row>
    <row r="1168" spans="9:27" x14ac:dyDescent="0.35">
      <c r="I1168" s="109"/>
      <c r="J1168" s="109"/>
      <c r="K1168" s="109"/>
      <c r="V1168" s="128"/>
      <c r="W1168" s="128"/>
      <c r="X1168" s="128"/>
      <c r="Y1168" s="139"/>
      <c r="AA1168" s="73"/>
    </row>
    <row r="1169" spans="9:27" x14ac:dyDescent="0.35">
      <c r="I1169" s="109"/>
      <c r="J1169" s="109"/>
      <c r="K1169" s="109"/>
      <c r="V1169" s="128"/>
      <c r="W1169" s="128"/>
      <c r="X1169" s="128"/>
      <c r="Y1169" s="139"/>
      <c r="AA1169" s="73"/>
    </row>
    <row r="1170" spans="9:27" x14ac:dyDescent="0.35">
      <c r="I1170" s="109"/>
      <c r="J1170" s="109"/>
      <c r="K1170" s="109"/>
      <c r="V1170" s="128"/>
      <c r="W1170" s="128"/>
      <c r="X1170" s="128"/>
      <c r="Y1170" s="139"/>
      <c r="AA1170" s="73"/>
    </row>
    <row r="1171" spans="9:27" x14ac:dyDescent="0.35">
      <c r="I1171" s="109"/>
      <c r="J1171" s="109"/>
      <c r="K1171" s="109"/>
      <c r="V1171" s="128"/>
      <c r="W1171" s="128"/>
      <c r="X1171" s="128"/>
      <c r="Y1171" s="139"/>
      <c r="AA1171" s="73"/>
    </row>
    <row r="1172" spans="9:27" x14ac:dyDescent="0.35">
      <c r="I1172" s="109"/>
      <c r="J1172" s="109"/>
      <c r="K1172" s="109"/>
      <c r="V1172" s="128"/>
      <c r="W1172" s="128"/>
      <c r="X1172" s="128"/>
      <c r="Y1172" s="139"/>
      <c r="AA1172" s="73"/>
    </row>
    <row r="1173" spans="9:27" x14ac:dyDescent="0.35">
      <c r="I1173" s="109"/>
      <c r="J1173" s="109"/>
      <c r="K1173" s="109"/>
      <c r="V1173" s="128"/>
      <c r="W1173" s="128"/>
      <c r="X1173" s="128"/>
      <c r="Y1173" s="139"/>
      <c r="AA1173" s="73"/>
    </row>
    <row r="1174" spans="9:27" x14ac:dyDescent="0.35">
      <c r="I1174" s="109"/>
      <c r="J1174" s="109"/>
      <c r="K1174" s="109"/>
      <c r="V1174" s="128"/>
      <c r="W1174" s="128"/>
      <c r="X1174" s="128"/>
      <c r="Y1174" s="139"/>
      <c r="AA1174" s="73"/>
    </row>
    <row r="1175" spans="9:27" x14ac:dyDescent="0.35">
      <c r="I1175" s="109"/>
      <c r="J1175" s="109"/>
      <c r="K1175" s="109"/>
      <c r="V1175" s="128"/>
      <c r="W1175" s="128"/>
      <c r="X1175" s="128"/>
      <c r="Y1175" s="139"/>
      <c r="AA1175" s="73"/>
    </row>
    <row r="1176" spans="9:27" x14ac:dyDescent="0.35">
      <c r="I1176" s="109"/>
      <c r="J1176" s="109"/>
      <c r="K1176" s="109"/>
      <c r="V1176" s="128"/>
      <c r="W1176" s="128"/>
      <c r="X1176" s="128"/>
      <c r="Y1176" s="139"/>
      <c r="AA1176" s="73"/>
    </row>
    <row r="1177" spans="9:27" x14ac:dyDescent="0.35">
      <c r="I1177" s="109"/>
      <c r="J1177" s="109"/>
      <c r="K1177" s="109"/>
      <c r="V1177" s="128"/>
      <c r="W1177" s="128"/>
      <c r="X1177" s="128"/>
      <c r="Y1177" s="139"/>
      <c r="AA1177" s="73"/>
    </row>
    <row r="1178" spans="9:27" x14ac:dyDescent="0.35">
      <c r="I1178" s="109"/>
      <c r="J1178" s="109"/>
      <c r="K1178" s="109"/>
      <c r="V1178" s="128"/>
      <c r="W1178" s="128"/>
      <c r="X1178" s="128"/>
      <c r="Y1178" s="139"/>
      <c r="AA1178" s="73"/>
    </row>
    <row r="1179" spans="9:27" x14ac:dyDescent="0.35">
      <c r="I1179" s="109"/>
      <c r="J1179" s="109"/>
      <c r="K1179" s="109"/>
      <c r="V1179" s="128"/>
      <c r="W1179" s="128"/>
      <c r="X1179" s="128"/>
      <c r="Y1179" s="139"/>
      <c r="AA1179" s="73"/>
    </row>
    <row r="1180" spans="9:27" x14ac:dyDescent="0.35">
      <c r="I1180" s="109"/>
      <c r="J1180" s="109"/>
      <c r="K1180" s="109"/>
      <c r="V1180" s="128"/>
      <c r="W1180" s="128"/>
      <c r="X1180" s="128"/>
      <c r="Y1180" s="139"/>
      <c r="AA1180" s="73"/>
    </row>
    <row r="1181" spans="9:27" x14ac:dyDescent="0.35">
      <c r="I1181" s="109"/>
      <c r="J1181" s="109"/>
      <c r="K1181" s="109"/>
      <c r="V1181" s="128"/>
      <c r="W1181" s="128"/>
      <c r="X1181" s="128"/>
      <c r="Y1181" s="139"/>
      <c r="AA1181" s="73"/>
    </row>
    <row r="1182" spans="9:27" x14ac:dyDescent="0.35">
      <c r="I1182" s="109"/>
      <c r="J1182" s="109"/>
      <c r="K1182" s="109"/>
      <c r="V1182" s="128"/>
      <c r="W1182" s="128"/>
      <c r="X1182" s="128"/>
      <c r="Y1182" s="139"/>
      <c r="AA1182" s="73"/>
    </row>
    <row r="1183" spans="9:27" x14ac:dyDescent="0.35">
      <c r="I1183" s="109"/>
      <c r="J1183" s="109"/>
      <c r="K1183" s="109"/>
      <c r="V1183" s="128"/>
      <c r="W1183" s="128"/>
      <c r="X1183" s="128"/>
      <c r="Y1183" s="139"/>
      <c r="AA1183" s="73"/>
    </row>
    <row r="1184" spans="9:27" x14ac:dyDescent="0.35">
      <c r="I1184" s="109"/>
      <c r="J1184" s="109"/>
      <c r="K1184" s="109"/>
      <c r="V1184" s="128"/>
      <c r="W1184" s="128"/>
      <c r="X1184" s="128"/>
      <c r="Y1184" s="139"/>
      <c r="AA1184" s="73"/>
    </row>
    <row r="1185" spans="9:27" x14ac:dyDescent="0.35">
      <c r="I1185" s="109"/>
      <c r="J1185" s="109"/>
      <c r="K1185" s="109"/>
      <c r="V1185" s="128"/>
      <c r="W1185" s="128"/>
      <c r="X1185" s="128"/>
      <c r="Y1185" s="139"/>
      <c r="AA1185" s="73"/>
    </row>
    <row r="1186" spans="9:27" x14ac:dyDescent="0.35">
      <c r="I1186" s="109"/>
      <c r="J1186" s="109"/>
      <c r="K1186" s="109"/>
      <c r="V1186" s="128"/>
      <c r="W1186" s="128"/>
      <c r="X1186" s="128"/>
      <c r="Y1186" s="139"/>
      <c r="AA1186" s="73"/>
    </row>
    <row r="1187" spans="9:27" x14ac:dyDescent="0.35">
      <c r="I1187" s="109"/>
      <c r="J1187" s="109"/>
      <c r="K1187" s="109"/>
      <c r="V1187" s="128"/>
      <c r="W1187" s="128"/>
      <c r="X1187" s="128"/>
      <c r="Y1187" s="139"/>
      <c r="AA1187" s="73"/>
    </row>
    <row r="1188" spans="9:27" x14ac:dyDescent="0.35">
      <c r="I1188" s="109"/>
      <c r="J1188" s="109"/>
      <c r="K1188" s="109"/>
      <c r="V1188" s="128"/>
      <c r="W1188" s="128"/>
      <c r="X1188" s="128"/>
      <c r="Y1188" s="139"/>
      <c r="AA1188" s="73"/>
    </row>
    <row r="1189" spans="9:27" x14ac:dyDescent="0.35">
      <c r="I1189" s="109"/>
      <c r="J1189" s="109"/>
      <c r="K1189" s="109"/>
      <c r="V1189" s="128"/>
      <c r="W1189" s="128"/>
      <c r="X1189" s="128"/>
      <c r="Y1189" s="139"/>
      <c r="AA1189" s="73"/>
    </row>
    <row r="1190" spans="9:27" x14ac:dyDescent="0.35">
      <c r="I1190" s="109"/>
      <c r="J1190" s="109"/>
      <c r="K1190" s="109"/>
      <c r="V1190" s="128"/>
      <c r="W1190" s="128"/>
      <c r="X1190" s="128"/>
      <c r="Y1190" s="139"/>
      <c r="AA1190" s="73"/>
    </row>
    <row r="1191" spans="9:27" x14ac:dyDescent="0.35">
      <c r="I1191" s="109"/>
      <c r="J1191" s="109"/>
      <c r="K1191" s="109"/>
      <c r="V1191" s="128"/>
      <c r="W1191" s="128"/>
      <c r="X1191" s="128"/>
      <c r="Y1191" s="139"/>
      <c r="AA1191" s="73"/>
    </row>
    <row r="1192" spans="9:27" x14ac:dyDescent="0.35">
      <c r="I1192" s="109"/>
      <c r="J1192" s="109"/>
      <c r="K1192" s="109"/>
      <c r="V1192" s="128"/>
      <c r="W1192" s="128"/>
      <c r="X1192" s="128"/>
      <c r="Y1192" s="139"/>
      <c r="AA1192" s="73"/>
    </row>
    <row r="1193" spans="9:27" x14ac:dyDescent="0.35">
      <c r="I1193" s="109"/>
      <c r="J1193" s="109"/>
      <c r="K1193" s="109"/>
      <c r="V1193" s="128"/>
      <c r="W1193" s="128"/>
      <c r="X1193" s="128"/>
      <c r="Y1193" s="139"/>
      <c r="AA1193" s="73"/>
    </row>
    <row r="1194" spans="9:27" x14ac:dyDescent="0.35">
      <c r="I1194" s="109"/>
      <c r="J1194" s="109"/>
      <c r="K1194" s="109"/>
      <c r="V1194" s="128"/>
      <c r="W1194" s="128"/>
      <c r="X1194" s="128"/>
      <c r="Y1194" s="139"/>
      <c r="AA1194" s="73"/>
    </row>
    <row r="1195" spans="9:27" x14ac:dyDescent="0.35">
      <c r="I1195" s="109"/>
      <c r="J1195" s="109"/>
      <c r="K1195" s="109"/>
      <c r="V1195" s="128"/>
      <c r="W1195" s="128"/>
      <c r="X1195" s="128"/>
      <c r="Y1195" s="139"/>
      <c r="AA1195" s="73"/>
    </row>
    <row r="1196" spans="9:27" x14ac:dyDescent="0.35">
      <c r="I1196" s="109"/>
      <c r="J1196" s="109"/>
      <c r="K1196" s="109"/>
      <c r="V1196" s="128"/>
      <c r="W1196" s="128"/>
      <c r="X1196" s="128"/>
      <c r="Y1196" s="139"/>
      <c r="AA1196" s="73"/>
    </row>
    <row r="1197" spans="9:27" x14ac:dyDescent="0.35">
      <c r="I1197" s="109"/>
      <c r="J1197" s="109"/>
      <c r="K1197" s="109"/>
      <c r="V1197" s="128"/>
      <c r="W1197" s="128"/>
      <c r="X1197" s="128"/>
      <c r="Y1197" s="139"/>
      <c r="AA1197" s="73"/>
    </row>
    <row r="1198" spans="9:27" x14ac:dyDescent="0.35">
      <c r="I1198" s="109"/>
      <c r="J1198" s="109"/>
      <c r="K1198" s="109"/>
      <c r="V1198" s="128"/>
      <c r="W1198" s="128"/>
      <c r="X1198" s="128"/>
      <c r="Y1198" s="139"/>
      <c r="AA1198" s="73"/>
    </row>
    <row r="1199" spans="9:27" x14ac:dyDescent="0.35">
      <c r="I1199" s="109"/>
      <c r="J1199" s="109"/>
      <c r="K1199" s="109"/>
      <c r="V1199" s="128"/>
      <c r="W1199" s="128"/>
      <c r="X1199" s="128"/>
      <c r="Y1199" s="139"/>
      <c r="AA1199" s="73"/>
    </row>
    <row r="1200" spans="9:27" x14ac:dyDescent="0.35">
      <c r="I1200" s="109"/>
      <c r="J1200" s="109"/>
      <c r="K1200" s="109"/>
      <c r="V1200" s="128"/>
      <c r="W1200" s="128"/>
      <c r="X1200" s="128"/>
      <c r="Y1200" s="139"/>
      <c r="AA1200" s="73"/>
    </row>
    <row r="1201" spans="9:27" x14ac:dyDescent="0.35">
      <c r="I1201" s="109"/>
      <c r="J1201" s="109"/>
      <c r="K1201" s="109"/>
      <c r="V1201" s="128"/>
      <c r="W1201" s="128"/>
      <c r="X1201" s="128"/>
      <c r="Y1201" s="139"/>
      <c r="AA1201" s="73"/>
    </row>
    <row r="1202" spans="9:27" x14ac:dyDescent="0.35">
      <c r="I1202" s="109"/>
      <c r="J1202" s="109"/>
      <c r="K1202" s="109"/>
      <c r="V1202" s="128"/>
      <c r="W1202" s="128"/>
      <c r="X1202" s="128"/>
      <c r="Y1202" s="139"/>
      <c r="AA1202" s="73"/>
    </row>
    <row r="1203" spans="9:27" x14ac:dyDescent="0.35">
      <c r="I1203" s="109"/>
      <c r="J1203" s="109"/>
      <c r="K1203" s="109"/>
      <c r="V1203" s="128"/>
      <c r="W1203" s="128"/>
      <c r="X1203" s="128"/>
      <c r="Y1203" s="139"/>
      <c r="AA1203" s="73"/>
    </row>
    <row r="1204" spans="9:27" x14ac:dyDescent="0.35">
      <c r="I1204" s="109"/>
      <c r="J1204" s="109"/>
      <c r="K1204" s="109"/>
      <c r="V1204" s="128"/>
      <c r="W1204" s="128"/>
      <c r="X1204" s="128"/>
      <c r="Y1204" s="139"/>
      <c r="AA1204" s="73"/>
    </row>
    <row r="1205" spans="9:27" x14ac:dyDescent="0.35">
      <c r="I1205" s="109"/>
      <c r="J1205" s="109"/>
      <c r="K1205" s="109"/>
      <c r="V1205" s="128"/>
      <c r="W1205" s="128"/>
      <c r="X1205" s="128"/>
      <c r="Y1205" s="139"/>
      <c r="AA1205" s="73"/>
    </row>
    <row r="1206" spans="9:27" x14ac:dyDescent="0.35">
      <c r="I1206" s="109"/>
      <c r="J1206" s="109"/>
      <c r="K1206" s="109"/>
      <c r="V1206" s="128"/>
      <c r="W1206" s="128"/>
      <c r="X1206" s="128"/>
      <c r="Y1206" s="139"/>
      <c r="AA1206" s="73"/>
    </row>
    <row r="1207" spans="9:27" x14ac:dyDescent="0.35">
      <c r="I1207" s="109"/>
      <c r="J1207" s="109"/>
      <c r="K1207" s="109"/>
      <c r="V1207" s="128"/>
      <c r="W1207" s="128"/>
      <c r="X1207" s="128"/>
      <c r="Y1207" s="139"/>
      <c r="AA1207" s="73"/>
    </row>
    <row r="1208" spans="9:27" x14ac:dyDescent="0.35">
      <c r="I1208" s="109"/>
      <c r="J1208" s="109"/>
      <c r="K1208" s="109"/>
      <c r="V1208" s="128"/>
      <c r="W1208" s="128"/>
      <c r="X1208" s="128"/>
      <c r="Y1208" s="139"/>
      <c r="AA1208" s="73"/>
    </row>
    <row r="1209" spans="9:27" x14ac:dyDescent="0.35">
      <c r="I1209" s="109"/>
      <c r="J1209" s="109"/>
      <c r="K1209" s="109"/>
      <c r="V1209" s="128"/>
      <c r="W1209" s="128"/>
      <c r="X1209" s="128"/>
      <c r="Y1209" s="139"/>
      <c r="AA1209" s="73"/>
    </row>
    <row r="1210" spans="9:27" x14ac:dyDescent="0.35">
      <c r="I1210" s="109"/>
      <c r="J1210" s="109"/>
      <c r="K1210" s="109"/>
      <c r="V1210" s="128"/>
      <c r="W1210" s="128"/>
      <c r="X1210" s="128"/>
      <c r="Y1210" s="139"/>
      <c r="AA1210" s="73"/>
    </row>
    <row r="1211" spans="9:27" x14ac:dyDescent="0.35">
      <c r="I1211" s="109"/>
      <c r="J1211" s="109"/>
      <c r="K1211" s="109"/>
      <c r="V1211" s="128"/>
      <c r="W1211" s="128"/>
      <c r="X1211" s="128"/>
      <c r="Y1211" s="139"/>
      <c r="AA1211" s="73"/>
    </row>
    <row r="1212" spans="9:27" x14ac:dyDescent="0.35">
      <c r="I1212" s="109"/>
      <c r="J1212" s="109"/>
      <c r="K1212" s="109"/>
      <c r="V1212" s="128"/>
      <c r="W1212" s="128"/>
      <c r="X1212" s="128"/>
      <c r="Y1212" s="139"/>
      <c r="AA1212" s="73"/>
    </row>
    <row r="1213" spans="9:27" x14ac:dyDescent="0.35">
      <c r="I1213" s="109"/>
      <c r="J1213" s="109"/>
      <c r="K1213" s="109"/>
      <c r="V1213" s="127"/>
      <c r="W1213" s="127"/>
      <c r="X1213" s="127"/>
      <c r="AA1213" s="73"/>
    </row>
    <row r="1214" spans="9:27" x14ac:dyDescent="0.35">
      <c r="I1214" s="49"/>
      <c r="J1214" s="49"/>
      <c r="K1214" s="49"/>
      <c r="V1214" s="127"/>
      <c r="W1214" s="127"/>
      <c r="X1214" s="127"/>
      <c r="AA1214" s="75"/>
    </row>
    <row r="1215" spans="9:27" x14ac:dyDescent="0.35">
      <c r="I1215" s="49"/>
      <c r="J1215" s="49"/>
      <c r="K1215" s="49"/>
      <c r="V1215" s="127"/>
      <c r="W1215" s="127"/>
      <c r="X1215" s="127"/>
      <c r="AA1215" s="75"/>
    </row>
    <row r="1216" spans="9:27" x14ac:dyDescent="0.35">
      <c r="I1216" s="49"/>
      <c r="J1216" s="49"/>
      <c r="K1216" s="49"/>
      <c r="V1216" s="127"/>
      <c r="W1216" s="127"/>
      <c r="X1216" s="127"/>
      <c r="AA1216" s="75"/>
    </row>
    <row r="1217" spans="9:27" x14ac:dyDescent="0.35">
      <c r="I1217" s="49"/>
      <c r="J1217" s="49"/>
      <c r="K1217" s="49"/>
      <c r="V1217" s="127"/>
      <c r="W1217" s="127"/>
      <c r="X1217" s="127"/>
      <c r="AA1217" s="75"/>
    </row>
    <row r="1218" spans="9:27" x14ac:dyDescent="0.35">
      <c r="I1218" s="49"/>
      <c r="J1218" s="49"/>
      <c r="K1218" s="49"/>
      <c r="V1218" s="127"/>
      <c r="W1218" s="127"/>
      <c r="X1218" s="127"/>
      <c r="AA1218" s="75"/>
    </row>
    <row r="1219" spans="9:27" x14ac:dyDescent="0.35">
      <c r="I1219" s="49"/>
      <c r="J1219" s="49"/>
      <c r="K1219" s="49"/>
      <c r="V1219" s="127"/>
      <c r="W1219" s="127"/>
      <c r="X1219" s="127"/>
      <c r="AA1219" s="75"/>
    </row>
    <row r="1220" spans="9:27" x14ac:dyDescent="0.35">
      <c r="I1220" s="49"/>
      <c r="J1220" s="49"/>
      <c r="K1220" s="49"/>
      <c r="V1220" s="127"/>
      <c r="W1220" s="127"/>
      <c r="X1220" s="127"/>
      <c r="AA1220" s="75"/>
    </row>
    <row r="1221" spans="9:27" x14ac:dyDescent="0.35">
      <c r="I1221" s="49"/>
      <c r="J1221" s="49"/>
      <c r="K1221" s="49"/>
      <c r="V1221" s="127"/>
      <c r="W1221" s="127"/>
      <c r="X1221" s="127"/>
      <c r="AA1221" s="75"/>
    </row>
    <row r="1222" spans="9:27" x14ac:dyDescent="0.35">
      <c r="I1222" s="49"/>
      <c r="J1222" s="49"/>
      <c r="K1222" s="49"/>
      <c r="V1222" s="127"/>
      <c r="W1222" s="127"/>
      <c r="X1222" s="127"/>
      <c r="AA1222" s="75"/>
    </row>
    <row r="1223" spans="9:27" x14ac:dyDescent="0.35">
      <c r="I1223" s="49"/>
      <c r="J1223" s="49"/>
      <c r="K1223" s="49"/>
      <c r="V1223" s="127"/>
      <c r="W1223" s="127"/>
      <c r="X1223" s="127"/>
      <c r="AA1223" s="75"/>
    </row>
    <row r="1224" spans="9:27" x14ac:dyDescent="0.35">
      <c r="I1224" s="49"/>
      <c r="J1224" s="49"/>
      <c r="K1224" s="49"/>
      <c r="V1224" s="127"/>
      <c r="W1224" s="127"/>
      <c r="X1224" s="127"/>
      <c r="AA1224" s="75"/>
    </row>
    <row r="1225" spans="9:27" x14ac:dyDescent="0.35">
      <c r="I1225" s="49"/>
      <c r="J1225" s="49"/>
      <c r="K1225" s="49"/>
      <c r="V1225" s="127"/>
      <c r="W1225" s="127"/>
      <c r="X1225" s="127"/>
      <c r="AA1225" s="75"/>
    </row>
    <row r="1226" spans="9:27" x14ac:dyDescent="0.35">
      <c r="I1226" s="49"/>
      <c r="J1226" s="49"/>
      <c r="K1226" s="49"/>
      <c r="V1226" s="127"/>
      <c r="W1226" s="127"/>
      <c r="X1226" s="127"/>
      <c r="AA1226" s="75"/>
    </row>
    <row r="1227" spans="9:27" x14ac:dyDescent="0.35">
      <c r="I1227" s="49"/>
      <c r="J1227" s="49"/>
      <c r="K1227" s="49"/>
      <c r="V1227" s="127"/>
      <c r="W1227" s="127"/>
      <c r="X1227" s="127"/>
      <c r="AA1227" s="75"/>
    </row>
    <row r="1228" spans="9:27" x14ac:dyDescent="0.35">
      <c r="I1228" s="49"/>
      <c r="J1228" s="49"/>
      <c r="K1228" s="49"/>
      <c r="V1228" s="127"/>
      <c r="W1228" s="127"/>
      <c r="X1228" s="127"/>
      <c r="AA1228" s="75"/>
    </row>
    <row r="1229" spans="9:27" x14ac:dyDescent="0.35">
      <c r="I1229" s="49"/>
      <c r="J1229" s="49"/>
      <c r="K1229" s="49"/>
      <c r="V1229" s="127"/>
      <c r="W1229" s="127"/>
      <c r="X1229" s="127"/>
      <c r="AA1229" s="75"/>
    </row>
    <row r="1230" spans="9:27" x14ac:dyDescent="0.35">
      <c r="I1230" s="49"/>
      <c r="J1230" s="49"/>
      <c r="K1230" s="49"/>
      <c r="V1230" s="127"/>
      <c r="W1230" s="127"/>
      <c r="X1230" s="127"/>
      <c r="AA1230" s="75"/>
    </row>
    <row r="1231" spans="9:27" x14ac:dyDescent="0.35">
      <c r="I1231" s="49"/>
      <c r="J1231" s="49"/>
      <c r="K1231" s="49"/>
      <c r="V1231" s="127"/>
      <c r="W1231" s="127"/>
      <c r="X1231" s="127"/>
      <c r="AA1231" s="75"/>
    </row>
    <row r="1232" spans="9:27" x14ac:dyDescent="0.35">
      <c r="I1232" s="49"/>
      <c r="J1232" s="49"/>
      <c r="K1232" s="49"/>
      <c r="V1232" s="127"/>
      <c r="W1232" s="127"/>
      <c r="X1232" s="127"/>
      <c r="AA1232" s="75"/>
    </row>
    <row r="1233" spans="9:27" x14ac:dyDescent="0.35">
      <c r="I1233" s="49"/>
      <c r="J1233" s="49"/>
      <c r="K1233" s="49"/>
      <c r="V1233" s="127"/>
      <c r="W1233" s="127"/>
      <c r="X1233" s="127"/>
      <c r="AA1233" s="75"/>
    </row>
    <row r="1234" spans="9:27" x14ac:dyDescent="0.35">
      <c r="I1234" s="49"/>
      <c r="J1234" s="49"/>
      <c r="K1234" s="49"/>
      <c r="V1234" s="127"/>
      <c r="W1234" s="127"/>
      <c r="X1234" s="127"/>
      <c r="AA1234" s="75"/>
    </row>
    <row r="1235" spans="9:27" x14ac:dyDescent="0.35">
      <c r="I1235" s="49"/>
      <c r="J1235" s="49"/>
      <c r="K1235" s="49"/>
      <c r="V1235" s="127"/>
      <c r="W1235" s="127"/>
      <c r="X1235" s="127"/>
      <c r="AA1235" s="75"/>
    </row>
    <row r="1236" spans="9:27" x14ac:dyDescent="0.35">
      <c r="I1236" s="49"/>
      <c r="J1236" s="49"/>
      <c r="K1236" s="49"/>
      <c r="V1236" s="127"/>
      <c r="W1236" s="127"/>
      <c r="X1236" s="127"/>
      <c r="AA1236" s="75"/>
    </row>
    <row r="1237" spans="9:27" x14ac:dyDescent="0.35">
      <c r="I1237" s="49"/>
      <c r="J1237" s="49"/>
      <c r="K1237" s="49"/>
      <c r="V1237" s="127"/>
      <c r="W1237" s="127"/>
      <c r="X1237" s="127"/>
      <c r="AA1237" s="75"/>
    </row>
    <row r="1238" spans="9:27" x14ac:dyDescent="0.35">
      <c r="I1238" s="49"/>
      <c r="J1238" s="49"/>
      <c r="K1238" s="49"/>
      <c r="V1238" s="127"/>
      <c r="W1238" s="127"/>
      <c r="X1238" s="127"/>
      <c r="AA1238" s="75"/>
    </row>
    <row r="1239" spans="9:27" x14ac:dyDescent="0.35">
      <c r="I1239" s="49"/>
      <c r="J1239" s="49"/>
      <c r="K1239" s="49"/>
      <c r="V1239" s="127"/>
      <c r="W1239" s="127"/>
      <c r="X1239" s="127"/>
      <c r="AA1239" s="75"/>
    </row>
    <row r="1240" spans="9:27" x14ac:dyDescent="0.35">
      <c r="I1240" s="49"/>
      <c r="J1240" s="49"/>
      <c r="K1240" s="49"/>
      <c r="V1240" s="127"/>
      <c r="W1240" s="127"/>
      <c r="X1240" s="127"/>
      <c r="AA1240" s="75"/>
    </row>
    <row r="1241" spans="9:27" x14ac:dyDescent="0.35">
      <c r="I1241" s="49"/>
      <c r="J1241" s="49"/>
      <c r="K1241" s="49"/>
      <c r="V1241" s="127"/>
      <c r="W1241" s="127"/>
      <c r="X1241" s="127"/>
      <c r="AA1241" s="75"/>
    </row>
    <row r="1242" spans="9:27" x14ac:dyDescent="0.35">
      <c r="I1242" s="49"/>
      <c r="J1242" s="49"/>
      <c r="K1242" s="49"/>
      <c r="V1242" s="127"/>
      <c r="W1242" s="127"/>
      <c r="X1242" s="127"/>
      <c r="AA1242" s="75"/>
    </row>
    <row r="1243" spans="9:27" x14ac:dyDescent="0.35">
      <c r="I1243" s="49"/>
      <c r="J1243" s="49"/>
      <c r="K1243" s="49"/>
      <c r="V1243" s="127"/>
      <c r="W1243" s="127"/>
      <c r="X1243" s="127"/>
      <c r="AA1243" s="75"/>
    </row>
    <row r="1244" spans="9:27" x14ac:dyDescent="0.35">
      <c r="I1244" s="49"/>
      <c r="J1244" s="49"/>
      <c r="K1244" s="49"/>
      <c r="V1244" s="127"/>
      <c r="W1244" s="127"/>
      <c r="X1244" s="127"/>
      <c r="AA1244" s="75"/>
    </row>
    <row r="1245" spans="9:27" x14ac:dyDescent="0.35">
      <c r="I1245" s="49"/>
      <c r="J1245" s="49"/>
      <c r="K1245" s="49"/>
      <c r="V1245" s="127"/>
      <c r="W1245" s="127"/>
      <c r="X1245" s="127"/>
      <c r="AA1245" s="75"/>
    </row>
    <row r="1246" spans="9:27" x14ac:dyDescent="0.35">
      <c r="I1246" s="49"/>
      <c r="J1246" s="49"/>
      <c r="K1246" s="49"/>
      <c r="V1246" s="127"/>
      <c r="W1246" s="127"/>
      <c r="X1246" s="127"/>
      <c r="AA1246" s="75"/>
    </row>
    <row r="1247" spans="9:27" x14ac:dyDescent="0.35">
      <c r="I1247" s="49"/>
      <c r="J1247" s="49"/>
      <c r="K1247" s="49"/>
      <c r="V1247" s="127"/>
      <c r="W1247" s="127"/>
      <c r="X1247" s="127"/>
      <c r="AA1247" s="75"/>
    </row>
    <row r="1248" spans="9:27" x14ac:dyDescent="0.35">
      <c r="I1248" s="49"/>
      <c r="J1248" s="49"/>
      <c r="K1248" s="49"/>
      <c r="V1248" s="127"/>
      <c r="W1248" s="127"/>
      <c r="X1248" s="127"/>
      <c r="AA1248" s="75"/>
    </row>
    <row r="1249" spans="9:27" x14ac:dyDescent="0.35">
      <c r="I1249" s="49"/>
      <c r="J1249" s="49"/>
      <c r="K1249" s="49"/>
      <c r="V1249" s="127"/>
      <c r="W1249" s="127"/>
      <c r="X1249" s="127"/>
      <c r="AA1249" s="75"/>
    </row>
    <row r="1250" spans="9:27" x14ac:dyDescent="0.35">
      <c r="I1250" s="49"/>
      <c r="J1250" s="49"/>
      <c r="K1250" s="49"/>
      <c r="V1250" s="127"/>
      <c r="W1250" s="127"/>
      <c r="X1250" s="127"/>
      <c r="AA1250" s="75"/>
    </row>
    <row r="1251" spans="9:27" x14ac:dyDescent="0.35">
      <c r="I1251" s="49"/>
      <c r="J1251" s="49"/>
      <c r="K1251" s="49"/>
      <c r="V1251" s="127"/>
      <c r="W1251" s="127"/>
      <c r="X1251" s="127"/>
      <c r="AA1251" s="75"/>
    </row>
    <row r="1252" spans="9:27" x14ac:dyDescent="0.35">
      <c r="I1252" s="49"/>
      <c r="J1252" s="49"/>
      <c r="K1252" s="49"/>
      <c r="V1252" s="127"/>
      <c r="W1252" s="127"/>
      <c r="X1252" s="127"/>
      <c r="AA1252" s="75"/>
    </row>
    <row r="1253" spans="9:27" x14ac:dyDescent="0.35">
      <c r="I1253" s="49"/>
      <c r="J1253" s="49"/>
      <c r="K1253" s="49"/>
      <c r="V1253" s="127"/>
      <c r="W1253" s="127"/>
      <c r="X1253" s="127"/>
      <c r="AA1253" s="75"/>
    </row>
    <row r="1254" spans="9:27" x14ac:dyDescent="0.35">
      <c r="I1254" s="49"/>
      <c r="J1254" s="49"/>
      <c r="K1254" s="49"/>
      <c r="V1254" s="127"/>
      <c r="W1254" s="127"/>
      <c r="X1254" s="127"/>
      <c r="AA1254" s="75"/>
    </row>
    <row r="1255" spans="9:27" x14ac:dyDescent="0.35">
      <c r="I1255" s="49"/>
      <c r="J1255" s="49"/>
      <c r="K1255" s="49"/>
      <c r="V1255" s="127"/>
      <c r="W1255" s="127"/>
      <c r="X1255" s="127"/>
      <c r="AA1255" s="75"/>
    </row>
    <row r="1256" spans="9:27" x14ac:dyDescent="0.35">
      <c r="I1256" s="49"/>
      <c r="J1256" s="49"/>
      <c r="K1256" s="49"/>
      <c r="V1256" s="127"/>
      <c r="W1256" s="127"/>
      <c r="X1256" s="127"/>
      <c r="AA1256" s="75"/>
    </row>
    <row r="1257" spans="9:27" x14ac:dyDescent="0.35">
      <c r="I1257" s="49"/>
      <c r="J1257" s="49"/>
      <c r="K1257" s="49"/>
      <c r="V1257" s="127"/>
      <c r="W1257" s="127"/>
      <c r="X1257" s="127"/>
      <c r="AA1257" s="75"/>
    </row>
    <row r="1258" spans="9:27" x14ac:dyDescent="0.35">
      <c r="I1258" s="49"/>
      <c r="J1258" s="49"/>
      <c r="K1258" s="49"/>
      <c r="V1258" s="127"/>
      <c r="W1258" s="127"/>
      <c r="X1258" s="127"/>
      <c r="AA1258" s="75"/>
    </row>
    <row r="1259" spans="9:27" x14ac:dyDescent="0.35">
      <c r="I1259" s="49"/>
      <c r="J1259" s="49"/>
      <c r="K1259" s="49"/>
      <c r="V1259" s="127"/>
      <c r="W1259" s="127"/>
      <c r="X1259" s="127"/>
      <c r="AA1259" s="75"/>
    </row>
    <row r="1260" spans="9:27" x14ac:dyDescent="0.35">
      <c r="I1260" s="49"/>
      <c r="J1260" s="49"/>
      <c r="K1260" s="49"/>
      <c r="V1260" s="127"/>
      <c r="W1260" s="127"/>
      <c r="X1260" s="127"/>
      <c r="AA1260" s="75"/>
    </row>
    <row r="1261" spans="9:27" x14ac:dyDescent="0.35">
      <c r="I1261" s="49"/>
      <c r="J1261" s="49"/>
      <c r="K1261" s="49"/>
      <c r="V1261" s="127"/>
      <c r="W1261" s="127"/>
      <c r="X1261" s="127"/>
      <c r="AA1261" s="75"/>
    </row>
    <row r="1262" spans="9:27" x14ac:dyDescent="0.35">
      <c r="I1262" s="49"/>
      <c r="J1262" s="49"/>
      <c r="K1262" s="49"/>
      <c r="V1262" s="127"/>
      <c r="W1262" s="127"/>
      <c r="X1262" s="127"/>
      <c r="AA1262" s="75"/>
    </row>
    <row r="1263" spans="9:27" x14ac:dyDescent="0.35">
      <c r="I1263" s="49"/>
      <c r="J1263" s="49"/>
      <c r="K1263" s="49"/>
      <c r="V1263" s="127"/>
      <c r="W1263" s="127"/>
      <c r="X1263" s="127"/>
      <c r="AA1263" s="75"/>
    </row>
    <row r="1264" spans="9:27" x14ac:dyDescent="0.35">
      <c r="I1264" s="49"/>
      <c r="J1264" s="49"/>
      <c r="K1264" s="49"/>
      <c r="V1264" s="127"/>
      <c r="W1264" s="127"/>
      <c r="X1264" s="127"/>
      <c r="AA1264" s="75"/>
    </row>
    <row r="1265" spans="9:27" x14ac:dyDescent="0.35">
      <c r="I1265" s="49"/>
      <c r="J1265" s="49"/>
      <c r="K1265" s="49"/>
      <c r="V1265" s="127"/>
      <c r="W1265" s="127"/>
      <c r="X1265" s="127"/>
      <c r="AA1265" s="75"/>
    </row>
    <row r="1266" spans="9:27" x14ac:dyDescent="0.35">
      <c r="I1266" s="49"/>
      <c r="J1266" s="49"/>
      <c r="K1266" s="49"/>
      <c r="V1266" s="127"/>
      <c r="W1266" s="127"/>
      <c r="X1266" s="127"/>
      <c r="AA1266" s="75"/>
    </row>
    <row r="1267" spans="9:27" x14ac:dyDescent="0.35">
      <c r="I1267" s="49"/>
      <c r="J1267" s="49"/>
      <c r="K1267" s="49"/>
      <c r="V1267" s="127"/>
      <c r="W1267" s="127"/>
      <c r="X1267" s="127"/>
      <c r="AA1267" s="75"/>
    </row>
    <row r="1268" spans="9:27" x14ac:dyDescent="0.35">
      <c r="I1268" s="49"/>
      <c r="J1268" s="49"/>
      <c r="K1268" s="49"/>
      <c r="V1268" s="127"/>
      <c r="W1268" s="127"/>
      <c r="X1268" s="127"/>
      <c r="AA1268" s="75"/>
    </row>
    <row r="1269" spans="9:27" x14ac:dyDescent="0.35">
      <c r="I1269" s="49"/>
      <c r="J1269" s="49"/>
      <c r="K1269" s="49"/>
      <c r="V1269" s="127"/>
      <c r="W1269" s="127"/>
      <c r="X1269" s="127"/>
      <c r="AA1269" s="75"/>
    </row>
    <row r="1270" spans="9:27" x14ac:dyDescent="0.35">
      <c r="I1270" s="49"/>
      <c r="J1270" s="49"/>
      <c r="K1270" s="49"/>
      <c r="V1270" s="127"/>
      <c r="W1270" s="127"/>
      <c r="X1270" s="127"/>
      <c r="AA1270" s="75"/>
    </row>
    <row r="1271" spans="9:27" x14ac:dyDescent="0.35">
      <c r="I1271" s="49"/>
      <c r="J1271" s="49"/>
      <c r="K1271" s="49"/>
      <c r="V1271" s="127"/>
      <c r="W1271" s="127"/>
      <c r="X1271" s="127"/>
      <c r="AA1271" s="75"/>
    </row>
    <row r="1272" spans="9:27" x14ac:dyDescent="0.35">
      <c r="I1272" s="49"/>
      <c r="J1272" s="49"/>
      <c r="K1272" s="49"/>
      <c r="V1272" s="127"/>
      <c r="W1272" s="127"/>
      <c r="X1272" s="127"/>
      <c r="AA1272" s="75"/>
    </row>
    <row r="1273" spans="9:27" x14ac:dyDescent="0.35">
      <c r="I1273" s="49"/>
      <c r="J1273" s="49"/>
      <c r="K1273" s="49"/>
      <c r="V1273" s="127"/>
      <c r="W1273" s="127"/>
      <c r="X1273" s="127"/>
      <c r="AA1273" s="75"/>
    </row>
    <row r="1274" spans="9:27" x14ac:dyDescent="0.35">
      <c r="I1274" s="49"/>
      <c r="J1274" s="49"/>
      <c r="K1274" s="49"/>
      <c r="V1274" s="127"/>
      <c r="W1274" s="127"/>
      <c r="X1274" s="127"/>
      <c r="AA1274" s="75"/>
    </row>
    <row r="1275" spans="9:27" x14ac:dyDescent="0.35">
      <c r="I1275" s="49"/>
      <c r="J1275" s="49"/>
      <c r="K1275" s="49"/>
      <c r="V1275" s="127"/>
      <c r="W1275" s="127"/>
      <c r="X1275" s="127"/>
      <c r="AA1275" s="75"/>
    </row>
    <row r="1276" spans="9:27" x14ac:dyDescent="0.35">
      <c r="I1276" s="49"/>
      <c r="J1276" s="49"/>
      <c r="K1276" s="49"/>
      <c r="V1276" s="127"/>
      <c r="W1276" s="127"/>
      <c r="X1276" s="127"/>
      <c r="AA1276" s="75"/>
    </row>
    <row r="1277" spans="9:27" x14ac:dyDescent="0.35">
      <c r="I1277" s="49"/>
      <c r="J1277" s="49"/>
      <c r="K1277" s="49"/>
      <c r="V1277" s="127"/>
      <c r="W1277" s="127"/>
      <c r="X1277" s="127"/>
      <c r="AA1277" s="75"/>
    </row>
    <row r="1278" spans="9:27" x14ac:dyDescent="0.35">
      <c r="I1278" s="49"/>
      <c r="J1278" s="49"/>
      <c r="K1278" s="49"/>
      <c r="V1278" s="127"/>
      <c r="W1278" s="127"/>
      <c r="X1278" s="127"/>
      <c r="AA1278" s="75"/>
    </row>
    <row r="1279" spans="9:27" x14ac:dyDescent="0.35">
      <c r="I1279" s="49"/>
      <c r="J1279" s="49"/>
      <c r="K1279" s="49"/>
      <c r="V1279" s="127"/>
      <c r="W1279" s="127"/>
      <c r="X1279" s="127"/>
      <c r="AA1279" s="75"/>
    </row>
    <row r="1280" spans="9:27" x14ac:dyDescent="0.35">
      <c r="I1280" s="49"/>
      <c r="J1280" s="49"/>
      <c r="K1280" s="49"/>
      <c r="V1280" s="127"/>
      <c r="W1280" s="127"/>
      <c r="X1280" s="127"/>
      <c r="AA1280" s="75"/>
    </row>
    <row r="1281" spans="9:27" x14ac:dyDescent="0.35">
      <c r="I1281" s="49"/>
      <c r="J1281" s="49"/>
      <c r="K1281" s="49"/>
      <c r="V1281" s="127"/>
      <c r="W1281" s="127"/>
      <c r="X1281" s="127"/>
      <c r="AA1281" s="75"/>
    </row>
    <row r="1282" spans="9:27" x14ac:dyDescent="0.35">
      <c r="I1282" s="49"/>
      <c r="J1282" s="49"/>
      <c r="K1282" s="49"/>
      <c r="V1282" s="127"/>
      <c r="W1282" s="127"/>
      <c r="X1282" s="127"/>
      <c r="AA1282" s="75"/>
    </row>
    <row r="1283" spans="9:27" x14ac:dyDescent="0.35">
      <c r="I1283" s="49"/>
      <c r="J1283" s="49"/>
      <c r="K1283" s="49"/>
      <c r="V1283" s="127"/>
      <c r="W1283" s="127"/>
      <c r="X1283" s="127"/>
      <c r="AA1283" s="75"/>
    </row>
    <row r="1284" spans="9:27" x14ac:dyDescent="0.35">
      <c r="I1284" s="49"/>
      <c r="J1284" s="49"/>
      <c r="K1284" s="49"/>
      <c r="V1284" s="127"/>
      <c r="W1284" s="127"/>
      <c r="X1284" s="127"/>
      <c r="AA1284" s="75"/>
    </row>
    <row r="1285" spans="9:27" x14ac:dyDescent="0.35">
      <c r="I1285" s="49"/>
      <c r="J1285" s="49"/>
      <c r="K1285" s="49"/>
      <c r="V1285" s="127"/>
      <c r="W1285" s="127"/>
      <c r="X1285" s="127"/>
      <c r="AA1285" s="75"/>
    </row>
    <row r="1286" spans="9:27" x14ac:dyDescent="0.35">
      <c r="I1286" s="49"/>
      <c r="J1286" s="49"/>
      <c r="K1286" s="49"/>
      <c r="V1286" s="127"/>
      <c r="W1286" s="127"/>
      <c r="X1286" s="127"/>
      <c r="AA1286" s="75"/>
    </row>
    <row r="1287" spans="9:27" x14ac:dyDescent="0.35">
      <c r="I1287" s="49"/>
      <c r="J1287" s="49"/>
      <c r="K1287" s="49"/>
      <c r="V1287" s="127"/>
      <c r="W1287" s="127"/>
      <c r="X1287" s="127"/>
      <c r="AA1287" s="75"/>
    </row>
    <row r="1288" spans="9:27" x14ac:dyDescent="0.35">
      <c r="I1288" s="49"/>
      <c r="J1288" s="49"/>
      <c r="K1288" s="49"/>
      <c r="V1288" s="127"/>
      <c r="W1288" s="127"/>
      <c r="X1288" s="127"/>
      <c r="AA1288" s="75"/>
    </row>
    <row r="1289" spans="9:27" x14ac:dyDescent="0.35">
      <c r="I1289" s="49"/>
      <c r="J1289" s="49"/>
      <c r="K1289" s="49"/>
      <c r="V1289" s="127"/>
      <c r="W1289" s="127"/>
      <c r="X1289" s="127"/>
      <c r="AA1289" s="75"/>
    </row>
    <row r="1290" spans="9:27" x14ac:dyDescent="0.35">
      <c r="I1290" s="49"/>
      <c r="J1290" s="49"/>
      <c r="K1290" s="49"/>
      <c r="V1290" s="127"/>
      <c r="W1290" s="127"/>
      <c r="X1290" s="127"/>
      <c r="AA1290" s="75"/>
    </row>
    <row r="1291" spans="9:27" x14ac:dyDescent="0.35">
      <c r="I1291" s="49"/>
      <c r="J1291" s="49"/>
      <c r="K1291" s="49"/>
      <c r="V1291" s="127"/>
      <c r="W1291" s="127"/>
      <c r="X1291" s="127"/>
      <c r="AA1291" s="75"/>
    </row>
    <row r="1292" spans="9:27" x14ac:dyDescent="0.35">
      <c r="I1292" s="49"/>
      <c r="J1292" s="49"/>
      <c r="K1292" s="49"/>
      <c r="V1292" s="127"/>
      <c r="W1292" s="127"/>
      <c r="X1292" s="127"/>
      <c r="AA1292" s="75"/>
    </row>
    <row r="1293" spans="9:27" x14ac:dyDescent="0.35">
      <c r="I1293" s="49"/>
      <c r="J1293" s="49"/>
      <c r="K1293" s="49"/>
      <c r="V1293" s="127"/>
      <c r="W1293" s="127"/>
      <c r="X1293" s="127"/>
      <c r="AA1293" s="75"/>
    </row>
    <row r="1294" spans="9:27" x14ac:dyDescent="0.35">
      <c r="I1294" s="49"/>
      <c r="J1294" s="49"/>
      <c r="K1294" s="49"/>
      <c r="V1294" s="127"/>
      <c r="W1294" s="127"/>
      <c r="X1294" s="127"/>
      <c r="AA1294" s="75"/>
    </row>
    <row r="1295" spans="9:27" x14ac:dyDescent="0.35">
      <c r="I1295" s="49"/>
      <c r="J1295" s="49"/>
      <c r="K1295" s="49"/>
      <c r="V1295" s="127"/>
      <c r="W1295" s="127"/>
      <c r="X1295" s="127"/>
      <c r="AA1295" s="75"/>
    </row>
    <row r="1296" spans="9:27" x14ac:dyDescent="0.35">
      <c r="I1296" s="49"/>
      <c r="J1296" s="49"/>
      <c r="K1296" s="49"/>
      <c r="V1296" s="127"/>
      <c r="W1296" s="127"/>
      <c r="X1296" s="127"/>
      <c r="AA1296" s="75"/>
    </row>
    <row r="1297" spans="9:27" x14ac:dyDescent="0.35">
      <c r="I1297" s="49"/>
      <c r="J1297" s="49"/>
      <c r="K1297" s="49"/>
      <c r="V1297" s="127"/>
      <c r="W1297" s="127"/>
      <c r="X1297" s="127"/>
      <c r="AA1297" s="75"/>
    </row>
    <row r="1298" spans="9:27" x14ac:dyDescent="0.35">
      <c r="I1298" s="49"/>
      <c r="J1298" s="49"/>
      <c r="K1298" s="49"/>
      <c r="V1298" s="127"/>
      <c r="W1298" s="127"/>
      <c r="X1298" s="127"/>
      <c r="AA1298" s="75"/>
    </row>
    <row r="1299" spans="9:27" x14ac:dyDescent="0.35">
      <c r="I1299" s="49"/>
      <c r="J1299" s="49"/>
      <c r="K1299" s="49"/>
      <c r="V1299" s="127"/>
      <c r="W1299" s="127"/>
      <c r="X1299" s="127"/>
      <c r="AA1299" s="75"/>
    </row>
    <row r="1300" spans="9:27" x14ac:dyDescent="0.35">
      <c r="I1300" s="49"/>
      <c r="J1300" s="49"/>
      <c r="K1300" s="49"/>
      <c r="V1300" s="127"/>
      <c r="W1300" s="127"/>
      <c r="X1300" s="127"/>
      <c r="AA1300" s="75"/>
    </row>
    <row r="1301" spans="9:27" x14ac:dyDescent="0.35">
      <c r="I1301" s="49"/>
      <c r="J1301" s="49"/>
      <c r="K1301" s="49"/>
      <c r="V1301" s="127"/>
      <c r="W1301" s="127"/>
      <c r="X1301" s="127"/>
      <c r="AA1301" s="75"/>
    </row>
    <row r="1302" spans="9:27" x14ac:dyDescent="0.35">
      <c r="I1302" s="49"/>
      <c r="J1302" s="49"/>
      <c r="K1302" s="49"/>
      <c r="V1302" s="127"/>
      <c r="W1302" s="127"/>
      <c r="X1302" s="127"/>
      <c r="AA1302" s="75"/>
    </row>
    <row r="1303" spans="9:27" x14ac:dyDescent="0.35">
      <c r="I1303" s="49"/>
      <c r="J1303" s="49"/>
      <c r="K1303" s="49"/>
      <c r="V1303" s="127"/>
      <c r="W1303" s="127"/>
      <c r="X1303" s="127"/>
      <c r="AA1303" s="75"/>
    </row>
    <row r="1304" spans="9:27" x14ac:dyDescent="0.35">
      <c r="I1304" s="49"/>
      <c r="J1304" s="49"/>
      <c r="K1304" s="49"/>
      <c r="V1304" s="127"/>
      <c r="W1304" s="127"/>
      <c r="X1304" s="127"/>
      <c r="AA1304" s="75"/>
    </row>
    <row r="1305" spans="9:27" x14ac:dyDescent="0.35">
      <c r="I1305" s="49"/>
      <c r="J1305" s="49"/>
      <c r="K1305" s="49"/>
      <c r="V1305" s="127"/>
      <c r="W1305" s="127"/>
      <c r="X1305" s="127"/>
      <c r="AA1305" s="75"/>
    </row>
    <row r="1306" spans="9:27" x14ac:dyDescent="0.35">
      <c r="I1306" s="49"/>
      <c r="J1306" s="49"/>
      <c r="K1306" s="49"/>
      <c r="V1306" s="127"/>
      <c r="W1306" s="127"/>
      <c r="X1306" s="127"/>
      <c r="AA1306" s="75"/>
    </row>
    <row r="1307" spans="9:27" x14ac:dyDescent="0.35">
      <c r="I1307" s="49"/>
      <c r="J1307" s="49"/>
      <c r="K1307" s="49"/>
      <c r="V1307" s="127"/>
      <c r="W1307" s="127"/>
      <c r="X1307" s="127"/>
      <c r="AA1307" s="75"/>
    </row>
    <row r="1308" spans="9:27" x14ac:dyDescent="0.35">
      <c r="I1308" s="49"/>
      <c r="J1308" s="49"/>
      <c r="K1308" s="49"/>
      <c r="V1308" s="127"/>
      <c r="W1308" s="127"/>
      <c r="X1308" s="127"/>
      <c r="AA1308" s="75"/>
    </row>
    <row r="1309" spans="9:27" x14ac:dyDescent="0.35">
      <c r="I1309" s="49"/>
      <c r="J1309" s="49"/>
      <c r="K1309" s="49"/>
      <c r="V1309" s="127"/>
      <c r="W1309" s="127"/>
      <c r="X1309" s="127"/>
      <c r="AA1309" s="75"/>
    </row>
    <row r="1310" spans="9:27" x14ac:dyDescent="0.35">
      <c r="I1310" s="49"/>
      <c r="J1310" s="49"/>
      <c r="K1310" s="49"/>
      <c r="V1310" s="127"/>
      <c r="W1310" s="127"/>
      <c r="X1310" s="127"/>
      <c r="AA1310" s="75"/>
    </row>
    <row r="1311" spans="9:27" x14ac:dyDescent="0.35">
      <c r="I1311" s="49"/>
      <c r="J1311" s="49"/>
      <c r="K1311" s="49"/>
      <c r="V1311" s="127"/>
      <c r="W1311" s="127"/>
      <c r="X1311" s="127"/>
      <c r="AA1311" s="75"/>
    </row>
    <row r="1312" spans="9:27" x14ac:dyDescent="0.35">
      <c r="I1312" s="49"/>
      <c r="J1312" s="49"/>
      <c r="K1312" s="49"/>
      <c r="V1312" s="127"/>
      <c r="W1312" s="127"/>
      <c r="X1312" s="127"/>
      <c r="AA1312" s="75"/>
    </row>
    <row r="1313" spans="9:27" x14ac:dyDescent="0.35">
      <c r="I1313" s="49"/>
      <c r="J1313" s="49"/>
      <c r="K1313" s="49"/>
      <c r="V1313" s="127"/>
      <c r="W1313" s="127"/>
      <c r="X1313" s="127"/>
      <c r="AA1313" s="75"/>
    </row>
    <row r="1314" spans="9:27" x14ac:dyDescent="0.35">
      <c r="I1314" s="49"/>
      <c r="J1314" s="49"/>
      <c r="K1314" s="49"/>
      <c r="V1314" s="127"/>
      <c r="W1314" s="127"/>
      <c r="X1314" s="127"/>
      <c r="AA1314" s="75"/>
    </row>
    <row r="1315" spans="9:27" x14ac:dyDescent="0.35">
      <c r="I1315" s="49"/>
      <c r="J1315" s="49"/>
      <c r="K1315" s="49"/>
      <c r="V1315" s="127"/>
      <c r="W1315" s="127"/>
      <c r="X1315" s="127"/>
      <c r="AA1315" s="75"/>
    </row>
    <row r="1316" spans="9:27" x14ac:dyDescent="0.35">
      <c r="I1316" s="49"/>
      <c r="J1316" s="49"/>
      <c r="K1316" s="49"/>
      <c r="V1316" s="127"/>
      <c r="W1316" s="127"/>
      <c r="X1316" s="127"/>
      <c r="AA1316" s="75"/>
    </row>
    <row r="1317" spans="9:27" x14ac:dyDescent="0.35">
      <c r="I1317" s="49"/>
      <c r="J1317" s="49"/>
      <c r="K1317" s="49"/>
      <c r="V1317" s="127"/>
      <c r="W1317" s="127"/>
      <c r="X1317" s="127"/>
      <c r="AA1317" s="75"/>
    </row>
    <row r="1318" spans="9:27" x14ac:dyDescent="0.35">
      <c r="I1318" s="49"/>
      <c r="J1318" s="49"/>
      <c r="K1318" s="49"/>
      <c r="V1318" s="127"/>
      <c r="W1318" s="127"/>
      <c r="X1318" s="127"/>
      <c r="AA1318" s="75"/>
    </row>
    <row r="1319" spans="9:27" x14ac:dyDescent="0.35">
      <c r="I1319" s="49"/>
      <c r="J1319" s="49"/>
      <c r="K1319" s="49"/>
      <c r="V1319" s="127"/>
      <c r="W1319" s="127"/>
      <c r="X1319" s="127"/>
      <c r="AA1319" s="75"/>
    </row>
    <row r="1320" spans="9:27" x14ac:dyDescent="0.35">
      <c r="I1320" s="49"/>
      <c r="J1320" s="49"/>
      <c r="K1320" s="49"/>
      <c r="V1320" s="127"/>
      <c r="W1320" s="127"/>
      <c r="X1320" s="127"/>
      <c r="AA1320" s="75"/>
    </row>
    <row r="1321" spans="9:27" x14ac:dyDescent="0.35">
      <c r="I1321" s="49"/>
      <c r="J1321" s="49"/>
      <c r="K1321" s="49"/>
      <c r="V1321" s="127"/>
      <c r="W1321" s="127"/>
      <c r="X1321" s="127"/>
      <c r="AA1321" s="75"/>
    </row>
    <row r="1322" spans="9:27" x14ac:dyDescent="0.35">
      <c r="I1322" s="49"/>
      <c r="J1322" s="49"/>
      <c r="K1322" s="49"/>
      <c r="V1322" s="127"/>
      <c r="W1322" s="127"/>
      <c r="X1322" s="127"/>
      <c r="AA1322" s="75"/>
    </row>
    <row r="1323" spans="9:27" x14ac:dyDescent="0.35">
      <c r="I1323" s="49"/>
      <c r="J1323" s="49"/>
      <c r="K1323" s="49"/>
      <c r="V1323" s="127"/>
      <c r="W1323" s="127"/>
      <c r="X1323" s="127"/>
      <c r="AA1323" s="75"/>
    </row>
    <row r="1324" spans="9:27" x14ac:dyDescent="0.35">
      <c r="I1324" s="49"/>
      <c r="J1324" s="49"/>
      <c r="K1324" s="49"/>
      <c r="V1324" s="127"/>
      <c r="W1324" s="127"/>
      <c r="X1324" s="127"/>
      <c r="AA1324" s="75"/>
    </row>
    <row r="1325" spans="9:27" x14ac:dyDescent="0.35">
      <c r="I1325" s="49"/>
      <c r="J1325" s="49"/>
      <c r="K1325" s="49"/>
      <c r="V1325" s="127"/>
      <c r="W1325" s="127"/>
      <c r="X1325" s="127"/>
      <c r="AA1325" s="75"/>
    </row>
    <row r="1326" spans="9:27" x14ac:dyDescent="0.35">
      <c r="I1326" s="49"/>
      <c r="J1326" s="49"/>
      <c r="K1326" s="49"/>
      <c r="V1326" s="127"/>
      <c r="W1326" s="127"/>
      <c r="X1326" s="127"/>
      <c r="AA1326" s="75"/>
    </row>
    <row r="1327" spans="9:27" x14ac:dyDescent="0.35">
      <c r="I1327" s="49"/>
      <c r="J1327" s="49"/>
      <c r="K1327" s="49"/>
      <c r="V1327" s="127"/>
      <c r="W1327" s="127"/>
      <c r="X1327" s="127"/>
      <c r="AA1327" s="75"/>
    </row>
    <row r="1328" spans="9:27" x14ac:dyDescent="0.35">
      <c r="I1328" s="49"/>
      <c r="J1328" s="49"/>
      <c r="K1328" s="49"/>
      <c r="V1328" s="127"/>
      <c r="W1328" s="127"/>
      <c r="X1328" s="127"/>
      <c r="AA1328" s="75"/>
    </row>
    <row r="1329" spans="9:27" x14ac:dyDescent="0.35">
      <c r="I1329" s="49"/>
      <c r="J1329" s="49"/>
      <c r="K1329" s="49"/>
      <c r="V1329" s="127"/>
      <c r="W1329" s="127"/>
      <c r="X1329" s="127"/>
      <c r="AA1329" s="75"/>
    </row>
    <row r="1330" spans="9:27" x14ac:dyDescent="0.35">
      <c r="I1330" s="49"/>
      <c r="J1330" s="49"/>
      <c r="K1330" s="49"/>
      <c r="V1330" s="127"/>
      <c r="W1330" s="127"/>
      <c r="X1330" s="127"/>
      <c r="AA1330" s="75"/>
    </row>
    <row r="1331" spans="9:27" x14ac:dyDescent="0.35">
      <c r="I1331" s="49"/>
      <c r="J1331" s="49"/>
      <c r="K1331" s="49"/>
      <c r="V1331" s="127"/>
      <c r="W1331" s="127"/>
      <c r="X1331" s="127"/>
      <c r="AA1331" s="75"/>
    </row>
    <row r="1332" spans="9:27" x14ac:dyDescent="0.35">
      <c r="I1332" s="49"/>
      <c r="J1332" s="49"/>
      <c r="K1332" s="49"/>
      <c r="V1332" s="127"/>
      <c r="W1332" s="127"/>
      <c r="X1332" s="127"/>
      <c r="AA1332" s="75"/>
    </row>
    <row r="1333" spans="9:27" x14ac:dyDescent="0.35">
      <c r="I1333" s="49"/>
      <c r="J1333" s="49"/>
      <c r="K1333" s="49"/>
      <c r="V1333" s="127"/>
      <c r="W1333" s="127"/>
      <c r="X1333" s="127"/>
      <c r="AA1333" s="75"/>
    </row>
    <row r="1334" spans="9:27" x14ac:dyDescent="0.35">
      <c r="I1334" s="49"/>
      <c r="J1334" s="49"/>
      <c r="K1334" s="49"/>
      <c r="V1334" s="127"/>
      <c r="W1334" s="127"/>
      <c r="X1334" s="127"/>
      <c r="AA1334" s="75"/>
    </row>
    <row r="1335" spans="9:27" x14ac:dyDescent="0.35">
      <c r="I1335" s="49"/>
      <c r="J1335" s="49"/>
      <c r="K1335" s="49"/>
      <c r="V1335" s="127"/>
      <c r="W1335" s="127"/>
      <c r="X1335" s="127"/>
      <c r="AA1335" s="75"/>
    </row>
    <row r="1336" spans="9:27" x14ac:dyDescent="0.35">
      <c r="I1336" s="49"/>
      <c r="J1336" s="49"/>
      <c r="K1336" s="49"/>
      <c r="V1336" s="127"/>
      <c r="W1336" s="127"/>
      <c r="X1336" s="127"/>
      <c r="AA1336" s="75"/>
    </row>
    <row r="1337" spans="9:27" x14ac:dyDescent="0.35">
      <c r="I1337" s="49"/>
      <c r="J1337" s="49"/>
      <c r="K1337" s="49"/>
      <c r="V1337" s="127"/>
      <c r="W1337" s="127"/>
      <c r="X1337" s="127"/>
      <c r="AA1337" s="75"/>
    </row>
    <row r="1338" spans="9:27" x14ac:dyDescent="0.35">
      <c r="I1338" s="49"/>
      <c r="J1338" s="49"/>
      <c r="K1338" s="49"/>
      <c r="V1338" s="127"/>
      <c r="W1338" s="127"/>
      <c r="X1338" s="127"/>
      <c r="AA1338" s="75"/>
    </row>
    <row r="1339" spans="9:27" x14ac:dyDescent="0.35">
      <c r="I1339" s="49"/>
      <c r="J1339" s="49"/>
      <c r="K1339" s="49"/>
      <c r="V1339" s="127"/>
      <c r="W1339" s="127"/>
      <c r="X1339" s="127"/>
      <c r="AA1339" s="75"/>
    </row>
    <row r="1340" spans="9:27" x14ac:dyDescent="0.35">
      <c r="I1340" s="49"/>
      <c r="J1340" s="49"/>
      <c r="K1340" s="49"/>
      <c r="V1340" s="127"/>
      <c r="W1340" s="127"/>
      <c r="X1340" s="127"/>
      <c r="AA1340" s="75"/>
    </row>
    <row r="1341" spans="9:27" x14ac:dyDescent="0.35">
      <c r="I1341" s="49"/>
      <c r="J1341" s="49"/>
      <c r="K1341" s="49"/>
      <c r="V1341" s="127"/>
      <c r="W1341" s="127"/>
      <c r="X1341" s="127"/>
      <c r="AA1341" s="75"/>
    </row>
    <row r="1342" spans="9:27" x14ac:dyDescent="0.35">
      <c r="I1342" s="49"/>
      <c r="J1342" s="49"/>
      <c r="K1342" s="49"/>
      <c r="V1342" s="127"/>
      <c r="W1342" s="127"/>
      <c r="X1342" s="127"/>
      <c r="AA1342" s="75"/>
    </row>
    <row r="1343" spans="9:27" x14ac:dyDescent="0.35">
      <c r="I1343" s="49"/>
      <c r="J1343" s="49"/>
      <c r="K1343" s="49"/>
      <c r="V1343" s="127"/>
      <c r="W1343" s="127"/>
      <c r="X1343" s="127"/>
      <c r="AA1343" s="75"/>
    </row>
    <row r="1344" spans="9:27" x14ac:dyDescent="0.35">
      <c r="I1344" s="49"/>
      <c r="J1344" s="49"/>
      <c r="K1344" s="49"/>
      <c r="V1344" s="127"/>
      <c r="W1344" s="127"/>
      <c r="X1344" s="127"/>
      <c r="AA1344" s="75"/>
    </row>
    <row r="1345" spans="9:27" x14ac:dyDescent="0.35">
      <c r="I1345" s="49"/>
      <c r="J1345" s="49"/>
      <c r="K1345" s="49"/>
      <c r="V1345" s="127"/>
      <c r="W1345" s="127"/>
      <c r="X1345" s="127"/>
      <c r="AA1345" s="75"/>
    </row>
    <row r="1346" spans="9:27" x14ac:dyDescent="0.35">
      <c r="I1346" s="49"/>
      <c r="J1346" s="49"/>
      <c r="K1346" s="49"/>
      <c r="V1346" s="127"/>
      <c r="W1346" s="127"/>
      <c r="X1346" s="127"/>
      <c r="AA1346" s="75"/>
    </row>
    <row r="1347" spans="9:27" x14ac:dyDescent="0.35">
      <c r="I1347" s="49"/>
      <c r="J1347" s="49"/>
      <c r="K1347" s="49"/>
      <c r="V1347" s="127"/>
      <c r="W1347" s="127"/>
      <c r="X1347" s="127"/>
      <c r="AA1347" s="75"/>
    </row>
    <row r="1348" spans="9:27" x14ac:dyDescent="0.35">
      <c r="I1348" s="49"/>
      <c r="J1348" s="49"/>
      <c r="K1348" s="49"/>
      <c r="V1348" s="127"/>
      <c r="W1348" s="127"/>
      <c r="X1348" s="127"/>
      <c r="AA1348" s="75"/>
    </row>
    <row r="1349" spans="9:27" x14ac:dyDescent="0.35">
      <c r="I1349" s="49"/>
      <c r="J1349" s="49"/>
      <c r="K1349" s="49"/>
      <c r="V1349" s="127"/>
      <c r="W1349" s="127"/>
      <c r="X1349" s="127"/>
      <c r="AA1349" s="75"/>
    </row>
    <row r="1350" spans="9:27" x14ac:dyDescent="0.35">
      <c r="I1350" s="49"/>
      <c r="J1350" s="49"/>
      <c r="K1350" s="49"/>
      <c r="V1350" s="127"/>
      <c r="W1350" s="127"/>
      <c r="X1350" s="127"/>
      <c r="AA1350" s="75"/>
    </row>
    <row r="1351" spans="9:27" x14ac:dyDescent="0.35">
      <c r="I1351" s="49"/>
      <c r="J1351" s="49"/>
      <c r="K1351" s="49"/>
      <c r="V1351" s="127"/>
      <c r="W1351" s="127"/>
      <c r="X1351" s="127"/>
      <c r="AA1351" s="75"/>
    </row>
    <row r="1352" spans="9:27" x14ac:dyDescent="0.35">
      <c r="I1352" s="49"/>
      <c r="J1352" s="49"/>
      <c r="K1352" s="49"/>
      <c r="V1352" s="127"/>
      <c r="W1352" s="127"/>
      <c r="X1352" s="127"/>
      <c r="AA1352" s="75"/>
    </row>
    <row r="1353" spans="9:27" x14ac:dyDescent="0.35">
      <c r="I1353" s="49"/>
      <c r="J1353" s="49"/>
      <c r="K1353" s="49"/>
      <c r="V1353" s="127"/>
      <c r="W1353" s="127"/>
      <c r="X1353" s="127"/>
      <c r="AA1353" s="75"/>
    </row>
    <row r="1354" spans="9:27" x14ac:dyDescent="0.35">
      <c r="I1354" s="49"/>
      <c r="J1354" s="49"/>
      <c r="K1354" s="49"/>
      <c r="V1354" s="127"/>
      <c r="W1354" s="127"/>
      <c r="X1354" s="127"/>
      <c r="AA1354" s="75"/>
    </row>
    <row r="1355" spans="9:27" x14ac:dyDescent="0.35">
      <c r="I1355" s="49"/>
      <c r="J1355" s="49"/>
      <c r="K1355" s="49"/>
      <c r="V1355" s="127"/>
      <c r="W1355" s="127"/>
      <c r="X1355" s="127"/>
      <c r="AA1355" s="75"/>
    </row>
    <row r="1356" spans="9:27" x14ac:dyDescent="0.35">
      <c r="I1356" s="49"/>
      <c r="J1356" s="49"/>
      <c r="K1356" s="49"/>
      <c r="V1356" s="127"/>
      <c r="W1356" s="127"/>
      <c r="X1356" s="127"/>
      <c r="AA1356" s="75"/>
    </row>
    <row r="1357" spans="9:27" x14ac:dyDescent="0.35">
      <c r="I1357" s="49"/>
      <c r="J1357" s="49"/>
      <c r="K1357" s="49"/>
      <c r="V1357" s="127"/>
      <c r="W1357" s="127"/>
      <c r="X1357" s="127"/>
      <c r="AA1357" s="75"/>
    </row>
    <row r="1358" spans="9:27" x14ac:dyDescent="0.35">
      <c r="I1358" s="49"/>
      <c r="J1358" s="49"/>
      <c r="K1358" s="49"/>
      <c r="V1358" s="127"/>
      <c r="W1358" s="127"/>
      <c r="X1358" s="127"/>
      <c r="AA1358" s="75"/>
    </row>
    <row r="1359" spans="9:27" x14ac:dyDescent="0.35">
      <c r="I1359" s="49"/>
      <c r="J1359" s="49"/>
      <c r="K1359" s="49"/>
      <c r="V1359" s="127"/>
      <c r="W1359" s="127"/>
      <c r="X1359" s="127"/>
      <c r="AA1359" s="75"/>
    </row>
    <row r="1360" spans="9:27" x14ac:dyDescent="0.35">
      <c r="I1360" s="49"/>
      <c r="J1360" s="49"/>
      <c r="K1360" s="49"/>
      <c r="V1360" s="127"/>
      <c r="W1360" s="127"/>
      <c r="X1360" s="127"/>
      <c r="AA1360" s="75"/>
    </row>
    <row r="1361" spans="9:27" x14ac:dyDescent="0.35">
      <c r="I1361" s="49"/>
      <c r="J1361" s="49"/>
      <c r="K1361" s="49"/>
      <c r="V1361" s="127"/>
      <c r="W1361" s="127"/>
      <c r="X1361" s="127"/>
      <c r="AA1361" s="75"/>
    </row>
    <row r="1362" spans="9:27" x14ac:dyDescent="0.35">
      <c r="I1362" s="49"/>
      <c r="J1362" s="49"/>
      <c r="K1362" s="49"/>
      <c r="V1362" s="127"/>
      <c r="W1362" s="127"/>
      <c r="X1362" s="127"/>
      <c r="AA1362" s="75"/>
    </row>
    <row r="1363" spans="9:27" x14ac:dyDescent="0.35">
      <c r="I1363" s="49"/>
      <c r="J1363" s="49"/>
      <c r="K1363" s="49"/>
      <c r="V1363" s="127"/>
      <c r="W1363" s="127"/>
      <c r="X1363" s="127"/>
      <c r="AA1363" s="75"/>
    </row>
    <row r="1364" spans="9:27" x14ac:dyDescent="0.35">
      <c r="I1364" s="49"/>
      <c r="J1364" s="49"/>
      <c r="K1364" s="49"/>
      <c r="V1364" s="127"/>
      <c r="W1364" s="127"/>
      <c r="X1364" s="127"/>
      <c r="AA1364" s="75"/>
    </row>
    <row r="1365" spans="9:27" x14ac:dyDescent="0.35">
      <c r="I1365" s="49"/>
      <c r="J1365" s="49"/>
      <c r="K1365" s="49"/>
      <c r="V1365" s="127"/>
      <c r="W1365" s="127"/>
      <c r="X1365" s="127"/>
      <c r="AA1365" s="75"/>
    </row>
    <row r="1366" spans="9:27" x14ac:dyDescent="0.35">
      <c r="I1366" s="49"/>
      <c r="J1366" s="49"/>
      <c r="K1366" s="49"/>
      <c r="V1366" s="127"/>
      <c r="W1366" s="127"/>
      <c r="X1366" s="127"/>
      <c r="AA1366" s="75"/>
    </row>
    <row r="1367" spans="9:27" x14ac:dyDescent="0.35">
      <c r="I1367" s="49"/>
      <c r="J1367" s="49"/>
      <c r="K1367" s="49"/>
      <c r="V1367" s="127"/>
      <c r="W1367" s="127"/>
      <c r="X1367" s="127"/>
      <c r="AA1367" s="75"/>
    </row>
    <row r="1368" spans="9:27" x14ac:dyDescent="0.35">
      <c r="I1368" s="49"/>
      <c r="J1368" s="49"/>
      <c r="K1368" s="49"/>
      <c r="V1368" s="127"/>
      <c r="W1368" s="127"/>
      <c r="X1368" s="127"/>
      <c r="AA1368" s="75"/>
    </row>
    <row r="1369" spans="9:27" x14ac:dyDescent="0.35">
      <c r="I1369" s="49"/>
      <c r="J1369" s="49"/>
      <c r="K1369" s="49"/>
      <c r="V1369" s="127"/>
      <c r="W1369" s="127"/>
      <c r="X1369" s="127"/>
      <c r="AA1369" s="75"/>
    </row>
    <row r="1370" spans="9:27" x14ac:dyDescent="0.35">
      <c r="I1370" s="49"/>
      <c r="J1370" s="49"/>
      <c r="K1370" s="49"/>
      <c r="V1370" s="127"/>
      <c r="W1370" s="127"/>
      <c r="X1370" s="127"/>
      <c r="AA1370" s="75"/>
    </row>
    <row r="1371" spans="9:27" x14ac:dyDescent="0.35">
      <c r="I1371" s="49"/>
      <c r="J1371" s="49"/>
      <c r="K1371" s="49"/>
      <c r="V1371" s="127"/>
      <c r="W1371" s="127"/>
      <c r="X1371" s="127"/>
      <c r="AA1371" s="75"/>
    </row>
    <row r="1372" spans="9:27" x14ac:dyDescent="0.35">
      <c r="I1372" s="49"/>
      <c r="J1372" s="49"/>
      <c r="K1372" s="49"/>
      <c r="V1372" s="127"/>
      <c r="W1372" s="127"/>
      <c r="X1372" s="127"/>
      <c r="AA1372" s="75"/>
    </row>
    <row r="1373" spans="9:27" x14ac:dyDescent="0.35">
      <c r="I1373" s="49"/>
      <c r="J1373" s="49"/>
      <c r="K1373" s="49"/>
      <c r="V1373" s="127"/>
      <c r="W1373" s="127"/>
      <c r="X1373" s="127"/>
      <c r="AA1373" s="75"/>
    </row>
    <row r="1374" spans="9:27" x14ac:dyDescent="0.35">
      <c r="I1374" s="49"/>
      <c r="J1374" s="49"/>
      <c r="K1374" s="49"/>
      <c r="V1374" s="127"/>
      <c r="W1374" s="127"/>
      <c r="X1374" s="127"/>
      <c r="AA1374" s="75"/>
    </row>
    <row r="1375" spans="9:27" x14ac:dyDescent="0.35">
      <c r="I1375" s="49"/>
      <c r="J1375" s="49"/>
      <c r="K1375" s="49"/>
      <c r="V1375" s="127"/>
      <c r="W1375" s="127"/>
      <c r="X1375" s="127"/>
      <c r="AA1375" s="75"/>
    </row>
    <row r="1376" spans="9:27" x14ac:dyDescent="0.35">
      <c r="I1376" s="49"/>
      <c r="J1376" s="49"/>
      <c r="K1376" s="49"/>
      <c r="V1376" s="127"/>
      <c r="W1376" s="127"/>
      <c r="X1376" s="127"/>
      <c r="AA1376" s="75"/>
    </row>
    <row r="1377" spans="9:27" x14ac:dyDescent="0.35">
      <c r="I1377" s="49"/>
      <c r="J1377" s="49"/>
      <c r="K1377" s="49"/>
      <c r="V1377" s="127"/>
      <c r="W1377" s="127"/>
      <c r="X1377" s="127"/>
      <c r="AA1377" s="75"/>
    </row>
    <row r="1378" spans="9:27" x14ac:dyDescent="0.35">
      <c r="I1378" s="49"/>
      <c r="J1378" s="49"/>
      <c r="K1378" s="49"/>
      <c r="V1378" s="127"/>
      <c r="W1378" s="127"/>
      <c r="X1378" s="127"/>
      <c r="AA1378" s="75"/>
    </row>
    <row r="1379" spans="9:27" x14ac:dyDescent="0.35">
      <c r="I1379" s="49"/>
      <c r="J1379" s="49"/>
      <c r="K1379" s="49"/>
      <c r="V1379" s="127"/>
      <c r="W1379" s="127"/>
      <c r="X1379" s="127"/>
      <c r="AA1379" s="75"/>
    </row>
    <row r="1380" spans="9:27" x14ac:dyDescent="0.35">
      <c r="I1380" s="49"/>
      <c r="J1380" s="49"/>
      <c r="K1380" s="49"/>
      <c r="V1380" s="127"/>
      <c r="W1380" s="127"/>
      <c r="X1380" s="127"/>
      <c r="AA1380" s="75"/>
    </row>
    <row r="1381" spans="9:27" x14ac:dyDescent="0.35">
      <c r="I1381" s="49"/>
      <c r="J1381" s="49"/>
      <c r="K1381" s="49"/>
      <c r="V1381" s="127"/>
      <c r="W1381" s="127"/>
      <c r="X1381" s="127"/>
      <c r="AA1381" s="75"/>
    </row>
    <row r="1382" spans="9:27" x14ac:dyDescent="0.35">
      <c r="I1382" s="49"/>
      <c r="J1382" s="49"/>
      <c r="K1382" s="49"/>
      <c r="V1382" s="127"/>
      <c r="W1382" s="127"/>
      <c r="X1382" s="127"/>
      <c r="AA1382" s="75"/>
    </row>
    <row r="1383" spans="9:27" x14ac:dyDescent="0.35">
      <c r="I1383" s="49"/>
      <c r="J1383" s="49"/>
      <c r="K1383" s="49"/>
      <c r="V1383" s="127"/>
      <c r="W1383" s="127"/>
      <c r="X1383" s="127"/>
      <c r="AA1383" s="75"/>
    </row>
    <row r="1384" spans="9:27" x14ac:dyDescent="0.35">
      <c r="I1384" s="49"/>
      <c r="J1384" s="49"/>
      <c r="K1384" s="49"/>
      <c r="V1384" s="127"/>
      <c r="W1384" s="127"/>
      <c r="X1384" s="127"/>
      <c r="AA1384" s="75"/>
    </row>
    <row r="1385" spans="9:27" x14ac:dyDescent="0.35">
      <c r="I1385" s="49"/>
      <c r="J1385" s="49"/>
      <c r="K1385" s="49"/>
      <c r="V1385" s="127"/>
      <c r="W1385" s="127"/>
      <c r="X1385" s="127"/>
      <c r="AA1385" s="75"/>
    </row>
    <row r="1386" spans="9:27" x14ac:dyDescent="0.35">
      <c r="I1386" s="49"/>
      <c r="J1386" s="49"/>
      <c r="K1386" s="49"/>
      <c r="V1386" s="127"/>
      <c r="W1386" s="127"/>
      <c r="X1386" s="127"/>
      <c r="AA1386" s="75"/>
    </row>
    <row r="1387" spans="9:27" x14ac:dyDescent="0.35">
      <c r="I1387" s="49"/>
      <c r="J1387" s="49"/>
      <c r="K1387" s="49"/>
      <c r="V1387" s="127"/>
      <c r="W1387" s="127"/>
      <c r="X1387" s="127"/>
      <c r="AA1387" s="75"/>
    </row>
    <row r="1388" spans="9:27" x14ac:dyDescent="0.35">
      <c r="I1388" s="49"/>
      <c r="J1388" s="49"/>
      <c r="K1388" s="49"/>
      <c r="V1388" s="127"/>
      <c r="W1388" s="127"/>
      <c r="X1388" s="127"/>
      <c r="AA1388" s="75"/>
    </row>
    <row r="1389" spans="9:27" x14ac:dyDescent="0.35">
      <c r="I1389" s="49"/>
      <c r="J1389" s="49"/>
      <c r="K1389" s="49"/>
      <c r="V1389" s="127"/>
      <c r="W1389" s="127"/>
      <c r="X1389" s="127"/>
      <c r="AA1389" s="75"/>
    </row>
    <row r="1390" spans="9:27" x14ac:dyDescent="0.35">
      <c r="I1390" s="49"/>
      <c r="J1390" s="49"/>
      <c r="K1390" s="49"/>
      <c r="V1390" s="127"/>
      <c r="W1390" s="127"/>
      <c r="X1390" s="127"/>
      <c r="AA1390" s="75"/>
    </row>
    <row r="1391" spans="9:27" x14ac:dyDescent="0.35">
      <c r="I1391" s="49"/>
      <c r="J1391" s="49"/>
      <c r="K1391" s="49"/>
      <c r="V1391" s="127"/>
      <c r="W1391" s="127"/>
      <c r="X1391" s="127"/>
      <c r="AA1391" s="75"/>
    </row>
    <row r="1392" spans="9:27" x14ac:dyDescent="0.35">
      <c r="I1392" s="49"/>
      <c r="J1392" s="49"/>
      <c r="K1392" s="49"/>
      <c r="V1392" s="127"/>
      <c r="W1392" s="127"/>
      <c r="X1392" s="127"/>
      <c r="AA1392" s="75"/>
    </row>
    <row r="1393" spans="9:27" x14ac:dyDescent="0.35">
      <c r="I1393" s="49"/>
      <c r="J1393" s="49"/>
      <c r="K1393" s="49"/>
      <c r="V1393" s="127"/>
      <c r="W1393" s="127"/>
      <c r="X1393" s="127"/>
      <c r="AA1393" s="75"/>
    </row>
    <row r="1394" spans="9:27" x14ac:dyDescent="0.35">
      <c r="I1394" s="49"/>
      <c r="J1394" s="49"/>
      <c r="K1394" s="49"/>
      <c r="V1394" s="127"/>
      <c r="W1394" s="127"/>
      <c r="X1394" s="127"/>
      <c r="AA1394" s="75"/>
    </row>
    <row r="1395" spans="9:27" x14ac:dyDescent="0.35">
      <c r="I1395" s="49"/>
      <c r="J1395" s="49"/>
      <c r="K1395" s="49"/>
      <c r="V1395" s="127"/>
      <c r="W1395" s="127"/>
      <c r="X1395" s="127"/>
      <c r="AA1395" s="75"/>
    </row>
    <row r="1396" spans="9:27" x14ac:dyDescent="0.35">
      <c r="I1396" s="49"/>
      <c r="J1396" s="49"/>
      <c r="K1396" s="49"/>
      <c r="V1396" s="127"/>
      <c r="W1396" s="127"/>
      <c r="X1396" s="127"/>
      <c r="AA1396" s="75"/>
    </row>
    <row r="1397" spans="9:27" x14ac:dyDescent="0.35">
      <c r="I1397" s="49"/>
      <c r="J1397" s="49"/>
      <c r="K1397" s="49"/>
      <c r="V1397" s="127"/>
      <c r="W1397" s="127"/>
      <c r="X1397" s="127"/>
      <c r="AA1397" s="75"/>
    </row>
    <row r="1398" spans="9:27" x14ac:dyDescent="0.35">
      <c r="I1398" s="49"/>
      <c r="J1398" s="49"/>
      <c r="K1398" s="49"/>
      <c r="V1398" s="127"/>
      <c r="W1398" s="127"/>
      <c r="X1398" s="127"/>
      <c r="AA1398" s="75"/>
    </row>
    <row r="1399" spans="9:27" x14ac:dyDescent="0.35">
      <c r="I1399" s="49"/>
      <c r="J1399" s="49"/>
      <c r="K1399" s="49"/>
      <c r="V1399" s="127"/>
      <c r="W1399" s="127"/>
      <c r="X1399" s="127"/>
      <c r="AA1399" s="75"/>
    </row>
    <row r="1400" spans="9:27" x14ac:dyDescent="0.35">
      <c r="I1400" s="49"/>
      <c r="J1400" s="49"/>
      <c r="K1400" s="49"/>
      <c r="V1400" s="127"/>
      <c r="W1400" s="127"/>
      <c r="X1400" s="127"/>
      <c r="AA1400" s="75"/>
    </row>
    <row r="1401" spans="9:27" x14ac:dyDescent="0.35">
      <c r="I1401" s="49"/>
      <c r="J1401" s="49"/>
      <c r="K1401" s="49"/>
      <c r="V1401" s="127"/>
      <c r="W1401" s="127"/>
      <c r="X1401" s="127"/>
      <c r="AA1401" s="75"/>
    </row>
    <row r="1402" spans="9:27" x14ac:dyDescent="0.35">
      <c r="I1402" s="49"/>
      <c r="J1402" s="49"/>
      <c r="K1402" s="49"/>
      <c r="V1402" s="127"/>
      <c r="W1402" s="127"/>
      <c r="X1402" s="127"/>
      <c r="AA1402" s="75"/>
    </row>
    <row r="1403" spans="9:27" x14ac:dyDescent="0.35">
      <c r="I1403" s="49"/>
      <c r="J1403" s="49"/>
      <c r="K1403" s="49"/>
      <c r="V1403" s="127"/>
      <c r="W1403" s="127"/>
      <c r="X1403" s="127"/>
      <c r="AA1403" s="75"/>
    </row>
    <row r="1404" spans="9:27" x14ac:dyDescent="0.35">
      <c r="I1404" s="49"/>
      <c r="J1404" s="49"/>
      <c r="K1404" s="49"/>
      <c r="V1404" s="127"/>
      <c r="W1404" s="127"/>
      <c r="X1404" s="127"/>
      <c r="AA1404" s="75"/>
    </row>
    <row r="1405" spans="9:27" x14ac:dyDescent="0.35">
      <c r="I1405" s="49"/>
      <c r="J1405" s="49"/>
      <c r="K1405" s="49"/>
      <c r="V1405" s="127"/>
      <c r="W1405" s="127"/>
      <c r="X1405" s="127"/>
      <c r="AA1405" s="75"/>
    </row>
    <row r="1406" spans="9:27" x14ac:dyDescent="0.35">
      <c r="I1406" s="49"/>
      <c r="J1406" s="49"/>
      <c r="K1406" s="49"/>
      <c r="V1406" s="127"/>
      <c r="W1406" s="127"/>
      <c r="X1406" s="127"/>
      <c r="AA1406" s="75"/>
    </row>
    <row r="1407" spans="9:27" x14ac:dyDescent="0.35">
      <c r="I1407" s="49"/>
      <c r="J1407" s="49"/>
      <c r="K1407" s="49"/>
      <c r="V1407" s="127"/>
      <c r="W1407" s="127"/>
      <c r="X1407" s="127"/>
      <c r="AA1407" s="75"/>
    </row>
    <row r="1408" spans="9:27" x14ac:dyDescent="0.35">
      <c r="I1408" s="49"/>
      <c r="J1408" s="49"/>
      <c r="K1408" s="49"/>
      <c r="V1408" s="127"/>
      <c r="W1408" s="127"/>
      <c r="X1408" s="127"/>
      <c r="AA1408" s="75"/>
    </row>
    <row r="1409" spans="9:27" x14ac:dyDescent="0.35">
      <c r="I1409" s="49"/>
      <c r="J1409" s="49"/>
      <c r="K1409" s="49"/>
      <c r="V1409" s="127"/>
      <c r="W1409" s="127"/>
      <c r="X1409" s="127"/>
      <c r="AA1409" s="75"/>
    </row>
    <row r="1410" spans="9:27" x14ac:dyDescent="0.35">
      <c r="I1410" s="49"/>
      <c r="J1410" s="49"/>
      <c r="K1410" s="49"/>
      <c r="V1410" s="127"/>
      <c r="W1410" s="127"/>
      <c r="X1410" s="127"/>
      <c r="AA1410" s="75"/>
    </row>
    <row r="1411" spans="9:27" x14ac:dyDescent="0.35">
      <c r="I1411" s="49"/>
      <c r="J1411" s="49"/>
      <c r="K1411" s="49"/>
      <c r="V1411" s="127"/>
      <c r="W1411" s="127"/>
      <c r="X1411" s="127"/>
      <c r="AA1411" s="75"/>
    </row>
    <row r="1412" spans="9:27" x14ac:dyDescent="0.35">
      <c r="I1412" s="49"/>
      <c r="J1412" s="49"/>
      <c r="K1412" s="49"/>
      <c r="V1412" s="127"/>
      <c r="W1412" s="127"/>
      <c r="X1412" s="127"/>
      <c r="AA1412" s="75"/>
    </row>
    <row r="1413" spans="9:27" x14ac:dyDescent="0.35">
      <c r="I1413" s="49"/>
      <c r="J1413" s="49"/>
      <c r="K1413" s="49"/>
      <c r="V1413" s="127"/>
      <c r="W1413" s="127"/>
      <c r="X1413" s="127"/>
      <c r="AA1413" s="75"/>
    </row>
    <row r="1414" spans="9:27" x14ac:dyDescent="0.35">
      <c r="I1414" s="49"/>
      <c r="J1414" s="49"/>
      <c r="K1414" s="49"/>
      <c r="V1414" s="127"/>
      <c r="W1414" s="127"/>
      <c r="X1414" s="127"/>
      <c r="AA1414" s="75"/>
    </row>
    <row r="1415" spans="9:27" x14ac:dyDescent="0.35">
      <c r="I1415" s="49"/>
      <c r="J1415" s="49"/>
      <c r="K1415" s="49"/>
      <c r="V1415" s="127"/>
      <c r="W1415" s="127"/>
      <c r="X1415" s="127"/>
      <c r="AA1415" s="75"/>
    </row>
    <row r="1416" spans="9:27" x14ac:dyDescent="0.35">
      <c r="I1416" s="49"/>
      <c r="J1416" s="49"/>
      <c r="K1416" s="49"/>
      <c r="V1416" s="127"/>
      <c r="W1416" s="127"/>
      <c r="X1416" s="127"/>
      <c r="AA1416" s="75"/>
    </row>
    <row r="1417" spans="9:27" x14ac:dyDescent="0.35">
      <c r="I1417" s="49"/>
      <c r="J1417" s="49"/>
      <c r="K1417" s="49"/>
      <c r="V1417" s="127"/>
      <c r="W1417" s="127"/>
      <c r="X1417" s="127"/>
      <c r="AA1417" s="75"/>
    </row>
    <row r="1418" spans="9:27" x14ac:dyDescent="0.35">
      <c r="I1418" s="49"/>
      <c r="J1418" s="49"/>
      <c r="K1418" s="49"/>
      <c r="V1418" s="127"/>
      <c r="W1418" s="127"/>
      <c r="X1418" s="127"/>
      <c r="AA1418" s="75"/>
    </row>
    <row r="1419" spans="9:27" x14ac:dyDescent="0.35">
      <c r="I1419" s="49"/>
      <c r="J1419" s="49"/>
      <c r="K1419" s="49"/>
      <c r="V1419" s="127"/>
      <c r="W1419" s="127"/>
      <c r="X1419" s="127"/>
      <c r="AA1419" s="75"/>
    </row>
    <row r="1420" spans="9:27" x14ac:dyDescent="0.35">
      <c r="I1420" s="49"/>
      <c r="J1420" s="49"/>
      <c r="K1420" s="49"/>
      <c r="V1420" s="127"/>
      <c r="W1420" s="127"/>
      <c r="X1420" s="127"/>
      <c r="AA1420" s="75"/>
    </row>
    <row r="1421" spans="9:27" x14ac:dyDescent="0.35">
      <c r="I1421" s="49"/>
      <c r="J1421" s="49"/>
      <c r="K1421" s="49"/>
      <c r="V1421" s="127"/>
      <c r="W1421" s="127"/>
      <c r="X1421" s="127"/>
      <c r="AA1421" s="75"/>
    </row>
    <row r="1422" spans="9:27" x14ac:dyDescent="0.35">
      <c r="I1422" s="49"/>
      <c r="J1422" s="49"/>
      <c r="K1422" s="49"/>
      <c r="V1422" s="127"/>
      <c r="W1422" s="127"/>
      <c r="X1422" s="127"/>
      <c r="AA1422" s="75"/>
    </row>
    <row r="1423" spans="9:27" x14ac:dyDescent="0.35">
      <c r="I1423" s="49"/>
      <c r="J1423" s="49"/>
      <c r="K1423" s="49"/>
      <c r="V1423" s="127"/>
      <c r="W1423" s="127"/>
      <c r="X1423" s="127"/>
      <c r="AA1423" s="75"/>
    </row>
    <row r="1424" spans="9:27" x14ac:dyDescent="0.35">
      <c r="I1424" s="49"/>
      <c r="J1424" s="49"/>
      <c r="K1424" s="49"/>
      <c r="V1424" s="127"/>
      <c r="W1424" s="127"/>
      <c r="X1424" s="127"/>
      <c r="AA1424" s="75"/>
    </row>
    <row r="1425" spans="9:27" x14ac:dyDescent="0.35">
      <c r="I1425" s="49"/>
      <c r="J1425" s="49"/>
      <c r="K1425" s="49"/>
      <c r="V1425" s="127"/>
      <c r="W1425" s="127"/>
      <c r="X1425" s="127"/>
      <c r="AA1425" s="75"/>
    </row>
    <row r="1426" spans="9:27" x14ac:dyDescent="0.35">
      <c r="I1426" s="49"/>
      <c r="J1426" s="49"/>
      <c r="K1426" s="49"/>
      <c r="V1426" s="127"/>
      <c r="W1426" s="127"/>
      <c r="X1426" s="127"/>
      <c r="AA1426" s="75"/>
    </row>
    <row r="1427" spans="9:27" x14ac:dyDescent="0.35">
      <c r="I1427" s="49"/>
      <c r="J1427" s="49"/>
      <c r="K1427" s="49"/>
      <c r="V1427" s="127"/>
      <c r="W1427" s="127"/>
      <c r="X1427" s="127"/>
      <c r="AA1427" s="75"/>
    </row>
    <row r="1428" spans="9:27" x14ac:dyDescent="0.35">
      <c r="I1428" s="49"/>
      <c r="J1428" s="49"/>
      <c r="K1428" s="49"/>
      <c r="V1428" s="127"/>
      <c r="W1428" s="127"/>
      <c r="X1428" s="127"/>
      <c r="AA1428" s="75"/>
    </row>
    <row r="1429" spans="9:27" x14ac:dyDescent="0.35">
      <c r="I1429" s="49"/>
      <c r="J1429" s="49"/>
      <c r="K1429" s="49"/>
      <c r="V1429" s="127"/>
      <c r="W1429" s="127"/>
      <c r="X1429" s="127"/>
      <c r="AA1429" s="75"/>
    </row>
    <row r="1430" spans="9:27" x14ac:dyDescent="0.35">
      <c r="I1430" s="49"/>
      <c r="J1430" s="49"/>
      <c r="K1430" s="49"/>
      <c r="V1430" s="127"/>
      <c r="W1430" s="127"/>
      <c r="X1430" s="127"/>
      <c r="AA1430" s="75"/>
    </row>
    <row r="1431" spans="9:27" x14ac:dyDescent="0.35">
      <c r="I1431" s="49"/>
      <c r="J1431" s="49"/>
      <c r="K1431" s="49"/>
      <c r="V1431" s="127"/>
      <c r="W1431" s="127"/>
      <c r="X1431" s="127"/>
      <c r="AA1431" s="75"/>
    </row>
    <row r="1432" spans="9:27" x14ac:dyDescent="0.35">
      <c r="I1432" s="49"/>
      <c r="J1432" s="49"/>
      <c r="K1432" s="49"/>
      <c r="V1432" s="127"/>
      <c r="W1432" s="127"/>
      <c r="X1432" s="127"/>
      <c r="AA1432" s="75"/>
    </row>
    <row r="1433" spans="9:27" x14ac:dyDescent="0.35">
      <c r="I1433" s="49"/>
      <c r="J1433" s="49"/>
      <c r="K1433" s="49"/>
      <c r="V1433" s="127"/>
      <c r="W1433" s="127"/>
      <c r="X1433" s="127"/>
      <c r="AA1433" s="75"/>
    </row>
    <row r="1434" spans="9:27" x14ac:dyDescent="0.35">
      <c r="I1434" s="49"/>
      <c r="J1434" s="49"/>
      <c r="K1434" s="49"/>
      <c r="V1434" s="127"/>
      <c r="W1434" s="127"/>
      <c r="X1434" s="127"/>
      <c r="AA1434" s="75"/>
    </row>
    <row r="1435" spans="9:27" x14ac:dyDescent="0.35">
      <c r="I1435" s="49"/>
      <c r="J1435" s="49"/>
      <c r="K1435" s="49"/>
      <c r="V1435" s="127"/>
      <c r="W1435" s="127"/>
      <c r="X1435" s="127"/>
      <c r="AA1435" s="75"/>
    </row>
    <row r="1436" spans="9:27" x14ac:dyDescent="0.35">
      <c r="I1436" s="49"/>
      <c r="J1436" s="49"/>
      <c r="K1436" s="49"/>
      <c r="V1436" s="127"/>
      <c r="W1436" s="127"/>
      <c r="X1436" s="127"/>
      <c r="AA1436" s="75"/>
    </row>
    <row r="1437" spans="9:27" x14ac:dyDescent="0.35">
      <c r="I1437" s="49"/>
      <c r="J1437" s="49"/>
      <c r="K1437" s="49"/>
      <c r="V1437" s="127"/>
      <c r="W1437" s="127"/>
      <c r="X1437" s="127"/>
      <c r="AA1437" s="75"/>
    </row>
    <row r="1438" spans="9:27" x14ac:dyDescent="0.35">
      <c r="I1438" s="49"/>
      <c r="J1438" s="49"/>
      <c r="K1438" s="49"/>
      <c r="V1438" s="127"/>
      <c r="W1438" s="127"/>
      <c r="X1438" s="127"/>
      <c r="AA1438" s="75"/>
    </row>
    <row r="1439" spans="9:27" x14ac:dyDescent="0.35">
      <c r="I1439" s="49"/>
      <c r="J1439" s="49"/>
      <c r="K1439" s="49"/>
      <c r="V1439" s="127"/>
      <c r="W1439" s="127"/>
      <c r="X1439" s="127"/>
      <c r="AA1439" s="75"/>
    </row>
    <row r="1440" spans="9:27" x14ac:dyDescent="0.35">
      <c r="I1440" s="49"/>
      <c r="J1440" s="49"/>
      <c r="K1440" s="49"/>
      <c r="V1440" s="127"/>
      <c r="W1440" s="127"/>
      <c r="X1440" s="127"/>
      <c r="AA1440" s="75"/>
    </row>
    <row r="1441" spans="9:27" x14ac:dyDescent="0.35">
      <c r="I1441" s="49"/>
      <c r="J1441" s="49"/>
      <c r="K1441" s="49"/>
      <c r="V1441" s="127"/>
      <c r="W1441" s="127"/>
      <c r="X1441" s="127"/>
      <c r="AA1441" s="75"/>
    </row>
    <row r="1442" spans="9:27" x14ac:dyDescent="0.35">
      <c r="I1442" s="49"/>
      <c r="J1442" s="49"/>
      <c r="K1442" s="49"/>
      <c r="V1442" s="127"/>
      <c r="W1442" s="127"/>
      <c r="X1442" s="127"/>
      <c r="AA1442" s="75"/>
    </row>
    <row r="1443" spans="9:27" x14ac:dyDescent="0.35">
      <c r="I1443" s="49"/>
      <c r="J1443" s="49"/>
      <c r="K1443" s="49"/>
      <c r="V1443" s="127"/>
      <c r="W1443" s="127"/>
      <c r="X1443" s="127"/>
      <c r="AA1443" s="75"/>
    </row>
    <row r="1444" spans="9:27" x14ac:dyDescent="0.35">
      <c r="I1444" s="49"/>
      <c r="J1444" s="49"/>
      <c r="K1444" s="49"/>
      <c r="V1444" s="127"/>
      <c r="W1444" s="127"/>
      <c r="X1444" s="127"/>
      <c r="AA1444" s="75"/>
    </row>
    <row r="1445" spans="9:27" x14ac:dyDescent="0.35">
      <c r="I1445" s="49"/>
      <c r="J1445" s="49"/>
      <c r="K1445" s="49"/>
      <c r="V1445" s="127"/>
      <c r="W1445" s="127"/>
      <c r="X1445" s="127"/>
      <c r="AA1445" s="75"/>
    </row>
    <row r="1446" spans="9:27" x14ac:dyDescent="0.35">
      <c r="I1446" s="49"/>
      <c r="J1446" s="49"/>
      <c r="K1446" s="49"/>
      <c r="V1446" s="127"/>
      <c r="W1446" s="127"/>
      <c r="X1446" s="127"/>
      <c r="AA1446" s="75"/>
    </row>
    <row r="1447" spans="9:27" x14ac:dyDescent="0.35">
      <c r="I1447" s="49"/>
      <c r="J1447" s="49"/>
      <c r="K1447" s="49"/>
      <c r="V1447" s="127"/>
      <c r="W1447" s="127"/>
      <c r="X1447" s="127"/>
      <c r="AA1447" s="75"/>
    </row>
    <row r="1448" spans="9:27" x14ac:dyDescent="0.35">
      <c r="I1448" s="49"/>
      <c r="J1448" s="49"/>
      <c r="K1448" s="49"/>
      <c r="V1448" s="127"/>
      <c r="W1448" s="127"/>
      <c r="X1448" s="127"/>
      <c r="AA1448" s="75"/>
    </row>
    <row r="1449" spans="9:27" x14ac:dyDescent="0.35">
      <c r="I1449" s="49"/>
      <c r="J1449" s="49"/>
      <c r="K1449" s="49"/>
      <c r="V1449" s="127"/>
      <c r="W1449" s="127"/>
      <c r="X1449" s="127"/>
      <c r="AA1449" s="75"/>
    </row>
    <row r="1450" spans="9:27" x14ac:dyDescent="0.35">
      <c r="I1450" s="49"/>
      <c r="J1450" s="49"/>
      <c r="K1450" s="49"/>
      <c r="V1450" s="127"/>
      <c r="W1450" s="127"/>
      <c r="X1450" s="127"/>
      <c r="AA1450" s="75"/>
    </row>
    <row r="1451" spans="9:27" x14ac:dyDescent="0.35">
      <c r="I1451" s="49"/>
      <c r="J1451" s="49"/>
      <c r="K1451" s="49"/>
      <c r="V1451" s="127"/>
      <c r="W1451" s="127"/>
      <c r="X1451" s="127"/>
      <c r="AA1451" s="75"/>
    </row>
    <row r="1452" spans="9:27" x14ac:dyDescent="0.35">
      <c r="I1452" s="49"/>
      <c r="J1452" s="49"/>
      <c r="K1452" s="49"/>
      <c r="V1452" s="127"/>
      <c r="W1452" s="127"/>
      <c r="X1452" s="127"/>
      <c r="AA1452" s="75"/>
    </row>
    <row r="1453" spans="9:27" x14ac:dyDescent="0.35">
      <c r="I1453" s="49"/>
      <c r="J1453" s="49"/>
      <c r="K1453" s="49"/>
      <c r="V1453" s="127"/>
      <c r="W1453" s="127"/>
      <c r="X1453" s="127"/>
      <c r="AA1453" s="75"/>
    </row>
    <row r="1454" spans="9:27" x14ac:dyDescent="0.35">
      <c r="I1454" s="49"/>
      <c r="J1454" s="49"/>
      <c r="K1454" s="49"/>
      <c r="V1454" s="127"/>
      <c r="W1454" s="127"/>
      <c r="X1454" s="127"/>
      <c r="AA1454" s="75"/>
    </row>
    <row r="1455" spans="9:27" x14ac:dyDescent="0.35">
      <c r="I1455" s="49"/>
      <c r="J1455" s="49"/>
      <c r="K1455" s="49"/>
      <c r="V1455" s="127"/>
      <c r="W1455" s="127"/>
      <c r="X1455" s="127"/>
      <c r="AA1455" s="75"/>
    </row>
    <row r="1456" spans="9:27" x14ac:dyDescent="0.35">
      <c r="I1456" s="49"/>
      <c r="J1456" s="49"/>
      <c r="K1456" s="49"/>
      <c r="V1456" s="127"/>
      <c r="W1456" s="127"/>
      <c r="X1456" s="127"/>
      <c r="AA1456" s="75"/>
    </row>
    <row r="1457" spans="9:27" x14ac:dyDescent="0.35">
      <c r="I1457" s="49"/>
      <c r="J1457" s="49"/>
      <c r="K1457" s="49"/>
      <c r="V1457" s="127"/>
      <c r="W1457" s="127"/>
      <c r="X1457" s="127"/>
      <c r="AA1457" s="75"/>
    </row>
    <row r="1458" spans="9:27" x14ac:dyDescent="0.35">
      <c r="I1458" s="49"/>
      <c r="J1458" s="49"/>
      <c r="K1458" s="49"/>
      <c r="V1458" s="127"/>
      <c r="W1458" s="127"/>
      <c r="X1458" s="127"/>
      <c r="AA1458" s="75"/>
    </row>
    <row r="1459" spans="9:27" x14ac:dyDescent="0.35">
      <c r="I1459" s="49"/>
      <c r="J1459" s="49"/>
      <c r="K1459" s="49"/>
      <c r="V1459" s="127"/>
      <c r="W1459" s="127"/>
      <c r="X1459" s="127"/>
      <c r="AA1459" s="75"/>
    </row>
    <row r="1460" spans="9:27" x14ac:dyDescent="0.35">
      <c r="I1460" s="49"/>
      <c r="J1460" s="49"/>
      <c r="K1460" s="49"/>
      <c r="V1460" s="127"/>
      <c r="W1460" s="127"/>
      <c r="X1460" s="127"/>
      <c r="AA1460" s="75"/>
    </row>
    <row r="1461" spans="9:27" x14ac:dyDescent="0.35">
      <c r="I1461" s="49"/>
      <c r="J1461" s="49"/>
      <c r="K1461" s="49"/>
      <c r="V1461" s="127"/>
      <c r="W1461" s="127"/>
      <c r="X1461" s="127"/>
      <c r="AA1461" s="75"/>
    </row>
    <row r="1462" spans="9:27" x14ac:dyDescent="0.35">
      <c r="I1462" s="49"/>
      <c r="J1462" s="49"/>
      <c r="K1462" s="49"/>
      <c r="V1462" s="127"/>
      <c r="W1462" s="127"/>
      <c r="X1462" s="127"/>
      <c r="AA1462" s="75"/>
    </row>
    <row r="1463" spans="9:27" x14ac:dyDescent="0.35">
      <c r="I1463" s="49"/>
      <c r="J1463" s="49"/>
      <c r="K1463" s="49"/>
      <c r="V1463" s="127"/>
      <c r="W1463" s="127"/>
      <c r="X1463" s="127"/>
      <c r="AA1463" s="75"/>
    </row>
    <row r="1464" spans="9:27" x14ac:dyDescent="0.35">
      <c r="I1464" s="49"/>
      <c r="J1464" s="49"/>
      <c r="K1464" s="49"/>
      <c r="V1464" s="127"/>
      <c r="W1464" s="127"/>
      <c r="X1464" s="127"/>
      <c r="AA1464" s="75"/>
    </row>
    <row r="1465" spans="9:27" x14ac:dyDescent="0.35">
      <c r="I1465" s="49"/>
      <c r="J1465" s="49"/>
      <c r="K1465" s="49"/>
      <c r="V1465" s="127"/>
      <c r="W1465" s="127"/>
      <c r="X1465" s="127"/>
      <c r="AA1465" s="75"/>
    </row>
    <row r="1466" spans="9:27" x14ac:dyDescent="0.35">
      <c r="I1466" s="49"/>
      <c r="J1466" s="49"/>
      <c r="K1466" s="49"/>
      <c r="V1466" s="127"/>
      <c r="W1466" s="127"/>
      <c r="X1466" s="127"/>
      <c r="AA1466" s="75"/>
    </row>
    <row r="1467" spans="9:27" x14ac:dyDescent="0.35">
      <c r="I1467" s="49"/>
      <c r="J1467" s="49"/>
      <c r="K1467" s="49"/>
      <c r="V1467" s="127"/>
      <c r="W1467" s="127"/>
      <c r="X1467" s="127"/>
      <c r="AA1467" s="75"/>
    </row>
    <row r="1468" spans="9:27" x14ac:dyDescent="0.35">
      <c r="I1468" s="49"/>
      <c r="J1468" s="49"/>
      <c r="K1468" s="49"/>
      <c r="V1468" s="127"/>
      <c r="W1468" s="127"/>
      <c r="X1468" s="127"/>
      <c r="AA1468" s="75"/>
    </row>
    <row r="1469" spans="9:27" x14ac:dyDescent="0.35">
      <c r="I1469" s="49"/>
      <c r="J1469" s="49"/>
      <c r="K1469" s="49"/>
      <c r="V1469" s="127"/>
      <c r="W1469" s="127"/>
      <c r="X1469" s="127"/>
      <c r="AA1469" s="75"/>
    </row>
    <row r="1470" spans="9:27" x14ac:dyDescent="0.35">
      <c r="I1470" s="49"/>
      <c r="J1470" s="49"/>
      <c r="K1470" s="49"/>
      <c r="V1470" s="127"/>
      <c r="W1470" s="127"/>
      <c r="X1470" s="127"/>
      <c r="AA1470" s="75"/>
    </row>
    <row r="1471" spans="9:27" x14ac:dyDescent="0.35">
      <c r="I1471" s="49"/>
      <c r="J1471" s="49"/>
      <c r="K1471" s="49"/>
      <c r="V1471" s="127"/>
      <c r="W1471" s="127"/>
      <c r="X1471" s="127"/>
      <c r="AA1471" s="75"/>
    </row>
    <row r="1472" spans="9:27" x14ac:dyDescent="0.35">
      <c r="I1472" s="49"/>
      <c r="J1472" s="49"/>
      <c r="K1472" s="49"/>
      <c r="V1472" s="127"/>
      <c r="W1472" s="127"/>
      <c r="X1472" s="127"/>
      <c r="AA1472" s="75"/>
    </row>
    <row r="1473" spans="9:27" x14ac:dyDescent="0.35">
      <c r="I1473" s="49"/>
      <c r="J1473" s="49"/>
      <c r="K1473" s="49"/>
      <c r="V1473" s="127"/>
      <c r="W1473" s="127"/>
      <c r="X1473" s="127"/>
      <c r="AA1473" s="75"/>
    </row>
    <row r="1474" spans="9:27" x14ac:dyDescent="0.35">
      <c r="I1474" s="49"/>
      <c r="J1474" s="49"/>
      <c r="K1474" s="49"/>
      <c r="V1474" s="127"/>
      <c r="W1474" s="127"/>
      <c r="X1474" s="127"/>
      <c r="AA1474" s="75"/>
    </row>
    <row r="1475" spans="9:27" x14ac:dyDescent="0.35">
      <c r="I1475" s="49"/>
      <c r="J1475" s="49"/>
      <c r="K1475" s="49"/>
      <c r="V1475" s="127"/>
      <c r="W1475" s="127"/>
      <c r="X1475" s="127"/>
      <c r="AA1475" s="75"/>
    </row>
    <row r="1476" spans="9:27" x14ac:dyDescent="0.35">
      <c r="I1476" s="49"/>
      <c r="J1476" s="49"/>
      <c r="K1476" s="49"/>
      <c r="V1476" s="127"/>
      <c r="W1476" s="127"/>
      <c r="X1476" s="127"/>
      <c r="AA1476" s="75"/>
    </row>
    <row r="1477" spans="9:27" x14ac:dyDescent="0.35">
      <c r="I1477" s="49"/>
      <c r="J1477" s="49"/>
      <c r="K1477" s="49"/>
      <c r="V1477" s="127"/>
      <c r="W1477" s="127"/>
      <c r="X1477" s="127"/>
      <c r="AA1477" s="75"/>
    </row>
    <row r="1478" spans="9:27" x14ac:dyDescent="0.35">
      <c r="I1478" s="49"/>
      <c r="J1478" s="49"/>
      <c r="K1478" s="49"/>
      <c r="V1478" s="127"/>
      <c r="W1478" s="127"/>
      <c r="X1478" s="127"/>
      <c r="AA1478" s="75"/>
    </row>
    <row r="1479" spans="9:27" x14ac:dyDescent="0.35">
      <c r="I1479" s="49"/>
      <c r="J1479" s="49"/>
      <c r="K1479" s="49"/>
      <c r="V1479" s="127"/>
      <c r="W1479" s="127"/>
      <c r="X1479" s="127"/>
      <c r="AA1479" s="75"/>
    </row>
    <row r="1480" spans="9:27" x14ac:dyDescent="0.35">
      <c r="I1480" s="49"/>
      <c r="J1480" s="49"/>
      <c r="K1480" s="49"/>
      <c r="V1480" s="127"/>
      <c r="W1480" s="127"/>
      <c r="X1480" s="127"/>
      <c r="AA1480" s="75"/>
    </row>
    <row r="1481" spans="9:27" x14ac:dyDescent="0.35">
      <c r="I1481" s="49"/>
      <c r="J1481" s="49"/>
      <c r="K1481" s="49"/>
      <c r="V1481" s="127"/>
      <c r="W1481" s="127"/>
      <c r="X1481" s="127"/>
      <c r="AA1481" s="75"/>
    </row>
    <row r="1482" spans="9:27" x14ac:dyDescent="0.35">
      <c r="I1482" s="49"/>
      <c r="J1482" s="49"/>
      <c r="K1482" s="49"/>
      <c r="V1482" s="127"/>
      <c r="W1482" s="127"/>
      <c r="X1482" s="127"/>
      <c r="AA1482" s="75"/>
    </row>
    <row r="1483" spans="9:27" x14ac:dyDescent="0.35">
      <c r="I1483" s="49"/>
      <c r="J1483" s="49"/>
      <c r="K1483" s="49"/>
      <c r="V1483" s="127"/>
      <c r="W1483" s="127"/>
      <c r="X1483" s="127"/>
      <c r="AA1483" s="75"/>
    </row>
    <row r="1484" spans="9:27" x14ac:dyDescent="0.35">
      <c r="I1484" s="49"/>
      <c r="J1484" s="49"/>
      <c r="K1484" s="49"/>
      <c r="V1484" s="127"/>
      <c r="W1484" s="127"/>
      <c r="X1484" s="127"/>
      <c r="AA1484" s="75"/>
    </row>
    <row r="1485" spans="9:27" x14ac:dyDescent="0.35">
      <c r="I1485" s="49"/>
      <c r="J1485" s="49"/>
      <c r="K1485" s="49"/>
      <c r="V1485" s="127"/>
      <c r="W1485" s="127"/>
      <c r="X1485" s="127"/>
      <c r="AA1485" s="75"/>
    </row>
    <row r="1486" spans="9:27" x14ac:dyDescent="0.35">
      <c r="I1486" s="49"/>
      <c r="J1486" s="49"/>
      <c r="K1486" s="49"/>
      <c r="V1486" s="127"/>
      <c r="W1486" s="127"/>
      <c r="X1486" s="127"/>
      <c r="AA1486" s="75"/>
    </row>
    <row r="1487" spans="9:27" x14ac:dyDescent="0.35">
      <c r="I1487" s="49"/>
      <c r="J1487" s="49"/>
      <c r="K1487" s="49"/>
      <c r="V1487" s="127"/>
      <c r="W1487" s="127"/>
      <c r="X1487" s="127"/>
      <c r="AA1487" s="75"/>
    </row>
    <row r="1488" spans="9:27" x14ac:dyDescent="0.35">
      <c r="I1488" s="49"/>
      <c r="J1488" s="49"/>
      <c r="K1488" s="49"/>
      <c r="V1488" s="127"/>
      <c r="W1488" s="127"/>
      <c r="X1488" s="127"/>
      <c r="AA1488" s="75"/>
    </row>
    <row r="1489" spans="9:27" x14ac:dyDescent="0.35">
      <c r="I1489" s="49"/>
      <c r="J1489" s="49"/>
      <c r="K1489" s="49"/>
      <c r="V1489" s="127"/>
      <c r="W1489" s="127"/>
      <c r="X1489" s="127"/>
      <c r="AA1489" s="75"/>
    </row>
    <row r="1490" spans="9:27" x14ac:dyDescent="0.35">
      <c r="I1490" s="49"/>
      <c r="J1490" s="49"/>
      <c r="K1490" s="49"/>
      <c r="V1490" s="127"/>
      <c r="W1490" s="127"/>
      <c r="X1490" s="127"/>
      <c r="AA1490" s="75"/>
    </row>
    <row r="1491" spans="9:27" x14ac:dyDescent="0.35">
      <c r="I1491" s="49"/>
      <c r="J1491" s="49"/>
      <c r="K1491" s="49"/>
      <c r="V1491" s="127"/>
      <c r="W1491" s="127"/>
      <c r="X1491" s="127"/>
      <c r="AA1491" s="75"/>
    </row>
    <row r="1492" spans="9:27" x14ac:dyDescent="0.35">
      <c r="I1492" s="49"/>
      <c r="J1492" s="49"/>
      <c r="K1492" s="49"/>
      <c r="V1492" s="127"/>
      <c r="W1492" s="127"/>
      <c r="X1492" s="127"/>
      <c r="AA1492" s="75"/>
    </row>
    <row r="1493" spans="9:27" x14ac:dyDescent="0.35">
      <c r="I1493" s="49"/>
      <c r="J1493" s="49"/>
      <c r="K1493" s="49"/>
      <c r="V1493" s="127"/>
      <c r="W1493" s="127"/>
      <c r="X1493" s="127"/>
      <c r="AA1493" s="75"/>
    </row>
    <row r="1494" spans="9:27" x14ac:dyDescent="0.35">
      <c r="I1494" s="49"/>
      <c r="J1494" s="49"/>
      <c r="K1494" s="49"/>
      <c r="V1494" s="127"/>
      <c r="W1494" s="127"/>
      <c r="X1494" s="127"/>
      <c r="AA1494" s="75"/>
    </row>
    <row r="1495" spans="9:27" x14ac:dyDescent="0.35">
      <c r="I1495" s="49"/>
      <c r="J1495" s="49"/>
      <c r="K1495" s="49"/>
      <c r="V1495" s="127"/>
      <c r="W1495" s="127"/>
      <c r="X1495" s="127"/>
      <c r="AA1495" s="75"/>
    </row>
    <row r="1496" spans="9:27" x14ac:dyDescent="0.35">
      <c r="I1496" s="49"/>
      <c r="J1496" s="49"/>
      <c r="K1496" s="49"/>
      <c r="V1496" s="127"/>
      <c r="W1496" s="127"/>
      <c r="X1496" s="127"/>
      <c r="AA1496" s="75"/>
    </row>
    <row r="1497" spans="9:27" x14ac:dyDescent="0.35">
      <c r="I1497" s="49"/>
      <c r="J1497" s="49"/>
      <c r="K1497" s="49"/>
      <c r="V1497" s="127"/>
      <c r="W1497" s="127"/>
      <c r="X1497" s="127"/>
      <c r="AA1497" s="75"/>
    </row>
    <row r="1498" spans="9:27" x14ac:dyDescent="0.35">
      <c r="I1498" s="49"/>
      <c r="J1498" s="49"/>
      <c r="K1498" s="49"/>
      <c r="V1498" s="127"/>
      <c r="W1498" s="127"/>
      <c r="X1498" s="127"/>
      <c r="AA1498" s="75"/>
    </row>
    <row r="1499" spans="9:27" x14ac:dyDescent="0.35">
      <c r="I1499" s="49"/>
      <c r="J1499" s="49"/>
      <c r="K1499" s="49"/>
      <c r="V1499" s="127"/>
      <c r="W1499" s="127"/>
      <c r="X1499" s="127"/>
      <c r="AA1499" s="75"/>
    </row>
    <row r="1500" spans="9:27" x14ac:dyDescent="0.35">
      <c r="I1500" s="49"/>
      <c r="J1500" s="49"/>
      <c r="K1500" s="49"/>
      <c r="V1500" s="127"/>
      <c r="W1500" s="127"/>
      <c r="X1500" s="127"/>
      <c r="AA1500" s="75"/>
    </row>
    <row r="1501" spans="9:27" x14ac:dyDescent="0.35">
      <c r="I1501" s="49"/>
      <c r="J1501" s="49"/>
      <c r="K1501" s="49"/>
      <c r="V1501" s="127"/>
      <c r="W1501" s="127"/>
      <c r="X1501" s="127"/>
      <c r="AA1501" s="75"/>
    </row>
    <row r="1502" spans="9:27" x14ac:dyDescent="0.35">
      <c r="I1502" s="49"/>
      <c r="J1502" s="49"/>
      <c r="K1502" s="49"/>
      <c r="V1502" s="127"/>
      <c r="W1502" s="127"/>
      <c r="X1502" s="127"/>
      <c r="AA1502" s="75"/>
    </row>
    <row r="1503" spans="9:27" x14ac:dyDescent="0.35">
      <c r="I1503" s="49"/>
      <c r="J1503" s="49"/>
      <c r="K1503" s="49"/>
      <c r="V1503" s="127"/>
      <c r="W1503" s="127"/>
      <c r="X1503" s="127"/>
      <c r="AA1503" s="75"/>
    </row>
    <row r="1504" spans="9:27" x14ac:dyDescent="0.35">
      <c r="I1504" s="49"/>
      <c r="J1504" s="49"/>
      <c r="K1504" s="49"/>
      <c r="V1504" s="127"/>
      <c r="W1504" s="127"/>
      <c r="X1504" s="127"/>
      <c r="AA1504" s="75"/>
    </row>
    <row r="1505" spans="9:27" x14ac:dyDescent="0.35">
      <c r="I1505" s="49"/>
      <c r="J1505" s="49"/>
      <c r="K1505" s="49"/>
      <c r="V1505" s="127"/>
      <c r="W1505" s="127"/>
      <c r="X1505" s="127"/>
      <c r="AA1505" s="75"/>
    </row>
    <row r="1506" spans="9:27" x14ac:dyDescent="0.35">
      <c r="I1506" s="49"/>
      <c r="J1506" s="49"/>
      <c r="K1506" s="49"/>
      <c r="V1506" s="127"/>
      <c r="W1506" s="127"/>
      <c r="X1506" s="127"/>
      <c r="AA1506" s="75"/>
    </row>
    <row r="1507" spans="9:27" x14ac:dyDescent="0.35">
      <c r="I1507" s="49"/>
      <c r="J1507" s="49"/>
      <c r="K1507" s="49"/>
      <c r="V1507" s="127"/>
      <c r="W1507" s="127"/>
      <c r="X1507" s="127"/>
      <c r="AA1507" s="75"/>
    </row>
    <row r="1508" spans="9:27" x14ac:dyDescent="0.35">
      <c r="I1508" s="49"/>
      <c r="J1508" s="49"/>
      <c r="K1508" s="49"/>
      <c r="V1508" s="127"/>
      <c r="W1508" s="127"/>
      <c r="X1508" s="127"/>
      <c r="AA1508" s="75"/>
    </row>
    <row r="1509" spans="9:27" x14ac:dyDescent="0.35">
      <c r="I1509" s="49"/>
      <c r="J1509" s="49"/>
      <c r="K1509" s="49"/>
      <c r="V1509" s="127"/>
      <c r="W1509" s="127"/>
      <c r="X1509" s="127"/>
      <c r="AA1509" s="75"/>
    </row>
    <row r="1510" spans="9:27" x14ac:dyDescent="0.35">
      <c r="I1510" s="49"/>
      <c r="J1510" s="49"/>
      <c r="K1510" s="49"/>
      <c r="V1510" s="127"/>
      <c r="W1510" s="127"/>
      <c r="X1510" s="127"/>
      <c r="AA1510" s="75"/>
    </row>
    <row r="1511" spans="9:27" x14ac:dyDescent="0.35">
      <c r="I1511" s="49"/>
      <c r="J1511" s="49"/>
      <c r="K1511" s="49"/>
      <c r="V1511" s="127"/>
      <c r="W1511" s="127"/>
      <c r="X1511" s="127"/>
      <c r="AA1511" s="75"/>
    </row>
    <row r="1512" spans="9:27" x14ac:dyDescent="0.35">
      <c r="I1512" s="49"/>
      <c r="J1512" s="49"/>
      <c r="K1512" s="49"/>
      <c r="V1512" s="127"/>
      <c r="W1512" s="127"/>
      <c r="X1512" s="127"/>
      <c r="AA1512" s="75"/>
    </row>
    <row r="1513" spans="9:27" x14ac:dyDescent="0.35">
      <c r="I1513" s="49"/>
      <c r="J1513" s="49"/>
      <c r="K1513" s="49"/>
      <c r="V1513" s="127"/>
      <c r="W1513" s="127"/>
      <c r="X1513" s="127"/>
      <c r="AA1513" s="75"/>
    </row>
    <row r="1514" spans="9:27" x14ac:dyDescent="0.35">
      <c r="I1514" s="49"/>
      <c r="J1514" s="49"/>
      <c r="K1514" s="49"/>
      <c r="V1514" s="127"/>
      <c r="W1514" s="127"/>
      <c r="X1514" s="127"/>
      <c r="AA1514" s="75"/>
    </row>
    <row r="1515" spans="9:27" x14ac:dyDescent="0.35">
      <c r="I1515" s="49"/>
      <c r="J1515" s="49"/>
      <c r="K1515" s="49"/>
      <c r="V1515" s="127"/>
      <c r="W1515" s="127"/>
      <c r="X1515" s="127"/>
      <c r="AA1515" s="75"/>
    </row>
    <row r="1516" spans="9:27" x14ac:dyDescent="0.35">
      <c r="I1516" s="49"/>
      <c r="J1516" s="49"/>
      <c r="K1516" s="49"/>
      <c r="V1516" s="127"/>
      <c r="W1516" s="127"/>
      <c r="X1516" s="127"/>
      <c r="AA1516" s="75"/>
    </row>
    <row r="1517" spans="9:27" x14ac:dyDescent="0.35">
      <c r="I1517" s="49"/>
      <c r="J1517" s="49"/>
      <c r="K1517" s="49"/>
      <c r="V1517" s="127"/>
      <c r="W1517" s="127"/>
      <c r="X1517" s="127"/>
      <c r="AA1517" s="75"/>
    </row>
    <row r="1518" spans="9:27" x14ac:dyDescent="0.35">
      <c r="I1518" s="49"/>
      <c r="J1518" s="49"/>
      <c r="K1518" s="49"/>
      <c r="V1518" s="127"/>
      <c r="W1518" s="127"/>
      <c r="X1518" s="127"/>
      <c r="AA1518" s="75"/>
    </row>
    <row r="1519" spans="9:27" x14ac:dyDescent="0.35">
      <c r="I1519" s="49"/>
      <c r="J1519" s="49"/>
      <c r="K1519" s="49"/>
      <c r="V1519" s="127"/>
      <c r="W1519" s="127"/>
      <c r="X1519" s="127"/>
      <c r="AA1519" s="75"/>
    </row>
    <row r="1520" spans="9:27" x14ac:dyDescent="0.35">
      <c r="I1520" s="49"/>
      <c r="J1520" s="49"/>
      <c r="K1520" s="49"/>
      <c r="V1520" s="127"/>
      <c r="W1520" s="127"/>
      <c r="X1520" s="127"/>
      <c r="AA1520" s="75"/>
    </row>
    <row r="1521" spans="9:27" x14ac:dyDescent="0.35">
      <c r="I1521" s="49"/>
      <c r="J1521" s="49"/>
      <c r="K1521" s="49"/>
      <c r="V1521" s="127"/>
      <c r="W1521" s="127"/>
      <c r="X1521" s="127"/>
      <c r="AA1521" s="75"/>
    </row>
    <row r="1522" spans="9:27" x14ac:dyDescent="0.35">
      <c r="I1522" s="49"/>
      <c r="J1522" s="49"/>
      <c r="K1522" s="49"/>
      <c r="V1522" s="127"/>
      <c r="W1522" s="127"/>
      <c r="X1522" s="127"/>
      <c r="AA1522" s="75"/>
    </row>
    <row r="1523" spans="9:27" x14ac:dyDescent="0.35">
      <c r="I1523" s="49"/>
      <c r="J1523" s="49"/>
      <c r="K1523" s="49"/>
      <c r="V1523" s="127"/>
      <c r="W1523" s="127"/>
      <c r="X1523" s="127"/>
      <c r="AA1523" s="75"/>
    </row>
    <row r="1524" spans="9:27" x14ac:dyDescent="0.35">
      <c r="I1524" s="49"/>
      <c r="J1524" s="49"/>
      <c r="K1524" s="49"/>
      <c r="V1524" s="127"/>
      <c r="W1524" s="127"/>
      <c r="X1524" s="127"/>
      <c r="AA1524" s="75"/>
    </row>
    <row r="1525" spans="9:27" x14ac:dyDescent="0.35">
      <c r="I1525" s="49"/>
      <c r="J1525" s="49"/>
      <c r="K1525" s="49"/>
      <c r="V1525" s="127"/>
      <c r="W1525" s="127"/>
      <c r="X1525" s="127"/>
      <c r="AA1525" s="75"/>
    </row>
    <row r="1526" spans="9:27" x14ac:dyDescent="0.35">
      <c r="I1526" s="49"/>
      <c r="J1526" s="49"/>
      <c r="K1526" s="49"/>
      <c r="V1526" s="127"/>
      <c r="W1526" s="127"/>
      <c r="X1526" s="127"/>
      <c r="AA1526" s="75"/>
    </row>
    <row r="1527" spans="9:27" x14ac:dyDescent="0.35">
      <c r="I1527" s="49"/>
      <c r="J1527" s="49"/>
      <c r="K1527" s="49"/>
      <c r="V1527" s="127"/>
      <c r="W1527" s="127"/>
      <c r="X1527" s="127"/>
      <c r="AA1527" s="75"/>
    </row>
    <row r="1528" spans="9:27" x14ac:dyDescent="0.35">
      <c r="I1528" s="49"/>
      <c r="J1528" s="49"/>
      <c r="K1528" s="49"/>
      <c r="V1528" s="127"/>
      <c r="W1528" s="127"/>
      <c r="X1528" s="127"/>
      <c r="AA1528" s="75"/>
    </row>
    <row r="1529" spans="9:27" x14ac:dyDescent="0.35">
      <c r="I1529" s="49"/>
      <c r="J1529" s="49"/>
      <c r="K1529" s="49"/>
      <c r="V1529" s="127"/>
      <c r="W1529" s="127"/>
      <c r="X1529" s="127"/>
      <c r="AA1529" s="75"/>
    </row>
    <row r="1530" spans="9:27" x14ac:dyDescent="0.35">
      <c r="I1530" s="49"/>
      <c r="J1530" s="49"/>
      <c r="K1530" s="49"/>
      <c r="V1530" s="127"/>
      <c r="W1530" s="127"/>
      <c r="X1530" s="127"/>
      <c r="AA1530" s="75"/>
    </row>
    <row r="1531" spans="9:27" x14ac:dyDescent="0.35">
      <c r="I1531" s="49"/>
      <c r="J1531" s="49"/>
      <c r="K1531" s="49"/>
      <c r="V1531" s="127"/>
      <c r="W1531" s="127"/>
      <c r="X1531" s="127"/>
      <c r="AA1531" s="75"/>
    </row>
    <row r="1532" spans="9:27" x14ac:dyDescent="0.35">
      <c r="I1532" s="49"/>
      <c r="J1532" s="49"/>
      <c r="K1532" s="49"/>
      <c r="V1532" s="127"/>
      <c r="W1532" s="127"/>
      <c r="X1532" s="127"/>
      <c r="AA1532" s="75"/>
    </row>
    <row r="1533" spans="9:27" x14ac:dyDescent="0.35">
      <c r="I1533" s="49"/>
      <c r="J1533" s="49"/>
      <c r="K1533" s="49"/>
      <c r="V1533" s="127"/>
      <c r="W1533" s="127"/>
      <c r="X1533" s="127"/>
      <c r="AA1533" s="75"/>
    </row>
    <row r="1534" spans="9:27" x14ac:dyDescent="0.35">
      <c r="I1534" s="49"/>
      <c r="J1534" s="49"/>
      <c r="K1534" s="49"/>
      <c r="V1534" s="127"/>
      <c r="W1534" s="127"/>
      <c r="X1534" s="127"/>
      <c r="AA1534" s="75"/>
    </row>
    <row r="1535" spans="9:27" x14ac:dyDescent="0.35">
      <c r="I1535" s="49"/>
      <c r="J1535" s="49"/>
      <c r="K1535" s="49"/>
      <c r="V1535" s="127"/>
      <c r="W1535" s="127"/>
      <c r="X1535" s="127"/>
      <c r="AA1535" s="75"/>
    </row>
    <row r="1536" spans="9:27" x14ac:dyDescent="0.35">
      <c r="I1536" s="49"/>
      <c r="J1536" s="49"/>
      <c r="K1536" s="49"/>
      <c r="V1536" s="127"/>
      <c r="W1536" s="127"/>
      <c r="X1536" s="127"/>
      <c r="AA1536" s="75"/>
    </row>
    <row r="1537" spans="9:27" x14ac:dyDescent="0.35">
      <c r="I1537" s="49"/>
      <c r="J1537" s="49"/>
      <c r="K1537" s="49"/>
      <c r="V1537" s="127"/>
      <c r="W1537" s="127"/>
      <c r="X1537" s="127"/>
      <c r="AA1537" s="75"/>
    </row>
    <row r="1538" spans="9:27" x14ac:dyDescent="0.35">
      <c r="I1538" s="49"/>
      <c r="J1538" s="49"/>
      <c r="K1538" s="49"/>
      <c r="V1538" s="127"/>
      <c r="W1538" s="127"/>
      <c r="X1538" s="127"/>
      <c r="AA1538" s="75"/>
    </row>
    <row r="1539" spans="9:27" x14ac:dyDescent="0.35">
      <c r="I1539" s="49"/>
      <c r="J1539" s="49"/>
      <c r="K1539" s="49"/>
      <c r="V1539" s="127"/>
      <c r="W1539" s="127"/>
      <c r="X1539" s="127"/>
      <c r="AA1539" s="75"/>
    </row>
    <row r="1540" spans="9:27" x14ac:dyDescent="0.35">
      <c r="I1540" s="49"/>
      <c r="J1540" s="49"/>
      <c r="K1540" s="49"/>
      <c r="V1540" s="127"/>
      <c r="W1540" s="127"/>
      <c r="X1540" s="127"/>
      <c r="AA1540" s="75"/>
    </row>
    <row r="1541" spans="9:27" x14ac:dyDescent="0.35">
      <c r="I1541" s="49"/>
      <c r="J1541" s="49"/>
      <c r="K1541" s="49"/>
      <c r="V1541" s="127"/>
      <c r="W1541" s="127"/>
      <c r="X1541" s="127"/>
      <c r="AA1541" s="75"/>
    </row>
    <row r="1542" spans="9:27" x14ac:dyDescent="0.35">
      <c r="I1542" s="49"/>
      <c r="J1542" s="49"/>
      <c r="K1542" s="49"/>
      <c r="V1542" s="127"/>
      <c r="W1542" s="127"/>
      <c r="X1542" s="127"/>
      <c r="AA1542" s="75"/>
    </row>
    <row r="1543" spans="9:27" x14ac:dyDescent="0.35">
      <c r="I1543" s="49"/>
      <c r="J1543" s="49"/>
      <c r="K1543" s="49"/>
      <c r="V1543" s="127"/>
      <c r="W1543" s="127"/>
      <c r="X1543" s="127"/>
      <c r="AA1543" s="75"/>
    </row>
    <row r="1544" spans="9:27" x14ac:dyDescent="0.35">
      <c r="I1544" s="49"/>
      <c r="J1544" s="49"/>
      <c r="K1544" s="49"/>
      <c r="V1544" s="127"/>
      <c r="W1544" s="127"/>
      <c r="X1544" s="127"/>
      <c r="AA1544" s="75"/>
    </row>
    <row r="1545" spans="9:27" x14ac:dyDescent="0.35">
      <c r="I1545" s="49"/>
      <c r="J1545" s="49"/>
      <c r="K1545" s="49"/>
      <c r="V1545" s="127"/>
      <c r="W1545" s="127"/>
      <c r="X1545" s="127"/>
      <c r="AA1545" s="75"/>
    </row>
    <row r="1546" spans="9:27" x14ac:dyDescent="0.35">
      <c r="I1546" s="49"/>
      <c r="J1546" s="49"/>
      <c r="K1546" s="49"/>
      <c r="V1546" s="127"/>
      <c r="W1546" s="127"/>
      <c r="X1546" s="127"/>
      <c r="AA1546" s="75"/>
    </row>
    <row r="1547" spans="9:27" x14ac:dyDescent="0.35">
      <c r="I1547" s="49"/>
      <c r="J1547" s="49"/>
      <c r="K1547" s="49"/>
      <c r="V1547" s="127"/>
      <c r="W1547" s="127"/>
      <c r="X1547" s="127"/>
      <c r="AA1547" s="75"/>
    </row>
    <row r="1548" spans="9:27" x14ac:dyDescent="0.35">
      <c r="I1548" s="49"/>
      <c r="J1548" s="49"/>
      <c r="K1548" s="49"/>
      <c r="V1548" s="127"/>
      <c r="W1548" s="127"/>
      <c r="X1548" s="127"/>
      <c r="AA1548" s="75"/>
    </row>
    <row r="1549" spans="9:27" x14ac:dyDescent="0.35">
      <c r="I1549" s="49"/>
      <c r="J1549" s="49"/>
      <c r="K1549" s="49"/>
      <c r="V1549" s="127"/>
      <c r="W1549" s="127"/>
      <c r="X1549" s="127"/>
      <c r="AA1549" s="75"/>
    </row>
    <row r="1550" spans="9:27" x14ac:dyDescent="0.35">
      <c r="I1550" s="49"/>
      <c r="J1550" s="49"/>
      <c r="K1550" s="49"/>
      <c r="V1550" s="127"/>
      <c r="W1550" s="127"/>
      <c r="X1550" s="127"/>
      <c r="AA1550" s="75"/>
    </row>
    <row r="1551" spans="9:27" x14ac:dyDescent="0.35">
      <c r="I1551" s="49"/>
      <c r="J1551" s="49"/>
      <c r="K1551" s="49"/>
      <c r="V1551" s="127"/>
      <c r="W1551" s="127"/>
      <c r="X1551" s="127"/>
      <c r="AA1551" s="75"/>
    </row>
    <row r="1552" spans="9:27" x14ac:dyDescent="0.35">
      <c r="I1552" s="49"/>
      <c r="J1552" s="49"/>
      <c r="K1552" s="49"/>
      <c r="V1552" s="127"/>
      <c r="W1552" s="127"/>
      <c r="X1552" s="127"/>
      <c r="AA1552" s="75"/>
    </row>
    <row r="1553" spans="9:27" x14ac:dyDescent="0.35">
      <c r="I1553" s="49"/>
      <c r="J1553" s="49"/>
      <c r="K1553" s="49"/>
      <c r="V1553" s="127"/>
      <c r="W1553" s="127"/>
      <c r="X1553" s="127"/>
      <c r="AA1553" s="75"/>
    </row>
    <row r="1554" spans="9:27" x14ac:dyDescent="0.35">
      <c r="I1554" s="49"/>
      <c r="J1554" s="49"/>
      <c r="K1554" s="49"/>
      <c r="V1554" s="127"/>
      <c r="W1554" s="127"/>
      <c r="X1554" s="127"/>
      <c r="AA1554" s="75"/>
    </row>
    <row r="1555" spans="9:27" x14ac:dyDescent="0.35">
      <c r="I1555" s="49"/>
      <c r="J1555" s="49"/>
      <c r="K1555" s="49"/>
      <c r="V1555" s="127"/>
      <c r="W1555" s="127"/>
      <c r="X1555" s="127"/>
      <c r="AA1555" s="75"/>
    </row>
    <row r="1556" spans="9:27" x14ac:dyDescent="0.35">
      <c r="I1556" s="49"/>
      <c r="J1556" s="49"/>
      <c r="K1556" s="49"/>
      <c r="V1556" s="127"/>
      <c r="W1556" s="127"/>
      <c r="X1556" s="127"/>
      <c r="AA1556" s="75"/>
    </row>
    <row r="1557" spans="9:27" x14ac:dyDescent="0.35">
      <c r="I1557" s="49"/>
      <c r="J1557" s="49"/>
      <c r="K1557" s="49"/>
      <c r="AA1557" s="75"/>
    </row>
  </sheetData>
  <protectedRanges>
    <protectedRange password="CE28" sqref="M1:S17 N18:S367" name="Range1"/>
    <protectedRange password="CE28" sqref="AD335:AD367 AD1:AF1" name="Range1_1_1"/>
    <protectedRange password="CE28" sqref="AE2:AF2" name="Range1_2_1"/>
    <protectedRange password="CE28" sqref="AE3:AF464" name="Range1_1_1_1"/>
    <protectedRange password="CE28" sqref="U3:U335" name="Range1_1_1_2"/>
    <protectedRange password="CE28" sqref="AH1:AI2" name="Range1_3_1"/>
  </protectedRanges>
  <dataConsolidate link="1"/>
  <mergeCells count="9">
    <mergeCell ref="AH1:AI1"/>
    <mergeCell ref="B61:H61"/>
    <mergeCell ref="AA1:AF1"/>
    <mergeCell ref="U1:W1"/>
    <mergeCell ref="R1:S1"/>
    <mergeCell ref="B1:H1"/>
    <mergeCell ref="I1:K1"/>
    <mergeCell ref="M1:Q1"/>
    <mergeCell ref="B22:H22"/>
  </mergeCells>
  <phoneticPr fontId="0" type="noConversion"/>
  <printOptions headings="1"/>
  <pageMargins left="0.75" right="0.75" top="1" bottom="1" header="0.5" footer="0.5"/>
  <pageSetup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D842E-D13B-49C5-B95D-CAE7C0650FCC}">
  <sheetPr codeName="Sheet6"/>
  <dimension ref="A1:D27"/>
  <sheetViews>
    <sheetView workbookViewId="0">
      <selection activeCell="C19" sqref="C19"/>
    </sheetView>
  </sheetViews>
  <sheetFormatPr defaultRowHeight="15.5" x14ac:dyDescent="0.35"/>
  <cols>
    <col min="1" max="1" width="78.1640625" bestFit="1" customWidth="1"/>
    <col min="2" max="2" width="9.1640625" bestFit="1" customWidth="1"/>
  </cols>
  <sheetData>
    <row r="1" spans="1:4" ht="18" x14ac:dyDescent="0.35">
      <c r="A1" s="164"/>
      <c r="B1" s="93" t="s">
        <v>535</v>
      </c>
      <c r="C1" s="93" t="s">
        <v>621</v>
      </c>
      <c r="D1" s="93" t="s">
        <v>632</v>
      </c>
    </row>
    <row r="2" spans="1:4" ht="18" x14ac:dyDescent="0.35">
      <c r="A2" s="93" t="s">
        <v>618</v>
      </c>
      <c r="B2" s="165">
        <f>Reflectivity!H4</f>
        <v>90.594058321474009</v>
      </c>
      <c r="C2" s="165">
        <f>dDstack!D4</f>
        <v>35.126562716915736</v>
      </c>
      <c r="D2" s="169"/>
    </row>
    <row r="3" spans="1:4" ht="18" x14ac:dyDescent="0.35">
      <c r="A3" s="93" t="s">
        <v>628</v>
      </c>
      <c r="B3" s="165">
        <f>Reflectivity!H10</f>
        <v>1084.4115413349064</v>
      </c>
      <c r="C3" s="165">
        <f>dTotal!D4</f>
        <v>7.9394397565659931</v>
      </c>
      <c r="D3" s="169"/>
    </row>
    <row r="4" spans="1:4" ht="18" x14ac:dyDescent="0.35">
      <c r="A4" s="93" t="s">
        <v>629</v>
      </c>
      <c r="B4" s="165">
        <f>B3-B2</f>
        <v>993.81748301343237</v>
      </c>
      <c r="C4" s="165">
        <f>SQRT(C2^2+C3^2)</f>
        <v>36.012638225400195</v>
      </c>
      <c r="D4" s="169"/>
    </row>
    <row r="5" spans="1:4" x14ac:dyDescent="0.35">
      <c r="A5" s="94"/>
      <c r="B5" s="94"/>
      <c r="C5" s="94"/>
      <c r="D5" s="166"/>
    </row>
    <row r="6" spans="1:4" ht="18" x14ac:dyDescent="0.35">
      <c r="A6" s="93" t="s">
        <v>623</v>
      </c>
      <c r="B6" s="165">
        <f>Reflectivity!G4</f>
        <v>59.575372247336404</v>
      </c>
      <c r="C6" s="165">
        <f>sigDstack!D4</f>
        <v>15.937805068548931</v>
      </c>
      <c r="D6" s="169"/>
    </row>
    <row r="7" spans="1:4" ht="18" x14ac:dyDescent="0.35">
      <c r="A7" s="93" t="s">
        <v>624</v>
      </c>
      <c r="B7" s="165">
        <f>Reflectivity!G5</f>
        <v>38.05320317166165</v>
      </c>
      <c r="C7" s="165">
        <f>sigHstack!D4</f>
        <v>146.15903244175931</v>
      </c>
      <c r="D7" s="167"/>
    </row>
    <row r="9" spans="1:4" ht="18" x14ac:dyDescent="0.35">
      <c r="A9" s="93" t="s">
        <v>622</v>
      </c>
      <c r="B9" s="167">
        <f>Reflectivity!H18</f>
        <v>0.11818140491546143</v>
      </c>
      <c r="C9" s="167">
        <f>'f_d^D'!D4</f>
        <v>5.4626288160985678E-2</v>
      </c>
      <c r="D9" s="165"/>
    </row>
    <row r="10" spans="1:4" ht="18" x14ac:dyDescent="0.35">
      <c r="A10" s="93" t="s">
        <v>619</v>
      </c>
      <c r="B10" s="167">
        <f>Reflectivity!H20</f>
        <v>4.2988785728206294E-3</v>
      </c>
      <c r="C10" s="167">
        <f>'f_d^H'!D4</f>
        <v>2.1870124421204822E-2</v>
      </c>
      <c r="D10" s="165"/>
    </row>
    <row r="11" spans="1:4" ht="18" x14ac:dyDescent="0.35">
      <c r="A11" s="93" t="s">
        <v>616</v>
      </c>
      <c r="B11" s="167">
        <f>Reflectivity!H16</f>
        <v>0.33941491614281738</v>
      </c>
      <c r="C11" s="167">
        <v>0.05</v>
      </c>
      <c r="D11" s="165"/>
    </row>
    <row r="12" spans="1:4" ht="18" x14ac:dyDescent="0.35">
      <c r="A12" s="93" t="s">
        <v>615</v>
      </c>
      <c r="B12" s="167">
        <f>Reflectivity!H14</f>
        <v>1.3644558148159582</v>
      </c>
      <c r="C12" s="167">
        <v>0.05</v>
      </c>
      <c r="D12" s="167"/>
    </row>
    <row r="14" spans="1:4" ht="18" x14ac:dyDescent="0.35">
      <c r="A14" s="93" t="s">
        <v>630</v>
      </c>
      <c r="B14" s="168">
        <f>Reflectivity!C4</f>
        <v>1.9158173412387325E-6</v>
      </c>
      <c r="C14" s="168">
        <f>SQRT(C12^2*B15^2+C11^2*B16^2+C9^2*B17^2)</f>
        <v>1.6097457506172955E-7</v>
      </c>
      <c r="D14" s="168">
        <f>NbDstack!D4</f>
        <v>1.2459829530821009E-7</v>
      </c>
    </row>
    <row r="15" spans="1:4" ht="18" x14ac:dyDescent="0.35">
      <c r="A15" s="93" t="s">
        <v>625</v>
      </c>
      <c r="B15" s="168">
        <f>(1-B11)*Reflectivity!C16+B11*((1-B9)*Reflectivity!D16+B9*(Reflectivity!E18/Reflectivity!D18)*Reflectivity!E16)</f>
        <v>1.4040889565171763E-6</v>
      </c>
      <c r="C15" s="168"/>
      <c r="D15" s="167"/>
    </row>
    <row r="16" spans="1:4" ht="18" x14ac:dyDescent="0.35">
      <c r="A16" s="93" t="s">
        <v>626</v>
      </c>
      <c r="B16" s="168">
        <f>B12*(-Reflectivity!C16+(1-B9)*Reflectivity!D16+B9*(Reflectivity!E18/Reflectivity!D18)*Reflectivity!E16)</f>
        <v>-3.4536438224100176E-7</v>
      </c>
      <c r="C16" s="168"/>
      <c r="D16" s="167"/>
    </row>
    <row r="17" spans="1:4" ht="18" x14ac:dyDescent="0.35">
      <c r="A17" s="93" t="s">
        <v>627</v>
      </c>
      <c r="B17" s="168">
        <f>B12*B11*(-Reflectivity!D16+(Reflectivity!E18/Reflectivity!D18)*Reflectivity!E16)</f>
        <v>2.6329106863672814E-6</v>
      </c>
      <c r="C17" s="168"/>
      <c r="D17" s="167"/>
    </row>
    <row r="19" spans="1:4" ht="18" x14ac:dyDescent="0.35">
      <c r="A19" s="93" t="s">
        <v>645</v>
      </c>
      <c r="B19" s="168">
        <f>Reflectivity!C5</f>
        <v>1.61597482064069E-6</v>
      </c>
      <c r="C19" s="168">
        <f>SQRT(C12^2*B20^2+C11^2*B21^2+C10^2*B22^2)</f>
        <v>1.0294194867478981E-7</v>
      </c>
      <c r="D19" s="168">
        <f>NbHstack!D4</f>
        <v>5.5047125293316657E-8</v>
      </c>
    </row>
    <row r="20" spans="1:4" ht="18" x14ac:dyDescent="0.35">
      <c r="A20" s="93" t="s">
        <v>646</v>
      </c>
      <c r="B20" s="168">
        <f>B19/B12</f>
        <v>1.1843364974472679E-6</v>
      </c>
      <c r="C20" s="168"/>
      <c r="D20" s="167"/>
    </row>
    <row r="21" spans="1:4" ht="18" x14ac:dyDescent="0.35">
      <c r="A21" s="93" t="s">
        <v>647</v>
      </c>
      <c r="B21" s="168">
        <f>B12*(-Reflectivity!C16+(1-B10)*Reflectivity!D16+B10*(Reflectivity!E18/Reflectivity!D18)*Reflectivity!E16)</f>
        <v>-1.22877435138884E-6</v>
      </c>
      <c r="C21" s="168"/>
      <c r="D21" s="167"/>
    </row>
    <row r="22" spans="1:4" ht="18" x14ac:dyDescent="0.35">
      <c r="A22" s="93" t="s">
        <v>648</v>
      </c>
      <c r="B22" s="168">
        <f>B12*B11*(-Reflectivity!D16+(Reflectivity!E18/Reflectivity!D18)*Reflectivity!E16)</f>
        <v>2.6329106863672814E-6</v>
      </c>
      <c r="C22" s="168"/>
      <c r="D22" s="167"/>
    </row>
    <row r="23" spans="1:4" x14ac:dyDescent="0.35">
      <c r="A23" s="177"/>
      <c r="B23" s="76"/>
      <c r="C23" s="76"/>
      <c r="D23" s="76"/>
    </row>
    <row r="24" spans="1:4" x14ac:dyDescent="0.35">
      <c r="A24" s="177"/>
      <c r="B24" s="75"/>
      <c r="C24" s="76"/>
      <c r="D24" s="76"/>
    </row>
    <row r="25" spans="1:4" x14ac:dyDescent="0.35">
      <c r="A25" s="177"/>
      <c r="B25" s="75"/>
      <c r="C25" s="76"/>
      <c r="D25" s="76"/>
    </row>
    <row r="26" spans="1:4" x14ac:dyDescent="0.35">
      <c r="A26" s="177"/>
      <c r="B26" s="178"/>
      <c r="C26" s="76"/>
      <c r="D26" s="76"/>
    </row>
    <row r="27" spans="1:4" x14ac:dyDescent="0.35">
      <c r="A27" s="177"/>
      <c r="B27" s="178"/>
      <c r="C27" s="76"/>
      <c r="D27" s="76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E955B-47A7-4695-9197-3AEBE18A4CB2}">
  <sheetPr codeName="Sheet1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2" t="s">
        <v>531</v>
      </c>
      <c r="C1" s="122" t="s">
        <v>532</v>
      </c>
      <c r="D1" s="91" t="s">
        <v>533</v>
      </c>
      <c r="E1" s="123" t="s">
        <v>534</v>
      </c>
    </row>
    <row r="2" spans="1:5" x14ac:dyDescent="0.35">
      <c r="A2" s="97" t="s">
        <v>608</v>
      </c>
      <c r="B2" s="105">
        <v>1074</v>
      </c>
      <c r="C2" s="105">
        <v>1094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1074</v>
      </c>
      <c r="B4" s="94">
        <v>5.2069607640711935</v>
      </c>
      <c r="C4" s="106">
        <v>1084.4115413349064</v>
      </c>
      <c r="D4" s="106">
        <v>7.9394397565659931</v>
      </c>
    </row>
    <row r="5" spans="1:5" x14ac:dyDescent="0.35">
      <c r="A5" s="106">
        <v>1078</v>
      </c>
      <c r="B5" s="94">
        <v>4.1369397708231057</v>
      </c>
      <c r="C5" s="94"/>
      <c r="D5" s="94"/>
    </row>
    <row r="6" spans="1:5" x14ac:dyDescent="0.35">
      <c r="A6" s="106">
        <v>1082</v>
      </c>
      <c r="B6" s="94">
        <v>3.5775168104206507</v>
      </c>
      <c r="C6" s="94"/>
      <c r="D6" s="94"/>
    </row>
    <row r="7" spans="1:5" x14ac:dyDescent="0.35">
      <c r="A7" s="106">
        <v>1086</v>
      </c>
      <c r="B7" s="94">
        <v>3.5270563120636242</v>
      </c>
      <c r="C7" s="94"/>
      <c r="D7" s="94"/>
    </row>
    <row r="8" spans="1:5" x14ac:dyDescent="0.35">
      <c r="A8" s="106">
        <v>1090</v>
      </c>
      <c r="B8" s="94">
        <v>3.9832993454677923</v>
      </c>
      <c r="C8" s="94"/>
      <c r="D8" s="94"/>
    </row>
    <row r="9" spans="1:5" x14ac:dyDescent="0.35">
      <c r="A9" s="106">
        <v>1094</v>
      </c>
      <c r="B9" s="94">
        <v>4.9436239975965979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A490-3626-4BC9-954B-C78F198171B2}">
  <sheetPr codeName="Sheet21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605</v>
      </c>
      <c r="B2" s="105">
        <v>55</v>
      </c>
      <c r="C2" s="105">
        <v>105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55</v>
      </c>
      <c r="B4" s="94">
        <v>4.5367282700985081</v>
      </c>
      <c r="C4" s="106">
        <v>90.594058321474009</v>
      </c>
      <c r="D4" s="106">
        <v>35.126562716915736</v>
      </c>
    </row>
    <row r="5" spans="1:5" x14ac:dyDescent="0.35">
      <c r="A5" s="106">
        <v>65</v>
      </c>
      <c r="B5" s="94">
        <v>4.0677328587547796</v>
      </c>
      <c r="C5" s="94"/>
      <c r="D5" s="94"/>
    </row>
    <row r="6" spans="1:5" x14ac:dyDescent="0.35">
      <c r="A6" s="106">
        <v>75</v>
      </c>
      <c r="B6" s="94">
        <v>3.7214297703715049</v>
      </c>
      <c r="C6" s="94"/>
      <c r="D6" s="94"/>
    </row>
    <row r="7" spans="1:5" x14ac:dyDescent="0.35">
      <c r="A7" s="106">
        <v>85</v>
      </c>
      <c r="B7" s="94">
        <v>3.5355751766063985</v>
      </c>
      <c r="C7" s="94"/>
      <c r="D7" s="94"/>
    </row>
    <row r="8" spans="1:5" x14ac:dyDescent="0.35">
      <c r="A8" s="106">
        <v>95</v>
      </c>
      <c r="B8" s="94">
        <v>3.527958789995195</v>
      </c>
      <c r="C8" s="94"/>
      <c r="D8" s="94"/>
    </row>
    <row r="9" spans="1:5" x14ac:dyDescent="0.35">
      <c r="A9" s="106">
        <v>105</v>
      </c>
      <c r="B9" s="94">
        <v>3.695723168790908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7CA84-B570-486F-8CDF-D6AA5CBEBD3B}">
  <sheetPr codeName="Sheet25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617</v>
      </c>
      <c r="B2" s="162">
        <v>0.03</v>
      </c>
      <c r="C2" s="162">
        <v>0.23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0.03</v>
      </c>
      <c r="B4" s="94">
        <v>5.8880628459354618</v>
      </c>
      <c r="C4" s="161">
        <v>0.11818140491546143</v>
      </c>
      <c r="D4" s="161">
        <v>5.4626288160985678E-2</v>
      </c>
    </row>
    <row r="5" spans="1:5" x14ac:dyDescent="0.35">
      <c r="A5" s="161">
        <v>7.0000000000000007E-2</v>
      </c>
      <c r="B5" s="94">
        <v>4.431385918069604</v>
      </c>
      <c r="C5" s="94"/>
      <c r="D5" s="94"/>
    </row>
    <row r="6" spans="1:5" x14ac:dyDescent="0.35">
      <c r="A6" s="161">
        <v>0.11</v>
      </c>
      <c r="B6" s="94">
        <v>3.5982094642729145</v>
      </c>
      <c r="C6" s="94"/>
      <c r="D6" s="94"/>
    </row>
    <row r="7" spans="1:5" x14ac:dyDescent="0.35">
      <c r="A7" s="161">
        <v>0.15</v>
      </c>
      <c r="B7" s="94">
        <v>3.657606512792043</v>
      </c>
      <c r="C7" s="94"/>
      <c r="D7" s="94"/>
    </row>
    <row r="8" spans="1:5" x14ac:dyDescent="0.35">
      <c r="A8" s="161">
        <v>0.19</v>
      </c>
      <c r="B8" s="94">
        <v>4.9309908049209019</v>
      </c>
      <c r="C8" s="94"/>
      <c r="D8" s="94"/>
    </row>
    <row r="9" spans="1:5" x14ac:dyDescent="0.35">
      <c r="A9" s="161">
        <v>0.23</v>
      </c>
      <c r="B9" s="94">
        <v>7.7943641021497747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12772-DC5C-461E-AF90-0D3E99F030ED}">
  <sheetPr codeName="Sheet26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644</v>
      </c>
      <c r="B2" s="162">
        <v>-0.03</v>
      </c>
      <c r="C2" s="162">
        <v>0.03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61">
        <v>-0.03</v>
      </c>
      <c r="B4" s="94">
        <v>5.3968672433955902</v>
      </c>
      <c r="C4" s="161">
        <v>4.2988785728206294E-3</v>
      </c>
      <c r="D4" s="161">
        <v>2.1870124421204822E-2</v>
      </c>
    </row>
    <row r="5" spans="1:5" x14ac:dyDescent="0.35">
      <c r="A5" s="161">
        <v>-1.7999999999999999E-2</v>
      </c>
      <c r="B5" s="94">
        <v>4.2047939686583007</v>
      </c>
      <c r="C5" s="94"/>
      <c r="D5" s="94"/>
    </row>
    <row r="6" spans="1:5" x14ac:dyDescent="0.35">
      <c r="A6" s="161">
        <v>-5.9999999999999984E-3</v>
      </c>
      <c r="B6" s="94">
        <v>3.5897018132114553</v>
      </c>
      <c r="C6" s="94"/>
      <c r="D6" s="94"/>
    </row>
    <row r="7" spans="1:5" x14ac:dyDescent="0.35">
      <c r="A7" s="161">
        <v>6.0000000000000019E-3</v>
      </c>
      <c r="B7" s="94">
        <v>3.5665758607942073</v>
      </c>
      <c r="C7" s="94"/>
      <c r="D7" s="94"/>
    </row>
    <row r="8" spans="1:5" x14ac:dyDescent="0.35">
      <c r="A8" s="161">
        <v>1.8000000000000002E-2</v>
      </c>
      <c r="B8" s="94">
        <v>4.1541832961622758</v>
      </c>
      <c r="C8" s="94"/>
      <c r="D8" s="94"/>
    </row>
    <row r="9" spans="1:5" x14ac:dyDescent="0.35">
      <c r="A9" s="161">
        <v>3.0000000000000002E-2</v>
      </c>
      <c r="B9" s="94">
        <v>5.3718761323374915</v>
      </c>
      <c r="C9" s="94"/>
      <c r="D9" s="94"/>
    </row>
    <row r="10" spans="1:5" x14ac:dyDescent="0.35">
      <c r="A10" s="161"/>
      <c r="B10" s="94"/>
      <c r="C10" s="94"/>
      <c r="D10" s="94"/>
    </row>
    <row r="11" spans="1:5" x14ac:dyDescent="0.35">
      <c r="A11" s="161"/>
      <c r="B11" s="94"/>
      <c r="C11" s="94"/>
      <c r="D11" s="94"/>
    </row>
    <row r="12" spans="1:5" x14ac:dyDescent="0.35">
      <c r="A12" s="161"/>
      <c r="B12" s="94"/>
      <c r="C12" s="94"/>
      <c r="D12" s="94"/>
    </row>
    <row r="13" spans="1:5" x14ac:dyDescent="0.35">
      <c r="A13" s="161"/>
      <c r="B13" s="94"/>
      <c r="C13" s="94"/>
      <c r="D13" s="94"/>
    </row>
    <row r="14" spans="1:5" x14ac:dyDescent="0.35">
      <c r="A14" s="161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AA18F-798D-49A7-8BDC-56D16383BB37}">
  <sheetPr codeName="Sheet20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606</v>
      </c>
      <c r="B2" s="105">
        <v>49</v>
      </c>
      <c r="C2" s="105">
        <v>73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49</v>
      </c>
      <c r="B4" s="94">
        <v>3.9797404226593867</v>
      </c>
      <c r="C4" s="106">
        <v>59.575372247336404</v>
      </c>
      <c r="D4" s="106">
        <v>15.937805068548931</v>
      </c>
    </row>
    <row r="5" spans="1:5" x14ac:dyDescent="0.35">
      <c r="A5" s="106">
        <v>53.8</v>
      </c>
      <c r="B5" s="94">
        <v>3.6399226119934069</v>
      </c>
      <c r="C5" s="94"/>
      <c r="D5" s="94"/>
    </row>
    <row r="6" spans="1:5" x14ac:dyDescent="0.35">
      <c r="A6" s="106">
        <v>58.6</v>
      </c>
      <c r="B6" s="94">
        <v>3.519859513562837</v>
      </c>
      <c r="C6" s="94"/>
      <c r="D6" s="94"/>
    </row>
    <row r="7" spans="1:5" x14ac:dyDescent="0.35">
      <c r="A7" s="106">
        <v>63.4</v>
      </c>
      <c r="B7" s="94">
        <v>3.5945223222507905</v>
      </c>
      <c r="C7" s="94"/>
      <c r="D7" s="94"/>
    </row>
    <row r="8" spans="1:5" x14ac:dyDescent="0.35">
      <c r="A8" s="106">
        <v>68.2</v>
      </c>
      <c r="B8" s="94">
        <v>3.8375231647949968</v>
      </c>
      <c r="C8" s="94"/>
      <c r="D8" s="94"/>
    </row>
    <row r="9" spans="1:5" x14ac:dyDescent="0.35">
      <c r="A9" s="106">
        <v>73</v>
      </c>
      <c r="B9" s="94">
        <v>4.223136693917084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254B7-368A-46DA-9DDA-889088EFF3BB}">
  <sheetPr codeName="Sheet22"/>
  <dimension ref="A1:E357"/>
  <sheetViews>
    <sheetView workbookViewId="0">
      <selection activeCell="C2" sqref="C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609</v>
      </c>
      <c r="B2" s="105">
        <v>5</v>
      </c>
      <c r="C2" s="105">
        <v>130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106">
        <v>5</v>
      </c>
      <c r="B4" s="94">
        <v>3.5296257653212164</v>
      </c>
      <c r="C4" s="106">
        <v>38.05320317166165</v>
      </c>
      <c r="D4" s="106">
        <v>146.15903244175931</v>
      </c>
    </row>
    <row r="5" spans="1:5" x14ac:dyDescent="0.35">
      <c r="A5" s="106">
        <v>30</v>
      </c>
      <c r="B5" s="94">
        <v>3.5124471543618356</v>
      </c>
      <c r="C5" s="94"/>
      <c r="D5" s="94"/>
    </row>
    <row r="6" spans="1:5" x14ac:dyDescent="0.35">
      <c r="A6" s="106">
        <v>55</v>
      </c>
      <c r="B6" s="94">
        <v>3.4889410812194539</v>
      </c>
      <c r="C6" s="94"/>
      <c r="D6" s="94"/>
    </row>
    <row r="7" spans="1:5" x14ac:dyDescent="0.35">
      <c r="A7" s="106">
        <v>80</v>
      </c>
      <c r="B7" s="94">
        <v>3.5622873835396298</v>
      </c>
      <c r="C7" s="94"/>
      <c r="D7" s="94"/>
    </row>
    <row r="8" spans="1:5" x14ac:dyDescent="0.35">
      <c r="A8" s="106">
        <v>105</v>
      </c>
      <c r="B8" s="94">
        <v>3.7041919175572731</v>
      </c>
      <c r="C8" s="94"/>
      <c r="D8" s="94"/>
    </row>
    <row r="9" spans="1:5" x14ac:dyDescent="0.35">
      <c r="A9" s="106">
        <v>130</v>
      </c>
      <c r="B9" s="94">
        <v>3.8823623961209046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F529B-212F-42FB-825D-B26BC6361C33}">
  <sheetPr codeName="Sheet30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635</v>
      </c>
      <c r="B2" s="119">
        <v>1.9999999999999999E-6</v>
      </c>
      <c r="C2" s="119">
        <v>2.12E-6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1.9999999999999999E-6</v>
      </c>
      <c r="B4" s="94">
        <v>3.714613247282323</v>
      </c>
      <c r="C4" s="99">
        <v>2.0313826024664576E-6</v>
      </c>
      <c r="D4" s="99">
        <v>6.4897320239015636E-8</v>
      </c>
    </row>
    <row r="5" spans="1:5" x14ac:dyDescent="0.35">
      <c r="A5" s="99">
        <v>2.024E-6</v>
      </c>
      <c r="B5" s="94">
        <v>3.5029176983797101</v>
      </c>
      <c r="C5" s="94"/>
      <c r="D5" s="94"/>
    </row>
    <row r="6" spans="1:5" x14ac:dyDescent="0.35">
      <c r="A6" s="99">
        <v>2.0480000000000001E-6</v>
      </c>
      <c r="B6" s="94">
        <v>3.5337897752163179</v>
      </c>
      <c r="C6" s="94"/>
      <c r="D6" s="94"/>
    </row>
    <row r="7" spans="1:5" x14ac:dyDescent="0.35">
      <c r="A7" s="99">
        <v>2.0719999999999998E-6</v>
      </c>
      <c r="B7" s="94">
        <v>3.9314561724490802</v>
      </c>
      <c r="C7" s="94"/>
      <c r="D7" s="94"/>
    </row>
    <row r="8" spans="1:5" x14ac:dyDescent="0.35">
      <c r="A8" s="99">
        <v>2.0959999999999999E-6</v>
      </c>
      <c r="B8" s="94">
        <v>4.4124614878657349</v>
      </c>
      <c r="C8" s="94"/>
      <c r="D8" s="94"/>
    </row>
    <row r="9" spans="1:5" x14ac:dyDescent="0.35">
      <c r="A9" s="99">
        <v>2.12E-6</v>
      </c>
      <c r="B9" s="94">
        <v>5.3724061266013221</v>
      </c>
      <c r="C9" s="94"/>
      <c r="D9" s="94"/>
    </row>
    <row r="10" spans="1:5" x14ac:dyDescent="0.35">
      <c r="B10" s="94"/>
      <c r="C10" s="94"/>
      <c r="D10" s="94"/>
    </row>
    <row r="11" spans="1:5" x14ac:dyDescent="0.35">
      <c r="B11" s="94"/>
      <c r="C11" s="94"/>
      <c r="D11" s="94"/>
    </row>
    <row r="12" spans="1:5" x14ac:dyDescent="0.35">
      <c r="B12" s="94"/>
      <c r="C12" s="94"/>
      <c r="D12" s="94"/>
    </row>
    <row r="13" spans="1:5" x14ac:dyDescent="0.35">
      <c r="B13" s="94"/>
      <c r="C13" s="94"/>
      <c r="D13" s="94"/>
    </row>
    <row r="14" spans="1:5" x14ac:dyDescent="0.35"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E0C15-0008-449B-921E-67D70BA64139}">
  <sheetPr codeName="Sheet28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633</v>
      </c>
      <c r="B2" s="119">
        <v>1.7999999999999999E-6</v>
      </c>
      <c r="C2" s="119">
        <v>1.9999999999999999E-6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1.7999999999999999E-6</v>
      </c>
      <c r="B4" s="94">
        <v>5.3662943900085658</v>
      </c>
      <c r="C4" s="99">
        <v>1.9096489004965987E-6</v>
      </c>
      <c r="D4" s="99">
        <v>1.2459829530821009E-7</v>
      </c>
    </row>
    <row r="5" spans="1:5" x14ac:dyDescent="0.35">
      <c r="A5" s="99">
        <v>1.84E-6</v>
      </c>
      <c r="B5" s="94">
        <v>4.9370396893715736</v>
      </c>
      <c r="C5" s="94"/>
      <c r="D5" s="94"/>
    </row>
    <row r="6" spans="1:5" x14ac:dyDescent="0.35">
      <c r="A6" s="99">
        <v>1.88E-6</v>
      </c>
      <c r="B6" s="94">
        <v>4.6735941022677583</v>
      </c>
      <c r="C6" s="94"/>
      <c r="D6" s="94"/>
    </row>
    <row r="7" spans="1:5" x14ac:dyDescent="0.35">
      <c r="A7" s="99">
        <v>1.9199999999999998E-6</v>
      </c>
      <c r="B7" s="94">
        <v>4.6016821858018595</v>
      </c>
      <c r="C7" s="94"/>
      <c r="D7" s="94"/>
    </row>
    <row r="8" spans="1:5" x14ac:dyDescent="0.35">
      <c r="A8" s="99">
        <v>1.9599999999999999E-6</v>
      </c>
      <c r="B8" s="94">
        <v>4.7490362456933255</v>
      </c>
      <c r="C8" s="94"/>
      <c r="D8" s="94"/>
    </row>
    <row r="9" spans="1:5" x14ac:dyDescent="0.35">
      <c r="A9" s="99">
        <v>1.9999999999999999E-6</v>
      </c>
      <c r="B9" s="94">
        <v>5.1454288270096136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46DB7-2E24-4881-B937-EE9AE708C38D}">
  <sheetPr codeName="Sheet24"/>
  <dimension ref="A1:E357"/>
  <sheetViews>
    <sheetView workbookViewId="0">
      <selection activeCell="D2" sqref="D2"/>
    </sheetView>
  </sheetViews>
  <sheetFormatPr defaultRowHeight="15.5" x14ac:dyDescent="0.35"/>
  <cols>
    <col min="1" max="1" width="8.58203125" style="99" bestFit="1" customWidth="1"/>
    <col min="2" max="2" width="8.58203125" style="95" bestFit="1" customWidth="1"/>
    <col min="3" max="4" width="8.58203125" bestFit="1" customWidth="1"/>
  </cols>
  <sheetData>
    <row r="1" spans="1:5" ht="18" x14ac:dyDescent="0.35">
      <c r="A1" s="96" t="s">
        <v>530</v>
      </c>
      <c r="B1" s="123" t="s">
        <v>531</v>
      </c>
      <c r="C1" s="123" t="s">
        <v>532</v>
      </c>
      <c r="D1" s="91" t="s">
        <v>533</v>
      </c>
      <c r="E1" s="123" t="s">
        <v>534</v>
      </c>
    </row>
    <row r="2" spans="1:5" x14ac:dyDescent="0.35">
      <c r="A2" s="97" t="s">
        <v>631</v>
      </c>
      <c r="B2" s="119">
        <v>1.5799999999999999E-6</v>
      </c>
      <c r="C2" s="119">
        <v>1.68E-6</v>
      </c>
      <c r="D2" s="92">
        <v>5</v>
      </c>
      <c r="E2" s="123" t="s">
        <v>601</v>
      </c>
    </row>
    <row r="3" spans="1:5" ht="18" x14ac:dyDescent="0.35">
      <c r="A3" s="98" t="s">
        <v>535</v>
      </c>
      <c r="B3" s="93" t="s">
        <v>536</v>
      </c>
      <c r="C3" s="93" t="s">
        <v>537</v>
      </c>
      <c r="D3" s="93" t="s">
        <v>538</v>
      </c>
    </row>
    <row r="4" spans="1:5" x14ac:dyDescent="0.35">
      <c r="A4" s="99">
        <v>1.5799999999999999E-6</v>
      </c>
      <c r="B4" s="94">
        <v>4.015103055233558</v>
      </c>
      <c r="C4" s="99">
        <v>1.6170889217104693E-6</v>
      </c>
      <c r="D4" s="99">
        <v>5.5047125293316657E-8</v>
      </c>
    </row>
    <row r="5" spans="1:5" x14ac:dyDescent="0.35">
      <c r="A5" s="99">
        <v>1.5999999999999999E-6</v>
      </c>
      <c r="B5" s="94">
        <v>3.661452853883655</v>
      </c>
      <c r="C5" s="94"/>
      <c r="D5" s="94"/>
    </row>
    <row r="6" spans="1:5" x14ac:dyDescent="0.35">
      <c r="A6" s="99">
        <v>1.6199999999999999E-6</v>
      </c>
      <c r="B6" s="94">
        <v>3.5669880923418766</v>
      </c>
      <c r="C6" s="94"/>
      <c r="D6" s="94"/>
    </row>
    <row r="7" spans="1:5" x14ac:dyDescent="0.35">
      <c r="A7" s="99">
        <v>1.64E-6</v>
      </c>
      <c r="B7" s="94">
        <v>3.7347128781213534</v>
      </c>
      <c r="C7" s="94"/>
      <c r="D7" s="94"/>
    </row>
    <row r="8" spans="1:5" x14ac:dyDescent="0.35">
      <c r="A8" s="99">
        <v>1.66E-6</v>
      </c>
      <c r="B8" s="94">
        <v>4.1680676622388644</v>
      </c>
      <c r="C8" s="94"/>
      <c r="D8" s="94"/>
    </row>
    <row r="9" spans="1:5" x14ac:dyDescent="0.35">
      <c r="A9" s="99">
        <v>1.68E-6</v>
      </c>
      <c r="B9" s="94">
        <v>4.8706189205723094</v>
      </c>
      <c r="C9" s="94"/>
      <c r="D9" s="94"/>
    </row>
    <row r="10" spans="1:5" x14ac:dyDescent="0.35">
      <c r="A10" s="106"/>
      <c r="B10" s="94"/>
      <c r="C10" s="94"/>
      <c r="D10" s="94"/>
    </row>
    <row r="11" spans="1:5" x14ac:dyDescent="0.35">
      <c r="A11" s="106"/>
      <c r="B11" s="94"/>
      <c r="C11" s="94"/>
      <c r="D11" s="94"/>
    </row>
    <row r="12" spans="1:5" x14ac:dyDescent="0.35">
      <c r="A12" s="106"/>
      <c r="B12" s="94"/>
      <c r="C12" s="94"/>
      <c r="D12" s="94"/>
    </row>
    <row r="13" spans="1:5" x14ac:dyDescent="0.35">
      <c r="A13" s="106"/>
      <c r="B13" s="94"/>
      <c r="C13" s="94"/>
      <c r="D13" s="94"/>
    </row>
    <row r="14" spans="1:5" x14ac:dyDescent="0.35">
      <c r="A14" s="106"/>
      <c r="B14" s="94"/>
      <c r="C14" s="94"/>
      <c r="D14" s="94"/>
    </row>
    <row r="15" spans="1:5" x14ac:dyDescent="0.35">
      <c r="A15" s="106"/>
      <c r="B15" s="94"/>
      <c r="C15" s="94"/>
      <c r="D15" s="94"/>
    </row>
    <row r="16" spans="1:5" x14ac:dyDescent="0.35">
      <c r="A16" s="106"/>
      <c r="B16" s="94"/>
      <c r="C16" s="94"/>
      <c r="D16" s="94"/>
    </row>
    <row r="17" spans="1:4" x14ac:dyDescent="0.35">
      <c r="A17" s="106"/>
      <c r="B17" s="94"/>
      <c r="C17" s="94"/>
      <c r="D17" s="94"/>
    </row>
    <row r="18" spans="1:4" x14ac:dyDescent="0.35">
      <c r="A18" s="106"/>
      <c r="B18" s="94"/>
      <c r="C18" s="94"/>
      <c r="D18" s="94"/>
    </row>
    <row r="19" spans="1:4" x14ac:dyDescent="0.35">
      <c r="A19" s="106"/>
      <c r="B19" s="94"/>
      <c r="C19" s="94"/>
      <c r="D19" s="94"/>
    </row>
    <row r="20" spans="1:4" x14ac:dyDescent="0.35">
      <c r="A20" s="106"/>
      <c r="B20" s="94"/>
      <c r="C20" s="94"/>
      <c r="D20" s="94"/>
    </row>
    <row r="21" spans="1:4" x14ac:dyDescent="0.35">
      <c r="A21" s="106"/>
      <c r="B21" s="94"/>
      <c r="C21" s="94"/>
      <c r="D21" s="94"/>
    </row>
    <row r="22" spans="1:4" x14ac:dyDescent="0.35">
      <c r="A22" s="106"/>
      <c r="B22" s="94"/>
      <c r="C22" s="94"/>
      <c r="D22" s="94"/>
    </row>
    <row r="23" spans="1:4" x14ac:dyDescent="0.35">
      <c r="A23" s="106"/>
      <c r="B23" s="94"/>
      <c r="C23" s="94"/>
      <c r="D23" s="94"/>
    </row>
    <row r="24" spans="1:4" x14ac:dyDescent="0.35">
      <c r="A24" s="106"/>
      <c r="B24" s="94"/>
      <c r="C24" s="94"/>
      <c r="D24" s="94"/>
    </row>
    <row r="25" spans="1:4" x14ac:dyDescent="0.35">
      <c r="B25" s="94"/>
      <c r="C25" s="94"/>
      <c r="D25" s="94"/>
    </row>
    <row r="26" spans="1:4" x14ac:dyDescent="0.35">
      <c r="B26" s="94"/>
      <c r="C26" s="94"/>
      <c r="D26" s="94"/>
    </row>
    <row r="27" spans="1:4" x14ac:dyDescent="0.35">
      <c r="B27" s="94"/>
      <c r="C27" s="94"/>
      <c r="D27" s="94"/>
    </row>
    <row r="28" spans="1:4" x14ac:dyDescent="0.35">
      <c r="B28" s="94"/>
      <c r="C28" s="94"/>
      <c r="D28" s="94"/>
    </row>
    <row r="29" spans="1:4" x14ac:dyDescent="0.35">
      <c r="B29" s="94"/>
      <c r="C29" s="94"/>
      <c r="D29" s="94"/>
    </row>
    <row r="30" spans="1:4" x14ac:dyDescent="0.35">
      <c r="B30" s="94"/>
      <c r="C30" s="94"/>
      <c r="D30" s="94"/>
    </row>
    <row r="31" spans="1:4" x14ac:dyDescent="0.35">
      <c r="B31" s="94"/>
      <c r="C31" s="94"/>
      <c r="D31" s="94"/>
    </row>
    <row r="32" spans="1:4" x14ac:dyDescent="0.35">
      <c r="B32" s="94"/>
      <c r="C32" s="94"/>
      <c r="D32" s="94"/>
    </row>
    <row r="33" spans="2:4" x14ac:dyDescent="0.35">
      <c r="B33" s="94"/>
      <c r="C33" s="94"/>
      <c r="D33" s="94"/>
    </row>
    <row r="34" spans="2:4" x14ac:dyDescent="0.35">
      <c r="B34" s="94"/>
      <c r="C34" s="94"/>
      <c r="D34" s="94"/>
    </row>
    <row r="35" spans="2:4" x14ac:dyDescent="0.35">
      <c r="C35" s="94"/>
      <c r="D35" s="94"/>
    </row>
    <row r="36" spans="2:4" x14ac:dyDescent="0.35">
      <c r="C36" s="94"/>
      <c r="D36" s="94"/>
    </row>
    <row r="37" spans="2:4" x14ac:dyDescent="0.35">
      <c r="C37" s="94"/>
      <c r="D37" s="94"/>
    </row>
    <row r="38" spans="2:4" x14ac:dyDescent="0.35">
      <c r="C38" s="94"/>
      <c r="D38" s="94"/>
    </row>
    <row r="39" spans="2:4" x14ac:dyDescent="0.35">
      <c r="C39" s="94"/>
      <c r="D39" s="94"/>
    </row>
    <row r="40" spans="2:4" x14ac:dyDescent="0.35">
      <c r="C40" s="94"/>
      <c r="D40" s="94"/>
    </row>
    <row r="41" spans="2:4" x14ac:dyDescent="0.35">
      <c r="C41" s="94"/>
      <c r="D41" s="94"/>
    </row>
    <row r="42" spans="2:4" x14ac:dyDescent="0.35">
      <c r="C42" s="94"/>
      <c r="D42" s="94"/>
    </row>
    <row r="43" spans="2:4" x14ac:dyDescent="0.35">
      <c r="C43" s="94"/>
      <c r="D43" s="94"/>
    </row>
    <row r="44" spans="2:4" x14ac:dyDescent="0.35">
      <c r="C44" s="94"/>
      <c r="D44" s="94"/>
    </row>
    <row r="45" spans="2:4" x14ac:dyDescent="0.35">
      <c r="C45" s="94"/>
      <c r="D45" s="94"/>
    </row>
    <row r="46" spans="2:4" x14ac:dyDescent="0.35">
      <c r="C46" s="94"/>
      <c r="D46" s="94"/>
    </row>
    <row r="47" spans="2:4" x14ac:dyDescent="0.35">
      <c r="C47" s="94"/>
      <c r="D47" s="94"/>
    </row>
    <row r="48" spans="2:4" x14ac:dyDescent="0.35">
      <c r="C48" s="94"/>
      <c r="D48" s="94"/>
    </row>
    <row r="49" spans="3:4" x14ac:dyDescent="0.35">
      <c r="C49" s="94"/>
      <c r="D49" s="94"/>
    </row>
    <row r="50" spans="3:4" x14ac:dyDescent="0.35">
      <c r="C50" s="94"/>
      <c r="D50" s="94"/>
    </row>
    <row r="51" spans="3:4" x14ac:dyDescent="0.35">
      <c r="C51" s="94"/>
      <c r="D51" s="94"/>
    </row>
    <row r="52" spans="3:4" x14ac:dyDescent="0.35">
      <c r="C52" s="94"/>
      <c r="D52" s="94"/>
    </row>
    <row r="53" spans="3:4" x14ac:dyDescent="0.35">
      <c r="C53" s="94"/>
      <c r="D53" s="94"/>
    </row>
    <row r="54" spans="3:4" x14ac:dyDescent="0.35">
      <c r="C54" s="94"/>
      <c r="D54" s="94"/>
    </row>
    <row r="55" spans="3:4" x14ac:dyDescent="0.35">
      <c r="C55" s="94"/>
      <c r="D55" s="94"/>
    </row>
    <row r="56" spans="3:4" x14ac:dyDescent="0.35">
      <c r="C56" s="94"/>
      <c r="D56" s="94"/>
    </row>
    <row r="57" spans="3:4" x14ac:dyDescent="0.35">
      <c r="C57" s="94"/>
      <c r="D57" s="94"/>
    </row>
    <row r="58" spans="3:4" x14ac:dyDescent="0.35">
      <c r="C58" s="94"/>
      <c r="D58" s="94"/>
    </row>
    <row r="59" spans="3:4" x14ac:dyDescent="0.35">
      <c r="C59" s="94"/>
      <c r="D59" s="94"/>
    </row>
    <row r="60" spans="3:4" x14ac:dyDescent="0.35">
      <c r="C60" s="94"/>
      <c r="D60" s="94"/>
    </row>
    <row r="61" spans="3:4" x14ac:dyDescent="0.35">
      <c r="C61" s="94"/>
      <c r="D61" s="94"/>
    </row>
    <row r="62" spans="3:4" x14ac:dyDescent="0.35">
      <c r="C62" s="94"/>
      <c r="D62" s="94"/>
    </row>
    <row r="63" spans="3:4" x14ac:dyDescent="0.35">
      <c r="C63" s="94"/>
      <c r="D63" s="94"/>
    </row>
    <row r="64" spans="3:4" x14ac:dyDescent="0.35">
      <c r="C64" s="94"/>
      <c r="D64" s="94"/>
    </row>
    <row r="65" spans="3:4" x14ac:dyDescent="0.35">
      <c r="C65" s="94"/>
      <c r="D65" s="94"/>
    </row>
    <row r="66" spans="3:4" x14ac:dyDescent="0.35">
      <c r="C66" s="94"/>
      <c r="D66" s="94"/>
    </row>
    <row r="67" spans="3:4" x14ac:dyDescent="0.35">
      <c r="C67" s="94"/>
      <c r="D67" s="94"/>
    </row>
    <row r="68" spans="3:4" x14ac:dyDescent="0.35">
      <c r="C68" s="94"/>
      <c r="D68" s="94"/>
    </row>
    <row r="69" spans="3:4" x14ac:dyDescent="0.35">
      <c r="C69" s="94"/>
      <c r="D69" s="94"/>
    </row>
    <row r="70" spans="3:4" x14ac:dyDescent="0.35">
      <c r="C70" s="94"/>
      <c r="D70" s="94"/>
    </row>
    <row r="71" spans="3:4" x14ac:dyDescent="0.35">
      <c r="C71" s="94"/>
      <c r="D71" s="94"/>
    </row>
    <row r="72" spans="3:4" x14ac:dyDescent="0.35">
      <c r="C72" s="94"/>
      <c r="D72" s="94"/>
    </row>
    <row r="73" spans="3:4" x14ac:dyDescent="0.35">
      <c r="C73" s="94"/>
      <c r="D73" s="94"/>
    </row>
    <row r="74" spans="3:4" x14ac:dyDescent="0.35">
      <c r="C74" s="94"/>
      <c r="D74" s="94"/>
    </row>
    <row r="75" spans="3:4" x14ac:dyDescent="0.35">
      <c r="C75" s="94"/>
      <c r="D75" s="94"/>
    </row>
    <row r="76" spans="3:4" x14ac:dyDescent="0.35">
      <c r="C76" s="94"/>
      <c r="D76" s="94"/>
    </row>
    <row r="77" spans="3:4" x14ac:dyDescent="0.35">
      <c r="C77" s="94"/>
      <c r="D77" s="94"/>
    </row>
    <row r="78" spans="3:4" x14ac:dyDescent="0.35">
      <c r="C78" s="94"/>
      <c r="D78" s="94"/>
    </row>
    <row r="79" spans="3:4" x14ac:dyDescent="0.35">
      <c r="C79" s="94"/>
      <c r="D79" s="94"/>
    </row>
    <row r="80" spans="3:4" x14ac:dyDescent="0.35">
      <c r="C80" s="94"/>
      <c r="D80" s="94"/>
    </row>
    <row r="81" spans="3:4" x14ac:dyDescent="0.35">
      <c r="C81" s="94"/>
      <c r="D81" s="94"/>
    </row>
    <row r="82" spans="3:4" x14ac:dyDescent="0.35">
      <c r="C82" s="94"/>
      <c r="D82" s="94"/>
    </row>
    <row r="83" spans="3:4" x14ac:dyDescent="0.35">
      <c r="C83" s="94"/>
      <c r="D83" s="94"/>
    </row>
    <row r="84" spans="3:4" x14ac:dyDescent="0.35">
      <c r="C84" s="94"/>
      <c r="D84" s="94"/>
    </row>
    <row r="85" spans="3:4" x14ac:dyDescent="0.35">
      <c r="C85" s="94"/>
      <c r="D85" s="94"/>
    </row>
    <row r="86" spans="3:4" x14ac:dyDescent="0.35">
      <c r="C86" s="94"/>
      <c r="D86" s="94"/>
    </row>
    <row r="87" spans="3:4" x14ac:dyDescent="0.35">
      <c r="C87" s="94"/>
      <c r="D87" s="94"/>
    </row>
    <row r="88" spans="3:4" x14ac:dyDescent="0.35">
      <c r="C88" s="94"/>
      <c r="D88" s="94"/>
    </row>
    <row r="89" spans="3:4" x14ac:dyDescent="0.35">
      <c r="C89" s="94"/>
      <c r="D89" s="94"/>
    </row>
    <row r="90" spans="3:4" x14ac:dyDescent="0.35">
      <c r="C90" s="94"/>
      <c r="D90" s="94"/>
    </row>
    <row r="91" spans="3:4" x14ac:dyDescent="0.35">
      <c r="C91" s="94"/>
      <c r="D91" s="94"/>
    </row>
    <row r="92" spans="3:4" x14ac:dyDescent="0.35">
      <c r="C92" s="94"/>
      <c r="D92" s="94"/>
    </row>
    <row r="93" spans="3:4" x14ac:dyDescent="0.35">
      <c r="C93" s="94"/>
      <c r="D93" s="94"/>
    </row>
    <row r="94" spans="3:4" x14ac:dyDescent="0.35">
      <c r="C94" s="94"/>
      <c r="D94" s="94"/>
    </row>
    <row r="95" spans="3:4" x14ac:dyDescent="0.35">
      <c r="C95" s="94"/>
      <c r="D95" s="94"/>
    </row>
    <row r="96" spans="3:4" x14ac:dyDescent="0.35">
      <c r="C96" s="94"/>
      <c r="D96" s="94"/>
    </row>
    <row r="97" spans="3:4" x14ac:dyDescent="0.35">
      <c r="C97" s="94"/>
      <c r="D97" s="94"/>
    </row>
    <row r="98" spans="3:4" x14ac:dyDescent="0.35">
      <c r="C98" s="94"/>
      <c r="D98" s="94"/>
    </row>
    <row r="99" spans="3:4" x14ac:dyDescent="0.35">
      <c r="C99" s="94"/>
      <c r="D99" s="94"/>
    </row>
    <row r="100" spans="3:4" x14ac:dyDescent="0.35">
      <c r="C100" s="94"/>
      <c r="D100" s="94"/>
    </row>
    <row r="101" spans="3:4" x14ac:dyDescent="0.35">
      <c r="C101" s="94"/>
      <c r="D101" s="94"/>
    </row>
    <row r="102" spans="3:4" x14ac:dyDescent="0.35">
      <c r="C102" s="94"/>
      <c r="D102" s="94"/>
    </row>
    <row r="103" spans="3:4" x14ac:dyDescent="0.35">
      <c r="C103" s="94"/>
      <c r="D103" s="94"/>
    </row>
    <row r="104" spans="3:4" x14ac:dyDescent="0.35">
      <c r="C104" s="94"/>
      <c r="D104" s="94"/>
    </row>
    <row r="105" spans="3:4" x14ac:dyDescent="0.35">
      <c r="C105" s="94"/>
      <c r="D105" s="94"/>
    </row>
    <row r="106" spans="3:4" x14ac:dyDescent="0.35">
      <c r="C106" s="94"/>
      <c r="D106" s="94"/>
    </row>
    <row r="107" spans="3:4" x14ac:dyDescent="0.35">
      <c r="C107" s="94"/>
      <c r="D107" s="94"/>
    </row>
    <row r="108" spans="3:4" x14ac:dyDescent="0.35">
      <c r="C108" s="94"/>
      <c r="D108" s="94"/>
    </row>
    <row r="109" spans="3:4" x14ac:dyDescent="0.35">
      <c r="C109" s="94"/>
      <c r="D109" s="94"/>
    </row>
    <row r="110" spans="3:4" x14ac:dyDescent="0.35">
      <c r="C110" s="94"/>
      <c r="D110" s="94"/>
    </row>
    <row r="111" spans="3:4" x14ac:dyDescent="0.35">
      <c r="C111" s="94"/>
      <c r="D111" s="94"/>
    </row>
    <row r="112" spans="3:4" x14ac:dyDescent="0.35">
      <c r="C112" s="94"/>
      <c r="D112" s="94"/>
    </row>
    <row r="113" spans="3:4" x14ac:dyDescent="0.35">
      <c r="C113" s="94"/>
      <c r="D113" s="94"/>
    </row>
    <row r="114" spans="3:4" x14ac:dyDescent="0.35">
      <c r="C114" s="94"/>
      <c r="D114" s="94"/>
    </row>
    <row r="115" spans="3:4" x14ac:dyDescent="0.35">
      <c r="C115" s="94"/>
      <c r="D115" s="94"/>
    </row>
    <row r="116" spans="3:4" x14ac:dyDescent="0.35">
      <c r="C116" s="94"/>
      <c r="D116" s="94"/>
    </row>
    <row r="117" spans="3:4" x14ac:dyDescent="0.35">
      <c r="C117" s="94"/>
      <c r="D117" s="94"/>
    </row>
    <row r="118" spans="3:4" x14ac:dyDescent="0.35">
      <c r="C118" s="94"/>
      <c r="D118" s="94"/>
    </row>
    <row r="119" spans="3:4" x14ac:dyDescent="0.35">
      <c r="C119" s="94"/>
      <c r="D119" s="94"/>
    </row>
    <row r="120" spans="3:4" x14ac:dyDescent="0.35">
      <c r="C120" s="94"/>
      <c r="D120" s="94"/>
    </row>
    <row r="121" spans="3:4" x14ac:dyDescent="0.35">
      <c r="C121" s="94"/>
      <c r="D121" s="94"/>
    </row>
    <row r="122" spans="3:4" x14ac:dyDescent="0.35">
      <c r="C122" s="94"/>
      <c r="D122" s="94"/>
    </row>
    <row r="123" spans="3:4" x14ac:dyDescent="0.35">
      <c r="C123" s="94"/>
      <c r="D123" s="94"/>
    </row>
    <row r="124" spans="3:4" x14ac:dyDescent="0.35">
      <c r="C124" s="94"/>
      <c r="D124" s="94"/>
    </row>
    <row r="125" spans="3:4" x14ac:dyDescent="0.35">
      <c r="C125" s="94"/>
      <c r="D125" s="94"/>
    </row>
    <row r="126" spans="3:4" x14ac:dyDescent="0.35">
      <c r="C126" s="94"/>
      <c r="D126" s="94"/>
    </row>
    <row r="127" spans="3:4" x14ac:dyDescent="0.35">
      <c r="C127" s="94"/>
      <c r="D127" s="94"/>
    </row>
    <row r="128" spans="3:4" x14ac:dyDescent="0.35">
      <c r="C128" s="94"/>
      <c r="D128" s="94"/>
    </row>
    <row r="129" spans="3:4" x14ac:dyDescent="0.35">
      <c r="C129" s="94"/>
      <c r="D129" s="94"/>
    </row>
    <row r="130" spans="3:4" x14ac:dyDescent="0.35">
      <c r="C130" s="94"/>
      <c r="D130" s="94"/>
    </row>
    <row r="131" spans="3:4" x14ac:dyDescent="0.35">
      <c r="C131" s="94"/>
      <c r="D131" s="94"/>
    </row>
    <row r="132" spans="3:4" x14ac:dyDescent="0.35">
      <c r="C132" s="94"/>
      <c r="D132" s="94"/>
    </row>
    <row r="133" spans="3:4" x14ac:dyDescent="0.35">
      <c r="C133" s="94"/>
      <c r="D133" s="94"/>
    </row>
    <row r="134" spans="3:4" x14ac:dyDescent="0.35">
      <c r="C134" s="94"/>
      <c r="D134" s="94"/>
    </row>
    <row r="135" spans="3:4" x14ac:dyDescent="0.35">
      <c r="C135" s="94"/>
      <c r="D135" s="94"/>
    </row>
    <row r="136" spans="3:4" x14ac:dyDescent="0.35">
      <c r="C136" s="94"/>
      <c r="D136" s="94"/>
    </row>
    <row r="137" spans="3:4" x14ac:dyDescent="0.35">
      <c r="C137" s="94"/>
      <c r="D137" s="94"/>
    </row>
    <row r="138" spans="3:4" x14ac:dyDescent="0.35">
      <c r="C138" s="94"/>
      <c r="D138" s="94"/>
    </row>
    <row r="139" spans="3:4" x14ac:dyDescent="0.35">
      <c r="C139" s="94"/>
      <c r="D139" s="94"/>
    </row>
    <row r="140" spans="3:4" x14ac:dyDescent="0.35">
      <c r="C140" s="94"/>
      <c r="D140" s="94"/>
    </row>
    <row r="141" spans="3:4" x14ac:dyDescent="0.35">
      <c r="C141" s="94"/>
      <c r="D141" s="94"/>
    </row>
    <row r="142" spans="3:4" x14ac:dyDescent="0.35">
      <c r="C142" s="94"/>
      <c r="D142" s="94"/>
    </row>
    <row r="143" spans="3:4" x14ac:dyDescent="0.35">
      <c r="C143" s="94"/>
      <c r="D143" s="94"/>
    </row>
    <row r="144" spans="3:4" x14ac:dyDescent="0.35">
      <c r="C144" s="94"/>
      <c r="D144" s="94"/>
    </row>
    <row r="145" spans="3:4" x14ac:dyDescent="0.35">
      <c r="C145" s="94"/>
      <c r="D145" s="94"/>
    </row>
    <row r="146" spans="3:4" x14ac:dyDescent="0.35">
      <c r="C146" s="94"/>
      <c r="D146" s="94"/>
    </row>
    <row r="147" spans="3:4" x14ac:dyDescent="0.35">
      <c r="C147" s="94"/>
      <c r="D147" s="94"/>
    </row>
    <row r="148" spans="3:4" x14ac:dyDescent="0.35">
      <c r="C148" s="94"/>
      <c r="D148" s="94"/>
    </row>
    <row r="149" spans="3:4" x14ac:dyDescent="0.35">
      <c r="C149" s="94"/>
      <c r="D149" s="94"/>
    </row>
    <row r="150" spans="3:4" x14ac:dyDescent="0.35">
      <c r="C150" s="94"/>
      <c r="D150" s="94"/>
    </row>
    <row r="151" spans="3:4" x14ac:dyDescent="0.35">
      <c r="C151" s="94"/>
      <c r="D151" s="94"/>
    </row>
    <row r="152" spans="3:4" x14ac:dyDescent="0.35">
      <c r="C152" s="94"/>
      <c r="D152" s="94"/>
    </row>
    <row r="153" spans="3:4" x14ac:dyDescent="0.35">
      <c r="C153" s="94"/>
      <c r="D153" s="94"/>
    </row>
    <row r="154" spans="3:4" x14ac:dyDescent="0.35">
      <c r="C154" s="94"/>
      <c r="D154" s="94"/>
    </row>
    <row r="155" spans="3:4" x14ac:dyDescent="0.35">
      <c r="C155" s="94"/>
      <c r="D155" s="94"/>
    </row>
    <row r="156" spans="3:4" x14ac:dyDescent="0.35">
      <c r="C156" s="94"/>
      <c r="D156" s="94"/>
    </row>
    <row r="157" spans="3:4" x14ac:dyDescent="0.35">
      <c r="C157" s="94"/>
      <c r="D157" s="94"/>
    </row>
    <row r="158" spans="3:4" x14ac:dyDescent="0.35">
      <c r="C158" s="94"/>
      <c r="D158" s="94"/>
    </row>
    <row r="159" spans="3:4" x14ac:dyDescent="0.35">
      <c r="C159" s="94"/>
      <c r="D159" s="94"/>
    </row>
    <row r="160" spans="3:4" x14ac:dyDescent="0.35">
      <c r="C160" s="94"/>
      <c r="D160" s="94"/>
    </row>
    <row r="161" spans="3:4" x14ac:dyDescent="0.35">
      <c r="C161" s="94"/>
      <c r="D161" s="94"/>
    </row>
    <row r="162" spans="3:4" x14ac:dyDescent="0.35">
      <c r="C162" s="94"/>
      <c r="D162" s="94"/>
    </row>
    <row r="163" spans="3:4" x14ac:dyDescent="0.35">
      <c r="C163" s="94"/>
      <c r="D163" s="94"/>
    </row>
    <row r="164" spans="3:4" x14ac:dyDescent="0.35">
      <c r="C164" s="94"/>
      <c r="D164" s="94"/>
    </row>
    <row r="165" spans="3:4" x14ac:dyDescent="0.35">
      <c r="C165" s="94"/>
      <c r="D165" s="94"/>
    </row>
    <row r="166" spans="3:4" x14ac:dyDescent="0.35">
      <c r="C166" s="94"/>
      <c r="D166" s="94"/>
    </row>
    <row r="167" spans="3:4" x14ac:dyDescent="0.35">
      <c r="C167" s="94"/>
      <c r="D167" s="94"/>
    </row>
    <row r="168" spans="3:4" x14ac:dyDescent="0.35">
      <c r="C168" s="94"/>
      <c r="D168" s="94"/>
    </row>
    <row r="169" spans="3:4" x14ac:dyDescent="0.35">
      <c r="C169" s="94"/>
      <c r="D169" s="94"/>
    </row>
    <row r="170" spans="3:4" x14ac:dyDescent="0.35">
      <c r="C170" s="94"/>
      <c r="D170" s="94"/>
    </row>
    <row r="171" spans="3:4" x14ac:dyDescent="0.35">
      <c r="C171" s="94"/>
      <c r="D171" s="94"/>
    </row>
    <row r="172" spans="3:4" x14ac:dyDescent="0.35">
      <c r="C172" s="94"/>
      <c r="D172" s="94"/>
    </row>
    <row r="173" spans="3:4" x14ac:dyDescent="0.35">
      <c r="C173" s="94"/>
      <c r="D173" s="94"/>
    </row>
    <row r="174" spans="3:4" x14ac:dyDescent="0.35">
      <c r="C174" s="94"/>
      <c r="D174" s="94"/>
    </row>
    <row r="175" spans="3:4" x14ac:dyDescent="0.35">
      <c r="C175" s="94"/>
      <c r="D175" s="94"/>
    </row>
    <row r="176" spans="3:4" x14ac:dyDescent="0.35">
      <c r="C176" s="94"/>
      <c r="D176" s="94"/>
    </row>
    <row r="177" spans="3:4" x14ac:dyDescent="0.35">
      <c r="C177" s="94"/>
      <c r="D177" s="94"/>
    </row>
    <row r="178" spans="3:4" x14ac:dyDescent="0.35">
      <c r="C178" s="94"/>
      <c r="D178" s="94"/>
    </row>
    <row r="179" spans="3:4" x14ac:dyDescent="0.35">
      <c r="C179" s="94"/>
      <c r="D179" s="94"/>
    </row>
    <row r="180" spans="3:4" x14ac:dyDescent="0.35">
      <c r="C180" s="94"/>
      <c r="D180" s="94"/>
    </row>
    <row r="181" spans="3:4" x14ac:dyDescent="0.35">
      <c r="C181" s="94"/>
      <c r="D181" s="94"/>
    </row>
    <row r="182" spans="3:4" x14ac:dyDescent="0.35">
      <c r="C182" s="94"/>
      <c r="D182" s="94"/>
    </row>
    <row r="183" spans="3:4" x14ac:dyDescent="0.35">
      <c r="C183" s="94"/>
      <c r="D183" s="94"/>
    </row>
    <row r="184" spans="3:4" x14ac:dyDescent="0.35">
      <c r="C184" s="94"/>
      <c r="D184" s="94"/>
    </row>
    <row r="185" spans="3:4" x14ac:dyDescent="0.35">
      <c r="C185" s="94"/>
      <c r="D185" s="94"/>
    </row>
    <row r="186" spans="3:4" x14ac:dyDescent="0.35">
      <c r="C186" s="94"/>
      <c r="D186" s="94"/>
    </row>
    <row r="187" spans="3:4" x14ac:dyDescent="0.35">
      <c r="C187" s="94"/>
      <c r="D187" s="94"/>
    </row>
    <row r="188" spans="3:4" x14ac:dyDescent="0.35">
      <c r="C188" s="94"/>
      <c r="D188" s="94"/>
    </row>
    <row r="189" spans="3:4" x14ac:dyDescent="0.35">
      <c r="C189" s="94"/>
      <c r="D189" s="94"/>
    </row>
    <row r="190" spans="3:4" x14ac:dyDescent="0.35">
      <c r="C190" s="94"/>
      <c r="D190" s="94"/>
    </row>
    <row r="191" spans="3:4" x14ac:dyDescent="0.35">
      <c r="C191" s="94"/>
      <c r="D191" s="94"/>
    </row>
    <row r="192" spans="3:4" x14ac:dyDescent="0.35">
      <c r="C192" s="94"/>
      <c r="D192" s="94"/>
    </row>
    <row r="193" spans="3:4" x14ac:dyDescent="0.35">
      <c r="C193" s="94"/>
      <c r="D193" s="94"/>
    </row>
    <row r="194" spans="3:4" x14ac:dyDescent="0.35">
      <c r="C194" s="94"/>
      <c r="D194" s="94"/>
    </row>
    <row r="195" spans="3:4" x14ac:dyDescent="0.35">
      <c r="C195" s="94"/>
      <c r="D195" s="94"/>
    </row>
    <row r="196" spans="3:4" x14ac:dyDescent="0.35">
      <c r="C196" s="94"/>
      <c r="D196" s="94"/>
    </row>
    <row r="197" spans="3:4" x14ac:dyDescent="0.35">
      <c r="C197" s="94"/>
      <c r="D197" s="94"/>
    </row>
    <row r="198" spans="3:4" x14ac:dyDescent="0.35">
      <c r="C198" s="94"/>
      <c r="D198" s="94"/>
    </row>
    <row r="199" spans="3:4" x14ac:dyDescent="0.35">
      <c r="C199" s="94"/>
      <c r="D199" s="94"/>
    </row>
    <row r="200" spans="3:4" x14ac:dyDescent="0.35">
      <c r="C200" s="94"/>
      <c r="D200" s="94"/>
    </row>
    <row r="201" spans="3:4" x14ac:dyDescent="0.35">
      <c r="C201" s="94"/>
      <c r="D201" s="94"/>
    </row>
    <row r="202" spans="3:4" x14ac:dyDescent="0.35">
      <c r="C202" s="94"/>
      <c r="D202" s="94"/>
    </row>
    <row r="203" spans="3:4" x14ac:dyDescent="0.35">
      <c r="C203" s="94"/>
      <c r="D203" s="94"/>
    </row>
    <row r="204" spans="3:4" x14ac:dyDescent="0.35">
      <c r="C204" s="94"/>
      <c r="D204" s="94"/>
    </row>
    <row r="205" spans="3:4" x14ac:dyDescent="0.35">
      <c r="C205" s="94"/>
      <c r="D205" s="94"/>
    </row>
    <row r="206" spans="3:4" x14ac:dyDescent="0.35">
      <c r="C206" s="94"/>
      <c r="D206" s="94"/>
    </row>
    <row r="207" spans="3:4" x14ac:dyDescent="0.35">
      <c r="C207" s="94"/>
      <c r="D207" s="94"/>
    </row>
    <row r="208" spans="3:4" x14ac:dyDescent="0.35">
      <c r="C208" s="94"/>
      <c r="D208" s="94"/>
    </row>
    <row r="209" spans="3:4" x14ac:dyDescent="0.35">
      <c r="C209" s="94"/>
      <c r="D209" s="94"/>
    </row>
    <row r="210" spans="3:4" x14ac:dyDescent="0.35">
      <c r="C210" s="94"/>
      <c r="D210" s="94"/>
    </row>
    <row r="211" spans="3:4" x14ac:dyDescent="0.35">
      <c r="C211" s="94"/>
      <c r="D211" s="94"/>
    </row>
    <row r="212" spans="3:4" x14ac:dyDescent="0.35">
      <c r="C212" s="94"/>
      <c r="D212" s="94"/>
    </row>
    <row r="213" spans="3:4" x14ac:dyDescent="0.35">
      <c r="C213" s="94"/>
      <c r="D213" s="94"/>
    </row>
    <row r="214" spans="3:4" x14ac:dyDescent="0.35">
      <c r="C214" s="94"/>
      <c r="D214" s="94"/>
    </row>
    <row r="215" spans="3:4" x14ac:dyDescent="0.35">
      <c r="C215" s="94"/>
      <c r="D215" s="94"/>
    </row>
    <row r="216" spans="3:4" x14ac:dyDescent="0.35">
      <c r="C216" s="94"/>
      <c r="D216" s="94"/>
    </row>
    <row r="217" spans="3:4" x14ac:dyDescent="0.35">
      <c r="C217" s="94"/>
      <c r="D217" s="94"/>
    </row>
    <row r="218" spans="3:4" x14ac:dyDescent="0.35">
      <c r="C218" s="94"/>
      <c r="D218" s="94"/>
    </row>
    <row r="219" spans="3:4" x14ac:dyDescent="0.35">
      <c r="C219" s="94"/>
      <c r="D219" s="94"/>
    </row>
    <row r="220" spans="3:4" x14ac:dyDescent="0.35">
      <c r="C220" s="94"/>
      <c r="D220" s="94"/>
    </row>
    <row r="221" spans="3:4" x14ac:dyDescent="0.35">
      <c r="C221" s="94"/>
      <c r="D221" s="94"/>
    </row>
    <row r="222" spans="3:4" x14ac:dyDescent="0.35">
      <c r="C222" s="94"/>
      <c r="D222" s="94"/>
    </row>
    <row r="223" spans="3:4" x14ac:dyDescent="0.35">
      <c r="C223" s="94"/>
      <c r="D223" s="94"/>
    </row>
    <row r="224" spans="3:4" x14ac:dyDescent="0.35">
      <c r="C224" s="94"/>
      <c r="D224" s="94"/>
    </row>
    <row r="225" spans="3:4" x14ac:dyDescent="0.35">
      <c r="C225" s="94"/>
      <c r="D225" s="94"/>
    </row>
    <row r="226" spans="3:4" x14ac:dyDescent="0.35">
      <c r="C226" s="94"/>
      <c r="D226" s="94"/>
    </row>
    <row r="227" spans="3:4" x14ac:dyDescent="0.35">
      <c r="C227" s="94"/>
      <c r="D227" s="94"/>
    </row>
    <row r="228" spans="3:4" x14ac:dyDescent="0.35">
      <c r="C228" s="94"/>
      <c r="D228" s="94"/>
    </row>
    <row r="229" spans="3:4" x14ac:dyDescent="0.35">
      <c r="C229" s="94"/>
      <c r="D229" s="94"/>
    </row>
    <row r="230" spans="3:4" x14ac:dyDescent="0.35">
      <c r="C230" s="94"/>
      <c r="D230" s="94"/>
    </row>
    <row r="231" spans="3:4" x14ac:dyDescent="0.35">
      <c r="C231" s="94"/>
      <c r="D231" s="94"/>
    </row>
    <row r="232" spans="3:4" x14ac:dyDescent="0.35">
      <c r="C232" s="94"/>
      <c r="D232" s="94"/>
    </row>
    <row r="233" spans="3:4" x14ac:dyDescent="0.35">
      <c r="C233" s="94"/>
      <c r="D233" s="94"/>
    </row>
    <row r="234" spans="3:4" x14ac:dyDescent="0.35">
      <c r="C234" s="94"/>
      <c r="D234" s="94"/>
    </row>
    <row r="235" spans="3:4" x14ac:dyDescent="0.35">
      <c r="C235" s="94"/>
      <c r="D235" s="94"/>
    </row>
    <row r="236" spans="3:4" x14ac:dyDescent="0.35">
      <c r="C236" s="94"/>
      <c r="D236" s="94"/>
    </row>
    <row r="237" spans="3:4" x14ac:dyDescent="0.35">
      <c r="C237" s="94"/>
      <c r="D237" s="94"/>
    </row>
    <row r="238" spans="3:4" x14ac:dyDescent="0.35">
      <c r="C238" s="94"/>
      <c r="D238" s="94"/>
    </row>
    <row r="239" spans="3:4" x14ac:dyDescent="0.35">
      <c r="C239" s="94"/>
      <c r="D239" s="94"/>
    </row>
    <row r="240" spans="3:4" x14ac:dyDescent="0.35">
      <c r="C240" s="94"/>
      <c r="D240" s="94"/>
    </row>
    <row r="241" spans="3:4" x14ac:dyDescent="0.35">
      <c r="C241" s="94"/>
      <c r="D241" s="94"/>
    </row>
    <row r="242" spans="3:4" x14ac:dyDescent="0.35">
      <c r="C242" s="94"/>
      <c r="D242" s="94"/>
    </row>
    <row r="243" spans="3:4" x14ac:dyDescent="0.35">
      <c r="C243" s="94"/>
      <c r="D243" s="94"/>
    </row>
    <row r="244" spans="3:4" x14ac:dyDescent="0.35">
      <c r="C244" s="94"/>
      <c r="D244" s="94"/>
    </row>
    <row r="245" spans="3:4" x14ac:dyDescent="0.35">
      <c r="C245" s="94"/>
      <c r="D245" s="94"/>
    </row>
    <row r="246" spans="3:4" x14ac:dyDescent="0.35">
      <c r="C246" s="94"/>
      <c r="D246" s="94"/>
    </row>
    <row r="247" spans="3:4" x14ac:dyDescent="0.35">
      <c r="C247" s="94"/>
      <c r="D247" s="94"/>
    </row>
    <row r="248" spans="3:4" x14ac:dyDescent="0.35">
      <c r="C248" s="94"/>
      <c r="D248" s="94"/>
    </row>
    <row r="249" spans="3:4" x14ac:dyDescent="0.35">
      <c r="C249" s="94"/>
      <c r="D249" s="94"/>
    </row>
    <row r="250" spans="3:4" x14ac:dyDescent="0.35">
      <c r="C250" s="94"/>
      <c r="D250" s="94"/>
    </row>
    <row r="251" spans="3:4" x14ac:dyDescent="0.35">
      <c r="C251" s="94"/>
      <c r="D251" s="94"/>
    </row>
    <row r="252" spans="3:4" x14ac:dyDescent="0.35">
      <c r="C252" s="94"/>
      <c r="D252" s="94"/>
    </row>
    <row r="253" spans="3:4" x14ac:dyDescent="0.35">
      <c r="C253" s="94"/>
      <c r="D253" s="94"/>
    </row>
    <row r="254" spans="3:4" x14ac:dyDescent="0.35">
      <c r="C254" s="94"/>
      <c r="D254" s="94"/>
    </row>
    <row r="255" spans="3:4" x14ac:dyDescent="0.35">
      <c r="C255" s="94"/>
      <c r="D255" s="94"/>
    </row>
    <row r="256" spans="3:4" x14ac:dyDescent="0.35">
      <c r="C256" s="94"/>
      <c r="D256" s="94"/>
    </row>
    <row r="257" spans="3:4" x14ac:dyDescent="0.35">
      <c r="C257" s="94"/>
      <c r="D257" s="94"/>
    </row>
    <row r="258" spans="3:4" x14ac:dyDescent="0.35">
      <c r="C258" s="94"/>
      <c r="D258" s="94"/>
    </row>
    <row r="259" spans="3:4" x14ac:dyDescent="0.35">
      <c r="C259" s="94"/>
      <c r="D259" s="94"/>
    </row>
    <row r="260" spans="3:4" x14ac:dyDescent="0.35">
      <c r="C260" s="94"/>
      <c r="D260" s="94"/>
    </row>
    <row r="261" spans="3:4" x14ac:dyDescent="0.35">
      <c r="C261" s="94"/>
      <c r="D261" s="94"/>
    </row>
    <row r="262" spans="3:4" x14ac:dyDescent="0.35">
      <c r="C262" s="94"/>
      <c r="D262" s="94"/>
    </row>
    <row r="263" spans="3:4" x14ac:dyDescent="0.35">
      <c r="C263" s="94"/>
      <c r="D263" s="94"/>
    </row>
    <row r="264" spans="3:4" x14ac:dyDescent="0.35">
      <c r="C264" s="94"/>
      <c r="D264" s="94"/>
    </row>
    <row r="265" spans="3:4" x14ac:dyDescent="0.35">
      <c r="C265" s="94"/>
      <c r="D265" s="94"/>
    </row>
    <row r="266" spans="3:4" x14ac:dyDescent="0.35">
      <c r="C266" s="94"/>
      <c r="D266" s="94"/>
    </row>
    <row r="267" spans="3:4" x14ac:dyDescent="0.35">
      <c r="C267" s="94"/>
      <c r="D267" s="94"/>
    </row>
    <row r="268" spans="3:4" x14ac:dyDescent="0.35">
      <c r="C268" s="94"/>
      <c r="D268" s="94"/>
    </row>
    <row r="269" spans="3:4" x14ac:dyDescent="0.35">
      <c r="C269" s="94"/>
      <c r="D269" s="94"/>
    </row>
    <row r="270" spans="3:4" x14ac:dyDescent="0.35">
      <c r="C270" s="94"/>
      <c r="D270" s="94"/>
    </row>
    <row r="271" spans="3:4" x14ac:dyDescent="0.35">
      <c r="C271" s="94"/>
      <c r="D271" s="94"/>
    </row>
    <row r="272" spans="3:4" x14ac:dyDescent="0.35">
      <c r="C272" s="94"/>
      <c r="D272" s="94"/>
    </row>
    <row r="273" spans="3:4" x14ac:dyDescent="0.35">
      <c r="C273" s="94"/>
      <c r="D273" s="94"/>
    </row>
    <row r="274" spans="3:4" x14ac:dyDescent="0.35">
      <c r="C274" s="94"/>
      <c r="D274" s="94"/>
    </row>
    <row r="275" spans="3:4" x14ac:dyDescent="0.35">
      <c r="C275" s="94"/>
      <c r="D275" s="94"/>
    </row>
    <row r="276" spans="3:4" x14ac:dyDescent="0.35">
      <c r="C276" s="94"/>
      <c r="D276" s="94"/>
    </row>
    <row r="277" spans="3:4" x14ac:dyDescent="0.35">
      <c r="C277" s="94"/>
      <c r="D277" s="94"/>
    </row>
    <row r="278" spans="3:4" x14ac:dyDescent="0.35">
      <c r="C278" s="94"/>
      <c r="D278" s="94"/>
    </row>
    <row r="279" spans="3:4" x14ac:dyDescent="0.35">
      <c r="C279" s="94"/>
      <c r="D279" s="94"/>
    </row>
    <row r="280" spans="3:4" x14ac:dyDescent="0.35">
      <c r="C280" s="94"/>
      <c r="D280" s="94"/>
    </row>
    <row r="281" spans="3:4" x14ac:dyDescent="0.35">
      <c r="C281" s="94"/>
      <c r="D281" s="94"/>
    </row>
    <row r="282" spans="3:4" x14ac:dyDescent="0.35">
      <c r="C282" s="94"/>
      <c r="D282" s="94"/>
    </row>
    <row r="283" spans="3:4" x14ac:dyDescent="0.35">
      <c r="C283" s="94"/>
      <c r="D283" s="94"/>
    </row>
    <row r="284" spans="3:4" x14ac:dyDescent="0.35">
      <c r="C284" s="94"/>
      <c r="D284" s="94"/>
    </row>
    <row r="285" spans="3:4" x14ac:dyDescent="0.35">
      <c r="C285" s="94"/>
      <c r="D285" s="94"/>
    </row>
    <row r="286" spans="3:4" x14ac:dyDescent="0.35">
      <c r="C286" s="94"/>
      <c r="D286" s="94"/>
    </row>
    <row r="287" spans="3:4" x14ac:dyDescent="0.35">
      <c r="C287" s="94"/>
      <c r="D287" s="94"/>
    </row>
    <row r="288" spans="3:4" x14ac:dyDescent="0.35">
      <c r="C288" s="94"/>
      <c r="D288" s="94"/>
    </row>
    <row r="289" spans="3:4" x14ac:dyDescent="0.35">
      <c r="C289" s="94"/>
      <c r="D289" s="94"/>
    </row>
    <row r="290" spans="3:4" x14ac:dyDescent="0.35">
      <c r="C290" s="94"/>
      <c r="D290" s="94"/>
    </row>
    <row r="291" spans="3:4" x14ac:dyDescent="0.35">
      <c r="C291" s="94"/>
      <c r="D291" s="94"/>
    </row>
    <row r="292" spans="3:4" x14ac:dyDescent="0.35">
      <c r="C292" s="94"/>
      <c r="D292" s="94"/>
    </row>
    <row r="293" spans="3:4" x14ac:dyDescent="0.35">
      <c r="C293" s="94"/>
      <c r="D293" s="94"/>
    </row>
    <row r="294" spans="3:4" x14ac:dyDescent="0.35">
      <c r="C294" s="94"/>
      <c r="D294" s="94"/>
    </row>
    <row r="295" spans="3:4" x14ac:dyDescent="0.35">
      <c r="C295" s="94"/>
      <c r="D295" s="94"/>
    </row>
    <row r="296" spans="3:4" x14ac:dyDescent="0.35">
      <c r="C296" s="94"/>
      <c r="D296" s="94"/>
    </row>
    <row r="297" spans="3:4" x14ac:dyDescent="0.35">
      <c r="C297" s="94"/>
      <c r="D297" s="94"/>
    </row>
    <row r="298" spans="3:4" x14ac:dyDescent="0.35">
      <c r="C298" s="94"/>
      <c r="D298" s="94"/>
    </row>
    <row r="299" spans="3:4" x14ac:dyDescent="0.35">
      <c r="C299" s="94"/>
      <c r="D299" s="94"/>
    </row>
    <row r="300" spans="3:4" x14ac:dyDescent="0.35">
      <c r="C300" s="94"/>
      <c r="D300" s="94"/>
    </row>
    <row r="301" spans="3:4" x14ac:dyDescent="0.35">
      <c r="C301" s="94"/>
      <c r="D301" s="94"/>
    </row>
    <row r="302" spans="3:4" x14ac:dyDescent="0.35">
      <c r="C302" s="94"/>
      <c r="D302" s="94"/>
    </row>
    <row r="303" spans="3:4" x14ac:dyDescent="0.35">
      <c r="C303" s="94"/>
      <c r="D303" s="94"/>
    </row>
    <row r="304" spans="3:4" x14ac:dyDescent="0.35">
      <c r="C304" s="94"/>
      <c r="D304" s="94"/>
    </row>
    <row r="305" spans="3:4" x14ac:dyDescent="0.35">
      <c r="C305" s="94"/>
      <c r="D305" s="94"/>
    </row>
    <row r="306" spans="3:4" x14ac:dyDescent="0.35">
      <c r="C306" s="94"/>
      <c r="D306" s="94"/>
    </row>
    <row r="307" spans="3:4" x14ac:dyDescent="0.35">
      <c r="C307" s="94"/>
      <c r="D307" s="94"/>
    </row>
    <row r="308" spans="3:4" x14ac:dyDescent="0.35">
      <c r="C308" s="94"/>
      <c r="D308" s="94"/>
    </row>
    <row r="309" spans="3:4" x14ac:dyDescent="0.35">
      <c r="C309" s="94"/>
      <c r="D309" s="94"/>
    </row>
    <row r="310" spans="3:4" x14ac:dyDescent="0.35">
      <c r="C310" s="94"/>
      <c r="D310" s="94"/>
    </row>
    <row r="311" spans="3:4" x14ac:dyDescent="0.35">
      <c r="C311" s="94"/>
      <c r="D311" s="94"/>
    </row>
    <row r="312" spans="3:4" x14ac:dyDescent="0.35">
      <c r="C312" s="94"/>
      <c r="D312" s="94"/>
    </row>
    <row r="313" spans="3:4" x14ac:dyDescent="0.35">
      <c r="C313" s="94"/>
      <c r="D313" s="94"/>
    </row>
    <row r="314" spans="3:4" x14ac:dyDescent="0.35">
      <c r="C314" s="94"/>
      <c r="D314" s="94"/>
    </row>
    <row r="315" spans="3:4" x14ac:dyDescent="0.35">
      <c r="C315" s="94"/>
      <c r="D315" s="94"/>
    </row>
    <row r="316" spans="3:4" x14ac:dyDescent="0.35">
      <c r="C316" s="94"/>
      <c r="D316" s="94"/>
    </row>
    <row r="317" spans="3:4" x14ac:dyDescent="0.35">
      <c r="C317" s="94"/>
      <c r="D317" s="94"/>
    </row>
    <row r="318" spans="3:4" x14ac:dyDescent="0.35">
      <c r="C318" s="94"/>
      <c r="D318" s="94"/>
    </row>
    <row r="319" spans="3:4" x14ac:dyDescent="0.35">
      <c r="C319" s="94"/>
      <c r="D319" s="94"/>
    </row>
    <row r="320" spans="3:4" x14ac:dyDescent="0.35">
      <c r="C320" s="94"/>
      <c r="D320" s="94"/>
    </row>
    <row r="321" spans="3:4" x14ac:dyDescent="0.35">
      <c r="C321" s="94"/>
      <c r="D321" s="94"/>
    </row>
    <row r="322" spans="3:4" x14ac:dyDescent="0.35">
      <c r="C322" s="94"/>
      <c r="D322" s="94"/>
    </row>
    <row r="323" spans="3:4" x14ac:dyDescent="0.35">
      <c r="C323" s="94"/>
      <c r="D323" s="94"/>
    </row>
    <row r="324" spans="3:4" x14ac:dyDescent="0.35">
      <c r="C324" s="94"/>
      <c r="D324" s="94"/>
    </row>
    <row r="325" spans="3:4" x14ac:dyDescent="0.35">
      <c r="C325" s="94"/>
      <c r="D325" s="94"/>
    </row>
    <row r="326" spans="3:4" x14ac:dyDescent="0.35">
      <c r="C326" s="94"/>
      <c r="D326" s="94"/>
    </row>
    <row r="327" spans="3:4" x14ac:dyDescent="0.35">
      <c r="C327" s="94"/>
      <c r="D327" s="94"/>
    </row>
    <row r="328" spans="3:4" x14ac:dyDescent="0.35">
      <c r="C328" s="94"/>
      <c r="D328" s="94"/>
    </row>
    <row r="329" spans="3:4" x14ac:dyDescent="0.35">
      <c r="C329" s="94"/>
      <c r="D329" s="94"/>
    </row>
    <row r="330" spans="3:4" x14ac:dyDescent="0.35">
      <c r="C330" s="94"/>
      <c r="D330" s="94"/>
    </row>
    <row r="331" spans="3:4" x14ac:dyDescent="0.35">
      <c r="C331" s="94"/>
      <c r="D331" s="94"/>
    </row>
    <row r="332" spans="3:4" x14ac:dyDescent="0.35">
      <c r="C332" s="94"/>
      <c r="D332" s="94"/>
    </row>
    <row r="333" spans="3:4" x14ac:dyDescent="0.35">
      <c r="C333" s="94"/>
      <c r="D333" s="94"/>
    </row>
    <row r="334" spans="3:4" x14ac:dyDescent="0.35">
      <c r="C334" s="94"/>
      <c r="D334" s="94"/>
    </row>
    <row r="335" spans="3:4" x14ac:dyDescent="0.35">
      <c r="C335" s="94"/>
      <c r="D335" s="94"/>
    </row>
    <row r="336" spans="3:4" x14ac:dyDescent="0.35">
      <c r="C336" s="94"/>
      <c r="D336" s="94"/>
    </row>
    <row r="337" spans="3:4" x14ac:dyDescent="0.35">
      <c r="C337" s="94"/>
      <c r="D337" s="94"/>
    </row>
    <row r="338" spans="3:4" x14ac:dyDescent="0.35">
      <c r="C338" s="94"/>
      <c r="D338" s="94"/>
    </row>
    <row r="339" spans="3:4" x14ac:dyDescent="0.35">
      <c r="C339" s="94"/>
      <c r="D339" s="94"/>
    </row>
    <row r="340" spans="3:4" x14ac:dyDescent="0.35">
      <c r="C340" s="94"/>
      <c r="D340" s="94"/>
    </row>
    <row r="341" spans="3:4" x14ac:dyDescent="0.35">
      <c r="C341" s="94"/>
      <c r="D341" s="94"/>
    </row>
    <row r="342" spans="3:4" x14ac:dyDescent="0.35">
      <c r="C342" s="94"/>
      <c r="D342" s="94"/>
    </row>
    <row r="343" spans="3:4" x14ac:dyDescent="0.35">
      <c r="C343" s="94"/>
      <c r="D343" s="94"/>
    </row>
    <row r="344" spans="3:4" x14ac:dyDescent="0.35">
      <c r="C344" s="94"/>
      <c r="D344" s="94"/>
    </row>
    <row r="345" spans="3:4" x14ac:dyDescent="0.35">
      <c r="C345" s="94"/>
      <c r="D345" s="94"/>
    </row>
    <row r="346" spans="3:4" x14ac:dyDescent="0.35">
      <c r="C346" s="94"/>
      <c r="D346" s="94"/>
    </row>
    <row r="347" spans="3:4" x14ac:dyDescent="0.35">
      <c r="C347" s="94"/>
      <c r="D347" s="94"/>
    </row>
    <row r="348" spans="3:4" x14ac:dyDescent="0.35">
      <c r="C348" s="94"/>
      <c r="D348" s="94"/>
    </row>
    <row r="349" spans="3:4" x14ac:dyDescent="0.35">
      <c r="C349" s="94"/>
      <c r="D349" s="94"/>
    </row>
    <row r="350" spans="3:4" x14ac:dyDescent="0.35">
      <c r="C350" s="94"/>
      <c r="D350" s="94"/>
    </row>
    <row r="351" spans="3:4" x14ac:dyDescent="0.35">
      <c r="C351" s="94"/>
      <c r="D351" s="94"/>
    </row>
    <row r="352" spans="3:4" x14ac:dyDescent="0.35">
      <c r="C352" s="94"/>
      <c r="D352" s="94"/>
    </row>
    <row r="353" spans="3:4" x14ac:dyDescent="0.35">
      <c r="C353" s="94"/>
      <c r="D353" s="94"/>
    </row>
    <row r="354" spans="3:4" x14ac:dyDescent="0.35">
      <c r="C354" s="94"/>
      <c r="D354" s="94"/>
    </row>
    <row r="355" spans="3:4" x14ac:dyDescent="0.35">
      <c r="C355" s="94"/>
      <c r="D355" s="94"/>
    </row>
    <row r="356" spans="3:4" x14ac:dyDescent="0.35">
      <c r="C356" s="94"/>
      <c r="D356" s="94"/>
    </row>
    <row r="357" spans="3:4" x14ac:dyDescent="0.35">
      <c r="C357" s="94"/>
      <c r="D357" s="94"/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Y495"/>
  <sheetViews>
    <sheetView workbookViewId="0"/>
  </sheetViews>
  <sheetFormatPr defaultRowHeight="15.5" x14ac:dyDescent="0.35"/>
  <cols>
    <col min="1" max="1" width="4.25" bestFit="1" customWidth="1"/>
    <col min="2" max="2" width="15" style="1" bestFit="1" customWidth="1"/>
    <col min="3" max="3" width="17" style="1" bestFit="1" customWidth="1"/>
    <col min="4" max="4" width="40.4140625" style="1" bestFit="1" customWidth="1"/>
    <col min="5" max="5" width="28.08203125" style="1" bestFit="1" customWidth="1"/>
    <col min="6" max="7" width="13.83203125" style="1" bestFit="1" customWidth="1"/>
    <col min="8" max="9" width="9.9140625" style="1" bestFit="1" customWidth="1"/>
    <col min="10" max="10" width="11.6640625" style="1" bestFit="1" customWidth="1"/>
    <col min="11" max="11" width="10.75" style="1" bestFit="1" customWidth="1"/>
    <col min="12" max="12" width="8.6640625" style="1" bestFit="1" customWidth="1"/>
    <col min="13" max="13" width="12.58203125" style="1" bestFit="1" customWidth="1"/>
    <col min="14" max="14" width="23.83203125" style="1" customWidth="1"/>
    <col min="15" max="15" width="12.5" style="1" customWidth="1"/>
    <col min="16" max="16" width="2.6640625" style="1" customWidth="1"/>
    <col min="17" max="17" width="5.5" style="1" customWidth="1"/>
    <col min="18" max="18" width="8.33203125" style="1" customWidth="1"/>
    <col min="19" max="19" width="1.1640625" style="1" customWidth="1"/>
    <col min="20" max="20" width="6.58203125" style="1" customWidth="1"/>
    <col min="21" max="22" width="4.08203125" style="1" customWidth="1"/>
    <col min="23" max="23" width="5.5" style="1" customWidth="1"/>
    <col min="24" max="24" width="6.58203125" style="1" customWidth="1"/>
    <col min="25" max="25" width="7.08203125" style="1" customWidth="1"/>
    <col min="26" max="26" width="6.58203125" style="1" customWidth="1"/>
    <col min="27" max="28" width="4.08203125" style="1" customWidth="1"/>
    <col min="29" max="29" width="28.83203125" style="1" bestFit="1" customWidth="1"/>
    <col min="30" max="30" width="8.58203125" style="1" bestFit="1" customWidth="1"/>
    <col min="31" max="31" width="28.83203125" style="1" bestFit="1" customWidth="1"/>
    <col min="32" max="32" width="8.58203125" style="1" bestFit="1" customWidth="1"/>
    <col min="33" max="33" width="13.08203125" style="1" customWidth="1"/>
    <col min="34" max="34" width="6.5" style="1" bestFit="1" customWidth="1"/>
    <col min="35" max="35" width="8.58203125" style="1" bestFit="1" customWidth="1"/>
    <col min="36" max="36" width="6.1640625" style="1" bestFit="1" customWidth="1"/>
    <col min="37" max="37" width="13.08203125" style="1" bestFit="1" customWidth="1"/>
    <col min="38" max="38" width="34.58203125" style="1" customWidth="1"/>
    <col min="39" max="39" width="8.58203125" style="1" customWidth="1"/>
    <col min="40" max="40" width="34.58203125" style="1" customWidth="1"/>
    <col min="41" max="41" width="8.58203125" style="1" customWidth="1"/>
    <col min="42" max="42" width="34.58203125" style="1" customWidth="1"/>
    <col min="43" max="43" width="8.58203125" style="1" customWidth="1"/>
    <col min="44" max="44" width="34.58203125" style="1" customWidth="1"/>
    <col min="45" max="45" width="8.58203125" style="1" customWidth="1"/>
    <col min="46" max="46" width="34.58203125" style="1" customWidth="1"/>
    <col min="47" max="47" width="8.58203125" style="1" customWidth="1"/>
    <col min="48" max="48" width="34.58203125" style="1" customWidth="1"/>
    <col min="49" max="49" width="8.58203125" style="1" customWidth="1"/>
    <col min="50" max="50" width="34.58203125" style="1" customWidth="1"/>
    <col min="51" max="51" width="8.58203125" style="1" customWidth="1"/>
    <col min="52" max="52" width="22.83203125" bestFit="1" customWidth="1"/>
    <col min="53" max="53" width="18.58203125" bestFit="1" customWidth="1"/>
    <col min="54" max="54" width="8.08203125" customWidth="1"/>
    <col min="55" max="55" width="18.58203125" bestFit="1" customWidth="1"/>
    <col min="56" max="56" width="10.33203125" bestFit="1" customWidth="1"/>
    <col min="57" max="57" width="1.83203125" bestFit="1" customWidth="1"/>
    <col min="58" max="58" width="5.33203125" bestFit="1" customWidth="1"/>
    <col min="59" max="59" width="8.08203125" bestFit="1" customWidth="1"/>
    <col min="60" max="60" width="5" customWidth="1"/>
    <col min="61" max="61" width="7.33203125" customWidth="1"/>
    <col min="62" max="62" width="16.83203125" customWidth="1"/>
    <col min="63" max="63" width="7.5" customWidth="1"/>
    <col min="64" max="64" width="4" customWidth="1"/>
    <col min="65" max="65" width="6.08203125" customWidth="1"/>
    <col min="66" max="66" width="3.6640625" customWidth="1"/>
    <col min="67" max="67" width="8.58203125" customWidth="1"/>
    <col min="68" max="68" width="13" customWidth="1"/>
    <col min="69" max="69" width="3.6640625" bestFit="1" customWidth="1"/>
    <col min="70" max="70" width="8.58203125" bestFit="1" customWidth="1"/>
    <col min="71" max="71" width="13" bestFit="1" customWidth="1"/>
    <col min="72" max="72" width="1.33203125" bestFit="1" customWidth="1"/>
    <col min="73" max="73" width="16.83203125" bestFit="1" customWidth="1"/>
    <col min="74" max="74" width="7.5" bestFit="1" customWidth="1"/>
    <col min="75" max="75" width="4" bestFit="1" customWidth="1"/>
    <col min="76" max="76" width="6.08203125" bestFit="1" customWidth="1"/>
    <col min="77" max="77" width="3.6640625" bestFit="1" customWidth="1"/>
    <col min="78" max="78" width="8.58203125" bestFit="1" customWidth="1"/>
    <col min="79" max="79" width="13" bestFit="1" customWidth="1"/>
    <col min="80" max="80" width="8.08203125" bestFit="1" customWidth="1"/>
    <col min="81" max="81" width="25.33203125" customWidth="1"/>
    <col min="82" max="82" width="7.33203125" customWidth="1"/>
    <col min="83" max="83" width="25.33203125" customWidth="1"/>
    <col min="84" max="84" width="7.33203125" customWidth="1"/>
    <col min="85" max="85" width="16.83203125" customWidth="1"/>
    <col min="86" max="86" width="7.5" customWidth="1"/>
    <col min="87" max="87" width="4" customWidth="1"/>
    <col min="88" max="88" width="6.08203125" customWidth="1"/>
    <col min="89" max="89" width="3.6640625" customWidth="1"/>
    <col min="90" max="90" width="8.58203125" customWidth="1"/>
    <col min="91" max="91" width="13" customWidth="1"/>
    <col min="92" max="92" width="3.6640625" bestFit="1" customWidth="1"/>
    <col min="93" max="93" width="8.58203125" bestFit="1" customWidth="1"/>
    <col min="94" max="94" width="13" bestFit="1" customWidth="1"/>
    <col min="95" max="95" width="1.33203125" bestFit="1" customWidth="1"/>
    <col min="96" max="96" width="16.83203125" bestFit="1" customWidth="1"/>
    <col min="97" max="97" width="7.5" bestFit="1" customWidth="1"/>
    <col min="98" max="98" width="4" bestFit="1" customWidth="1"/>
    <col min="99" max="99" width="6.08203125" bestFit="1" customWidth="1"/>
    <col min="100" max="100" width="3.6640625" bestFit="1" customWidth="1"/>
    <col min="101" max="101" width="8.58203125" bestFit="1" customWidth="1"/>
    <col min="102" max="102" width="13" bestFit="1" customWidth="1"/>
  </cols>
  <sheetData>
    <row r="1" spans="1:51" x14ac:dyDescent="0.35">
      <c r="A1" t="s">
        <v>545</v>
      </c>
      <c r="B1" s="1" t="s">
        <v>546</v>
      </c>
      <c r="C1" s="1" t="s">
        <v>638</v>
      </c>
      <c r="D1" s="86" t="s">
        <v>547</v>
      </c>
      <c r="E1" s="86">
        <v>174505</v>
      </c>
      <c r="F1" s="86"/>
      <c r="G1" s="86"/>
      <c r="H1" s="86"/>
      <c r="I1" s="86"/>
      <c r="J1" s="86"/>
      <c r="K1" s="86"/>
      <c r="L1" s="86"/>
      <c r="M1" s="86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 x14ac:dyDescent="0.35">
      <c r="A2" t="s">
        <v>545</v>
      </c>
      <c r="B2" s="1" t="s">
        <v>547</v>
      </c>
      <c r="C2" s="1" t="s">
        <v>548</v>
      </c>
      <c r="D2" s="1" t="s">
        <v>639</v>
      </c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  <row r="3" spans="1:51" x14ac:dyDescent="0.35">
      <c r="A3" t="s">
        <v>545</v>
      </c>
      <c r="B3" s="1" t="s">
        <v>547</v>
      </c>
      <c r="C3" s="1" t="s">
        <v>549</v>
      </c>
      <c r="D3" s="1" t="s">
        <v>550</v>
      </c>
      <c r="E3" s="1" t="s">
        <v>640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</row>
    <row r="4" spans="1:51" x14ac:dyDescent="0.35">
      <c r="A4" t="s">
        <v>545</v>
      </c>
      <c r="B4" s="1" t="s">
        <v>551</v>
      </c>
      <c r="C4" s="1" t="s">
        <v>550</v>
      </c>
      <c r="D4" s="1" t="s">
        <v>642</v>
      </c>
      <c r="E4" s="1" t="s">
        <v>641</v>
      </c>
      <c r="F4" s="1">
        <v>24</v>
      </c>
      <c r="G4" s="117">
        <v>0.66310185185185189</v>
      </c>
      <c r="H4" s="1">
        <v>2021</v>
      </c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</row>
    <row r="5" spans="1:51" x14ac:dyDescent="0.35">
      <c r="A5" t="s">
        <v>545</v>
      </c>
      <c r="B5" s="1" t="s">
        <v>552</v>
      </c>
      <c r="C5" s="1" t="s">
        <v>553</v>
      </c>
      <c r="D5" s="1" t="s">
        <v>610</v>
      </c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</row>
    <row r="6" spans="1:51" x14ac:dyDescent="0.35">
      <c r="A6" t="s">
        <v>545</v>
      </c>
      <c r="B6" s="1" t="s">
        <v>554</v>
      </c>
      <c r="C6" s="1" t="s">
        <v>555</v>
      </c>
      <c r="D6" s="1">
        <v>1</v>
      </c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</row>
    <row r="7" spans="1:51" x14ac:dyDescent="0.35">
      <c r="A7" t="s">
        <v>545</v>
      </c>
      <c r="B7" s="1" t="s">
        <v>556</v>
      </c>
      <c r="C7" s="1" t="s">
        <v>557</v>
      </c>
      <c r="D7" s="1" t="s">
        <v>558</v>
      </c>
      <c r="E7" s="1" t="s">
        <v>559</v>
      </c>
      <c r="F7" s="1" t="s">
        <v>560</v>
      </c>
      <c r="G7" s="1" t="s">
        <v>561</v>
      </c>
      <c r="H7" s="1" t="s">
        <v>562</v>
      </c>
      <c r="I7" s="1" t="s">
        <v>563</v>
      </c>
      <c r="J7" s="1" t="s">
        <v>564</v>
      </c>
      <c r="K7" s="1" t="s">
        <v>565</v>
      </c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</row>
    <row r="8" spans="1:51" x14ac:dyDescent="0.35">
      <c r="A8" t="s">
        <v>545</v>
      </c>
      <c r="B8" s="1">
        <v>174505</v>
      </c>
      <c r="C8" s="1">
        <v>174452</v>
      </c>
      <c r="D8" s="1">
        <v>1.1827799999999999</v>
      </c>
      <c r="E8" s="1">
        <v>13.2996</v>
      </c>
      <c r="F8" s="1">
        <v>16.700600000000001</v>
      </c>
      <c r="G8" s="1">
        <v>7.7000000000000002E-3</v>
      </c>
      <c r="H8" s="1">
        <v>9.7000000000000003E-3</v>
      </c>
      <c r="I8" s="1">
        <v>1</v>
      </c>
      <c r="J8" s="1">
        <v>0</v>
      </c>
      <c r="K8" s="1">
        <v>1</v>
      </c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</row>
    <row r="9" spans="1:51" x14ac:dyDescent="0.35">
      <c r="A9" t="s">
        <v>545</v>
      </c>
      <c r="B9" s="1">
        <v>174506</v>
      </c>
      <c r="C9" s="1">
        <v>174453</v>
      </c>
      <c r="D9" s="1">
        <v>1.1819500000000001</v>
      </c>
      <c r="E9" s="1">
        <v>10.685600000000001</v>
      </c>
      <c r="F9" s="1">
        <v>14.086499999999999</v>
      </c>
      <c r="G9" s="1">
        <v>9.1999999999999998E-3</v>
      </c>
      <c r="H9" s="1">
        <v>1.21E-2</v>
      </c>
      <c r="I9" s="1">
        <v>1</v>
      </c>
      <c r="J9" s="1">
        <v>0</v>
      </c>
      <c r="K9" s="1">
        <v>1</v>
      </c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</row>
    <row r="10" spans="1:51" x14ac:dyDescent="0.35">
      <c r="A10" t="s">
        <v>545</v>
      </c>
      <c r="B10" s="1">
        <v>174507</v>
      </c>
      <c r="C10" s="1">
        <v>174454</v>
      </c>
      <c r="D10" s="1">
        <v>1.1819500000000001</v>
      </c>
      <c r="E10" s="1">
        <v>8.0395699999999994</v>
      </c>
      <c r="F10" s="1">
        <v>11.4405</v>
      </c>
      <c r="G10" s="1">
        <v>1.1299999999999999E-2</v>
      </c>
      <c r="H10" s="1">
        <v>1.61E-2</v>
      </c>
      <c r="I10" s="1">
        <v>1.5266</v>
      </c>
      <c r="J10" s="1">
        <v>-8.6129999999999995</v>
      </c>
      <c r="K10" s="1">
        <v>1</v>
      </c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</row>
    <row r="11" spans="1:51" x14ac:dyDescent="0.35">
      <c r="A11" t="s">
        <v>545</v>
      </c>
      <c r="B11" s="1">
        <v>174508</v>
      </c>
      <c r="C11" s="1">
        <v>174455</v>
      </c>
      <c r="D11" s="1">
        <v>1.1819500000000001</v>
      </c>
      <c r="E11" s="1">
        <v>5.3425500000000001</v>
      </c>
      <c r="F11" s="1">
        <v>8.7435200000000002</v>
      </c>
      <c r="G11" s="1">
        <v>1.4800000000000001E-2</v>
      </c>
      <c r="H11" s="1">
        <v>2.4199999999999999E-2</v>
      </c>
      <c r="I11" s="1">
        <v>12.179</v>
      </c>
      <c r="J11" s="1">
        <v>4.0004</v>
      </c>
      <c r="K11" s="1">
        <v>1</v>
      </c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</row>
    <row r="12" spans="1:51" x14ac:dyDescent="0.35">
      <c r="A12" t="s">
        <v>545</v>
      </c>
      <c r="B12" s="1">
        <v>174509</v>
      </c>
      <c r="C12" s="1">
        <v>174456</v>
      </c>
      <c r="D12" s="1">
        <v>1.18187</v>
      </c>
      <c r="E12" s="1">
        <v>2.5495399999999999</v>
      </c>
      <c r="F12" s="1">
        <v>5.9504999999999999</v>
      </c>
      <c r="G12" s="1">
        <v>2.1700000000000001E-2</v>
      </c>
      <c r="H12" s="1">
        <v>5.0799999999999998E-2</v>
      </c>
      <c r="I12" s="1">
        <v>51.97</v>
      </c>
      <c r="J12" s="1">
        <v>5.0000000000000001E-4</v>
      </c>
      <c r="K12" s="1">
        <v>1</v>
      </c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</row>
    <row r="13" spans="1:51" x14ac:dyDescent="0.35">
      <c r="A13" t="s">
        <v>545</v>
      </c>
      <c r="B13" s="1">
        <v>174510</v>
      </c>
      <c r="C13" s="1">
        <v>174456</v>
      </c>
      <c r="D13" s="1">
        <v>2.3491200000000001</v>
      </c>
      <c r="E13" s="1">
        <v>2.5495399999999999</v>
      </c>
      <c r="F13" s="1">
        <v>5.9504999999999999</v>
      </c>
      <c r="G13" s="1">
        <v>4.3200000000000002E-2</v>
      </c>
      <c r="H13" s="1">
        <v>0.10100000000000001</v>
      </c>
      <c r="I13" s="1">
        <v>197.19</v>
      </c>
      <c r="J13" s="1">
        <v>8.9999999999999998E-4</v>
      </c>
      <c r="K13" s="1">
        <v>1</v>
      </c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</row>
    <row r="14" spans="1:51" x14ac:dyDescent="0.35">
      <c r="A14" t="s">
        <v>545</v>
      </c>
      <c r="B14" s="1">
        <v>174511</v>
      </c>
      <c r="C14" s="1">
        <v>174456</v>
      </c>
      <c r="D14" s="1">
        <v>4.6700100000000004</v>
      </c>
      <c r="E14" s="1">
        <v>3.83812</v>
      </c>
      <c r="F14" s="1">
        <v>5.9516400000000003</v>
      </c>
      <c r="G14" s="1">
        <v>8.5999999999999993E-2</v>
      </c>
      <c r="H14" s="1">
        <v>0.1333</v>
      </c>
      <c r="I14" s="1">
        <v>894.67</v>
      </c>
      <c r="J14" s="1">
        <v>-3.0000000000000001E-3</v>
      </c>
      <c r="K14" s="1">
        <v>1</v>
      </c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</row>
    <row r="15" spans="1:51" x14ac:dyDescent="0.35">
      <c r="A15" t="s">
        <v>545</v>
      </c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</row>
    <row r="16" spans="1:51" x14ac:dyDescent="0.35">
      <c r="A16" t="s">
        <v>545</v>
      </c>
      <c r="B16" s="1" t="s">
        <v>545</v>
      </c>
      <c r="C16" s="1" t="s">
        <v>566</v>
      </c>
      <c r="D16" s="1" t="s">
        <v>643</v>
      </c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</row>
    <row r="17" spans="1:51" x14ac:dyDescent="0.35">
      <c r="A17" t="s">
        <v>545</v>
      </c>
      <c r="B17" s="1" t="s">
        <v>545</v>
      </c>
      <c r="C17" s="1" t="s">
        <v>551</v>
      </c>
      <c r="D17" s="1" t="s">
        <v>567</v>
      </c>
      <c r="E17" s="1" t="s">
        <v>568</v>
      </c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</row>
    <row r="18" spans="1:51" x14ac:dyDescent="0.35">
      <c r="A18" t="s">
        <v>545</v>
      </c>
      <c r="B18" s="1" t="s">
        <v>545</v>
      </c>
      <c r="C18" s="1" t="s">
        <v>551</v>
      </c>
      <c r="D18" s="1" t="s">
        <v>569</v>
      </c>
      <c r="E18" s="1" t="s">
        <v>570</v>
      </c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</row>
    <row r="19" spans="1:51" x14ac:dyDescent="0.35">
      <c r="A19" t="s">
        <v>545</v>
      </c>
      <c r="B19" s="1" t="s">
        <v>545</v>
      </c>
      <c r="C19" s="1" t="s">
        <v>545</v>
      </c>
      <c r="D19" s="1" t="s">
        <v>566</v>
      </c>
      <c r="E19" s="1" t="s">
        <v>643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</row>
    <row r="20" spans="1:51" x14ac:dyDescent="0.35">
      <c r="A20" t="s">
        <v>545</v>
      </c>
      <c r="B20" s="1" t="s">
        <v>545</v>
      </c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</row>
    <row r="21" spans="1:51" x14ac:dyDescent="0.35">
      <c r="A21" t="s">
        <v>545</v>
      </c>
      <c r="B21" s="1" t="s">
        <v>545</v>
      </c>
      <c r="C21" s="1" t="s">
        <v>556</v>
      </c>
      <c r="D21" s="1" t="s">
        <v>557</v>
      </c>
      <c r="E21" s="1" t="s">
        <v>571</v>
      </c>
      <c r="F21" s="1" t="s">
        <v>559</v>
      </c>
      <c r="G21" s="1" t="s">
        <v>560</v>
      </c>
      <c r="H21" s="1" t="s">
        <v>561</v>
      </c>
      <c r="I21" s="1" t="s">
        <v>562</v>
      </c>
      <c r="J21" s="1" t="s">
        <v>572</v>
      </c>
      <c r="K21" s="1" t="s">
        <v>573</v>
      </c>
      <c r="L21" s="1" t="s">
        <v>574</v>
      </c>
      <c r="M21" s="1" t="s">
        <v>575</v>
      </c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</row>
    <row r="22" spans="1:51" x14ac:dyDescent="0.35">
      <c r="A22" t="s">
        <v>545</v>
      </c>
      <c r="B22" s="1" t="s">
        <v>545</v>
      </c>
      <c r="C22" s="1">
        <v>174505</v>
      </c>
      <c r="D22" s="1">
        <v>174452</v>
      </c>
      <c r="E22" s="1">
        <v>1.2</v>
      </c>
      <c r="F22" s="1">
        <v>13.3</v>
      </c>
      <c r="G22" s="1">
        <v>16.7</v>
      </c>
      <c r="H22" s="1">
        <v>7.9000000000000008E-3</v>
      </c>
      <c r="I22" s="1">
        <v>9.9000000000000008E-3</v>
      </c>
      <c r="J22" s="1">
        <v>1.06764485622</v>
      </c>
      <c r="K22" s="1">
        <v>6041</v>
      </c>
      <c r="L22" s="1">
        <v>43.176175999999998</v>
      </c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</row>
    <row r="23" spans="1:51" x14ac:dyDescent="0.35">
      <c r="A23" t="s">
        <v>545</v>
      </c>
      <c r="B23" s="1" t="s">
        <v>545</v>
      </c>
      <c r="C23" s="1">
        <v>174506</v>
      </c>
      <c r="D23" s="1">
        <v>174453</v>
      </c>
      <c r="E23" s="1">
        <v>1.2</v>
      </c>
      <c r="F23" s="1">
        <v>10.69</v>
      </c>
      <c r="G23" s="1">
        <v>14.09</v>
      </c>
      <c r="H23" s="1">
        <v>9.4000000000000004E-3</v>
      </c>
      <c r="I23" s="1">
        <v>1.23E-2</v>
      </c>
      <c r="J23" s="1">
        <v>1.06764485622</v>
      </c>
      <c r="K23" s="1">
        <v>6110</v>
      </c>
      <c r="L23" s="1">
        <v>33.653207999999999</v>
      </c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</row>
    <row r="24" spans="1:51" x14ac:dyDescent="0.35">
      <c r="A24" t="s">
        <v>545</v>
      </c>
      <c r="B24" s="1" t="s">
        <v>545</v>
      </c>
      <c r="C24" s="1">
        <v>174507</v>
      </c>
      <c r="D24" s="1">
        <v>174454</v>
      </c>
      <c r="E24" s="1">
        <v>1.2</v>
      </c>
      <c r="F24" s="1">
        <v>8.0399999999999991</v>
      </c>
      <c r="G24" s="1">
        <v>11.44</v>
      </c>
      <c r="H24" s="1">
        <v>1.15E-2</v>
      </c>
      <c r="I24" s="1">
        <v>1.6400000000000001E-2</v>
      </c>
      <c r="J24" s="1">
        <v>1.06764485622</v>
      </c>
      <c r="K24" s="1">
        <v>6038</v>
      </c>
      <c r="L24" s="1">
        <v>75.661674000000005</v>
      </c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</row>
    <row r="25" spans="1:51" x14ac:dyDescent="0.35">
      <c r="A25" t="s">
        <v>545</v>
      </c>
      <c r="B25" s="1" t="s">
        <v>545</v>
      </c>
      <c r="C25" s="1">
        <v>174508</v>
      </c>
      <c r="D25" s="1">
        <v>174455</v>
      </c>
      <c r="E25" s="1">
        <v>1.2</v>
      </c>
      <c r="F25" s="1">
        <v>5.34</v>
      </c>
      <c r="G25" s="1">
        <v>8.74</v>
      </c>
      <c r="H25" s="1">
        <v>1.5100000000000001E-2</v>
      </c>
      <c r="I25" s="1">
        <v>2.47E-2</v>
      </c>
      <c r="J25" s="1">
        <v>1.06764485622</v>
      </c>
      <c r="K25" s="1">
        <v>6014</v>
      </c>
      <c r="L25" s="1">
        <v>70.225532000000001</v>
      </c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</row>
    <row r="26" spans="1:51" x14ac:dyDescent="0.35">
      <c r="A26" t="s">
        <v>545</v>
      </c>
      <c r="B26" s="1" t="s">
        <v>545</v>
      </c>
      <c r="C26" s="1">
        <v>174509</v>
      </c>
      <c r="D26" s="1">
        <v>174456</v>
      </c>
      <c r="E26" s="1">
        <v>1.2</v>
      </c>
      <c r="F26" s="1">
        <v>2.5499999999999998</v>
      </c>
      <c r="G26" s="1">
        <v>5.95</v>
      </c>
      <c r="H26" s="1">
        <v>2.2200000000000001E-2</v>
      </c>
      <c r="I26" s="1">
        <v>5.1700000000000003E-2</v>
      </c>
      <c r="J26" s="1">
        <v>1.06764485622</v>
      </c>
      <c r="K26" s="1">
        <v>18023</v>
      </c>
      <c r="L26" s="1">
        <v>339.20020199999999</v>
      </c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</row>
    <row r="27" spans="1:51" x14ac:dyDescent="0.35">
      <c r="A27" t="s">
        <v>545</v>
      </c>
      <c r="B27" s="1" t="s">
        <v>545</v>
      </c>
      <c r="C27" s="1">
        <v>174510</v>
      </c>
      <c r="D27" s="1">
        <v>174456</v>
      </c>
      <c r="E27" s="1">
        <v>2.37</v>
      </c>
      <c r="F27" s="1">
        <v>2.5499999999999998</v>
      </c>
      <c r="G27" s="1">
        <v>5.95</v>
      </c>
      <c r="H27" s="1">
        <v>4.3700000000000003E-2</v>
      </c>
      <c r="I27" s="1">
        <v>0.1019</v>
      </c>
      <c r="J27" s="1">
        <v>1.06764485622</v>
      </c>
      <c r="K27" s="1">
        <v>18006</v>
      </c>
      <c r="L27" s="1">
        <v>872.39910599999996</v>
      </c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</row>
    <row r="28" spans="1:51" x14ac:dyDescent="0.35">
      <c r="A28" t="s">
        <v>545</v>
      </c>
      <c r="B28" s="1" t="s">
        <v>545</v>
      </c>
      <c r="C28" s="1">
        <v>174511</v>
      </c>
      <c r="D28" s="1">
        <v>174456</v>
      </c>
      <c r="E28" s="1">
        <v>4.6900000000000004</v>
      </c>
      <c r="F28" s="1">
        <v>3.84</v>
      </c>
      <c r="G28" s="1">
        <v>5.95</v>
      </c>
      <c r="H28" s="1">
        <v>8.6400000000000005E-2</v>
      </c>
      <c r="I28" s="1">
        <v>0.13389999999999999</v>
      </c>
      <c r="J28" s="1">
        <v>1.06764485622</v>
      </c>
      <c r="K28" s="1">
        <v>36016</v>
      </c>
      <c r="L28" s="1">
        <v>1073.815544</v>
      </c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</row>
    <row r="29" spans="1:51" x14ac:dyDescent="0.35">
      <c r="A29" t="s">
        <v>545</v>
      </c>
      <c r="B29" s="1" t="s">
        <v>545</v>
      </c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1:51" x14ac:dyDescent="0.35">
      <c r="A30" t="s">
        <v>545</v>
      </c>
      <c r="B30" s="1" t="s">
        <v>545</v>
      </c>
      <c r="C30" s="1" t="s">
        <v>576</v>
      </c>
      <c r="D30" s="1" t="s">
        <v>577</v>
      </c>
      <c r="E30" s="1" t="s">
        <v>578</v>
      </c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  <row r="31" spans="1:51" x14ac:dyDescent="0.35">
      <c r="A31" t="s">
        <v>545</v>
      </c>
      <c r="B31" s="1" t="s">
        <v>545</v>
      </c>
      <c r="C31" s="1" t="s">
        <v>579</v>
      </c>
      <c r="D31" s="86">
        <v>5</v>
      </c>
      <c r="E31" s="86"/>
      <c r="F31" s="86"/>
      <c r="G31" s="86"/>
      <c r="H31" s="86"/>
      <c r="I31" s="86"/>
      <c r="J31" s="86"/>
      <c r="K31" s="86"/>
      <c r="L31" s="86"/>
      <c r="M31" s="86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</row>
    <row r="32" spans="1:51" x14ac:dyDescent="0.35">
      <c r="A32" t="s">
        <v>545</v>
      </c>
      <c r="B32" s="1" t="s">
        <v>545</v>
      </c>
      <c r="C32" s="1" t="s">
        <v>580</v>
      </c>
      <c r="D32" s="86">
        <v>295</v>
      </c>
      <c r="E32" s="86"/>
      <c r="F32" s="86"/>
      <c r="G32" s="86"/>
      <c r="H32" s="86"/>
      <c r="I32" s="86"/>
      <c r="J32" s="86"/>
      <c r="K32" s="86"/>
      <c r="L32" s="86"/>
      <c r="M32" s="86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</row>
    <row r="33" spans="1:51" x14ac:dyDescent="0.35">
      <c r="A33" t="s">
        <v>545</v>
      </c>
      <c r="B33" s="1" t="s">
        <v>545</v>
      </c>
      <c r="C33" s="1" t="s">
        <v>581</v>
      </c>
      <c r="D33" s="1">
        <v>4.0000000000000002E-4</v>
      </c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</row>
    <row r="34" spans="1:51" x14ac:dyDescent="0.35">
      <c r="A34" t="s">
        <v>545</v>
      </c>
      <c r="B34" s="1" t="s">
        <v>545</v>
      </c>
      <c r="C34" s="1" t="s">
        <v>582</v>
      </c>
      <c r="D34" s="1">
        <v>2.3E-2</v>
      </c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</row>
    <row r="35" spans="1:51" x14ac:dyDescent="0.35">
      <c r="A35" t="s">
        <v>545</v>
      </c>
      <c r="B35" s="1" t="s">
        <v>545</v>
      </c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</row>
    <row r="36" spans="1:51" x14ac:dyDescent="0.35">
      <c r="A36" t="s">
        <v>545</v>
      </c>
      <c r="B36" s="1" t="s">
        <v>545</v>
      </c>
      <c r="C36" s="1" t="s">
        <v>583</v>
      </c>
      <c r="D36" s="1" t="s">
        <v>0</v>
      </c>
      <c r="E36" s="1" t="s">
        <v>584</v>
      </c>
      <c r="F36" s="1" t="s">
        <v>585</v>
      </c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</row>
    <row r="37" spans="1:51" x14ac:dyDescent="0.35">
      <c r="A37" t="s">
        <v>545</v>
      </c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</row>
    <row r="38" spans="1:51" x14ac:dyDescent="0.35">
      <c r="A38" t="s">
        <v>545</v>
      </c>
      <c r="B38" s="1" t="s">
        <v>586</v>
      </c>
      <c r="C38" s="1" t="s">
        <v>587</v>
      </c>
      <c r="D38" s="1">
        <v>4.0000000000000002E-4</v>
      </c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</row>
    <row r="39" spans="1:51" x14ac:dyDescent="0.35">
      <c r="A39" t="s">
        <v>545</v>
      </c>
      <c r="B39" s="1" t="s">
        <v>588</v>
      </c>
      <c r="C39" s="1" t="s">
        <v>587</v>
      </c>
      <c r="D39" s="1">
        <v>2.3E-2</v>
      </c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</row>
    <row r="40" spans="1:51" x14ac:dyDescent="0.35">
      <c r="A40" t="s">
        <v>545</v>
      </c>
      <c r="B40" s="1" t="s">
        <v>589</v>
      </c>
      <c r="C40" s="1" t="s">
        <v>0</v>
      </c>
      <c r="D40" s="1" t="s">
        <v>584</v>
      </c>
      <c r="E40" s="1" t="s">
        <v>585</v>
      </c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</row>
    <row r="41" spans="1:51" x14ac:dyDescent="0.35">
      <c r="A41">
        <v>8.1014360403499994E-3</v>
      </c>
      <c r="B41" s="1">
        <v>0.81517836450799996</v>
      </c>
      <c r="C41" s="1">
        <v>0.32837558170499997</v>
      </c>
      <c r="D41" s="1">
        <v>5.8633302892800005E-4</v>
      </c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</row>
    <row r="42" spans="1:51" x14ac:dyDescent="0.35">
      <c r="A42">
        <v>8.1824504007600007E-3</v>
      </c>
      <c r="B42" s="1">
        <v>0.92084037348699999</v>
      </c>
      <c r="C42" s="1">
        <v>0.18065479107099999</v>
      </c>
      <c r="D42" s="1">
        <v>5.8819635921700004E-4</v>
      </c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</row>
    <row r="43" spans="1:51" x14ac:dyDescent="0.35">
      <c r="A43">
        <v>8.2642749047700005E-3</v>
      </c>
      <c r="B43" s="1">
        <v>0.85537159394899998</v>
      </c>
      <c r="C43" s="1">
        <v>0.11244050543799999</v>
      </c>
      <c r="D43" s="1">
        <v>5.9007832281000004E-4</v>
      </c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</row>
    <row r="44" spans="1:51" x14ac:dyDescent="0.35">
      <c r="A44">
        <v>8.3469176538099998E-3</v>
      </c>
      <c r="B44" s="1">
        <v>1.09663817142</v>
      </c>
      <c r="C44" s="1">
        <v>9.6009382295500004E-2</v>
      </c>
      <c r="D44" s="1">
        <v>5.9197910603799996E-4</v>
      </c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</row>
    <row r="45" spans="1:51" x14ac:dyDescent="0.35">
      <c r="A45">
        <v>8.4303868303500003E-3</v>
      </c>
      <c r="B45" s="1">
        <v>1.0844940864999999</v>
      </c>
      <c r="C45" s="1">
        <v>8.5974587944899997E-2</v>
      </c>
      <c r="D45" s="1">
        <v>5.9389889709799998E-4</v>
      </c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</row>
    <row r="46" spans="1:51" x14ac:dyDescent="0.35">
      <c r="A46">
        <v>8.5146906986500008E-3</v>
      </c>
      <c r="B46" s="1">
        <v>1.0517331132000001</v>
      </c>
      <c r="C46" s="1">
        <v>7.7658309344199997E-2</v>
      </c>
      <c r="D46" s="1">
        <v>5.9583788606899996E-4</v>
      </c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</row>
    <row r="47" spans="1:51" x14ac:dyDescent="0.35">
      <c r="A47">
        <v>8.5998376056400008E-3</v>
      </c>
      <c r="B47" s="1">
        <v>1.0218938774899999</v>
      </c>
      <c r="C47" s="1">
        <v>7.3883680658600001E-2</v>
      </c>
      <c r="D47" s="1">
        <v>5.9779626492999997E-4</v>
      </c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</row>
    <row r="48" spans="1:51" x14ac:dyDescent="0.35">
      <c r="A48">
        <v>8.6858359817000002E-3</v>
      </c>
      <c r="B48" s="1">
        <v>1.1601806590399999</v>
      </c>
      <c r="C48" s="1">
        <v>7.6167758082800005E-2</v>
      </c>
      <c r="D48" s="1">
        <v>5.9977422757899999E-4</v>
      </c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</row>
    <row r="49" spans="1:51" x14ac:dyDescent="0.35">
      <c r="A49">
        <v>8.7726943415100001E-3</v>
      </c>
      <c r="B49" s="1">
        <v>1.0386792764299999</v>
      </c>
      <c r="C49" s="1">
        <v>6.9428756344699999E-2</v>
      </c>
      <c r="D49" s="1">
        <v>6.0177196985499999E-4</v>
      </c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</row>
    <row r="50" spans="1:51" x14ac:dyDescent="0.35">
      <c r="A50">
        <v>8.86042128493E-3</v>
      </c>
      <c r="B50" s="1">
        <v>0.96360020205800001</v>
      </c>
      <c r="C50" s="1">
        <v>6.1705257774699998E-2</v>
      </c>
      <c r="D50" s="1">
        <v>6.0378968955299996E-4</v>
      </c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</row>
    <row r="51" spans="1:51" x14ac:dyDescent="0.35">
      <c r="A51">
        <v>8.9490254977800006E-3</v>
      </c>
      <c r="B51" s="1">
        <v>1.00124022668</v>
      </c>
      <c r="C51" s="1">
        <v>6.19994983695E-2</v>
      </c>
      <c r="D51" s="1">
        <v>6.0582758644900001E-4</v>
      </c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</row>
    <row r="52" spans="1:51" x14ac:dyDescent="0.35">
      <c r="A52">
        <v>9.0385157527600006E-3</v>
      </c>
      <c r="B52" s="1">
        <v>1.04928163492</v>
      </c>
      <c r="C52" s="1">
        <v>6.3160478875300005E-2</v>
      </c>
      <c r="D52" s="1">
        <v>6.0788586231300004E-4</v>
      </c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</row>
    <row r="53" spans="1:51" x14ac:dyDescent="0.35">
      <c r="A53">
        <v>9.1289009102799995E-3</v>
      </c>
      <c r="B53" s="1">
        <v>1.0178952533100001</v>
      </c>
      <c r="C53" s="1">
        <v>5.9877835819600003E-2</v>
      </c>
      <c r="D53" s="1">
        <v>6.0996472093700004E-4</v>
      </c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</row>
    <row r="54" spans="1:51" x14ac:dyDescent="0.35">
      <c r="A54">
        <v>9.2201899193900001E-3</v>
      </c>
      <c r="B54" s="1">
        <v>1.04479892994</v>
      </c>
      <c r="C54" s="1">
        <v>5.91836037772E-2</v>
      </c>
      <c r="D54" s="1">
        <v>6.1206436814599996E-4</v>
      </c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</row>
    <row r="55" spans="1:51" x14ac:dyDescent="0.35">
      <c r="A55">
        <v>9.3123918185800004E-3</v>
      </c>
      <c r="B55" s="1">
        <v>1.0012920650999999</v>
      </c>
      <c r="C55" s="1">
        <v>4.2827370739499999E-2</v>
      </c>
      <c r="D55" s="1">
        <v>6.1418501182700005E-4</v>
      </c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</row>
    <row r="56" spans="1:51" x14ac:dyDescent="0.35">
      <c r="A56">
        <v>9.4055157367700006E-3</v>
      </c>
      <c r="B56" s="1">
        <v>0.93117690678499998</v>
      </c>
      <c r="C56" s="1">
        <v>3.9437640229400002E-2</v>
      </c>
      <c r="D56" s="1">
        <v>6.1632686194599997E-4</v>
      </c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</row>
    <row r="57" spans="1:51" x14ac:dyDescent="0.35">
      <c r="A57">
        <v>9.4995708941299998E-3</v>
      </c>
      <c r="B57" s="1">
        <v>0.98999379479299998</v>
      </c>
      <c r="C57" s="1">
        <v>4.0080552110000001E-2</v>
      </c>
      <c r="D57" s="1">
        <v>6.1849013056499997E-4</v>
      </c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</row>
    <row r="58" spans="1:51" x14ac:dyDescent="0.35">
      <c r="A58">
        <v>9.5945666030799997E-3</v>
      </c>
      <c r="B58" s="1">
        <v>0.93615493734400002</v>
      </c>
      <c r="C58" s="1">
        <v>3.8130643422400003E-2</v>
      </c>
      <c r="D58" s="1">
        <v>6.2067503187099998E-4</v>
      </c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</row>
    <row r="59" spans="1:51" x14ac:dyDescent="0.35">
      <c r="A59">
        <v>9.69051226911E-3</v>
      </c>
      <c r="B59" s="1">
        <v>0.93208686112500005</v>
      </c>
      <c r="C59" s="1">
        <v>3.72278712944E-2</v>
      </c>
      <c r="D59" s="1">
        <v>6.2288178218900003E-4</v>
      </c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</row>
    <row r="60" spans="1:51" x14ac:dyDescent="0.35">
      <c r="A60">
        <v>9.7874173918000001E-3</v>
      </c>
      <c r="B60" s="1">
        <v>0.90246147979500002</v>
      </c>
      <c r="C60" s="1">
        <v>5.4672084597900003E-2</v>
      </c>
      <c r="D60" s="1">
        <v>6.2511060001099999E-4</v>
      </c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</row>
    <row r="61" spans="1:51" x14ac:dyDescent="0.35">
      <c r="A61">
        <v>9.8852915657199995E-3</v>
      </c>
      <c r="B61" s="1">
        <v>0.89926806059499997</v>
      </c>
      <c r="C61" s="1">
        <v>5.2933196332399998E-2</v>
      </c>
      <c r="D61" s="1">
        <v>6.2736170601099999E-4</v>
      </c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</row>
    <row r="62" spans="1:51" x14ac:dyDescent="0.35">
      <c r="A62">
        <v>9.9841444813699998E-3</v>
      </c>
      <c r="B62" s="1">
        <v>0.69460516303800002</v>
      </c>
      <c r="C62" s="1">
        <v>4.4871819845700003E-2</v>
      </c>
      <c r="D62" s="1">
        <v>6.2963532307199995E-4</v>
      </c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</row>
    <row r="63" spans="1:51" x14ac:dyDescent="0.35">
      <c r="A63">
        <v>1.0083985926200001E-2</v>
      </c>
      <c r="B63" s="1">
        <v>0.71245225490399999</v>
      </c>
      <c r="C63" s="1">
        <v>4.4183838439900001E-2</v>
      </c>
      <c r="D63" s="1">
        <v>6.3193167630200004E-4</v>
      </c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</row>
    <row r="64" spans="1:51" x14ac:dyDescent="0.35">
      <c r="A64">
        <v>1.01848257854E-2</v>
      </c>
      <c r="B64" s="1">
        <v>0.531174641788</v>
      </c>
      <c r="C64" s="1">
        <v>3.7199639419900003E-2</v>
      </c>
      <c r="D64" s="1">
        <v>6.3425099306499996E-4</v>
      </c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</row>
    <row r="65" spans="1:51" x14ac:dyDescent="0.35">
      <c r="A65">
        <v>1.02866740433E-2</v>
      </c>
      <c r="B65" s="1">
        <v>0.44005425974200002</v>
      </c>
      <c r="C65" s="1">
        <v>3.3052705336E-2</v>
      </c>
      <c r="D65" s="1">
        <v>6.3659350299599996E-4</v>
      </c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</row>
    <row r="66" spans="1:51" x14ac:dyDescent="0.35">
      <c r="A66">
        <v>1.03895407837E-2</v>
      </c>
      <c r="B66" s="1">
        <v>0.36476163121400001</v>
      </c>
      <c r="C66" s="1">
        <v>2.9684885033999998E-2</v>
      </c>
      <c r="D66" s="1">
        <v>6.3895943802600005E-4</v>
      </c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</row>
    <row r="67" spans="1:51" x14ac:dyDescent="0.35">
      <c r="A67">
        <v>1.04934361916E-2</v>
      </c>
      <c r="B67" s="1">
        <v>0.29083399556200001</v>
      </c>
      <c r="C67" s="1">
        <v>2.51934243715E-2</v>
      </c>
      <c r="D67" s="1">
        <v>6.4134903240600002E-4</v>
      </c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</row>
    <row r="68" spans="1:51" x14ac:dyDescent="0.35">
      <c r="A68">
        <v>1.05983705535E-2</v>
      </c>
      <c r="B68" s="1">
        <v>0.28267761550800002</v>
      </c>
      <c r="C68" s="1">
        <v>2.5013237104899999E-2</v>
      </c>
      <c r="D68" s="1">
        <v>6.4376252273E-4</v>
      </c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</row>
    <row r="69" spans="1:51" x14ac:dyDescent="0.35">
      <c r="A69">
        <v>1.0704354259E-2</v>
      </c>
      <c r="B69" s="1">
        <v>0.28809472208800002</v>
      </c>
      <c r="C69" s="1">
        <v>2.4196755883899999E-2</v>
      </c>
      <c r="D69" s="1">
        <v>6.46200147958E-4</v>
      </c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</row>
    <row r="70" spans="1:51" x14ac:dyDescent="0.35">
      <c r="A70">
        <v>1.08113978016E-2</v>
      </c>
      <c r="B70" s="1">
        <v>0.23817579792599999</v>
      </c>
      <c r="C70" s="1">
        <v>2.1282573482400001E-2</v>
      </c>
      <c r="D70" s="1">
        <v>6.4866214943700004E-4</v>
      </c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</row>
    <row r="71" spans="1:51" x14ac:dyDescent="0.35">
      <c r="A71">
        <v>1.0919511779600001E-2</v>
      </c>
      <c r="B71" s="1">
        <v>0.19774138528099999</v>
      </c>
      <c r="C71" s="1">
        <v>1.8958837747299999E-2</v>
      </c>
      <c r="D71" s="1">
        <v>6.5114877093200004E-4</v>
      </c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</row>
    <row r="72" spans="1:51" x14ac:dyDescent="0.35">
      <c r="A72">
        <v>1.1028706897400001E-2</v>
      </c>
      <c r="B72" s="1">
        <v>0.21850660380199999</v>
      </c>
      <c r="C72" s="1">
        <v>1.9988867955799999E-2</v>
      </c>
      <c r="D72" s="1">
        <v>6.5366025864100003E-4</v>
      </c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</row>
    <row r="73" spans="1:51" x14ac:dyDescent="0.35">
      <c r="A73">
        <v>1.11389939664E-2</v>
      </c>
      <c r="B73" s="1">
        <v>0.198207218233</v>
      </c>
      <c r="C73" s="1">
        <v>1.8361412793599999E-2</v>
      </c>
      <c r="D73" s="1">
        <v>6.5619686122700004E-4</v>
      </c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</row>
    <row r="74" spans="1:51" x14ac:dyDescent="0.35">
      <c r="A74">
        <v>1.12503839061E-2</v>
      </c>
      <c r="B74" s="1">
        <v>0.17408253549200001</v>
      </c>
      <c r="C74" s="1">
        <v>1.65006526306E-2</v>
      </c>
      <c r="D74" s="1">
        <v>6.5875882983899999E-4</v>
      </c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</row>
    <row r="75" spans="1:51" x14ac:dyDescent="0.35">
      <c r="A75">
        <v>1.1362887745099999E-2</v>
      </c>
      <c r="B75" s="1">
        <v>0.159315264352</v>
      </c>
      <c r="C75" s="1">
        <v>1.5835027386000001E-2</v>
      </c>
      <c r="D75" s="1">
        <v>6.6134641813799997E-4</v>
      </c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</row>
    <row r="76" spans="1:51" x14ac:dyDescent="0.35">
      <c r="A76">
        <v>1.14765166226E-2</v>
      </c>
      <c r="B76" s="1">
        <v>0.133440857696</v>
      </c>
      <c r="C76" s="1">
        <v>8.0825507654799997E-3</v>
      </c>
      <c r="D76" s="1">
        <v>6.6395988231899997E-4</v>
      </c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</row>
    <row r="77" spans="1:51" x14ac:dyDescent="0.35">
      <c r="A77">
        <v>1.1591281788799999E-2</v>
      </c>
      <c r="B77" s="1">
        <v>0.11164985126599999</v>
      </c>
      <c r="C77" s="1">
        <v>7.3726987660599997E-3</v>
      </c>
      <c r="D77" s="1">
        <v>6.6659948114199997E-4</v>
      </c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</row>
    <row r="78" spans="1:51" x14ac:dyDescent="0.35">
      <c r="A78">
        <v>1.17071946067E-2</v>
      </c>
      <c r="B78" s="1">
        <v>8.9537390255599994E-2</v>
      </c>
      <c r="C78" s="1">
        <v>6.4581073299099997E-3</v>
      </c>
      <c r="D78" s="1">
        <v>6.69265475954E-4</v>
      </c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</row>
    <row r="79" spans="1:51" x14ac:dyDescent="0.35">
      <c r="A79">
        <v>1.18242665528E-2</v>
      </c>
      <c r="B79" s="1">
        <v>7.3905412802200005E-2</v>
      </c>
      <c r="C79" s="1">
        <v>5.61140152813E-3</v>
      </c>
      <c r="D79" s="1">
        <v>6.7195813071299995E-4</v>
      </c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</row>
    <row r="80" spans="1:51" x14ac:dyDescent="0.35">
      <c r="A80">
        <v>1.19425092183E-2</v>
      </c>
      <c r="B80" s="1">
        <v>5.10987915512E-2</v>
      </c>
      <c r="C80" s="1">
        <v>5.5855520995599997E-3</v>
      </c>
      <c r="D80" s="1">
        <v>6.7467771202100004E-4</v>
      </c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</row>
    <row r="81" spans="1:51" x14ac:dyDescent="0.35">
      <c r="A81">
        <v>1.2061934310500001E-2</v>
      </c>
      <c r="B81" s="1">
        <v>4.4128370333000003E-2</v>
      </c>
      <c r="C81" s="1">
        <v>5.1135980003699996E-3</v>
      </c>
      <c r="D81" s="1">
        <v>6.7742448914099999E-4</v>
      </c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</row>
    <row r="82" spans="1:51" x14ac:dyDescent="0.35">
      <c r="A82">
        <v>1.2182553653599999E-2</v>
      </c>
      <c r="B82" s="1">
        <v>2.89105947003E-2</v>
      </c>
      <c r="C82" s="1">
        <v>4.0779507678400002E-3</v>
      </c>
      <c r="D82" s="1">
        <v>6.8019873403200003E-4</v>
      </c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</row>
    <row r="83" spans="1:51" x14ac:dyDescent="0.35">
      <c r="A83">
        <v>1.2304379190100001E-2</v>
      </c>
      <c r="B83" s="1">
        <v>1.7534007876800001E-2</v>
      </c>
      <c r="C83" s="1">
        <v>3.3412526505099999E-3</v>
      </c>
      <c r="D83" s="1">
        <v>6.8300072137200002E-4</v>
      </c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</row>
    <row r="84" spans="1:51" x14ac:dyDescent="0.35">
      <c r="A84">
        <v>1.2427422981999999E-2</v>
      </c>
      <c r="B84" s="1">
        <v>1.33805526727E-2</v>
      </c>
      <c r="C84" s="1">
        <v>3.0681197026099999E-3</v>
      </c>
      <c r="D84" s="1">
        <v>6.8583072858600003E-4</v>
      </c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</row>
    <row r="85" spans="1:51" x14ac:dyDescent="0.35">
      <c r="A85">
        <v>1.25516972118E-2</v>
      </c>
      <c r="B85" s="1">
        <v>7.74096225002E-3</v>
      </c>
      <c r="C85" s="1">
        <v>2.4732843851000001E-3</v>
      </c>
      <c r="D85" s="1">
        <v>6.8868903587199996E-4</v>
      </c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</row>
    <row r="86" spans="1:51" x14ac:dyDescent="0.35">
      <c r="A86">
        <v>1.26772141839E-2</v>
      </c>
      <c r="B86" s="1">
        <v>6.1498025776800004E-3</v>
      </c>
      <c r="C86" s="1">
        <v>2.17632220954E-3</v>
      </c>
      <c r="D86" s="1">
        <v>6.9157592623100004E-4</v>
      </c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</row>
    <row r="87" spans="1:51" x14ac:dyDescent="0.35">
      <c r="A87">
        <v>1.31919599154E-2</v>
      </c>
      <c r="B87" s="1">
        <v>5.8471145733199996E-3</v>
      </c>
      <c r="C87" s="1">
        <v>1.9092666830299999E-3</v>
      </c>
      <c r="D87" s="1">
        <v>7.0341507805499995E-4</v>
      </c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</row>
    <row r="88" spans="1:51" x14ac:dyDescent="0.35">
      <c r="A88">
        <v>1.33238795146E-2</v>
      </c>
      <c r="B88" s="1">
        <v>1.2046654686699999E-2</v>
      </c>
      <c r="C88" s="1">
        <v>2.18878787801E-3</v>
      </c>
      <c r="D88" s="1">
        <v>7.0644922883600001E-4</v>
      </c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</row>
    <row r="89" spans="1:51" x14ac:dyDescent="0.35">
      <c r="A89">
        <v>1.3457118309700001E-2</v>
      </c>
      <c r="B89" s="1">
        <v>1.1899645209599999E-2</v>
      </c>
      <c r="C89" s="1">
        <v>2.1182727771300001E-3</v>
      </c>
      <c r="D89" s="1">
        <v>7.0951372112399997E-4</v>
      </c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</row>
    <row r="90" spans="1:51" x14ac:dyDescent="0.35">
      <c r="A90">
        <v>1.3591689492799999E-2</v>
      </c>
      <c r="B90" s="1">
        <v>1.8220752947499998E-2</v>
      </c>
      <c r="C90" s="1">
        <v>2.46416301747E-3</v>
      </c>
      <c r="D90" s="1">
        <v>7.1260885833499996E-4</v>
      </c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</row>
    <row r="91" spans="1:51" x14ac:dyDescent="0.35">
      <c r="A91">
        <v>1.37276063878E-2</v>
      </c>
      <c r="B91" s="1">
        <v>1.7866553305500001E-2</v>
      </c>
      <c r="C91" s="1">
        <v>2.4023143655000001E-3</v>
      </c>
      <c r="D91" s="1">
        <v>7.1573494691900001E-4</v>
      </c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</row>
    <row r="92" spans="1:51" x14ac:dyDescent="0.35">
      <c r="A92">
        <v>1.3864882451600001E-2</v>
      </c>
      <c r="B92" s="1">
        <v>1.98054503529E-2</v>
      </c>
      <c r="C92" s="1">
        <v>2.4585332548500002E-3</v>
      </c>
      <c r="D92" s="86">
        <v>7.1889229638800003E-4</v>
      </c>
      <c r="E92" s="86"/>
      <c r="F92" s="86"/>
      <c r="G92" s="86"/>
      <c r="H92" s="86"/>
      <c r="I92" s="86"/>
      <c r="J92" s="86"/>
      <c r="K92" s="86"/>
      <c r="L92" s="86"/>
      <c r="M92" s="86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</row>
    <row r="93" spans="1:51" x14ac:dyDescent="0.35">
      <c r="A93">
        <v>1.40035312762E-2</v>
      </c>
      <c r="B93" s="1">
        <v>2.7763425883000001E-2</v>
      </c>
      <c r="C93" s="1">
        <v>2.6848460280199998E-3</v>
      </c>
      <c r="D93" s="1">
        <v>7.2208121935199996E-4</v>
      </c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</row>
    <row r="94" spans="1:51" x14ac:dyDescent="0.35">
      <c r="A94">
        <v>1.41435665889E-2</v>
      </c>
      <c r="B94" s="1">
        <v>3.6013121132499999E-2</v>
      </c>
      <c r="C94" s="1">
        <v>3.0153817624999999E-3</v>
      </c>
      <c r="D94" s="1">
        <v>7.2530203154500005E-4</v>
      </c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</row>
    <row r="95" spans="1:51" x14ac:dyDescent="0.35">
      <c r="A95">
        <v>1.42850022548E-2</v>
      </c>
      <c r="B95" s="1">
        <v>3.4004801518100002E-2</v>
      </c>
      <c r="C95" s="1">
        <v>2.8422514049699999E-3</v>
      </c>
      <c r="D95" s="1">
        <v>7.2855505186099996E-4</v>
      </c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</row>
    <row r="96" spans="1:51" x14ac:dyDescent="0.35">
      <c r="A96">
        <v>1.44278522774E-2</v>
      </c>
      <c r="B96" s="1">
        <v>3.29742324142E-2</v>
      </c>
      <c r="C96" s="1">
        <v>2.7533001734899999E-3</v>
      </c>
      <c r="D96" s="1">
        <v>7.3184060237899997E-4</v>
      </c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</row>
    <row r="97" spans="1:51" x14ac:dyDescent="0.35">
      <c r="A97">
        <v>1.4572130800099999E-2</v>
      </c>
      <c r="B97" s="1">
        <v>3.9915781891999999E-2</v>
      </c>
      <c r="C97" s="1">
        <v>2.9475177954800002E-3</v>
      </c>
      <c r="D97" s="1">
        <v>7.3515900840299996E-4</v>
      </c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</row>
    <row r="98" spans="1:51" x14ac:dyDescent="0.35">
      <c r="A98">
        <v>1.4717852108099999E-2</v>
      </c>
      <c r="B98" s="1">
        <v>3.82723397464E-2</v>
      </c>
      <c r="C98" s="1">
        <v>2.8244391125800002E-3</v>
      </c>
      <c r="D98" s="1">
        <v>7.3851059848700003E-4</v>
      </c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</row>
    <row r="99" spans="1:51" x14ac:dyDescent="0.35">
      <c r="A99">
        <v>1.4865030629200001E-2</v>
      </c>
      <c r="B99" s="1">
        <v>3.8226755661199999E-2</v>
      </c>
      <c r="C99" s="1">
        <v>2.76920890404E-3</v>
      </c>
      <c r="D99" s="1">
        <v>7.4189570447199995E-4</v>
      </c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</row>
    <row r="100" spans="1:51" x14ac:dyDescent="0.35">
      <c r="A100">
        <v>1.50136809355E-2</v>
      </c>
      <c r="B100" s="1">
        <v>3.5245903242900001E-2</v>
      </c>
      <c r="C100" s="1">
        <v>1.92138464867E-3</v>
      </c>
      <c r="D100" s="1">
        <v>7.4531466151699999E-4</v>
      </c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</row>
    <row r="101" spans="1:51" x14ac:dyDescent="0.35">
      <c r="A101">
        <v>1.5163817744900001E-2</v>
      </c>
      <c r="B101" s="1">
        <v>3.5485511286900001E-2</v>
      </c>
      <c r="C101" s="1">
        <v>1.8860304352700001E-3</v>
      </c>
      <c r="D101" s="1">
        <v>7.4876780813200002E-4</v>
      </c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</row>
    <row r="102" spans="1:51" x14ac:dyDescent="0.35">
      <c r="A102">
        <v>1.5315455922300001E-2</v>
      </c>
      <c r="B102" s="1">
        <v>3.2761750574700002E-2</v>
      </c>
      <c r="C102" s="1">
        <v>1.7470065338900001E-3</v>
      </c>
      <c r="D102" s="1">
        <v>7.5225548621300005E-4</v>
      </c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</row>
    <row r="103" spans="1:51" x14ac:dyDescent="0.35">
      <c r="A103">
        <v>1.54686104815E-2</v>
      </c>
      <c r="B103" s="1">
        <v>2.8259345002299999E-2</v>
      </c>
      <c r="C103" s="1">
        <v>1.5823268609699999E-3</v>
      </c>
      <c r="D103" s="1">
        <v>7.5577804107499998E-4</v>
      </c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</row>
    <row r="104" spans="1:51" x14ac:dyDescent="0.35">
      <c r="A104">
        <v>1.56232965864E-2</v>
      </c>
      <c r="B104" s="1">
        <v>2.6256025183199999E-2</v>
      </c>
      <c r="C104" s="1">
        <v>1.4750913285300001E-3</v>
      </c>
      <c r="D104" s="1">
        <v>7.5933582148599997E-4</v>
      </c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</row>
    <row r="105" spans="1:51" x14ac:dyDescent="0.35">
      <c r="A105">
        <v>1.5779529552200001E-2</v>
      </c>
      <c r="B105" s="1">
        <v>2.5337144886200001E-2</v>
      </c>
      <c r="C105" s="1">
        <v>1.45184855705E-3</v>
      </c>
      <c r="D105" s="1">
        <v>7.6292917970100004E-4</v>
      </c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</row>
    <row r="106" spans="1:51" x14ac:dyDescent="0.35">
      <c r="A106">
        <v>1.59373248477E-2</v>
      </c>
      <c r="B106" s="1">
        <v>2.43671896656E-2</v>
      </c>
      <c r="C106" s="1">
        <v>2.0582522901999999E-3</v>
      </c>
      <c r="D106" s="1">
        <v>7.6655847149800001E-4</v>
      </c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</row>
    <row r="107" spans="1:51" x14ac:dyDescent="0.35">
      <c r="A107">
        <v>1.6096698096199999E-2</v>
      </c>
      <c r="B107" s="1">
        <v>2.0399183376699999E-2</v>
      </c>
      <c r="C107" s="1">
        <v>1.8603420040199999E-3</v>
      </c>
      <c r="D107" s="1">
        <v>7.7022405621299998E-4</v>
      </c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</row>
    <row r="108" spans="1:51" x14ac:dyDescent="0.35">
      <c r="A108">
        <v>1.6257665077200001E-2</v>
      </c>
      <c r="B108" s="1">
        <v>1.6087747851399999E-2</v>
      </c>
      <c r="C108" s="1">
        <v>1.5387198245E-3</v>
      </c>
      <c r="D108" s="1">
        <v>7.7392629677499995E-4</v>
      </c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</row>
    <row r="109" spans="1:51" x14ac:dyDescent="0.35">
      <c r="A109">
        <v>1.6420241727999999E-2</v>
      </c>
      <c r="B109" s="1">
        <v>9.6281037552800007E-3</v>
      </c>
      <c r="C109" s="1">
        <v>1.22247437812E-3</v>
      </c>
      <c r="D109" s="1">
        <v>7.7766555974299997E-4</v>
      </c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</row>
    <row r="110" spans="1:51" x14ac:dyDescent="0.35">
      <c r="A110">
        <v>1.6584444145200002E-2</v>
      </c>
      <c r="B110" s="1">
        <v>8.8023692704199998E-3</v>
      </c>
      <c r="C110" s="1">
        <v>1.1326882502E-3</v>
      </c>
      <c r="D110" s="1">
        <v>7.8144221533999999E-4</v>
      </c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</row>
    <row r="111" spans="1:51" x14ac:dyDescent="0.35">
      <c r="A111">
        <v>1.67502885867E-2</v>
      </c>
      <c r="B111" s="1">
        <v>7.4379076497400002E-3</v>
      </c>
      <c r="C111" s="1">
        <v>1.0277064804600001E-3</v>
      </c>
      <c r="D111" s="1">
        <v>7.8525663749399999E-4</v>
      </c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</row>
    <row r="112" spans="1:51" x14ac:dyDescent="0.35">
      <c r="A112">
        <v>1.6917791472599999E-2</v>
      </c>
      <c r="B112" s="1">
        <v>5.1137758079500004E-3</v>
      </c>
      <c r="C112" s="1">
        <v>9.29650500834E-4</v>
      </c>
      <c r="D112" s="1">
        <v>7.8910920386899999E-4</v>
      </c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</row>
    <row r="113" spans="1:51" x14ac:dyDescent="0.35">
      <c r="A113">
        <v>1.7086969387300002E-2</v>
      </c>
      <c r="B113" s="1">
        <v>2.63708974026E-3</v>
      </c>
      <c r="C113" s="1">
        <v>6.8450199272299995E-4</v>
      </c>
      <c r="D113" s="1">
        <v>7.9300029590700005E-4</v>
      </c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</row>
    <row r="114" spans="1:51" x14ac:dyDescent="0.35">
      <c r="A114">
        <v>1.7257839081199999E-2</v>
      </c>
      <c r="B114" s="1">
        <v>2.15031635954E-3</v>
      </c>
      <c r="C114" s="1">
        <v>6.1556354507699999E-4</v>
      </c>
      <c r="D114" s="1">
        <v>7.9693029886600004E-4</v>
      </c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</row>
    <row r="115" spans="1:51" x14ac:dyDescent="0.35">
      <c r="A115">
        <v>1.7430417472000002E-2</v>
      </c>
      <c r="B115" s="1">
        <v>1.6131505439699999E-3</v>
      </c>
      <c r="C115" s="1">
        <v>5.4334264845000001E-4</v>
      </c>
      <c r="D115" s="1">
        <v>8.0089960185499996E-4</v>
      </c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</row>
    <row r="116" spans="1:51" x14ac:dyDescent="0.35">
      <c r="A116">
        <v>1.7604721646699999E-2</v>
      </c>
      <c r="B116" s="1">
        <v>1.3930546153600001E-3</v>
      </c>
      <c r="C116" s="1">
        <v>5.0195882698399999E-4</v>
      </c>
      <c r="D116" s="1">
        <v>8.0490859787399999E-4</v>
      </c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</row>
    <row r="117" spans="1:51" x14ac:dyDescent="0.35">
      <c r="A117">
        <v>1.77807688631E-2</v>
      </c>
      <c r="B117" s="1">
        <v>1.16134038156E-3</v>
      </c>
      <c r="C117" s="1">
        <v>4.7724945564499999E-4</v>
      </c>
      <c r="D117" s="1">
        <v>8.08957683852E-4</v>
      </c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</row>
    <row r="118" spans="1:51" x14ac:dyDescent="0.35">
      <c r="A118">
        <v>1.7958576551799998E-2</v>
      </c>
      <c r="B118" s="1">
        <v>2.1719105800300001E-3</v>
      </c>
      <c r="C118" s="1">
        <v>5.3131146908500003E-4</v>
      </c>
      <c r="D118" s="1">
        <v>8.1304726069100005E-4</v>
      </c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</row>
    <row r="119" spans="1:51" x14ac:dyDescent="0.35">
      <c r="A119">
        <v>1.8138162317300002E-2</v>
      </c>
      <c r="B119" s="1">
        <v>3.0314534581799999E-3</v>
      </c>
      <c r="C119" s="1">
        <v>6.0266546638399995E-4</v>
      </c>
      <c r="D119" s="1">
        <v>8.17177733298E-4</v>
      </c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</row>
    <row r="120" spans="1:51" x14ac:dyDescent="0.35">
      <c r="A120">
        <v>1.8319543940500001E-2</v>
      </c>
      <c r="B120" s="1">
        <v>4.1528412962900003E-3</v>
      </c>
      <c r="C120" s="1">
        <v>7.0783717349699998E-4</v>
      </c>
      <c r="D120" s="1">
        <v>8.2134951063100002E-4</v>
      </c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</row>
    <row r="121" spans="1:51" x14ac:dyDescent="0.35">
      <c r="A121">
        <v>1.8502739379900001E-2</v>
      </c>
      <c r="B121" s="1">
        <v>6.3294595985399996E-3</v>
      </c>
      <c r="C121" s="1">
        <v>7.6591019474200005E-4</v>
      </c>
      <c r="D121" s="1">
        <v>8.2556300573700004E-4</v>
      </c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</row>
    <row r="122" spans="1:51" x14ac:dyDescent="0.35">
      <c r="A122">
        <v>1.8687766773700001E-2</v>
      </c>
      <c r="B122" s="1">
        <v>7.3477677835199996E-3</v>
      </c>
      <c r="C122" s="1">
        <v>8.2469609530100004E-4</v>
      </c>
      <c r="D122" s="1">
        <v>8.2981863579399998E-4</v>
      </c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</row>
    <row r="123" spans="1:51" x14ac:dyDescent="0.35">
      <c r="A123">
        <v>1.8874644441399999E-2</v>
      </c>
      <c r="B123" s="1">
        <v>8.2398937614600008E-3</v>
      </c>
      <c r="C123" s="1">
        <v>8.37774008131E-4</v>
      </c>
      <c r="D123" s="1">
        <v>8.34116822152E-4</v>
      </c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</row>
    <row r="124" spans="1:51" x14ac:dyDescent="0.35">
      <c r="A124">
        <v>1.9063390885799999E-2</v>
      </c>
      <c r="B124" s="1">
        <v>7.9767523576100008E-3</v>
      </c>
      <c r="C124" s="1">
        <v>8.2370149428599997E-4</v>
      </c>
      <c r="D124" s="1">
        <v>8.3845799037399996E-4</v>
      </c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</row>
    <row r="125" spans="1:51" x14ac:dyDescent="0.35">
      <c r="A125">
        <v>1.9254024794699998E-2</v>
      </c>
      <c r="B125" s="1">
        <v>9.5961121252699996E-3</v>
      </c>
      <c r="C125" s="1">
        <v>8.7089803181400005E-4</v>
      </c>
      <c r="D125" s="1">
        <v>8.4284257027799996E-4</v>
      </c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</row>
    <row r="126" spans="1:51" x14ac:dyDescent="0.35">
      <c r="A126">
        <v>1.9446565042599999E-2</v>
      </c>
      <c r="B126" s="1">
        <v>1.0771988778100001E-2</v>
      </c>
      <c r="C126" s="1">
        <v>9.2534836004700002E-4</v>
      </c>
      <c r="D126" s="1">
        <v>8.4727099597999998E-4</v>
      </c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</row>
    <row r="127" spans="1:51" x14ac:dyDescent="0.35">
      <c r="A127">
        <v>1.9641030693100001E-2</v>
      </c>
      <c r="B127" s="1">
        <v>1.1565110718600001E-2</v>
      </c>
      <c r="C127" s="1">
        <v>9.5218262884899998E-4</v>
      </c>
      <c r="D127" s="1">
        <v>8.5174370594E-4</v>
      </c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</row>
    <row r="128" spans="1:51" x14ac:dyDescent="0.35">
      <c r="A128">
        <v>1.9837441000000001E-2</v>
      </c>
      <c r="B128" s="1">
        <v>1.00636887066E-2</v>
      </c>
      <c r="C128" s="1">
        <v>8.61866655835E-4</v>
      </c>
      <c r="D128" s="1">
        <v>8.5626114299999995E-4</v>
      </c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</row>
    <row r="129" spans="1:51" x14ac:dyDescent="0.35">
      <c r="A129">
        <v>2.0035815410000001E-2</v>
      </c>
      <c r="B129" s="1">
        <v>1.1527469747E-2</v>
      </c>
      <c r="C129" s="1">
        <v>9.1761403089300005E-4</v>
      </c>
      <c r="D129" s="1">
        <v>8.6082375442999995E-4</v>
      </c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</row>
    <row r="130" spans="1:51" x14ac:dyDescent="0.35">
      <c r="A130">
        <v>2.0236173564099999E-2</v>
      </c>
      <c r="B130" s="1">
        <v>9.0260856684300003E-3</v>
      </c>
      <c r="C130" s="1">
        <v>7.8836134153399998E-4</v>
      </c>
      <c r="D130" s="1">
        <v>8.6543199197399996E-4</v>
      </c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</row>
    <row r="131" spans="1:51" x14ac:dyDescent="0.35">
      <c r="A131">
        <v>2.0438535299700002E-2</v>
      </c>
      <c r="B131" s="1">
        <v>9.0616903479200008E-3</v>
      </c>
      <c r="C131" s="1">
        <v>7.7920745502600003E-4</v>
      </c>
      <c r="D131" s="1">
        <v>8.7008631189400005E-4</v>
      </c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</row>
    <row r="132" spans="1:51" x14ac:dyDescent="0.35">
      <c r="A132">
        <v>2.06429206527E-2</v>
      </c>
      <c r="B132" s="1">
        <v>8.4987791804500001E-3</v>
      </c>
      <c r="C132" s="1">
        <v>7.5790437540499995E-4</v>
      </c>
      <c r="D132" s="1">
        <v>8.7478717501299999E-4</v>
      </c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</row>
    <row r="133" spans="1:51" x14ac:dyDescent="0.35">
      <c r="A133">
        <v>2.0849349859299999E-2</v>
      </c>
      <c r="B133" s="1">
        <v>7.93883190871E-3</v>
      </c>
      <c r="C133" s="1">
        <v>7.1618846632900003E-4</v>
      </c>
      <c r="D133" s="1">
        <v>8.7953504676300002E-4</v>
      </c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</row>
    <row r="134" spans="1:51" x14ac:dyDescent="0.35">
      <c r="A134">
        <v>2.1057843357800001E-2</v>
      </c>
      <c r="B134" s="1">
        <v>6.3543938604900003E-3</v>
      </c>
      <c r="C134" s="1">
        <v>6.2123676495400005E-4</v>
      </c>
      <c r="D134" s="1">
        <v>8.8433039722999999E-4</v>
      </c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</row>
    <row r="135" spans="1:51" x14ac:dyDescent="0.35">
      <c r="A135">
        <v>2.12684217914E-2</v>
      </c>
      <c r="B135" s="1">
        <v>5.01684130613E-3</v>
      </c>
      <c r="C135" s="1">
        <v>5.5140767479599996E-4</v>
      </c>
      <c r="D135" s="1">
        <v>8.8917370120300001E-4</v>
      </c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</row>
    <row r="136" spans="1:51" x14ac:dyDescent="0.35">
      <c r="A136">
        <v>2.1481106009300002E-2</v>
      </c>
      <c r="B136" s="1">
        <v>4.04761993648E-3</v>
      </c>
      <c r="C136" s="1">
        <v>4.90233092654E-4</v>
      </c>
      <c r="D136" s="1">
        <v>8.9406543821499997E-4</v>
      </c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</row>
    <row r="137" spans="1:51" x14ac:dyDescent="0.35">
      <c r="A137">
        <v>2.1695917069400002E-2</v>
      </c>
      <c r="B137" s="1">
        <v>2.2860920166999999E-3</v>
      </c>
      <c r="C137" s="1">
        <v>3.7532397896300002E-4</v>
      </c>
      <c r="D137" s="1">
        <v>8.9900609259699999E-4</v>
      </c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</row>
    <row r="138" spans="1:51" x14ac:dyDescent="0.35">
      <c r="A138">
        <v>2.19128762401E-2</v>
      </c>
      <c r="B138" s="1">
        <v>2.09733065045E-3</v>
      </c>
      <c r="C138" s="1">
        <v>1.5496443639400001E-4</v>
      </c>
      <c r="D138" s="1">
        <v>9.0399615352299999E-4</v>
      </c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</row>
    <row r="139" spans="1:51" x14ac:dyDescent="0.35">
      <c r="A139">
        <v>2.21320050025E-2</v>
      </c>
      <c r="B139" s="1">
        <v>1.5737545908499999E-3</v>
      </c>
      <c r="C139" s="1">
        <v>1.3470126859E-4</v>
      </c>
      <c r="D139" s="1">
        <v>9.0903611505800002E-4</v>
      </c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</row>
    <row r="140" spans="1:51" x14ac:dyDescent="0.35">
      <c r="A140">
        <v>2.2353325052600001E-2</v>
      </c>
      <c r="B140" s="1">
        <v>8.6281253331099998E-4</v>
      </c>
      <c r="C140" s="1">
        <v>9.1975732014699994E-5</v>
      </c>
      <c r="D140" s="1">
        <v>9.1412647620899999E-4</v>
      </c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</row>
    <row r="141" spans="1:51" x14ac:dyDescent="0.35">
      <c r="A141">
        <v>2.2576858303100002E-2</v>
      </c>
      <c r="B141" s="1">
        <v>7.0133525978099997E-4</v>
      </c>
      <c r="C141" s="1">
        <v>8.1420488443999998E-5</v>
      </c>
      <c r="D141" s="1">
        <v>9.1926774097100003E-4</v>
      </c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</row>
    <row r="142" spans="1:51" x14ac:dyDescent="0.35">
      <c r="A142">
        <v>2.2802626886099998E-2</v>
      </c>
      <c r="B142" s="1">
        <v>6.7741767465799997E-4</v>
      </c>
      <c r="C142" s="1">
        <v>8.11786092826E-5</v>
      </c>
      <c r="D142" s="1">
        <v>9.2446041838000002E-4</v>
      </c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</row>
    <row r="143" spans="1:51" x14ac:dyDescent="0.35">
      <c r="A143">
        <v>2.3030653155000001E-2</v>
      </c>
      <c r="B143" s="1">
        <v>9.6231894693200003E-4</v>
      </c>
      <c r="C143" s="1">
        <v>9.3625112484099996E-5</v>
      </c>
      <c r="D143" s="1">
        <v>9.29705022564E-4</v>
      </c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</row>
    <row r="144" spans="1:51" x14ac:dyDescent="0.35">
      <c r="A144">
        <v>2.32609596865E-2</v>
      </c>
      <c r="B144" s="1">
        <v>1.2488052673299999E-3</v>
      </c>
      <c r="C144" s="1">
        <v>1.0126282209899999E-4</v>
      </c>
      <c r="D144" s="1">
        <v>9.3500207279000004E-4</v>
      </c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</row>
    <row r="145" spans="1:51" x14ac:dyDescent="0.35">
      <c r="A145">
        <v>2.34935692834E-2</v>
      </c>
      <c r="B145" s="1">
        <v>1.7145791405200001E-3</v>
      </c>
      <c r="C145" s="1">
        <v>1.21089817605E-4</v>
      </c>
      <c r="D145" s="1">
        <v>9.4035209351799997E-4</v>
      </c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</row>
    <row r="146" spans="1:51" x14ac:dyDescent="0.35">
      <c r="A146">
        <v>2.37285049762E-2</v>
      </c>
      <c r="B146" s="1">
        <v>2.0520889632800001E-3</v>
      </c>
      <c r="C146" s="1">
        <v>1.32170095342E-4</v>
      </c>
      <c r="D146" s="1">
        <v>9.4575561445300004E-4</v>
      </c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</row>
    <row r="147" spans="1:51" x14ac:dyDescent="0.35">
      <c r="A147">
        <v>2.3965790026000001E-2</v>
      </c>
      <c r="B147" s="1">
        <v>2.9653810370100001E-3</v>
      </c>
      <c r="C147" s="1">
        <v>1.67645399583E-4</v>
      </c>
      <c r="D147" s="1">
        <v>9.5121317059800004E-4</v>
      </c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</row>
    <row r="148" spans="1:51" x14ac:dyDescent="0.35">
      <c r="A148">
        <v>2.42054479262E-2</v>
      </c>
      <c r="B148" s="1">
        <v>3.56096539978E-3</v>
      </c>
      <c r="C148" s="1">
        <v>1.86723030673E-4</v>
      </c>
      <c r="D148" s="1">
        <v>9.5672530230299997E-4</v>
      </c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</row>
    <row r="149" spans="1:51" x14ac:dyDescent="0.35">
      <c r="A149">
        <v>2.4447502405500001E-2</v>
      </c>
      <c r="B149" s="1">
        <v>3.7368888217099998E-3</v>
      </c>
      <c r="C149" s="1">
        <v>1.91540795528E-4</v>
      </c>
      <c r="D149" s="1">
        <v>9.62292555327E-4</v>
      </c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</row>
    <row r="150" spans="1:51" x14ac:dyDescent="0.35">
      <c r="A150">
        <v>2.4691977429599998E-2</v>
      </c>
      <c r="B150" s="1">
        <v>4.45669015021E-3</v>
      </c>
      <c r="C150" s="1">
        <v>2.1024020835400001E-4</v>
      </c>
      <c r="D150" s="1">
        <v>9.6791548087999996E-4</v>
      </c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</row>
    <row r="151" spans="1:51" x14ac:dyDescent="0.35">
      <c r="A151">
        <v>2.4938897203899999E-2</v>
      </c>
      <c r="B151" s="1">
        <v>4.1848699189299997E-3</v>
      </c>
      <c r="C151" s="1">
        <v>1.94251097499E-4</v>
      </c>
      <c r="D151" s="1">
        <v>9.7359463568899996E-4</v>
      </c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</row>
    <row r="152" spans="1:51" x14ac:dyDescent="0.35">
      <c r="A152">
        <v>2.51882861759E-2</v>
      </c>
      <c r="B152" s="1">
        <v>4.1787292015300001E-3</v>
      </c>
      <c r="C152" s="1">
        <v>1.92743881516E-4</v>
      </c>
      <c r="D152" s="1">
        <v>9.7933058204499992E-4</v>
      </c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</row>
    <row r="153" spans="1:51" x14ac:dyDescent="0.35">
      <c r="A153">
        <v>2.5440169037600002E-2</v>
      </c>
      <c r="B153" s="1">
        <v>3.9789800259800003E-3</v>
      </c>
      <c r="C153" s="1">
        <v>1.8327720357300001E-4</v>
      </c>
      <c r="D153" s="86">
        <v>9.8512388786599998E-4</v>
      </c>
      <c r="E153" s="86"/>
      <c r="F153" s="86"/>
      <c r="G153" s="86"/>
      <c r="H153" s="86"/>
      <c r="I153" s="86"/>
      <c r="J153" s="86"/>
      <c r="K153" s="86"/>
      <c r="L153" s="86"/>
      <c r="M153" s="86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</row>
    <row r="154" spans="1:51" x14ac:dyDescent="0.35">
      <c r="A154">
        <v>2.5694570728E-2</v>
      </c>
      <c r="B154" s="1">
        <v>3.4783893788599999E-3</v>
      </c>
      <c r="C154" s="1">
        <v>1.7082404500599999E-4</v>
      </c>
      <c r="D154" s="1">
        <v>9.9097512674499997E-4</v>
      </c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</row>
    <row r="155" spans="1:51" x14ac:dyDescent="0.35">
      <c r="A155">
        <v>2.5951516435299998E-2</v>
      </c>
      <c r="B155" s="1">
        <v>3.0923338978899998E-3</v>
      </c>
      <c r="C155" s="1">
        <v>1.5717529241800001E-4</v>
      </c>
      <c r="D155" s="1">
        <v>9.9688487801200009E-4</v>
      </c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</row>
    <row r="156" spans="1:51" x14ac:dyDescent="0.35">
      <c r="A156">
        <v>2.6211031599700001E-2</v>
      </c>
      <c r="B156" s="1">
        <v>2.5209263009800002E-3</v>
      </c>
      <c r="C156" s="1">
        <v>1.39535200352E-4</v>
      </c>
      <c r="D156" s="1">
        <v>1.0028537267900001E-3</v>
      </c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</row>
    <row r="157" spans="1:51" x14ac:dyDescent="0.35">
      <c r="A157">
        <v>2.6473141915700001E-2</v>
      </c>
      <c r="B157" s="1">
        <v>2.20596947108E-3</v>
      </c>
      <c r="C157" s="1">
        <v>1.3200754346E-4</v>
      </c>
      <c r="D157" s="1">
        <v>1.00888226406E-3</v>
      </c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</row>
    <row r="158" spans="1:51" x14ac:dyDescent="0.35">
      <c r="A158">
        <v>2.6737873334799999E-2</v>
      </c>
      <c r="B158" s="1">
        <v>1.9313265028600001E-3</v>
      </c>
      <c r="C158" s="1">
        <v>1.22846386854E-4</v>
      </c>
      <c r="D158" s="1">
        <v>1.0149710867E-3</v>
      </c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</row>
    <row r="159" spans="1:51" x14ac:dyDescent="0.35">
      <c r="A159">
        <v>2.7005252068200002E-2</v>
      </c>
      <c r="B159" s="1">
        <v>1.4496184851000001E-3</v>
      </c>
      <c r="C159" s="1">
        <v>1.0403868005699999E-4</v>
      </c>
      <c r="D159" s="1">
        <v>1.02112079757E-3</v>
      </c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</row>
    <row r="160" spans="1:51" x14ac:dyDescent="0.35">
      <c r="A160">
        <v>2.7275304588799999E-2</v>
      </c>
      <c r="B160" s="1">
        <v>9.6840675341600005E-4</v>
      </c>
      <c r="C160" s="1">
        <v>8.2510309387600006E-5</v>
      </c>
      <c r="D160" s="1">
        <v>1.02733200554E-3</v>
      </c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</row>
    <row r="161" spans="1:51" x14ac:dyDescent="0.35">
      <c r="A161">
        <v>2.7548057634700002E-2</v>
      </c>
      <c r="B161" s="1">
        <v>8.4574335945900004E-4</v>
      </c>
      <c r="C161" s="1">
        <v>7.9569463882000002E-5</v>
      </c>
      <c r="D161" s="1">
        <v>1.0336053256E-3</v>
      </c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</row>
    <row r="162" spans="1:51" x14ac:dyDescent="0.35">
      <c r="A162">
        <v>2.78235382111E-2</v>
      </c>
      <c r="B162" s="1">
        <v>5.8705642268300001E-4</v>
      </c>
      <c r="C162" s="1">
        <v>6.8714258980600006E-5</v>
      </c>
      <c r="D162" s="1">
        <v>1.0399413788499999E-3</v>
      </c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</row>
    <row r="163" spans="1:51" x14ac:dyDescent="0.35">
      <c r="A163">
        <v>2.81017735932E-2</v>
      </c>
      <c r="B163" s="1">
        <v>5.0749612527299995E-4</v>
      </c>
      <c r="C163" s="1">
        <v>5.95277583788E-5</v>
      </c>
      <c r="D163" s="1">
        <v>1.0463407926400001E-3</v>
      </c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</row>
    <row r="164" spans="1:51" x14ac:dyDescent="0.35">
      <c r="A164">
        <v>2.8382791329100002E-2</v>
      </c>
      <c r="B164" s="1">
        <v>6.49163427235E-4</v>
      </c>
      <c r="C164" s="1">
        <v>6.8762169222500003E-5</v>
      </c>
      <c r="D164" s="1">
        <v>1.0528042005699999E-3</v>
      </c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</row>
    <row r="165" spans="1:51" x14ac:dyDescent="0.35">
      <c r="A165">
        <v>2.86666192424E-2</v>
      </c>
      <c r="B165" s="1">
        <v>7.6274754473600005E-4</v>
      </c>
      <c r="C165" s="1">
        <v>7.5111081694000001E-5</v>
      </c>
      <c r="D165" s="1">
        <v>1.05933224258E-3</v>
      </c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</row>
    <row r="166" spans="1:51" x14ac:dyDescent="0.35">
      <c r="A166">
        <v>2.89532854348E-2</v>
      </c>
      <c r="B166" s="1">
        <v>1.02343722046E-3</v>
      </c>
      <c r="C166" s="1">
        <v>8.6325528730699994E-5</v>
      </c>
      <c r="D166" s="1">
        <v>1.065925565E-3</v>
      </c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</row>
    <row r="167" spans="1:51" x14ac:dyDescent="0.35">
      <c r="A167">
        <v>2.9242818289200001E-2</v>
      </c>
      <c r="B167" s="1">
        <v>1.21305980161E-3</v>
      </c>
      <c r="C167" s="1">
        <v>9.2817807308900004E-5</v>
      </c>
      <c r="D167" s="1">
        <v>1.0725848206499999E-3</v>
      </c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</row>
    <row r="168" spans="1:51" x14ac:dyDescent="0.35">
      <c r="A168">
        <v>2.9535246472099999E-2</v>
      </c>
      <c r="B168" s="1">
        <v>1.51194560759E-3</v>
      </c>
      <c r="C168" s="1">
        <v>1.04758055943E-4</v>
      </c>
      <c r="D168" s="1">
        <v>1.0793106688599999E-3</v>
      </c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</row>
    <row r="169" spans="1:51" x14ac:dyDescent="0.35">
      <c r="A169">
        <v>2.9830598936799999E-2</v>
      </c>
      <c r="B169" s="1">
        <v>1.7737379830900001E-3</v>
      </c>
      <c r="C169" s="1">
        <v>1.12545631378E-4</v>
      </c>
      <c r="D169" s="1">
        <v>1.08610377555E-3</v>
      </c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</row>
    <row r="170" spans="1:51" x14ac:dyDescent="0.35">
      <c r="A170">
        <v>3.01289049262E-2</v>
      </c>
      <c r="B170" s="1">
        <v>1.9928854239499999E-3</v>
      </c>
      <c r="C170" s="1">
        <v>1.2331292454199999E-4</v>
      </c>
      <c r="D170" s="1">
        <v>1.0929648132999999E-3</v>
      </c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</row>
    <row r="171" spans="1:51" x14ac:dyDescent="0.35">
      <c r="A171">
        <v>3.0430193975400002E-2</v>
      </c>
      <c r="B171" s="1">
        <v>2.08015106353E-3</v>
      </c>
      <c r="C171" s="1">
        <v>1.27964583207E-4</v>
      </c>
      <c r="D171" s="1">
        <v>1.09989446143E-3</v>
      </c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</row>
    <row r="172" spans="1:51" x14ac:dyDescent="0.35">
      <c r="A172">
        <v>3.07344959152E-2</v>
      </c>
      <c r="B172" s="1">
        <v>1.71802721279E-3</v>
      </c>
      <c r="C172" s="1">
        <v>1.08964710523E-4</v>
      </c>
      <c r="D172" s="1">
        <v>1.1068934060499999E-3</v>
      </c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</row>
    <row r="173" spans="1:51" x14ac:dyDescent="0.35">
      <c r="A173">
        <v>3.1041840874300002E-2</v>
      </c>
      <c r="B173" s="1">
        <v>1.95594621305E-3</v>
      </c>
      <c r="C173" s="1">
        <v>1.19494225475E-4</v>
      </c>
      <c r="D173" s="1">
        <v>1.1139623401100001E-3</v>
      </c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</row>
    <row r="174" spans="1:51" x14ac:dyDescent="0.35">
      <c r="A174">
        <v>3.1352259283100002E-2</v>
      </c>
      <c r="B174" s="1">
        <v>1.5383448864699999E-3</v>
      </c>
      <c r="C174" s="1">
        <v>1.0511601051E-4</v>
      </c>
      <c r="D174" s="1">
        <v>1.1211019635100001E-3</v>
      </c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</row>
    <row r="175" spans="1:51" x14ac:dyDescent="0.35">
      <c r="A175">
        <v>3.1665781875900002E-2</v>
      </c>
      <c r="B175" s="1">
        <v>1.07134059613E-3</v>
      </c>
      <c r="C175" s="1">
        <v>9.2382108625999997E-5</v>
      </c>
      <c r="D175" s="1">
        <v>1.12831298315E-3</v>
      </c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</row>
    <row r="176" spans="1:51" x14ac:dyDescent="0.35">
      <c r="A176">
        <v>3.19824396947E-2</v>
      </c>
      <c r="B176" s="1">
        <v>1.0560183246100001E-3</v>
      </c>
      <c r="C176" s="1">
        <v>9.18285901246E-5</v>
      </c>
      <c r="D176" s="1">
        <v>1.1355961129799999E-3</v>
      </c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</row>
    <row r="177" spans="1:51" x14ac:dyDescent="0.35">
      <c r="A177">
        <v>3.2302264091600003E-2</v>
      </c>
      <c r="B177" s="1">
        <v>7.9629646122600004E-4</v>
      </c>
      <c r="C177" s="1">
        <v>7.6563935678599995E-5</v>
      </c>
      <c r="D177" s="1">
        <v>1.1429520741100001E-3</v>
      </c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</row>
    <row r="178" spans="1:51" x14ac:dyDescent="0.35">
      <c r="A178">
        <v>3.2625286732500001E-2</v>
      </c>
      <c r="B178" s="1">
        <v>5.7615267100300004E-4</v>
      </c>
      <c r="C178" s="1">
        <v>6.6480737593500004E-5</v>
      </c>
      <c r="D178" s="1">
        <v>1.15038159485E-3</v>
      </c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</row>
    <row r="179" spans="1:51" x14ac:dyDescent="0.35">
      <c r="A179">
        <v>3.29515395999E-2</v>
      </c>
      <c r="B179" s="1">
        <v>4.5868044380299998E-4</v>
      </c>
      <c r="C179" s="1">
        <v>5.9790806190400003E-5</v>
      </c>
      <c r="D179" s="1">
        <v>1.1578854107999999E-3</v>
      </c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</row>
    <row r="180" spans="1:51" x14ac:dyDescent="0.35">
      <c r="A180">
        <v>3.3281054995899999E-2</v>
      </c>
      <c r="B180" s="1">
        <v>4.4561513197399999E-4</v>
      </c>
      <c r="C180" s="1">
        <v>5.7751580431900002E-5</v>
      </c>
      <c r="D180" s="1">
        <v>1.1654642648999999E-3</v>
      </c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</row>
    <row r="181" spans="1:51" x14ac:dyDescent="0.35">
      <c r="A181">
        <v>3.3613865545800002E-2</v>
      </c>
      <c r="B181" s="1">
        <v>3.4447071164199998E-4</v>
      </c>
      <c r="C181" s="1">
        <v>5.0710231436699999E-5</v>
      </c>
      <c r="D181" s="1">
        <v>1.1731189075499999E-3</v>
      </c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</row>
    <row r="182" spans="1:51" x14ac:dyDescent="0.35">
      <c r="A182">
        <v>3.3950004201300003E-2</v>
      </c>
      <c r="B182" s="1">
        <v>5.0496632178899999E-4</v>
      </c>
      <c r="C182" s="1">
        <v>6.0448688877200002E-5</v>
      </c>
      <c r="D182" s="1">
        <v>1.18085009663E-3</v>
      </c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</row>
    <row r="183" spans="1:51" x14ac:dyDescent="0.35">
      <c r="A183">
        <v>3.4289504243299997E-2</v>
      </c>
      <c r="B183" s="1">
        <v>5.3086907779300002E-4</v>
      </c>
      <c r="C183" s="1">
        <v>6.3046789325999994E-5</v>
      </c>
      <c r="D183" s="1">
        <v>1.1886585976000001E-3</v>
      </c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</row>
    <row r="184" spans="1:51" x14ac:dyDescent="0.35">
      <c r="A184">
        <v>3.46323992857E-2</v>
      </c>
      <c r="B184" s="1">
        <v>7.5110171681999995E-4</v>
      </c>
      <c r="C184" s="1">
        <v>7.3323437844000005E-5</v>
      </c>
      <c r="D184" s="1">
        <v>1.1965451835699999E-3</v>
      </c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</row>
    <row r="185" spans="1:51" x14ac:dyDescent="0.35">
      <c r="A185">
        <v>3.49787232786E-2</v>
      </c>
      <c r="B185" s="1">
        <v>7.1634490679699995E-4</v>
      </c>
      <c r="C185" s="1">
        <v>6.9993253596400002E-5</v>
      </c>
      <c r="D185" s="1">
        <v>1.20451063541E-3</v>
      </c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</row>
    <row r="186" spans="1:51" x14ac:dyDescent="0.35">
      <c r="A186">
        <v>3.5328510511399999E-2</v>
      </c>
      <c r="B186" s="1">
        <v>8.5145765339200003E-4</v>
      </c>
      <c r="C186" s="1">
        <v>7.9381702986999997E-5</v>
      </c>
      <c r="D186" s="1">
        <v>1.2125557417599999E-3</v>
      </c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</row>
    <row r="187" spans="1:51" x14ac:dyDescent="0.35">
      <c r="A187">
        <v>3.5681795616499999E-2</v>
      </c>
      <c r="B187" s="1">
        <v>9.48208985829E-4</v>
      </c>
      <c r="C187" s="1">
        <v>8.0710623393499993E-5</v>
      </c>
      <c r="D187" s="1">
        <v>1.2206812991799999E-3</v>
      </c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</row>
    <row r="188" spans="1:51" x14ac:dyDescent="0.35">
      <c r="A188">
        <v>3.6038613572599999E-2</v>
      </c>
      <c r="B188" s="1">
        <v>8.8874265465299998E-4</v>
      </c>
      <c r="C188" s="1">
        <v>7.4855001394799993E-5</v>
      </c>
      <c r="D188" s="1">
        <v>1.2288881121700001E-3</v>
      </c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</row>
    <row r="189" spans="1:51" x14ac:dyDescent="0.35">
      <c r="A189">
        <v>3.63989997084E-2</v>
      </c>
      <c r="B189" s="1">
        <v>8.60574388634E-4</v>
      </c>
      <c r="C189" s="1">
        <v>7.8160060491900006E-5</v>
      </c>
      <c r="D189" s="1">
        <v>1.2371769932899999E-3</v>
      </c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</row>
    <row r="190" spans="1:51" x14ac:dyDescent="0.35">
      <c r="A190">
        <v>3.6762989705399998E-2</v>
      </c>
      <c r="B190" s="1">
        <v>7.67057349396E-4</v>
      </c>
      <c r="C190" s="1">
        <v>7.1606907848100005E-5</v>
      </c>
      <c r="D190" s="1">
        <v>1.24554876323E-3</v>
      </c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</row>
    <row r="191" spans="1:51" x14ac:dyDescent="0.35">
      <c r="A191">
        <v>3.7130619602499998E-2</v>
      </c>
      <c r="B191" s="1">
        <v>7.96121121644E-4</v>
      </c>
      <c r="C191" s="1">
        <v>7.3561881337500006E-5</v>
      </c>
      <c r="D191" s="1">
        <v>1.2540042508600001E-3</v>
      </c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</row>
    <row r="192" spans="1:51" x14ac:dyDescent="0.35">
      <c r="A192">
        <v>3.7501925798500001E-2</v>
      </c>
      <c r="B192" s="1">
        <v>5.1496868807699998E-4</v>
      </c>
      <c r="C192" s="1">
        <v>5.8589649325899999E-5</v>
      </c>
      <c r="D192" s="1">
        <v>1.2625442933699999E-3</v>
      </c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</row>
    <row r="193" spans="1:51" x14ac:dyDescent="0.35">
      <c r="A193">
        <v>3.7876945056500001E-2</v>
      </c>
      <c r="B193" s="1">
        <v>5.2181398193299996E-4</v>
      </c>
      <c r="C193" s="1">
        <v>5.6966791204600002E-5</v>
      </c>
      <c r="D193" s="1">
        <v>1.2711697363000001E-3</v>
      </c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</row>
    <row r="194" spans="1:51" x14ac:dyDescent="0.35">
      <c r="A194">
        <v>3.8255714507099997E-2</v>
      </c>
      <c r="B194" s="1">
        <v>3.5316141030899999E-4</v>
      </c>
      <c r="C194" s="1">
        <v>4.7112006764499997E-5</v>
      </c>
      <c r="D194" s="1">
        <v>1.2798814336599999E-3</v>
      </c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</row>
    <row r="195" spans="1:51" x14ac:dyDescent="0.35">
      <c r="A195">
        <v>3.8638271652100001E-2</v>
      </c>
      <c r="B195" s="1">
        <v>1.7912663946699999E-4</v>
      </c>
      <c r="C195" s="1">
        <v>3.6817945939299997E-5</v>
      </c>
      <c r="D195" s="1">
        <v>1.288680248E-3</v>
      </c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</row>
    <row r="196" spans="1:51" x14ac:dyDescent="0.35">
      <c r="A196">
        <v>3.90246543687E-2</v>
      </c>
      <c r="B196" s="1">
        <v>3.24875465953E-4</v>
      </c>
      <c r="C196" s="1">
        <v>4.6935338761300001E-5</v>
      </c>
      <c r="D196" s="1">
        <v>1.2975670504800001E-3</v>
      </c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</row>
    <row r="197" spans="1:51" x14ac:dyDescent="0.35">
      <c r="A197">
        <v>3.9414900912399999E-2</v>
      </c>
      <c r="B197" s="1">
        <v>2.4685596391300002E-4</v>
      </c>
      <c r="C197" s="1">
        <v>3.9944778073099998E-5</v>
      </c>
      <c r="D197" s="1">
        <v>1.30654272098E-3</v>
      </c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</row>
    <row r="198" spans="1:51" x14ac:dyDescent="0.35">
      <c r="A198">
        <v>3.98090499215E-2</v>
      </c>
      <c r="B198" s="1">
        <v>3.0356258135500001E-4</v>
      </c>
      <c r="C198" s="1">
        <v>4.4005086344599998E-5</v>
      </c>
      <c r="D198" s="1">
        <v>1.31560814819E-3</v>
      </c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</row>
    <row r="199" spans="1:51" x14ac:dyDescent="0.35">
      <c r="A199">
        <v>4.0207140420699998E-2</v>
      </c>
      <c r="B199" s="1">
        <v>2.1208984289299999E-4</v>
      </c>
      <c r="C199" s="1">
        <v>4.0896637186699999E-5</v>
      </c>
      <c r="D199" s="1">
        <v>1.32476422968E-3</v>
      </c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</row>
    <row r="200" spans="1:51" x14ac:dyDescent="0.35">
      <c r="A200">
        <v>4.0609211824900002E-2</v>
      </c>
      <c r="B200" s="1">
        <v>4.1931326118300002E-4</v>
      </c>
      <c r="C200" s="1">
        <v>5.1821162837100002E-5</v>
      </c>
      <c r="D200" s="1">
        <v>1.3340118719700001E-3</v>
      </c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</row>
    <row r="201" spans="1:51" x14ac:dyDescent="0.35">
      <c r="A201">
        <v>4.1015303943099997E-2</v>
      </c>
      <c r="B201" s="1">
        <v>4.5940196493499997E-4</v>
      </c>
      <c r="C201" s="1">
        <v>5.3728134121699998E-5</v>
      </c>
      <c r="D201" s="1">
        <v>1.3433519906900001E-3</v>
      </c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</row>
    <row r="202" spans="1:51" x14ac:dyDescent="0.35">
      <c r="A202">
        <v>4.1425456982600001E-2</v>
      </c>
      <c r="B202" s="1">
        <v>4.6335590568E-4</v>
      </c>
      <c r="C202" s="1">
        <v>5.4277048900799997E-5</v>
      </c>
      <c r="D202" s="1">
        <v>1.3527855106E-3</v>
      </c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</row>
    <row r="203" spans="1:51" x14ac:dyDescent="0.35">
      <c r="A203">
        <v>4.1839711552400002E-2</v>
      </c>
      <c r="B203" s="1">
        <v>4.1825017670599999E-4</v>
      </c>
      <c r="C203" s="1">
        <v>5.2065531638999998E-5</v>
      </c>
      <c r="D203" s="1">
        <v>1.36231336571E-3</v>
      </c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</row>
    <row r="204" spans="1:51" x14ac:dyDescent="0.35">
      <c r="A204">
        <v>4.2258108667900002E-2</v>
      </c>
      <c r="B204" s="1">
        <v>4.2542993823299998E-4</v>
      </c>
      <c r="C204" s="1">
        <v>5.09988326448E-5</v>
      </c>
      <c r="D204" s="1">
        <v>1.37193649936E-3</v>
      </c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</row>
    <row r="205" spans="1:51" x14ac:dyDescent="0.35">
      <c r="A205">
        <v>4.2680689754600001E-2</v>
      </c>
      <c r="B205" s="1">
        <v>3.75609114783E-4</v>
      </c>
      <c r="C205" s="1">
        <v>4.9848639437000001E-5</v>
      </c>
      <c r="D205" s="1">
        <v>1.3816558643600001E-3</v>
      </c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</row>
    <row r="206" spans="1:51" x14ac:dyDescent="0.35">
      <c r="A206">
        <v>4.3107496652199997E-2</v>
      </c>
      <c r="B206" s="1">
        <v>3.0171052222699999E-4</v>
      </c>
      <c r="C206" s="1">
        <v>4.5364253890399997E-5</v>
      </c>
      <c r="D206" s="1">
        <v>1.391472423E-3</v>
      </c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</row>
    <row r="207" spans="1:51" x14ac:dyDescent="0.35">
      <c r="A207">
        <v>4.3538571618699999E-2</v>
      </c>
      <c r="B207" s="1">
        <v>2.8715956060800001E-4</v>
      </c>
      <c r="C207" s="1">
        <v>1.9221358586300001E-5</v>
      </c>
      <c r="D207" s="1">
        <v>1.4013871472299999E-3</v>
      </c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</row>
    <row r="208" spans="1:51" x14ac:dyDescent="0.35">
      <c r="A208">
        <v>4.3973957334899998E-2</v>
      </c>
      <c r="B208" s="1">
        <v>2.1816093143000001E-4</v>
      </c>
      <c r="C208" s="1">
        <v>1.6580511719899999E-5</v>
      </c>
      <c r="D208" s="1">
        <v>1.4114010186999999E-3</v>
      </c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</row>
    <row r="209" spans="1:51" x14ac:dyDescent="0.35">
      <c r="A209">
        <v>4.4413696908199997E-2</v>
      </c>
      <c r="B209" s="1">
        <v>1.55734071965E-4</v>
      </c>
      <c r="C209" s="1">
        <v>1.3535026671600001E-5</v>
      </c>
      <c r="D209" s="1">
        <v>1.4215150288899999E-3</v>
      </c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</row>
    <row r="210" spans="1:51" x14ac:dyDescent="0.35">
      <c r="A210">
        <v>4.4857833877300003E-2</v>
      </c>
      <c r="B210" s="1">
        <v>1.2669950336600001E-4</v>
      </c>
      <c r="C210" s="1">
        <v>1.1461224238799999E-5</v>
      </c>
      <c r="D210" s="1">
        <v>1.43173017918E-3</v>
      </c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</row>
    <row r="211" spans="1:51" x14ac:dyDescent="0.35">
      <c r="A211">
        <v>4.5306412216100003E-2</v>
      </c>
      <c r="B211" s="1">
        <v>1.5416835915199999E-4</v>
      </c>
      <c r="C211" s="1">
        <v>1.2280341085999999E-5</v>
      </c>
      <c r="D211" s="1">
        <v>1.4420474809700001E-3</v>
      </c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</row>
    <row r="212" spans="1:51" x14ac:dyDescent="0.35">
      <c r="A212">
        <v>4.5759476338200003E-2</v>
      </c>
      <c r="B212" s="1">
        <v>2.13892592444E-4</v>
      </c>
      <c r="C212" s="1">
        <v>1.4783808575200001E-5</v>
      </c>
      <c r="D212" s="1">
        <v>1.4524679557800001E-3</v>
      </c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</row>
    <row r="213" spans="1:51" x14ac:dyDescent="0.35">
      <c r="A213">
        <v>4.6217071101599998E-2</v>
      </c>
      <c r="B213" s="1">
        <v>2.50889484017E-4</v>
      </c>
      <c r="C213" s="1">
        <v>1.5519175085199999E-5</v>
      </c>
      <c r="D213" s="1">
        <v>1.46299263534E-3</v>
      </c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</row>
    <row r="214" spans="1:51" x14ac:dyDescent="0.35">
      <c r="A214">
        <v>4.6679241812599997E-2</v>
      </c>
      <c r="B214" s="1">
        <v>2.8095832927799998E-4</v>
      </c>
      <c r="C214" s="1">
        <v>1.6802665719300001E-5</v>
      </c>
      <c r="D214" s="1">
        <v>1.47362256169E-3</v>
      </c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</row>
    <row r="215" spans="1:51" x14ac:dyDescent="0.35">
      <c r="A215">
        <v>4.71460342308E-2</v>
      </c>
      <c r="B215" s="1">
        <v>2.9126367806499997E-4</v>
      </c>
      <c r="C215" s="1">
        <v>1.70067195548E-5</v>
      </c>
      <c r="D215" s="1">
        <v>1.48435878731E-3</v>
      </c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</row>
    <row r="216" spans="1:51" x14ac:dyDescent="0.35">
      <c r="A216">
        <v>4.7617494573100001E-2</v>
      </c>
      <c r="B216" s="1">
        <v>2.9025998145400001E-4</v>
      </c>
      <c r="C216" s="1">
        <v>1.6462523950600001E-5</v>
      </c>
      <c r="D216" s="1">
        <v>1.4952023751800001E-3</v>
      </c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</row>
    <row r="217" spans="1:51" x14ac:dyDescent="0.35">
      <c r="A217">
        <v>4.8093669518800002E-2</v>
      </c>
      <c r="B217" s="1">
        <v>2.65140059437E-4</v>
      </c>
      <c r="C217" s="1">
        <v>1.5627648834000001E-5</v>
      </c>
      <c r="D217" s="1">
        <v>1.5061543989299999E-3</v>
      </c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</row>
    <row r="218" spans="1:51" x14ac:dyDescent="0.35">
      <c r="A218">
        <v>4.8574606213999998E-2</v>
      </c>
      <c r="B218" s="1">
        <v>2.2103497572100001E-4</v>
      </c>
      <c r="C218" s="1">
        <v>1.41631974558E-5</v>
      </c>
      <c r="D218" s="1">
        <v>1.51721594292E-3</v>
      </c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</row>
    <row r="219" spans="1:51" x14ac:dyDescent="0.35">
      <c r="A219">
        <v>4.9060352276099999E-2</v>
      </c>
      <c r="B219" s="1">
        <v>1.9305923341900001E-4</v>
      </c>
      <c r="C219" s="1">
        <v>1.29635017306E-5</v>
      </c>
      <c r="D219" s="1">
        <v>1.5283881023500001E-3</v>
      </c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</row>
    <row r="220" spans="1:51" x14ac:dyDescent="0.35">
      <c r="A220">
        <v>4.9550955798900002E-2</v>
      </c>
      <c r="B220" s="1">
        <v>1.2416507968000001E-4</v>
      </c>
      <c r="C220" s="1">
        <v>1.02196674311E-5</v>
      </c>
      <c r="D220" s="1">
        <v>1.5396719833700001E-3</v>
      </c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</row>
    <row r="221" spans="1:51" x14ac:dyDescent="0.35">
      <c r="A221">
        <v>5.0046465356900001E-2</v>
      </c>
      <c r="B221" s="1">
        <v>1.0937176768499999E-4</v>
      </c>
      <c r="C221" s="1">
        <v>9.9110276164700007E-6</v>
      </c>
      <c r="D221" s="1">
        <v>1.5510687032100001E-3</v>
      </c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</row>
    <row r="222" spans="1:51" x14ac:dyDescent="0.35">
      <c r="A222">
        <v>5.0546930010399997E-2</v>
      </c>
      <c r="B222" s="1">
        <v>9.5390647560400003E-5</v>
      </c>
      <c r="C222" s="1">
        <v>9.0719553538900002E-6</v>
      </c>
      <c r="D222" s="1">
        <v>1.56257939024E-3</v>
      </c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</row>
    <row r="223" spans="1:51" x14ac:dyDescent="0.35">
      <c r="A223">
        <v>5.1052399310499999E-2</v>
      </c>
      <c r="B223" s="1">
        <v>1.2521839233500001E-4</v>
      </c>
      <c r="C223" s="1">
        <v>1.03537930656E-5</v>
      </c>
      <c r="D223" s="1">
        <v>1.5742051841400001E-3</v>
      </c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</row>
    <row r="224" spans="1:51" x14ac:dyDescent="0.35">
      <c r="A224">
        <v>5.1562923303600003E-2</v>
      </c>
      <c r="B224" s="1">
        <v>1.48908219698E-4</v>
      </c>
      <c r="C224" s="1">
        <v>1.10949760104E-5</v>
      </c>
      <c r="D224" s="1">
        <v>1.58594723598E-3</v>
      </c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</row>
    <row r="225" spans="1:51" x14ac:dyDescent="0.35">
      <c r="A225">
        <v>5.2078552536699997E-2</v>
      </c>
      <c r="B225" s="1">
        <v>1.6098172839399999E-4</v>
      </c>
      <c r="C225" s="1">
        <v>1.16629113366E-5</v>
      </c>
      <c r="D225" s="1">
        <v>1.5978067083399999E-3</v>
      </c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</row>
    <row r="226" spans="1:51" x14ac:dyDescent="0.35">
      <c r="A226">
        <v>5.2599338062100001E-2</v>
      </c>
      <c r="B226" s="1">
        <v>1.8890863334100001E-4</v>
      </c>
      <c r="C226" s="1">
        <v>1.27414427364E-5</v>
      </c>
      <c r="D226" s="1">
        <v>1.6097847754299999E-3</v>
      </c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</row>
    <row r="227" spans="1:51" x14ac:dyDescent="0.35">
      <c r="A227">
        <v>5.31253314427E-2</v>
      </c>
      <c r="B227" s="1">
        <v>2.08810000498E-4</v>
      </c>
      <c r="C227" s="1">
        <v>1.3482286365800001E-5</v>
      </c>
      <c r="D227" s="1">
        <v>1.6218826231800001E-3</v>
      </c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</row>
    <row r="228" spans="1:51" x14ac:dyDescent="0.35">
      <c r="A228">
        <v>5.3656584757100001E-2</v>
      </c>
      <c r="B228" s="1">
        <v>1.9090577202399999E-4</v>
      </c>
      <c r="C228" s="1">
        <v>1.2625581339800001E-5</v>
      </c>
      <c r="D228" s="1">
        <v>1.6341014494100001E-3</v>
      </c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</row>
    <row r="229" spans="1:51" x14ac:dyDescent="0.35">
      <c r="A229">
        <v>5.4193150604700001E-2</v>
      </c>
      <c r="B229" s="1">
        <v>1.5224130641899999E-4</v>
      </c>
      <c r="C229" s="1">
        <v>1.09121083997E-5</v>
      </c>
      <c r="D229" s="1">
        <v>1.64644246391E-3</v>
      </c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</row>
    <row r="230" spans="1:51" x14ac:dyDescent="0.35">
      <c r="A230">
        <v>5.4735082110700002E-2</v>
      </c>
      <c r="B230" s="1">
        <v>1.2886378232999999E-4</v>
      </c>
      <c r="C230" s="1">
        <v>1.0445760969699999E-5</v>
      </c>
      <c r="D230" s="1">
        <v>1.65890688855E-3</v>
      </c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</row>
    <row r="231" spans="1:51" x14ac:dyDescent="0.35">
      <c r="A231">
        <v>5.5282432931799998E-2</v>
      </c>
      <c r="B231" s="1">
        <v>8.3249480123300006E-5</v>
      </c>
      <c r="C231" s="1">
        <v>8.7263381421099994E-6</v>
      </c>
      <c r="D231" s="1">
        <v>1.6714959574299999E-3</v>
      </c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</row>
    <row r="232" spans="1:51" x14ac:dyDescent="0.35">
      <c r="A232">
        <v>5.5835257261100002E-2</v>
      </c>
      <c r="B232" s="1">
        <v>7.1409076146600005E-5</v>
      </c>
      <c r="C232" s="1">
        <v>7.4780169370100002E-6</v>
      </c>
      <c r="D232" s="1">
        <v>1.6842109170100001E-3</v>
      </c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</row>
    <row r="233" spans="1:51" x14ac:dyDescent="0.35">
      <c r="A233">
        <v>5.6393609833799999E-2</v>
      </c>
      <c r="B233" s="1">
        <v>6.7150437339699997E-5</v>
      </c>
      <c r="C233" s="1">
        <v>7.4759279689200003E-6</v>
      </c>
      <c r="D233" s="1">
        <v>1.69705302618E-3</v>
      </c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</row>
    <row r="234" spans="1:51" x14ac:dyDescent="0.35">
      <c r="A234">
        <v>5.69575459321E-2</v>
      </c>
      <c r="B234" s="1">
        <v>8.7223788028399995E-5</v>
      </c>
      <c r="C234" s="1">
        <v>8.2958242442300005E-6</v>
      </c>
      <c r="D234" s="1">
        <v>1.7100235564399999E-3</v>
      </c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</row>
    <row r="235" spans="1:51" x14ac:dyDescent="0.35">
      <c r="A235">
        <v>5.7527121391400003E-2</v>
      </c>
      <c r="B235" s="1">
        <v>1.0263262397199999E-4</v>
      </c>
      <c r="C235" s="1">
        <v>9.1821797668900008E-6</v>
      </c>
      <c r="D235" s="1">
        <v>1.7231237920000001E-3</v>
      </c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</row>
    <row r="236" spans="1:51" x14ac:dyDescent="0.35">
      <c r="A236">
        <v>5.81023926053E-2</v>
      </c>
      <c r="B236" s="1">
        <v>1.1539186845900001E-4</v>
      </c>
      <c r="C236" s="1">
        <v>9.5903353605E-6</v>
      </c>
      <c r="D236" s="1">
        <v>1.73635502992E-3</v>
      </c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</row>
    <row r="237" spans="1:51" x14ac:dyDescent="0.35">
      <c r="A237">
        <v>5.8683416531400003E-2</v>
      </c>
      <c r="B237" s="1">
        <v>1.2265616376200001E-4</v>
      </c>
      <c r="C237" s="1">
        <v>9.9350138203499994E-6</v>
      </c>
      <c r="D237" s="1">
        <v>1.74971858022E-3</v>
      </c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</row>
    <row r="238" spans="1:51" x14ac:dyDescent="0.35">
      <c r="A238">
        <v>5.92702506967E-2</v>
      </c>
      <c r="B238" s="1">
        <v>1.05484486036E-4</v>
      </c>
      <c r="C238" s="1">
        <v>9.0528740781600007E-6</v>
      </c>
      <c r="D238" s="1">
        <v>1.7632157660200001E-3</v>
      </c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</row>
    <row r="239" spans="1:51" x14ac:dyDescent="0.35">
      <c r="A239">
        <v>5.9862953203699998E-2</v>
      </c>
      <c r="B239" s="1">
        <v>1.01584818519E-4</v>
      </c>
      <c r="C239" s="1">
        <v>9.1906721701199996E-6</v>
      </c>
      <c r="D239" s="1">
        <v>1.7768479236799999E-3</v>
      </c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</row>
    <row r="240" spans="1:51" x14ac:dyDescent="0.35">
      <c r="A240">
        <v>6.0461582735700001E-2</v>
      </c>
      <c r="B240" s="1">
        <v>6.5831318373000002E-5</v>
      </c>
      <c r="C240" s="1">
        <v>7.6881314176199994E-6</v>
      </c>
      <c r="D240" s="1">
        <v>1.79061640292E-3</v>
      </c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</row>
    <row r="241" spans="1:51" x14ac:dyDescent="0.35">
      <c r="A241">
        <v>6.1066198563099999E-2</v>
      </c>
      <c r="B241" s="1">
        <v>5.8575316566699999E-5</v>
      </c>
      <c r="C241" s="1">
        <v>6.8396766047599996E-6</v>
      </c>
      <c r="D241" s="1">
        <v>1.80452256695E-3</v>
      </c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</row>
    <row r="242" spans="1:51" x14ac:dyDescent="0.35">
      <c r="A242">
        <v>6.1676860548700002E-2</v>
      </c>
      <c r="B242" s="1">
        <v>5.8065739320600001E-5</v>
      </c>
      <c r="C242" s="1">
        <v>7.0438299839500002E-6</v>
      </c>
      <c r="D242" s="1">
        <v>1.8185677926199999E-3</v>
      </c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</row>
    <row r="243" spans="1:51" x14ac:dyDescent="0.35">
      <c r="A243">
        <v>6.2293629154200003E-2</v>
      </c>
      <c r="B243" s="1">
        <v>5.3676571926400003E-5</v>
      </c>
      <c r="C243" s="1">
        <v>6.8821796315399999E-6</v>
      </c>
      <c r="D243" s="1">
        <v>1.8327534705499999E-3</v>
      </c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</row>
    <row r="244" spans="1:51" x14ac:dyDescent="0.35">
      <c r="A244">
        <v>6.2916565445699998E-2</v>
      </c>
      <c r="B244" s="1">
        <v>6.85706269053E-5</v>
      </c>
      <c r="C244" s="1">
        <v>7.7144002425300004E-6</v>
      </c>
      <c r="D244" s="1">
        <v>1.8470810052500001E-3</v>
      </c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</row>
    <row r="245" spans="1:51" x14ac:dyDescent="0.35">
      <c r="A245">
        <v>6.3545731100199995E-2</v>
      </c>
      <c r="B245" s="1">
        <v>6.4461415382100005E-5</v>
      </c>
      <c r="C245" s="1">
        <v>7.68193431223E-6</v>
      </c>
      <c r="D245" s="1">
        <v>1.8615518153E-3</v>
      </c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</row>
    <row r="246" spans="1:51" x14ac:dyDescent="0.35">
      <c r="A246">
        <v>6.4181188411200005E-2</v>
      </c>
      <c r="B246" s="1">
        <v>7.5162065179699999E-5</v>
      </c>
      <c r="C246" s="1">
        <v>8.0465009086599999E-6</v>
      </c>
      <c r="D246" s="1">
        <v>1.87616733346E-3</v>
      </c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</row>
    <row r="247" spans="1:51" x14ac:dyDescent="0.35">
      <c r="A247">
        <v>6.4823000295299998E-2</v>
      </c>
      <c r="B247" s="1">
        <v>6.47294841141E-5</v>
      </c>
      <c r="C247" s="1">
        <v>7.4204987577700004E-6</v>
      </c>
      <c r="D247" s="1">
        <v>1.8909290067899999E-3</v>
      </c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</row>
    <row r="248" spans="1:51" x14ac:dyDescent="0.35">
      <c r="A248">
        <v>6.5471230298199998E-2</v>
      </c>
      <c r="B248" s="1">
        <v>5.2090153582200002E-5</v>
      </c>
      <c r="C248" s="1">
        <v>6.8265381666900002E-6</v>
      </c>
      <c r="D248" s="1">
        <v>1.9058382968600001E-3</v>
      </c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</row>
    <row r="249" spans="1:51" x14ac:dyDescent="0.35">
      <c r="A249">
        <v>6.61259426012E-2</v>
      </c>
      <c r="B249" s="1">
        <v>5.1446164867400001E-5</v>
      </c>
      <c r="C249" s="1">
        <v>6.6867793422800002E-6</v>
      </c>
      <c r="D249" s="1">
        <v>1.9208966798300001E-3</v>
      </c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</row>
    <row r="250" spans="1:51" x14ac:dyDescent="0.35">
      <c r="A250">
        <v>6.6787202027199996E-2</v>
      </c>
      <c r="B250" s="1">
        <v>4.64143269497E-5</v>
      </c>
      <c r="C250" s="1">
        <v>6.1080279106099997E-6</v>
      </c>
      <c r="D250" s="1">
        <v>1.93610564663E-3</v>
      </c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</row>
    <row r="251" spans="1:51" x14ac:dyDescent="0.35">
      <c r="A251">
        <v>6.7455074047499994E-2</v>
      </c>
      <c r="B251" s="1">
        <v>4.57331915561E-5</v>
      </c>
      <c r="C251" s="1">
        <v>6.14043571229E-6</v>
      </c>
      <c r="D251" s="1">
        <v>1.9514667030900001E-3</v>
      </c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</row>
    <row r="252" spans="1:51" x14ac:dyDescent="0.35">
      <c r="A252">
        <v>6.8129624787999998E-2</v>
      </c>
      <c r="B252" s="1">
        <v>4.3194057832100003E-5</v>
      </c>
      <c r="C252" s="1">
        <v>6.1920489625799996E-6</v>
      </c>
      <c r="D252" s="1">
        <v>1.9669813701200002E-3</v>
      </c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</row>
    <row r="253" spans="1:51" x14ac:dyDescent="0.35">
      <c r="A253">
        <v>6.8810921035900002E-2</v>
      </c>
      <c r="B253" s="1">
        <v>3.6647494542299998E-5</v>
      </c>
      <c r="C253" s="1">
        <v>5.7755126597799999E-6</v>
      </c>
      <c r="D253" s="1">
        <v>1.9826511838199998E-3</v>
      </c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</row>
    <row r="254" spans="1:51" x14ac:dyDescent="0.35">
      <c r="A254">
        <v>6.9499030246199994E-2</v>
      </c>
      <c r="B254" s="1">
        <v>4.8093212456200001E-5</v>
      </c>
      <c r="C254" s="1">
        <v>5.9582301049599999E-6</v>
      </c>
      <c r="D254" s="1">
        <v>1.9984776956599999E-3</v>
      </c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</row>
    <row r="255" spans="1:51" x14ac:dyDescent="0.35">
      <c r="A255">
        <v>7.0194020548699998E-2</v>
      </c>
      <c r="B255" s="1">
        <v>5.0808696287400003E-5</v>
      </c>
      <c r="C255" s="1">
        <v>6.3306561847900002E-6</v>
      </c>
      <c r="D255" s="1">
        <v>2.0144624726199998E-3</v>
      </c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</row>
    <row r="256" spans="1:51" x14ac:dyDescent="0.35">
      <c r="A256">
        <v>7.0895960754200002E-2</v>
      </c>
      <c r="B256" s="1">
        <v>4.7538976998000003E-5</v>
      </c>
      <c r="C256" s="1">
        <v>6.06413063889E-6</v>
      </c>
      <c r="D256" s="1">
        <v>2.0306070973499998E-3</v>
      </c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</row>
    <row r="257" spans="1:51" x14ac:dyDescent="0.35">
      <c r="A257">
        <v>7.1604920361700006E-2</v>
      </c>
      <c r="B257" s="1">
        <v>2.9495362855300001E-5</v>
      </c>
      <c r="C257" s="1">
        <v>4.8582578763499997E-6</v>
      </c>
      <c r="D257" s="1">
        <v>2.0469131683199999E-3</v>
      </c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</row>
    <row r="258" spans="1:51" x14ac:dyDescent="0.35">
      <c r="A258">
        <v>7.23209695653E-2</v>
      </c>
      <c r="B258" s="1">
        <v>3.1020890841900001E-5</v>
      </c>
      <c r="C258" s="1">
        <v>5.1196014543799998E-6</v>
      </c>
      <c r="D258" s="1">
        <v>2.0633823E-3</v>
      </c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</row>
    <row r="259" spans="1:51" x14ac:dyDescent="0.35">
      <c r="A259">
        <v>7.3044179261E-2</v>
      </c>
      <c r="B259" s="1">
        <v>2.4203953597000001E-5</v>
      </c>
      <c r="C259" s="1">
        <v>4.5337964613400002E-6</v>
      </c>
      <c r="D259" s="1">
        <v>2.080016123E-3</v>
      </c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</row>
    <row r="260" spans="1:51" x14ac:dyDescent="0.35">
      <c r="A260">
        <v>7.3774621053599998E-2</v>
      </c>
      <c r="B260" s="1">
        <v>3.3606443728299997E-5</v>
      </c>
      <c r="C260" s="1">
        <v>5.1309084345399998E-6</v>
      </c>
      <c r="D260" s="1">
        <v>2.0968162842299998E-3</v>
      </c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</row>
    <row r="261" spans="1:51" x14ac:dyDescent="0.35">
      <c r="A261">
        <v>7.4512367264100002E-2</v>
      </c>
      <c r="B261" s="1">
        <v>3.81990432961E-5</v>
      </c>
      <c r="C261" s="1">
        <v>5.3537445122100004E-6</v>
      </c>
      <c r="D261" s="1">
        <v>2.11378444707E-3</v>
      </c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</row>
    <row r="262" spans="1:51" x14ac:dyDescent="0.35">
      <c r="A262">
        <v>7.5257490936799995E-2</v>
      </c>
      <c r="B262" s="1">
        <v>3.6876899948300002E-5</v>
      </c>
      <c r="C262" s="1">
        <v>5.2119182409999996E-6</v>
      </c>
      <c r="D262" s="1">
        <v>2.1309222915499998E-3</v>
      </c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</row>
    <row r="263" spans="1:51" x14ac:dyDescent="0.35">
      <c r="A263">
        <v>7.6010065846099997E-2</v>
      </c>
      <c r="B263" s="1">
        <v>3.0919720264E-5</v>
      </c>
      <c r="C263" s="1">
        <v>4.9318244251999997E-6</v>
      </c>
      <c r="D263" s="1">
        <v>2.1482315144599998E-3</v>
      </c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</row>
    <row r="264" spans="1:51" x14ac:dyDescent="0.35">
      <c r="A264">
        <v>7.6770166504600001E-2</v>
      </c>
      <c r="B264" s="1">
        <v>2.6962954597899998E-5</v>
      </c>
      <c r="C264" s="1">
        <v>4.3889442486E-6</v>
      </c>
      <c r="D264" s="1">
        <v>2.1657138296100002E-3</v>
      </c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</row>
    <row r="265" spans="1:51" x14ac:dyDescent="0.35">
      <c r="A265">
        <v>7.7537868169599997E-2</v>
      </c>
      <c r="B265" s="1">
        <v>1.8986103611800001E-5</v>
      </c>
      <c r="C265" s="1">
        <v>3.96182246924E-6</v>
      </c>
      <c r="D265" s="1">
        <v>2.1833709679000002E-3</v>
      </c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</row>
    <row r="266" spans="1:51" x14ac:dyDescent="0.35">
      <c r="A266">
        <v>7.8313246851300006E-2</v>
      </c>
      <c r="B266" s="1">
        <v>2.45507244977E-5</v>
      </c>
      <c r="C266" s="1">
        <v>4.26343005989E-6</v>
      </c>
      <c r="D266" s="1">
        <v>2.2012046775799999E-3</v>
      </c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</row>
    <row r="267" spans="1:51" x14ac:dyDescent="0.35">
      <c r="A267">
        <v>7.90963793198E-2</v>
      </c>
      <c r="B267" s="1">
        <v>2.4539437212200001E-5</v>
      </c>
      <c r="C267" s="1">
        <v>4.1512015487000002E-6</v>
      </c>
      <c r="D267" s="1">
        <v>2.2192167243599999E-3</v>
      </c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</row>
    <row r="268" spans="1:51" x14ac:dyDescent="0.35">
      <c r="A268">
        <v>7.9887343112999998E-2</v>
      </c>
      <c r="B268" s="1">
        <v>2.6798834267499999E-5</v>
      </c>
      <c r="C268" s="1">
        <v>4.3848716862400002E-6</v>
      </c>
      <c r="D268" s="1">
        <v>2.2374088916000002E-3</v>
      </c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</row>
    <row r="269" spans="1:51" x14ac:dyDescent="0.35">
      <c r="A269">
        <v>8.0686216544199996E-2</v>
      </c>
      <c r="B269" s="1">
        <v>2.9251402274599999E-5</v>
      </c>
      <c r="C269" s="1">
        <v>4.5381964245500003E-6</v>
      </c>
      <c r="D269" s="1">
        <v>2.2557829805199998E-3</v>
      </c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</row>
    <row r="270" spans="1:51" x14ac:dyDescent="0.35">
      <c r="A270">
        <v>8.14930787096E-2</v>
      </c>
      <c r="B270" s="1">
        <v>2.3364189289600001E-5</v>
      </c>
      <c r="C270" s="1">
        <v>4.0705275223299997E-6</v>
      </c>
      <c r="D270" s="1">
        <v>2.27434081032E-3</v>
      </c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</row>
    <row r="271" spans="1:51" x14ac:dyDescent="0.35">
      <c r="A271">
        <v>8.2308009496700002E-2</v>
      </c>
      <c r="B271" s="1">
        <v>2.88458450352E-5</v>
      </c>
      <c r="C271" s="1">
        <v>4.4603193118299997E-6</v>
      </c>
      <c r="D271" s="1">
        <v>2.2930842184199999E-3</v>
      </c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</row>
    <row r="272" spans="1:51" x14ac:dyDescent="0.35">
      <c r="A272">
        <v>8.31310895917E-2</v>
      </c>
      <c r="B272" s="1">
        <v>1.9044988172700001E-5</v>
      </c>
      <c r="C272" s="1">
        <v>4.1343299448499998E-6</v>
      </c>
      <c r="D272" s="1">
        <v>2.3120150606099998E-3</v>
      </c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</row>
    <row r="273" spans="1:51" x14ac:dyDescent="0.35">
      <c r="A273">
        <v>8.3962400487599995E-2</v>
      </c>
      <c r="B273" s="1">
        <v>1.8108106639099999E-5</v>
      </c>
      <c r="C273" s="1">
        <v>3.8968865857800003E-6</v>
      </c>
      <c r="D273" s="1">
        <v>2.3311352112099998E-3</v>
      </c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</row>
    <row r="274" spans="1:51" x14ac:dyDescent="0.35">
      <c r="A274">
        <v>8.4802024492500003E-2</v>
      </c>
      <c r="B274" s="1">
        <v>1.4983288396599999E-5</v>
      </c>
      <c r="C274" s="1">
        <v>3.6678362783999998E-6</v>
      </c>
      <c r="D274" s="1">
        <v>2.3504465633299998E-3</v>
      </c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</row>
    <row r="275" spans="1:51" x14ac:dyDescent="0.35">
      <c r="A275">
        <v>8.5650044737399997E-2</v>
      </c>
      <c r="B275" s="1">
        <v>2.21260132196E-5</v>
      </c>
      <c r="C275" s="1">
        <v>4.2987584225900004E-6</v>
      </c>
      <c r="D275" s="1">
        <v>2.3699510289600001E-3</v>
      </c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</row>
    <row r="276" spans="1:51" x14ac:dyDescent="0.35">
      <c r="A276">
        <v>8.6506545184799999E-2</v>
      </c>
      <c r="B276" s="1">
        <v>1.40816873262E-5</v>
      </c>
      <c r="C276" s="1">
        <v>3.66921135993E-6</v>
      </c>
      <c r="D276" s="1">
        <v>2.3896505392499998E-3</v>
      </c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</row>
    <row r="277" spans="1:51" x14ac:dyDescent="0.35">
      <c r="A277">
        <v>8.7371610636599997E-2</v>
      </c>
      <c r="B277" s="1">
        <v>1.95803172016E-5</v>
      </c>
      <c r="C277" s="1">
        <v>2.1690589676200002E-6</v>
      </c>
      <c r="D277" s="1">
        <v>2.4095470446400002E-3</v>
      </c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</row>
    <row r="278" spans="1:51" x14ac:dyDescent="0.35">
      <c r="A278">
        <v>8.8245326742999994E-2</v>
      </c>
      <c r="B278" s="1">
        <v>1.71201197217E-5</v>
      </c>
      <c r="C278" s="1">
        <v>1.9381809707999999E-6</v>
      </c>
      <c r="D278" s="1">
        <v>2.4296425150899998E-3</v>
      </c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</row>
    <row r="279" spans="1:51" x14ac:dyDescent="0.35">
      <c r="A279">
        <v>8.9127780010400004E-2</v>
      </c>
      <c r="B279" s="1">
        <v>1.4898598340099999E-5</v>
      </c>
      <c r="C279" s="1">
        <v>1.7548446936E-6</v>
      </c>
      <c r="D279" s="1">
        <v>2.44993894024E-3</v>
      </c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</row>
    <row r="280" spans="1:51" x14ac:dyDescent="0.35">
      <c r="A280">
        <v>9.00190578105E-2</v>
      </c>
      <c r="B280" s="1">
        <v>1.5189700014299999E-5</v>
      </c>
      <c r="C280" s="1">
        <v>1.7025995743500001E-6</v>
      </c>
      <c r="D280" s="1">
        <v>2.4704383296399999E-3</v>
      </c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</row>
    <row r="281" spans="1:51" x14ac:dyDescent="0.35">
      <c r="A281">
        <v>9.0919248388599994E-2</v>
      </c>
      <c r="B281" s="1">
        <v>1.58802851232E-5</v>
      </c>
      <c r="C281" s="1">
        <v>1.79850099236E-6</v>
      </c>
      <c r="D281" s="1">
        <v>2.49114271294E-3</v>
      </c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</row>
    <row r="282" spans="1:51" x14ac:dyDescent="0.35">
      <c r="A282">
        <v>9.18284408725E-2</v>
      </c>
      <c r="B282" s="1">
        <v>1.34346790462E-5</v>
      </c>
      <c r="C282" s="1">
        <v>1.60454756606E-6</v>
      </c>
      <c r="D282" s="1">
        <v>2.51205414007E-3</v>
      </c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</row>
    <row r="283" spans="1:51" x14ac:dyDescent="0.35">
      <c r="A283">
        <v>9.2746725281199996E-2</v>
      </c>
      <c r="B283" s="1">
        <v>1.9088296838099999E-5</v>
      </c>
      <c r="C283" s="1">
        <v>1.90863095804E-6</v>
      </c>
      <c r="D283" s="1">
        <v>2.5331746814699998E-3</v>
      </c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</row>
    <row r="284" spans="1:51" x14ac:dyDescent="0.35">
      <c r="A284">
        <v>9.3674192534E-2</v>
      </c>
      <c r="B284" s="1">
        <v>1.4564033967999999E-5</v>
      </c>
      <c r="C284" s="1">
        <v>1.65019775304E-6</v>
      </c>
      <c r="D284" s="1">
        <v>2.5545064282799998E-3</v>
      </c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</row>
    <row r="285" spans="1:51" x14ac:dyDescent="0.35">
      <c r="A285">
        <v>9.4610934459399998E-2</v>
      </c>
      <c r="B285" s="1">
        <v>1.3140319927099999E-5</v>
      </c>
      <c r="C285" s="1">
        <v>1.5454379145599999E-6</v>
      </c>
      <c r="D285" s="1">
        <v>2.5760514925700002E-3</v>
      </c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</row>
    <row r="286" spans="1:51" x14ac:dyDescent="0.35">
      <c r="A286">
        <v>9.5557043804E-2</v>
      </c>
      <c r="B286" s="1">
        <v>1.18098767669E-5</v>
      </c>
      <c r="C286" s="1">
        <v>1.4827258263899999E-6</v>
      </c>
      <c r="D286" s="1">
        <v>2.5978120074900001E-3</v>
      </c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</row>
    <row r="287" spans="1:51" x14ac:dyDescent="0.35">
      <c r="A287">
        <v>9.6512614242E-2</v>
      </c>
      <c r="B287" s="1">
        <v>1.20220288945E-5</v>
      </c>
      <c r="C287" s="1">
        <v>1.4935825765699999E-6</v>
      </c>
      <c r="D287" s="1">
        <v>2.61979012757E-3</v>
      </c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</row>
    <row r="288" spans="1:51" x14ac:dyDescent="0.35">
      <c r="A288">
        <v>9.7477740384400005E-2</v>
      </c>
      <c r="B288" s="1">
        <v>1.4211759634600001E-5</v>
      </c>
      <c r="C288" s="1">
        <v>1.59791075451E-6</v>
      </c>
      <c r="D288" s="1">
        <v>2.6419880288399999E-3</v>
      </c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</row>
    <row r="289" spans="1:51" x14ac:dyDescent="0.35">
      <c r="A289">
        <v>9.8452517788299998E-2</v>
      </c>
      <c r="B289" s="1">
        <v>1.31057372518E-5</v>
      </c>
      <c r="C289" s="1">
        <v>1.4758851411199999E-6</v>
      </c>
      <c r="D289" s="1">
        <v>2.6644079091300002E-3</v>
      </c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</row>
    <row r="290" spans="1:51" x14ac:dyDescent="0.35">
      <c r="A290">
        <v>9.9437042966199998E-2</v>
      </c>
      <c r="B290" s="1">
        <v>1.26367730059E-5</v>
      </c>
      <c r="C290" s="1">
        <v>1.5939191982E-6</v>
      </c>
      <c r="D290" s="1">
        <v>2.68705198822E-3</v>
      </c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</row>
    <row r="291" spans="1:51" x14ac:dyDescent="0.35">
      <c r="A291">
        <v>0.10043141339599999</v>
      </c>
      <c r="B291" s="1">
        <v>1.0660273849600001E-5</v>
      </c>
      <c r="C291" s="1">
        <v>1.45985219138E-6</v>
      </c>
      <c r="D291" s="1">
        <v>2.7099225081E-3</v>
      </c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</row>
    <row r="292" spans="1:51" x14ac:dyDescent="0.35">
      <c r="A292">
        <v>0.10143572753000001</v>
      </c>
      <c r="B292" s="1">
        <v>1.09200431131E-5</v>
      </c>
      <c r="C292" s="1">
        <v>1.47247124523E-6</v>
      </c>
      <c r="D292" s="1">
        <v>2.73302173319E-3</v>
      </c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</row>
    <row r="293" spans="1:51" x14ac:dyDescent="0.35">
      <c r="A293">
        <v>0.10245008480499999</v>
      </c>
      <c r="B293" s="1">
        <v>1.2267384435499999E-5</v>
      </c>
      <c r="C293" s="1">
        <v>1.5291566491E-6</v>
      </c>
      <c r="D293" s="1">
        <v>2.7563519505200001E-3</v>
      </c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</row>
    <row r="294" spans="1:51" x14ac:dyDescent="0.35">
      <c r="A294">
        <v>0.103474585653</v>
      </c>
      <c r="B294" s="1">
        <v>1.1016758895299999E-5</v>
      </c>
      <c r="C294" s="1">
        <v>1.42738842448E-6</v>
      </c>
      <c r="D294" s="1">
        <v>2.7799154700199999E-3</v>
      </c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</row>
    <row r="295" spans="1:51" x14ac:dyDescent="0.35">
      <c r="A295">
        <v>0.10450933151</v>
      </c>
      <c r="B295" s="1">
        <v>9.8661157528499999E-6</v>
      </c>
      <c r="C295" s="1">
        <v>1.3614495598099999E-6</v>
      </c>
      <c r="D295" s="1">
        <v>2.8037146247199998E-3</v>
      </c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</row>
    <row r="296" spans="1:51" x14ac:dyDescent="0.35">
      <c r="A296">
        <v>0.10555442482500001</v>
      </c>
      <c r="B296" s="1">
        <v>1.06604750088E-5</v>
      </c>
      <c r="C296" s="1">
        <v>1.4220576344399999E-6</v>
      </c>
      <c r="D296" s="1">
        <v>2.82775177097E-3</v>
      </c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</row>
    <row r="297" spans="1:51" x14ac:dyDescent="0.35">
      <c r="A297">
        <v>0.10660996907299999</v>
      </c>
      <c r="B297" s="1">
        <v>7.4855268848799997E-6</v>
      </c>
      <c r="C297" s="1">
        <v>1.23255844291E-6</v>
      </c>
      <c r="D297" s="1">
        <v>2.8520292886799999E-3</v>
      </c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</row>
    <row r="298" spans="1:51" x14ac:dyDescent="0.35">
      <c r="A298">
        <v>0.107676068764</v>
      </c>
      <c r="B298" s="1">
        <v>8.8103421425799998E-6</v>
      </c>
      <c r="C298" s="1">
        <v>1.2713630790700001E-6</v>
      </c>
      <c r="D298" s="1">
        <v>2.87654958157E-3</v>
      </c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</row>
    <row r="299" spans="1:51" x14ac:dyDescent="0.35">
      <c r="A299">
        <v>0.108752829451</v>
      </c>
      <c r="B299" s="1">
        <v>8.5716596466899998E-6</v>
      </c>
      <c r="C299" s="1">
        <v>1.2998841999699999E-6</v>
      </c>
      <c r="D299" s="1">
        <v>2.9013150773800002E-3</v>
      </c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</row>
    <row r="300" spans="1:51" x14ac:dyDescent="0.35">
      <c r="A300">
        <v>0.109840357746</v>
      </c>
      <c r="B300" s="1">
        <v>6.3854323221500002E-6</v>
      </c>
      <c r="C300" s="1">
        <v>1.20378467413E-6</v>
      </c>
      <c r="D300" s="1">
        <v>2.9263282281600002E-3</v>
      </c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</row>
    <row r="301" spans="1:51" x14ac:dyDescent="0.35">
      <c r="A301">
        <v>0.110938761323</v>
      </c>
      <c r="B301" s="1">
        <v>6.5638314946799996E-6</v>
      </c>
      <c r="C301" s="1">
        <v>1.07736682573E-6</v>
      </c>
      <c r="D301" s="1">
        <v>2.9515915104400001E-3</v>
      </c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</row>
    <row r="302" spans="1:51" x14ac:dyDescent="0.35">
      <c r="A302">
        <v>0.11204814893700001</v>
      </c>
      <c r="B302" s="1">
        <v>6.5335518810400001E-6</v>
      </c>
      <c r="C302" s="1">
        <v>1.0994639997999999E-6</v>
      </c>
      <c r="D302" s="1">
        <v>2.97710742554E-3</v>
      </c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</row>
    <row r="303" spans="1:51" x14ac:dyDescent="0.35">
      <c r="A303">
        <v>0.11316863042600001</v>
      </c>
      <c r="B303" s="1">
        <v>7.1109825726200002E-6</v>
      </c>
      <c r="C303" s="1">
        <v>1.1256018314500001E-6</v>
      </c>
      <c r="D303" s="1">
        <v>3.0028784998000001E-3</v>
      </c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</row>
    <row r="304" spans="1:51" x14ac:dyDescent="0.35">
      <c r="A304">
        <v>0.11430031673</v>
      </c>
      <c r="B304" s="1">
        <v>8.1473307728599995E-6</v>
      </c>
      <c r="C304" s="1">
        <v>1.24688630207E-6</v>
      </c>
      <c r="D304" s="1">
        <v>3.0289072847900001E-3</v>
      </c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</row>
    <row r="305" spans="1:51" x14ac:dyDescent="0.35">
      <c r="A305">
        <v>0.115443319898</v>
      </c>
      <c r="B305" s="1">
        <v>7.6020526362899997E-6</v>
      </c>
      <c r="C305" s="1">
        <v>1.1947184906599999E-6</v>
      </c>
      <c r="D305" s="1">
        <v>3.0551963576400001E-3</v>
      </c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</row>
    <row r="306" spans="1:51" x14ac:dyDescent="0.35">
      <c r="A306">
        <v>0.116597753096</v>
      </c>
      <c r="B306" s="1">
        <v>6.40336064348E-6</v>
      </c>
      <c r="C306" s="1">
        <v>1.11970738771E-6</v>
      </c>
      <c r="D306" s="1">
        <v>3.0817483212199999E-3</v>
      </c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</row>
    <row r="307" spans="1:51" x14ac:dyDescent="0.35">
      <c r="A307">
        <v>0.117763730627</v>
      </c>
      <c r="B307" s="1">
        <v>7.7220898524100006E-6</v>
      </c>
      <c r="C307" s="1">
        <v>1.17788551335E-6</v>
      </c>
      <c r="D307" s="1">
        <v>3.1085658044299998E-3</v>
      </c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</row>
    <row r="308" spans="1:51" x14ac:dyDescent="0.35">
      <c r="A308">
        <v>0.11894136793399999</v>
      </c>
      <c r="B308" s="1">
        <v>5.9985444750999998E-6</v>
      </c>
      <c r="C308" s="1">
        <v>1.1082958889499999E-6</v>
      </c>
      <c r="D308" s="1">
        <v>3.1356514624800002E-3</v>
      </c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</row>
    <row r="309" spans="1:51" x14ac:dyDescent="0.35">
      <c r="A309">
        <v>0.120130781613</v>
      </c>
      <c r="B309" s="1">
        <v>6.2455889943000001E-6</v>
      </c>
      <c r="C309" s="1">
        <v>1.1260036951899999E-6</v>
      </c>
      <c r="D309" s="1">
        <v>3.1630079771000001E-3</v>
      </c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</row>
    <row r="310" spans="1:51" x14ac:dyDescent="0.35">
      <c r="A310">
        <v>0.12133208942900001</v>
      </c>
      <c r="B310" s="1">
        <v>7.6830216545500005E-6</v>
      </c>
      <c r="C310" s="1">
        <v>1.1465076249899999E-6</v>
      </c>
      <c r="D310" s="1">
        <v>3.19063805687E-3</v>
      </c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</row>
    <row r="311" spans="1:51" x14ac:dyDescent="0.35">
      <c r="A311">
        <v>0.122545410323</v>
      </c>
      <c r="B311" s="1">
        <v>5.2745511628199998E-6</v>
      </c>
      <c r="C311" s="1">
        <v>9.8324053934399994E-7</v>
      </c>
      <c r="D311" s="1">
        <v>3.2185444374399999E-3</v>
      </c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</row>
    <row r="312" spans="1:51" x14ac:dyDescent="0.35">
      <c r="A312">
        <v>0.123770864427</v>
      </c>
      <c r="B312" s="1">
        <v>4.1980755261500003E-6</v>
      </c>
      <c r="C312" s="1">
        <v>9.604122130379999E-7</v>
      </c>
      <c r="D312" s="1">
        <v>3.2467298818099999E-3</v>
      </c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</row>
    <row r="313" spans="1:51" x14ac:dyDescent="0.35">
      <c r="A313">
        <v>0.125008573071</v>
      </c>
      <c r="B313" s="1">
        <v>3.9595449577100003E-6</v>
      </c>
      <c r="C313" s="1">
        <v>9.7437427302300001E-7</v>
      </c>
      <c r="D313" s="1">
        <v>3.2751971806300002E-3</v>
      </c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</row>
    <row r="314" spans="1:51" x14ac:dyDescent="0.35">
      <c r="A314">
        <v>0.12625865880199999</v>
      </c>
      <c r="B314" s="1">
        <v>4.8703944954599999E-6</v>
      </c>
      <c r="C314" s="1">
        <v>1.0550166361500001E-6</v>
      </c>
      <c r="D314" s="1">
        <v>3.3039491524399999E-3</v>
      </c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</row>
    <row r="315" spans="1:51" x14ac:dyDescent="0.35">
      <c r="A315">
        <v>0.12752124539000001</v>
      </c>
      <c r="B315" s="1">
        <v>3.4211267287800002E-6</v>
      </c>
      <c r="C315" s="1">
        <v>8.9467425518200004E-7</v>
      </c>
      <c r="D315" s="1">
        <v>3.3329886439600002E-3</v>
      </c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</row>
    <row r="316" spans="1:51" x14ac:dyDescent="0.35">
      <c r="A316">
        <v>0.12879645784400001</v>
      </c>
      <c r="B316" s="1">
        <v>3.8730662158200001E-6</v>
      </c>
      <c r="C316" s="1">
        <v>9.2735370885800002E-7</v>
      </c>
      <c r="D316" s="1">
        <v>3.3623185304E-3</v>
      </c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</row>
    <row r="317" spans="1:51" x14ac:dyDescent="0.35">
      <c r="A317">
        <v>0.130084422422</v>
      </c>
      <c r="B317" s="1">
        <v>3.01387288508E-6</v>
      </c>
      <c r="C317" s="1">
        <v>8.6370569477099998E-7</v>
      </c>
      <c r="D317" s="1">
        <v>3.3919417157099998E-3</v>
      </c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</row>
    <row r="318" spans="1:51" x14ac:dyDescent="0.35">
      <c r="A318">
        <v>0.131385266646</v>
      </c>
      <c r="B318" s="1">
        <v>5.4337293359300002E-6</v>
      </c>
      <c r="C318" s="1">
        <v>1.0359221858E-6</v>
      </c>
      <c r="D318" s="1">
        <v>3.4218611328599999E-3</v>
      </c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</row>
    <row r="319" spans="1:51" x14ac:dyDescent="0.35"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</row>
    <row r="320" spans="1:51" x14ac:dyDescent="0.35"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</row>
    <row r="321" spans="14:51" x14ac:dyDescent="0.35"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</row>
    <row r="322" spans="14:51" x14ac:dyDescent="0.35"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</row>
    <row r="323" spans="14:51" x14ac:dyDescent="0.35"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</row>
    <row r="324" spans="14:51" x14ac:dyDescent="0.35"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</row>
    <row r="325" spans="14:51" x14ac:dyDescent="0.35"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</row>
    <row r="326" spans="14:51" x14ac:dyDescent="0.35"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</row>
    <row r="327" spans="14:51" x14ac:dyDescent="0.35"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</row>
    <row r="328" spans="14:51" x14ac:dyDescent="0.35"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</row>
    <row r="329" spans="14:51" x14ac:dyDescent="0.35"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</row>
    <row r="330" spans="14:51" x14ac:dyDescent="0.35"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</row>
    <row r="331" spans="14:51" x14ac:dyDescent="0.35"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</row>
    <row r="332" spans="14:51" x14ac:dyDescent="0.35"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</row>
    <row r="333" spans="14:51" x14ac:dyDescent="0.35"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</row>
    <row r="334" spans="14:51" x14ac:dyDescent="0.35"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</row>
    <row r="335" spans="14:51" x14ac:dyDescent="0.35"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</row>
    <row r="336" spans="14:51" x14ac:dyDescent="0.35"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</row>
    <row r="337" spans="14:51" x14ac:dyDescent="0.35"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</row>
    <row r="338" spans="14:51" x14ac:dyDescent="0.35"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</row>
    <row r="339" spans="14:51" x14ac:dyDescent="0.35"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</row>
    <row r="340" spans="14:51" x14ac:dyDescent="0.35"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</row>
    <row r="341" spans="14:51" x14ac:dyDescent="0.35"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</row>
    <row r="342" spans="14:51" x14ac:dyDescent="0.35"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</row>
    <row r="343" spans="14:51" x14ac:dyDescent="0.35"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</row>
    <row r="344" spans="14:51" x14ac:dyDescent="0.35"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</row>
    <row r="345" spans="14:51" x14ac:dyDescent="0.35"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</row>
    <row r="346" spans="14:51" x14ac:dyDescent="0.35"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</row>
    <row r="347" spans="14:51" x14ac:dyDescent="0.35"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</row>
    <row r="348" spans="14:51" x14ac:dyDescent="0.35"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</row>
    <row r="349" spans="14:51" x14ac:dyDescent="0.35"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</row>
    <row r="350" spans="14:51" x14ac:dyDescent="0.35"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</row>
    <row r="351" spans="14:51" x14ac:dyDescent="0.35"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</row>
    <row r="352" spans="14:51" x14ac:dyDescent="0.35"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</row>
    <row r="353" spans="14:33" x14ac:dyDescent="0.35"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</row>
    <row r="354" spans="14:33" x14ac:dyDescent="0.35"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</row>
    <row r="355" spans="14:33" x14ac:dyDescent="0.35"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</row>
    <row r="356" spans="14:33" x14ac:dyDescent="0.35"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</row>
    <row r="357" spans="14:33" x14ac:dyDescent="0.35"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</row>
    <row r="358" spans="14:33" x14ac:dyDescent="0.35"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</row>
    <row r="359" spans="14:33" x14ac:dyDescent="0.35"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</row>
    <row r="360" spans="14:33" x14ac:dyDescent="0.35"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</row>
    <row r="361" spans="14:33" x14ac:dyDescent="0.35"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</row>
    <row r="362" spans="14:33" x14ac:dyDescent="0.35"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</row>
    <row r="363" spans="14:33" x14ac:dyDescent="0.35"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</row>
    <row r="364" spans="14:33" x14ac:dyDescent="0.35"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</row>
    <row r="365" spans="14:33" x14ac:dyDescent="0.35"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</row>
    <row r="366" spans="14:33" x14ac:dyDescent="0.35"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</row>
    <row r="367" spans="14:33" x14ac:dyDescent="0.35"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</row>
    <row r="368" spans="14:33" x14ac:dyDescent="0.35"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</row>
    <row r="369" spans="14:28" x14ac:dyDescent="0.35"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</row>
    <row r="370" spans="14:28" x14ac:dyDescent="0.35"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</row>
    <row r="371" spans="14:28" x14ac:dyDescent="0.35"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</row>
    <row r="372" spans="14:28" x14ac:dyDescent="0.35"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</row>
    <row r="373" spans="14:28" x14ac:dyDescent="0.35"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</row>
    <row r="374" spans="14:28" x14ac:dyDescent="0.35"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</row>
    <row r="375" spans="14:28" x14ac:dyDescent="0.35"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</row>
    <row r="376" spans="14:28" x14ac:dyDescent="0.35"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</row>
    <row r="377" spans="14:28" x14ac:dyDescent="0.35"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</row>
    <row r="378" spans="14:28" x14ac:dyDescent="0.35"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</row>
    <row r="379" spans="14:28" x14ac:dyDescent="0.35"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</row>
    <row r="380" spans="14:28" x14ac:dyDescent="0.35"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</row>
    <row r="381" spans="14:28" x14ac:dyDescent="0.35"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</row>
    <row r="382" spans="14:28" x14ac:dyDescent="0.35"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</row>
    <row r="383" spans="14:28" x14ac:dyDescent="0.35"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</row>
    <row r="384" spans="14:28" x14ac:dyDescent="0.35"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</row>
    <row r="385" spans="14:28" x14ac:dyDescent="0.35"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</row>
    <row r="386" spans="14:28" x14ac:dyDescent="0.35"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</row>
    <row r="387" spans="14:28" x14ac:dyDescent="0.35"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</row>
    <row r="388" spans="14:28" x14ac:dyDescent="0.35"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</row>
    <row r="389" spans="14:28" x14ac:dyDescent="0.35"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</row>
    <row r="390" spans="14:28" x14ac:dyDescent="0.35"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</row>
    <row r="391" spans="14:28" x14ac:dyDescent="0.35"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</row>
    <row r="392" spans="14:28" x14ac:dyDescent="0.35"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</row>
    <row r="393" spans="14:28" x14ac:dyDescent="0.35"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</row>
    <row r="394" spans="14:28" x14ac:dyDescent="0.35"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</row>
    <row r="395" spans="14:28" x14ac:dyDescent="0.35"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</row>
    <row r="396" spans="14:28" x14ac:dyDescent="0.35"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</row>
    <row r="397" spans="14:28" x14ac:dyDescent="0.35"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</row>
    <row r="398" spans="14:28" x14ac:dyDescent="0.35"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</row>
    <row r="399" spans="14:28" x14ac:dyDescent="0.35"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</row>
    <row r="400" spans="14:28" x14ac:dyDescent="0.35"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</row>
    <row r="401" spans="14:28" x14ac:dyDescent="0.35"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</row>
    <row r="402" spans="14:28" x14ac:dyDescent="0.35"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</row>
    <row r="403" spans="14:28" x14ac:dyDescent="0.35"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</row>
    <row r="404" spans="14:28" x14ac:dyDescent="0.35"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</row>
    <row r="405" spans="14:28" x14ac:dyDescent="0.35"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</row>
    <row r="406" spans="14:28" x14ac:dyDescent="0.35"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</row>
    <row r="407" spans="14:28" x14ac:dyDescent="0.35"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</row>
    <row r="408" spans="14:28" x14ac:dyDescent="0.35"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</row>
    <row r="409" spans="14:28" x14ac:dyDescent="0.35"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</row>
    <row r="410" spans="14:28" x14ac:dyDescent="0.35"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</row>
    <row r="411" spans="14:28" x14ac:dyDescent="0.35"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</row>
    <row r="412" spans="14:28" x14ac:dyDescent="0.35"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</row>
    <row r="413" spans="14:28" x14ac:dyDescent="0.35"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</row>
    <row r="414" spans="14:28" x14ac:dyDescent="0.35"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</row>
    <row r="415" spans="14:28" x14ac:dyDescent="0.35"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</row>
    <row r="416" spans="14:28" x14ac:dyDescent="0.35"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</row>
    <row r="417" spans="14:28" x14ac:dyDescent="0.35"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</row>
    <row r="418" spans="14:28" x14ac:dyDescent="0.35"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</row>
    <row r="419" spans="14:28" x14ac:dyDescent="0.35"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</row>
    <row r="420" spans="14:28" x14ac:dyDescent="0.35"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</row>
    <row r="421" spans="14:28" x14ac:dyDescent="0.35"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</row>
    <row r="422" spans="14:28" x14ac:dyDescent="0.35"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</row>
    <row r="423" spans="14:28" x14ac:dyDescent="0.35"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</row>
    <row r="424" spans="14:28" x14ac:dyDescent="0.35"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</row>
    <row r="425" spans="14:28" x14ac:dyDescent="0.35"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</row>
    <row r="426" spans="14:28" x14ac:dyDescent="0.35"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</row>
    <row r="427" spans="14:28" x14ac:dyDescent="0.35"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</row>
    <row r="428" spans="14:28" x14ac:dyDescent="0.35"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</row>
    <row r="429" spans="14:28" x14ac:dyDescent="0.35"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</row>
    <row r="430" spans="14:28" x14ac:dyDescent="0.35"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</row>
    <row r="431" spans="14:28" x14ac:dyDescent="0.35"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</row>
    <row r="432" spans="14:28" x14ac:dyDescent="0.35"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</row>
    <row r="433" spans="14:28" x14ac:dyDescent="0.35"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</row>
    <row r="434" spans="14:28" x14ac:dyDescent="0.35"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</row>
    <row r="435" spans="14:28" x14ac:dyDescent="0.35"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</row>
    <row r="436" spans="14:28" x14ac:dyDescent="0.35"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</row>
    <row r="437" spans="14:28" x14ac:dyDescent="0.35"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</row>
    <row r="438" spans="14:28" x14ac:dyDescent="0.35"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</row>
    <row r="439" spans="14:28" x14ac:dyDescent="0.35"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</row>
    <row r="440" spans="14:28" x14ac:dyDescent="0.35"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</row>
    <row r="441" spans="14:28" x14ac:dyDescent="0.35">
      <c r="W441"/>
      <c r="X441"/>
      <c r="Y441"/>
      <c r="Z441"/>
      <c r="AA441"/>
      <c r="AB441"/>
    </row>
    <row r="442" spans="14:28" x14ac:dyDescent="0.35">
      <c r="W442"/>
      <c r="X442"/>
      <c r="Y442"/>
      <c r="Z442"/>
      <c r="AA442"/>
      <c r="AB442"/>
    </row>
    <row r="443" spans="14:28" x14ac:dyDescent="0.35">
      <c r="W443"/>
      <c r="X443"/>
      <c r="Y443"/>
      <c r="Z443"/>
      <c r="AA443"/>
      <c r="AB443"/>
    </row>
    <row r="444" spans="14:28" x14ac:dyDescent="0.35">
      <c r="W444"/>
      <c r="X444"/>
      <c r="Y444"/>
      <c r="Z444"/>
      <c r="AA444"/>
      <c r="AB444"/>
    </row>
    <row r="445" spans="14:28" x14ac:dyDescent="0.35">
      <c r="W445"/>
      <c r="X445"/>
      <c r="Y445"/>
      <c r="Z445"/>
      <c r="AA445"/>
      <c r="AB445"/>
    </row>
    <row r="446" spans="14:28" x14ac:dyDescent="0.35">
      <c r="W446"/>
      <c r="X446"/>
      <c r="Y446"/>
      <c r="Z446"/>
      <c r="AA446"/>
      <c r="AB446"/>
    </row>
    <row r="447" spans="14:28" x14ac:dyDescent="0.35">
      <c r="W447"/>
      <c r="X447"/>
      <c r="Y447"/>
      <c r="Z447"/>
      <c r="AA447"/>
      <c r="AB447"/>
    </row>
    <row r="448" spans="14:28" x14ac:dyDescent="0.35">
      <c r="W448"/>
      <c r="X448"/>
      <c r="Y448"/>
      <c r="Z448"/>
      <c r="AA448"/>
      <c r="AB448"/>
    </row>
    <row r="449" spans="23:28" x14ac:dyDescent="0.35">
      <c r="W449"/>
      <c r="X449"/>
      <c r="Y449"/>
      <c r="Z449"/>
      <c r="AA449"/>
      <c r="AB449"/>
    </row>
    <row r="450" spans="23:28" x14ac:dyDescent="0.35">
      <c r="W450"/>
      <c r="X450"/>
      <c r="Y450"/>
      <c r="Z450"/>
      <c r="AA450"/>
      <c r="AB450"/>
    </row>
    <row r="451" spans="23:28" x14ac:dyDescent="0.35">
      <c r="W451"/>
      <c r="X451"/>
      <c r="Y451"/>
      <c r="Z451"/>
      <c r="AA451"/>
      <c r="AB451"/>
    </row>
    <row r="452" spans="23:28" x14ac:dyDescent="0.35">
      <c r="W452"/>
      <c r="X452"/>
      <c r="Y452"/>
      <c r="Z452"/>
      <c r="AA452"/>
      <c r="AB452"/>
    </row>
    <row r="453" spans="23:28" x14ac:dyDescent="0.35">
      <c r="W453"/>
      <c r="X453"/>
      <c r="Y453"/>
      <c r="Z453"/>
      <c r="AA453"/>
      <c r="AB453"/>
    </row>
    <row r="454" spans="23:28" x14ac:dyDescent="0.35">
      <c r="W454"/>
      <c r="X454"/>
      <c r="Y454"/>
      <c r="Z454"/>
      <c r="AA454"/>
      <c r="AB454"/>
    </row>
    <row r="455" spans="23:28" x14ac:dyDescent="0.35">
      <c r="W455"/>
      <c r="X455"/>
      <c r="Y455"/>
      <c r="Z455"/>
      <c r="AA455"/>
      <c r="AB455"/>
    </row>
    <row r="456" spans="23:28" x14ac:dyDescent="0.35">
      <c r="W456"/>
      <c r="X456"/>
      <c r="Y456"/>
      <c r="Z456"/>
      <c r="AA456"/>
      <c r="AB456"/>
    </row>
    <row r="457" spans="23:28" x14ac:dyDescent="0.35">
      <c r="W457"/>
      <c r="X457"/>
      <c r="Y457"/>
      <c r="Z457"/>
      <c r="AA457"/>
      <c r="AB457"/>
    </row>
    <row r="458" spans="23:28" x14ac:dyDescent="0.35">
      <c r="W458"/>
      <c r="X458"/>
      <c r="Y458"/>
      <c r="Z458"/>
      <c r="AA458"/>
      <c r="AB458"/>
    </row>
    <row r="459" spans="23:28" x14ac:dyDescent="0.35">
      <c r="W459"/>
      <c r="X459"/>
      <c r="Y459"/>
      <c r="Z459"/>
      <c r="AA459"/>
      <c r="AB459"/>
    </row>
    <row r="460" spans="23:28" x14ac:dyDescent="0.35">
      <c r="W460"/>
      <c r="X460"/>
      <c r="Y460"/>
      <c r="Z460"/>
      <c r="AA460"/>
      <c r="AB460"/>
    </row>
    <row r="461" spans="23:28" x14ac:dyDescent="0.35">
      <c r="W461"/>
      <c r="X461"/>
      <c r="Y461"/>
      <c r="Z461"/>
      <c r="AA461"/>
      <c r="AB461"/>
    </row>
    <row r="462" spans="23:28" x14ac:dyDescent="0.35">
      <c r="W462"/>
      <c r="X462"/>
      <c r="Y462"/>
      <c r="Z462"/>
      <c r="AA462"/>
      <c r="AB462"/>
    </row>
    <row r="463" spans="23:28" x14ac:dyDescent="0.35">
      <c r="W463"/>
      <c r="X463"/>
      <c r="Y463"/>
      <c r="Z463"/>
      <c r="AA463"/>
      <c r="AB463"/>
    </row>
    <row r="464" spans="23:28" x14ac:dyDescent="0.35">
      <c r="W464"/>
      <c r="X464"/>
      <c r="Y464"/>
      <c r="Z464"/>
      <c r="AA464"/>
      <c r="AB464"/>
    </row>
    <row r="465" spans="23:28" x14ac:dyDescent="0.35">
      <c r="W465"/>
      <c r="X465"/>
      <c r="Y465"/>
      <c r="Z465"/>
      <c r="AA465"/>
      <c r="AB465"/>
    </row>
    <row r="466" spans="23:28" x14ac:dyDescent="0.35">
      <c r="W466"/>
      <c r="X466"/>
      <c r="Y466"/>
      <c r="Z466"/>
      <c r="AA466"/>
      <c r="AB466"/>
    </row>
    <row r="467" spans="23:28" x14ac:dyDescent="0.35">
      <c r="W467"/>
      <c r="X467"/>
      <c r="Y467"/>
      <c r="Z467"/>
      <c r="AA467"/>
      <c r="AB467"/>
    </row>
    <row r="468" spans="23:28" x14ac:dyDescent="0.35">
      <c r="W468"/>
      <c r="X468"/>
      <c r="Y468"/>
      <c r="Z468"/>
      <c r="AA468"/>
      <c r="AB468"/>
    </row>
    <row r="469" spans="23:28" x14ac:dyDescent="0.35">
      <c r="W469"/>
      <c r="X469"/>
      <c r="Y469"/>
      <c r="Z469"/>
      <c r="AA469"/>
      <c r="AB469"/>
    </row>
    <row r="470" spans="23:28" x14ac:dyDescent="0.35">
      <c r="W470"/>
      <c r="X470"/>
      <c r="Y470"/>
      <c r="Z470"/>
      <c r="AA470"/>
      <c r="AB470"/>
    </row>
    <row r="471" spans="23:28" x14ac:dyDescent="0.35">
      <c r="W471"/>
      <c r="X471"/>
      <c r="Y471"/>
      <c r="Z471"/>
      <c r="AA471"/>
      <c r="AB471"/>
    </row>
    <row r="472" spans="23:28" x14ac:dyDescent="0.35">
      <c r="W472"/>
      <c r="X472"/>
      <c r="Y472"/>
      <c r="Z472"/>
      <c r="AA472"/>
      <c r="AB472"/>
    </row>
    <row r="473" spans="23:28" x14ac:dyDescent="0.35">
      <c r="W473"/>
      <c r="X473"/>
      <c r="Y473"/>
      <c r="Z473"/>
      <c r="AA473"/>
      <c r="AB473"/>
    </row>
    <row r="474" spans="23:28" x14ac:dyDescent="0.35">
      <c r="W474"/>
      <c r="X474"/>
      <c r="Y474"/>
      <c r="Z474"/>
      <c r="AA474"/>
      <c r="AB474"/>
    </row>
    <row r="475" spans="23:28" x14ac:dyDescent="0.35">
      <c r="W475"/>
      <c r="X475"/>
      <c r="Y475"/>
      <c r="Z475"/>
      <c r="AA475"/>
      <c r="AB475"/>
    </row>
    <row r="476" spans="23:28" x14ac:dyDescent="0.35">
      <c r="W476"/>
      <c r="X476"/>
      <c r="Y476"/>
      <c r="Z476"/>
      <c r="AA476"/>
      <c r="AB476"/>
    </row>
    <row r="477" spans="23:28" x14ac:dyDescent="0.35">
      <c r="W477"/>
      <c r="X477"/>
      <c r="Y477"/>
      <c r="Z477"/>
      <c r="AA477"/>
      <c r="AB477"/>
    </row>
    <row r="478" spans="23:28" x14ac:dyDescent="0.35">
      <c r="W478"/>
      <c r="X478"/>
      <c r="Y478"/>
      <c r="Z478"/>
      <c r="AA478"/>
      <c r="AB478"/>
    </row>
    <row r="479" spans="23:28" x14ac:dyDescent="0.35">
      <c r="W479"/>
      <c r="X479"/>
      <c r="Y479"/>
      <c r="Z479"/>
      <c r="AA479"/>
      <c r="AB479"/>
    </row>
    <row r="480" spans="23:28" x14ac:dyDescent="0.35">
      <c r="W480"/>
      <c r="X480"/>
      <c r="Y480"/>
      <c r="Z480"/>
      <c r="AA480"/>
      <c r="AB480"/>
    </row>
    <row r="481" spans="23:28" x14ac:dyDescent="0.35">
      <c r="W481"/>
      <c r="X481"/>
      <c r="Y481"/>
      <c r="Z481"/>
      <c r="AA481"/>
      <c r="AB481"/>
    </row>
    <row r="482" spans="23:28" x14ac:dyDescent="0.35">
      <c r="W482"/>
      <c r="X482"/>
      <c r="Y482"/>
      <c r="Z482"/>
      <c r="AA482"/>
      <c r="AB482"/>
    </row>
    <row r="483" spans="23:28" x14ac:dyDescent="0.35">
      <c r="W483"/>
      <c r="X483"/>
      <c r="Y483"/>
      <c r="Z483"/>
      <c r="AA483"/>
      <c r="AB483"/>
    </row>
    <row r="484" spans="23:28" x14ac:dyDescent="0.35">
      <c r="W484"/>
      <c r="X484"/>
      <c r="Y484"/>
      <c r="Z484"/>
      <c r="AA484"/>
      <c r="AB484"/>
    </row>
    <row r="485" spans="23:28" x14ac:dyDescent="0.35">
      <c r="W485"/>
      <c r="X485"/>
      <c r="Y485"/>
      <c r="Z485"/>
      <c r="AA485"/>
      <c r="AB485"/>
    </row>
    <row r="486" spans="23:28" x14ac:dyDescent="0.35">
      <c r="W486"/>
      <c r="X486"/>
      <c r="Y486"/>
      <c r="Z486"/>
      <c r="AA486"/>
      <c r="AB486"/>
    </row>
    <row r="487" spans="23:28" x14ac:dyDescent="0.35">
      <c r="W487"/>
      <c r="X487"/>
      <c r="Y487"/>
      <c r="Z487"/>
      <c r="AA487"/>
      <c r="AB487"/>
    </row>
    <row r="488" spans="23:28" x14ac:dyDescent="0.35">
      <c r="W488"/>
      <c r="X488"/>
      <c r="Y488"/>
      <c r="Z488"/>
      <c r="AA488"/>
      <c r="AB488"/>
    </row>
    <row r="489" spans="23:28" x14ac:dyDescent="0.35">
      <c r="W489"/>
      <c r="X489"/>
      <c r="Y489"/>
      <c r="Z489"/>
      <c r="AA489"/>
      <c r="AB489"/>
    </row>
    <row r="490" spans="23:28" x14ac:dyDescent="0.35">
      <c r="W490"/>
      <c r="X490"/>
      <c r="Y490"/>
      <c r="Z490"/>
      <c r="AA490"/>
      <c r="AB490"/>
    </row>
    <row r="491" spans="23:28" x14ac:dyDescent="0.35">
      <c r="W491"/>
      <c r="X491"/>
      <c r="Y491"/>
      <c r="Z491"/>
      <c r="AA491"/>
      <c r="AB491"/>
    </row>
    <row r="492" spans="23:28" x14ac:dyDescent="0.35">
      <c r="W492"/>
      <c r="X492"/>
      <c r="Y492"/>
      <c r="Z492"/>
      <c r="AA492"/>
      <c r="AB492"/>
    </row>
    <row r="493" spans="23:28" x14ac:dyDescent="0.35">
      <c r="W493"/>
      <c r="X493"/>
      <c r="Y493"/>
      <c r="Z493"/>
      <c r="AA493"/>
      <c r="AB493"/>
    </row>
    <row r="494" spans="23:28" x14ac:dyDescent="0.35">
      <c r="W494"/>
      <c r="X494"/>
      <c r="Y494"/>
      <c r="Z494"/>
      <c r="AA494"/>
      <c r="AB494"/>
    </row>
    <row r="495" spans="23:28" x14ac:dyDescent="0.35">
      <c r="W495"/>
      <c r="X495"/>
      <c r="Y495"/>
      <c r="Z495"/>
      <c r="AA495"/>
      <c r="AB495"/>
    </row>
  </sheetData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F17"/>
  <sheetViews>
    <sheetView workbookViewId="0">
      <selection activeCell="E15" sqref="E15:F15"/>
    </sheetView>
  </sheetViews>
  <sheetFormatPr defaultRowHeight="15.5" x14ac:dyDescent="0.35"/>
  <cols>
    <col min="1" max="1" width="15.5" style="55" bestFit="1" customWidth="1"/>
    <col min="2" max="2" width="28.33203125" style="55" customWidth="1"/>
    <col min="3" max="3" width="9.1640625" style="56" bestFit="1" customWidth="1"/>
    <col min="4" max="4" width="9.83203125" style="19" customWidth="1"/>
    <col min="5" max="5" width="13" style="19" customWidth="1"/>
    <col min="6" max="6" width="10.1640625" style="19" customWidth="1"/>
    <col min="8" max="8" width="18.6640625" customWidth="1"/>
  </cols>
  <sheetData>
    <row r="1" spans="1:6" s="15" customFormat="1" ht="19.5" x14ac:dyDescent="0.45">
      <c r="A1" s="53" t="s">
        <v>481</v>
      </c>
      <c r="B1" s="53" t="s">
        <v>484</v>
      </c>
      <c r="C1" s="54" t="s">
        <v>485</v>
      </c>
      <c r="D1" s="44" t="s">
        <v>486</v>
      </c>
      <c r="E1" s="45" t="s">
        <v>487</v>
      </c>
      <c r="F1" s="45" t="s">
        <v>488</v>
      </c>
    </row>
    <row r="2" spans="1:6" x14ac:dyDescent="0.35">
      <c r="A2" s="55" t="s">
        <v>52</v>
      </c>
      <c r="B2" s="55" t="s">
        <v>501</v>
      </c>
      <c r="C2" s="56">
        <v>4.9942497018034215E-2</v>
      </c>
      <c r="D2" s="19">
        <v>2.072048823249142E-6</v>
      </c>
      <c r="E2" s="19">
        <v>4.7498147887006942E-11</v>
      </c>
      <c r="F2" s="19">
        <v>1.9976998807213682E-12</v>
      </c>
    </row>
    <row r="3" spans="1:6" x14ac:dyDescent="0.35">
      <c r="A3" s="55" t="s">
        <v>502</v>
      </c>
      <c r="B3" s="55" t="s">
        <v>503</v>
      </c>
      <c r="C3" s="56">
        <v>2.655102913739529E-2</v>
      </c>
      <c r="D3" s="19">
        <v>4.1832340803477697E-6</v>
      </c>
      <c r="E3" s="19">
        <v>2.5307649463664093E-11</v>
      </c>
      <c r="F3" s="19">
        <v>1.486857631694136E-12</v>
      </c>
    </row>
    <row r="4" spans="1:6" x14ac:dyDescent="0.35">
      <c r="A4" s="55" t="s">
        <v>504</v>
      </c>
      <c r="D4" s="19">
        <f>0.9*D3</f>
        <v>3.764910672312993E-6</v>
      </c>
      <c r="E4" s="19">
        <f>0.9*E3</f>
        <v>2.2776884517297683E-11</v>
      </c>
      <c r="F4" s="19">
        <f>0.9*F3</f>
        <v>1.3381718685247225E-12</v>
      </c>
    </row>
    <row r="5" spans="1:6" x14ac:dyDescent="0.35">
      <c r="A5" s="55" t="s">
        <v>509</v>
      </c>
      <c r="B5" s="55" t="s">
        <v>508</v>
      </c>
      <c r="C5" s="56">
        <v>3.285999295857293E-3</v>
      </c>
      <c r="D5" s="19">
        <v>1.5527929795992151E-6</v>
      </c>
      <c r="E5" s="19">
        <v>5.27581990394992E-11</v>
      </c>
      <c r="F5" s="19">
        <v>1.8461973007862922E-8</v>
      </c>
    </row>
    <row r="6" spans="1:6" x14ac:dyDescent="0.35">
      <c r="A6" s="55" t="s">
        <v>510</v>
      </c>
      <c r="C6" s="56">
        <v>4.9939999999999998E-2</v>
      </c>
      <c r="D6" s="19">
        <f>C6*(14.2*0.0000282)</f>
        <v>1.99979736E-5</v>
      </c>
      <c r="E6" s="19">
        <f>60.6*2.33*0.00000001/1.54</f>
        <v>9.1687012987012986E-7</v>
      </c>
    </row>
    <row r="7" spans="1:6" x14ac:dyDescent="0.35">
      <c r="A7" s="55" t="s">
        <v>511</v>
      </c>
      <c r="C7" s="56">
        <v>1.0360928628347291E-2</v>
      </c>
      <c r="D7" s="19">
        <f>C7*33*0.0000282</f>
        <v>9.6418801815399894E-6</v>
      </c>
      <c r="E7" s="19">
        <f>0.00000001*1*(36*4.6+8*0.435+14*7.52)/58/1.54</f>
        <v>3.0716524854455891E-8</v>
      </c>
    </row>
    <row r="8" spans="1:6" x14ac:dyDescent="0.35">
      <c r="A8" s="55" t="s">
        <v>513</v>
      </c>
      <c r="B8" s="55" t="s">
        <v>512</v>
      </c>
      <c r="C8" s="56">
        <v>1.0360928628347291E-2</v>
      </c>
      <c r="D8" s="19">
        <v>-6.3496959147850051E-8</v>
      </c>
      <c r="E8" s="19">
        <v>2.6341998353038914E-10</v>
      </c>
      <c r="F8" s="19">
        <v>6.6577566007892881E-8</v>
      </c>
    </row>
    <row r="9" spans="1:6" x14ac:dyDescent="0.35">
      <c r="A9" s="55" t="s">
        <v>514</v>
      </c>
      <c r="C9" s="56">
        <v>3.285999295857293E-3</v>
      </c>
      <c r="D9" s="19">
        <v>8.8000000000000004E-6</v>
      </c>
      <c r="E9" s="19">
        <f>0.00000001*1*(96*4.6+7*0.435+48*11.5+32*89.1)/183/1.54</f>
        <v>1.3653555460932508E-7</v>
      </c>
    </row>
    <row r="10" spans="1:6" x14ac:dyDescent="0.35">
      <c r="A10" s="55" t="s">
        <v>518</v>
      </c>
      <c r="C10" s="56">
        <v>2.655102913739529E-2</v>
      </c>
      <c r="D10" s="19">
        <f>C10*(14+2*8)*0.0000282</f>
        <v>2.2462170650236417E-5</v>
      </c>
      <c r="E10" s="19">
        <f>0.00000001*2.65*(28*60.6+32*11.5)/60/1.54</f>
        <v>5.9217748917748919E-7</v>
      </c>
    </row>
    <row r="11" spans="1:6" x14ac:dyDescent="0.35">
      <c r="A11" s="55" t="s">
        <v>519</v>
      </c>
      <c r="B11" s="55" t="s">
        <v>520</v>
      </c>
      <c r="C11" s="56">
        <v>6.005397758637196E-4</v>
      </c>
      <c r="D11" s="19">
        <v>1.2822583229318904E-5</v>
      </c>
      <c r="E11" s="19">
        <v>2.5888974143657558E-10</v>
      </c>
      <c r="F11" s="19">
        <v>2.2610807797407942E-8</v>
      </c>
    </row>
    <row r="12" spans="1:6" x14ac:dyDescent="0.35">
      <c r="A12" s="55" t="s">
        <v>521</v>
      </c>
      <c r="C12" s="56">
        <v>6.005397758637196E-4</v>
      </c>
      <c r="D12" s="19">
        <v>2.436978399659457E-5</v>
      </c>
      <c r="E12" s="19">
        <v>1.1018671326910043E-7</v>
      </c>
    </row>
    <row r="13" spans="1:6" x14ac:dyDescent="0.35">
      <c r="A13" s="55" t="s">
        <v>169</v>
      </c>
      <c r="B13" s="55" t="s">
        <v>523</v>
      </c>
      <c r="C13" s="56">
        <v>6.4002501563477157E-2</v>
      </c>
      <c r="D13" s="19">
        <v>4.2992227838059625E-6</v>
      </c>
      <c r="E13" s="19">
        <v>8.8279312501347805E-10</v>
      </c>
      <c r="F13" s="19">
        <v>2.5601000625390861E-11</v>
      </c>
    </row>
    <row r="14" spans="1:6" x14ac:dyDescent="0.35">
      <c r="A14" s="55" t="s">
        <v>106</v>
      </c>
      <c r="B14" s="55" t="s">
        <v>524</v>
      </c>
      <c r="C14" s="56">
        <v>9.1274275979557049E-2</v>
      </c>
      <c r="D14" s="19">
        <v>9.3902183164896167E-6</v>
      </c>
      <c r="E14" s="19">
        <v>2.2793186826930543E-9</v>
      </c>
      <c r="F14" s="19">
        <v>4.7462623509369665E-9</v>
      </c>
    </row>
    <row r="15" spans="1:6" x14ac:dyDescent="0.35">
      <c r="A15" s="55" t="s">
        <v>539</v>
      </c>
      <c r="B15" s="55" t="s">
        <v>540</v>
      </c>
      <c r="C15" s="56">
        <v>6.5404355365112736E-3</v>
      </c>
      <c r="D15" s="19">
        <v>5.1157766512658035E-6</v>
      </c>
      <c r="E15" s="19">
        <v>6.3636473457023485E-13</v>
      </c>
      <c r="F15" s="19">
        <v>8.0483983538093133E-10</v>
      </c>
    </row>
    <row r="16" spans="1:6" x14ac:dyDescent="0.35">
      <c r="A16" s="55" t="s">
        <v>542</v>
      </c>
      <c r="B16" s="55" t="s">
        <v>543</v>
      </c>
      <c r="C16" s="56">
        <v>5.4164357333602049E-3</v>
      </c>
      <c r="D16" s="19">
        <v>1.15860846168802E-6</v>
      </c>
      <c r="E16" s="19">
        <v>1.4805095044947011E-10</v>
      </c>
      <c r="F16" s="19">
        <v>3.9152532372650772E-8</v>
      </c>
    </row>
    <row r="17" spans="1:6" x14ac:dyDescent="0.35">
      <c r="A17" s="55" t="s">
        <v>541</v>
      </c>
      <c r="B17" s="55" t="s">
        <v>544</v>
      </c>
      <c r="C17" s="56">
        <v>6.992665831883303E-3</v>
      </c>
      <c r="D17" s="19">
        <v>1.1018936434248805E-6</v>
      </c>
      <c r="E17" s="19">
        <v>7.8170847990927675E-11</v>
      </c>
      <c r="F17" s="19">
        <v>3.3674273169303826E-8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mdCompoundCalculator">
          <controlPr autoLin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6350</xdr:colOff>
                <xdr:row>2</xdr:row>
                <xdr:rowOff>6350</xdr:rowOff>
              </to>
            </anchor>
          </controlPr>
        </control>
      </mc:Choice>
      <mc:Fallback>
        <control shapeId="2049" r:id="rId4" name="cmdCompoundCalculato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/>
  <dimension ref="A1:M374"/>
  <sheetViews>
    <sheetView zoomScaleNormal="100" workbookViewId="0">
      <pane ySplit="2" topLeftCell="A3" activePane="bottomLeft" state="frozen"/>
      <selection pane="bottomLeft" activeCell="H18" sqref="H18"/>
    </sheetView>
  </sheetViews>
  <sheetFormatPr defaultColWidth="8.6640625" defaultRowHeight="15.75" customHeight="1" x14ac:dyDescent="0.3"/>
  <cols>
    <col min="1" max="1" width="6.83203125" style="4" customWidth="1"/>
    <col min="2" max="2" width="9" style="4" customWidth="1"/>
    <col min="3" max="3" width="12" style="4" customWidth="1"/>
    <col min="4" max="4" width="14.58203125" style="4" customWidth="1"/>
    <col min="5" max="5" width="8" style="4" customWidth="1"/>
    <col min="6" max="6" width="8.33203125" style="4" customWidth="1"/>
    <col min="7" max="7" width="8" style="4" customWidth="1"/>
    <col min="8" max="8" width="12" style="4" customWidth="1"/>
    <col min="9" max="9" width="8.58203125" style="4" customWidth="1"/>
    <col min="10" max="10" width="11.6640625" style="13" customWidth="1"/>
    <col min="11" max="11" width="12.33203125" style="13" customWidth="1"/>
    <col min="12" max="12" width="12" style="9" customWidth="1"/>
    <col min="13" max="13" width="9.83203125" style="9" customWidth="1"/>
    <col min="14" max="16384" width="8.6640625" style="2"/>
  </cols>
  <sheetData>
    <row r="1" spans="1:13" ht="15.75" customHeight="1" x14ac:dyDescent="0.3">
      <c r="A1" s="189" t="s">
        <v>1</v>
      </c>
      <c r="B1" s="189"/>
      <c r="C1" s="189"/>
      <c r="D1" s="189"/>
      <c r="E1" s="189"/>
      <c r="F1" s="189"/>
      <c r="G1" s="189"/>
      <c r="H1" s="189"/>
      <c r="I1" s="3"/>
      <c r="J1" s="11"/>
      <c r="K1" s="11"/>
      <c r="L1" s="8"/>
      <c r="M1" s="8"/>
    </row>
    <row r="2" spans="1:13" ht="15.75" customHeight="1" x14ac:dyDescent="0.45">
      <c r="A2" s="5" t="s">
        <v>2</v>
      </c>
      <c r="B2" s="5" t="s">
        <v>3</v>
      </c>
      <c r="C2" s="5" t="s">
        <v>4</v>
      </c>
      <c r="D2" s="5" t="s">
        <v>5</v>
      </c>
      <c r="E2" s="5" t="s">
        <v>6</v>
      </c>
      <c r="F2" s="5" t="s">
        <v>7</v>
      </c>
      <c r="G2" s="5" t="s">
        <v>8</v>
      </c>
      <c r="H2" s="5" t="s">
        <v>9</v>
      </c>
      <c r="I2" s="5" t="s">
        <v>480</v>
      </c>
      <c r="J2" s="12" t="s">
        <v>10</v>
      </c>
      <c r="K2" s="12" t="s">
        <v>11</v>
      </c>
      <c r="L2" s="10" t="s">
        <v>482</v>
      </c>
      <c r="M2" s="10" t="s">
        <v>483</v>
      </c>
    </row>
    <row r="3" spans="1:13" ht="15.75" customHeight="1" x14ac:dyDescent="0.3">
      <c r="A3" s="6" t="s">
        <v>12</v>
      </c>
      <c r="B3" s="6" t="s">
        <v>13</v>
      </c>
      <c r="C3" s="6">
        <v>-3.7389999999999999</v>
      </c>
      <c r="D3" s="6" t="s">
        <v>13</v>
      </c>
      <c r="E3" s="6">
        <v>1.7567999999999999</v>
      </c>
      <c r="F3" s="6">
        <v>80.260000000000005</v>
      </c>
      <c r="G3" s="6">
        <v>82.02</v>
      </c>
      <c r="H3" s="6">
        <v>0.33260000000000001</v>
      </c>
      <c r="I3" s="6">
        <v>1.0079</v>
      </c>
      <c r="J3" s="13">
        <v>8.9900000000000003E-5</v>
      </c>
      <c r="K3" s="14">
        <v>5.3712999999999997E-2</v>
      </c>
      <c r="L3" s="9">
        <f>(H3*10^-8/1.798)*6.02*10^23/I3</f>
        <v>1104871073579897.6</v>
      </c>
      <c r="M3" s="9">
        <f t="shared" ref="M3:M13" si="0">F3*10^-8*6.02*10^23/I3</f>
        <v>4.7937811290802656E+17</v>
      </c>
    </row>
    <row r="4" spans="1:13" ht="15.75" customHeight="1" x14ac:dyDescent="0.3">
      <c r="A4" s="7" t="s">
        <v>14</v>
      </c>
      <c r="B4" s="7">
        <v>99.984999999999999</v>
      </c>
      <c r="C4" s="7">
        <v>-3.7406000000000001</v>
      </c>
      <c r="D4" s="7">
        <v>25.274000000000001</v>
      </c>
      <c r="E4" s="7">
        <v>1.7583</v>
      </c>
      <c r="F4" s="7">
        <v>80.27</v>
      </c>
      <c r="G4" s="7">
        <v>82.03</v>
      </c>
      <c r="H4" s="7">
        <v>0.33260000000000001</v>
      </c>
      <c r="I4" s="7">
        <v>1.0079</v>
      </c>
      <c r="L4" s="9">
        <f t="shared" ref="L4:L67" si="1">(H4*10^-8/1.798)*6.02*10^23/I4</f>
        <v>1104871073579897.6</v>
      </c>
      <c r="M4" s="9">
        <f t="shared" si="0"/>
        <v>4.7943784105566022E+17</v>
      </c>
    </row>
    <row r="5" spans="1:13" ht="15.75" customHeight="1" x14ac:dyDescent="0.3">
      <c r="A5" s="7" t="s">
        <v>15</v>
      </c>
      <c r="B5" s="7">
        <v>1.4999999999999999E-2</v>
      </c>
      <c r="C5" s="7">
        <v>6.6710000000000003</v>
      </c>
      <c r="D5" s="7">
        <v>4.04</v>
      </c>
      <c r="E5" s="7">
        <v>5.5919999999999996</v>
      </c>
      <c r="F5" s="7">
        <v>2.0499999999999998</v>
      </c>
      <c r="G5" s="7">
        <v>7.64</v>
      </c>
      <c r="H5" s="7">
        <v>5.1900000000000004E-4</v>
      </c>
      <c r="I5" s="7">
        <v>2</v>
      </c>
      <c r="L5" s="9">
        <f t="shared" si="1"/>
        <v>868848720800.88977</v>
      </c>
      <c r="M5" s="9">
        <f t="shared" si="0"/>
        <v>6170499999999999</v>
      </c>
    </row>
    <row r="6" spans="1:13" ht="15.75" customHeight="1" x14ac:dyDescent="0.3">
      <c r="A6" s="7" t="s">
        <v>16</v>
      </c>
      <c r="B6" s="7" t="s">
        <v>17</v>
      </c>
      <c r="C6" s="7">
        <v>4.7919999999999998</v>
      </c>
      <c r="D6" s="7">
        <v>-1.04</v>
      </c>
      <c r="E6" s="7">
        <v>2.89</v>
      </c>
      <c r="F6" s="7">
        <v>0.14000000000000001</v>
      </c>
      <c r="G6" s="7">
        <v>3.03</v>
      </c>
      <c r="H6" s="7">
        <v>0</v>
      </c>
      <c r="I6" s="7">
        <v>3</v>
      </c>
      <c r="L6" s="9">
        <f t="shared" si="1"/>
        <v>0</v>
      </c>
      <c r="M6" s="9">
        <f t="shared" si="0"/>
        <v>280933333333333.28</v>
      </c>
    </row>
    <row r="7" spans="1:13" ht="15.75" customHeight="1" x14ac:dyDescent="0.3">
      <c r="A7" s="7" t="s">
        <v>18</v>
      </c>
      <c r="B7" s="7" t="s">
        <v>13</v>
      </c>
      <c r="C7" s="7">
        <v>3.26</v>
      </c>
      <c r="D7" s="7" t="s">
        <v>13</v>
      </c>
      <c r="E7" s="7">
        <v>1.34</v>
      </c>
      <c r="F7" s="7">
        <v>0</v>
      </c>
      <c r="G7" s="7">
        <v>1.34</v>
      </c>
      <c r="H7" s="7">
        <v>7.4700000000000001E-3</v>
      </c>
      <c r="I7" s="7">
        <v>4.0026000000000002</v>
      </c>
      <c r="J7" s="14">
        <v>1.7870000000000001E-4</v>
      </c>
      <c r="K7" s="14">
        <v>2.6886E-2</v>
      </c>
      <c r="L7" s="9">
        <f t="shared" si="1"/>
        <v>6248635828313.374</v>
      </c>
      <c r="M7" s="9">
        <f t="shared" si="0"/>
        <v>0</v>
      </c>
    </row>
    <row r="8" spans="1:13" ht="15.75" customHeight="1" x14ac:dyDescent="0.3">
      <c r="A8" s="7" t="s">
        <v>19</v>
      </c>
      <c r="B8" s="7">
        <v>1.3999999999999999E-4</v>
      </c>
      <c r="C8" s="7">
        <v>5.74</v>
      </c>
      <c r="D8" s="7" t="s">
        <v>20</v>
      </c>
      <c r="E8" s="7">
        <v>4.42</v>
      </c>
      <c r="F8" s="7">
        <v>1.6</v>
      </c>
      <c r="G8" s="7">
        <v>6</v>
      </c>
      <c r="H8" s="7">
        <v>5333</v>
      </c>
      <c r="I8" s="7">
        <v>3</v>
      </c>
      <c r="L8" s="9">
        <f t="shared" si="1"/>
        <v>5.951920652576937E+18</v>
      </c>
      <c r="M8" s="9">
        <f t="shared" si="0"/>
        <v>3210666666666666.5</v>
      </c>
    </row>
    <row r="9" spans="1:13" ht="15.75" customHeight="1" x14ac:dyDescent="0.3">
      <c r="A9" s="7" t="s">
        <v>21</v>
      </c>
      <c r="B9" s="7">
        <v>99.999859999999998</v>
      </c>
      <c r="C9" s="7">
        <v>3.26</v>
      </c>
      <c r="D9" s="7">
        <v>0</v>
      </c>
      <c r="E9" s="7">
        <v>1.34</v>
      </c>
      <c r="F9" s="7">
        <v>0</v>
      </c>
      <c r="G9" s="7">
        <v>1.34</v>
      </c>
      <c r="H9" s="7">
        <v>0</v>
      </c>
      <c r="I9" s="7">
        <f>I7</f>
        <v>4.0026000000000002</v>
      </c>
      <c r="L9" s="9">
        <f t="shared" si="1"/>
        <v>0</v>
      </c>
      <c r="M9" s="9">
        <f t="shared" si="0"/>
        <v>0</v>
      </c>
    </row>
    <row r="10" spans="1:13" ht="15.75" customHeight="1" x14ac:dyDescent="0.3">
      <c r="A10" s="7" t="s">
        <v>22</v>
      </c>
      <c r="B10" s="7" t="s">
        <v>13</v>
      </c>
      <c r="C10" s="7">
        <v>-1.9</v>
      </c>
      <c r="D10" s="7" t="s">
        <v>13</v>
      </c>
      <c r="E10" s="7">
        <v>0.45400000000000001</v>
      </c>
      <c r="F10" s="7">
        <v>0.92</v>
      </c>
      <c r="G10" s="7">
        <v>1.37</v>
      </c>
      <c r="H10" s="7">
        <v>70.5</v>
      </c>
      <c r="I10" s="7">
        <v>6.9409999999999998</v>
      </c>
      <c r="J10" s="14">
        <v>0.53400000000000003</v>
      </c>
      <c r="K10" s="14">
        <v>46.33</v>
      </c>
      <c r="L10" s="9">
        <f t="shared" si="1"/>
        <v>3.40074349847491E+16</v>
      </c>
      <c r="M10" s="9">
        <f t="shared" si="0"/>
        <v>797925370984008.13</v>
      </c>
    </row>
    <row r="11" spans="1:13" ht="15.75" customHeight="1" x14ac:dyDescent="0.3">
      <c r="A11" s="7" t="s">
        <v>23</v>
      </c>
      <c r="B11" s="7">
        <v>7.5</v>
      </c>
      <c r="C11" s="7">
        <v>2</v>
      </c>
      <c r="D11" s="7">
        <v>-1.89</v>
      </c>
      <c r="E11" s="7">
        <v>0.51</v>
      </c>
      <c r="F11" s="7">
        <v>0.46</v>
      </c>
      <c r="G11" s="7">
        <v>0.97</v>
      </c>
      <c r="H11" s="7">
        <v>940</v>
      </c>
      <c r="I11" s="7">
        <v>6</v>
      </c>
      <c r="L11" s="9">
        <f t="shared" si="1"/>
        <v>5.2454579162031878E+17</v>
      </c>
      <c r="M11" s="9">
        <f t="shared" si="0"/>
        <v>461533333333333.31</v>
      </c>
    </row>
    <row r="12" spans="1:13" ht="15.75" customHeight="1" x14ac:dyDescent="0.3">
      <c r="A12" s="7" t="s">
        <v>24</v>
      </c>
      <c r="B12" s="7">
        <v>92.5</v>
      </c>
      <c r="C12" s="7">
        <v>-2.2200000000000002</v>
      </c>
      <c r="D12" s="7">
        <v>-2.4900000000000002</v>
      </c>
      <c r="E12" s="7">
        <v>0.61899999999999999</v>
      </c>
      <c r="F12" s="7">
        <v>0.78</v>
      </c>
      <c r="G12" s="7">
        <v>1.4</v>
      </c>
      <c r="H12" s="7">
        <v>4.5400000000000003E-2</v>
      </c>
      <c r="I12" s="7">
        <v>7</v>
      </c>
      <c r="L12" s="9">
        <f t="shared" si="1"/>
        <v>21715239154616.238</v>
      </c>
      <c r="M12" s="9">
        <f t="shared" si="0"/>
        <v>670800000000000</v>
      </c>
    </row>
    <row r="13" spans="1:13" ht="15.75" customHeight="1" x14ac:dyDescent="0.3">
      <c r="A13" s="7" t="s">
        <v>25</v>
      </c>
      <c r="B13" s="7">
        <v>100</v>
      </c>
      <c r="C13" s="7">
        <v>7.79</v>
      </c>
      <c r="D13" s="7">
        <v>0.12</v>
      </c>
      <c r="E13" s="7">
        <v>7.63</v>
      </c>
      <c r="F13" s="7">
        <v>1.8E-3</v>
      </c>
      <c r="G13" s="7">
        <v>7.63</v>
      </c>
      <c r="H13" s="7">
        <v>7.6E-3</v>
      </c>
      <c r="I13" s="7">
        <v>9.0122</v>
      </c>
      <c r="J13" s="14">
        <v>1.85</v>
      </c>
      <c r="K13" s="14">
        <v>123.62</v>
      </c>
      <c r="L13" s="9">
        <f t="shared" si="1"/>
        <v>2823511591838.2192</v>
      </c>
      <c r="M13" s="9">
        <f t="shared" si="0"/>
        <v>1202370120503.3176</v>
      </c>
    </row>
    <row r="14" spans="1:13" ht="15.75" customHeight="1" x14ac:dyDescent="0.3">
      <c r="A14" s="7" t="s">
        <v>26</v>
      </c>
      <c r="B14" s="7" t="s">
        <v>13</v>
      </c>
      <c r="C14" s="7">
        <v>5.3</v>
      </c>
      <c r="D14" s="7" t="s">
        <v>13</v>
      </c>
      <c r="E14" s="7">
        <v>3.54</v>
      </c>
      <c r="F14" s="7">
        <v>1.7</v>
      </c>
      <c r="G14" s="7">
        <v>5.24</v>
      </c>
      <c r="H14" s="7">
        <v>767</v>
      </c>
      <c r="I14" s="7">
        <v>10.81</v>
      </c>
      <c r="J14" s="14">
        <v>2.34</v>
      </c>
      <c r="K14" s="14">
        <v>130.36000000000001</v>
      </c>
      <c r="L14" s="9">
        <f t="shared" si="1"/>
        <v>2.375617270294159E+17</v>
      </c>
      <c r="M14" s="9">
        <f t="shared" ref="M14:M77" si="2">F14*10^-8*6.02*10^23/I14</f>
        <v>946716003700277.25</v>
      </c>
    </row>
    <row r="15" spans="1:13" ht="15.75" customHeight="1" x14ac:dyDescent="0.3">
      <c r="A15" s="7" t="s">
        <v>27</v>
      </c>
      <c r="B15" s="7">
        <v>20</v>
      </c>
      <c r="C15" s="7">
        <v>-0.1</v>
      </c>
      <c r="D15" s="7" t="s">
        <v>28</v>
      </c>
      <c r="E15" s="7">
        <v>0.14399999999999999</v>
      </c>
      <c r="F15" s="7">
        <v>3</v>
      </c>
      <c r="G15" s="7">
        <v>3.1</v>
      </c>
      <c r="H15" s="7">
        <v>3835</v>
      </c>
      <c r="I15" s="7">
        <v>10</v>
      </c>
      <c r="J15" s="13">
        <v>2.34</v>
      </c>
      <c r="K15" s="13">
        <v>130.36000000000001</v>
      </c>
      <c r="L15" s="9">
        <f t="shared" si="1"/>
        <v>1.2840211345939935E+18</v>
      </c>
      <c r="M15" s="9">
        <f t="shared" si="2"/>
        <v>1806000000000000</v>
      </c>
    </row>
    <row r="16" spans="1:13" ht="15.75" customHeight="1" x14ac:dyDescent="0.3">
      <c r="A16" s="7" t="s">
        <v>29</v>
      </c>
      <c r="B16" s="7">
        <v>80</v>
      </c>
      <c r="C16" s="7">
        <v>6.65</v>
      </c>
      <c r="D16" s="7">
        <v>-1.3</v>
      </c>
      <c r="E16" s="7">
        <v>5.56</v>
      </c>
      <c r="F16" s="7">
        <v>0.21</v>
      </c>
      <c r="G16" s="7">
        <v>5.77</v>
      </c>
      <c r="H16" s="7">
        <v>5.4999999999999997E-3</v>
      </c>
      <c r="I16" s="7">
        <v>11</v>
      </c>
      <c r="L16" s="9">
        <f t="shared" si="1"/>
        <v>1674082313681.8687</v>
      </c>
      <c r="M16" s="9">
        <f t="shared" si="2"/>
        <v>114927272727272.7</v>
      </c>
    </row>
    <row r="17" spans="1:13" ht="15.75" customHeight="1" x14ac:dyDescent="0.3">
      <c r="A17" s="7" t="s">
        <v>30</v>
      </c>
      <c r="B17" s="7" t="s">
        <v>13</v>
      </c>
      <c r="C17" s="7">
        <v>6.6459999999999999</v>
      </c>
      <c r="D17" s="7" t="s">
        <v>13</v>
      </c>
      <c r="E17" s="7">
        <v>5.5510000000000002</v>
      </c>
      <c r="F17" s="7">
        <v>1E-3</v>
      </c>
      <c r="G17" s="7">
        <v>5.5510000000000002</v>
      </c>
      <c r="H17" s="7">
        <v>3.5000000000000001E-3</v>
      </c>
      <c r="I17" s="7">
        <v>12.010999999999999</v>
      </c>
      <c r="J17" s="14">
        <v>2.25</v>
      </c>
      <c r="K17" s="14">
        <v>112.81</v>
      </c>
      <c r="L17" s="9">
        <f t="shared" si="1"/>
        <v>975653667119.56384</v>
      </c>
      <c r="M17" s="9">
        <f t="shared" si="2"/>
        <v>501207226708.85016</v>
      </c>
    </row>
    <row r="18" spans="1:13" ht="15.75" customHeight="1" x14ac:dyDescent="0.3">
      <c r="A18" s="7" t="s">
        <v>31</v>
      </c>
      <c r="B18" s="7">
        <v>98.9</v>
      </c>
      <c r="C18" s="7">
        <v>6.6510999999999996</v>
      </c>
      <c r="D18" s="7">
        <v>0</v>
      </c>
      <c r="E18" s="7">
        <v>5.5590000000000002</v>
      </c>
      <c r="F18" s="7">
        <v>0</v>
      </c>
      <c r="G18" s="7">
        <v>5.5590000000000002</v>
      </c>
      <c r="H18" s="7">
        <v>3.5300000000000002E-3</v>
      </c>
      <c r="I18" s="7">
        <v>12</v>
      </c>
      <c r="L18" s="9">
        <f t="shared" si="1"/>
        <v>984918427882.83252</v>
      </c>
      <c r="M18" s="9">
        <f t="shared" si="2"/>
        <v>0</v>
      </c>
    </row>
    <row r="19" spans="1:13" ht="15.75" customHeight="1" x14ac:dyDescent="0.3">
      <c r="A19" s="7" t="s">
        <v>32</v>
      </c>
      <c r="B19" s="7">
        <v>1.1000000000000001</v>
      </c>
      <c r="C19" s="7">
        <v>6.19</v>
      </c>
      <c r="D19" s="7">
        <v>-0.52</v>
      </c>
      <c r="E19" s="7">
        <v>4.8099999999999996</v>
      </c>
      <c r="F19" s="7">
        <v>3.4000000000000002E-2</v>
      </c>
      <c r="G19" s="7">
        <v>4.84</v>
      </c>
      <c r="H19" s="7">
        <v>1.3699999999999999E-3</v>
      </c>
      <c r="I19" s="7">
        <v>13</v>
      </c>
      <c r="L19" s="9">
        <f t="shared" si="1"/>
        <v>352845041499.10144</v>
      </c>
      <c r="M19" s="9">
        <f t="shared" si="2"/>
        <v>15744615384615.383</v>
      </c>
    </row>
    <row r="20" spans="1:13" ht="15.75" customHeight="1" x14ac:dyDescent="0.3">
      <c r="A20" s="7" t="s">
        <v>33</v>
      </c>
      <c r="B20" s="7" t="s">
        <v>13</v>
      </c>
      <c r="C20" s="7">
        <v>9.36</v>
      </c>
      <c r="D20" s="7" t="s">
        <v>13</v>
      </c>
      <c r="E20" s="7">
        <v>11.01</v>
      </c>
      <c r="F20" s="7">
        <v>0.5</v>
      </c>
      <c r="G20" s="7">
        <v>11.51</v>
      </c>
      <c r="H20" s="7">
        <v>1.9</v>
      </c>
      <c r="I20" s="7">
        <v>14.0067</v>
      </c>
      <c r="J20" s="14">
        <v>1.2509999999999999E-3</v>
      </c>
      <c r="K20" s="14">
        <v>5.3784999999999999E-2</v>
      </c>
      <c r="L20" s="9">
        <f t="shared" si="1"/>
        <v>454176415000756.75</v>
      </c>
      <c r="M20" s="9">
        <f t="shared" si="2"/>
        <v>214897156360884.41</v>
      </c>
    </row>
    <row r="21" spans="1:13" ht="15.75" customHeight="1" x14ac:dyDescent="0.3">
      <c r="A21" s="7" t="s">
        <v>34</v>
      </c>
      <c r="B21" s="7">
        <v>99.63</v>
      </c>
      <c r="C21" s="7">
        <v>9.3699999999999992</v>
      </c>
      <c r="D21" s="7">
        <v>2</v>
      </c>
      <c r="E21" s="7">
        <v>11.03</v>
      </c>
      <c r="F21" s="7">
        <v>0.5</v>
      </c>
      <c r="G21" s="7">
        <v>11.53</v>
      </c>
      <c r="H21" s="7">
        <v>1.91</v>
      </c>
      <c r="I21" s="7">
        <v>14</v>
      </c>
      <c r="L21" s="9">
        <f t="shared" si="1"/>
        <v>456785317018909.69</v>
      </c>
      <c r="M21" s="9">
        <f t="shared" si="2"/>
        <v>214999999999999.97</v>
      </c>
    </row>
    <row r="22" spans="1:13" ht="15.75" customHeight="1" x14ac:dyDescent="0.3">
      <c r="A22" s="7" t="s">
        <v>35</v>
      </c>
      <c r="B22" s="7">
        <v>0.37</v>
      </c>
      <c r="C22" s="7">
        <v>6.44</v>
      </c>
      <c r="D22" s="7">
        <v>-0.02</v>
      </c>
      <c r="E22" s="7">
        <v>5.21</v>
      </c>
      <c r="F22" s="7">
        <v>5.0000000000000002E-5</v>
      </c>
      <c r="G22" s="7">
        <v>5.21</v>
      </c>
      <c r="H22" s="7">
        <v>2.4000000000000001E-5</v>
      </c>
      <c r="I22" s="7">
        <v>15</v>
      </c>
      <c r="L22" s="9">
        <f t="shared" si="1"/>
        <v>5357063403.7819796</v>
      </c>
      <c r="M22" s="9">
        <f t="shared" si="2"/>
        <v>20066666666.666664</v>
      </c>
    </row>
    <row r="23" spans="1:13" ht="15.75" customHeight="1" x14ac:dyDescent="0.3">
      <c r="A23" s="7" t="s">
        <v>36</v>
      </c>
      <c r="B23" s="7" t="s">
        <v>13</v>
      </c>
      <c r="C23" s="7">
        <v>5.8029999999999999</v>
      </c>
      <c r="D23" s="7" t="s">
        <v>13</v>
      </c>
      <c r="E23" s="7">
        <v>4.2320000000000002</v>
      </c>
      <c r="F23" s="7">
        <v>8.0000000000000004E-4</v>
      </c>
      <c r="G23" s="7">
        <v>4.2320000000000002</v>
      </c>
      <c r="H23" s="7">
        <v>1.9000000000000001E-4</v>
      </c>
      <c r="I23" s="7">
        <v>15.9994</v>
      </c>
      <c r="J23" s="14">
        <v>1.4289999999999999E-3</v>
      </c>
      <c r="K23" s="14">
        <v>5.3786E-2</v>
      </c>
      <c r="L23" s="9">
        <f t="shared" si="1"/>
        <v>39760945985.418839</v>
      </c>
      <c r="M23" s="9">
        <f t="shared" si="2"/>
        <v>301011287923.29706</v>
      </c>
    </row>
    <row r="24" spans="1:13" ht="15.75" customHeight="1" x14ac:dyDescent="0.3">
      <c r="A24" s="7" t="s">
        <v>37</v>
      </c>
      <c r="B24" s="7">
        <v>99.762</v>
      </c>
      <c r="C24" s="7">
        <v>5.8029999999999999</v>
      </c>
      <c r="D24" s="7">
        <v>0</v>
      </c>
      <c r="E24" s="7">
        <v>4.2320000000000002</v>
      </c>
      <c r="F24" s="7">
        <v>0</v>
      </c>
      <c r="G24" s="7">
        <v>4.2320000000000002</v>
      </c>
      <c r="H24" s="7">
        <v>1E-4</v>
      </c>
      <c r="I24" s="7">
        <v>16</v>
      </c>
      <c r="L24" s="9">
        <f t="shared" si="1"/>
        <v>20926028921.023357</v>
      </c>
      <c r="M24" s="9">
        <f t="shared" si="2"/>
        <v>0</v>
      </c>
    </row>
    <row r="25" spans="1:13" ht="15.75" customHeight="1" x14ac:dyDescent="0.3">
      <c r="A25" s="7" t="s">
        <v>38</v>
      </c>
      <c r="B25" s="7">
        <v>3.7999999999999999E-2</v>
      </c>
      <c r="C25" s="7">
        <v>5.78</v>
      </c>
      <c r="D25" s="7">
        <v>0.18</v>
      </c>
      <c r="E25" s="7">
        <v>4.2</v>
      </c>
      <c r="F25" s="7">
        <v>4.0000000000000001E-3</v>
      </c>
      <c r="G25" s="7">
        <v>4.2</v>
      </c>
      <c r="H25" s="7">
        <v>0.23599999999999999</v>
      </c>
      <c r="I25" s="7">
        <v>17</v>
      </c>
      <c r="L25" s="9">
        <f t="shared" si="1"/>
        <v>46480403062226</v>
      </c>
      <c r="M25" s="9">
        <f t="shared" si="2"/>
        <v>1416470588235.2939</v>
      </c>
    </row>
    <row r="26" spans="1:13" ht="15.75" customHeight="1" x14ac:dyDescent="0.3">
      <c r="A26" s="7" t="s">
        <v>39</v>
      </c>
      <c r="B26" s="7">
        <v>0.2</v>
      </c>
      <c r="C26" s="7">
        <v>5.84</v>
      </c>
      <c r="D26" s="7">
        <v>0</v>
      </c>
      <c r="E26" s="7">
        <v>4.29</v>
      </c>
      <c r="F26" s="7">
        <v>0</v>
      </c>
      <c r="G26" s="7">
        <v>4.29</v>
      </c>
      <c r="H26" s="7">
        <v>1.6000000000000001E-4</v>
      </c>
      <c r="I26" s="7">
        <v>18</v>
      </c>
      <c r="L26" s="9">
        <f t="shared" si="1"/>
        <v>29761463354.344334</v>
      </c>
      <c r="M26" s="9">
        <f t="shared" si="2"/>
        <v>0</v>
      </c>
    </row>
    <row r="27" spans="1:13" ht="15.75" customHeight="1" x14ac:dyDescent="0.3">
      <c r="A27" s="7" t="s">
        <v>40</v>
      </c>
      <c r="B27" s="7">
        <v>100</v>
      </c>
      <c r="C27" s="7">
        <v>5.6539999999999999</v>
      </c>
      <c r="D27" s="7">
        <v>-8.2000000000000003E-2</v>
      </c>
      <c r="E27" s="7">
        <v>4.0170000000000003</v>
      </c>
      <c r="F27" s="7">
        <v>8.0000000000000004E-4</v>
      </c>
      <c r="G27" s="7">
        <v>4.0179999999999998</v>
      </c>
      <c r="H27" s="7">
        <v>9.5999999999999992E-3</v>
      </c>
      <c r="I27" s="7">
        <v>18.9984</v>
      </c>
      <c r="J27" s="14">
        <v>1.696E-3</v>
      </c>
      <c r="K27" s="14">
        <v>5.3759000000000001E-2</v>
      </c>
      <c r="L27" s="9">
        <f t="shared" si="1"/>
        <v>1691846704074.6519</v>
      </c>
      <c r="M27" s="9">
        <f t="shared" si="2"/>
        <v>253495031160.51874</v>
      </c>
    </row>
    <row r="28" spans="1:13" ht="15.75" customHeight="1" x14ac:dyDescent="0.3">
      <c r="A28" s="7" t="s">
        <v>41</v>
      </c>
      <c r="B28" s="7" t="s">
        <v>13</v>
      </c>
      <c r="C28" s="7">
        <v>4.5659999999999998</v>
      </c>
      <c r="D28" s="7" t="s">
        <v>13</v>
      </c>
      <c r="E28" s="7">
        <v>2.62</v>
      </c>
      <c r="F28" s="7">
        <v>8.0000000000000002E-3</v>
      </c>
      <c r="G28" s="7">
        <v>2.6280000000000001</v>
      </c>
      <c r="H28" s="7">
        <v>3.9E-2</v>
      </c>
      <c r="I28" s="7">
        <v>20.178999999999998</v>
      </c>
      <c r="J28" s="14">
        <v>9.01E-4</v>
      </c>
      <c r="K28" s="14">
        <v>2.6887999999999999E-2</v>
      </c>
      <c r="L28" s="9">
        <f t="shared" si="1"/>
        <v>6471005523920.2012</v>
      </c>
      <c r="M28" s="9">
        <f t="shared" si="2"/>
        <v>2386639575796.6201</v>
      </c>
    </row>
    <row r="29" spans="1:13" ht="15.75" customHeight="1" x14ac:dyDescent="0.3">
      <c r="A29" s="7" t="s">
        <v>42</v>
      </c>
      <c r="B29" s="7">
        <v>90.51</v>
      </c>
      <c r="C29" s="7">
        <v>4.6310000000000002</v>
      </c>
      <c r="D29" s="7">
        <v>0</v>
      </c>
      <c r="E29" s="7">
        <v>2.6949999999999998</v>
      </c>
      <c r="F29" s="7">
        <v>0</v>
      </c>
      <c r="G29" s="7">
        <v>2.6949999999999998</v>
      </c>
      <c r="H29" s="7">
        <v>3.5999999999999997E-2</v>
      </c>
      <c r="I29" s="7">
        <v>20</v>
      </c>
      <c r="L29" s="9">
        <f t="shared" si="1"/>
        <v>6026696329254.7266</v>
      </c>
      <c r="M29" s="9">
        <f t="shared" si="2"/>
        <v>0</v>
      </c>
    </row>
    <row r="30" spans="1:13" ht="15.75" customHeight="1" x14ac:dyDescent="0.3">
      <c r="A30" s="7" t="s">
        <v>43</v>
      </c>
      <c r="B30" s="7">
        <v>0.27</v>
      </c>
      <c r="C30" s="7">
        <v>6.66</v>
      </c>
      <c r="D30" s="7" t="s">
        <v>44</v>
      </c>
      <c r="E30" s="7">
        <v>5.6</v>
      </c>
      <c r="F30" s="7">
        <v>0.05</v>
      </c>
      <c r="G30" s="7">
        <v>5.7</v>
      </c>
      <c r="H30" s="7">
        <v>0.67</v>
      </c>
      <c r="I30" s="7">
        <v>21</v>
      </c>
      <c r="L30" s="9">
        <f t="shared" si="1"/>
        <v>106822395253985.89</v>
      </c>
      <c r="M30" s="9">
        <f t="shared" si="2"/>
        <v>14333333333333.334</v>
      </c>
    </row>
    <row r="31" spans="1:13" ht="15.75" customHeight="1" x14ac:dyDescent="0.3">
      <c r="A31" s="7" t="s">
        <v>45</v>
      </c>
      <c r="B31" s="7">
        <v>9.2200000000000006</v>
      </c>
      <c r="C31" s="7">
        <v>3.87</v>
      </c>
      <c r="D31" s="7">
        <v>0</v>
      </c>
      <c r="E31" s="7">
        <v>1.88</v>
      </c>
      <c r="F31" s="7">
        <v>0</v>
      </c>
      <c r="G31" s="7">
        <v>1.88</v>
      </c>
      <c r="H31" s="7">
        <v>4.5999999999999999E-2</v>
      </c>
      <c r="I31" s="7">
        <v>22</v>
      </c>
      <c r="L31" s="9">
        <f t="shared" si="1"/>
        <v>7000707857215.0869</v>
      </c>
      <c r="M31" s="9">
        <f t="shared" si="2"/>
        <v>0</v>
      </c>
    </row>
    <row r="32" spans="1:13" ht="15.75" customHeight="1" x14ac:dyDescent="0.3">
      <c r="A32" s="7" t="s">
        <v>46</v>
      </c>
      <c r="B32" s="7">
        <v>100</v>
      </c>
      <c r="C32" s="7">
        <v>3.63</v>
      </c>
      <c r="D32" s="7">
        <v>3.59</v>
      </c>
      <c r="E32" s="7">
        <v>1.66</v>
      </c>
      <c r="F32" s="7">
        <v>1.62</v>
      </c>
      <c r="G32" s="7">
        <v>3.28</v>
      </c>
      <c r="H32" s="7">
        <v>0.53</v>
      </c>
      <c r="I32" s="7">
        <v>22.989799999999999</v>
      </c>
      <c r="J32" s="14">
        <v>0.97</v>
      </c>
      <c r="K32" s="14">
        <v>25.405999999999999</v>
      </c>
      <c r="L32" s="9">
        <f t="shared" si="1"/>
        <v>77187589822563.938</v>
      </c>
      <c r="M32" s="9">
        <f t="shared" si="2"/>
        <v>424205517229380</v>
      </c>
    </row>
    <row r="33" spans="1:13" ht="15.75" customHeight="1" x14ac:dyDescent="0.3">
      <c r="A33" s="7" t="s">
        <v>47</v>
      </c>
      <c r="B33" s="7" t="s">
        <v>13</v>
      </c>
      <c r="C33" s="7">
        <v>5.375</v>
      </c>
      <c r="D33" s="7" t="s">
        <v>13</v>
      </c>
      <c r="E33" s="7">
        <v>3.6309999999999998</v>
      </c>
      <c r="F33" s="7">
        <v>0.08</v>
      </c>
      <c r="G33" s="7">
        <v>3.71</v>
      </c>
      <c r="H33" s="7">
        <v>6.3E-2</v>
      </c>
      <c r="I33" s="7">
        <v>24.305</v>
      </c>
      <c r="J33" s="14">
        <v>1.74</v>
      </c>
      <c r="K33" s="14">
        <v>43.112000000000002</v>
      </c>
      <c r="L33" s="9">
        <f t="shared" si="1"/>
        <v>8678641083065.8467</v>
      </c>
      <c r="M33" s="9">
        <f t="shared" si="2"/>
        <v>19814852910923.676</v>
      </c>
    </row>
    <row r="34" spans="1:13" ht="15.75" customHeight="1" x14ac:dyDescent="0.3">
      <c r="A34" s="7" t="s">
        <v>48</v>
      </c>
      <c r="B34" s="7">
        <v>78.989999999999995</v>
      </c>
      <c r="C34" s="7">
        <v>5.66</v>
      </c>
      <c r="D34" s="7">
        <v>0</v>
      </c>
      <c r="E34" s="7">
        <v>4.03</v>
      </c>
      <c r="F34" s="7">
        <v>0</v>
      </c>
      <c r="G34" s="7">
        <v>4.03</v>
      </c>
      <c r="H34" s="7">
        <v>0.05</v>
      </c>
      <c r="I34" s="7">
        <v>24</v>
      </c>
      <c r="L34" s="9">
        <f t="shared" si="1"/>
        <v>6975342973674.4521</v>
      </c>
      <c r="M34" s="9">
        <f t="shared" si="2"/>
        <v>0</v>
      </c>
    </row>
    <row r="35" spans="1:13" ht="15.75" customHeight="1" x14ac:dyDescent="0.3">
      <c r="A35" s="7" t="s">
        <v>49</v>
      </c>
      <c r="B35" s="7">
        <v>10</v>
      </c>
      <c r="C35" s="7">
        <v>3.62</v>
      </c>
      <c r="D35" s="7">
        <v>1.48</v>
      </c>
      <c r="E35" s="7">
        <v>1.65</v>
      </c>
      <c r="F35" s="7">
        <v>0.28000000000000003</v>
      </c>
      <c r="G35" s="7">
        <v>1.93</v>
      </c>
      <c r="H35" s="7">
        <v>0.19</v>
      </c>
      <c r="I35" s="7">
        <v>25</v>
      </c>
      <c r="L35" s="9">
        <f t="shared" si="1"/>
        <v>25446051167964.406</v>
      </c>
      <c r="M35" s="9">
        <f t="shared" si="2"/>
        <v>67423999999999.992</v>
      </c>
    </row>
    <row r="36" spans="1:13" ht="15.75" customHeight="1" x14ac:dyDescent="0.3">
      <c r="A36" s="7" t="s">
        <v>50</v>
      </c>
      <c r="B36" s="7">
        <v>11.01</v>
      </c>
      <c r="C36" s="7">
        <v>4.8899999999999997</v>
      </c>
      <c r="D36" s="7">
        <v>0</v>
      </c>
      <c r="E36" s="7">
        <v>3</v>
      </c>
      <c r="F36" s="7">
        <v>0</v>
      </c>
      <c r="G36" s="7">
        <v>3</v>
      </c>
      <c r="H36" s="7">
        <v>3.8199999999999998E-2</v>
      </c>
      <c r="I36" s="7">
        <v>26</v>
      </c>
      <c r="L36" s="9">
        <f t="shared" si="1"/>
        <v>4919226490972.874</v>
      </c>
      <c r="M36" s="9">
        <f t="shared" si="2"/>
        <v>0</v>
      </c>
    </row>
    <row r="37" spans="1:13" ht="15.75" customHeight="1" x14ac:dyDescent="0.3">
      <c r="A37" s="7" t="s">
        <v>51</v>
      </c>
      <c r="B37" s="7">
        <v>100</v>
      </c>
      <c r="C37" s="7">
        <v>3.4489999999999998</v>
      </c>
      <c r="D37" s="7">
        <v>0.25600000000000001</v>
      </c>
      <c r="E37" s="7">
        <v>1.4950000000000001</v>
      </c>
      <c r="F37" s="7">
        <v>8.2000000000000007E-3</v>
      </c>
      <c r="G37" s="7">
        <v>1.5029999999999999</v>
      </c>
      <c r="H37" s="7">
        <v>0.23100000000000001</v>
      </c>
      <c r="I37" s="7">
        <v>26.9815</v>
      </c>
      <c r="J37" s="14">
        <v>2.702</v>
      </c>
      <c r="K37" s="14">
        <v>60.305999999999997</v>
      </c>
      <c r="L37" s="9">
        <f t="shared" si="1"/>
        <v>28665049345700.691</v>
      </c>
      <c r="M37" s="9">
        <f t="shared" si="2"/>
        <v>1829549876767.4148</v>
      </c>
    </row>
    <row r="38" spans="1:13" ht="15.75" customHeight="1" x14ac:dyDescent="0.3">
      <c r="A38" s="7" t="s">
        <v>52</v>
      </c>
      <c r="B38" s="7" t="s">
        <v>13</v>
      </c>
      <c r="C38" s="7">
        <v>4.1490999999999998</v>
      </c>
      <c r="D38" s="7" t="s">
        <v>13</v>
      </c>
      <c r="E38" s="7">
        <v>2.1629999999999998</v>
      </c>
      <c r="F38" s="7">
        <v>4.0000000000000001E-3</v>
      </c>
      <c r="G38" s="7">
        <v>2.1669999999999998</v>
      </c>
      <c r="H38" s="7">
        <v>0.17100000000000001</v>
      </c>
      <c r="I38" s="7">
        <v>28.0855</v>
      </c>
      <c r="J38" s="14">
        <v>2.33</v>
      </c>
      <c r="K38" s="14">
        <v>49.959000000000003</v>
      </c>
      <c r="L38" s="9">
        <f t="shared" si="1"/>
        <v>20385471196140.32</v>
      </c>
      <c r="M38" s="9">
        <f t="shared" si="2"/>
        <v>857381923056.38123</v>
      </c>
    </row>
    <row r="39" spans="1:13" ht="15.75" customHeight="1" x14ac:dyDescent="0.3">
      <c r="A39" s="7" t="s">
        <v>53</v>
      </c>
      <c r="B39" s="7">
        <v>92.23</v>
      </c>
      <c r="C39" s="7">
        <v>4.1070000000000002</v>
      </c>
      <c r="D39" s="7">
        <v>0</v>
      </c>
      <c r="E39" s="7">
        <v>2.12</v>
      </c>
      <c r="F39" s="7">
        <v>0</v>
      </c>
      <c r="G39" s="7">
        <v>2.12</v>
      </c>
      <c r="H39" s="7">
        <v>0.17699999999999999</v>
      </c>
      <c r="I39" s="7">
        <v>28</v>
      </c>
      <c r="L39" s="9">
        <f t="shared" si="1"/>
        <v>21165183537263.621</v>
      </c>
      <c r="M39" s="9">
        <f t="shared" si="2"/>
        <v>0</v>
      </c>
    </row>
    <row r="40" spans="1:13" ht="15.75" customHeight="1" x14ac:dyDescent="0.3">
      <c r="A40" s="7" t="s">
        <v>54</v>
      </c>
      <c r="B40" s="7">
        <v>4.67</v>
      </c>
      <c r="C40" s="7">
        <v>4.7</v>
      </c>
      <c r="D40" s="7">
        <v>0.09</v>
      </c>
      <c r="E40" s="7">
        <v>2.78</v>
      </c>
      <c r="F40" s="7">
        <v>1E-3</v>
      </c>
      <c r="G40" s="7">
        <v>2.78</v>
      </c>
      <c r="H40" s="7">
        <v>0.10100000000000001</v>
      </c>
      <c r="I40" s="7">
        <v>29</v>
      </c>
      <c r="L40" s="9">
        <f t="shared" si="1"/>
        <v>11660849219439.223</v>
      </c>
      <c r="M40" s="9">
        <f t="shared" si="2"/>
        <v>207586206896.5517</v>
      </c>
    </row>
    <row r="41" spans="1:13" ht="15.75" customHeight="1" x14ac:dyDescent="0.3">
      <c r="A41" s="7" t="s">
        <v>55</v>
      </c>
      <c r="B41" s="7">
        <v>3.1</v>
      </c>
      <c r="C41" s="7">
        <v>4.58</v>
      </c>
      <c r="D41" s="7">
        <v>0</v>
      </c>
      <c r="E41" s="7">
        <v>2.64</v>
      </c>
      <c r="F41" s="7">
        <v>0</v>
      </c>
      <c r="G41" s="7">
        <v>2.64</v>
      </c>
      <c r="H41" s="7">
        <v>0.107</v>
      </c>
      <c r="I41" s="7">
        <v>30</v>
      </c>
      <c r="L41" s="9">
        <f t="shared" si="1"/>
        <v>11941787170930.662</v>
      </c>
      <c r="M41" s="9">
        <f t="shared" si="2"/>
        <v>0</v>
      </c>
    </row>
    <row r="42" spans="1:13" ht="15.75" customHeight="1" x14ac:dyDescent="0.3">
      <c r="A42" s="7" t="s">
        <v>56</v>
      </c>
      <c r="B42" s="7">
        <v>100</v>
      </c>
      <c r="C42" s="7">
        <v>5.13</v>
      </c>
      <c r="D42" s="7">
        <v>0.2</v>
      </c>
      <c r="E42" s="7">
        <v>3.3069999999999999</v>
      </c>
      <c r="F42" s="7">
        <v>5.0000000000000001E-3</v>
      </c>
      <c r="G42" s="7">
        <v>3.3119999999999998</v>
      </c>
      <c r="H42" s="7">
        <v>0.17199999999999999</v>
      </c>
      <c r="I42" s="7">
        <v>30.973800000000001</v>
      </c>
      <c r="J42" s="14">
        <v>2.2999999999999998</v>
      </c>
      <c r="K42" s="14">
        <v>44.716999999999999</v>
      </c>
      <c r="L42" s="9">
        <f t="shared" si="1"/>
        <v>18592627185123</v>
      </c>
      <c r="M42" s="9">
        <f t="shared" si="2"/>
        <v>971789060431.7196</v>
      </c>
    </row>
    <row r="43" spans="1:13" ht="15.75" customHeight="1" x14ac:dyDescent="0.3">
      <c r="A43" s="7" t="s">
        <v>57</v>
      </c>
      <c r="B43" s="7" t="s">
        <v>13</v>
      </c>
      <c r="C43" s="7">
        <v>2.847</v>
      </c>
      <c r="D43" s="7" t="s">
        <v>13</v>
      </c>
      <c r="E43" s="7">
        <v>1.0185999999999999</v>
      </c>
      <c r="F43" s="7">
        <v>7.0000000000000001E-3</v>
      </c>
      <c r="G43" s="7">
        <v>1.026</v>
      </c>
      <c r="H43" s="7">
        <v>0.53</v>
      </c>
      <c r="I43" s="7">
        <v>32.06</v>
      </c>
      <c r="J43" s="14">
        <v>2.0699999999999998</v>
      </c>
      <c r="K43" s="14">
        <v>38.881999999999998</v>
      </c>
      <c r="L43" s="9">
        <f t="shared" si="1"/>
        <v>55350195025039.938</v>
      </c>
      <c r="M43" s="9">
        <f t="shared" si="2"/>
        <v>1314410480349.345</v>
      </c>
    </row>
    <row r="44" spans="1:13" ht="15.75" customHeight="1" x14ac:dyDescent="0.3">
      <c r="A44" s="7" t="s">
        <v>58</v>
      </c>
      <c r="B44" s="7">
        <v>95.02</v>
      </c>
      <c r="C44" s="7">
        <v>2.8039999999999998</v>
      </c>
      <c r="D44" s="7">
        <v>0</v>
      </c>
      <c r="E44" s="7">
        <v>0.98799999999999999</v>
      </c>
      <c r="F44" s="7">
        <v>0</v>
      </c>
      <c r="G44" s="7">
        <v>0.98799999999999999</v>
      </c>
      <c r="H44" s="7">
        <v>0.54</v>
      </c>
      <c r="I44" s="7">
        <v>32</v>
      </c>
      <c r="L44" s="9">
        <f t="shared" si="1"/>
        <v>56500278086763.063</v>
      </c>
      <c r="M44" s="9">
        <f t="shared" si="2"/>
        <v>0</v>
      </c>
    </row>
    <row r="45" spans="1:13" ht="15.75" customHeight="1" x14ac:dyDescent="0.3">
      <c r="A45" s="7" t="s">
        <v>59</v>
      </c>
      <c r="B45" s="7">
        <v>0.75</v>
      </c>
      <c r="C45" s="7">
        <v>4.74</v>
      </c>
      <c r="D45" s="7">
        <v>1.5</v>
      </c>
      <c r="E45" s="7">
        <v>2.8</v>
      </c>
      <c r="F45" s="7">
        <v>0.3</v>
      </c>
      <c r="G45" s="7">
        <v>3.1</v>
      </c>
      <c r="H45" s="7">
        <v>0.54</v>
      </c>
      <c r="I45" s="7">
        <v>33</v>
      </c>
      <c r="L45" s="9">
        <f t="shared" si="1"/>
        <v>54788148447770.242</v>
      </c>
      <c r="M45" s="9">
        <f t="shared" si="2"/>
        <v>54727272727272.711</v>
      </c>
    </row>
    <row r="46" spans="1:13" ht="15.75" customHeight="1" x14ac:dyDescent="0.3">
      <c r="A46" s="7" t="s">
        <v>60</v>
      </c>
      <c r="B46" s="7">
        <v>4.21</v>
      </c>
      <c r="C46" s="7">
        <v>3.48</v>
      </c>
      <c r="D46" s="7">
        <v>0</v>
      </c>
      <c r="E46" s="7">
        <v>1.52</v>
      </c>
      <c r="F46" s="7">
        <v>0</v>
      </c>
      <c r="G46" s="7">
        <v>1.52</v>
      </c>
      <c r="H46" s="7">
        <v>0.22700000000000001</v>
      </c>
      <c r="I46" s="7">
        <v>34</v>
      </c>
      <c r="L46" s="9">
        <f t="shared" si="1"/>
        <v>22353922659163.777</v>
      </c>
      <c r="M46" s="9">
        <f t="shared" si="2"/>
        <v>0</v>
      </c>
    </row>
    <row r="47" spans="1:13" ht="15.75" customHeight="1" x14ac:dyDescent="0.3">
      <c r="A47" s="7" t="s">
        <v>61</v>
      </c>
      <c r="B47" s="7">
        <v>0.02</v>
      </c>
      <c r="C47" s="7">
        <v>3</v>
      </c>
      <c r="D47" s="7">
        <v>0</v>
      </c>
      <c r="E47" s="7">
        <v>1.1000000000000001</v>
      </c>
      <c r="F47" s="7">
        <v>0</v>
      </c>
      <c r="G47" s="7">
        <v>1.1000000000000001</v>
      </c>
      <c r="H47" s="7">
        <v>0.15</v>
      </c>
      <c r="I47" s="7">
        <v>36</v>
      </c>
      <c r="L47" s="9">
        <f t="shared" si="1"/>
        <v>13950685947348.902</v>
      </c>
      <c r="M47" s="9">
        <f t="shared" si="2"/>
        <v>0</v>
      </c>
    </row>
    <row r="48" spans="1:13" ht="15.75" customHeight="1" x14ac:dyDescent="0.3">
      <c r="A48" s="7" t="s">
        <v>62</v>
      </c>
      <c r="B48" s="7" t="s">
        <v>13</v>
      </c>
      <c r="C48" s="7">
        <v>9.577</v>
      </c>
      <c r="D48" s="7" t="s">
        <v>13</v>
      </c>
      <c r="E48" s="7">
        <v>11.525700000000001</v>
      </c>
      <c r="F48" s="7">
        <v>5.3</v>
      </c>
      <c r="G48" s="7">
        <v>16.8</v>
      </c>
      <c r="H48" s="7">
        <v>33.5</v>
      </c>
      <c r="I48" s="7">
        <v>35.453000000000003</v>
      </c>
      <c r="J48" s="14">
        <v>3.1700000000000001E-3</v>
      </c>
      <c r="K48" s="14">
        <v>5.3844999999999997E-2</v>
      </c>
      <c r="L48" s="9">
        <f t="shared" si="1"/>
        <v>3163724226911267.5</v>
      </c>
      <c r="M48" s="9">
        <f t="shared" si="2"/>
        <v>899952049191887.5</v>
      </c>
    </row>
    <row r="49" spans="1:13" ht="15.75" customHeight="1" x14ac:dyDescent="0.3">
      <c r="A49" s="7" t="s">
        <v>63</v>
      </c>
      <c r="B49" s="7">
        <v>75.77</v>
      </c>
      <c r="C49" s="7">
        <v>11.65</v>
      </c>
      <c r="D49" s="7">
        <v>6.1</v>
      </c>
      <c r="E49" s="7">
        <v>17.059999999999999</v>
      </c>
      <c r="F49" s="7">
        <v>4.7</v>
      </c>
      <c r="G49" s="7">
        <v>21.8</v>
      </c>
      <c r="H49" s="7">
        <v>44.1</v>
      </c>
      <c r="I49" s="7">
        <v>35</v>
      </c>
      <c r="L49" s="9">
        <f t="shared" si="1"/>
        <v>4218687430478308.5</v>
      </c>
      <c r="M49" s="9">
        <f t="shared" si="2"/>
        <v>808400000000000</v>
      </c>
    </row>
    <row r="50" spans="1:13" ht="15.75" customHeight="1" x14ac:dyDescent="0.3">
      <c r="A50" s="7" t="s">
        <v>64</v>
      </c>
      <c r="B50" s="7">
        <v>24.23</v>
      </c>
      <c r="C50" s="7">
        <v>3.08</v>
      </c>
      <c r="D50" s="7">
        <v>0.1</v>
      </c>
      <c r="E50" s="7">
        <v>1.19</v>
      </c>
      <c r="F50" s="7">
        <v>1E-3</v>
      </c>
      <c r="G50" s="7">
        <v>1.19</v>
      </c>
      <c r="H50" s="7">
        <v>0.433</v>
      </c>
      <c r="I50" s="7">
        <v>37</v>
      </c>
      <c r="L50" s="9">
        <f t="shared" si="1"/>
        <v>39182575233743.188</v>
      </c>
      <c r="M50" s="9">
        <f t="shared" si="2"/>
        <v>162702702702.70267</v>
      </c>
    </row>
    <row r="51" spans="1:13" ht="15.75" customHeight="1" x14ac:dyDescent="0.3">
      <c r="A51" s="7" t="s">
        <v>65</v>
      </c>
      <c r="B51" s="7" t="s">
        <v>13</v>
      </c>
      <c r="C51" s="7">
        <v>1.909</v>
      </c>
      <c r="D51" s="7" t="s">
        <v>13</v>
      </c>
      <c r="E51" s="7">
        <v>0.45800000000000002</v>
      </c>
      <c r="F51" s="7">
        <v>0.22500000000000001</v>
      </c>
      <c r="G51" s="7">
        <v>0.68300000000000005</v>
      </c>
      <c r="H51" s="7">
        <v>0.67500000000000004</v>
      </c>
      <c r="I51" s="7">
        <v>39.948</v>
      </c>
      <c r="J51" s="14">
        <v>1.784E-3</v>
      </c>
      <c r="K51" s="14">
        <v>2.6893E-2</v>
      </c>
      <c r="L51" s="9">
        <f t="shared" si="1"/>
        <v>56573824058038.516</v>
      </c>
      <c r="M51" s="9">
        <f t="shared" si="2"/>
        <v>33906578552117.754</v>
      </c>
    </row>
    <row r="52" spans="1:13" ht="15.75" customHeight="1" x14ac:dyDescent="0.3">
      <c r="A52" s="7" t="s">
        <v>66</v>
      </c>
      <c r="B52" s="7">
        <v>0.33700000000000002</v>
      </c>
      <c r="C52" s="7">
        <v>24.9</v>
      </c>
      <c r="D52" s="7">
        <v>0</v>
      </c>
      <c r="E52" s="7">
        <v>77.900000000000006</v>
      </c>
      <c r="F52" s="7">
        <v>0</v>
      </c>
      <c r="G52" s="7">
        <v>77.900000000000006</v>
      </c>
      <c r="H52" s="7">
        <v>5.2</v>
      </c>
      <c r="I52" s="7">
        <v>36</v>
      </c>
      <c r="L52" s="9">
        <f t="shared" si="1"/>
        <v>483623779508095.31</v>
      </c>
      <c r="M52" s="9">
        <f t="shared" si="2"/>
        <v>0</v>
      </c>
    </row>
    <row r="53" spans="1:13" ht="15.75" customHeight="1" x14ac:dyDescent="0.3">
      <c r="A53" s="7" t="s">
        <v>67</v>
      </c>
      <c r="B53" s="7">
        <v>6.3E-2</v>
      </c>
      <c r="C53" s="7">
        <v>3.5</v>
      </c>
      <c r="D53" s="7">
        <v>0</v>
      </c>
      <c r="E53" s="7" t="s">
        <v>68</v>
      </c>
      <c r="F53" s="7">
        <v>0</v>
      </c>
      <c r="G53" s="7" t="s">
        <v>68</v>
      </c>
      <c r="H53" s="7">
        <v>0.8</v>
      </c>
      <c r="I53" s="7">
        <v>38</v>
      </c>
      <c r="L53" s="9">
        <f t="shared" si="1"/>
        <v>70487676365552.359</v>
      </c>
      <c r="M53" s="9">
        <f t="shared" si="2"/>
        <v>0</v>
      </c>
    </row>
    <row r="54" spans="1:13" ht="15.75" customHeight="1" x14ac:dyDescent="0.3">
      <c r="A54" s="7" t="s">
        <v>69</v>
      </c>
      <c r="B54" s="7">
        <v>99.6</v>
      </c>
      <c r="C54" s="7">
        <v>1.83</v>
      </c>
      <c r="D54" s="7">
        <v>0</v>
      </c>
      <c r="E54" s="7">
        <v>0.42099999999999999</v>
      </c>
      <c r="F54" s="7">
        <v>0</v>
      </c>
      <c r="G54" s="7">
        <v>0.42099999999999999</v>
      </c>
      <c r="H54" s="7">
        <v>0.66</v>
      </c>
      <c r="I54" s="7">
        <v>40</v>
      </c>
      <c r="L54" s="9">
        <f t="shared" si="1"/>
        <v>55244716351501.656</v>
      </c>
      <c r="M54" s="9">
        <f t="shared" si="2"/>
        <v>0</v>
      </c>
    </row>
    <row r="55" spans="1:13" ht="15.75" customHeight="1" x14ac:dyDescent="0.3">
      <c r="A55" s="7" t="s">
        <v>70</v>
      </c>
      <c r="B55" s="7" t="s">
        <v>13</v>
      </c>
      <c r="C55" s="7">
        <v>3.67</v>
      </c>
      <c r="D55" s="7" t="s">
        <v>13</v>
      </c>
      <c r="E55" s="7">
        <v>1.69</v>
      </c>
      <c r="F55" s="7">
        <v>0.27</v>
      </c>
      <c r="G55" s="7">
        <v>1.96</v>
      </c>
      <c r="H55" s="7">
        <v>2.1</v>
      </c>
      <c r="I55" s="7">
        <v>39.096299999999999</v>
      </c>
      <c r="J55" s="14">
        <v>0.86</v>
      </c>
      <c r="K55" s="14">
        <v>13.246</v>
      </c>
      <c r="L55" s="9">
        <f t="shared" si="1"/>
        <v>179841716926252.56</v>
      </c>
      <c r="M55" s="9">
        <f t="shared" si="2"/>
        <v>41574266618580.273</v>
      </c>
    </row>
    <row r="56" spans="1:13" ht="15.75" customHeight="1" x14ac:dyDescent="0.3">
      <c r="A56" s="7" t="s">
        <v>71</v>
      </c>
      <c r="B56" s="7">
        <v>93.257999999999996</v>
      </c>
      <c r="C56" s="7">
        <v>3.74</v>
      </c>
      <c r="D56" s="7">
        <v>1.4</v>
      </c>
      <c r="E56" s="7">
        <v>1.76</v>
      </c>
      <c r="F56" s="7">
        <v>0.25</v>
      </c>
      <c r="G56" s="7">
        <v>2.0099999999999998</v>
      </c>
      <c r="H56" s="7">
        <v>2.1</v>
      </c>
      <c r="I56" s="7">
        <v>39</v>
      </c>
      <c r="L56" s="9">
        <f t="shared" si="1"/>
        <v>180285787627278.16</v>
      </c>
      <c r="M56" s="9">
        <f t="shared" si="2"/>
        <v>38589743589743.586</v>
      </c>
    </row>
    <row r="57" spans="1:13" ht="15.75" customHeight="1" x14ac:dyDescent="0.3">
      <c r="A57" s="7" t="s">
        <v>72</v>
      </c>
      <c r="B57" s="7">
        <v>1.2E-2</v>
      </c>
      <c r="C57" s="7">
        <v>3</v>
      </c>
      <c r="D57" s="7" t="s">
        <v>13</v>
      </c>
      <c r="E57" s="7">
        <v>1.1000000000000001</v>
      </c>
      <c r="F57" s="7">
        <v>0.5</v>
      </c>
      <c r="G57" s="7">
        <v>1.6</v>
      </c>
      <c r="H57" s="7">
        <v>35</v>
      </c>
      <c r="I57" s="7">
        <v>40</v>
      </c>
      <c r="L57" s="9">
        <f t="shared" si="1"/>
        <v>2929644048943269</v>
      </c>
      <c r="M57" s="9">
        <f t="shared" si="2"/>
        <v>75249999999999.984</v>
      </c>
    </row>
    <row r="58" spans="1:13" ht="15.75" customHeight="1" x14ac:dyDescent="0.3">
      <c r="A58" s="7" t="s">
        <v>73</v>
      </c>
      <c r="B58" s="7">
        <v>6.73</v>
      </c>
      <c r="C58" s="7">
        <v>2.69</v>
      </c>
      <c r="D58" s="7">
        <v>1.5</v>
      </c>
      <c r="E58" s="7">
        <v>0.91</v>
      </c>
      <c r="F58" s="7">
        <v>0.3</v>
      </c>
      <c r="G58" s="7">
        <v>1.2</v>
      </c>
      <c r="H58" s="7">
        <v>1.46</v>
      </c>
      <c r="I58" s="7">
        <v>41</v>
      </c>
      <c r="L58" s="9">
        <f t="shared" si="1"/>
        <v>119227325754903.81</v>
      </c>
      <c r="M58" s="9">
        <f t="shared" si="2"/>
        <v>44048780487804.867</v>
      </c>
    </row>
    <row r="59" spans="1:13" ht="15.75" customHeight="1" x14ac:dyDescent="0.3">
      <c r="A59" s="7" t="s">
        <v>74</v>
      </c>
      <c r="B59" s="7" t="s">
        <v>13</v>
      </c>
      <c r="C59" s="7">
        <v>4.7</v>
      </c>
      <c r="D59" s="7" t="s">
        <v>13</v>
      </c>
      <c r="E59" s="7">
        <v>2.78</v>
      </c>
      <c r="F59" s="7">
        <v>0.05</v>
      </c>
      <c r="G59" s="7">
        <v>2.83</v>
      </c>
      <c r="H59" s="7">
        <v>0.43</v>
      </c>
      <c r="I59" s="7">
        <v>40.08</v>
      </c>
      <c r="J59" s="14">
        <v>1.54</v>
      </c>
      <c r="K59" s="14">
        <v>23.138000000000002</v>
      </c>
      <c r="L59" s="9">
        <f t="shared" si="1"/>
        <v>35920927888383.406</v>
      </c>
      <c r="M59" s="9">
        <f t="shared" si="2"/>
        <v>7509980039920.1602</v>
      </c>
    </row>
    <row r="60" spans="1:13" ht="15.75" customHeight="1" x14ac:dyDescent="0.3">
      <c r="A60" s="7" t="s">
        <v>75</v>
      </c>
      <c r="B60" s="7">
        <v>96.941000000000003</v>
      </c>
      <c r="C60" s="7">
        <v>4.8</v>
      </c>
      <c r="D60" s="7">
        <v>0</v>
      </c>
      <c r="E60" s="7">
        <v>2.9</v>
      </c>
      <c r="F60" s="7">
        <v>0</v>
      </c>
      <c r="G60" s="7">
        <v>2.9</v>
      </c>
      <c r="H60" s="7">
        <v>0.41</v>
      </c>
      <c r="I60" s="7">
        <v>40</v>
      </c>
      <c r="L60" s="9">
        <f t="shared" si="1"/>
        <v>34318687430478.301</v>
      </c>
      <c r="M60" s="9">
        <f t="shared" si="2"/>
        <v>0</v>
      </c>
    </row>
    <row r="61" spans="1:13" ht="15.75" customHeight="1" x14ac:dyDescent="0.3">
      <c r="A61" s="7" t="s">
        <v>76</v>
      </c>
      <c r="B61" s="7">
        <v>0.64700000000000002</v>
      </c>
      <c r="C61" s="7">
        <v>3.36</v>
      </c>
      <c r="D61" s="7">
        <v>0</v>
      </c>
      <c r="E61" s="7">
        <v>1.42</v>
      </c>
      <c r="F61" s="7">
        <v>0</v>
      </c>
      <c r="G61" s="7">
        <v>1.42</v>
      </c>
      <c r="H61" s="7">
        <v>0.68</v>
      </c>
      <c r="I61" s="7">
        <v>42</v>
      </c>
      <c r="L61" s="9">
        <f t="shared" si="1"/>
        <v>54208379681127.18</v>
      </c>
      <c r="M61" s="9">
        <f t="shared" si="2"/>
        <v>0</v>
      </c>
    </row>
    <row r="62" spans="1:13" ht="15.75" customHeight="1" x14ac:dyDescent="0.3">
      <c r="A62" s="7" t="s">
        <v>77</v>
      </c>
      <c r="B62" s="7">
        <v>0.13500000000000001</v>
      </c>
      <c r="C62" s="7">
        <v>-1.56</v>
      </c>
      <c r="D62" s="7" t="s">
        <v>13</v>
      </c>
      <c r="E62" s="7">
        <v>0.31</v>
      </c>
      <c r="F62" s="7">
        <v>0.5</v>
      </c>
      <c r="G62" s="7">
        <v>0.8</v>
      </c>
      <c r="H62" s="7">
        <v>6.2</v>
      </c>
      <c r="I62" s="7">
        <v>43</v>
      </c>
      <c r="L62" s="9">
        <f t="shared" si="1"/>
        <v>482758620689655.06</v>
      </c>
      <c r="M62" s="9">
        <f t="shared" si="2"/>
        <v>69999999999999.992</v>
      </c>
    </row>
    <row r="63" spans="1:13" ht="15.75" customHeight="1" x14ac:dyDescent="0.3">
      <c r="A63" s="7" t="s">
        <v>78</v>
      </c>
      <c r="B63" s="7">
        <v>2.0859999999999999</v>
      </c>
      <c r="C63" s="7">
        <v>1.42</v>
      </c>
      <c r="D63" s="7">
        <v>0</v>
      </c>
      <c r="E63" s="7">
        <v>0.25</v>
      </c>
      <c r="F63" s="7">
        <v>0</v>
      </c>
      <c r="G63" s="7">
        <v>0.25</v>
      </c>
      <c r="H63" s="7">
        <v>0.88</v>
      </c>
      <c r="I63" s="7">
        <v>44</v>
      </c>
      <c r="L63" s="9">
        <f t="shared" si="1"/>
        <v>66963292547274.75</v>
      </c>
      <c r="M63" s="9">
        <f t="shared" si="2"/>
        <v>0</v>
      </c>
    </row>
    <row r="64" spans="1:13" ht="15.75" customHeight="1" x14ac:dyDescent="0.3">
      <c r="A64" s="7" t="s">
        <v>79</v>
      </c>
      <c r="B64" s="7">
        <v>4.0000000000000001E-3</v>
      </c>
      <c r="C64" s="7">
        <v>3.6</v>
      </c>
      <c r="D64" s="7">
        <v>0</v>
      </c>
      <c r="E64" s="7">
        <v>1.6</v>
      </c>
      <c r="F64" s="7">
        <v>0</v>
      </c>
      <c r="G64" s="7">
        <v>1.6</v>
      </c>
      <c r="H64" s="7">
        <v>0.74</v>
      </c>
      <c r="I64" s="7">
        <v>46</v>
      </c>
      <c r="L64" s="9">
        <f t="shared" si="1"/>
        <v>53861778788025.328</v>
      </c>
      <c r="M64" s="9">
        <f t="shared" si="2"/>
        <v>0</v>
      </c>
    </row>
    <row r="65" spans="1:13" ht="15.75" customHeight="1" x14ac:dyDescent="0.3">
      <c r="A65" s="7" t="s">
        <v>80</v>
      </c>
      <c r="B65" s="7">
        <v>0.187</v>
      </c>
      <c r="C65" s="7">
        <v>0.39</v>
      </c>
      <c r="D65" s="7">
        <v>0</v>
      </c>
      <c r="E65" s="7">
        <v>1.9E-2</v>
      </c>
      <c r="F65" s="7">
        <v>0</v>
      </c>
      <c r="G65" s="7">
        <v>1.9E-2</v>
      </c>
      <c r="H65" s="7">
        <v>1.0900000000000001</v>
      </c>
      <c r="I65" s="7">
        <v>48</v>
      </c>
      <c r="L65" s="9">
        <f t="shared" si="1"/>
        <v>76031238413051.547</v>
      </c>
      <c r="M65" s="9">
        <f t="shared" si="2"/>
        <v>0</v>
      </c>
    </row>
    <row r="66" spans="1:13" ht="15.75" customHeight="1" x14ac:dyDescent="0.3">
      <c r="A66" s="7" t="s">
        <v>81</v>
      </c>
      <c r="B66" s="7">
        <v>100</v>
      </c>
      <c r="C66" s="7">
        <v>12.29</v>
      </c>
      <c r="D66" s="7">
        <v>-6</v>
      </c>
      <c r="E66" s="7">
        <v>19</v>
      </c>
      <c r="F66" s="7">
        <v>4.5</v>
      </c>
      <c r="G66" s="7">
        <v>23.5</v>
      </c>
      <c r="H66" s="7">
        <v>27.5</v>
      </c>
      <c r="I66" s="7">
        <v>44.9559</v>
      </c>
      <c r="J66" s="14">
        <v>2.9889999999999999</v>
      </c>
      <c r="K66" s="14">
        <v>40.039000000000001</v>
      </c>
      <c r="L66" s="9">
        <f t="shared" si="1"/>
        <v>2048107751207355.8</v>
      </c>
      <c r="M66" s="9">
        <f t="shared" si="2"/>
        <v>602590538727953.25</v>
      </c>
    </row>
    <row r="67" spans="1:13" ht="15.75" customHeight="1" x14ac:dyDescent="0.3">
      <c r="A67" s="7" t="s">
        <v>82</v>
      </c>
      <c r="B67" s="7" t="s">
        <v>13</v>
      </c>
      <c r="C67" s="7">
        <v>-3.4380000000000002</v>
      </c>
      <c r="D67" s="7" t="s">
        <v>13</v>
      </c>
      <c r="E67" s="7">
        <v>1.4850000000000001</v>
      </c>
      <c r="F67" s="7">
        <v>2.87</v>
      </c>
      <c r="G67" s="7">
        <v>4.3499999999999996</v>
      </c>
      <c r="H67" s="7">
        <v>6.09</v>
      </c>
      <c r="I67" s="7">
        <v>47.9</v>
      </c>
      <c r="J67" s="14">
        <v>4.5</v>
      </c>
      <c r="K67" s="14">
        <v>56.573999999999998</v>
      </c>
      <c r="L67" s="9">
        <f t="shared" si="1"/>
        <v>425685231328708.88</v>
      </c>
      <c r="M67" s="9">
        <f t="shared" si="2"/>
        <v>360697286012526.13</v>
      </c>
    </row>
    <row r="68" spans="1:13" ht="15.75" customHeight="1" x14ac:dyDescent="0.3">
      <c r="A68" s="7" t="s">
        <v>83</v>
      </c>
      <c r="B68" s="7">
        <v>8.1999999999999993</v>
      </c>
      <c r="C68" s="7">
        <v>4.93</v>
      </c>
      <c r="D68" s="7">
        <v>0</v>
      </c>
      <c r="E68" s="7">
        <v>3.05</v>
      </c>
      <c r="F68" s="7">
        <v>0</v>
      </c>
      <c r="G68" s="7">
        <v>3.05</v>
      </c>
      <c r="H68" s="7">
        <v>0.59</v>
      </c>
      <c r="I68" s="7">
        <v>46</v>
      </c>
      <c r="L68" s="9">
        <f t="shared" ref="L68:L131" si="3">(H68*10^-8/1.798)*6.02*10^23/I68</f>
        <v>42943850655317.492</v>
      </c>
      <c r="M68" s="9">
        <f t="shared" si="2"/>
        <v>0</v>
      </c>
    </row>
    <row r="69" spans="1:13" ht="15.75" customHeight="1" x14ac:dyDescent="0.3">
      <c r="A69" s="7" t="s">
        <v>84</v>
      </c>
      <c r="B69" s="7">
        <v>7.4</v>
      </c>
      <c r="C69" s="7">
        <v>3.63</v>
      </c>
      <c r="D69" s="7">
        <v>-3.5</v>
      </c>
      <c r="E69" s="7">
        <v>1.66</v>
      </c>
      <c r="F69" s="7">
        <v>1.5</v>
      </c>
      <c r="G69" s="7">
        <v>3.2</v>
      </c>
      <c r="H69" s="7">
        <v>1.7</v>
      </c>
      <c r="I69" s="7">
        <v>47</v>
      </c>
      <c r="L69" s="9">
        <f t="shared" si="3"/>
        <v>121103826947199</v>
      </c>
      <c r="M69" s="9">
        <f t="shared" si="2"/>
        <v>192127659574468.09</v>
      </c>
    </row>
    <row r="70" spans="1:13" ht="15.75" customHeight="1" x14ac:dyDescent="0.3">
      <c r="A70" s="7" t="s">
        <v>85</v>
      </c>
      <c r="B70" s="7">
        <v>73.8</v>
      </c>
      <c r="C70" s="7">
        <v>-6.08</v>
      </c>
      <c r="D70" s="7">
        <v>0</v>
      </c>
      <c r="E70" s="7">
        <v>4.6500000000000004</v>
      </c>
      <c r="F70" s="7">
        <v>0</v>
      </c>
      <c r="G70" s="7">
        <v>4.6500000000000004</v>
      </c>
      <c r="H70" s="7">
        <v>7.84</v>
      </c>
      <c r="I70" s="7">
        <v>48</v>
      </c>
      <c r="L70" s="9">
        <f t="shared" si="3"/>
        <v>546866889136077</v>
      </c>
      <c r="M70" s="9">
        <f t="shared" si="2"/>
        <v>0</v>
      </c>
    </row>
    <row r="71" spans="1:13" ht="15.75" customHeight="1" x14ac:dyDescent="0.3">
      <c r="A71" s="7" t="s">
        <v>86</v>
      </c>
      <c r="B71" s="7">
        <v>5.4</v>
      </c>
      <c r="C71" s="7">
        <v>1.04</v>
      </c>
      <c r="D71" s="7">
        <v>5.0999999999999996</v>
      </c>
      <c r="E71" s="7">
        <v>0.14000000000000001</v>
      </c>
      <c r="F71" s="7">
        <v>3.3</v>
      </c>
      <c r="G71" s="7">
        <v>3.4</v>
      </c>
      <c r="H71" s="7">
        <v>2.2000000000000002</v>
      </c>
      <c r="I71" s="7">
        <v>49</v>
      </c>
      <c r="L71" s="9">
        <f t="shared" si="3"/>
        <v>150325758779596.38</v>
      </c>
      <c r="M71" s="9">
        <f t="shared" si="2"/>
        <v>405428571428571.38</v>
      </c>
    </row>
    <row r="72" spans="1:13" ht="15.75" customHeight="1" x14ac:dyDescent="0.3">
      <c r="A72" s="7" t="s">
        <v>87</v>
      </c>
      <c r="B72" s="7">
        <v>5.2</v>
      </c>
      <c r="C72" s="7">
        <v>6.18</v>
      </c>
      <c r="D72" s="7">
        <v>0</v>
      </c>
      <c r="E72" s="7">
        <v>4.8</v>
      </c>
      <c r="F72" s="7">
        <v>0</v>
      </c>
      <c r="G72" s="7">
        <v>4.8</v>
      </c>
      <c r="H72" s="7">
        <v>0.17899999999999999</v>
      </c>
      <c r="I72" s="7">
        <v>50</v>
      </c>
      <c r="L72" s="9">
        <f t="shared" si="3"/>
        <v>11986429365962.178</v>
      </c>
      <c r="M72" s="9">
        <f t="shared" si="2"/>
        <v>0</v>
      </c>
    </row>
    <row r="73" spans="1:13" ht="15.75" customHeight="1" x14ac:dyDescent="0.3">
      <c r="A73" s="7" t="s">
        <v>88</v>
      </c>
      <c r="B73" s="7" t="s">
        <v>13</v>
      </c>
      <c r="C73" s="7">
        <v>-0.38240000000000002</v>
      </c>
      <c r="D73" s="7" t="s">
        <v>13</v>
      </c>
      <c r="E73" s="7">
        <v>1.84E-2</v>
      </c>
      <c r="F73" s="7">
        <v>5.08</v>
      </c>
      <c r="G73" s="7">
        <v>5.0999999999999996</v>
      </c>
      <c r="H73" s="7">
        <v>5.08</v>
      </c>
      <c r="I73" s="7">
        <v>50.941499999999998</v>
      </c>
      <c r="J73" s="14">
        <v>5.96</v>
      </c>
      <c r="K73" s="14">
        <v>70.456000000000003</v>
      </c>
      <c r="L73" s="9">
        <f t="shared" si="3"/>
        <v>333886444392249.63</v>
      </c>
      <c r="M73" s="9">
        <f t="shared" si="2"/>
        <v>600327827017264.88</v>
      </c>
    </row>
    <row r="74" spans="1:13" ht="15.75" customHeight="1" x14ac:dyDescent="0.3">
      <c r="A74" s="7" t="s">
        <v>89</v>
      </c>
      <c r="B74" s="7">
        <v>0.25</v>
      </c>
      <c r="C74" s="7">
        <v>7.6</v>
      </c>
      <c r="D74" s="7" t="s">
        <v>13</v>
      </c>
      <c r="E74" s="7" t="s">
        <v>90</v>
      </c>
      <c r="F74" s="7">
        <v>0.5</v>
      </c>
      <c r="G74" s="7" t="s">
        <v>91</v>
      </c>
      <c r="H74" s="7">
        <v>60</v>
      </c>
      <c r="I74" s="7">
        <v>50</v>
      </c>
      <c r="L74" s="9">
        <f t="shared" si="3"/>
        <v>4017797552836484</v>
      </c>
      <c r="M74" s="9">
        <f t="shared" si="2"/>
        <v>60199999999999.992</v>
      </c>
    </row>
    <row r="75" spans="1:13" ht="15.75" customHeight="1" x14ac:dyDescent="0.3">
      <c r="A75" s="7" t="s">
        <v>92</v>
      </c>
      <c r="B75" s="7">
        <v>99.75</v>
      </c>
      <c r="C75" s="7">
        <v>-0.40200000000000002</v>
      </c>
      <c r="D75" s="7">
        <v>6.35</v>
      </c>
      <c r="E75" s="7">
        <v>2.0299999999999999E-2</v>
      </c>
      <c r="F75" s="7">
        <v>5.07</v>
      </c>
      <c r="G75" s="7">
        <v>5.09</v>
      </c>
      <c r="H75" s="7">
        <v>4.9000000000000004</v>
      </c>
      <c r="I75" s="7">
        <v>51</v>
      </c>
      <c r="L75" s="9">
        <f t="shared" si="3"/>
        <v>321686405374162.94</v>
      </c>
      <c r="M75" s="9">
        <f t="shared" si="2"/>
        <v>598458823529411.75</v>
      </c>
    </row>
    <row r="76" spans="1:13" ht="15.75" customHeight="1" x14ac:dyDescent="0.3">
      <c r="A76" s="7" t="s">
        <v>93</v>
      </c>
      <c r="B76" s="7" t="s">
        <v>13</v>
      </c>
      <c r="C76" s="7">
        <v>3.6349999999999998</v>
      </c>
      <c r="D76" s="7" t="s">
        <v>13</v>
      </c>
      <c r="E76" s="7">
        <v>1.66</v>
      </c>
      <c r="F76" s="7">
        <v>1.83</v>
      </c>
      <c r="G76" s="7">
        <v>3.49</v>
      </c>
      <c r="H76" s="7">
        <v>3.05</v>
      </c>
      <c r="I76" s="7">
        <v>51.996000000000002</v>
      </c>
      <c r="J76" s="14">
        <v>7.2</v>
      </c>
      <c r="K76" s="14">
        <v>83.388000000000005</v>
      </c>
      <c r="L76" s="9">
        <f t="shared" si="3"/>
        <v>196397840477332.81</v>
      </c>
      <c r="M76" s="9">
        <f t="shared" si="2"/>
        <v>211873990306946.69</v>
      </c>
    </row>
    <row r="77" spans="1:13" ht="15.75" customHeight="1" x14ac:dyDescent="0.3">
      <c r="A77" s="7" t="s">
        <v>94</v>
      </c>
      <c r="B77" s="7">
        <v>4.3499999999999996</v>
      </c>
      <c r="C77" s="7">
        <v>-4.5</v>
      </c>
      <c r="D77" s="7">
        <v>0</v>
      </c>
      <c r="E77" s="7">
        <v>2.54</v>
      </c>
      <c r="F77" s="7">
        <v>0</v>
      </c>
      <c r="G77" s="7">
        <v>2.54</v>
      </c>
      <c r="H77" s="7">
        <v>15.8</v>
      </c>
      <c r="I77" s="7">
        <v>50</v>
      </c>
      <c r="L77" s="9">
        <f t="shared" si="3"/>
        <v>1058020022246941</v>
      </c>
      <c r="M77" s="9">
        <f t="shared" si="2"/>
        <v>0</v>
      </c>
    </row>
    <row r="78" spans="1:13" ht="15.75" customHeight="1" x14ac:dyDescent="0.3">
      <c r="A78" s="7" t="s">
        <v>95</v>
      </c>
      <c r="B78" s="7">
        <v>83.79</v>
      </c>
      <c r="C78" s="7">
        <v>4.92</v>
      </c>
      <c r="D78" s="7">
        <v>0</v>
      </c>
      <c r="E78" s="7">
        <v>3.0419999999999998</v>
      </c>
      <c r="F78" s="7">
        <v>0</v>
      </c>
      <c r="G78" s="7">
        <v>3.0419999999999998</v>
      </c>
      <c r="H78" s="7">
        <v>0.76</v>
      </c>
      <c r="I78" s="7">
        <v>52</v>
      </c>
      <c r="L78" s="9">
        <f t="shared" si="3"/>
        <v>48934713784546.93</v>
      </c>
      <c r="M78" s="9">
        <f t="shared" ref="M78:M141" si="4">F78*10^-8*6.02*10^23/I78</f>
        <v>0</v>
      </c>
    </row>
    <row r="79" spans="1:13" ht="15.75" customHeight="1" x14ac:dyDescent="0.3">
      <c r="A79" s="7" t="s">
        <v>96</v>
      </c>
      <c r="B79" s="7">
        <v>9.5</v>
      </c>
      <c r="C79" s="7">
        <v>-4.2</v>
      </c>
      <c r="D79" s="7">
        <v>6.87</v>
      </c>
      <c r="E79" s="7">
        <v>2.2200000000000002</v>
      </c>
      <c r="F79" s="7">
        <v>5.93</v>
      </c>
      <c r="G79" s="7">
        <v>8.15</v>
      </c>
      <c r="H79" s="7">
        <v>18.100000000000001</v>
      </c>
      <c r="I79" s="7">
        <v>53</v>
      </c>
      <c r="L79" s="9">
        <f t="shared" si="3"/>
        <v>1143429806703465</v>
      </c>
      <c r="M79" s="9">
        <f t="shared" si="4"/>
        <v>673558490566037.63</v>
      </c>
    </row>
    <row r="80" spans="1:13" ht="15.75" customHeight="1" x14ac:dyDescent="0.3">
      <c r="A80" s="7" t="s">
        <v>97</v>
      </c>
      <c r="B80" s="7">
        <v>2.36</v>
      </c>
      <c r="C80" s="7">
        <v>4.55</v>
      </c>
      <c r="D80" s="7">
        <v>0</v>
      </c>
      <c r="E80" s="7">
        <v>2.6</v>
      </c>
      <c r="F80" s="7">
        <v>0</v>
      </c>
      <c r="G80" s="7">
        <v>2.6</v>
      </c>
      <c r="H80" s="7">
        <v>0.36</v>
      </c>
      <c r="I80" s="7">
        <v>54</v>
      </c>
      <c r="L80" s="9">
        <f t="shared" si="3"/>
        <v>22321097515758.246</v>
      </c>
      <c r="M80" s="9">
        <f t="shared" si="4"/>
        <v>0</v>
      </c>
    </row>
    <row r="81" spans="1:13" ht="15.75" customHeight="1" x14ac:dyDescent="0.3">
      <c r="A81" s="7" t="s">
        <v>98</v>
      </c>
      <c r="B81" s="7">
        <v>100</v>
      </c>
      <c r="C81" s="7">
        <v>-3.73</v>
      </c>
      <c r="D81" s="7">
        <v>1.79</v>
      </c>
      <c r="E81" s="7">
        <v>1.75</v>
      </c>
      <c r="F81" s="7">
        <v>0.4</v>
      </c>
      <c r="G81" s="7">
        <v>2.15</v>
      </c>
      <c r="H81" s="7">
        <v>13.3</v>
      </c>
      <c r="I81" s="7">
        <v>54.938000000000002</v>
      </c>
      <c r="J81" s="14">
        <v>7.2</v>
      </c>
      <c r="K81" s="14">
        <v>78.921999999999997</v>
      </c>
      <c r="L81" s="9">
        <f t="shared" si="3"/>
        <v>810560805707119</v>
      </c>
      <c r="M81" s="9">
        <f t="shared" si="4"/>
        <v>43831227929666.164</v>
      </c>
    </row>
    <row r="82" spans="1:13" ht="15.75" customHeight="1" x14ac:dyDescent="0.3">
      <c r="A82" s="7" t="s">
        <v>99</v>
      </c>
      <c r="B82" s="7" t="s">
        <v>13</v>
      </c>
      <c r="C82" s="7">
        <v>9.4499999999999993</v>
      </c>
      <c r="D82" s="7" t="s">
        <v>13</v>
      </c>
      <c r="E82" s="7">
        <v>11.22</v>
      </c>
      <c r="F82" s="7">
        <v>0.4</v>
      </c>
      <c r="G82" s="7">
        <v>11.62</v>
      </c>
      <c r="H82" s="7">
        <v>2.56</v>
      </c>
      <c r="I82" s="7">
        <v>55.847000000000001</v>
      </c>
      <c r="J82" s="14">
        <v>7.86</v>
      </c>
      <c r="K82" s="14">
        <v>84.754999999999995</v>
      </c>
      <c r="L82" s="9">
        <f t="shared" si="3"/>
        <v>153478278977405.53</v>
      </c>
      <c r="M82" s="9">
        <f t="shared" si="4"/>
        <v>43117804000214.875</v>
      </c>
    </row>
    <row r="83" spans="1:13" ht="15.75" customHeight="1" x14ac:dyDescent="0.3">
      <c r="A83" s="7" t="s">
        <v>100</v>
      </c>
      <c r="B83" s="7">
        <v>5.8</v>
      </c>
      <c r="C83" s="7">
        <v>4.2</v>
      </c>
      <c r="D83" s="7">
        <v>0</v>
      </c>
      <c r="E83" s="7">
        <v>2.2000000000000002</v>
      </c>
      <c r="F83" s="7">
        <v>0</v>
      </c>
      <c r="G83" s="7">
        <v>2.2000000000000002</v>
      </c>
      <c r="H83" s="7">
        <v>2.25</v>
      </c>
      <c r="I83" s="7">
        <v>54</v>
      </c>
      <c r="L83" s="9">
        <f t="shared" si="3"/>
        <v>139506859473489.03</v>
      </c>
      <c r="M83" s="9">
        <f t="shared" si="4"/>
        <v>0</v>
      </c>
    </row>
    <row r="84" spans="1:13" ht="15.75" customHeight="1" x14ac:dyDescent="0.3">
      <c r="A84" s="7" t="s">
        <v>101</v>
      </c>
      <c r="B84" s="7">
        <v>91.7</v>
      </c>
      <c r="C84" s="7">
        <v>9.94</v>
      </c>
      <c r="D84" s="7">
        <v>0</v>
      </c>
      <c r="E84" s="7">
        <v>12.42</v>
      </c>
      <c r="F84" s="7">
        <v>0</v>
      </c>
      <c r="G84" s="7">
        <v>12.42</v>
      </c>
      <c r="H84" s="7">
        <v>2.59</v>
      </c>
      <c r="I84" s="7">
        <v>56</v>
      </c>
      <c r="L84" s="9">
        <f t="shared" si="3"/>
        <v>154852614015572.84</v>
      </c>
      <c r="M84" s="9">
        <f t="shared" si="4"/>
        <v>0</v>
      </c>
    </row>
    <row r="85" spans="1:13" ht="15.75" customHeight="1" x14ac:dyDescent="0.3">
      <c r="A85" s="7" t="s">
        <v>102</v>
      </c>
      <c r="B85" s="7">
        <v>2.2000000000000002</v>
      </c>
      <c r="C85" s="7">
        <v>2.2999999999999998</v>
      </c>
      <c r="D85" s="7" t="s">
        <v>13</v>
      </c>
      <c r="E85" s="7">
        <v>0.66</v>
      </c>
      <c r="F85" s="7">
        <v>0.3</v>
      </c>
      <c r="G85" s="7">
        <v>1</v>
      </c>
      <c r="H85" s="7">
        <v>2.48</v>
      </c>
      <c r="I85" s="7">
        <v>57</v>
      </c>
      <c r="L85" s="9">
        <f t="shared" si="3"/>
        <v>145674531155474.88</v>
      </c>
      <c r="M85" s="9">
        <f t="shared" si="4"/>
        <v>31684210526315.781</v>
      </c>
    </row>
    <row r="86" spans="1:13" ht="15.75" customHeight="1" x14ac:dyDescent="0.3">
      <c r="A86" s="7" t="s">
        <v>103</v>
      </c>
      <c r="B86" s="7">
        <v>0.3</v>
      </c>
      <c r="C86" s="7">
        <v>15</v>
      </c>
      <c r="D86" s="7">
        <v>0</v>
      </c>
      <c r="E86" s="7">
        <v>28</v>
      </c>
      <c r="F86" s="7">
        <v>0</v>
      </c>
      <c r="G86" s="7" t="s">
        <v>104</v>
      </c>
      <c r="H86" s="7">
        <v>1.28</v>
      </c>
      <c r="I86" s="7">
        <v>58</v>
      </c>
      <c r="L86" s="9">
        <f t="shared" si="3"/>
        <v>73890529707337.641</v>
      </c>
      <c r="M86" s="9">
        <f t="shared" si="4"/>
        <v>0</v>
      </c>
    </row>
    <row r="87" spans="1:13" ht="15.75" customHeight="1" x14ac:dyDescent="0.3">
      <c r="A87" s="7" t="s">
        <v>105</v>
      </c>
      <c r="B87" s="7">
        <v>100</v>
      </c>
      <c r="C87" s="7">
        <v>2.4900000000000002</v>
      </c>
      <c r="D87" s="7">
        <v>-6.2</v>
      </c>
      <c r="E87" s="7">
        <v>0.77900000000000003</v>
      </c>
      <c r="F87" s="7">
        <v>4.8</v>
      </c>
      <c r="G87" s="7">
        <v>5.6</v>
      </c>
      <c r="H87" s="7">
        <v>37.18</v>
      </c>
      <c r="I87" s="7">
        <v>58.933199999999999</v>
      </c>
      <c r="J87" s="14">
        <v>8.9</v>
      </c>
      <c r="K87" s="14">
        <v>90.942999999999998</v>
      </c>
      <c r="L87" s="9">
        <f t="shared" si="3"/>
        <v>2112302757111165.3</v>
      </c>
      <c r="M87" s="9">
        <f t="shared" si="4"/>
        <v>490317851397853.69</v>
      </c>
    </row>
    <row r="88" spans="1:13" ht="15.75" customHeight="1" x14ac:dyDescent="0.3">
      <c r="A88" s="7" t="s">
        <v>106</v>
      </c>
      <c r="B88" s="7" t="s">
        <v>13</v>
      </c>
      <c r="C88" s="7">
        <v>10.3</v>
      </c>
      <c r="D88" s="7" t="s">
        <v>13</v>
      </c>
      <c r="E88" s="7">
        <v>13.3</v>
      </c>
      <c r="F88" s="7">
        <v>5.2</v>
      </c>
      <c r="G88" s="7">
        <v>18.5</v>
      </c>
      <c r="H88" s="7">
        <v>4.49</v>
      </c>
      <c r="I88" s="7">
        <v>58.7</v>
      </c>
      <c r="J88" s="14">
        <v>8.9</v>
      </c>
      <c r="K88" s="14">
        <v>91.305000000000007</v>
      </c>
      <c r="L88" s="9">
        <f t="shared" si="3"/>
        <v>256103222774500.5</v>
      </c>
      <c r="M88" s="9">
        <f t="shared" si="4"/>
        <v>533287904599659.19</v>
      </c>
    </row>
    <row r="89" spans="1:13" ht="15.75" customHeight="1" x14ac:dyDescent="0.3">
      <c r="A89" s="7" t="s">
        <v>107</v>
      </c>
      <c r="B89" s="7">
        <v>68.27</v>
      </c>
      <c r="C89" s="7">
        <v>14.4</v>
      </c>
      <c r="D89" s="7">
        <v>0</v>
      </c>
      <c r="E89" s="7">
        <v>26.1</v>
      </c>
      <c r="F89" s="7">
        <v>0</v>
      </c>
      <c r="G89" s="7">
        <v>26.1</v>
      </c>
      <c r="H89" s="7">
        <v>4.5999999999999996</v>
      </c>
      <c r="I89" s="7">
        <v>58</v>
      </c>
      <c r="L89" s="9">
        <f t="shared" si="3"/>
        <v>265544091135744.66</v>
      </c>
      <c r="M89" s="9">
        <f t="shared" si="4"/>
        <v>0</v>
      </c>
    </row>
    <row r="90" spans="1:13" ht="15.75" customHeight="1" x14ac:dyDescent="0.3">
      <c r="A90" s="7" t="s">
        <v>108</v>
      </c>
      <c r="B90" s="7">
        <v>26.1</v>
      </c>
      <c r="C90" s="7">
        <v>2.8</v>
      </c>
      <c r="D90" s="7">
        <v>0</v>
      </c>
      <c r="E90" s="7">
        <v>0.99</v>
      </c>
      <c r="F90" s="7">
        <v>0</v>
      </c>
      <c r="G90" s="7">
        <v>0.99</v>
      </c>
      <c r="H90" s="7">
        <v>2.9</v>
      </c>
      <c r="I90" s="7">
        <v>60</v>
      </c>
      <c r="L90" s="9">
        <f t="shared" si="3"/>
        <v>161827956989247.28</v>
      </c>
      <c r="M90" s="9">
        <f t="shared" si="4"/>
        <v>0</v>
      </c>
    </row>
    <row r="91" spans="1:13" ht="15.75" customHeight="1" x14ac:dyDescent="0.3">
      <c r="A91" s="7" t="s">
        <v>109</v>
      </c>
      <c r="B91" s="7">
        <v>1.1299999999999999</v>
      </c>
      <c r="C91" s="7">
        <v>7.6</v>
      </c>
      <c r="D91" s="7" t="s">
        <v>110</v>
      </c>
      <c r="E91" s="7">
        <v>7.26</v>
      </c>
      <c r="F91" s="7">
        <v>1.9</v>
      </c>
      <c r="G91" s="7">
        <v>9.1999999999999993</v>
      </c>
      <c r="H91" s="7">
        <v>2.5</v>
      </c>
      <c r="I91" s="7">
        <v>61</v>
      </c>
      <c r="L91" s="9">
        <f t="shared" si="3"/>
        <v>137219861777202.33</v>
      </c>
      <c r="M91" s="9">
        <f t="shared" si="4"/>
        <v>187508196721311.44</v>
      </c>
    </row>
    <row r="92" spans="1:13" ht="15.75" customHeight="1" x14ac:dyDescent="0.3">
      <c r="A92" s="7" t="s">
        <v>111</v>
      </c>
      <c r="B92" s="7">
        <v>3.59</v>
      </c>
      <c r="C92" s="7">
        <v>-8.6999999999999993</v>
      </c>
      <c r="D92" s="7">
        <v>0</v>
      </c>
      <c r="E92" s="7">
        <v>9.5</v>
      </c>
      <c r="F92" s="7">
        <v>0</v>
      </c>
      <c r="G92" s="7">
        <v>9.5</v>
      </c>
      <c r="H92" s="7">
        <v>14.5</v>
      </c>
      <c r="I92" s="7">
        <v>62</v>
      </c>
      <c r="L92" s="9">
        <f t="shared" si="3"/>
        <v>783038501560873.88</v>
      </c>
      <c r="M92" s="9">
        <f t="shared" si="4"/>
        <v>0</v>
      </c>
    </row>
    <row r="93" spans="1:13" ht="15.75" customHeight="1" x14ac:dyDescent="0.3">
      <c r="A93" s="7" t="s">
        <v>112</v>
      </c>
      <c r="B93" s="7">
        <v>0.91</v>
      </c>
      <c r="C93" s="7">
        <v>-0.37</v>
      </c>
      <c r="D93" s="7">
        <v>0</v>
      </c>
      <c r="E93" s="7">
        <v>1.7000000000000001E-2</v>
      </c>
      <c r="F93" s="7">
        <v>0</v>
      </c>
      <c r="G93" s="7">
        <v>1.7000000000000001E-2</v>
      </c>
      <c r="H93" s="7">
        <v>1.52</v>
      </c>
      <c r="I93" s="7">
        <v>64</v>
      </c>
      <c r="L93" s="9">
        <f t="shared" si="3"/>
        <v>79518909899888.766</v>
      </c>
      <c r="M93" s="9">
        <f t="shared" si="4"/>
        <v>0</v>
      </c>
    </row>
    <row r="94" spans="1:13" ht="15.75" customHeight="1" x14ac:dyDescent="0.3">
      <c r="A94" s="7" t="s">
        <v>113</v>
      </c>
      <c r="B94" s="7" t="s">
        <v>13</v>
      </c>
      <c r="C94" s="7">
        <v>7.718</v>
      </c>
      <c r="D94" s="7" t="s">
        <v>13</v>
      </c>
      <c r="E94" s="7">
        <v>7.4850000000000003</v>
      </c>
      <c r="F94" s="7">
        <v>0.55000000000000004</v>
      </c>
      <c r="G94" s="7">
        <v>8.0299999999999994</v>
      </c>
      <c r="H94" s="7">
        <v>3.78</v>
      </c>
      <c r="I94" s="7">
        <v>63.540599999999998</v>
      </c>
      <c r="J94" s="14">
        <v>8.92</v>
      </c>
      <c r="K94" s="14">
        <v>84.531000000000006</v>
      </c>
      <c r="L94" s="9">
        <f t="shared" si="3"/>
        <v>199180717390690.78</v>
      </c>
      <c r="M94" s="9">
        <f t="shared" si="4"/>
        <v>52108415721601.625</v>
      </c>
    </row>
    <row r="95" spans="1:13" ht="15.75" customHeight="1" x14ac:dyDescent="0.3">
      <c r="A95" s="7" t="s">
        <v>114</v>
      </c>
      <c r="B95" s="7">
        <v>69.17</v>
      </c>
      <c r="C95" s="7">
        <v>6.43</v>
      </c>
      <c r="D95" s="7">
        <v>0.22</v>
      </c>
      <c r="E95" s="7">
        <v>5.2</v>
      </c>
      <c r="F95" s="7">
        <v>6.0000000000000001E-3</v>
      </c>
      <c r="G95" s="7">
        <v>5.2</v>
      </c>
      <c r="H95" s="7">
        <v>4.5</v>
      </c>
      <c r="I95" s="7">
        <v>63</v>
      </c>
      <c r="L95" s="9">
        <f t="shared" si="3"/>
        <v>239154616240266.91</v>
      </c>
      <c r="M95" s="9">
        <f t="shared" si="4"/>
        <v>573333333333.33325</v>
      </c>
    </row>
    <row r="96" spans="1:13" ht="15.75" customHeight="1" x14ac:dyDescent="0.3">
      <c r="A96" s="7" t="s">
        <v>115</v>
      </c>
      <c r="B96" s="7">
        <v>30.83</v>
      </c>
      <c r="C96" s="7">
        <v>10.61</v>
      </c>
      <c r="D96" s="7">
        <v>1.79</v>
      </c>
      <c r="E96" s="7">
        <v>14.1</v>
      </c>
      <c r="F96" s="7">
        <v>0.4</v>
      </c>
      <c r="G96" s="7">
        <v>14.5</v>
      </c>
      <c r="H96" s="7">
        <v>2.17</v>
      </c>
      <c r="I96" s="7">
        <v>65</v>
      </c>
      <c r="L96" s="9">
        <f t="shared" si="3"/>
        <v>111777188328912.44</v>
      </c>
      <c r="M96" s="9">
        <f t="shared" si="4"/>
        <v>37046153846153.844</v>
      </c>
    </row>
    <row r="97" spans="1:13" ht="15.75" customHeight="1" x14ac:dyDescent="0.3">
      <c r="A97" s="7" t="s">
        <v>116</v>
      </c>
      <c r="B97" s="7" t="s">
        <v>13</v>
      </c>
      <c r="C97" s="7">
        <v>5.68</v>
      </c>
      <c r="D97" s="7" t="s">
        <v>13</v>
      </c>
      <c r="E97" s="7">
        <v>4.0540000000000003</v>
      </c>
      <c r="F97" s="7">
        <v>7.6999999999999999E-2</v>
      </c>
      <c r="G97" s="7">
        <v>4.1310000000000002</v>
      </c>
      <c r="H97" s="7">
        <v>1.1100000000000001</v>
      </c>
      <c r="I97" s="7">
        <v>65.38</v>
      </c>
      <c r="J97" s="14">
        <v>7.14</v>
      </c>
      <c r="K97" s="14">
        <v>65.765000000000001</v>
      </c>
      <c r="L97" s="9">
        <f t="shared" si="3"/>
        <v>56844030840834.336</v>
      </c>
      <c r="M97" s="9">
        <f t="shared" si="4"/>
        <v>7089935760171.3057</v>
      </c>
    </row>
    <row r="98" spans="1:13" ht="15.75" customHeight="1" x14ac:dyDescent="0.3">
      <c r="A98" s="7" t="s">
        <v>117</v>
      </c>
      <c r="B98" s="7">
        <v>48.6</v>
      </c>
      <c r="C98" s="7">
        <v>5.22</v>
      </c>
      <c r="D98" s="7">
        <v>0</v>
      </c>
      <c r="E98" s="7">
        <v>3.42</v>
      </c>
      <c r="F98" s="7">
        <v>0</v>
      </c>
      <c r="G98" s="7">
        <v>3.42</v>
      </c>
      <c r="H98" s="7">
        <v>0.93</v>
      </c>
      <c r="I98" s="7">
        <v>64</v>
      </c>
      <c r="L98" s="9">
        <f t="shared" si="3"/>
        <v>48653017241379.305</v>
      </c>
      <c r="M98" s="9">
        <f t="shared" si="4"/>
        <v>0</v>
      </c>
    </row>
    <row r="99" spans="1:13" ht="15.75" customHeight="1" x14ac:dyDescent="0.3">
      <c r="A99" s="7" t="s">
        <v>118</v>
      </c>
      <c r="B99" s="7">
        <v>27.9</v>
      </c>
      <c r="C99" s="7">
        <v>5.97</v>
      </c>
      <c r="D99" s="7">
        <v>0</v>
      </c>
      <c r="E99" s="7">
        <v>4.4800000000000004</v>
      </c>
      <c r="F99" s="7">
        <v>0</v>
      </c>
      <c r="G99" s="7">
        <v>4.4800000000000004</v>
      </c>
      <c r="H99" s="7">
        <v>0.62</v>
      </c>
      <c r="I99" s="7">
        <v>66</v>
      </c>
      <c r="L99" s="9">
        <f t="shared" si="3"/>
        <v>31452455590386.621</v>
      </c>
      <c r="M99" s="9">
        <f t="shared" si="4"/>
        <v>0</v>
      </c>
    </row>
    <row r="100" spans="1:13" ht="15.75" customHeight="1" x14ac:dyDescent="0.3">
      <c r="A100" s="7" t="s">
        <v>119</v>
      </c>
      <c r="B100" s="7">
        <v>4.0999999999999996</v>
      </c>
      <c r="C100" s="7">
        <v>7.56</v>
      </c>
      <c r="D100" s="7">
        <v>-1.5</v>
      </c>
      <c r="E100" s="7">
        <v>7.18</v>
      </c>
      <c r="F100" s="7">
        <v>0.28000000000000003</v>
      </c>
      <c r="G100" s="7">
        <v>7.46</v>
      </c>
      <c r="H100" s="7">
        <v>6.8</v>
      </c>
      <c r="I100" s="7">
        <v>67</v>
      </c>
      <c r="L100" s="9">
        <f t="shared" si="3"/>
        <v>339813723374230</v>
      </c>
      <c r="M100" s="9">
        <f t="shared" si="4"/>
        <v>25158208955223.875</v>
      </c>
    </row>
    <row r="101" spans="1:13" ht="15.75" customHeight="1" x14ac:dyDescent="0.3">
      <c r="A101" s="7" t="s">
        <v>120</v>
      </c>
      <c r="B101" s="7">
        <v>18.8</v>
      </c>
      <c r="C101" s="7">
        <v>6.03</v>
      </c>
      <c r="D101" s="7">
        <v>0</v>
      </c>
      <c r="E101" s="7">
        <v>4.57</v>
      </c>
      <c r="F101" s="7">
        <v>0</v>
      </c>
      <c r="G101" s="7">
        <v>4.57</v>
      </c>
      <c r="H101" s="7">
        <v>1.1000000000000001</v>
      </c>
      <c r="I101" s="7">
        <v>68</v>
      </c>
      <c r="L101" s="9">
        <f t="shared" si="3"/>
        <v>54161486619119.281</v>
      </c>
      <c r="M101" s="9">
        <f t="shared" si="4"/>
        <v>0</v>
      </c>
    </row>
    <row r="102" spans="1:13" ht="15.75" customHeight="1" x14ac:dyDescent="0.3">
      <c r="A102" s="7" t="s">
        <v>121</v>
      </c>
      <c r="B102" s="7">
        <v>0.6</v>
      </c>
      <c r="C102" s="7">
        <v>6</v>
      </c>
      <c r="D102" s="7">
        <v>0</v>
      </c>
      <c r="E102" s="7">
        <v>4.5</v>
      </c>
      <c r="F102" s="7">
        <v>0</v>
      </c>
      <c r="G102" s="7" t="s">
        <v>122</v>
      </c>
      <c r="H102" s="7">
        <v>9.1999999999999998E-2</v>
      </c>
      <c r="I102" s="7">
        <v>70</v>
      </c>
      <c r="L102" s="9">
        <f t="shared" si="3"/>
        <v>4400444938820.9111</v>
      </c>
      <c r="M102" s="9">
        <f t="shared" si="4"/>
        <v>0</v>
      </c>
    </row>
    <row r="103" spans="1:13" ht="15.75" customHeight="1" x14ac:dyDescent="0.3">
      <c r="A103" s="7" t="s">
        <v>123</v>
      </c>
      <c r="B103" s="7" t="s">
        <v>13</v>
      </c>
      <c r="C103" s="7">
        <v>7.2880000000000003</v>
      </c>
      <c r="D103" s="7" t="s">
        <v>13</v>
      </c>
      <c r="E103" s="7">
        <v>6.6749999999999998</v>
      </c>
      <c r="F103" s="7">
        <v>0.16</v>
      </c>
      <c r="G103" s="7">
        <v>6.83</v>
      </c>
      <c r="H103" s="7">
        <v>2.75</v>
      </c>
      <c r="I103" s="7">
        <v>69.72</v>
      </c>
      <c r="J103" s="14">
        <v>5.9039999999999999</v>
      </c>
      <c r="K103" s="14">
        <v>50.994999999999997</v>
      </c>
      <c r="L103" s="9">
        <f t="shared" si="3"/>
        <v>132063292100549.03</v>
      </c>
      <c r="M103" s="9">
        <f t="shared" si="4"/>
        <v>13815261044176.705</v>
      </c>
    </row>
    <row r="104" spans="1:13" ht="15.75" customHeight="1" x14ac:dyDescent="0.3">
      <c r="A104" s="7" t="s">
        <v>124</v>
      </c>
      <c r="B104" s="7">
        <v>60.1</v>
      </c>
      <c r="C104" s="7">
        <v>7.88</v>
      </c>
      <c r="D104" s="7">
        <v>-0.85</v>
      </c>
      <c r="E104" s="7">
        <v>7.8</v>
      </c>
      <c r="F104" s="7">
        <v>9.0999999999999998E-2</v>
      </c>
      <c r="G104" s="7">
        <v>7.89</v>
      </c>
      <c r="H104" s="7">
        <v>2.1800000000000002</v>
      </c>
      <c r="I104" s="7">
        <v>69</v>
      </c>
      <c r="L104" s="9">
        <f t="shared" si="3"/>
        <v>105782592574680.41</v>
      </c>
      <c r="M104" s="9">
        <f t="shared" si="4"/>
        <v>7939420289855.0713</v>
      </c>
    </row>
    <row r="105" spans="1:13" ht="15.75" customHeight="1" x14ac:dyDescent="0.3">
      <c r="A105" s="7" t="s">
        <v>125</v>
      </c>
      <c r="B105" s="7">
        <v>39.9</v>
      </c>
      <c r="C105" s="7">
        <v>6.4</v>
      </c>
      <c r="D105" s="7">
        <v>-0.82</v>
      </c>
      <c r="E105" s="7">
        <v>5.15</v>
      </c>
      <c r="F105" s="7">
        <v>8.4000000000000005E-2</v>
      </c>
      <c r="G105" s="7">
        <v>5.23</v>
      </c>
      <c r="H105" s="7">
        <v>3.61</v>
      </c>
      <c r="I105" s="7">
        <v>71</v>
      </c>
      <c r="L105" s="9">
        <f t="shared" si="3"/>
        <v>170237666264550.56</v>
      </c>
      <c r="M105" s="9">
        <f t="shared" si="4"/>
        <v>7122253521126.7607</v>
      </c>
    </row>
    <row r="106" spans="1:13" ht="15.75" customHeight="1" x14ac:dyDescent="0.3">
      <c r="A106" s="7" t="s">
        <v>126</v>
      </c>
      <c r="B106" s="7" t="s">
        <v>13</v>
      </c>
      <c r="C106" s="7">
        <v>8.1850000000000005</v>
      </c>
      <c r="D106" s="7" t="s">
        <v>13</v>
      </c>
      <c r="E106" s="7">
        <v>8.42</v>
      </c>
      <c r="F106" s="7">
        <v>0.18</v>
      </c>
      <c r="G106" s="7">
        <v>8.6</v>
      </c>
      <c r="H106" s="7">
        <v>2.2000000000000002</v>
      </c>
      <c r="I106" s="7">
        <v>72.59</v>
      </c>
      <c r="J106" s="14">
        <v>5.35</v>
      </c>
      <c r="K106" s="14">
        <v>44.383000000000003</v>
      </c>
      <c r="L106" s="9">
        <f t="shared" si="3"/>
        <v>101473511230200.05</v>
      </c>
      <c r="M106" s="9">
        <f t="shared" si="4"/>
        <v>14927675988428.154</v>
      </c>
    </row>
    <row r="107" spans="1:13" ht="15.75" customHeight="1" x14ac:dyDescent="0.3">
      <c r="A107" s="7" t="s">
        <v>127</v>
      </c>
      <c r="B107" s="7">
        <v>20.5</v>
      </c>
      <c r="C107" s="7">
        <v>10</v>
      </c>
      <c r="D107" s="7">
        <v>0</v>
      </c>
      <c r="E107" s="7">
        <v>12.6</v>
      </c>
      <c r="F107" s="7">
        <v>0</v>
      </c>
      <c r="G107" s="7">
        <v>12.6</v>
      </c>
      <c r="H107" s="7">
        <v>3</v>
      </c>
      <c r="I107" s="7">
        <v>70</v>
      </c>
      <c r="L107" s="9">
        <f t="shared" si="3"/>
        <v>143492769744160.16</v>
      </c>
      <c r="M107" s="9">
        <f t="shared" si="4"/>
        <v>0</v>
      </c>
    </row>
    <row r="108" spans="1:13" ht="15.75" customHeight="1" x14ac:dyDescent="0.3">
      <c r="A108" s="7" t="s">
        <v>128</v>
      </c>
      <c r="B108" s="7">
        <v>27.4</v>
      </c>
      <c r="C108" s="7">
        <v>8.51</v>
      </c>
      <c r="D108" s="7">
        <v>0</v>
      </c>
      <c r="E108" s="7">
        <v>9.1</v>
      </c>
      <c r="F108" s="7">
        <v>0</v>
      </c>
      <c r="G108" s="7">
        <v>9.1</v>
      </c>
      <c r="H108" s="7">
        <v>0.8</v>
      </c>
      <c r="I108" s="7">
        <v>72</v>
      </c>
      <c r="L108" s="9">
        <f t="shared" si="3"/>
        <v>37201829192930.406</v>
      </c>
      <c r="M108" s="9">
        <f t="shared" si="4"/>
        <v>0</v>
      </c>
    </row>
    <row r="109" spans="1:13" ht="15.75" customHeight="1" x14ac:dyDescent="0.3">
      <c r="A109" s="7" t="s">
        <v>129</v>
      </c>
      <c r="B109" s="7">
        <v>7.8</v>
      </c>
      <c r="C109" s="7">
        <v>5.0199999999999996</v>
      </c>
      <c r="D109" s="7">
        <v>3.4</v>
      </c>
      <c r="E109" s="7">
        <v>3.17</v>
      </c>
      <c r="F109" s="7">
        <v>1.5</v>
      </c>
      <c r="G109" s="7">
        <v>4.7</v>
      </c>
      <c r="H109" s="7">
        <v>15.1</v>
      </c>
      <c r="I109" s="7">
        <v>73</v>
      </c>
      <c r="L109" s="9">
        <f t="shared" si="3"/>
        <v>692565559906745.63</v>
      </c>
      <c r="M109" s="9">
        <f t="shared" si="4"/>
        <v>123698630136986.3</v>
      </c>
    </row>
    <row r="110" spans="1:13" ht="15.75" customHeight="1" x14ac:dyDescent="0.3">
      <c r="A110" s="7" t="s">
        <v>130</v>
      </c>
      <c r="B110" s="7">
        <v>36.5</v>
      </c>
      <c r="C110" s="7">
        <v>7.58</v>
      </c>
      <c r="D110" s="7">
        <v>0</v>
      </c>
      <c r="E110" s="7">
        <v>7.2</v>
      </c>
      <c r="F110" s="7">
        <v>0</v>
      </c>
      <c r="G110" s="7">
        <v>7.2</v>
      </c>
      <c r="H110" s="7">
        <v>0.4</v>
      </c>
      <c r="I110" s="7">
        <v>74</v>
      </c>
      <c r="L110" s="9">
        <f t="shared" si="3"/>
        <v>18098187174939.117</v>
      </c>
      <c r="M110" s="9">
        <f t="shared" si="4"/>
        <v>0</v>
      </c>
    </row>
    <row r="111" spans="1:13" ht="15.75" customHeight="1" x14ac:dyDescent="0.3">
      <c r="A111" s="7" t="s">
        <v>131</v>
      </c>
      <c r="B111" s="7">
        <v>7.8</v>
      </c>
      <c r="C111" s="7">
        <v>8.1999999999999993</v>
      </c>
      <c r="D111" s="7">
        <v>0</v>
      </c>
      <c r="E111" s="7" t="s">
        <v>132</v>
      </c>
      <c r="F111" s="7">
        <v>0</v>
      </c>
      <c r="G111" s="7" t="s">
        <v>132</v>
      </c>
      <c r="H111" s="7">
        <v>0.16</v>
      </c>
      <c r="I111" s="7">
        <v>76</v>
      </c>
      <c r="L111" s="9">
        <f t="shared" si="3"/>
        <v>7048767636555.2363</v>
      </c>
      <c r="M111" s="9">
        <f t="shared" si="4"/>
        <v>0</v>
      </c>
    </row>
    <row r="112" spans="1:13" ht="15.75" customHeight="1" x14ac:dyDescent="0.3">
      <c r="A112" s="7" t="s">
        <v>133</v>
      </c>
      <c r="B112" s="7">
        <v>100</v>
      </c>
      <c r="C112" s="7">
        <v>6.58</v>
      </c>
      <c r="D112" s="7">
        <v>-0.69</v>
      </c>
      <c r="E112" s="7">
        <v>5.44</v>
      </c>
      <c r="F112" s="7">
        <v>0.06</v>
      </c>
      <c r="G112" s="7">
        <v>5.5</v>
      </c>
      <c r="H112" s="7">
        <v>4.5</v>
      </c>
      <c r="I112" s="7">
        <v>74.921599999999998</v>
      </c>
      <c r="J112" s="14">
        <v>5.7270000000000003</v>
      </c>
      <c r="K112" s="14">
        <v>46.031999999999996</v>
      </c>
      <c r="L112" s="9">
        <f t="shared" si="3"/>
        <v>201100094273705</v>
      </c>
      <c r="M112" s="9">
        <f t="shared" si="4"/>
        <v>4821039593388.2881</v>
      </c>
    </row>
    <row r="113" spans="1:13" ht="15.75" customHeight="1" x14ac:dyDescent="0.3">
      <c r="A113" s="7" t="s">
        <v>134</v>
      </c>
      <c r="B113" s="7" t="s">
        <v>13</v>
      </c>
      <c r="C113" s="7">
        <v>7.97</v>
      </c>
      <c r="D113" s="7" t="s">
        <v>13</v>
      </c>
      <c r="E113" s="7">
        <v>7.98</v>
      </c>
      <c r="F113" s="7">
        <v>0.32</v>
      </c>
      <c r="G113" s="7">
        <v>8.3000000000000007</v>
      </c>
      <c r="H113" s="7">
        <v>11.7</v>
      </c>
      <c r="I113" s="7">
        <v>78.959999999999994</v>
      </c>
      <c r="J113" s="14">
        <v>4.8099999999999996</v>
      </c>
      <c r="K113" s="14">
        <v>36.683999999999997</v>
      </c>
      <c r="L113" s="9">
        <f t="shared" si="3"/>
        <v>496118618796298.44</v>
      </c>
      <c r="M113" s="9">
        <f t="shared" si="4"/>
        <v>24397163120567.375</v>
      </c>
    </row>
    <row r="114" spans="1:13" ht="15.75" customHeight="1" x14ac:dyDescent="0.3">
      <c r="A114" s="7" t="s">
        <v>135</v>
      </c>
      <c r="B114" s="7">
        <v>0.9</v>
      </c>
      <c r="C114" s="7">
        <v>0.8</v>
      </c>
      <c r="D114" s="7">
        <v>0</v>
      </c>
      <c r="E114" s="7">
        <v>0.1</v>
      </c>
      <c r="F114" s="7">
        <v>0</v>
      </c>
      <c r="G114" s="7">
        <v>0.1</v>
      </c>
      <c r="H114" s="7">
        <v>51.8</v>
      </c>
      <c r="I114" s="7">
        <v>74</v>
      </c>
      <c r="L114" s="9">
        <f t="shared" si="3"/>
        <v>2343715239154615.5</v>
      </c>
      <c r="M114" s="9">
        <f t="shared" si="4"/>
        <v>0</v>
      </c>
    </row>
    <row r="115" spans="1:13" ht="15.75" customHeight="1" x14ac:dyDescent="0.3">
      <c r="A115" s="7" t="s">
        <v>136</v>
      </c>
      <c r="B115" s="7">
        <v>9</v>
      </c>
      <c r="C115" s="7">
        <v>12.2</v>
      </c>
      <c r="D115" s="7">
        <v>0</v>
      </c>
      <c r="E115" s="7">
        <v>18.7</v>
      </c>
      <c r="F115" s="7">
        <v>0</v>
      </c>
      <c r="G115" s="7">
        <v>18.7</v>
      </c>
      <c r="H115" s="7">
        <v>85</v>
      </c>
      <c r="I115" s="7">
        <v>76</v>
      </c>
      <c r="L115" s="9">
        <f t="shared" si="3"/>
        <v>3744657806919969</v>
      </c>
      <c r="M115" s="9">
        <f t="shared" si="4"/>
        <v>0</v>
      </c>
    </row>
    <row r="116" spans="1:13" ht="15.75" customHeight="1" x14ac:dyDescent="0.3">
      <c r="A116" s="7" t="s">
        <v>137</v>
      </c>
      <c r="B116" s="7">
        <v>7.6</v>
      </c>
      <c r="C116" s="7">
        <v>8.25</v>
      </c>
      <c r="D116" s="7" t="s">
        <v>138</v>
      </c>
      <c r="E116" s="7">
        <v>8.6</v>
      </c>
      <c r="F116" s="7">
        <v>0.05</v>
      </c>
      <c r="G116" s="7">
        <v>8.65</v>
      </c>
      <c r="H116" s="7">
        <v>42</v>
      </c>
      <c r="I116" s="7">
        <v>77</v>
      </c>
      <c r="L116" s="9">
        <f t="shared" si="3"/>
        <v>1826271614925674.5</v>
      </c>
      <c r="M116" s="9">
        <f t="shared" si="4"/>
        <v>3909090909090.9092</v>
      </c>
    </row>
    <row r="117" spans="1:13" ht="15.75" customHeight="1" x14ac:dyDescent="0.3">
      <c r="A117" s="7" t="s">
        <v>139</v>
      </c>
      <c r="B117" s="7">
        <v>23.5</v>
      </c>
      <c r="C117" s="7">
        <v>8.24</v>
      </c>
      <c r="D117" s="7">
        <v>0</v>
      </c>
      <c r="E117" s="7">
        <v>8.5</v>
      </c>
      <c r="F117" s="7">
        <v>0</v>
      </c>
      <c r="G117" s="7">
        <v>8.5</v>
      </c>
      <c r="H117" s="7">
        <v>0.43</v>
      </c>
      <c r="I117" s="7">
        <v>78</v>
      </c>
      <c r="L117" s="9">
        <f t="shared" si="3"/>
        <v>18457830638030.855</v>
      </c>
      <c r="M117" s="9">
        <f t="shared" si="4"/>
        <v>0</v>
      </c>
    </row>
    <row r="118" spans="1:13" ht="15.75" customHeight="1" x14ac:dyDescent="0.3">
      <c r="A118" s="7" t="s">
        <v>140</v>
      </c>
      <c r="B118" s="7">
        <v>49.6</v>
      </c>
      <c r="C118" s="7">
        <v>7.48</v>
      </c>
      <c r="D118" s="7">
        <v>0</v>
      </c>
      <c r="E118" s="7">
        <v>7.03</v>
      </c>
      <c r="F118" s="7">
        <v>0</v>
      </c>
      <c r="G118" s="7">
        <v>7.03</v>
      </c>
      <c r="H118" s="7">
        <v>0.61</v>
      </c>
      <c r="I118" s="7">
        <v>80</v>
      </c>
      <c r="L118" s="9">
        <f t="shared" si="3"/>
        <v>25529755283648.496</v>
      </c>
      <c r="M118" s="9">
        <f t="shared" si="4"/>
        <v>0</v>
      </c>
    </row>
    <row r="119" spans="1:13" ht="15.75" customHeight="1" x14ac:dyDescent="0.3">
      <c r="A119" s="7" t="s">
        <v>141</v>
      </c>
      <c r="B119" s="7">
        <v>9.4</v>
      </c>
      <c r="C119" s="7">
        <v>6.34</v>
      </c>
      <c r="D119" s="7">
        <v>0</v>
      </c>
      <c r="E119" s="7">
        <v>5.05</v>
      </c>
      <c r="F119" s="7">
        <v>0</v>
      </c>
      <c r="G119" s="7">
        <v>5.05</v>
      </c>
      <c r="H119" s="7">
        <v>4.3999999999999997E-2</v>
      </c>
      <c r="I119" s="7">
        <v>82</v>
      </c>
      <c r="L119" s="9">
        <f t="shared" si="3"/>
        <v>1796576141512.2493</v>
      </c>
      <c r="M119" s="9">
        <f t="shared" si="4"/>
        <v>0</v>
      </c>
    </row>
    <row r="120" spans="1:13" ht="15.75" customHeight="1" x14ac:dyDescent="0.3">
      <c r="A120" s="7" t="s">
        <v>142</v>
      </c>
      <c r="B120" s="7" t="s">
        <v>13</v>
      </c>
      <c r="C120" s="7">
        <v>6.7949999999999999</v>
      </c>
      <c r="D120" s="7" t="s">
        <v>13</v>
      </c>
      <c r="E120" s="7">
        <v>5.8</v>
      </c>
      <c r="F120" s="7">
        <v>0.1</v>
      </c>
      <c r="G120" s="7">
        <v>5.9</v>
      </c>
      <c r="H120" s="7">
        <v>6.9</v>
      </c>
      <c r="I120" s="7">
        <v>79.903999999999996</v>
      </c>
      <c r="J120" s="14">
        <v>3.1199999999999999E-3</v>
      </c>
      <c r="K120" s="14">
        <v>2.3514E-2</v>
      </c>
      <c r="L120" s="9">
        <f t="shared" si="3"/>
        <v>289126150490711.19</v>
      </c>
      <c r="M120" s="9">
        <f t="shared" si="4"/>
        <v>7534040849018.8232</v>
      </c>
    </row>
    <row r="121" spans="1:13" ht="15.75" customHeight="1" x14ac:dyDescent="0.3">
      <c r="A121" s="7" t="s">
        <v>143</v>
      </c>
      <c r="B121" s="7">
        <v>50.69</v>
      </c>
      <c r="C121" s="7">
        <v>6.8</v>
      </c>
      <c r="D121" s="7">
        <v>-1.1000000000000001</v>
      </c>
      <c r="E121" s="7">
        <v>5.81</v>
      </c>
      <c r="F121" s="7">
        <v>0.15</v>
      </c>
      <c r="G121" s="7">
        <v>5.96</v>
      </c>
      <c r="H121" s="7">
        <v>11</v>
      </c>
      <c r="I121" s="7">
        <v>79</v>
      </c>
      <c r="L121" s="9">
        <f t="shared" si="3"/>
        <v>466200137987355.88</v>
      </c>
      <c r="M121" s="9">
        <f t="shared" si="4"/>
        <v>11430379746835.439</v>
      </c>
    </row>
    <row r="122" spans="1:13" ht="15.75" customHeight="1" x14ac:dyDescent="0.3">
      <c r="A122" s="7" t="s">
        <v>144</v>
      </c>
      <c r="B122" s="7">
        <v>49.31</v>
      </c>
      <c r="C122" s="7">
        <v>6.79</v>
      </c>
      <c r="D122" s="7">
        <v>0.6</v>
      </c>
      <c r="E122" s="7">
        <v>5.79</v>
      </c>
      <c r="F122" s="7">
        <v>0.05</v>
      </c>
      <c r="G122" s="7">
        <v>5.84</v>
      </c>
      <c r="H122" s="7">
        <v>2.7</v>
      </c>
      <c r="I122" s="7">
        <v>81</v>
      </c>
      <c r="L122" s="9">
        <f t="shared" si="3"/>
        <v>111605487578791.23</v>
      </c>
      <c r="M122" s="9">
        <f t="shared" si="4"/>
        <v>3716049382716.0493</v>
      </c>
    </row>
    <row r="123" spans="1:13" ht="15.75" customHeight="1" x14ac:dyDescent="0.3">
      <c r="A123" s="7" t="s">
        <v>145</v>
      </c>
      <c r="B123" s="7" t="s">
        <v>13</v>
      </c>
      <c r="C123" s="7">
        <v>7.81</v>
      </c>
      <c r="D123" s="7" t="s">
        <v>13</v>
      </c>
      <c r="E123" s="7">
        <v>7.67</v>
      </c>
      <c r="F123" s="7">
        <v>0.01</v>
      </c>
      <c r="G123" s="7">
        <v>7.68</v>
      </c>
      <c r="H123" s="7">
        <v>25</v>
      </c>
      <c r="I123" s="7">
        <v>83.8</v>
      </c>
      <c r="J123" s="14">
        <v>3.7399999999999998E-3</v>
      </c>
      <c r="K123" s="14">
        <v>2.6876000000000001E-2</v>
      </c>
      <c r="L123" s="9">
        <f t="shared" si="3"/>
        <v>998855795752904.63</v>
      </c>
      <c r="M123" s="9">
        <f t="shared" si="4"/>
        <v>718377088305.48914</v>
      </c>
    </row>
    <row r="124" spans="1:13" ht="15.75" customHeight="1" x14ac:dyDescent="0.3">
      <c r="A124" s="7" t="s">
        <v>146</v>
      </c>
      <c r="B124" s="7">
        <v>0.35</v>
      </c>
      <c r="C124" s="7" t="s">
        <v>13</v>
      </c>
      <c r="D124" s="7">
        <v>0</v>
      </c>
      <c r="E124" s="7" t="s">
        <v>13</v>
      </c>
      <c r="F124" s="7">
        <v>0</v>
      </c>
      <c r="G124" s="7" t="s">
        <v>13</v>
      </c>
      <c r="H124" s="7">
        <v>6.4</v>
      </c>
      <c r="I124" s="7">
        <v>78</v>
      </c>
      <c r="L124" s="9">
        <f t="shared" si="3"/>
        <v>274721200193947.66</v>
      </c>
      <c r="M124" s="9">
        <f t="shared" si="4"/>
        <v>0</v>
      </c>
    </row>
    <row r="125" spans="1:13" ht="15.75" customHeight="1" x14ac:dyDescent="0.3">
      <c r="A125" s="7" t="s">
        <v>147</v>
      </c>
      <c r="B125" s="7">
        <v>2.25</v>
      </c>
      <c r="C125" s="7" t="s">
        <v>13</v>
      </c>
      <c r="D125" s="7">
        <v>0</v>
      </c>
      <c r="E125" s="7" t="s">
        <v>13</v>
      </c>
      <c r="F125" s="7">
        <v>0</v>
      </c>
      <c r="G125" s="7" t="s">
        <v>13</v>
      </c>
      <c r="H125" s="7">
        <v>11.8</v>
      </c>
      <c r="I125" s="7">
        <v>80</v>
      </c>
      <c r="L125" s="9">
        <f t="shared" si="3"/>
        <v>493854282536151.19</v>
      </c>
      <c r="M125" s="9">
        <f t="shared" si="4"/>
        <v>0</v>
      </c>
    </row>
    <row r="126" spans="1:13" ht="15.75" customHeight="1" x14ac:dyDescent="0.3">
      <c r="A126" s="7" t="s">
        <v>148</v>
      </c>
      <c r="B126" s="7">
        <v>11.6</v>
      </c>
      <c r="C126" s="7" t="s">
        <v>13</v>
      </c>
      <c r="D126" s="7">
        <v>0</v>
      </c>
      <c r="E126" s="7" t="s">
        <v>13</v>
      </c>
      <c r="F126" s="7">
        <v>0</v>
      </c>
      <c r="G126" s="7" t="s">
        <v>13</v>
      </c>
      <c r="H126" s="7">
        <v>29</v>
      </c>
      <c r="I126" s="7">
        <v>82</v>
      </c>
      <c r="L126" s="9">
        <f t="shared" si="3"/>
        <v>1184107002360346</v>
      </c>
      <c r="M126" s="9">
        <f t="shared" si="4"/>
        <v>0</v>
      </c>
    </row>
    <row r="127" spans="1:13" ht="15.75" customHeight="1" x14ac:dyDescent="0.3">
      <c r="A127" s="7" t="s">
        <v>149</v>
      </c>
      <c r="B127" s="7">
        <v>11.5</v>
      </c>
      <c r="C127" s="7" t="s">
        <v>13</v>
      </c>
      <c r="D127" s="7" t="s">
        <v>13</v>
      </c>
      <c r="E127" s="7" t="s">
        <v>13</v>
      </c>
      <c r="F127" s="7" t="s">
        <v>13</v>
      </c>
      <c r="G127" s="7" t="s">
        <v>13</v>
      </c>
      <c r="H127" s="7">
        <v>185</v>
      </c>
      <c r="I127" s="7">
        <v>83</v>
      </c>
      <c r="L127" s="9">
        <f t="shared" si="3"/>
        <v>7462776579063751</v>
      </c>
    </row>
    <row r="128" spans="1:13" ht="15.75" customHeight="1" x14ac:dyDescent="0.3">
      <c r="A128" s="7" t="s">
        <v>150</v>
      </c>
      <c r="B128" s="7">
        <v>57</v>
      </c>
      <c r="C128" s="7" t="s">
        <v>13</v>
      </c>
      <c r="D128" s="7">
        <v>0</v>
      </c>
      <c r="E128" s="7" t="s">
        <v>13</v>
      </c>
      <c r="F128" s="7">
        <v>0</v>
      </c>
      <c r="G128" s="7">
        <v>6.6</v>
      </c>
      <c r="H128" s="7">
        <v>0.113</v>
      </c>
      <c r="I128" s="7">
        <v>84</v>
      </c>
      <c r="L128" s="9">
        <f t="shared" si="3"/>
        <v>4504078605858.3604</v>
      </c>
      <c r="M128" s="9">
        <f t="shared" si="4"/>
        <v>0</v>
      </c>
    </row>
    <row r="129" spans="1:13" ht="15.75" customHeight="1" x14ac:dyDescent="0.3">
      <c r="A129" s="7" t="s">
        <v>151</v>
      </c>
      <c r="B129" s="7">
        <v>17.3</v>
      </c>
      <c r="C129" s="7">
        <v>8.1</v>
      </c>
      <c r="D129" s="7">
        <v>0</v>
      </c>
      <c r="E129" s="7">
        <v>8.1999999999999993</v>
      </c>
      <c r="F129" s="7">
        <v>0</v>
      </c>
      <c r="G129" s="7">
        <v>8.1999999999999993</v>
      </c>
      <c r="H129" s="7">
        <v>3.0000000000000001E-3</v>
      </c>
      <c r="I129" s="7">
        <v>86</v>
      </c>
      <c r="L129" s="9">
        <f t="shared" si="3"/>
        <v>116796440489.43266</v>
      </c>
      <c r="M129" s="9">
        <f t="shared" si="4"/>
        <v>0</v>
      </c>
    </row>
    <row r="130" spans="1:13" ht="15.75" customHeight="1" x14ac:dyDescent="0.3">
      <c r="A130" s="7" t="s">
        <v>152</v>
      </c>
      <c r="B130" s="7" t="s">
        <v>13</v>
      </c>
      <c r="C130" s="7">
        <v>7.09</v>
      </c>
      <c r="D130" s="7" t="s">
        <v>13</v>
      </c>
      <c r="E130" s="7">
        <v>6.32</v>
      </c>
      <c r="F130" s="7">
        <v>0.5</v>
      </c>
      <c r="G130" s="7">
        <v>6.8</v>
      </c>
      <c r="H130" s="7">
        <v>0.38</v>
      </c>
      <c r="I130" s="7">
        <v>85.467799999999997</v>
      </c>
      <c r="J130" s="14">
        <v>1.532</v>
      </c>
      <c r="K130" s="14">
        <v>10.794</v>
      </c>
      <c r="L130" s="9">
        <f t="shared" si="3"/>
        <v>14886337993937.135</v>
      </c>
      <c r="M130" s="9">
        <f t="shared" si="4"/>
        <v>35217941727761.797</v>
      </c>
    </row>
    <row r="131" spans="1:13" ht="15.75" customHeight="1" x14ac:dyDescent="0.3">
      <c r="A131" s="7" t="s">
        <v>153</v>
      </c>
      <c r="B131" s="7">
        <v>72.17</v>
      </c>
      <c r="C131" s="7">
        <v>7.03</v>
      </c>
      <c r="D131" s="7" t="s">
        <v>13</v>
      </c>
      <c r="E131" s="7">
        <v>6.2</v>
      </c>
      <c r="F131" s="7">
        <v>0.5</v>
      </c>
      <c r="G131" s="7">
        <v>6.7</v>
      </c>
      <c r="H131" s="7">
        <v>0.48</v>
      </c>
      <c r="I131" s="7">
        <v>85</v>
      </c>
      <c r="L131" s="9">
        <f t="shared" si="3"/>
        <v>18907282601583.457</v>
      </c>
      <c r="M131" s="9">
        <f t="shared" si="4"/>
        <v>35411764705882.344</v>
      </c>
    </row>
    <row r="132" spans="1:13" ht="15.75" customHeight="1" x14ac:dyDescent="0.3">
      <c r="A132" s="7" t="s">
        <v>154</v>
      </c>
      <c r="B132" s="7">
        <v>27.83</v>
      </c>
      <c r="C132" s="7">
        <v>7.23</v>
      </c>
      <c r="D132" s="7" t="s">
        <v>13</v>
      </c>
      <c r="E132" s="7">
        <v>6.6</v>
      </c>
      <c r="F132" s="7">
        <v>0.5</v>
      </c>
      <c r="G132" s="7">
        <v>7.1</v>
      </c>
      <c r="H132" s="7">
        <v>0.12</v>
      </c>
      <c r="I132" s="7">
        <v>87</v>
      </c>
      <c r="L132" s="9">
        <f t="shared" ref="L132:L195" si="5">(H132*10^-8/1.798)*6.02*10^23/I132</f>
        <v>4618158106708.6025</v>
      </c>
      <c r="M132" s="9">
        <f t="shared" si="4"/>
        <v>34597701149425.281</v>
      </c>
    </row>
    <row r="133" spans="1:13" ht="15.75" customHeight="1" x14ac:dyDescent="0.3">
      <c r="A133" s="7" t="s">
        <v>155</v>
      </c>
      <c r="B133" s="7" t="s">
        <v>13</v>
      </c>
      <c r="C133" s="7">
        <v>7.02</v>
      </c>
      <c r="D133" s="7" t="s">
        <v>13</v>
      </c>
      <c r="E133" s="7">
        <v>6.19</v>
      </c>
      <c r="F133" s="7">
        <v>0.06</v>
      </c>
      <c r="G133" s="7">
        <v>6.25</v>
      </c>
      <c r="H133" s="7">
        <v>1.28</v>
      </c>
      <c r="I133" s="7">
        <v>87.62</v>
      </c>
      <c r="J133" s="14">
        <v>2.6</v>
      </c>
      <c r="K133" s="14">
        <v>17.869</v>
      </c>
      <c r="L133" s="9">
        <f t="shared" si="5"/>
        <v>48911786384679.109</v>
      </c>
      <c r="M133" s="9">
        <f t="shared" si="4"/>
        <v>4122346496233.7358</v>
      </c>
    </row>
    <row r="134" spans="1:13" ht="15.75" customHeight="1" x14ac:dyDescent="0.3">
      <c r="A134" s="7" t="s">
        <v>156</v>
      </c>
      <c r="B134" s="7">
        <v>0.56000000000000005</v>
      </c>
      <c r="C134" s="7">
        <v>7</v>
      </c>
      <c r="D134" s="7">
        <v>0</v>
      </c>
      <c r="E134" s="7" t="s">
        <v>157</v>
      </c>
      <c r="F134" s="7">
        <v>0</v>
      </c>
      <c r="G134" s="7" t="s">
        <v>157</v>
      </c>
      <c r="H134" s="7">
        <v>0.87</v>
      </c>
      <c r="I134" s="7">
        <v>84</v>
      </c>
      <c r="L134" s="9">
        <f t="shared" si="5"/>
        <v>34677419354838.703</v>
      </c>
      <c r="M134" s="9">
        <f t="shared" si="4"/>
        <v>0</v>
      </c>
    </row>
    <row r="135" spans="1:13" ht="15.75" customHeight="1" x14ac:dyDescent="0.3">
      <c r="A135" s="7" t="s">
        <v>158</v>
      </c>
      <c r="B135" s="7">
        <v>9.86</v>
      </c>
      <c r="C135" s="7">
        <v>5.67</v>
      </c>
      <c r="D135" s="7">
        <v>0</v>
      </c>
      <c r="E135" s="7">
        <v>4.04</v>
      </c>
      <c r="F135" s="7">
        <v>0</v>
      </c>
      <c r="G135" s="7">
        <v>4.04</v>
      </c>
      <c r="H135" s="7">
        <v>1.04</v>
      </c>
      <c r="I135" s="7">
        <v>86</v>
      </c>
      <c r="L135" s="9">
        <f t="shared" si="5"/>
        <v>40489432703003.328</v>
      </c>
      <c r="M135" s="9">
        <f t="shared" si="4"/>
        <v>0</v>
      </c>
    </row>
    <row r="136" spans="1:13" ht="15.75" customHeight="1" x14ac:dyDescent="0.3">
      <c r="A136" s="7" t="s">
        <v>159</v>
      </c>
      <c r="B136" s="7">
        <v>7</v>
      </c>
      <c r="C136" s="7">
        <v>7.4</v>
      </c>
      <c r="D136" s="7" t="s">
        <v>13</v>
      </c>
      <c r="E136" s="7">
        <v>6.88</v>
      </c>
      <c r="F136" s="7">
        <v>0.5</v>
      </c>
      <c r="G136" s="7">
        <v>7.4</v>
      </c>
      <c r="H136" s="7">
        <v>16</v>
      </c>
      <c r="I136" s="7">
        <v>87</v>
      </c>
      <c r="L136" s="9">
        <f t="shared" si="5"/>
        <v>615754414227813.63</v>
      </c>
      <c r="M136" s="9">
        <f t="shared" si="4"/>
        <v>34597701149425.281</v>
      </c>
    </row>
    <row r="137" spans="1:13" ht="15.75" customHeight="1" x14ac:dyDescent="0.3">
      <c r="A137" s="7" t="s">
        <v>160</v>
      </c>
      <c r="B137" s="7">
        <v>82.58</v>
      </c>
      <c r="C137" s="7">
        <v>7.15</v>
      </c>
      <c r="D137" s="7">
        <v>0</v>
      </c>
      <c r="E137" s="7">
        <v>6.42</v>
      </c>
      <c r="F137" s="7">
        <v>0</v>
      </c>
      <c r="G137" s="7">
        <v>6.42</v>
      </c>
      <c r="H137" s="7">
        <v>5.8000000000000003E-2</v>
      </c>
      <c r="I137" s="7">
        <v>88</v>
      </c>
      <c r="L137" s="9">
        <f t="shared" si="5"/>
        <v>2206744868035.1909</v>
      </c>
      <c r="M137" s="9">
        <f t="shared" si="4"/>
        <v>0</v>
      </c>
    </row>
    <row r="138" spans="1:13" ht="15.75" customHeight="1" x14ac:dyDescent="0.3">
      <c r="A138" s="7" t="s">
        <v>161</v>
      </c>
      <c r="B138" s="7">
        <v>100</v>
      </c>
      <c r="C138" s="7">
        <v>7.75</v>
      </c>
      <c r="D138" s="7">
        <v>1.1000000000000001</v>
      </c>
      <c r="E138" s="7">
        <v>7.55</v>
      </c>
      <c r="F138" s="7">
        <v>0.15</v>
      </c>
      <c r="G138" s="7">
        <v>7.7</v>
      </c>
      <c r="H138" s="7">
        <v>1.28</v>
      </c>
      <c r="I138" s="7">
        <v>88.905900000000003</v>
      </c>
      <c r="J138" s="14">
        <v>4.47</v>
      </c>
      <c r="K138" s="14">
        <v>30.277000000000001</v>
      </c>
      <c r="L138" s="9">
        <f t="shared" si="5"/>
        <v>48204345527412.508</v>
      </c>
      <c r="M138" s="9">
        <f t="shared" si="4"/>
        <v>10156806241205.586</v>
      </c>
    </row>
    <row r="139" spans="1:13" ht="15.75" customHeight="1" x14ac:dyDescent="0.3">
      <c r="A139" s="7" t="s">
        <v>162</v>
      </c>
      <c r="B139" s="7" t="s">
        <v>13</v>
      </c>
      <c r="C139" s="7">
        <v>7.16</v>
      </c>
      <c r="D139" s="7" t="s">
        <v>13</v>
      </c>
      <c r="E139" s="7">
        <v>6.44</v>
      </c>
      <c r="F139" s="7">
        <v>0.02</v>
      </c>
      <c r="G139" s="7">
        <v>6.46</v>
      </c>
      <c r="H139" s="7">
        <v>0.185</v>
      </c>
      <c r="I139" s="7">
        <v>91.22</v>
      </c>
      <c r="J139" s="14">
        <v>6.49</v>
      </c>
      <c r="K139" s="14">
        <v>42.844999999999999</v>
      </c>
      <c r="L139" s="9">
        <f t="shared" si="5"/>
        <v>6790292217302.0313</v>
      </c>
      <c r="M139" s="9">
        <f t="shared" si="4"/>
        <v>1319885989914.4922</v>
      </c>
    </row>
    <row r="140" spans="1:13" ht="15.75" customHeight="1" x14ac:dyDescent="0.3">
      <c r="A140" s="7" t="s">
        <v>163</v>
      </c>
      <c r="B140" s="7">
        <v>51.45</v>
      </c>
      <c r="C140" s="7">
        <v>6.4</v>
      </c>
      <c r="D140" s="7">
        <v>0</v>
      </c>
      <c r="E140" s="7">
        <v>5.0999999999999996</v>
      </c>
      <c r="F140" s="7">
        <v>0</v>
      </c>
      <c r="G140" s="7">
        <v>5.0999999999999996</v>
      </c>
      <c r="H140" s="7">
        <v>1.0999999999999999E-2</v>
      </c>
      <c r="I140" s="7">
        <v>90</v>
      </c>
      <c r="L140" s="9">
        <f t="shared" si="5"/>
        <v>409220121122.23456</v>
      </c>
      <c r="M140" s="9">
        <f t="shared" si="4"/>
        <v>0</v>
      </c>
    </row>
    <row r="141" spans="1:13" ht="15.75" customHeight="1" x14ac:dyDescent="0.3">
      <c r="A141" s="7" t="s">
        <v>164</v>
      </c>
      <c r="B141" s="7">
        <v>11.32</v>
      </c>
      <c r="C141" s="7">
        <v>8.6999999999999993</v>
      </c>
      <c r="D141" s="7">
        <v>-1.08</v>
      </c>
      <c r="E141" s="7">
        <v>9.5</v>
      </c>
      <c r="F141" s="7">
        <v>0.15</v>
      </c>
      <c r="G141" s="7">
        <v>9.6999999999999993</v>
      </c>
      <c r="H141" s="7">
        <v>1.17</v>
      </c>
      <c r="I141" s="7">
        <v>91</v>
      </c>
      <c r="L141" s="9">
        <f t="shared" si="5"/>
        <v>43047830923248.047</v>
      </c>
      <c r="M141" s="9">
        <f t="shared" si="4"/>
        <v>9923076923076.9199</v>
      </c>
    </row>
    <row r="142" spans="1:13" ht="15.75" customHeight="1" x14ac:dyDescent="0.3">
      <c r="A142" s="7" t="s">
        <v>165</v>
      </c>
      <c r="B142" s="7">
        <v>17.190000000000001</v>
      </c>
      <c r="C142" s="7">
        <v>7.4</v>
      </c>
      <c r="D142" s="7">
        <v>0</v>
      </c>
      <c r="E142" s="7">
        <v>6.9</v>
      </c>
      <c r="F142" s="7">
        <v>0</v>
      </c>
      <c r="G142" s="7">
        <v>6.9</v>
      </c>
      <c r="H142" s="7">
        <v>0.22</v>
      </c>
      <c r="I142" s="7">
        <v>92</v>
      </c>
      <c r="L142" s="9">
        <f t="shared" si="5"/>
        <v>8006480630652.416</v>
      </c>
      <c r="M142" s="9">
        <f t="shared" ref="M142:M205" si="6">F142*10^-8*6.02*10^23/I142</f>
        <v>0</v>
      </c>
    </row>
    <row r="143" spans="1:13" ht="15.75" customHeight="1" x14ac:dyDescent="0.3">
      <c r="A143" s="7" t="s">
        <v>166</v>
      </c>
      <c r="B143" s="7">
        <v>17.28</v>
      </c>
      <c r="C143" s="7">
        <v>8.1999999999999993</v>
      </c>
      <c r="D143" s="7">
        <v>0</v>
      </c>
      <c r="E143" s="7">
        <v>8.4</v>
      </c>
      <c r="F143" s="7">
        <v>0</v>
      </c>
      <c r="G143" s="7">
        <v>8.4</v>
      </c>
      <c r="H143" s="7">
        <v>4.99E-2</v>
      </c>
      <c r="I143" s="7">
        <v>94</v>
      </c>
      <c r="L143" s="9">
        <f t="shared" si="5"/>
        <v>1777376754313.303</v>
      </c>
      <c r="M143" s="9">
        <f t="shared" si="6"/>
        <v>0</v>
      </c>
    </row>
    <row r="144" spans="1:13" ht="15.75" customHeight="1" x14ac:dyDescent="0.3">
      <c r="A144" s="7" t="s">
        <v>167</v>
      </c>
      <c r="B144" s="7">
        <v>2.76</v>
      </c>
      <c r="C144" s="7">
        <v>5.5</v>
      </c>
      <c r="D144" s="7">
        <v>0</v>
      </c>
      <c r="E144" s="7">
        <v>3.8</v>
      </c>
      <c r="F144" s="7">
        <v>0</v>
      </c>
      <c r="G144" s="7">
        <v>3.8</v>
      </c>
      <c r="H144" s="7">
        <v>2.29E-2</v>
      </c>
      <c r="I144" s="7">
        <v>96</v>
      </c>
      <c r="L144" s="9">
        <f t="shared" si="5"/>
        <v>798676770485.72473</v>
      </c>
      <c r="M144" s="9">
        <f t="shared" si="6"/>
        <v>0</v>
      </c>
    </row>
    <row r="145" spans="1:13" ht="15.75" customHeight="1" x14ac:dyDescent="0.3">
      <c r="A145" s="7" t="s">
        <v>168</v>
      </c>
      <c r="B145" s="7">
        <v>100</v>
      </c>
      <c r="C145" s="7">
        <v>7.0540000000000003</v>
      </c>
      <c r="D145" s="7">
        <v>-0.13900000000000001</v>
      </c>
      <c r="E145" s="7">
        <v>6.2530000000000001</v>
      </c>
      <c r="F145" s="7">
        <v>2.3999999999999998E-3</v>
      </c>
      <c r="G145" s="7">
        <v>6.2549999999999999</v>
      </c>
      <c r="H145" s="7">
        <v>1.1499999999999999</v>
      </c>
      <c r="I145" s="7">
        <v>92.906400000000005</v>
      </c>
      <c r="J145" s="14">
        <v>8.57</v>
      </c>
      <c r="K145" s="14">
        <v>55.548999999999999</v>
      </c>
      <c r="L145" s="9">
        <f t="shared" si="5"/>
        <v>41443746840565.313</v>
      </c>
      <c r="M145" s="9">
        <f t="shared" si="6"/>
        <v>155511353362.09341</v>
      </c>
    </row>
    <row r="146" spans="1:13" ht="15.75" customHeight="1" x14ac:dyDescent="0.3">
      <c r="A146" s="7" t="s">
        <v>169</v>
      </c>
      <c r="B146" s="7" t="s">
        <v>13</v>
      </c>
      <c r="C146" s="7">
        <v>6.7149999999999999</v>
      </c>
      <c r="D146" s="7" t="s">
        <v>13</v>
      </c>
      <c r="E146" s="7">
        <v>5.67</v>
      </c>
      <c r="F146" s="7">
        <v>0.04</v>
      </c>
      <c r="G146" s="7">
        <v>5.71</v>
      </c>
      <c r="H146" s="7">
        <v>2.48</v>
      </c>
      <c r="I146" s="7">
        <v>95.94</v>
      </c>
      <c r="J146" s="14">
        <v>10.199999999999999</v>
      </c>
      <c r="K146" s="14">
        <v>64.024000000000001</v>
      </c>
      <c r="L146" s="9">
        <f t="shared" si="5"/>
        <v>86548345589556.688</v>
      </c>
      <c r="M146" s="9">
        <f t="shared" si="6"/>
        <v>2509902022097.1436</v>
      </c>
    </row>
    <row r="147" spans="1:13" ht="15.75" customHeight="1" x14ac:dyDescent="0.3">
      <c r="A147" s="7" t="s">
        <v>170</v>
      </c>
      <c r="B147" s="7">
        <v>14.84</v>
      </c>
      <c r="C147" s="7">
        <v>6.91</v>
      </c>
      <c r="D147" s="7">
        <v>0</v>
      </c>
      <c r="E147" s="7">
        <v>6</v>
      </c>
      <c r="F147" s="7">
        <v>0</v>
      </c>
      <c r="G147" s="7">
        <v>6</v>
      </c>
      <c r="H147" s="7">
        <v>1.9E-2</v>
      </c>
      <c r="I147" s="7">
        <v>92</v>
      </c>
      <c r="L147" s="9">
        <f t="shared" si="5"/>
        <v>691468781738.16309</v>
      </c>
      <c r="M147" s="9">
        <f t="shared" si="6"/>
        <v>0</v>
      </c>
    </row>
    <row r="148" spans="1:13" ht="15.75" customHeight="1" x14ac:dyDescent="0.3">
      <c r="A148" s="7" t="s">
        <v>171</v>
      </c>
      <c r="B148" s="7">
        <v>9.25</v>
      </c>
      <c r="C148" s="7">
        <v>6.8</v>
      </c>
      <c r="D148" s="7">
        <v>0</v>
      </c>
      <c r="E148" s="7">
        <v>5.81</v>
      </c>
      <c r="F148" s="7">
        <v>0</v>
      </c>
      <c r="G148" s="7">
        <v>5.81</v>
      </c>
      <c r="H148" s="7">
        <v>1.4999999999999999E-2</v>
      </c>
      <c r="I148" s="7">
        <v>94</v>
      </c>
      <c r="L148" s="9">
        <f t="shared" si="5"/>
        <v>534281589472.93677</v>
      </c>
      <c r="M148" s="9">
        <f t="shared" si="6"/>
        <v>0</v>
      </c>
    </row>
    <row r="149" spans="1:13" ht="15.75" customHeight="1" x14ac:dyDescent="0.3">
      <c r="A149" s="7" t="s">
        <v>172</v>
      </c>
      <c r="B149" s="7">
        <v>15.92</v>
      </c>
      <c r="C149" s="7">
        <v>6.91</v>
      </c>
      <c r="D149" s="7" t="s">
        <v>13</v>
      </c>
      <c r="E149" s="7">
        <v>6</v>
      </c>
      <c r="F149" s="7">
        <v>0.5</v>
      </c>
      <c r="G149" s="7">
        <v>6.5</v>
      </c>
      <c r="H149" s="7">
        <v>13.1</v>
      </c>
      <c r="I149" s="7">
        <v>95</v>
      </c>
      <c r="L149" s="9">
        <f t="shared" si="5"/>
        <v>461694280194367.94</v>
      </c>
      <c r="M149" s="9">
        <f t="shared" si="6"/>
        <v>31684210526315.785</v>
      </c>
    </row>
    <row r="150" spans="1:13" ht="15.75" customHeight="1" x14ac:dyDescent="0.3">
      <c r="A150" s="7" t="s">
        <v>173</v>
      </c>
      <c r="B150" s="7">
        <v>16.68</v>
      </c>
      <c r="C150" s="7">
        <v>6.2</v>
      </c>
      <c r="D150" s="7">
        <v>0</v>
      </c>
      <c r="E150" s="7">
        <v>4.83</v>
      </c>
      <c r="F150" s="7">
        <v>0</v>
      </c>
      <c r="G150" s="7">
        <v>4.83</v>
      </c>
      <c r="H150" s="7">
        <v>0.5</v>
      </c>
      <c r="I150" s="7">
        <v>96</v>
      </c>
      <c r="L150" s="9">
        <f t="shared" si="5"/>
        <v>17438357434186.127</v>
      </c>
      <c r="M150" s="9">
        <f t="shared" si="6"/>
        <v>0</v>
      </c>
    </row>
    <row r="151" spans="1:13" ht="15.75" customHeight="1" x14ac:dyDescent="0.3">
      <c r="A151" s="7" t="s">
        <v>174</v>
      </c>
      <c r="B151" s="7">
        <v>9.5500000000000007</v>
      </c>
      <c r="C151" s="7">
        <v>7.24</v>
      </c>
      <c r="D151" s="7" t="s">
        <v>13</v>
      </c>
      <c r="E151" s="7">
        <v>6.59</v>
      </c>
      <c r="F151" s="7">
        <v>0.5</v>
      </c>
      <c r="G151" s="7">
        <v>7.1</v>
      </c>
      <c r="H151" s="7">
        <v>2.5</v>
      </c>
      <c r="I151" s="7">
        <v>97</v>
      </c>
      <c r="L151" s="9">
        <f t="shared" si="5"/>
        <v>86292902767106.625</v>
      </c>
      <c r="M151" s="9">
        <f t="shared" si="6"/>
        <v>31030927835051.543</v>
      </c>
    </row>
    <row r="152" spans="1:13" ht="15.75" customHeight="1" x14ac:dyDescent="0.3">
      <c r="A152" s="7" t="s">
        <v>175</v>
      </c>
      <c r="B152" s="7">
        <v>24.13</v>
      </c>
      <c r="C152" s="7">
        <v>6.58</v>
      </c>
      <c r="D152" s="7">
        <v>0</v>
      </c>
      <c r="E152" s="7">
        <v>5.44</v>
      </c>
      <c r="F152" s="7">
        <v>0</v>
      </c>
      <c r="G152" s="7">
        <v>5.44</v>
      </c>
      <c r="H152" s="7">
        <v>0.127</v>
      </c>
      <c r="I152" s="7">
        <v>98</v>
      </c>
      <c r="L152" s="9">
        <f t="shared" si="5"/>
        <v>4338948037501.9854</v>
      </c>
      <c r="M152" s="9">
        <f t="shared" si="6"/>
        <v>0</v>
      </c>
    </row>
    <row r="153" spans="1:13" ht="15.75" customHeight="1" x14ac:dyDescent="0.3">
      <c r="A153" s="7" t="s">
        <v>176</v>
      </c>
      <c r="B153" s="7">
        <v>9.6300000000000008</v>
      </c>
      <c r="C153" s="7">
        <v>6.73</v>
      </c>
      <c r="D153" s="7">
        <v>0</v>
      </c>
      <c r="E153" s="7">
        <v>5.69</v>
      </c>
      <c r="F153" s="7">
        <v>0</v>
      </c>
      <c r="G153" s="7">
        <v>5.69</v>
      </c>
      <c r="H153" s="7">
        <v>0.4</v>
      </c>
      <c r="I153" s="7">
        <v>100</v>
      </c>
      <c r="L153" s="9">
        <f t="shared" si="5"/>
        <v>13392658509454.947</v>
      </c>
      <c r="M153" s="9">
        <f t="shared" si="6"/>
        <v>0</v>
      </c>
    </row>
    <row r="154" spans="1:13" ht="15.75" customHeight="1" x14ac:dyDescent="0.3">
      <c r="A154" s="7" t="s">
        <v>177</v>
      </c>
      <c r="B154" s="7" t="s">
        <v>178</v>
      </c>
      <c r="C154" s="7">
        <v>6.8</v>
      </c>
      <c r="D154" s="7" t="s">
        <v>13</v>
      </c>
      <c r="E154" s="7">
        <v>5.8</v>
      </c>
      <c r="F154" s="7">
        <v>0.5</v>
      </c>
      <c r="G154" s="7">
        <v>6.3</v>
      </c>
      <c r="H154" s="7">
        <v>20</v>
      </c>
      <c r="I154" s="7">
        <v>98</v>
      </c>
      <c r="J154" s="14">
        <v>11.5</v>
      </c>
      <c r="K154" s="14">
        <v>70.665999999999997</v>
      </c>
      <c r="L154" s="9">
        <f t="shared" si="5"/>
        <v>683298903543619.75</v>
      </c>
      <c r="M154" s="9">
        <f t="shared" si="6"/>
        <v>30714285714285.711</v>
      </c>
    </row>
    <row r="155" spans="1:13" ht="15.75" customHeight="1" x14ac:dyDescent="0.3">
      <c r="A155" s="7" t="s">
        <v>179</v>
      </c>
      <c r="B155" s="7" t="s">
        <v>13</v>
      </c>
      <c r="C155" s="7">
        <v>7.03</v>
      </c>
      <c r="D155" s="7" t="s">
        <v>13</v>
      </c>
      <c r="E155" s="7">
        <v>6.21</v>
      </c>
      <c r="F155" s="7">
        <v>0.4</v>
      </c>
      <c r="G155" s="7">
        <v>6.6</v>
      </c>
      <c r="H155" s="7">
        <v>2.56</v>
      </c>
      <c r="I155" s="7">
        <v>101.07</v>
      </c>
      <c r="J155" s="14">
        <v>12.3</v>
      </c>
      <c r="K155" s="14">
        <v>73.286000000000001</v>
      </c>
      <c r="L155" s="9">
        <f t="shared" si="5"/>
        <v>84805594598309.766</v>
      </c>
      <c r="M155" s="9">
        <f t="shared" si="6"/>
        <v>23825071732462.652</v>
      </c>
    </row>
    <row r="156" spans="1:13" ht="15.75" customHeight="1" x14ac:dyDescent="0.3">
      <c r="A156" s="7" t="s">
        <v>180</v>
      </c>
      <c r="B156" s="7">
        <v>5.5</v>
      </c>
      <c r="C156" s="7" t="s">
        <v>13</v>
      </c>
      <c r="D156" s="7">
        <v>0</v>
      </c>
      <c r="E156" s="7" t="s">
        <v>13</v>
      </c>
      <c r="F156" s="7">
        <v>0</v>
      </c>
      <c r="G156" s="7" t="s">
        <v>13</v>
      </c>
      <c r="H156" s="7">
        <v>0.28000000000000003</v>
      </c>
      <c r="I156" s="7">
        <v>96</v>
      </c>
      <c r="L156" s="9">
        <f t="shared" si="5"/>
        <v>9765480163144.2324</v>
      </c>
      <c r="M156" s="9">
        <f t="shared" si="6"/>
        <v>0</v>
      </c>
    </row>
    <row r="157" spans="1:13" ht="15.75" customHeight="1" x14ac:dyDescent="0.3">
      <c r="A157" s="7" t="s">
        <v>181</v>
      </c>
      <c r="B157" s="7">
        <v>1.9</v>
      </c>
      <c r="C157" s="7" t="s">
        <v>13</v>
      </c>
      <c r="D157" s="7">
        <v>0</v>
      </c>
      <c r="E157" s="7" t="s">
        <v>13</v>
      </c>
      <c r="F157" s="7">
        <v>0</v>
      </c>
      <c r="G157" s="7" t="s">
        <v>13</v>
      </c>
      <c r="H157" s="7" t="s">
        <v>182</v>
      </c>
      <c r="I157" s="7"/>
      <c r="L157" s="9" t="e">
        <f t="shared" si="5"/>
        <v>#VALUE!</v>
      </c>
    </row>
    <row r="158" spans="1:13" ht="15.75" customHeight="1" x14ac:dyDescent="0.3">
      <c r="A158" s="7" t="s">
        <v>183</v>
      </c>
      <c r="B158" s="7">
        <v>12.7</v>
      </c>
      <c r="C158" s="7" t="s">
        <v>13</v>
      </c>
      <c r="D158" s="7" t="s">
        <v>13</v>
      </c>
      <c r="E158" s="7" t="s">
        <v>13</v>
      </c>
      <c r="F158" s="7" t="s">
        <v>13</v>
      </c>
      <c r="G158" s="7" t="s">
        <v>13</v>
      </c>
      <c r="H158" s="7">
        <v>6.9</v>
      </c>
      <c r="I158" s="7">
        <v>99</v>
      </c>
      <c r="L158" s="9">
        <f t="shared" si="5"/>
        <v>233356928573836.25</v>
      </c>
    </row>
    <row r="159" spans="1:13" ht="15.75" customHeight="1" x14ac:dyDescent="0.3">
      <c r="A159" s="7" t="s">
        <v>184</v>
      </c>
      <c r="B159" s="7">
        <v>12.6</v>
      </c>
      <c r="C159" s="7" t="s">
        <v>13</v>
      </c>
      <c r="D159" s="7">
        <v>0</v>
      </c>
      <c r="E159" s="7" t="s">
        <v>13</v>
      </c>
      <c r="F159" s="7">
        <v>0</v>
      </c>
      <c r="G159" s="7" t="s">
        <v>13</v>
      </c>
      <c r="H159" s="7">
        <v>4.8</v>
      </c>
      <c r="I159" s="7">
        <v>100</v>
      </c>
      <c r="L159" s="9">
        <f t="shared" si="5"/>
        <v>160711902113459.38</v>
      </c>
      <c r="M159" s="9">
        <f t="shared" si="6"/>
        <v>0</v>
      </c>
    </row>
    <row r="160" spans="1:13" ht="15.75" customHeight="1" x14ac:dyDescent="0.3">
      <c r="A160" s="7" t="s">
        <v>185</v>
      </c>
      <c r="B160" s="7">
        <v>17</v>
      </c>
      <c r="C160" s="7" t="s">
        <v>13</v>
      </c>
      <c r="D160" s="7" t="s">
        <v>13</v>
      </c>
      <c r="E160" s="7" t="s">
        <v>13</v>
      </c>
      <c r="F160" s="7" t="s">
        <v>13</v>
      </c>
      <c r="G160" s="7" t="s">
        <v>13</v>
      </c>
      <c r="H160" s="7">
        <v>3.3</v>
      </c>
      <c r="I160" s="7">
        <v>101</v>
      </c>
      <c r="L160" s="9">
        <f t="shared" si="5"/>
        <v>109395477923765.64</v>
      </c>
    </row>
    <row r="161" spans="1:13" ht="15.75" customHeight="1" x14ac:dyDescent="0.3">
      <c r="A161" s="7" t="s">
        <v>186</v>
      </c>
      <c r="B161" s="7">
        <v>31.6</v>
      </c>
      <c r="C161" s="7" t="s">
        <v>13</v>
      </c>
      <c r="D161" s="7">
        <v>0</v>
      </c>
      <c r="E161" s="7" t="s">
        <v>13</v>
      </c>
      <c r="F161" s="7">
        <v>0</v>
      </c>
      <c r="G161" s="7">
        <v>144.80000000000001</v>
      </c>
      <c r="H161" s="7">
        <v>1.17</v>
      </c>
      <c r="I161" s="7">
        <v>102</v>
      </c>
      <c r="L161" s="9">
        <f t="shared" si="5"/>
        <v>38405417784466.391</v>
      </c>
      <c r="M161" s="9">
        <f t="shared" si="6"/>
        <v>0</v>
      </c>
    </row>
    <row r="162" spans="1:13" ht="15.75" customHeight="1" x14ac:dyDescent="0.3">
      <c r="A162" s="7" t="s">
        <v>187</v>
      </c>
      <c r="B162" s="7">
        <v>18.7</v>
      </c>
      <c r="C162" s="7" t="s">
        <v>13</v>
      </c>
      <c r="D162" s="7">
        <v>0</v>
      </c>
      <c r="E162" s="7" t="s">
        <v>13</v>
      </c>
      <c r="F162" s="7">
        <v>0</v>
      </c>
      <c r="G162" s="7">
        <v>4.4829999999999997</v>
      </c>
      <c r="H162" s="7">
        <v>0.31</v>
      </c>
      <c r="I162" s="7">
        <v>104</v>
      </c>
      <c r="L162" s="9">
        <f t="shared" si="5"/>
        <v>9980106100795.7539</v>
      </c>
      <c r="M162" s="9">
        <f t="shared" si="6"/>
        <v>0</v>
      </c>
    </row>
    <row r="163" spans="1:13" ht="15.75" customHeight="1" x14ac:dyDescent="0.3">
      <c r="A163" s="7" t="s">
        <v>188</v>
      </c>
      <c r="B163" s="7">
        <v>100</v>
      </c>
      <c r="C163" s="7">
        <v>5.88</v>
      </c>
      <c r="D163" s="7" t="s">
        <v>13</v>
      </c>
      <c r="E163" s="7">
        <v>4.34</v>
      </c>
      <c r="F163" s="7">
        <v>0.3</v>
      </c>
      <c r="G163" s="7">
        <v>4.5999999999999996</v>
      </c>
      <c r="H163" s="7">
        <v>144.80000000000001</v>
      </c>
      <c r="I163" s="7">
        <v>102.90600000000001</v>
      </c>
      <c r="J163" s="14">
        <v>12.4</v>
      </c>
      <c r="K163" s="14">
        <v>72.563999999999993</v>
      </c>
      <c r="L163" s="9">
        <f t="shared" si="5"/>
        <v>4711233922631033</v>
      </c>
      <c r="M163" s="9">
        <f t="shared" si="6"/>
        <v>17549997084718.086</v>
      </c>
    </row>
    <row r="164" spans="1:13" ht="15.75" customHeight="1" x14ac:dyDescent="0.3">
      <c r="A164" s="7" t="s">
        <v>189</v>
      </c>
      <c r="B164" s="7" t="s">
        <v>13</v>
      </c>
      <c r="C164" s="7">
        <v>5.91</v>
      </c>
      <c r="D164" s="7" t="s">
        <v>13</v>
      </c>
      <c r="E164" s="7">
        <v>4.3899999999999997</v>
      </c>
      <c r="F164" s="7">
        <v>9.2999999999999999E-2</v>
      </c>
      <c r="G164" s="7">
        <v>4.4800000000000004</v>
      </c>
      <c r="H164" s="7">
        <v>6.9</v>
      </c>
      <c r="I164" s="7">
        <v>106.4</v>
      </c>
      <c r="J164" s="14">
        <v>12.02</v>
      </c>
      <c r="K164" s="14">
        <v>68.03</v>
      </c>
      <c r="L164" s="9">
        <f t="shared" si="5"/>
        <v>217127217376031.84</v>
      </c>
      <c r="M164" s="9">
        <f t="shared" si="6"/>
        <v>5261842105263.1563</v>
      </c>
    </row>
    <row r="165" spans="1:13" ht="15.75" customHeight="1" x14ac:dyDescent="0.3">
      <c r="A165" s="7" t="s">
        <v>190</v>
      </c>
      <c r="B165" s="7">
        <v>1.02</v>
      </c>
      <c r="C165" s="7">
        <v>7.7</v>
      </c>
      <c r="D165" s="7">
        <v>0</v>
      </c>
      <c r="E165" s="7" t="s">
        <v>191</v>
      </c>
      <c r="F165" s="7">
        <v>0</v>
      </c>
      <c r="G165" s="7" t="s">
        <v>191</v>
      </c>
      <c r="H165" s="7">
        <v>3.4</v>
      </c>
      <c r="I165" s="7">
        <v>102</v>
      </c>
      <c r="L165" s="9">
        <f t="shared" si="5"/>
        <v>111605487578791.23</v>
      </c>
      <c r="M165" s="9">
        <f t="shared" si="6"/>
        <v>0</v>
      </c>
    </row>
    <row r="166" spans="1:13" ht="15.75" customHeight="1" x14ac:dyDescent="0.3">
      <c r="A166" s="7" t="s">
        <v>192</v>
      </c>
      <c r="B166" s="7">
        <v>11.14</v>
      </c>
      <c r="C166" s="7">
        <v>7.7</v>
      </c>
      <c r="D166" s="7">
        <v>0</v>
      </c>
      <c r="E166" s="7" t="s">
        <v>191</v>
      </c>
      <c r="F166" s="7">
        <v>0</v>
      </c>
      <c r="G166" s="7" t="s">
        <v>191</v>
      </c>
      <c r="H166" s="7">
        <v>0.6</v>
      </c>
      <c r="I166" s="7">
        <v>104</v>
      </c>
      <c r="L166" s="9">
        <f t="shared" si="5"/>
        <v>19316334388636.941</v>
      </c>
      <c r="M166" s="9">
        <f t="shared" si="6"/>
        <v>0</v>
      </c>
    </row>
    <row r="167" spans="1:13" ht="15.75" customHeight="1" x14ac:dyDescent="0.3">
      <c r="A167" s="7" t="s">
        <v>193</v>
      </c>
      <c r="B167" s="7">
        <v>22.33</v>
      </c>
      <c r="C167" s="7">
        <v>5.5</v>
      </c>
      <c r="D167" s="7" t="s">
        <v>194</v>
      </c>
      <c r="E167" s="7">
        <v>3.8</v>
      </c>
      <c r="F167" s="7">
        <v>0.8</v>
      </c>
      <c r="G167" s="7" t="s">
        <v>195</v>
      </c>
      <c r="H167" s="7">
        <v>20</v>
      </c>
      <c r="I167" s="7">
        <v>105</v>
      </c>
      <c r="L167" s="9">
        <f t="shared" si="5"/>
        <v>637745643307378.5</v>
      </c>
      <c r="M167" s="9">
        <f t="shared" si="6"/>
        <v>45866666666666.664</v>
      </c>
    </row>
    <row r="168" spans="1:13" ht="15.75" customHeight="1" x14ac:dyDescent="0.3">
      <c r="A168" s="7" t="s">
        <v>196</v>
      </c>
      <c r="B168" s="7">
        <v>27.33</v>
      </c>
      <c r="C168" s="7">
        <v>6.4</v>
      </c>
      <c r="D168" s="7">
        <v>0</v>
      </c>
      <c r="E168" s="7">
        <v>5.0999999999999996</v>
      </c>
      <c r="F168" s="7">
        <v>0</v>
      </c>
      <c r="G168" s="7">
        <v>5.0999999999999996</v>
      </c>
      <c r="H168" s="7">
        <v>0.30399999999999999</v>
      </c>
      <c r="I168" s="7">
        <v>106</v>
      </c>
      <c r="L168" s="9">
        <f t="shared" si="5"/>
        <v>9602283459609.207</v>
      </c>
      <c r="M168" s="9">
        <f t="shared" si="6"/>
        <v>0</v>
      </c>
    </row>
    <row r="169" spans="1:13" ht="15.75" customHeight="1" x14ac:dyDescent="0.3">
      <c r="A169" s="7" t="s">
        <v>197</v>
      </c>
      <c r="B169" s="7">
        <v>26.46</v>
      </c>
      <c r="C169" s="7">
        <v>4.0999999999999996</v>
      </c>
      <c r="D169" s="7">
        <v>0</v>
      </c>
      <c r="E169" s="7">
        <v>2.1</v>
      </c>
      <c r="F169" s="7">
        <v>0</v>
      </c>
      <c r="G169" s="7">
        <v>2.1</v>
      </c>
      <c r="H169" s="7">
        <v>8.5500000000000007</v>
      </c>
      <c r="I169" s="7">
        <v>108</v>
      </c>
      <c r="L169" s="9">
        <f t="shared" si="5"/>
        <v>265063032999629.19</v>
      </c>
      <c r="M169" s="9">
        <f t="shared" si="6"/>
        <v>0</v>
      </c>
    </row>
    <row r="170" spans="1:13" ht="15.75" customHeight="1" x14ac:dyDescent="0.3">
      <c r="A170" s="7" t="s">
        <v>198</v>
      </c>
      <c r="B170" s="7">
        <v>11.72</v>
      </c>
      <c r="C170" s="7">
        <v>7.7</v>
      </c>
      <c r="D170" s="7">
        <v>0</v>
      </c>
      <c r="E170" s="7" t="s">
        <v>191</v>
      </c>
      <c r="F170" s="7">
        <v>0</v>
      </c>
      <c r="G170" s="7" t="s">
        <v>191</v>
      </c>
      <c r="H170" s="7">
        <v>0.22600000000000001</v>
      </c>
      <c r="I170" s="7">
        <v>110</v>
      </c>
      <c r="L170" s="9">
        <f t="shared" si="5"/>
        <v>6878956416220.041</v>
      </c>
      <c r="M170" s="9">
        <f t="shared" si="6"/>
        <v>0</v>
      </c>
    </row>
    <row r="171" spans="1:13" ht="15.75" customHeight="1" x14ac:dyDescent="0.3">
      <c r="A171" s="7" t="s">
        <v>199</v>
      </c>
      <c r="B171" s="7" t="s">
        <v>13</v>
      </c>
      <c r="C171" s="7">
        <v>5.9219999999999997</v>
      </c>
      <c r="D171" s="7" t="s">
        <v>13</v>
      </c>
      <c r="E171" s="7">
        <v>4.407</v>
      </c>
      <c r="F171" s="7">
        <v>0.57999999999999996</v>
      </c>
      <c r="G171" s="7">
        <v>4.99</v>
      </c>
      <c r="H171" s="7">
        <v>63.3</v>
      </c>
      <c r="I171" s="7">
        <v>107.86799999999999</v>
      </c>
      <c r="J171" s="14">
        <v>10.5</v>
      </c>
      <c r="K171" s="14">
        <v>58.619</v>
      </c>
      <c r="L171" s="9">
        <f t="shared" si="5"/>
        <v>1964797909594361.5</v>
      </c>
      <c r="M171" s="9">
        <f t="shared" si="6"/>
        <v>32369191975377.305</v>
      </c>
    </row>
    <row r="172" spans="1:13" ht="15.75" customHeight="1" x14ac:dyDescent="0.3">
      <c r="A172" s="7" t="s">
        <v>200</v>
      </c>
      <c r="B172" s="7">
        <v>51.83</v>
      </c>
      <c r="C172" s="7">
        <v>7.5549999999999997</v>
      </c>
      <c r="D172" s="7">
        <v>1</v>
      </c>
      <c r="E172" s="7">
        <v>7.17</v>
      </c>
      <c r="F172" s="7">
        <v>0.13</v>
      </c>
      <c r="G172" s="7">
        <v>7.3</v>
      </c>
      <c r="H172" s="7">
        <v>37.6</v>
      </c>
      <c r="I172" s="7">
        <v>107</v>
      </c>
      <c r="L172" s="9">
        <f t="shared" si="5"/>
        <v>1176551308307257.3</v>
      </c>
      <c r="M172" s="9">
        <f t="shared" si="6"/>
        <v>7314018691588.7852</v>
      </c>
    </row>
    <row r="173" spans="1:13" ht="15.75" customHeight="1" x14ac:dyDescent="0.3">
      <c r="A173" s="7" t="s">
        <v>201</v>
      </c>
      <c r="B173" s="7">
        <v>48.17</v>
      </c>
      <c r="C173" s="7">
        <v>4.165</v>
      </c>
      <c r="D173" s="7">
        <v>-1.6</v>
      </c>
      <c r="E173" s="7">
        <v>2.1800000000000002</v>
      </c>
      <c r="F173" s="7">
        <v>0.32</v>
      </c>
      <c r="G173" s="7">
        <v>2.5</v>
      </c>
      <c r="H173" s="7">
        <v>91</v>
      </c>
      <c r="I173" s="7">
        <v>109</v>
      </c>
      <c r="L173" s="9">
        <f t="shared" si="5"/>
        <v>2795256707248624</v>
      </c>
      <c r="M173" s="9">
        <f t="shared" si="6"/>
        <v>17673394495412.84</v>
      </c>
    </row>
    <row r="174" spans="1:13" ht="15.75" customHeight="1" x14ac:dyDescent="0.3">
      <c r="A174" s="7" t="s">
        <v>202</v>
      </c>
      <c r="B174" s="7" t="s">
        <v>13</v>
      </c>
      <c r="C174" s="7">
        <v>4.87</v>
      </c>
      <c r="D174" s="7" t="s">
        <v>13</v>
      </c>
      <c r="E174" s="7">
        <v>3.04</v>
      </c>
      <c r="F174" s="7">
        <v>3.46</v>
      </c>
      <c r="G174" s="7">
        <v>6.5</v>
      </c>
      <c r="H174" s="7">
        <v>2520</v>
      </c>
      <c r="I174" s="7">
        <v>112.41</v>
      </c>
      <c r="J174" s="14">
        <v>8.6419999999999995</v>
      </c>
      <c r="K174" s="14">
        <v>46.296999999999997</v>
      </c>
      <c r="L174" s="9">
        <f t="shared" si="5"/>
        <v>7.5058934800788352E+16</v>
      </c>
      <c r="M174" s="9">
        <f t="shared" si="6"/>
        <v>185296681789876.31</v>
      </c>
    </row>
    <row r="175" spans="1:13" ht="15.75" customHeight="1" x14ac:dyDescent="0.3">
      <c r="A175" s="7" t="s">
        <v>203</v>
      </c>
      <c r="B175" s="7">
        <v>1.25</v>
      </c>
      <c r="C175" s="7">
        <v>5</v>
      </c>
      <c r="D175" s="7">
        <v>0</v>
      </c>
      <c r="E175" s="7">
        <v>3.1</v>
      </c>
      <c r="F175" s="7">
        <v>0</v>
      </c>
      <c r="G175" s="7" t="s">
        <v>204</v>
      </c>
      <c r="H175" s="7">
        <v>1</v>
      </c>
      <c r="I175" s="7">
        <v>106</v>
      </c>
      <c r="L175" s="9">
        <f t="shared" si="5"/>
        <v>31586458748714.496</v>
      </c>
      <c r="M175" s="9">
        <f t="shared" si="6"/>
        <v>0</v>
      </c>
    </row>
    <row r="176" spans="1:13" ht="15.75" customHeight="1" x14ac:dyDescent="0.3">
      <c r="A176" s="7" t="s">
        <v>205</v>
      </c>
      <c r="B176" s="7">
        <v>0.89</v>
      </c>
      <c r="C176" s="7">
        <v>5.4</v>
      </c>
      <c r="D176" s="7">
        <v>0</v>
      </c>
      <c r="E176" s="7">
        <v>3.7</v>
      </c>
      <c r="F176" s="7">
        <v>0</v>
      </c>
      <c r="G176" s="7">
        <v>3.7</v>
      </c>
      <c r="H176" s="7">
        <v>1.1000000000000001</v>
      </c>
      <c r="I176" s="7">
        <v>108</v>
      </c>
      <c r="L176" s="9">
        <f t="shared" si="5"/>
        <v>34101676760186.215</v>
      </c>
      <c r="M176" s="9">
        <f t="shared" si="6"/>
        <v>0</v>
      </c>
    </row>
    <row r="177" spans="1:13" ht="15.75" customHeight="1" x14ac:dyDescent="0.3">
      <c r="A177" s="7" t="s">
        <v>206</v>
      </c>
      <c r="B177" s="7">
        <v>12.51</v>
      </c>
      <c r="C177" s="7">
        <v>5.9</v>
      </c>
      <c r="D177" s="7">
        <v>0</v>
      </c>
      <c r="E177" s="7">
        <v>4.4000000000000004</v>
      </c>
      <c r="F177" s="7">
        <v>0</v>
      </c>
      <c r="G177" s="7">
        <v>4.4000000000000004</v>
      </c>
      <c r="H177" s="7">
        <v>11</v>
      </c>
      <c r="I177" s="7">
        <v>110</v>
      </c>
      <c r="L177" s="9">
        <f t="shared" si="5"/>
        <v>334816462736373.75</v>
      </c>
      <c r="M177" s="9">
        <f t="shared" si="6"/>
        <v>0</v>
      </c>
    </row>
    <row r="178" spans="1:13" ht="15.75" customHeight="1" x14ac:dyDescent="0.3">
      <c r="A178" s="7" t="s">
        <v>207</v>
      </c>
      <c r="B178" s="7">
        <v>12.81</v>
      </c>
      <c r="C178" s="7">
        <v>6.5</v>
      </c>
      <c r="D178" s="7" t="s">
        <v>13</v>
      </c>
      <c r="E178" s="7">
        <v>5.3</v>
      </c>
      <c r="F178" s="7">
        <v>0.3</v>
      </c>
      <c r="G178" s="7">
        <v>5.6</v>
      </c>
      <c r="H178" s="7">
        <v>24</v>
      </c>
      <c r="I178" s="7">
        <v>111</v>
      </c>
      <c r="L178" s="9">
        <f t="shared" si="5"/>
        <v>723927486997564.88</v>
      </c>
      <c r="M178" s="9">
        <f t="shared" si="6"/>
        <v>16270270270270.266</v>
      </c>
    </row>
    <row r="179" spans="1:13" ht="15.75" customHeight="1" x14ac:dyDescent="0.3">
      <c r="A179" s="7" t="s">
        <v>208</v>
      </c>
      <c r="B179" s="7">
        <v>24.13</v>
      </c>
      <c r="C179" s="7">
        <v>6.4</v>
      </c>
      <c r="D179" s="7">
        <v>0</v>
      </c>
      <c r="E179" s="7">
        <v>5.0999999999999996</v>
      </c>
      <c r="F179" s="7">
        <v>0</v>
      </c>
      <c r="G179" s="7">
        <v>5.0999999999999996</v>
      </c>
      <c r="H179" s="7">
        <v>2.2000000000000002</v>
      </c>
      <c r="I179" s="7">
        <v>112</v>
      </c>
      <c r="L179" s="9">
        <f t="shared" si="5"/>
        <v>65767519466073.414</v>
      </c>
      <c r="M179" s="9">
        <f t="shared" si="6"/>
        <v>0</v>
      </c>
    </row>
    <row r="180" spans="1:13" ht="15.75" customHeight="1" x14ac:dyDescent="0.3">
      <c r="A180" s="7" t="s">
        <v>209</v>
      </c>
      <c r="B180" s="7">
        <v>12.22</v>
      </c>
      <c r="C180" s="7">
        <v>-8</v>
      </c>
      <c r="D180" s="7" t="s">
        <v>13</v>
      </c>
      <c r="E180" s="7">
        <v>12.1</v>
      </c>
      <c r="F180" s="7">
        <v>0.3</v>
      </c>
      <c r="G180" s="7">
        <v>12.4</v>
      </c>
      <c r="H180" s="7">
        <v>20600</v>
      </c>
      <c r="I180" s="7">
        <v>113</v>
      </c>
      <c r="L180" s="9">
        <f t="shared" si="5"/>
        <v>6.1037337454595558E+17</v>
      </c>
      <c r="M180" s="9">
        <f t="shared" si="6"/>
        <v>15982300884955.748</v>
      </c>
    </row>
    <row r="181" spans="1:13" ht="15.75" customHeight="1" x14ac:dyDescent="0.3">
      <c r="A181" s="7" t="s">
        <v>210</v>
      </c>
      <c r="B181" s="7">
        <v>28.72</v>
      </c>
      <c r="C181" s="7">
        <v>7.5</v>
      </c>
      <c r="D181" s="7">
        <v>0</v>
      </c>
      <c r="E181" s="7">
        <v>7.1</v>
      </c>
      <c r="F181" s="7">
        <v>0</v>
      </c>
      <c r="G181" s="7">
        <v>7.1</v>
      </c>
      <c r="H181" s="7">
        <v>0.34</v>
      </c>
      <c r="I181" s="7">
        <v>114</v>
      </c>
      <c r="L181" s="9">
        <f t="shared" si="5"/>
        <v>9985754151786.5859</v>
      </c>
      <c r="M181" s="9">
        <f t="shared" si="6"/>
        <v>0</v>
      </c>
    </row>
    <row r="182" spans="1:13" ht="15.75" customHeight="1" x14ac:dyDescent="0.3">
      <c r="A182" s="7" t="s">
        <v>211</v>
      </c>
      <c r="B182" s="7">
        <v>7.47</v>
      </c>
      <c r="C182" s="7">
        <v>6.3</v>
      </c>
      <c r="D182" s="7">
        <v>0</v>
      </c>
      <c r="E182" s="7">
        <v>5</v>
      </c>
      <c r="F182" s="7">
        <v>0</v>
      </c>
      <c r="G182" s="7">
        <v>5</v>
      </c>
      <c r="H182" s="7">
        <v>7.4999999999999997E-2</v>
      </c>
      <c r="I182" s="7">
        <v>116</v>
      </c>
      <c r="L182" s="9">
        <f t="shared" si="5"/>
        <v>2164761612519.6572</v>
      </c>
      <c r="M182" s="9">
        <f t="shared" si="6"/>
        <v>0</v>
      </c>
    </row>
    <row r="183" spans="1:13" ht="15.75" customHeight="1" x14ac:dyDescent="0.3">
      <c r="A183" s="7" t="s">
        <v>212</v>
      </c>
      <c r="B183" s="7" t="s">
        <v>13</v>
      </c>
      <c r="C183" s="7">
        <v>4.0650000000000004</v>
      </c>
      <c r="D183" s="7" t="s">
        <v>13</v>
      </c>
      <c r="E183" s="7">
        <v>2.08</v>
      </c>
      <c r="F183" s="7">
        <v>0.54</v>
      </c>
      <c r="G183" s="7">
        <v>2.62</v>
      </c>
      <c r="H183" s="7">
        <v>193.8</v>
      </c>
      <c r="I183" s="7">
        <v>114.82</v>
      </c>
      <c r="J183" s="14">
        <v>7.3</v>
      </c>
      <c r="K183" s="14">
        <v>38.286999999999999</v>
      </c>
      <c r="L183" s="9">
        <f t="shared" si="5"/>
        <v>5651230663500195</v>
      </c>
      <c r="M183" s="9">
        <f t="shared" si="6"/>
        <v>28312140742031.008</v>
      </c>
    </row>
    <row r="184" spans="1:13" ht="15.75" customHeight="1" x14ac:dyDescent="0.3">
      <c r="A184" s="7" t="s">
        <v>213</v>
      </c>
      <c r="B184" s="7">
        <v>4.3</v>
      </c>
      <c r="C184" s="7">
        <v>5.39</v>
      </c>
      <c r="D184" s="7" t="s">
        <v>214</v>
      </c>
      <c r="E184" s="7">
        <v>3.65</v>
      </c>
      <c r="F184" s="7">
        <v>3.6999999999999998E-5</v>
      </c>
      <c r="G184" s="7">
        <v>3.65</v>
      </c>
      <c r="H184" s="7">
        <v>12</v>
      </c>
      <c r="I184" s="7">
        <v>113</v>
      </c>
      <c r="L184" s="9">
        <f t="shared" si="5"/>
        <v>355557305560750.88</v>
      </c>
      <c r="M184" s="9">
        <f t="shared" si="6"/>
        <v>1971150442.4778755</v>
      </c>
    </row>
    <row r="185" spans="1:13" ht="15.75" customHeight="1" x14ac:dyDescent="0.3">
      <c r="A185" s="7" t="s">
        <v>215</v>
      </c>
      <c r="B185" s="7">
        <v>95.7</v>
      </c>
      <c r="C185" s="7">
        <v>4.01</v>
      </c>
      <c r="D185" s="7">
        <v>-2.1</v>
      </c>
      <c r="E185" s="7">
        <v>2.02</v>
      </c>
      <c r="F185" s="7">
        <v>0.55000000000000004</v>
      </c>
      <c r="G185" s="7">
        <v>2.57</v>
      </c>
      <c r="H185" s="7">
        <v>202</v>
      </c>
      <c r="I185" s="7">
        <v>115</v>
      </c>
      <c r="L185" s="9">
        <f t="shared" si="5"/>
        <v>5881123954151956</v>
      </c>
      <c r="M185" s="9">
        <f t="shared" si="6"/>
        <v>28791304347826.086</v>
      </c>
    </row>
    <row r="186" spans="1:13" ht="15.75" customHeight="1" x14ac:dyDescent="0.3">
      <c r="A186" s="7" t="s">
        <v>216</v>
      </c>
      <c r="B186" s="7" t="s">
        <v>13</v>
      </c>
      <c r="C186" s="7">
        <v>6.2249999999999996</v>
      </c>
      <c r="D186" s="7" t="s">
        <v>13</v>
      </c>
      <c r="E186" s="7">
        <v>4.8710000000000004</v>
      </c>
      <c r="F186" s="7">
        <v>2.1999999999999999E-2</v>
      </c>
      <c r="G186" s="7">
        <v>4.8920000000000003</v>
      </c>
      <c r="H186" s="7">
        <v>0.626</v>
      </c>
      <c r="I186" s="7">
        <v>118.69</v>
      </c>
      <c r="J186" s="14">
        <v>7.28</v>
      </c>
      <c r="K186" s="14">
        <v>36.936999999999998</v>
      </c>
      <c r="L186" s="9">
        <f t="shared" si="5"/>
        <v>17659036622543.594</v>
      </c>
      <c r="M186" s="9">
        <f t="shared" si="6"/>
        <v>1115848007414.2725</v>
      </c>
    </row>
    <row r="187" spans="1:13" ht="15.75" customHeight="1" x14ac:dyDescent="0.3">
      <c r="A187" s="7" t="s">
        <v>217</v>
      </c>
      <c r="B187" s="7">
        <v>1</v>
      </c>
      <c r="C187" s="7">
        <v>6</v>
      </c>
      <c r="D187" s="7">
        <v>0</v>
      </c>
      <c r="E187" s="7" t="s">
        <v>122</v>
      </c>
      <c r="F187" s="7">
        <v>0</v>
      </c>
      <c r="G187" s="7" t="s">
        <v>122</v>
      </c>
      <c r="H187" s="7">
        <v>1</v>
      </c>
      <c r="I187" s="7">
        <v>112</v>
      </c>
      <c r="L187" s="9">
        <f t="shared" si="5"/>
        <v>29894327030033.363</v>
      </c>
      <c r="M187" s="9">
        <f t="shared" si="6"/>
        <v>0</v>
      </c>
    </row>
    <row r="188" spans="1:13" ht="15.75" customHeight="1" x14ac:dyDescent="0.3">
      <c r="A188" s="7" t="s">
        <v>218</v>
      </c>
      <c r="B188" s="7">
        <v>0.7</v>
      </c>
      <c r="C188" s="7">
        <v>6.2</v>
      </c>
      <c r="D188" s="7">
        <v>0</v>
      </c>
      <c r="E188" s="7">
        <v>4.8</v>
      </c>
      <c r="F188" s="7">
        <v>0</v>
      </c>
      <c r="G188" s="7">
        <v>4.8</v>
      </c>
      <c r="H188" s="7">
        <v>0.114</v>
      </c>
      <c r="I188" s="7">
        <v>114</v>
      </c>
      <c r="L188" s="9">
        <f t="shared" si="5"/>
        <v>3348164627363.7373</v>
      </c>
      <c r="M188" s="9">
        <f t="shared" si="6"/>
        <v>0</v>
      </c>
    </row>
    <row r="189" spans="1:13" ht="15.75" customHeight="1" x14ac:dyDescent="0.3">
      <c r="A189" s="7" t="s">
        <v>219</v>
      </c>
      <c r="B189" s="7">
        <v>0.4</v>
      </c>
      <c r="C189" s="7">
        <v>6</v>
      </c>
      <c r="D189" s="7" t="s">
        <v>13</v>
      </c>
      <c r="E189" s="7" t="s">
        <v>122</v>
      </c>
      <c r="F189" s="7">
        <v>0.3</v>
      </c>
      <c r="G189" s="7" t="s">
        <v>220</v>
      </c>
      <c r="H189" s="7">
        <v>30</v>
      </c>
      <c r="I189" s="7">
        <v>115</v>
      </c>
      <c r="L189" s="9">
        <f t="shared" si="5"/>
        <v>873434250616626.88</v>
      </c>
      <c r="M189" s="9">
        <f t="shared" si="6"/>
        <v>15704347826086.953</v>
      </c>
    </row>
    <row r="190" spans="1:13" ht="15.75" customHeight="1" x14ac:dyDescent="0.3">
      <c r="A190" s="7" t="s">
        <v>221</v>
      </c>
      <c r="B190" s="7">
        <v>14.7</v>
      </c>
      <c r="C190" s="7">
        <v>5.93</v>
      </c>
      <c r="D190" s="7">
        <v>0</v>
      </c>
      <c r="E190" s="7">
        <v>4.42</v>
      </c>
      <c r="F190" s="7">
        <v>0</v>
      </c>
      <c r="G190" s="7">
        <v>4.42</v>
      </c>
      <c r="H190" s="7">
        <v>0.14000000000000001</v>
      </c>
      <c r="I190" s="7">
        <v>116</v>
      </c>
      <c r="L190" s="9">
        <f t="shared" si="5"/>
        <v>4040888343370.0273</v>
      </c>
      <c r="M190" s="9">
        <f t="shared" si="6"/>
        <v>0</v>
      </c>
    </row>
    <row r="191" spans="1:13" ht="15.75" customHeight="1" x14ac:dyDescent="0.3">
      <c r="A191" s="7" t="s">
        <v>222</v>
      </c>
      <c r="B191" s="7">
        <v>7.7</v>
      </c>
      <c r="C191" s="7">
        <v>6.48</v>
      </c>
      <c r="D191" s="7" t="s">
        <v>13</v>
      </c>
      <c r="E191" s="7">
        <v>5.28</v>
      </c>
      <c r="F191" s="7">
        <v>0.3</v>
      </c>
      <c r="G191" s="7">
        <v>5.6</v>
      </c>
      <c r="H191" s="7">
        <v>2.2999999999999998</v>
      </c>
      <c r="I191" s="7">
        <v>117</v>
      </c>
      <c r="L191" s="9">
        <f t="shared" si="5"/>
        <v>65818620879799.961</v>
      </c>
      <c r="M191" s="9">
        <f t="shared" si="6"/>
        <v>15435897435897.432</v>
      </c>
    </row>
    <row r="192" spans="1:13" ht="15.75" customHeight="1" x14ac:dyDescent="0.3">
      <c r="A192" s="7" t="s">
        <v>223</v>
      </c>
      <c r="B192" s="7">
        <v>24.3</v>
      </c>
      <c r="C192" s="7">
        <v>6.07</v>
      </c>
      <c r="D192" s="7">
        <v>0</v>
      </c>
      <c r="E192" s="7">
        <v>4.63</v>
      </c>
      <c r="F192" s="7">
        <v>0</v>
      </c>
      <c r="G192" s="7">
        <v>4.63</v>
      </c>
      <c r="H192" s="7">
        <v>0.22</v>
      </c>
      <c r="I192" s="7">
        <v>118</v>
      </c>
      <c r="L192" s="9">
        <f t="shared" si="5"/>
        <v>6242340830678.1543</v>
      </c>
      <c r="M192" s="9">
        <f t="shared" si="6"/>
        <v>0</v>
      </c>
    </row>
    <row r="193" spans="1:13" ht="15.75" customHeight="1" x14ac:dyDescent="0.3">
      <c r="A193" s="7" t="s">
        <v>224</v>
      </c>
      <c r="B193" s="7">
        <v>8.6</v>
      </c>
      <c r="C193" s="7">
        <v>6.12</v>
      </c>
      <c r="D193" s="7" t="s">
        <v>13</v>
      </c>
      <c r="E193" s="7">
        <v>4.71</v>
      </c>
      <c r="F193" s="7">
        <v>0.3</v>
      </c>
      <c r="G193" s="7">
        <v>5</v>
      </c>
      <c r="H193" s="7">
        <v>2.2000000000000002</v>
      </c>
      <c r="I193" s="7">
        <v>119</v>
      </c>
      <c r="L193" s="9">
        <f t="shared" si="5"/>
        <v>61898841850422.031</v>
      </c>
      <c r="M193" s="9">
        <f t="shared" si="6"/>
        <v>15176470588235.289</v>
      </c>
    </row>
    <row r="194" spans="1:13" ht="15.75" customHeight="1" x14ac:dyDescent="0.3">
      <c r="A194" s="7" t="s">
        <v>225</v>
      </c>
      <c r="B194" s="7">
        <v>32.4</v>
      </c>
      <c r="C194" s="7">
        <v>6.49</v>
      </c>
      <c r="D194" s="7">
        <v>0</v>
      </c>
      <c r="E194" s="7">
        <v>5.29</v>
      </c>
      <c r="F194" s="7">
        <v>0</v>
      </c>
      <c r="G194" s="7">
        <v>5.29</v>
      </c>
      <c r="H194" s="7">
        <v>0.14000000000000001</v>
      </c>
      <c r="I194" s="7">
        <v>120</v>
      </c>
      <c r="L194" s="9">
        <f t="shared" si="5"/>
        <v>3906192065257.6934</v>
      </c>
      <c r="M194" s="9">
        <f t="shared" si="6"/>
        <v>0</v>
      </c>
    </row>
    <row r="195" spans="1:13" ht="15.75" customHeight="1" x14ac:dyDescent="0.3">
      <c r="A195" s="7" t="s">
        <v>226</v>
      </c>
      <c r="B195" s="7">
        <v>4.5999999999999996</v>
      </c>
      <c r="C195" s="7">
        <v>5.74</v>
      </c>
      <c r="D195" s="7">
        <v>0</v>
      </c>
      <c r="E195" s="7">
        <v>4.1399999999999997</v>
      </c>
      <c r="F195" s="7">
        <v>0</v>
      </c>
      <c r="G195" s="7">
        <v>4.1399999999999997</v>
      </c>
      <c r="H195" s="7">
        <v>0.18</v>
      </c>
      <c r="I195" s="7">
        <v>122</v>
      </c>
      <c r="L195" s="9">
        <f t="shared" si="5"/>
        <v>4939915023979.2842</v>
      </c>
      <c r="M195" s="9">
        <f t="shared" si="6"/>
        <v>0</v>
      </c>
    </row>
    <row r="196" spans="1:13" ht="15.75" customHeight="1" x14ac:dyDescent="0.3">
      <c r="A196" s="7" t="s">
        <v>227</v>
      </c>
      <c r="B196" s="7">
        <v>5.6</v>
      </c>
      <c r="C196" s="7">
        <v>5.97</v>
      </c>
      <c r="D196" s="7">
        <v>0</v>
      </c>
      <c r="E196" s="7">
        <v>4.4800000000000004</v>
      </c>
      <c r="F196" s="7">
        <v>0</v>
      </c>
      <c r="G196" s="7">
        <v>4.4800000000000004</v>
      </c>
      <c r="H196" s="7">
        <v>0.13300000000000001</v>
      </c>
      <c r="I196" s="7">
        <v>124</v>
      </c>
      <c r="L196" s="9">
        <f t="shared" ref="L196:L259" si="7">(H196*10^-8/1.798)*6.02*10^23/I196</f>
        <v>3591176576124.0088</v>
      </c>
      <c r="M196" s="9">
        <f t="shared" si="6"/>
        <v>0</v>
      </c>
    </row>
    <row r="197" spans="1:13" ht="15.75" customHeight="1" x14ac:dyDescent="0.3">
      <c r="A197" s="7" t="s">
        <v>228</v>
      </c>
      <c r="B197" s="7" t="s">
        <v>13</v>
      </c>
      <c r="C197" s="7">
        <v>5.57</v>
      </c>
      <c r="D197" s="7" t="s">
        <v>13</v>
      </c>
      <c r="E197" s="7">
        <v>3.9</v>
      </c>
      <c r="F197" s="7">
        <v>7.0000000000000001E-3</v>
      </c>
      <c r="G197" s="7">
        <v>3.9</v>
      </c>
      <c r="H197" s="7">
        <v>4.91</v>
      </c>
      <c r="I197" s="7">
        <v>121.75</v>
      </c>
      <c r="J197" s="14">
        <v>6.6840000000000002</v>
      </c>
      <c r="K197" s="14">
        <v>33.06</v>
      </c>
      <c r="L197" s="9">
        <f t="shared" si="7"/>
        <v>135026598113806.55</v>
      </c>
      <c r="M197" s="9">
        <f t="shared" si="6"/>
        <v>346119096509.24023</v>
      </c>
    </row>
    <row r="198" spans="1:13" ht="15.75" customHeight="1" x14ac:dyDescent="0.3">
      <c r="A198" s="7" t="s">
        <v>229</v>
      </c>
      <c r="B198" s="7">
        <v>57.3</v>
      </c>
      <c r="C198" s="7">
        <v>5.71</v>
      </c>
      <c r="D198" s="7">
        <v>-0.05</v>
      </c>
      <c r="E198" s="7">
        <v>4.0999999999999996</v>
      </c>
      <c r="F198" s="7">
        <v>2.9999999999999997E-4</v>
      </c>
      <c r="G198" s="7">
        <v>4.0999999999999996</v>
      </c>
      <c r="H198" s="7">
        <v>5.75</v>
      </c>
      <c r="I198" s="7">
        <v>121</v>
      </c>
      <c r="L198" s="9">
        <f t="shared" si="7"/>
        <v>159106996754888.31</v>
      </c>
      <c r="M198" s="9">
        <f t="shared" si="6"/>
        <v>14925619834.710739</v>
      </c>
    </row>
    <row r="199" spans="1:13" ht="15.75" customHeight="1" x14ac:dyDescent="0.3">
      <c r="A199" s="7" t="s">
        <v>230</v>
      </c>
      <c r="B199" s="7">
        <v>42.7</v>
      </c>
      <c r="C199" s="7">
        <v>5.38</v>
      </c>
      <c r="D199" s="7">
        <v>-0.1</v>
      </c>
      <c r="E199" s="7">
        <v>3.64</v>
      </c>
      <c r="F199" s="7">
        <v>1E-3</v>
      </c>
      <c r="G199" s="7">
        <v>3.64</v>
      </c>
      <c r="H199" s="7">
        <v>3.8</v>
      </c>
      <c r="I199" s="7">
        <v>123</v>
      </c>
      <c r="L199" s="9">
        <f t="shared" si="7"/>
        <v>103439232390099.19</v>
      </c>
      <c r="M199" s="9">
        <f t="shared" si="6"/>
        <v>48943089430.894302</v>
      </c>
    </row>
    <row r="200" spans="1:13" ht="15.75" customHeight="1" x14ac:dyDescent="0.3">
      <c r="A200" s="7" t="s">
        <v>231</v>
      </c>
      <c r="B200" s="7" t="s">
        <v>13</v>
      </c>
      <c r="C200" s="7">
        <v>5.8</v>
      </c>
      <c r="D200" s="7" t="s">
        <v>13</v>
      </c>
      <c r="E200" s="7">
        <v>4.2300000000000004</v>
      </c>
      <c r="F200" s="7">
        <v>0.09</v>
      </c>
      <c r="G200" s="7">
        <v>4.32</v>
      </c>
      <c r="H200" s="7">
        <v>4.7</v>
      </c>
      <c r="I200" s="7">
        <v>127.6</v>
      </c>
      <c r="J200" s="14">
        <v>6</v>
      </c>
      <c r="K200" s="14">
        <v>28.317</v>
      </c>
      <c r="L200" s="9">
        <f t="shared" si="7"/>
        <v>123325813076877.48</v>
      </c>
      <c r="M200" s="9">
        <f t="shared" si="6"/>
        <v>4246081504702.1934</v>
      </c>
    </row>
    <row r="201" spans="1:13" ht="15.75" customHeight="1" x14ac:dyDescent="0.3">
      <c r="A201" s="7" t="s">
        <v>232</v>
      </c>
      <c r="B201" s="7">
        <v>9.6000000000000002E-2</v>
      </c>
      <c r="C201" s="7">
        <v>5.3</v>
      </c>
      <c r="D201" s="7">
        <v>0</v>
      </c>
      <c r="E201" s="7">
        <v>3.5</v>
      </c>
      <c r="F201" s="7">
        <v>0</v>
      </c>
      <c r="G201" s="7">
        <v>3.5</v>
      </c>
      <c r="H201" s="7">
        <v>2.2999999999999998</v>
      </c>
      <c r="I201" s="7">
        <v>120</v>
      </c>
      <c r="L201" s="9">
        <f t="shared" si="7"/>
        <v>64173155357804.961</v>
      </c>
      <c r="M201" s="9">
        <f t="shared" si="6"/>
        <v>0</v>
      </c>
    </row>
    <row r="202" spans="1:13" ht="15.75" customHeight="1" x14ac:dyDescent="0.3">
      <c r="A202" s="7" t="s">
        <v>233</v>
      </c>
      <c r="B202" s="7">
        <v>2.6</v>
      </c>
      <c r="C202" s="7">
        <v>3.8</v>
      </c>
      <c r="D202" s="7">
        <v>0</v>
      </c>
      <c r="E202" s="7">
        <v>1.8</v>
      </c>
      <c r="F202" s="7">
        <v>0</v>
      </c>
      <c r="G202" s="7">
        <v>1.8</v>
      </c>
      <c r="H202" s="7">
        <v>3.4</v>
      </c>
      <c r="I202" s="7">
        <v>122</v>
      </c>
      <c r="L202" s="9">
        <f t="shared" si="7"/>
        <v>93309506008497.594</v>
      </c>
      <c r="M202" s="9">
        <f t="shared" si="6"/>
        <v>0</v>
      </c>
    </row>
    <row r="203" spans="1:13" ht="15.75" customHeight="1" x14ac:dyDescent="0.3">
      <c r="A203" s="7" t="s">
        <v>234</v>
      </c>
      <c r="B203" s="7">
        <v>0.90800000000000003</v>
      </c>
      <c r="C203" s="7">
        <v>-0.05</v>
      </c>
      <c r="D203" s="7">
        <v>-2.04</v>
      </c>
      <c r="E203" s="7">
        <v>2E-3</v>
      </c>
      <c r="F203" s="7">
        <v>0.52</v>
      </c>
      <c r="G203" s="7">
        <v>0.52</v>
      </c>
      <c r="H203" s="7">
        <v>418</v>
      </c>
      <c r="I203" s="7">
        <v>123</v>
      </c>
      <c r="L203" s="9">
        <f t="shared" si="7"/>
        <v>1.137831556291091E+16</v>
      </c>
      <c r="M203" s="9">
        <f t="shared" si="6"/>
        <v>25450406504065.039</v>
      </c>
    </row>
    <row r="204" spans="1:13" ht="15.75" customHeight="1" x14ac:dyDescent="0.3">
      <c r="A204" s="7" t="s">
        <v>235</v>
      </c>
      <c r="B204" s="7">
        <v>4.8159999999999998</v>
      </c>
      <c r="C204" s="7">
        <v>7.96</v>
      </c>
      <c r="D204" s="7">
        <v>0</v>
      </c>
      <c r="E204" s="7">
        <v>8</v>
      </c>
      <c r="F204" s="7">
        <v>0</v>
      </c>
      <c r="G204" s="7">
        <v>8</v>
      </c>
      <c r="H204" s="7">
        <v>6.8</v>
      </c>
      <c r="I204" s="7">
        <v>124</v>
      </c>
      <c r="L204" s="9">
        <f t="shared" si="7"/>
        <v>183609027952204.94</v>
      </c>
      <c r="M204" s="9">
        <f t="shared" si="6"/>
        <v>0</v>
      </c>
    </row>
    <row r="205" spans="1:13" ht="15.75" customHeight="1" x14ac:dyDescent="0.3">
      <c r="A205" s="7" t="s">
        <v>236</v>
      </c>
      <c r="B205" s="7">
        <v>7.14</v>
      </c>
      <c r="C205" s="7">
        <v>5.0199999999999996</v>
      </c>
      <c r="D205" s="7">
        <v>-0.26</v>
      </c>
      <c r="E205" s="7">
        <v>3.17</v>
      </c>
      <c r="F205" s="7">
        <v>8.0000000000000002E-3</v>
      </c>
      <c r="G205" s="7">
        <v>3.18</v>
      </c>
      <c r="H205" s="7">
        <v>1.55</v>
      </c>
      <c r="I205" s="7">
        <v>125</v>
      </c>
      <c r="L205" s="9">
        <f t="shared" si="7"/>
        <v>41517241379310.336</v>
      </c>
      <c r="M205" s="9">
        <f t="shared" si="6"/>
        <v>385279999999.99994</v>
      </c>
    </row>
    <row r="206" spans="1:13" ht="15.75" customHeight="1" x14ac:dyDescent="0.3">
      <c r="A206" s="7" t="s">
        <v>237</v>
      </c>
      <c r="B206" s="7">
        <v>18.95</v>
      </c>
      <c r="C206" s="7">
        <v>5.56</v>
      </c>
      <c r="D206" s="7">
        <v>0</v>
      </c>
      <c r="E206" s="7">
        <v>3.88</v>
      </c>
      <c r="F206" s="7">
        <v>0</v>
      </c>
      <c r="G206" s="7">
        <v>3.88</v>
      </c>
      <c r="H206" s="7">
        <v>1.04</v>
      </c>
      <c r="I206" s="7">
        <v>126</v>
      </c>
      <c r="L206" s="9">
        <f t="shared" si="7"/>
        <v>27635644543319.734</v>
      </c>
      <c r="M206" s="9">
        <f t="shared" ref="M206:M269" si="8">F206*10^-8*6.02*10^23/I206</f>
        <v>0</v>
      </c>
    </row>
    <row r="207" spans="1:13" ht="15.75" customHeight="1" x14ac:dyDescent="0.3">
      <c r="A207" s="7" t="s">
        <v>238</v>
      </c>
      <c r="B207" s="7">
        <v>31.69</v>
      </c>
      <c r="C207" s="7">
        <v>5.89</v>
      </c>
      <c r="D207" s="7">
        <v>0</v>
      </c>
      <c r="E207" s="7">
        <v>4.3600000000000003</v>
      </c>
      <c r="F207" s="7">
        <v>0</v>
      </c>
      <c r="G207" s="7">
        <v>4.3600000000000003</v>
      </c>
      <c r="H207" s="7">
        <v>0.215</v>
      </c>
      <c r="I207" s="7">
        <v>128</v>
      </c>
      <c r="L207" s="9">
        <f t="shared" si="7"/>
        <v>5623870272525.0264</v>
      </c>
      <c r="M207" s="9">
        <f t="shared" si="8"/>
        <v>0</v>
      </c>
    </row>
    <row r="208" spans="1:13" ht="15.75" customHeight="1" x14ac:dyDescent="0.3">
      <c r="A208" s="7" t="s">
        <v>239</v>
      </c>
      <c r="B208" s="7">
        <v>33.799999999999997</v>
      </c>
      <c r="C208" s="7">
        <v>6.02</v>
      </c>
      <c r="D208" s="7">
        <v>0</v>
      </c>
      <c r="E208" s="7">
        <v>4.55</v>
      </c>
      <c r="F208" s="7">
        <v>0</v>
      </c>
      <c r="G208" s="7">
        <v>4.55</v>
      </c>
      <c r="H208" s="7">
        <v>0.28999999999999998</v>
      </c>
      <c r="I208" s="7">
        <v>130</v>
      </c>
      <c r="L208" s="9">
        <f t="shared" si="7"/>
        <v>7468982630272.9512</v>
      </c>
      <c r="M208" s="9">
        <f t="shared" si="8"/>
        <v>0</v>
      </c>
    </row>
    <row r="209" spans="1:13" ht="15.75" customHeight="1" x14ac:dyDescent="0.3">
      <c r="A209" s="7" t="s">
        <v>240</v>
      </c>
      <c r="B209" s="7">
        <v>100</v>
      </c>
      <c r="C209" s="7">
        <v>5.28</v>
      </c>
      <c r="D209" s="7">
        <v>1.58</v>
      </c>
      <c r="E209" s="7">
        <v>3.5</v>
      </c>
      <c r="F209" s="7">
        <v>0.31</v>
      </c>
      <c r="G209" s="7">
        <v>3.81</v>
      </c>
      <c r="H209" s="7">
        <v>6.15</v>
      </c>
      <c r="I209" s="7">
        <v>126.91</v>
      </c>
      <c r="J209" s="14">
        <v>4.9199999999999999E-3</v>
      </c>
      <c r="K209" s="14">
        <v>2.3345999999999999E-2</v>
      </c>
      <c r="L209" s="9">
        <f t="shared" si="7"/>
        <v>162250511845299.69</v>
      </c>
      <c r="M209" s="9">
        <f t="shared" si="8"/>
        <v>14704908990623.275</v>
      </c>
    </row>
    <row r="210" spans="1:13" ht="15.75" customHeight="1" x14ac:dyDescent="0.3">
      <c r="A210" s="7" t="s">
        <v>241</v>
      </c>
      <c r="B210" s="7" t="s">
        <v>13</v>
      </c>
      <c r="C210" s="7">
        <v>4.92</v>
      </c>
      <c r="D210" s="7">
        <v>3.04</v>
      </c>
      <c r="E210" s="7">
        <v>2.96</v>
      </c>
      <c r="F210" s="7">
        <v>0</v>
      </c>
      <c r="G210" s="7" t="s">
        <v>13</v>
      </c>
      <c r="H210" s="7">
        <v>23.9</v>
      </c>
      <c r="I210" s="7">
        <v>131.30000000000001</v>
      </c>
      <c r="J210" s="14">
        <v>5.8900000000000003E-3</v>
      </c>
      <c r="K210" s="14">
        <v>2.7014E-2</v>
      </c>
      <c r="L210" s="9">
        <f t="shared" si="7"/>
        <v>609452662558974.13</v>
      </c>
      <c r="M210" s="9">
        <f t="shared" si="8"/>
        <v>0</v>
      </c>
    </row>
    <row r="211" spans="1:13" ht="15.75" customHeight="1" x14ac:dyDescent="0.3">
      <c r="A211" s="7" t="s">
        <v>242</v>
      </c>
      <c r="B211" s="7">
        <v>0.1</v>
      </c>
      <c r="C211" s="7" t="s">
        <v>13</v>
      </c>
      <c r="D211" s="7">
        <v>0</v>
      </c>
      <c r="E211" s="7" t="s">
        <v>13</v>
      </c>
      <c r="F211" s="7">
        <v>0</v>
      </c>
      <c r="G211" s="7" t="s">
        <v>13</v>
      </c>
      <c r="H211" s="7">
        <v>165</v>
      </c>
      <c r="I211" s="7">
        <v>124</v>
      </c>
      <c r="L211" s="9">
        <f t="shared" si="7"/>
        <v>4455219060604973</v>
      </c>
      <c r="M211" s="9">
        <f t="shared" si="8"/>
        <v>0</v>
      </c>
    </row>
    <row r="212" spans="1:13" ht="15.75" customHeight="1" x14ac:dyDescent="0.3">
      <c r="A212" s="7" t="s">
        <v>243</v>
      </c>
      <c r="B212" s="7">
        <v>0.09</v>
      </c>
      <c r="C212" s="7" t="s">
        <v>13</v>
      </c>
      <c r="D212" s="7">
        <v>0</v>
      </c>
      <c r="E212" s="7" t="s">
        <v>13</v>
      </c>
      <c r="F212" s="7">
        <v>0</v>
      </c>
      <c r="G212" s="7" t="s">
        <v>13</v>
      </c>
      <c r="H212" s="7">
        <v>3.5</v>
      </c>
      <c r="I212" s="7">
        <v>126</v>
      </c>
      <c r="L212" s="9">
        <f t="shared" si="7"/>
        <v>93004572982326.031</v>
      </c>
      <c r="M212" s="9">
        <f t="shared" si="8"/>
        <v>0</v>
      </c>
    </row>
    <row r="213" spans="1:13" ht="15.75" customHeight="1" x14ac:dyDescent="0.3">
      <c r="A213" s="7" t="s">
        <v>244</v>
      </c>
      <c r="B213" s="7">
        <v>1.91</v>
      </c>
      <c r="C213" s="7" t="s">
        <v>13</v>
      </c>
      <c r="D213" s="7">
        <v>0</v>
      </c>
      <c r="E213" s="7" t="s">
        <v>13</v>
      </c>
      <c r="F213" s="7">
        <v>0</v>
      </c>
      <c r="G213" s="7" t="s">
        <v>13</v>
      </c>
      <c r="H213" s="7" t="s">
        <v>245</v>
      </c>
      <c r="I213" s="7"/>
      <c r="L213" s="9" t="e">
        <f t="shared" si="7"/>
        <v>#VALUE!</v>
      </c>
    </row>
    <row r="214" spans="1:13" ht="15.75" customHeight="1" x14ac:dyDescent="0.3">
      <c r="A214" s="7" t="s">
        <v>246</v>
      </c>
      <c r="B214" s="7">
        <v>26.4</v>
      </c>
      <c r="C214" s="7" t="s">
        <v>13</v>
      </c>
      <c r="D214" s="7" t="s">
        <v>13</v>
      </c>
      <c r="E214" s="7" t="s">
        <v>13</v>
      </c>
      <c r="F214" s="7" t="s">
        <v>13</v>
      </c>
      <c r="G214" s="7" t="s">
        <v>13</v>
      </c>
      <c r="H214" s="7">
        <v>21</v>
      </c>
      <c r="I214" s="7">
        <v>129</v>
      </c>
      <c r="L214" s="9">
        <f t="shared" si="7"/>
        <v>545050055617352.5</v>
      </c>
    </row>
    <row r="215" spans="1:13" ht="15.75" customHeight="1" x14ac:dyDescent="0.3">
      <c r="A215" s="7" t="s">
        <v>247</v>
      </c>
      <c r="B215" s="7">
        <v>4.0999999999999996</v>
      </c>
      <c r="C215" s="7" t="s">
        <v>13</v>
      </c>
      <c r="D215" s="7">
        <v>0</v>
      </c>
      <c r="E215" s="7" t="s">
        <v>13</v>
      </c>
      <c r="F215" s="7">
        <v>0</v>
      </c>
      <c r="G215" s="7" t="s">
        <v>13</v>
      </c>
      <c r="H215" s="7" t="s">
        <v>248</v>
      </c>
      <c r="I215" s="7"/>
      <c r="L215" s="9" t="e">
        <f t="shared" si="7"/>
        <v>#VALUE!</v>
      </c>
    </row>
    <row r="216" spans="1:13" ht="15.75" customHeight="1" x14ac:dyDescent="0.3">
      <c r="A216" s="7" t="s">
        <v>249</v>
      </c>
      <c r="B216" s="7">
        <v>21.2</v>
      </c>
      <c r="C216" s="7" t="s">
        <v>13</v>
      </c>
      <c r="D216" s="7" t="s">
        <v>13</v>
      </c>
      <c r="E216" s="7" t="s">
        <v>13</v>
      </c>
      <c r="F216" s="7" t="s">
        <v>13</v>
      </c>
      <c r="G216" s="7" t="s">
        <v>13</v>
      </c>
      <c r="H216" s="7">
        <v>85</v>
      </c>
      <c r="I216" s="7">
        <v>131</v>
      </c>
      <c r="L216" s="9">
        <f t="shared" si="7"/>
        <v>2172473231495554.5</v>
      </c>
    </row>
    <row r="217" spans="1:13" ht="15.75" customHeight="1" x14ac:dyDescent="0.3">
      <c r="A217" s="7" t="s">
        <v>250</v>
      </c>
      <c r="B217" s="7">
        <v>26.9</v>
      </c>
      <c r="C217" s="7" t="s">
        <v>13</v>
      </c>
      <c r="D217" s="7">
        <v>0</v>
      </c>
      <c r="E217" s="7" t="s">
        <v>13</v>
      </c>
      <c r="F217" s="7">
        <v>0</v>
      </c>
      <c r="G217" s="7" t="s">
        <v>13</v>
      </c>
      <c r="H217" s="7">
        <v>0.45</v>
      </c>
      <c r="I217" s="7">
        <v>132</v>
      </c>
      <c r="L217" s="9">
        <f t="shared" si="7"/>
        <v>11414197593285.469</v>
      </c>
      <c r="M217" s="9">
        <f t="shared" si="8"/>
        <v>0</v>
      </c>
    </row>
    <row r="218" spans="1:13" ht="15.75" customHeight="1" x14ac:dyDescent="0.3">
      <c r="A218" s="7" t="s">
        <v>251</v>
      </c>
      <c r="B218" s="7">
        <v>10.4</v>
      </c>
      <c r="C218" s="7" t="s">
        <v>13</v>
      </c>
      <c r="D218" s="7">
        <v>0</v>
      </c>
      <c r="E218" s="7" t="s">
        <v>13</v>
      </c>
      <c r="F218" s="7">
        <v>0</v>
      </c>
      <c r="G218" s="7" t="s">
        <v>13</v>
      </c>
      <c r="H218" s="7">
        <v>0.26500000000000001</v>
      </c>
      <c r="I218" s="7">
        <v>134</v>
      </c>
      <c r="L218" s="9">
        <f t="shared" si="7"/>
        <v>6621370345159.6289</v>
      </c>
      <c r="M218" s="9">
        <f t="shared" si="8"/>
        <v>0</v>
      </c>
    </row>
    <row r="219" spans="1:13" ht="15.75" customHeight="1" x14ac:dyDescent="0.3">
      <c r="A219" s="7" t="s">
        <v>252</v>
      </c>
      <c r="B219" s="7">
        <v>8.9</v>
      </c>
      <c r="C219" s="7" t="s">
        <v>13</v>
      </c>
      <c r="D219" s="7">
        <v>0</v>
      </c>
      <c r="E219" s="7" t="s">
        <v>13</v>
      </c>
      <c r="F219" s="7">
        <v>0</v>
      </c>
      <c r="G219" s="7" t="s">
        <v>13</v>
      </c>
      <c r="H219" s="7">
        <v>0.26</v>
      </c>
      <c r="I219" s="7">
        <v>136</v>
      </c>
      <c r="L219" s="9">
        <f t="shared" si="7"/>
        <v>6400902964077.7324</v>
      </c>
      <c r="M219" s="9">
        <f t="shared" si="8"/>
        <v>0</v>
      </c>
    </row>
    <row r="220" spans="1:13" ht="15.75" customHeight="1" x14ac:dyDescent="0.3">
      <c r="A220" s="7" t="s">
        <v>253</v>
      </c>
      <c r="B220" s="7">
        <v>100</v>
      </c>
      <c r="C220" s="7">
        <v>5.42</v>
      </c>
      <c r="D220" s="7">
        <v>1.29</v>
      </c>
      <c r="E220" s="7">
        <v>3.69</v>
      </c>
      <c r="F220" s="7">
        <v>0.21</v>
      </c>
      <c r="G220" s="7">
        <v>3.9</v>
      </c>
      <c r="H220" s="7">
        <v>29</v>
      </c>
      <c r="I220" s="7">
        <v>132.905</v>
      </c>
      <c r="J220" s="14">
        <v>1.88</v>
      </c>
      <c r="K220" s="14">
        <v>8.5183999999999997</v>
      </c>
      <c r="L220" s="9">
        <f t="shared" si="7"/>
        <v>730572771479992.25</v>
      </c>
      <c r="M220" s="9">
        <f t="shared" si="8"/>
        <v>9512057484669.498</v>
      </c>
    </row>
    <row r="221" spans="1:13" ht="15.75" customHeight="1" x14ac:dyDescent="0.3">
      <c r="A221" s="7" t="s">
        <v>254</v>
      </c>
      <c r="B221" s="7" t="s">
        <v>13</v>
      </c>
      <c r="C221" s="7">
        <v>5.07</v>
      </c>
      <c r="D221" s="7" t="s">
        <v>13</v>
      </c>
      <c r="E221" s="7">
        <v>3.23</v>
      </c>
      <c r="F221" s="7">
        <v>0.15</v>
      </c>
      <c r="G221" s="7">
        <v>3.38</v>
      </c>
      <c r="H221" s="7">
        <v>1.1000000000000001</v>
      </c>
      <c r="I221" s="7">
        <v>137.33000000000001</v>
      </c>
      <c r="J221" s="14">
        <v>3.5</v>
      </c>
      <c r="K221" s="14">
        <v>15.348000000000001</v>
      </c>
      <c r="L221" s="9">
        <f t="shared" si="7"/>
        <v>26818474405447.539</v>
      </c>
      <c r="M221" s="9">
        <f t="shared" si="8"/>
        <v>6575402315590.1816</v>
      </c>
    </row>
    <row r="222" spans="1:13" ht="15.75" customHeight="1" x14ac:dyDescent="0.3">
      <c r="A222" s="7" t="s">
        <v>255</v>
      </c>
      <c r="B222" s="7">
        <v>0.11</v>
      </c>
      <c r="C222" s="7">
        <v>-3.6</v>
      </c>
      <c r="D222" s="7">
        <v>0</v>
      </c>
      <c r="E222" s="7">
        <v>1.6</v>
      </c>
      <c r="F222" s="7">
        <v>0</v>
      </c>
      <c r="G222" s="7">
        <v>1.6</v>
      </c>
      <c r="H222" s="7">
        <v>30</v>
      </c>
      <c r="I222" s="7">
        <v>130</v>
      </c>
      <c r="L222" s="9">
        <f t="shared" si="7"/>
        <v>772653375545477.63</v>
      </c>
      <c r="M222" s="9">
        <f t="shared" si="8"/>
        <v>0</v>
      </c>
    </row>
    <row r="223" spans="1:13" ht="15.75" customHeight="1" x14ac:dyDescent="0.3">
      <c r="A223" s="7" t="s">
        <v>256</v>
      </c>
      <c r="B223" s="7">
        <v>0.1</v>
      </c>
      <c r="C223" s="7">
        <v>7.8</v>
      </c>
      <c r="D223" s="7">
        <v>0</v>
      </c>
      <c r="E223" s="7">
        <v>7.6</v>
      </c>
      <c r="F223" s="7">
        <v>0</v>
      </c>
      <c r="G223" s="7">
        <v>7.6</v>
      </c>
      <c r="H223" s="7">
        <v>7</v>
      </c>
      <c r="I223" s="7">
        <v>132</v>
      </c>
      <c r="L223" s="9">
        <f t="shared" si="7"/>
        <v>177554184784440.59</v>
      </c>
      <c r="M223" s="9">
        <f t="shared" si="8"/>
        <v>0</v>
      </c>
    </row>
    <row r="224" spans="1:13" ht="15.75" customHeight="1" x14ac:dyDescent="0.3">
      <c r="A224" s="7" t="s">
        <v>257</v>
      </c>
      <c r="B224" s="7">
        <v>2.42</v>
      </c>
      <c r="C224" s="7">
        <v>5.7</v>
      </c>
      <c r="D224" s="7">
        <v>0</v>
      </c>
      <c r="E224" s="7">
        <v>4.08</v>
      </c>
      <c r="F224" s="7">
        <v>0</v>
      </c>
      <c r="G224" s="7">
        <v>4.08</v>
      </c>
      <c r="H224" s="7">
        <v>2</v>
      </c>
      <c r="I224" s="7">
        <v>134</v>
      </c>
      <c r="L224" s="9">
        <f t="shared" si="7"/>
        <v>49972606378563.234</v>
      </c>
      <c r="M224" s="9">
        <f t="shared" si="8"/>
        <v>0</v>
      </c>
    </row>
    <row r="225" spans="1:13" ht="15.75" customHeight="1" x14ac:dyDescent="0.3">
      <c r="A225" s="7" t="s">
        <v>258</v>
      </c>
      <c r="B225" s="7">
        <v>6.59</v>
      </c>
      <c r="C225" s="7">
        <v>4.67</v>
      </c>
      <c r="D225" s="7" t="s">
        <v>13</v>
      </c>
      <c r="E225" s="7">
        <v>2.74</v>
      </c>
      <c r="F225" s="7">
        <v>0.5</v>
      </c>
      <c r="G225" s="7">
        <v>3.2</v>
      </c>
      <c r="H225" s="7">
        <v>5.8</v>
      </c>
      <c r="I225" s="7">
        <v>135</v>
      </c>
      <c r="L225" s="9">
        <f t="shared" si="7"/>
        <v>143847072879330.91</v>
      </c>
      <c r="M225" s="9">
        <f t="shared" si="8"/>
        <v>22296296296296.293</v>
      </c>
    </row>
    <row r="226" spans="1:13" ht="15.75" customHeight="1" x14ac:dyDescent="0.3">
      <c r="A226" s="7" t="s">
        <v>259</v>
      </c>
      <c r="B226" s="7">
        <v>7.85</v>
      </c>
      <c r="C226" s="7">
        <v>4.91</v>
      </c>
      <c r="D226" s="7">
        <v>0</v>
      </c>
      <c r="E226" s="7">
        <v>3.03</v>
      </c>
      <c r="F226" s="7">
        <v>0</v>
      </c>
      <c r="G226" s="7">
        <v>3.03</v>
      </c>
      <c r="H226" s="7">
        <v>0.68</v>
      </c>
      <c r="I226" s="7">
        <v>136</v>
      </c>
      <c r="L226" s="9">
        <f t="shared" si="7"/>
        <v>16740823136818.688</v>
      </c>
      <c r="M226" s="9">
        <f t="shared" si="8"/>
        <v>0</v>
      </c>
    </row>
    <row r="227" spans="1:13" ht="15.75" customHeight="1" x14ac:dyDescent="0.3">
      <c r="A227" s="7" t="s">
        <v>260</v>
      </c>
      <c r="B227" s="7">
        <v>11.23</v>
      </c>
      <c r="C227" s="7">
        <v>6.83</v>
      </c>
      <c r="D227" s="7" t="s">
        <v>13</v>
      </c>
      <c r="E227" s="7">
        <v>5.86</v>
      </c>
      <c r="F227" s="7">
        <v>0.5</v>
      </c>
      <c r="G227" s="7">
        <v>6.4</v>
      </c>
      <c r="H227" s="7">
        <v>3.6</v>
      </c>
      <c r="I227" s="7">
        <v>137</v>
      </c>
      <c r="L227" s="9">
        <f t="shared" si="7"/>
        <v>87980968310287.984</v>
      </c>
      <c r="M227" s="9">
        <f t="shared" si="8"/>
        <v>21970802919708.027</v>
      </c>
    </row>
    <row r="228" spans="1:13" ht="15.75" customHeight="1" x14ac:dyDescent="0.3">
      <c r="A228" s="7" t="s">
        <v>261</v>
      </c>
      <c r="B228" s="7">
        <v>71.7</v>
      </c>
      <c r="C228" s="7">
        <v>4.84</v>
      </c>
      <c r="D228" s="7">
        <v>0</v>
      </c>
      <c r="E228" s="7">
        <v>2.94</v>
      </c>
      <c r="F228" s="7">
        <v>0</v>
      </c>
      <c r="G228" s="7">
        <v>2.94</v>
      </c>
      <c r="H228" s="7">
        <v>0.27</v>
      </c>
      <c r="I228" s="7">
        <v>138</v>
      </c>
      <c r="L228" s="9">
        <f t="shared" si="7"/>
        <v>6550756879624.7031</v>
      </c>
      <c r="M228" s="9">
        <f t="shared" si="8"/>
        <v>0</v>
      </c>
    </row>
    <row r="229" spans="1:13" ht="15.75" customHeight="1" x14ac:dyDescent="0.3">
      <c r="A229" s="7" t="s">
        <v>262</v>
      </c>
      <c r="B229" s="7" t="s">
        <v>13</v>
      </c>
      <c r="C229" s="7">
        <v>8.24</v>
      </c>
      <c r="D229" s="7" t="s">
        <v>13</v>
      </c>
      <c r="E229" s="7">
        <v>8.5299999999999994</v>
      </c>
      <c r="F229" s="7">
        <v>1.1299999999999999</v>
      </c>
      <c r="G229" s="7">
        <v>9.66</v>
      </c>
      <c r="H229" s="7">
        <v>8.9700000000000006</v>
      </c>
      <c r="I229" s="7">
        <v>138.90600000000001</v>
      </c>
      <c r="J229" s="14">
        <v>6.14</v>
      </c>
      <c r="K229" s="14">
        <v>26.619</v>
      </c>
      <c r="L229" s="9">
        <f t="shared" si="7"/>
        <v>216211227070484.53</v>
      </c>
      <c r="M229" s="9">
        <f t="shared" si="8"/>
        <v>48972686565015.172</v>
      </c>
    </row>
    <row r="230" spans="1:13" ht="15.75" customHeight="1" x14ac:dyDescent="0.3">
      <c r="A230" s="7" t="s">
        <v>263</v>
      </c>
      <c r="B230" s="7">
        <v>0.09</v>
      </c>
      <c r="C230" s="7">
        <v>8</v>
      </c>
      <c r="D230" s="7" t="s">
        <v>13</v>
      </c>
      <c r="E230" s="7" t="s">
        <v>264</v>
      </c>
      <c r="F230" s="7">
        <v>0.5</v>
      </c>
      <c r="G230" s="7" t="s">
        <v>265</v>
      </c>
      <c r="H230" s="7">
        <v>57</v>
      </c>
      <c r="I230" s="7">
        <v>138</v>
      </c>
      <c r="L230" s="9">
        <f t="shared" si="7"/>
        <v>1382937563476326.3</v>
      </c>
      <c r="M230" s="9">
        <f t="shared" si="8"/>
        <v>21811594202898.547</v>
      </c>
    </row>
    <row r="231" spans="1:13" ht="15.75" customHeight="1" x14ac:dyDescent="0.3">
      <c r="A231" s="7" t="s">
        <v>266</v>
      </c>
      <c r="B231" s="7">
        <v>99.91</v>
      </c>
      <c r="C231" s="7">
        <v>8.24</v>
      </c>
      <c r="D231" s="7">
        <v>3</v>
      </c>
      <c r="E231" s="7">
        <v>8.5299999999999994</v>
      </c>
      <c r="F231" s="7">
        <v>1.1299999999999999</v>
      </c>
      <c r="G231" s="7">
        <v>9.66</v>
      </c>
      <c r="H231" s="7">
        <v>8.93</v>
      </c>
      <c r="I231" s="7">
        <v>139</v>
      </c>
      <c r="L231" s="9">
        <f t="shared" si="7"/>
        <v>215101511671641.53</v>
      </c>
      <c r="M231" s="9">
        <f t="shared" si="8"/>
        <v>48939568345323.727</v>
      </c>
    </row>
    <row r="232" spans="1:13" ht="15.75" customHeight="1" x14ac:dyDescent="0.3">
      <c r="A232" s="7" t="s">
        <v>267</v>
      </c>
      <c r="B232" s="7" t="s">
        <v>13</v>
      </c>
      <c r="C232" s="7">
        <v>4.84</v>
      </c>
      <c r="D232" s="7" t="s">
        <v>13</v>
      </c>
      <c r="E232" s="7">
        <v>2.94</v>
      </c>
      <c r="F232" s="7">
        <v>1E-3</v>
      </c>
      <c r="G232" s="7">
        <v>2.94</v>
      </c>
      <c r="H232" s="7">
        <v>0.63</v>
      </c>
      <c r="I232" s="7">
        <v>140.12</v>
      </c>
      <c r="J232" s="14">
        <v>6.66</v>
      </c>
      <c r="K232" s="14">
        <v>28.623000000000001</v>
      </c>
      <c r="L232" s="9">
        <f t="shared" si="7"/>
        <v>15053837533822.111</v>
      </c>
      <c r="M232" s="9">
        <f t="shared" si="8"/>
        <v>42963174421.924057</v>
      </c>
    </row>
    <row r="233" spans="1:13" ht="15.75" customHeight="1" x14ac:dyDescent="0.3">
      <c r="A233" s="7" t="s">
        <v>268</v>
      </c>
      <c r="B233" s="7">
        <v>0.19</v>
      </c>
      <c r="C233" s="7">
        <v>5.8</v>
      </c>
      <c r="D233" s="7">
        <v>0</v>
      </c>
      <c r="E233" s="7">
        <v>4.2300000000000004</v>
      </c>
      <c r="F233" s="7">
        <v>0</v>
      </c>
      <c r="G233" s="7">
        <v>4.2300000000000004</v>
      </c>
      <c r="H233" s="7">
        <v>7.3</v>
      </c>
      <c r="I233" s="7">
        <v>136</v>
      </c>
      <c r="L233" s="9">
        <f t="shared" si="7"/>
        <v>179717660145259.44</v>
      </c>
      <c r="M233" s="9">
        <f t="shared" si="8"/>
        <v>0</v>
      </c>
    </row>
    <row r="234" spans="1:13" ht="15.75" customHeight="1" x14ac:dyDescent="0.3">
      <c r="A234" s="7" t="s">
        <v>269</v>
      </c>
      <c r="B234" s="7">
        <v>0.25</v>
      </c>
      <c r="C234" s="7">
        <v>6.7</v>
      </c>
      <c r="D234" s="7">
        <v>0</v>
      </c>
      <c r="E234" s="7">
        <v>5.64</v>
      </c>
      <c r="F234" s="7">
        <v>0</v>
      </c>
      <c r="G234" s="7">
        <v>5.64</v>
      </c>
      <c r="H234" s="7">
        <v>1.1000000000000001</v>
      </c>
      <c r="I234" s="7">
        <v>138</v>
      </c>
      <c r="L234" s="9">
        <f t="shared" si="7"/>
        <v>26688268768841.383</v>
      </c>
      <c r="M234" s="9">
        <f t="shared" si="8"/>
        <v>0</v>
      </c>
    </row>
    <row r="235" spans="1:13" ht="15.75" customHeight="1" x14ac:dyDescent="0.3">
      <c r="A235" s="7" t="s">
        <v>270</v>
      </c>
      <c r="B235" s="7">
        <v>88.48</v>
      </c>
      <c r="C235" s="7">
        <v>4.84</v>
      </c>
      <c r="D235" s="7">
        <v>0</v>
      </c>
      <c r="E235" s="7">
        <v>2.94</v>
      </c>
      <c r="F235" s="7">
        <v>0</v>
      </c>
      <c r="G235" s="7">
        <v>2.94</v>
      </c>
      <c r="H235" s="7">
        <v>0.56999999999999995</v>
      </c>
      <c r="I235" s="7">
        <v>140</v>
      </c>
      <c r="L235" s="9">
        <f t="shared" si="7"/>
        <v>13631813125695.215</v>
      </c>
      <c r="M235" s="9">
        <f t="shared" si="8"/>
        <v>0</v>
      </c>
    </row>
    <row r="236" spans="1:13" ht="15.75" customHeight="1" x14ac:dyDescent="0.3">
      <c r="A236" s="7" t="s">
        <v>271</v>
      </c>
      <c r="B236" s="7">
        <v>11.08</v>
      </c>
      <c r="C236" s="7">
        <v>4.75</v>
      </c>
      <c r="D236" s="7">
        <v>0</v>
      </c>
      <c r="E236" s="7">
        <v>2.84</v>
      </c>
      <c r="F236" s="7">
        <v>0</v>
      </c>
      <c r="G236" s="7">
        <v>2.84</v>
      </c>
      <c r="H236" s="7">
        <v>0.95</v>
      </c>
      <c r="I236" s="7">
        <v>142</v>
      </c>
      <c r="L236" s="9">
        <f t="shared" si="7"/>
        <v>22399692929546.125</v>
      </c>
      <c r="M236" s="9">
        <f t="shared" si="8"/>
        <v>0</v>
      </c>
    </row>
    <row r="237" spans="1:13" ht="15.75" customHeight="1" x14ac:dyDescent="0.3">
      <c r="A237" s="7" t="s">
        <v>272</v>
      </c>
      <c r="B237" s="7">
        <v>100</v>
      </c>
      <c r="C237" s="7">
        <v>4.58</v>
      </c>
      <c r="D237" s="7">
        <v>-0.35</v>
      </c>
      <c r="E237" s="7">
        <v>2.64</v>
      </c>
      <c r="F237" s="7">
        <v>1.4999999999999999E-2</v>
      </c>
      <c r="G237" s="7">
        <v>2.66</v>
      </c>
      <c r="H237" s="7">
        <v>11.5</v>
      </c>
      <c r="I237" s="7">
        <v>140.90700000000001</v>
      </c>
      <c r="J237" s="14">
        <v>6.7729999999999997</v>
      </c>
      <c r="K237" s="14">
        <v>28.946000000000002</v>
      </c>
      <c r="L237" s="9">
        <f t="shared" si="7"/>
        <v>273257490505673.72</v>
      </c>
      <c r="M237" s="9">
        <f t="shared" si="8"/>
        <v>640848219038.08875</v>
      </c>
    </row>
    <row r="238" spans="1:13" ht="15.75" customHeight="1" x14ac:dyDescent="0.3">
      <c r="A238" s="7" t="s">
        <v>273</v>
      </c>
      <c r="B238" s="7" t="s">
        <v>13</v>
      </c>
      <c r="C238" s="7">
        <v>7.69</v>
      </c>
      <c r="D238" s="7" t="s">
        <v>13</v>
      </c>
      <c r="E238" s="7">
        <v>7.43</v>
      </c>
      <c r="F238" s="7">
        <v>9.1999999999999993</v>
      </c>
      <c r="G238" s="7">
        <v>16.600000000000001</v>
      </c>
      <c r="H238" s="7">
        <v>50.5</v>
      </c>
      <c r="I238" s="7">
        <v>144.24</v>
      </c>
      <c r="J238" s="14">
        <v>7.0039999999999996</v>
      </c>
      <c r="K238" s="14">
        <v>29.242000000000001</v>
      </c>
      <c r="L238" s="9">
        <f t="shared" si="7"/>
        <v>1172229018870415.5</v>
      </c>
      <c r="M238" s="9">
        <f t="shared" si="8"/>
        <v>383971159179145.81</v>
      </c>
    </row>
    <row r="239" spans="1:13" ht="15.75" customHeight="1" x14ac:dyDescent="0.3">
      <c r="A239" s="7" t="s">
        <v>274</v>
      </c>
      <c r="B239" s="7">
        <v>27.16</v>
      </c>
      <c r="C239" s="7">
        <v>7.7</v>
      </c>
      <c r="D239" s="7">
        <v>0</v>
      </c>
      <c r="E239" s="7">
        <v>7.5</v>
      </c>
      <c r="F239" s="7">
        <v>0</v>
      </c>
      <c r="G239" s="7">
        <v>7.5</v>
      </c>
      <c r="H239" s="7">
        <v>18.7</v>
      </c>
      <c r="I239" s="7">
        <v>142</v>
      </c>
      <c r="L239" s="9">
        <f t="shared" si="7"/>
        <v>440920271350013.25</v>
      </c>
      <c r="M239" s="9">
        <f t="shared" si="8"/>
        <v>0</v>
      </c>
    </row>
    <row r="240" spans="1:13" ht="15.75" customHeight="1" x14ac:dyDescent="0.3">
      <c r="A240" s="7" t="s">
        <v>275</v>
      </c>
      <c r="B240" s="7">
        <v>12.18</v>
      </c>
      <c r="C240" s="7">
        <v>14</v>
      </c>
      <c r="D240" s="7" t="s">
        <v>276</v>
      </c>
      <c r="E240" s="7" t="s">
        <v>277</v>
      </c>
      <c r="F240" s="7">
        <v>55</v>
      </c>
      <c r="G240" s="7" t="s">
        <v>278</v>
      </c>
      <c r="H240" s="7">
        <v>337</v>
      </c>
      <c r="I240" s="7">
        <v>143</v>
      </c>
      <c r="L240" s="9">
        <f t="shared" si="7"/>
        <v>7890429926025030</v>
      </c>
      <c r="M240" s="9">
        <f t="shared" si="8"/>
        <v>2315384615384615</v>
      </c>
    </row>
    <row r="241" spans="1:13" ht="15.75" customHeight="1" x14ac:dyDescent="0.3">
      <c r="A241" s="7" t="s">
        <v>279</v>
      </c>
      <c r="B241" s="7">
        <v>23.8</v>
      </c>
      <c r="C241" s="7">
        <v>2.8</v>
      </c>
      <c r="D241" s="7">
        <v>0</v>
      </c>
      <c r="E241" s="7">
        <v>1</v>
      </c>
      <c r="F241" s="7">
        <v>0</v>
      </c>
      <c r="G241" s="7">
        <v>1</v>
      </c>
      <c r="H241" s="7">
        <v>3.6</v>
      </c>
      <c r="I241" s="7">
        <v>144</v>
      </c>
      <c r="L241" s="9">
        <f t="shared" si="7"/>
        <v>83704115684093.438</v>
      </c>
      <c r="M241" s="9">
        <f t="shared" si="8"/>
        <v>0</v>
      </c>
    </row>
    <row r="242" spans="1:13" ht="15.75" customHeight="1" x14ac:dyDescent="0.3">
      <c r="A242" s="7" t="s">
        <v>280</v>
      </c>
      <c r="B242" s="7">
        <v>8.2899999999999991</v>
      </c>
      <c r="C242" s="7">
        <v>14</v>
      </c>
      <c r="D242" s="7" t="s">
        <v>13</v>
      </c>
      <c r="E242" s="7" t="s">
        <v>277</v>
      </c>
      <c r="F242" s="7">
        <v>5</v>
      </c>
      <c r="G242" s="7" t="s">
        <v>281</v>
      </c>
      <c r="H242" s="7">
        <v>42</v>
      </c>
      <c r="I242" s="7">
        <v>145</v>
      </c>
      <c r="L242" s="9">
        <f t="shared" si="7"/>
        <v>969813202408806.5</v>
      </c>
      <c r="M242" s="9">
        <f t="shared" si="8"/>
        <v>207586206896551.66</v>
      </c>
    </row>
    <row r="243" spans="1:13" ht="15.75" customHeight="1" x14ac:dyDescent="0.3">
      <c r="A243" s="7" t="s">
        <v>282</v>
      </c>
      <c r="B243" s="7">
        <v>17.190000000000001</v>
      </c>
      <c r="C243" s="7">
        <v>8.6999999999999993</v>
      </c>
      <c r="D243" s="7">
        <v>0</v>
      </c>
      <c r="E243" s="7">
        <v>9.5</v>
      </c>
      <c r="F243" s="7">
        <v>0</v>
      </c>
      <c r="G243" s="7">
        <v>9.5</v>
      </c>
      <c r="H243" s="7">
        <v>1.4</v>
      </c>
      <c r="I243" s="7">
        <v>146</v>
      </c>
      <c r="L243" s="9">
        <f t="shared" si="7"/>
        <v>32105688207597.48</v>
      </c>
      <c r="M243" s="9">
        <f t="shared" si="8"/>
        <v>0</v>
      </c>
    </row>
    <row r="244" spans="1:13" ht="15.75" customHeight="1" x14ac:dyDescent="0.3">
      <c r="A244" s="7" t="s">
        <v>283</v>
      </c>
      <c r="B244" s="7">
        <v>5.75</v>
      </c>
      <c r="C244" s="7">
        <v>5.7</v>
      </c>
      <c r="D244" s="7">
        <v>0</v>
      </c>
      <c r="E244" s="7">
        <v>4.0999999999999996</v>
      </c>
      <c r="F244" s="7">
        <v>0</v>
      </c>
      <c r="G244" s="7">
        <v>4.0999999999999996</v>
      </c>
      <c r="H244" s="7">
        <v>2.5</v>
      </c>
      <c r="I244" s="7">
        <v>148</v>
      </c>
      <c r="L244" s="9">
        <f t="shared" si="7"/>
        <v>56556834921684.742</v>
      </c>
      <c r="M244" s="9">
        <f t="shared" si="8"/>
        <v>0</v>
      </c>
    </row>
    <row r="245" spans="1:13" ht="15.75" customHeight="1" x14ac:dyDescent="0.3">
      <c r="A245" s="7" t="s">
        <v>284</v>
      </c>
      <c r="B245" s="7">
        <v>5.63</v>
      </c>
      <c r="C245" s="7">
        <v>5.3</v>
      </c>
      <c r="D245" s="7">
        <v>0</v>
      </c>
      <c r="E245" s="7">
        <v>3.5</v>
      </c>
      <c r="F245" s="7">
        <v>0</v>
      </c>
      <c r="G245" s="7">
        <v>3.5</v>
      </c>
      <c r="H245" s="7">
        <v>1.2</v>
      </c>
      <c r="I245" s="7">
        <v>150</v>
      </c>
      <c r="L245" s="9">
        <f t="shared" si="7"/>
        <v>26785317018909.895</v>
      </c>
      <c r="M245" s="9">
        <f t="shared" si="8"/>
        <v>0</v>
      </c>
    </row>
    <row r="246" spans="1:13" ht="15.75" customHeight="1" x14ac:dyDescent="0.3">
      <c r="A246" s="7" t="s">
        <v>285</v>
      </c>
      <c r="B246" s="7" t="s">
        <v>286</v>
      </c>
      <c r="C246" s="7">
        <v>12.6</v>
      </c>
      <c r="D246" s="7" t="s">
        <v>287</v>
      </c>
      <c r="E246" s="7" t="s">
        <v>288</v>
      </c>
      <c r="F246" s="7">
        <v>1.3</v>
      </c>
      <c r="G246" s="7" t="s">
        <v>289</v>
      </c>
      <c r="H246" s="7">
        <v>168.4</v>
      </c>
      <c r="I246" s="7">
        <v>145</v>
      </c>
      <c r="J246" s="13">
        <v>6.4749999999999996</v>
      </c>
      <c r="K246" s="13">
        <v>26.890999999999998</v>
      </c>
      <c r="L246" s="9">
        <f t="shared" si="7"/>
        <v>3888489125848644</v>
      </c>
      <c r="M246" s="9">
        <f t="shared" si="8"/>
        <v>53972413793103.438</v>
      </c>
    </row>
    <row r="247" spans="1:13" ht="15.75" customHeight="1" x14ac:dyDescent="0.3">
      <c r="A247" s="7" t="s">
        <v>290</v>
      </c>
      <c r="B247" s="7" t="s">
        <v>13</v>
      </c>
      <c r="C247" s="7">
        <v>0.8</v>
      </c>
      <c r="D247" s="7" t="s">
        <v>13</v>
      </c>
      <c r="E247" s="7">
        <v>0.42199999999999999</v>
      </c>
      <c r="F247" s="7">
        <v>39</v>
      </c>
      <c r="G247" s="7" t="s">
        <v>291</v>
      </c>
      <c r="H247" s="7">
        <v>5922</v>
      </c>
      <c r="I247" s="7">
        <v>150.35</v>
      </c>
      <c r="J247" s="13">
        <v>7.52</v>
      </c>
      <c r="K247" s="13">
        <v>30.12</v>
      </c>
      <c r="L247" s="9">
        <f t="shared" si="7"/>
        <v>1.3187782456433688E+17</v>
      </c>
      <c r="M247" s="9">
        <f t="shared" si="8"/>
        <v>1561556368473561.5</v>
      </c>
    </row>
    <row r="248" spans="1:13" ht="15.75" customHeight="1" x14ac:dyDescent="0.3">
      <c r="A248" s="7" t="s">
        <v>292</v>
      </c>
      <c r="B248" s="7">
        <v>3.1</v>
      </c>
      <c r="C248" s="7">
        <v>-3</v>
      </c>
      <c r="D248" s="7">
        <v>0</v>
      </c>
      <c r="E248" s="7" t="s">
        <v>293</v>
      </c>
      <c r="F248" s="7">
        <v>0</v>
      </c>
      <c r="G248" s="7" t="s">
        <v>293</v>
      </c>
      <c r="H248" s="7">
        <v>0.7</v>
      </c>
      <c r="I248" s="7">
        <v>144</v>
      </c>
      <c r="L248" s="9">
        <f t="shared" si="7"/>
        <v>16275800271907.055</v>
      </c>
      <c r="M248" s="9">
        <f t="shared" si="8"/>
        <v>0</v>
      </c>
    </row>
    <row r="249" spans="1:13" ht="15.75" customHeight="1" x14ac:dyDescent="0.3">
      <c r="A249" s="7" t="s">
        <v>294</v>
      </c>
      <c r="B249" s="7">
        <v>15.1</v>
      </c>
      <c r="C249" s="7">
        <v>14</v>
      </c>
      <c r="D249" s="7" t="s">
        <v>295</v>
      </c>
      <c r="E249" s="7" t="s">
        <v>296</v>
      </c>
      <c r="F249" s="7">
        <v>143</v>
      </c>
      <c r="G249" s="7" t="s">
        <v>297</v>
      </c>
      <c r="H249" s="7">
        <v>57</v>
      </c>
      <c r="I249" s="7">
        <v>147</v>
      </c>
      <c r="L249" s="9">
        <f t="shared" si="7"/>
        <v>1298267916732877.8</v>
      </c>
      <c r="M249" s="9">
        <f t="shared" si="8"/>
        <v>5856190476190475</v>
      </c>
    </row>
    <row r="250" spans="1:13" ht="15.75" customHeight="1" x14ac:dyDescent="0.3">
      <c r="A250" s="7" t="s">
        <v>298</v>
      </c>
      <c r="B250" s="7">
        <v>11.3</v>
      </c>
      <c r="C250" s="7">
        <v>-3</v>
      </c>
      <c r="D250" s="7">
        <v>0</v>
      </c>
      <c r="E250" s="7" t="s">
        <v>293</v>
      </c>
      <c r="F250" s="7">
        <v>0</v>
      </c>
      <c r="G250" s="7" t="s">
        <v>293</v>
      </c>
      <c r="H250" s="7">
        <v>2.4</v>
      </c>
      <c r="I250" s="7">
        <v>148</v>
      </c>
      <c r="L250" s="9">
        <f t="shared" si="7"/>
        <v>54294561524817.352</v>
      </c>
      <c r="M250" s="9">
        <f t="shared" si="8"/>
        <v>0</v>
      </c>
    </row>
    <row r="251" spans="1:13" ht="15.75" customHeight="1" x14ac:dyDescent="0.3">
      <c r="A251" s="7" t="s">
        <v>299</v>
      </c>
      <c r="B251" s="7">
        <v>13.9</v>
      </c>
      <c r="C251" s="7">
        <v>-19.2</v>
      </c>
      <c r="D251" s="7" t="s">
        <v>300</v>
      </c>
      <c r="E251" s="7">
        <v>63.5</v>
      </c>
      <c r="F251" s="7">
        <v>137</v>
      </c>
      <c r="G251" s="7" t="s">
        <v>301</v>
      </c>
      <c r="H251" s="7">
        <v>42080</v>
      </c>
      <c r="I251" s="7">
        <v>149</v>
      </c>
      <c r="L251" s="9">
        <f t="shared" si="7"/>
        <v>9.455756209360137E+17</v>
      </c>
      <c r="M251" s="9">
        <f t="shared" si="8"/>
        <v>5535167785234898</v>
      </c>
    </row>
    <row r="252" spans="1:13" ht="15.75" customHeight="1" x14ac:dyDescent="0.3">
      <c r="A252" s="7" t="s">
        <v>302</v>
      </c>
      <c r="B252" s="7">
        <v>7.4</v>
      </c>
      <c r="C252" s="7">
        <v>14</v>
      </c>
      <c r="D252" s="7">
        <v>0</v>
      </c>
      <c r="E252" s="7" t="s">
        <v>296</v>
      </c>
      <c r="F252" s="7">
        <v>0</v>
      </c>
      <c r="G252" s="7" t="s">
        <v>296</v>
      </c>
      <c r="H252" s="7">
        <v>104</v>
      </c>
      <c r="I252" s="7">
        <v>150</v>
      </c>
      <c r="L252" s="9">
        <f t="shared" si="7"/>
        <v>2321394141638857.5</v>
      </c>
      <c r="M252" s="9">
        <f t="shared" si="8"/>
        <v>0</v>
      </c>
    </row>
    <row r="253" spans="1:13" ht="15.75" customHeight="1" x14ac:dyDescent="0.3">
      <c r="A253" s="7" t="s">
        <v>303</v>
      </c>
      <c r="B253" s="7">
        <v>26.6</v>
      </c>
      <c r="C253" s="7">
        <v>-5</v>
      </c>
      <c r="D253" s="7">
        <v>0</v>
      </c>
      <c r="E253" s="7">
        <v>3.1</v>
      </c>
      <c r="F253" s="7">
        <v>0</v>
      </c>
      <c r="G253" s="7">
        <v>3.1</v>
      </c>
      <c r="H253" s="7">
        <v>206</v>
      </c>
      <c r="I253" s="7">
        <v>152</v>
      </c>
      <c r="L253" s="9">
        <f t="shared" si="7"/>
        <v>4537644166032433</v>
      </c>
      <c r="M253" s="9">
        <f t="shared" si="8"/>
        <v>0</v>
      </c>
    </row>
    <row r="254" spans="1:13" ht="15.75" customHeight="1" x14ac:dyDescent="0.3">
      <c r="A254" s="7" t="s">
        <v>304</v>
      </c>
      <c r="B254" s="7">
        <v>22.6</v>
      </c>
      <c r="C254" s="7">
        <v>9.3000000000000007</v>
      </c>
      <c r="D254" s="7">
        <v>0</v>
      </c>
      <c r="E254" s="7" t="s">
        <v>305</v>
      </c>
      <c r="F254" s="7">
        <v>0</v>
      </c>
      <c r="G254" s="7" t="s">
        <v>305</v>
      </c>
      <c r="H254" s="7">
        <v>8.4</v>
      </c>
      <c r="I254" s="7">
        <v>154</v>
      </c>
      <c r="L254" s="9">
        <f t="shared" si="7"/>
        <v>182627161492567.47</v>
      </c>
      <c r="M254" s="9">
        <f t="shared" si="8"/>
        <v>0</v>
      </c>
    </row>
    <row r="255" spans="1:13" ht="15.75" customHeight="1" x14ac:dyDescent="0.3">
      <c r="A255" s="7" t="s">
        <v>306</v>
      </c>
      <c r="B255" s="7" t="s">
        <v>13</v>
      </c>
      <c r="C255" s="7">
        <v>7.22</v>
      </c>
      <c r="D255" s="7" t="s">
        <v>13</v>
      </c>
      <c r="E255" s="7">
        <v>6.57</v>
      </c>
      <c r="F255" s="7">
        <v>2.5</v>
      </c>
      <c r="G255" s="7">
        <v>9.1999999999999993</v>
      </c>
      <c r="H255" s="7">
        <v>4530</v>
      </c>
      <c r="I255" s="7">
        <v>151.96</v>
      </c>
      <c r="J255" s="14">
        <v>5.24</v>
      </c>
      <c r="K255" s="14">
        <v>20.765999999999998</v>
      </c>
      <c r="L255" s="9">
        <f t="shared" si="7"/>
        <v>9.9810382745181152E+16</v>
      </c>
      <c r="M255" s="9">
        <f t="shared" si="8"/>
        <v>99039220847591.438</v>
      </c>
    </row>
    <row r="256" spans="1:13" ht="15.75" customHeight="1" x14ac:dyDescent="0.3">
      <c r="A256" s="7" t="s">
        <v>307</v>
      </c>
      <c r="B256" s="7">
        <v>47.8</v>
      </c>
      <c r="C256" s="7">
        <v>6.13</v>
      </c>
      <c r="D256" s="7" t="s">
        <v>308</v>
      </c>
      <c r="E256" s="7">
        <v>5.5</v>
      </c>
      <c r="F256" s="7">
        <v>3.1</v>
      </c>
      <c r="G256" s="7">
        <v>8.6</v>
      </c>
      <c r="H256" s="7">
        <v>9100</v>
      </c>
      <c r="I256" s="7">
        <v>151</v>
      </c>
      <c r="L256" s="9">
        <f t="shared" si="7"/>
        <v>2.0177680866894045E+17</v>
      </c>
      <c r="M256" s="9">
        <f t="shared" si="8"/>
        <v>123589403973509.91</v>
      </c>
    </row>
    <row r="257" spans="1:13" ht="15.75" customHeight="1" x14ac:dyDescent="0.3">
      <c r="A257" s="7" t="s">
        <v>309</v>
      </c>
      <c r="B257" s="7">
        <v>52.2</v>
      </c>
      <c r="C257" s="7">
        <v>8.2200000000000006</v>
      </c>
      <c r="D257" s="7" t="s">
        <v>310</v>
      </c>
      <c r="E257" s="7">
        <v>8.5</v>
      </c>
      <c r="F257" s="7">
        <v>1.3</v>
      </c>
      <c r="G257" s="7">
        <v>9.8000000000000007</v>
      </c>
      <c r="H257" s="7">
        <v>312</v>
      </c>
      <c r="I257" s="7">
        <v>153</v>
      </c>
      <c r="L257" s="9">
        <f t="shared" si="7"/>
        <v>6827629828349581</v>
      </c>
      <c r="M257" s="9">
        <f t="shared" si="8"/>
        <v>51150326797385.617</v>
      </c>
    </row>
    <row r="258" spans="1:13" ht="15.75" customHeight="1" x14ac:dyDescent="0.3">
      <c r="A258" s="7" t="s">
        <v>311</v>
      </c>
      <c r="B258" s="7" t="s">
        <v>13</v>
      </c>
      <c r="C258" s="7">
        <v>6.5</v>
      </c>
      <c r="D258" s="7" t="s">
        <v>13</v>
      </c>
      <c r="E258" s="7">
        <v>29.3</v>
      </c>
      <c r="F258" s="7">
        <v>151</v>
      </c>
      <c r="G258" s="7" t="s">
        <v>312</v>
      </c>
      <c r="H258" s="7">
        <v>49700</v>
      </c>
      <c r="I258" s="7">
        <v>157.25</v>
      </c>
      <c r="J258" s="13">
        <v>7.9004000000000003</v>
      </c>
      <c r="K258" s="13">
        <v>30.254999999999999</v>
      </c>
      <c r="L258" s="9">
        <f t="shared" si="7"/>
        <v>1.0582116501111462E+18</v>
      </c>
      <c r="M258" s="9">
        <f t="shared" si="8"/>
        <v>5780731319554848</v>
      </c>
    </row>
    <row r="259" spans="1:13" ht="15.75" customHeight="1" x14ac:dyDescent="0.3">
      <c r="A259" s="7" t="s">
        <v>313</v>
      </c>
      <c r="B259" s="7">
        <v>0.2</v>
      </c>
      <c r="C259" s="7">
        <v>10</v>
      </c>
      <c r="D259" s="7">
        <v>0</v>
      </c>
      <c r="E259" s="7" t="s">
        <v>314</v>
      </c>
      <c r="F259" s="7">
        <v>0</v>
      </c>
      <c r="G259" s="7" t="s">
        <v>314</v>
      </c>
      <c r="H259" s="7">
        <v>735</v>
      </c>
      <c r="I259" s="7">
        <v>152</v>
      </c>
      <c r="L259" s="9">
        <f t="shared" si="7"/>
        <v>1.6190138165212806E+16</v>
      </c>
      <c r="M259" s="9">
        <f t="shared" si="8"/>
        <v>0</v>
      </c>
    </row>
    <row r="260" spans="1:13" ht="15.75" customHeight="1" x14ac:dyDescent="0.3">
      <c r="A260" s="7" t="s">
        <v>315</v>
      </c>
      <c r="B260" s="7">
        <v>2.1</v>
      </c>
      <c r="C260" s="7">
        <v>10</v>
      </c>
      <c r="D260" s="7">
        <v>0</v>
      </c>
      <c r="E260" s="7" t="s">
        <v>314</v>
      </c>
      <c r="F260" s="7">
        <v>0</v>
      </c>
      <c r="G260" s="7" t="s">
        <v>314</v>
      </c>
      <c r="H260" s="7">
        <v>85</v>
      </c>
      <c r="I260" s="7">
        <v>154</v>
      </c>
      <c r="L260" s="9">
        <f t="shared" ref="L260:L323" si="9">(H260*10^-8/1.798)*6.02*10^23/I260</f>
        <v>1848012943674789.8</v>
      </c>
      <c r="M260" s="9">
        <f t="shared" si="8"/>
        <v>0</v>
      </c>
    </row>
    <row r="261" spans="1:13" ht="15.75" customHeight="1" x14ac:dyDescent="0.3">
      <c r="A261" s="7" t="s">
        <v>316</v>
      </c>
      <c r="B261" s="7">
        <v>14.8</v>
      </c>
      <c r="C261" s="7">
        <v>6</v>
      </c>
      <c r="D261" s="7" t="s">
        <v>317</v>
      </c>
      <c r="E261" s="7">
        <v>40.799999999999997</v>
      </c>
      <c r="F261" s="7">
        <v>25</v>
      </c>
      <c r="G261" s="7" t="s">
        <v>318</v>
      </c>
      <c r="H261" s="7">
        <v>61100</v>
      </c>
      <c r="I261" s="7">
        <v>155</v>
      </c>
      <c r="L261" s="9">
        <f t="shared" si="9"/>
        <v>1.319824895044673E+18</v>
      </c>
      <c r="M261" s="9">
        <f t="shared" si="8"/>
        <v>970967741935483.63</v>
      </c>
    </row>
    <row r="262" spans="1:13" ht="15.75" customHeight="1" x14ac:dyDescent="0.3">
      <c r="A262" s="7" t="s">
        <v>319</v>
      </c>
      <c r="B262" s="7">
        <v>20.6</v>
      </c>
      <c r="C262" s="7">
        <v>6.3</v>
      </c>
      <c r="D262" s="7">
        <v>0</v>
      </c>
      <c r="E262" s="7">
        <v>5</v>
      </c>
      <c r="F262" s="7">
        <v>0</v>
      </c>
      <c r="G262" s="7">
        <v>5</v>
      </c>
      <c r="H262" s="7">
        <v>1.5</v>
      </c>
      <c r="I262" s="7">
        <v>156</v>
      </c>
      <c r="L262" s="9">
        <f t="shared" si="9"/>
        <v>32193890647728.242</v>
      </c>
      <c r="M262" s="9">
        <f t="shared" si="8"/>
        <v>0</v>
      </c>
    </row>
    <row r="263" spans="1:13" ht="15.75" customHeight="1" x14ac:dyDescent="0.3">
      <c r="A263" s="7" t="s">
        <v>320</v>
      </c>
      <c r="B263" s="7">
        <v>15.7</v>
      </c>
      <c r="C263" s="7">
        <v>-1.1399999999999999</v>
      </c>
      <c r="D263" s="7" t="s">
        <v>321</v>
      </c>
      <c r="E263" s="7" t="s">
        <v>322</v>
      </c>
      <c r="F263" s="7">
        <v>394</v>
      </c>
      <c r="G263" s="7" t="s">
        <v>323</v>
      </c>
      <c r="H263" s="7">
        <v>259000</v>
      </c>
      <c r="I263" s="7">
        <v>157</v>
      </c>
      <c r="L263" s="9">
        <f t="shared" si="9"/>
        <v>5.5234053406828534E+18</v>
      </c>
      <c r="M263" s="9">
        <f t="shared" si="8"/>
        <v>1.5107515923566878E+16</v>
      </c>
    </row>
    <row r="264" spans="1:13" ht="15.75" customHeight="1" x14ac:dyDescent="0.3">
      <c r="A264" s="7" t="s">
        <v>324</v>
      </c>
      <c r="B264" s="7">
        <v>24.8</v>
      </c>
      <c r="C264" s="7">
        <v>9</v>
      </c>
      <c r="D264" s="7">
        <v>0</v>
      </c>
      <c r="E264" s="7" t="s">
        <v>325</v>
      </c>
      <c r="F264" s="7">
        <v>0</v>
      </c>
      <c r="G264" s="7" t="s">
        <v>325</v>
      </c>
      <c r="H264" s="7">
        <v>2.2000000000000002</v>
      </c>
      <c r="I264" s="7">
        <v>158</v>
      </c>
      <c r="L264" s="9">
        <f t="shared" si="9"/>
        <v>46620013798735.586</v>
      </c>
      <c r="M264" s="9">
        <f t="shared" si="8"/>
        <v>0</v>
      </c>
    </row>
    <row r="265" spans="1:13" ht="15.75" customHeight="1" x14ac:dyDescent="0.3">
      <c r="A265" s="7" t="s">
        <v>326</v>
      </c>
      <c r="B265" s="7">
        <v>21.8</v>
      </c>
      <c r="C265" s="7">
        <v>9.15</v>
      </c>
      <c r="D265" s="7">
        <v>0</v>
      </c>
      <c r="E265" s="7">
        <v>10.52</v>
      </c>
      <c r="F265" s="7">
        <v>0</v>
      </c>
      <c r="G265" s="7">
        <v>10.52</v>
      </c>
      <c r="H265" s="7">
        <v>0.77</v>
      </c>
      <c r="I265" s="7">
        <v>160</v>
      </c>
      <c r="L265" s="9">
        <f t="shared" si="9"/>
        <v>16113042269187.988</v>
      </c>
      <c r="M265" s="9">
        <f t="shared" si="8"/>
        <v>0</v>
      </c>
    </row>
    <row r="266" spans="1:13" ht="15.75" customHeight="1" x14ac:dyDescent="0.3">
      <c r="A266" s="7" t="s">
        <v>327</v>
      </c>
      <c r="B266" s="7">
        <v>100</v>
      </c>
      <c r="C266" s="7">
        <v>7.38</v>
      </c>
      <c r="D266" s="7">
        <v>-0.17</v>
      </c>
      <c r="E266" s="7">
        <v>6.84</v>
      </c>
      <c r="F266" s="7">
        <v>4.0000000000000001E-3</v>
      </c>
      <c r="G266" s="7">
        <v>6.84</v>
      </c>
      <c r="H266" s="7">
        <v>23.4</v>
      </c>
      <c r="I266" s="7">
        <v>158.92400000000001</v>
      </c>
      <c r="J266" s="14">
        <v>8.2294</v>
      </c>
      <c r="K266" s="14">
        <v>31.183</v>
      </c>
      <c r="L266" s="9">
        <f t="shared" si="9"/>
        <v>492984396820564.75</v>
      </c>
      <c r="M266" s="9">
        <f t="shared" si="8"/>
        <v>151518965039.89325</v>
      </c>
    </row>
    <row r="267" spans="1:13" ht="15.75" customHeight="1" x14ac:dyDescent="0.3">
      <c r="A267" s="7" t="s">
        <v>328</v>
      </c>
      <c r="B267" s="7" t="s">
        <v>13</v>
      </c>
      <c r="C267" s="7">
        <v>16.899999999999999</v>
      </c>
      <c r="D267" s="7" t="s">
        <v>13</v>
      </c>
      <c r="E267" s="7">
        <v>35.9</v>
      </c>
      <c r="F267" s="7">
        <v>54.4</v>
      </c>
      <c r="G267" s="7">
        <v>90.3</v>
      </c>
      <c r="H267" s="7">
        <v>994</v>
      </c>
      <c r="I267" s="7">
        <v>162.5</v>
      </c>
      <c r="J267" s="13">
        <v>8.5500000000000007</v>
      </c>
      <c r="K267" s="14">
        <v>31.684999999999999</v>
      </c>
      <c r="L267" s="9">
        <f t="shared" si="9"/>
        <v>2.0480465474458796E+16</v>
      </c>
      <c r="M267" s="9">
        <f t="shared" si="8"/>
        <v>2015310769230768.8</v>
      </c>
    </row>
    <row r="268" spans="1:13" ht="15.75" customHeight="1" x14ac:dyDescent="0.3">
      <c r="A268" s="7" t="s">
        <v>329</v>
      </c>
      <c r="B268" s="7">
        <v>0.06</v>
      </c>
      <c r="C268" s="7">
        <v>6.1</v>
      </c>
      <c r="D268" s="7">
        <v>0</v>
      </c>
      <c r="E268" s="7">
        <v>4.7</v>
      </c>
      <c r="F268" s="7">
        <v>0</v>
      </c>
      <c r="G268" s="7">
        <v>4.7</v>
      </c>
      <c r="H268" s="7">
        <v>33</v>
      </c>
      <c r="I268" s="7">
        <v>156</v>
      </c>
      <c r="L268" s="9">
        <f t="shared" si="9"/>
        <v>708265594250021.38</v>
      </c>
      <c r="M268" s="9">
        <f t="shared" si="8"/>
        <v>0</v>
      </c>
    </row>
    <row r="269" spans="1:13" ht="15.75" customHeight="1" x14ac:dyDescent="0.3">
      <c r="A269" s="7" t="s">
        <v>330</v>
      </c>
      <c r="B269" s="7">
        <v>0.1</v>
      </c>
      <c r="C269" s="7">
        <v>6</v>
      </c>
      <c r="D269" s="7">
        <v>0</v>
      </c>
      <c r="E269" s="7" t="s">
        <v>331</v>
      </c>
      <c r="F269" s="7">
        <v>0</v>
      </c>
      <c r="G269" s="7" t="s">
        <v>331</v>
      </c>
      <c r="H269" s="7">
        <v>43</v>
      </c>
      <c r="I269" s="7">
        <v>158</v>
      </c>
      <c r="L269" s="9">
        <f t="shared" si="9"/>
        <v>911209360611649.88</v>
      </c>
      <c r="M269" s="9">
        <f t="shared" si="8"/>
        <v>0</v>
      </c>
    </row>
    <row r="270" spans="1:13" ht="15.75" customHeight="1" x14ac:dyDescent="0.3">
      <c r="A270" s="7" t="s">
        <v>332</v>
      </c>
      <c r="B270" s="7">
        <v>2.34</v>
      </c>
      <c r="C270" s="7">
        <v>6.7</v>
      </c>
      <c r="D270" s="7">
        <v>0</v>
      </c>
      <c r="E270" s="7">
        <v>5.6</v>
      </c>
      <c r="F270" s="7">
        <v>0</v>
      </c>
      <c r="G270" s="7">
        <v>5.6</v>
      </c>
      <c r="H270" s="7">
        <v>56</v>
      </c>
      <c r="I270" s="7">
        <v>160</v>
      </c>
      <c r="L270" s="9">
        <f t="shared" si="9"/>
        <v>1171857619577308</v>
      </c>
      <c r="M270" s="9">
        <f t="shared" ref="M270:M333" si="10">F270*10^-8*6.02*10^23/I270</f>
        <v>0</v>
      </c>
    </row>
    <row r="271" spans="1:13" ht="15.75" customHeight="1" x14ac:dyDescent="0.3">
      <c r="A271" s="7" t="s">
        <v>333</v>
      </c>
      <c r="B271" s="7">
        <v>19</v>
      </c>
      <c r="C271" s="7">
        <v>10.3</v>
      </c>
      <c r="D271" s="7" t="s">
        <v>334</v>
      </c>
      <c r="E271" s="7">
        <v>13.3</v>
      </c>
      <c r="F271" s="7">
        <v>3</v>
      </c>
      <c r="G271" s="7" t="s">
        <v>335</v>
      </c>
      <c r="H271" s="7">
        <v>600</v>
      </c>
      <c r="I271" s="7">
        <v>161</v>
      </c>
      <c r="L271" s="9">
        <f t="shared" si="9"/>
        <v>1.24776321516661E+16</v>
      </c>
      <c r="M271" s="9">
        <f t="shared" si="10"/>
        <v>112173913043478.27</v>
      </c>
    </row>
    <row r="272" spans="1:13" ht="15.75" customHeight="1" x14ac:dyDescent="0.3">
      <c r="A272" s="7" t="s">
        <v>336</v>
      </c>
      <c r="B272" s="7">
        <v>25.5</v>
      </c>
      <c r="C272" s="7">
        <v>-1.4</v>
      </c>
      <c r="D272" s="7">
        <v>0</v>
      </c>
      <c r="E272" s="7">
        <v>0.25</v>
      </c>
      <c r="F272" s="7">
        <v>0</v>
      </c>
      <c r="G272" s="7">
        <v>0.25</v>
      </c>
      <c r="H272" s="7">
        <v>194</v>
      </c>
      <c r="I272" s="7">
        <v>162</v>
      </c>
      <c r="L272" s="9">
        <f t="shared" si="9"/>
        <v>4009530479682500</v>
      </c>
      <c r="M272" s="9">
        <f t="shared" si="10"/>
        <v>0</v>
      </c>
    </row>
    <row r="273" spans="1:13" ht="15.75" customHeight="1" x14ac:dyDescent="0.3">
      <c r="A273" s="7" t="s">
        <v>337</v>
      </c>
      <c r="B273" s="7">
        <v>24.9</v>
      </c>
      <c r="C273" s="7">
        <v>5</v>
      </c>
      <c r="D273" s="7">
        <v>1.3</v>
      </c>
      <c r="E273" s="7">
        <v>3.1</v>
      </c>
      <c r="F273" s="7">
        <v>0.21</v>
      </c>
      <c r="G273" s="7">
        <v>3.3</v>
      </c>
      <c r="H273" s="7">
        <v>124</v>
      </c>
      <c r="I273" s="7">
        <v>163</v>
      </c>
      <c r="L273" s="9">
        <f t="shared" si="9"/>
        <v>2547070023270573</v>
      </c>
      <c r="M273" s="9">
        <f t="shared" si="10"/>
        <v>7755828220858.8945</v>
      </c>
    </row>
    <row r="274" spans="1:13" ht="15.75" customHeight="1" x14ac:dyDescent="0.3">
      <c r="A274" s="7" t="s">
        <v>338</v>
      </c>
      <c r="B274" s="7">
        <v>28.1</v>
      </c>
      <c r="C274" s="7">
        <v>49.4</v>
      </c>
      <c r="D274" s="7">
        <v>0</v>
      </c>
      <c r="E274" s="7" t="s">
        <v>339</v>
      </c>
      <c r="F274" s="7">
        <v>0</v>
      </c>
      <c r="G274" s="7" t="s">
        <v>339</v>
      </c>
      <c r="H274" s="7">
        <v>2840</v>
      </c>
      <c r="I274" s="7">
        <v>164</v>
      </c>
      <c r="L274" s="9">
        <f t="shared" si="9"/>
        <v>5.7980411839713496E+16</v>
      </c>
      <c r="M274" s="9">
        <f t="shared" si="10"/>
        <v>0</v>
      </c>
    </row>
    <row r="275" spans="1:13" ht="15.75" customHeight="1" x14ac:dyDescent="0.3">
      <c r="A275" s="7" t="s">
        <v>340</v>
      </c>
      <c r="B275" s="7">
        <v>100</v>
      </c>
      <c r="C275" s="7">
        <v>8.01</v>
      </c>
      <c r="D275" s="7">
        <v>-1.7</v>
      </c>
      <c r="E275" s="7">
        <v>8.06</v>
      </c>
      <c r="F275" s="7">
        <v>0.36</v>
      </c>
      <c r="G275" s="7">
        <v>8.42</v>
      </c>
      <c r="H275" s="7">
        <v>64.7</v>
      </c>
      <c r="I275" s="7">
        <v>164.93</v>
      </c>
      <c r="J275" s="14">
        <v>8.7947000000000006</v>
      </c>
      <c r="K275" s="14">
        <v>32.112000000000002</v>
      </c>
      <c r="L275" s="9">
        <f t="shared" si="9"/>
        <v>1313443590556198</v>
      </c>
      <c r="M275" s="9">
        <f t="shared" si="10"/>
        <v>13140120050930.693</v>
      </c>
    </row>
    <row r="276" spans="1:13" ht="15.75" customHeight="1" x14ac:dyDescent="0.3">
      <c r="A276" s="7" t="s">
        <v>341</v>
      </c>
      <c r="B276" s="7" t="s">
        <v>13</v>
      </c>
      <c r="C276" s="7">
        <v>7.79</v>
      </c>
      <c r="D276" s="7" t="s">
        <v>13</v>
      </c>
      <c r="E276" s="7">
        <v>7.63</v>
      </c>
      <c r="F276" s="7">
        <v>1.1000000000000001</v>
      </c>
      <c r="G276" s="7">
        <v>8.6999999999999993</v>
      </c>
      <c r="H276" s="7">
        <v>159</v>
      </c>
      <c r="I276" s="7">
        <v>167.28</v>
      </c>
      <c r="J276" s="14">
        <v>9.0060000000000002</v>
      </c>
      <c r="K276" s="14">
        <v>32.420999999999999</v>
      </c>
      <c r="L276" s="9">
        <f t="shared" si="9"/>
        <v>3182437683828516.5</v>
      </c>
      <c r="M276" s="9">
        <f t="shared" si="10"/>
        <v>39586322333811.57</v>
      </c>
    </row>
    <row r="277" spans="1:13" ht="15.75" customHeight="1" x14ac:dyDescent="0.3">
      <c r="A277" s="7" t="s">
        <v>342</v>
      </c>
      <c r="B277" s="7">
        <v>0.14000000000000001</v>
      </c>
      <c r="C277" s="7">
        <v>8.8000000000000007</v>
      </c>
      <c r="D277" s="7">
        <v>0</v>
      </c>
      <c r="E277" s="7">
        <v>9.6999999999999993</v>
      </c>
      <c r="F277" s="7">
        <v>0</v>
      </c>
      <c r="G277" s="7">
        <v>9.6999999999999993</v>
      </c>
      <c r="H277" s="7">
        <v>19</v>
      </c>
      <c r="I277" s="7">
        <v>162</v>
      </c>
      <c r="L277" s="9">
        <f t="shared" si="9"/>
        <v>392685974814265.5</v>
      </c>
      <c r="M277" s="9">
        <f t="shared" si="10"/>
        <v>0</v>
      </c>
    </row>
    <row r="278" spans="1:13" ht="15.75" customHeight="1" x14ac:dyDescent="0.3">
      <c r="A278" s="7" t="s">
        <v>343</v>
      </c>
      <c r="B278" s="7">
        <v>1.56</v>
      </c>
      <c r="C278" s="7">
        <v>8.1999999999999993</v>
      </c>
      <c r="D278" s="7">
        <v>0</v>
      </c>
      <c r="E278" s="7">
        <v>8.4</v>
      </c>
      <c r="F278" s="7">
        <v>0</v>
      </c>
      <c r="G278" s="7">
        <v>8.4</v>
      </c>
      <c r="H278" s="7">
        <v>13</v>
      </c>
      <c r="I278" s="7">
        <v>164</v>
      </c>
      <c r="L278" s="9">
        <f t="shared" si="9"/>
        <v>265403293632491.31</v>
      </c>
      <c r="M278" s="9">
        <f t="shared" si="10"/>
        <v>0</v>
      </c>
    </row>
    <row r="279" spans="1:13" ht="15.75" customHeight="1" x14ac:dyDescent="0.3">
      <c r="A279" s="7" t="s">
        <v>344</v>
      </c>
      <c r="B279" s="7">
        <v>33.4</v>
      </c>
      <c r="C279" s="7">
        <v>10.6</v>
      </c>
      <c r="D279" s="7">
        <v>0</v>
      </c>
      <c r="E279" s="7">
        <v>14.1</v>
      </c>
      <c r="F279" s="7">
        <v>0</v>
      </c>
      <c r="G279" s="7">
        <v>14.1</v>
      </c>
      <c r="H279" s="7">
        <v>19.600000000000001</v>
      </c>
      <c r="I279" s="7">
        <v>166</v>
      </c>
      <c r="L279" s="9">
        <f t="shared" si="9"/>
        <v>395325462026079.75</v>
      </c>
      <c r="M279" s="9">
        <f t="shared" si="10"/>
        <v>0</v>
      </c>
    </row>
    <row r="280" spans="1:13" ht="15.75" customHeight="1" x14ac:dyDescent="0.3">
      <c r="A280" s="7" t="s">
        <v>345</v>
      </c>
      <c r="B280" s="7">
        <v>22.9</v>
      </c>
      <c r="C280" s="7">
        <v>3</v>
      </c>
      <c r="D280" s="7">
        <v>1</v>
      </c>
      <c r="E280" s="7">
        <v>1.1000000000000001</v>
      </c>
      <c r="F280" s="7">
        <v>0.13</v>
      </c>
      <c r="G280" s="7">
        <v>1.2</v>
      </c>
      <c r="H280" s="7">
        <v>659</v>
      </c>
      <c r="I280" s="7">
        <v>167</v>
      </c>
      <c r="L280" s="9">
        <f t="shared" si="9"/>
        <v>1.321221849959702E+16</v>
      </c>
      <c r="M280" s="9">
        <f t="shared" si="10"/>
        <v>4686227544910.1797</v>
      </c>
    </row>
    <row r="281" spans="1:13" ht="15.75" customHeight="1" x14ac:dyDescent="0.3">
      <c r="A281" s="7" t="s">
        <v>346</v>
      </c>
      <c r="B281" s="7">
        <v>27.1</v>
      </c>
      <c r="C281" s="7">
        <v>7.4</v>
      </c>
      <c r="D281" s="7">
        <v>0</v>
      </c>
      <c r="E281" s="7">
        <v>6.9</v>
      </c>
      <c r="F281" s="7">
        <v>0</v>
      </c>
      <c r="G281" s="7">
        <v>6.9</v>
      </c>
      <c r="H281" s="7">
        <v>2.74</v>
      </c>
      <c r="I281" s="7">
        <v>168</v>
      </c>
      <c r="L281" s="9">
        <f t="shared" si="9"/>
        <v>54606970708194.297</v>
      </c>
      <c r="M281" s="9">
        <f t="shared" si="10"/>
        <v>0</v>
      </c>
    </row>
    <row r="282" spans="1:13" ht="15.75" customHeight="1" x14ac:dyDescent="0.3">
      <c r="A282" s="7" t="s">
        <v>347</v>
      </c>
      <c r="B282" s="7">
        <v>14.9</v>
      </c>
      <c r="C282" s="7">
        <v>9.6</v>
      </c>
      <c r="D282" s="7">
        <v>0</v>
      </c>
      <c r="E282" s="7">
        <v>11.6</v>
      </c>
      <c r="F282" s="7">
        <v>0</v>
      </c>
      <c r="G282" s="7" t="s">
        <v>348</v>
      </c>
      <c r="H282" s="7">
        <v>5.8</v>
      </c>
      <c r="I282" s="7">
        <v>170</v>
      </c>
      <c r="L282" s="9">
        <f t="shared" si="9"/>
        <v>114231499051233.36</v>
      </c>
      <c r="M282" s="9">
        <f t="shared" si="10"/>
        <v>0</v>
      </c>
    </row>
    <row r="283" spans="1:13" ht="15.75" customHeight="1" x14ac:dyDescent="0.3">
      <c r="A283" s="7" t="s">
        <v>349</v>
      </c>
      <c r="B283" s="7">
        <v>100</v>
      </c>
      <c r="C283" s="7">
        <v>7.07</v>
      </c>
      <c r="D283" s="7">
        <v>0.9</v>
      </c>
      <c r="E283" s="7">
        <v>6.28</v>
      </c>
      <c r="F283" s="7">
        <v>0.1</v>
      </c>
      <c r="G283" s="7">
        <v>6.38</v>
      </c>
      <c r="H283" s="7">
        <v>100</v>
      </c>
      <c r="I283" s="7">
        <v>168.934</v>
      </c>
      <c r="J283" s="14">
        <v>9.32</v>
      </c>
      <c r="K283" s="14">
        <v>33.222999999999999</v>
      </c>
      <c r="L283" s="9">
        <f t="shared" si="9"/>
        <v>1981936512107531</v>
      </c>
      <c r="M283" s="9">
        <f t="shared" si="10"/>
        <v>3563521848769.3418</v>
      </c>
    </row>
    <row r="284" spans="1:13" ht="15.75" customHeight="1" x14ac:dyDescent="0.3">
      <c r="A284" s="7" t="s">
        <v>350</v>
      </c>
      <c r="B284" s="7" t="s">
        <v>13</v>
      </c>
      <c r="C284" s="7">
        <v>12.43</v>
      </c>
      <c r="D284" s="7" t="s">
        <v>13</v>
      </c>
      <c r="E284" s="7">
        <v>19.420000000000002</v>
      </c>
      <c r="F284" s="7">
        <v>4</v>
      </c>
      <c r="G284" s="7">
        <v>23.4</v>
      </c>
      <c r="H284" s="7">
        <v>34.799999999999997</v>
      </c>
      <c r="I284" s="7">
        <v>173.04</v>
      </c>
      <c r="J284" s="14">
        <v>6.9649999999999999</v>
      </c>
      <c r="K284" s="14">
        <v>24.239000000000001</v>
      </c>
      <c r="L284" s="9">
        <f t="shared" si="9"/>
        <v>673347948637644.75</v>
      </c>
      <c r="M284" s="9">
        <f t="shared" si="10"/>
        <v>139158576051779.92</v>
      </c>
    </row>
    <row r="285" spans="1:13" ht="15.75" customHeight="1" x14ac:dyDescent="0.3">
      <c r="A285" s="7" t="s">
        <v>351</v>
      </c>
      <c r="B285" s="7">
        <v>0.14000000000000001</v>
      </c>
      <c r="C285" s="7">
        <v>-4.07</v>
      </c>
      <c r="D285" s="7">
        <v>0</v>
      </c>
      <c r="E285" s="7">
        <v>2.13</v>
      </c>
      <c r="F285" s="7">
        <v>0</v>
      </c>
      <c r="G285" s="7">
        <v>2.13</v>
      </c>
      <c r="H285" s="7">
        <v>2230</v>
      </c>
      <c r="I285" s="7">
        <v>168</v>
      </c>
      <c r="L285" s="9">
        <f t="shared" si="9"/>
        <v>4.4442899517982936E+16</v>
      </c>
      <c r="M285" s="9">
        <f t="shared" si="10"/>
        <v>0</v>
      </c>
    </row>
    <row r="286" spans="1:13" ht="15.75" customHeight="1" x14ac:dyDescent="0.3">
      <c r="A286" s="7" t="s">
        <v>352</v>
      </c>
      <c r="B286" s="7">
        <v>3.06</v>
      </c>
      <c r="C286" s="7">
        <v>6.77</v>
      </c>
      <c r="D286" s="7">
        <v>0</v>
      </c>
      <c r="E286" s="7">
        <v>5.8</v>
      </c>
      <c r="F286" s="7">
        <v>0</v>
      </c>
      <c r="G286" s="7">
        <v>5.8</v>
      </c>
      <c r="H286" s="7">
        <v>11.4</v>
      </c>
      <c r="I286" s="7">
        <v>170</v>
      </c>
      <c r="L286" s="9">
        <f t="shared" si="9"/>
        <v>224523980893803.53</v>
      </c>
      <c r="M286" s="9">
        <f t="shared" si="10"/>
        <v>0</v>
      </c>
    </row>
    <row r="287" spans="1:13" ht="15.75" customHeight="1" x14ac:dyDescent="0.3">
      <c r="A287" s="7" t="s">
        <v>353</v>
      </c>
      <c r="B287" s="7">
        <v>14.3</v>
      </c>
      <c r="C287" s="7">
        <v>9.66</v>
      </c>
      <c r="D287" s="7">
        <v>-5.59</v>
      </c>
      <c r="E287" s="7">
        <v>11.7</v>
      </c>
      <c r="F287" s="7">
        <v>3.9</v>
      </c>
      <c r="G287" s="7">
        <v>15.6</v>
      </c>
      <c r="H287" s="7">
        <v>48.6</v>
      </c>
      <c r="I287" s="7">
        <v>171</v>
      </c>
      <c r="L287" s="9">
        <f t="shared" si="9"/>
        <v>951583630934956.88</v>
      </c>
      <c r="M287" s="9">
        <f t="shared" si="10"/>
        <v>137298245614035.06</v>
      </c>
    </row>
    <row r="288" spans="1:13" ht="15.75" customHeight="1" x14ac:dyDescent="0.3">
      <c r="A288" s="7" t="s">
        <v>354</v>
      </c>
      <c r="B288" s="7">
        <v>21.9</v>
      </c>
      <c r="C288" s="7">
        <v>9.43</v>
      </c>
      <c r="D288" s="7">
        <v>0</v>
      </c>
      <c r="E288" s="7">
        <v>11.2</v>
      </c>
      <c r="F288" s="7">
        <v>0</v>
      </c>
      <c r="G288" s="7">
        <v>11.2</v>
      </c>
      <c r="H288" s="7">
        <v>0.8</v>
      </c>
      <c r="I288" s="7">
        <v>172</v>
      </c>
      <c r="L288" s="9">
        <f t="shared" si="9"/>
        <v>15572858731924.357</v>
      </c>
      <c r="M288" s="9">
        <f t="shared" si="10"/>
        <v>0</v>
      </c>
    </row>
    <row r="289" spans="1:13" ht="15.75" customHeight="1" x14ac:dyDescent="0.3">
      <c r="A289" s="7" t="s">
        <v>355</v>
      </c>
      <c r="B289" s="7">
        <v>16.100000000000001</v>
      </c>
      <c r="C289" s="7">
        <v>9.56</v>
      </c>
      <c r="D289" s="7">
        <v>-5.3</v>
      </c>
      <c r="E289" s="7">
        <v>11.5</v>
      </c>
      <c r="F289" s="7">
        <v>3.5</v>
      </c>
      <c r="G289" s="7">
        <v>15</v>
      </c>
      <c r="H289" s="7">
        <v>17.100000000000001</v>
      </c>
      <c r="I289" s="7">
        <v>173</v>
      </c>
      <c r="L289" s="9">
        <f t="shared" si="9"/>
        <v>330945752184508.13</v>
      </c>
      <c r="M289" s="9">
        <f t="shared" si="10"/>
        <v>121791907514450.86</v>
      </c>
    </row>
    <row r="290" spans="1:13" ht="15.75" customHeight="1" x14ac:dyDescent="0.3">
      <c r="A290" s="7" t="s">
        <v>356</v>
      </c>
      <c r="B290" s="7">
        <v>31.8</v>
      </c>
      <c r="C290" s="7">
        <v>19.3</v>
      </c>
      <c r="D290" s="7">
        <v>0</v>
      </c>
      <c r="E290" s="7">
        <v>46.8</v>
      </c>
      <c r="F290" s="7">
        <v>0</v>
      </c>
      <c r="G290" s="7">
        <v>46.8</v>
      </c>
      <c r="H290" s="7">
        <v>69.400000000000006</v>
      </c>
      <c r="I290" s="7">
        <v>174</v>
      </c>
      <c r="L290" s="9">
        <f t="shared" si="9"/>
        <v>1335417385856570.8</v>
      </c>
      <c r="M290" s="9">
        <f t="shared" si="10"/>
        <v>0</v>
      </c>
    </row>
    <row r="291" spans="1:13" ht="15.75" customHeight="1" x14ac:dyDescent="0.3">
      <c r="A291" s="7" t="s">
        <v>357</v>
      </c>
      <c r="B291" s="7">
        <v>12.7</v>
      </c>
      <c r="C291" s="7">
        <v>8.7200000000000006</v>
      </c>
      <c r="D291" s="7">
        <v>0</v>
      </c>
      <c r="E291" s="7">
        <v>9.6</v>
      </c>
      <c r="F291" s="7">
        <v>0</v>
      </c>
      <c r="G291" s="7">
        <v>9.6</v>
      </c>
      <c r="H291" s="7">
        <v>2.85</v>
      </c>
      <c r="I291" s="7">
        <v>176</v>
      </c>
      <c r="L291" s="9">
        <f t="shared" si="9"/>
        <v>54217438568105.969</v>
      </c>
      <c r="M291" s="9">
        <f t="shared" si="10"/>
        <v>0</v>
      </c>
    </row>
    <row r="292" spans="1:13" ht="15.75" customHeight="1" x14ac:dyDescent="0.3">
      <c r="A292" s="7" t="s">
        <v>358</v>
      </c>
      <c r="B292" s="7" t="s">
        <v>13</v>
      </c>
      <c r="C292" s="7">
        <v>7.21</v>
      </c>
      <c r="D292" s="7" t="s">
        <v>13</v>
      </c>
      <c r="E292" s="7">
        <v>6.53</v>
      </c>
      <c r="F292" s="7">
        <v>0.7</v>
      </c>
      <c r="G292" s="7">
        <v>7.2</v>
      </c>
      <c r="H292" s="7">
        <v>74</v>
      </c>
      <c r="I292" s="7">
        <v>174.97</v>
      </c>
      <c r="J292" s="14">
        <v>9.8404000000000007</v>
      </c>
      <c r="K292" s="14">
        <v>33.868000000000002</v>
      </c>
      <c r="L292" s="9">
        <f t="shared" si="9"/>
        <v>1416038077527099.3</v>
      </c>
      <c r="M292" s="9">
        <f t="shared" si="10"/>
        <v>24084128707778.473</v>
      </c>
    </row>
    <row r="293" spans="1:13" ht="15.75" customHeight="1" x14ac:dyDescent="0.3">
      <c r="A293" s="7" t="s">
        <v>359</v>
      </c>
      <c r="B293" s="7">
        <v>97.39</v>
      </c>
      <c r="C293" s="7">
        <v>7.24</v>
      </c>
      <c r="D293" s="7" t="s">
        <v>360</v>
      </c>
      <c r="E293" s="7">
        <v>6.59</v>
      </c>
      <c r="F293" s="7">
        <v>0.6</v>
      </c>
      <c r="G293" s="7">
        <v>7.2</v>
      </c>
      <c r="H293" s="7">
        <v>21</v>
      </c>
      <c r="I293" s="7">
        <v>175</v>
      </c>
      <c r="L293" s="9">
        <f t="shared" si="9"/>
        <v>401779755283648.44</v>
      </c>
      <c r="M293" s="9">
        <f t="shared" si="10"/>
        <v>20639999999999.996</v>
      </c>
    </row>
    <row r="294" spans="1:13" ht="15.75" customHeight="1" x14ac:dyDescent="0.3">
      <c r="A294" s="7" t="s">
        <v>361</v>
      </c>
      <c r="B294" s="7">
        <v>2.61</v>
      </c>
      <c r="C294" s="7">
        <v>6.1</v>
      </c>
      <c r="D294" s="7" t="s">
        <v>362</v>
      </c>
      <c r="E294" s="7">
        <v>4.7</v>
      </c>
      <c r="F294" s="7">
        <v>1.2</v>
      </c>
      <c r="G294" s="7">
        <v>5.9</v>
      </c>
      <c r="H294" s="7">
        <v>2065</v>
      </c>
      <c r="I294" s="7">
        <v>176</v>
      </c>
      <c r="L294" s="9">
        <f t="shared" si="9"/>
        <v>3.928386338355748E+16</v>
      </c>
      <c r="M294" s="9">
        <f t="shared" si="10"/>
        <v>41045454545454.531</v>
      </c>
    </row>
    <row r="295" spans="1:13" ht="15.75" customHeight="1" x14ac:dyDescent="0.3">
      <c r="A295" s="7" t="s">
        <v>363</v>
      </c>
      <c r="B295" s="7" t="s">
        <v>13</v>
      </c>
      <c r="C295" s="7">
        <v>7.7</v>
      </c>
      <c r="D295" s="7" t="s">
        <v>13</v>
      </c>
      <c r="E295" s="7">
        <v>7.6</v>
      </c>
      <c r="F295" s="7">
        <v>2.6</v>
      </c>
      <c r="G295" s="7">
        <v>10.199999999999999</v>
      </c>
      <c r="H295" s="7">
        <v>104.1</v>
      </c>
      <c r="I295" s="7">
        <v>178.49</v>
      </c>
      <c r="J295" s="14">
        <v>13.31</v>
      </c>
      <c r="K295" s="14">
        <v>44.905999999999999</v>
      </c>
      <c r="L295" s="9">
        <f t="shared" si="9"/>
        <v>1952736499011513</v>
      </c>
      <c r="M295" s="9">
        <f t="shared" si="10"/>
        <v>87691187181354.688</v>
      </c>
    </row>
    <row r="296" spans="1:13" ht="15.75" customHeight="1" x14ac:dyDescent="0.3">
      <c r="A296" s="7" t="s">
        <v>364</v>
      </c>
      <c r="B296" s="7">
        <v>0.2</v>
      </c>
      <c r="C296" s="7">
        <v>10.9</v>
      </c>
      <c r="D296" s="7">
        <v>0</v>
      </c>
      <c r="E296" s="7" t="s">
        <v>365</v>
      </c>
      <c r="F296" s="7">
        <v>0</v>
      </c>
      <c r="G296" s="7" t="s">
        <v>365</v>
      </c>
      <c r="H296" s="7">
        <v>561</v>
      </c>
      <c r="I296" s="7">
        <v>174</v>
      </c>
      <c r="L296" s="9">
        <f t="shared" si="9"/>
        <v>1.0794944574431358E+16</v>
      </c>
      <c r="M296" s="9">
        <f t="shared" si="10"/>
        <v>0</v>
      </c>
    </row>
    <row r="297" spans="1:13" ht="15.75" customHeight="1" x14ac:dyDescent="0.3">
      <c r="A297" s="7" t="s">
        <v>366</v>
      </c>
      <c r="B297" s="7">
        <v>5.2</v>
      </c>
      <c r="C297" s="7">
        <v>6.61</v>
      </c>
      <c r="D297" s="7">
        <v>0</v>
      </c>
      <c r="E297" s="7">
        <v>5.5</v>
      </c>
      <c r="F297" s="7">
        <v>0</v>
      </c>
      <c r="G297" s="7">
        <v>5.5</v>
      </c>
      <c r="H297" s="7">
        <v>23.5</v>
      </c>
      <c r="I297" s="7">
        <v>176</v>
      </c>
      <c r="L297" s="9">
        <f t="shared" si="9"/>
        <v>447056072403680.75</v>
      </c>
      <c r="M297" s="9">
        <f t="shared" si="10"/>
        <v>0</v>
      </c>
    </row>
    <row r="298" spans="1:13" ht="15.75" customHeight="1" x14ac:dyDescent="0.3">
      <c r="A298" s="7" t="s">
        <v>367</v>
      </c>
      <c r="B298" s="7">
        <v>18.600000000000001</v>
      </c>
      <c r="C298" s="7">
        <v>0.8</v>
      </c>
      <c r="D298" s="7" t="s">
        <v>368</v>
      </c>
      <c r="E298" s="7">
        <v>0.1</v>
      </c>
      <c r="F298" s="7">
        <v>0.1</v>
      </c>
      <c r="G298" s="7">
        <v>0.2</v>
      </c>
      <c r="H298" s="7">
        <v>373</v>
      </c>
      <c r="I298" s="7">
        <v>177</v>
      </c>
      <c r="L298" s="9">
        <f t="shared" si="9"/>
        <v>7055736757099853</v>
      </c>
      <c r="M298" s="9">
        <f t="shared" si="10"/>
        <v>3401129943502.8247</v>
      </c>
    </row>
    <row r="299" spans="1:13" ht="15.75" customHeight="1" x14ac:dyDescent="0.3">
      <c r="A299" s="7" t="s">
        <v>369</v>
      </c>
      <c r="B299" s="7">
        <v>27.1</v>
      </c>
      <c r="C299" s="7">
        <v>5.9</v>
      </c>
      <c r="D299" s="7">
        <v>0</v>
      </c>
      <c r="E299" s="7">
        <v>4.4000000000000004</v>
      </c>
      <c r="F299" s="7">
        <v>0</v>
      </c>
      <c r="G299" s="7">
        <v>4.4000000000000004</v>
      </c>
      <c r="H299" s="7">
        <v>84</v>
      </c>
      <c r="I299" s="7">
        <v>178</v>
      </c>
      <c r="L299" s="9">
        <f t="shared" si="9"/>
        <v>1580032745497493.8</v>
      </c>
      <c r="M299" s="9">
        <f t="shared" si="10"/>
        <v>0</v>
      </c>
    </row>
    <row r="300" spans="1:13" ht="15.75" customHeight="1" x14ac:dyDescent="0.3">
      <c r="A300" s="7" t="s">
        <v>370</v>
      </c>
      <c r="B300" s="7">
        <v>13.7</v>
      </c>
      <c r="C300" s="7">
        <v>7.46</v>
      </c>
      <c r="D300" s="7" t="s">
        <v>371</v>
      </c>
      <c r="E300" s="7">
        <v>7</v>
      </c>
      <c r="F300" s="7">
        <v>0.14000000000000001</v>
      </c>
      <c r="G300" s="7">
        <v>7.1</v>
      </c>
      <c r="H300" s="7">
        <v>41</v>
      </c>
      <c r="I300" s="7">
        <v>179</v>
      </c>
      <c r="L300" s="9">
        <f t="shared" si="9"/>
        <v>766898043139179.88</v>
      </c>
      <c r="M300" s="9">
        <f t="shared" si="10"/>
        <v>4708379888268.1553</v>
      </c>
    </row>
    <row r="301" spans="1:13" ht="15.75" customHeight="1" x14ac:dyDescent="0.3">
      <c r="A301" s="7" t="s">
        <v>372</v>
      </c>
      <c r="B301" s="7">
        <v>35.200000000000003</v>
      </c>
      <c r="C301" s="7">
        <v>13.2</v>
      </c>
      <c r="D301" s="7">
        <v>0</v>
      </c>
      <c r="E301" s="7">
        <v>21.9</v>
      </c>
      <c r="F301" s="7">
        <v>0</v>
      </c>
      <c r="G301" s="7" t="s">
        <v>373</v>
      </c>
      <c r="H301" s="7">
        <v>13.04</v>
      </c>
      <c r="I301" s="7">
        <v>180</v>
      </c>
      <c r="L301" s="9">
        <f t="shared" si="9"/>
        <v>242555926337906.28</v>
      </c>
      <c r="M301" s="9">
        <f t="shared" si="10"/>
        <v>0</v>
      </c>
    </row>
    <row r="302" spans="1:13" ht="15.75" customHeight="1" x14ac:dyDescent="0.3">
      <c r="A302" s="7" t="s">
        <v>374</v>
      </c>
      <c r="B302" s="7" t="s">
        <v>13</v>
      </c>
      <c r="C302" s="7">
        <v>6.91</v>
      </c>
      <c r="D302" s="7" t="s">
        <v>13</v>
      </c>
      <c r="E302" s="7">
        <v>6</v>
      </c>
      <c r="F302" s="7">
        <v>0.01</v>
      </c>
      <c r="G302" s="7">
        <v>6.01</v>
      </c>
      <c r="H302" s="7">
        <v>20.6</v>
      </c>
      <c r="I302" s="7">
        <v>180.94800000000001</v>
      </c>
      <c r="J302" s="14">
        <v>16.600000000000001</v>
      </c>
      <c r="K302" s="14">
        <v>55.244999999999997</v>
      </c>
      <c r="L302" s="9">
        <f t="shared" si="9"/>
        <v>381171338305441.19</v>
      </c>
      <c r="M302" s="9">
        <f t="shared" si="10"/>
        <v>332692265181.15698</v>
      </c>
    </row>
    <row r="303" spans="1:13" ht="15.75" customHeight="1" x14ac:dyDescent="0.3">
      <c r="A303" s="7" t="s">
        <v>375</v>
      </c>
      <c r="B303" s="7">
        <v>1.2E-2</v>
      </c>
      <c r="C303" s="7">
        <v>7</v>
      </c>
      <c r="D303" s="7" t="s">
        <v>13</v>
      </c>
      <c r="E303" s="7">
        <v>6.2</v>
      </c>
      <c r="F303" s="7">
        <v>0.5</v>
      </c>
      <c r="G303" s="7" t="s">
        <v>376</v>
      </c>
      <c r="H303" s="7">
        <v>563</v>
      </c>
      <c r="I303" s="7">
        <v>180</v>
      </c>
      <c r="L303" s="9">
        <f t="shared" si="9"/>
        <v>1.047231491780991E+16</v>
      </c>
      <c r="M303" s="9">
        <f t="shared" si="10"/>
        <v>16722222222222.219</v>
      </c>
    </row>
    <row r="304" spans="1:13" ht="15.75" customHeight="1" x14ac:dyDescent="0.3">
      <c r="A304" s="7" t="s">
        <v>377</v>
      </c>
      <c r="B304" s="7">
        <v>99.988</v>
      </c>
      <c r="C304" s="7">
        <v>6.91</v>
      </c>
      <c r="D304" s="7">
        <v>-0.28999999999999998</v>
      </c>
      <c r="E304" s="7">
        <v>6</v>
      </c>
      <c r="F304" s="7">
        <v>1.0999999999999999E-2</v>
      </c>
      <c r="G304" s="7">
        <v>6.01</v>
      </c>
      <c r="H304" s="7">
        <v>20.5</v>
      </c>
      <c r="I304" s="7">
        <v>181</v>
      </c>
      <c r="L304" s="9">
        <f t="shared" si="9"/>
        <v>379212015806390.06</v>
      </c>
      <c r="M304" s="9">
        <f t="shared" si="10"/>
        <v>365856353591.16016</v>
      </c>
    </row>
    <row r="305" spans="1:13" ht="15.75" customHeight="1" x14ac:dyDescent="0.3">
      <c r="A305" s="7" t="s">
        <v>378</v>
      </c>
      <c r="B305" s="7" t="s">
        <v>13</v>
      </c>
      <c r="C305" s="7">
        <v>4.8600000000000003</v>
      </c>
      <c r="D305" s="7" t="s">
        <v>13</v>
      </c>
      <c r="E305" s="7">
        <v>2.97</v>
      </c>
      <c r="F305" s="7">
        <v>1.63</v>
      </c>
      <c r="G305" s="7">
        <v>4.5999999999999996</v>
      </c>
      <c r="H305" s="7">
        <v>18.3</v>
      </c>
      <c r="I305" s="7">
        <v>183.85</v>
      </c>
      <c r="J305" s="14">
        <v>19.350000000000001</v>
      </c>
      <c r="K305" s="14">
        <v>63.381</v>
      </c>
      <c r="L305" s="9">
        <f t="shared" si="9"/>
        <v>333268494320132.69</v>
      </c>
      <c r="M305" s="9">
        <f t="shared" si="10"/>
        <v>53372858308403.594</v>
      </c>
    </row>
    <row r="306" spans="1:13" ht="15.75" customHeight="1" x14ac:dyDescent="0.3">
      <c r="A306" s="7" t="s">
        <v>379</v>
      </c>
      <c r="B306" s="7">
        <v>0.1</v>
      </c>
      <c r="C306" s="7">
        <v>5</v>
      </c>
      <c r="D306" s="7">
        <v>0</v>
      </c>
      <c r="E306" s="7" t="s">
        <v>380</v>
      </c>
      <c r="F306" s="7">
        <v>0</v>
      </c>
      <c r="G306" s="7" t="s">
        <v>380</v>
      </c>
      <c r="H306" s="7">
        <v>30</v>
      </c>
      <c r="I306" s="7">
        <v>180</v>
      </c>
      <c r="L306" s="9">
        <f t="shared" si="9"/>
        <v>558027437893956.06</v>
      </c>
      <c r="M306" s="9">
        <f t="shared" si="10"/>
        <v>0</v>
      </c>
    </row>
    <row r="307" spans="1:13" ht="15.75" customHeight="1" x14ac:dyDescent="0.3">
      <c r="A307" s="7" t="s">
        <v>381</v>
      </c>
      <c r="B307" s="7">
        <v>26.3</v>
      </c>
      <c r="C307" s="7">
        <v>6.97</v>
      </c>
      <c r="D307" s="7">
        <v>0</v>
      </c>
      <c r="E307" s="7">
        <v>6.1</v>
      </c>
      <c r="F307" s="7">
        <v>0</v>
      </c>
      <c r="G307" s="7">
        <v>6.1</v>
      </c>
      <c r="H307" s="7">
        <v>20.7</v>
      </c>
      <c r="I307" s="7">
        <v>182</v>
      </c>
      <c r="L307" s="9">
        <f t="shared" si="9"/>
        <v>380807735090271.13</v>
      </c>
      <c r="M307" s="9">
        <f t="shared" si="10"/>
        <v>0</v>
      </c>
    </row>
    <row r="308" spans="1:13" ht="15.75" customHeight="1" x14ac:dyDescent="0.3">
      <c r="A308" s="7" t="s">
        <v>382</v>
      </c>
      <c r="B308" s="7">
        <v>14.3</v>
      </c>
      <c r="C308" s="7">
        <v>6.53</v>
      </c>
      <c r="D308" s="7" t="s">
        <v>13</v>
      </c>
      <c r="E308" s="7">
        <v>5.36</v>
      </c>
      <c r="F308" s="7">
        <v>0.3</v>
      </c>
      <c r="G308" s="7">
        <v>5.7</v>
      </c>
      <c r="H308" s="7">
        <v>10.1</v>
      </c>
      <c r="I308" s="7">
        <v>183</v>
      </c>
      <c r="L308" s="9">
        <f t="shared" si="9"/>
        <v>184789413859965.81</v>
      </c>
      <c r="M308" s="9">
        <f t="shared" si="10"/>
        <v>9868852459016.3906</v>
      </c>
    </row>
    <row r="309" spans="1:13" ht="15.75" customHeight="1" x14ac:dyDescent="0.3">
      <c r="A309" s="7" t="s">
        <v>383</v>
      </c>
      <c r="B309" s="7">
        <v>30.7</v>
      </c>
      <c r="C309" s="7">
        <v>7.48</v>
      </c>
      <c r="D309" s="7">
        <v>0</v>
      </c>
      <c r="E309" s="7">
        <v>7.03</v>
      </c>
      <c r="F309" s="7">
        <v>0</v>
      </c>
      <c r="G309" s="7">
        <v>7.03</v>
      </c>
      <c r="H309" s="7">
        <v>1.7</v>
      </c>
      <c r="I309" s="7">
        <v>184</v>
      </c>
      <c r="L309" s="9">
        <f t="shared" si="9"/>
        <v>30934129709338.875</v>
      </c>
      <c r="M309" s="9">
        <f t="shared" si="10"/>
        <v>0</v>
      </c>
    </row>
    <row r="310" spans="1:13" ht="15.75" customHeight="1" x14ac:dyDescent="0.3">
      <c r="A310" s="7" t="s">
        <v>384</v>
      </c>
      <c r="B310" s="7">
        <v>28.6</v>
      </c>
      <c r="C310" s="7">
        <v>-0.72</v>
      </c>
      <c r="D310" s="7">
        <v>0</v>
      </c>
      <c r="E310" s="7">
        <v>6.5000000000000002E-2</v>
      </c>
      <c r="F310" s="7">
        <v>0</v>
      </c>
      <c r="G310" s="7">
        <v>6.5000000000000002E-2</v>
      </c>
      <c r="H310" s="7">
        <v>37.9</v>
      </c>
      <c r="I310" s="7">
        <v>186</v>
      </c>
      <c r="L310" s="9">
        <f t="shared" si="9"/>
        <v>682233545038094.75</v>
      </c>
      <c r="M310" s="9">
        <f t="shared" si="10"/>
        <v>0</v>
      </c>
    </row>
    <row r="311" spans="1:13" ht="15.75" customHeight="1" x14ac:dyDescent="0.3">
      <c r="A311" s="7" t="s">
        <v>385</v>
      </c>
      <c r="B311" s="7" t="s">
        <v>13</v>
      </c>
      <c r="C311" s="7">
        <v>9.1999999999999993</v>
      </c>
      <c r="D311" s="7" t="s">
        <v>13</v>
      </c>
      <c r="E311" s="7">
        <v>10.6</v>
      </c>
      <c r="F311" s="7">
        <v>0.9</v>
      </c>
      <c r="G311" s="7">
        <v>11.5</v>
      </c>
      <c r="H311" s="7">
        <v>89.7</v>
      </c>
      <c r="I311" s="7">
        <v>186.2</v>
      </c>
      <c r="J311" s="14">
        <v>20.53</v>
      </c>
      <c r="K311" s="14">
        <v>66.397000000000006</v>
      </c>
      <c r="L311" s="9">
        <f t="shared" si="9"/>
        <v>1612945043364808</v>
      </c>
      <c r="M311" s="9">
        <f t="shared" si="10"/>
        <v>29097744360902.258</v>
      </c>
    </row>
    <row r="312" spans="1:13" ht="15.75" customHeight="1" x14ac:dyDescent="0.3">
      <c r="A312" s="7" t="s">
        <v>386</v>
      </c>
      <c r="B312" s="7">
        <v>37.4</v>
      </c>
      <c r="C312" s="7">
        <v>9</v>
      </c>
      <c r="D312" s="7" t="s">
        <v>387</v>
      </c>
      <c r="E312" s="7">
        <v>10.199999999999999</v>
      </c>
      <c r="F312" s="7">
        <v>0.5</v>
      </c>
      <c r="G312" s="7">
        <v>10.7</v>
      </c>
      <c r="H312" s="7">
        <v>112</v>
      </c>
      <c r="I312" s="7">
        <v>185</v>
      </c>
      <c r="L312" s="9">
        <f t="shared" si="9"/>
        <v>2026996963593181.5</v>
      </c>
      <c r="M312" s="9">
        <f t="shared" si="10"/>
        <v>16270270270270.268</v>
      </c>
    </row>
    <row r="313" spans="1:13" ht="15.75" customHeight="1" x14ac:dyDescent="0.3">
      <c r="A313" s="7" t="s">
        <v>388</v>
      </c>
      <c r="B313" s="7">
        <v>62.6</v>
      </c>
      <c r="C313" s="7">
        <v>9.3000000000000007</v>
      </c>
      <c r="D313" s="7" t="s">
        <v>389</v>
      </c>
      <c r="E313" s="7">
        <v>10.9</v>
      </c>
      <c r="F313" s="7">
        <v>1</v>
      </c>
      <c r="G313" s="7">
        <v>11.9</v>
      </c>
      <c r="H313" s="7">
        <v>76.400000000000006</v>
      </c>
      <c r="I313" s="7">
        <v>187</v>
      </c>
      <c r="L313" s="9">
        <f t="shared" si="9"/>
        <v>1367913248826682.3</v>
      </c>
      <c r="M313" s="9">
        <f t="shared" si="10"/>
        <v>32192513368983.953</v>
      </c>
    </row>
    <row r="314" spans="1:13" ht="15.75" customHeight="1" x14ac:dyDescent="0.3">
      <c r="A314" s="7" t="s">
        <v>390</v>
      </c>
      <c r="B314" s="7" t="s">
        <v>13</v>
      </c>
      <c r="C314" s="7">
        <v>10.7</v>
      </c>
      <c r="D314" s="7" t="s">
        <v>13</v>
      </c>
      <c r="E314" s="7">
        <v>14.4</v>
      </c>
      <c r="F314" s="7">
        <v>0.3</v>
      </c>
      <c r="G314" s="7">
        <v>14.7</v>
      </c>
      <c r="H314" s="7">
        <v>16</v>
      </c>
      <c r="I314" s="7">
        <v>190.2</v>
      </c>
      <c r="J314" s="14">
        <v>22.48</v>
      </c>
      <c r="K314" s="14">
        <v>71.174999999999997</v>
      </c>
      <c r="L314" s="9">
        <f t="shared" si="9"/>
        <v>281654227328179.75</v>
      </c>
      <c r="M314" s="9">
        <f t="shared" si="10"/>
        <v>9495268138801.2598</v>
      </c>
    </row>
    <row r="315" spans="1:13" ht="15.75" customHeight="1" x14ac:dyDescent="0.3">
      <c r="A315" s="7" t="s">
        <v>391</v>
      </c>
      <c r="B315" s="7">
        <v>0.02</v>
      </c>
      <c r="C315" s="7">
        <v>10</v>
      </c>
      <c r="D315" s="7">
        <v>0</v>
      </c>
      <c r="E315" s="7" t="s">
        <v>393</v>
      </c>
      <c r="F315" s="7">
        <v>0</v>
      </c>
      <c r="G315" s="7" t="s">
        <v>393</v>
      </c>
      <c r="H315" s="7">
        <v>3000</v>
      </c>
      <c r="I315" s="7">
        <v>184</v>
      </c>
      <c r="L315" s="9">
        <f t="shared" si="9"/>
        <v>5.45896406635392E+16</v>
      </c>
      <c r="M315" s="9">
        <f t="shared" si="10"/>
        <v>0</v>
      </c>
    </row>
    <row r="316" spans="1:13" ht="15.75" customHeight="1" x14ac:dyDescent="0.3">
      <c r="A316" s="7" t="s">
        <v>394</v>
      </c>
      <c r="B316" s="7">
        <v>1.58</v>
      </c>
      <c r="C316" s="7">
        <v>11.6</v>
      </c>
      <c r="D316" s="7">
        <v>0</v>
      </c>
      <c r="E316" s="7" t="s">
        <v>395</v>
      </c>
      <c r="F316" s="7">
        <v>0</v>
      </c>
      <c r="G316" s="7" t="s">
        <v>395</v>
      </c>
      <c r="H316" s="7">
        <v>80</v>
      </c>
      <c r="I316" s="7">
        <v>186</v>
      </c>
      <c r="L316" s="9">
        <f t="shared" si="9"/>
        <v>1440070807468274</v>
      </c>
      <c r="M316" s="9">
        <f t="shared" si="10"/>
        <v>0</v>
      </c>
    </row>
    <row r="317" spans="1:13" ht="15.75" customHeight="1" x14ac:dyDescent="0.3">
      <c r="A317" s="7" t="s">
        <v>396</v>
      </c>
      <c r="B317" s="7">
        <v>1.6</v>
      </c>
      <c r="C317" s="7">
        <v>10</v>
      </c>
      <c r="D317" s="7" t="s">
        <v>13</v>
      </c>
      <c r="E317" s="7" t="s">
        <v>393</v>
      </c>
      <c r="F317" s="7">
        <v>0.3</v>
      </c>
      <c r="G317" s="7" t="s">
        <v>393</v>
      </c>
      <c r="H317" s="7">
        <v>320</v>
      </c>
      <c r="I317" s="7">
        <v>187</v>
      </c>
      <c r="L317" s="9">
        <f t="shared" si="9"/>
        <v>5729479576237411</v>
      </c>
      <c r="M317" s="9">
        <f t="shared" si="10"/>
        <v>9657754010695.1836</v>
      </c>
    </row>
    <row r="318" spans="1:13" ht="15.75" customHeight="1" x14ac:dyDescent="0.3">
      <c r="A318" s="7" t="s">
        <v>397</v>
      </c>
      <c r="B318" s="7">
        <v>13.3</v>
      </c>
      <c r="C318" s="7">
        <v>7.6</v>
      </c>
      <c r="D318" s="7">
        <v>0</v>
      </c>
      <c r="E318" s="7">
        <v>7.3</v>
      </c>
      <c r="F318" s="7">
        <v>0</v>
      </c>
      <c r="G318" s="7">
        <v>7.3</v>
      </c>
      <c r="H318" s="7">
        <v>4.7</v>
      </c>
      <c r="I318" s="7">
        <v>188</v>
      </c>
      <c r="L318" s="9">
        <f t="shared" si="9"/>
        <v>83704115684093.438</v>
      </c>
      <c r="M318" s="9">
        <f t="shared" si="10"/>
        <v>0</v>
      </c>
    </row>
    <row r="319" spans="1:13" ht="15.75" customHeight="1" x14ac:dyDescent="0.3">
      <c r="A319" s="7" t="s">
        <v>398</v>
      </c>
      <c r="B319" s="7">
        <v>16.100000000000001</v>
      </c>
      <c r="C319" s="7">
        <v>10.7</v>
      </c>
      <c r="D319" s="7" t="s">
        <v>13</v>
      </c>
      <c r="E319" s="7">
        <v>14.4</v>
      </c>
      <c r="F319" s="7">
        <v>0.5</v>
      </c>
      <c r="G319" s="7">
        <v>14.9</v>
      </c>
      <c r="H319" s="7">
        <v>25</v>
      </c>
      <c r="I319" s="7">
        <v>189</v>
      </c>
      <c r="L319" s="9">
        <f t="shared" si="9"/>
        <v>442878918963457.19</v>
      </c>
      <c r="M319" s="9">
        <f t="shared" si="10"/>
        <v>15925925925925.924</v>
      </c>
    </row>
    <row r="320" spans="1:13" ht="15.75" customHeight="1" x14ac:dyDescent="0.3">
      <c r="A320" s="7" t="s">
        <v>399</v>
      </c>
      <c r="B320" s="7">
        <v>26.4</v>
      </c>
      <c r="C320" s="7">
        <v>11</v>
      </c>
      <c r="D320" s="7">
        <v>0</v>
      </c>
      <c r="E320" s="7">
        <v>15.2</v>
      </c>
      <c r="F320" s="7">
        <v>0</v>
      </c>
      <c r="G320" s="7">
        <v>15.2</v>
      </c>
      <c r="H320" s="7">
        <v>13.1</v>
      </c>
      <c r="I320" s="7">
        <v>190</v>
      </c>
      <c r="L320" s="9">
        <f t="shared" si="9"/>
        <v>230847140097183.97</v>
      </c>
      <c r="M320" s="9">
        <f t="shared" si="10"/>
        <v>0</v>
      </c>
    </row>
    <row r="321" spans="1:13" ht="15.75" customHeight="1" x14ac:dyDescent="0.3">
      <c r="A321" s="7" t="s">
        <v>400</v>
      </c>
      <c r="B321" s="7">
        <v>41</v>
      </c>
      <c r="C321" s="7">
        <v>11.5</v>
      </c>
      <c r="D321" s="7">
        <v>0</v>
      </c>
      <c r="E321" s="7">
        <v>16.600000000000001</v>
      </c>
      <c r="F321" s="7">
        <v>0</v>
      </c>
      <c r="G321" s="7" t="s">
        <v>401</v>
      </c>
      <c r="H321" s="7">
        <v>2</v>
      </c>
      <c r="I321" s="7">
        <v>192</v>
      </c>
      <c r="L321" s="9">
        <f t="shared" si="9"/>
        <v>34876714868372.254</v>
      </c>
      <c r="M321" s="9">
        <f t="shared" si="10"/>
        <v>0</v>
      </c>
    </row>
    <row r="322" spans="1:13" ht="15.75" customHeight="1" x14ac:dyDescent="0.3">
      <c r="A322" s="7" t="s">
        <v>402</v>
      </c>
      <c r="B322" s="7" t="s">
        <v>13</v>
      </c>
      <c r="C322" s="7">
        <v>10.6</v>
      </c>
      <c r="D322" s="7" t="s">
        <v>13</v>
      </c>
      <c r="E322" s="7">
        <v>14.1</v>
      </c>
      <c r="F322" s="7">
        <v>0</v>
      </c>
      <c r="G322" s="7">
        <v>14</v>
      </c>
      <c r="H322" s="7">
        <v>425</v>
      </c>
      <c r="I322" s="7">
        <v>192.2</v>
      </c>
      <c r="J322" s="13">
        <v>22.420999999999999</v>
      </c>
      <c r="K322" s="13">
        <v>70.248999999999995</v>
      </c>
      <c r="L322" s="9">
        <f t="shared" si="9"/>
        <v>7403589836782457</v>
      </c>
      <c r="M322" s="9">
        <f t="shared" si="10"/>
        <v>0</v>
      </c>
    </row>
    <row r="323" spans="1:13" ht="15.75" customHeight="1" x14ac:dyDescent="0.3">
      <c r="A323" s="7" t="s">
        <v>403</v>
      </c>
      <c r="B323" s="7">
        <v>37.299999999999997</v>
      </c>
      <c r="C323" s="7" t="s">
        <v>13</v>
      </c>
      <c r="D323" s="7" t="s">
        <v>13</v>
      </c>
      <c r="E323" s="7" t="s">
        <v>13</v>
      </c>
      <c r="F323" s="7" t="s">
        <v>13</v>
      </c>
      <c r="G323" s="7" t="s">
        <v>13</v>
      </c>
      <c r="H323" s="7">
        <v>954</v>
      </c>
      <c r="I323" s="7">
        <v>191</v>
      </c>
      <c r="L323" s="9">
        <f t="shared" si="9"/>
        <v>1.6723293479083796E+16</v>
      </c>
    </row>
    <row r="324" spans="1:13" ht="15.75" customHeight="1" x14ac:dyDescent="0.3">
      <c r="A324" s="7" t="s">
        <v>404</v>
      </c>
      <c r="B324" s="7">
        <v>62.7</v>
      </c>
      <c r="C324" s="7" t="s">
        <v>13</v>
      </c>
      <c r="D324" s="7" t="s">
        <v>13</v>
      </c>
      <c r="E324" s="7" t="s">
        <v>13</v>
      </c>
      <c r="F324" s="7" t="s">
        <v>13</v>
      </c>
      <c r="G324" s="7" t="s">
        <v>13</v>
      </c>
      <c r="H324" s="7">
        <v>111</v>
      </c>
      <c r="I324" s="7">
        <v>193</v>
      </c>
      <c r="L324" s="9">
        <f t="shared" ref="L324:L373" si="11">(H324*10^-8/1.798)*6.02*10^23/I324</f>
        <v>1925628360815413.5</v>
      </c>
    </row>
    <row r="325" spans="1:13" ht="15.75" customHeight="1" x14ac:dyDescent="0.3">
      <c r="A325" s="7" t="s">
        <v>405</v>
      </c>
      <c r="B325" s="7" t="s">
        <v>13</v>
      </c>
      <c r="C325" s="7">
        <v>9.6</v>
      </c>
      <c r="D325" s="7" t="s">
        <v>13</v>
      </c>
      <c r="E325" s="7">
        <v>11.58</v>
      </c>
      <c r="F325" s="7">
        <v>0.13</v>
      </c>
      <c r="G325" s="7">
        <v>11.71</v>
      </c>
      <c r="H325" s="7">
        <v>10.3</v>
      </c>
      <c r="I325" s="7">
        <v>195.09</v>
      </c>
      <c r="J325" s="14">
        <v>21.45</v>
      </c>
      <c r="K325" s="14">
        <v>66.210999999999999</v>
      </c>
      <c r="L325" s="9">
        <f t="shared" si="11"/>
        <v>176770186384983.78</v>
      </c>
      <c r="M325" s="9">
        <f t="shared" si="10"/>
        <v>4011481880157.876</v>
      </c>
    </row>
    <row r="326" spans="1:13" ht="15.75" customHeight="1" x14ac:dyDescent="0.3">
      <c r="A326" s="7" t="s">
        <v>406</v>
      </c>
      <c r="B326" s="7">
        <v>0.01</v>
      </c>
      <c r="C326" s="7">
        <v>9</v>
      </c>
      <c r="D326" s="7">
        <v>0</v>
      </c>
      <c r="E326" s="7" t="s">
        <v>392</v>
      </c>
      <c r="F326" s="7">
        <v>0</v>
      </c>
      <c r="G326" s="7" t="s">
        <v>392</v>
      </c>
      <c r="H326" s="7">
        <v>152</v>
      </c>
      <c r="I326" s="7">
        <v>190</v>
      </c>
      <c r="L326" s="9">
        <f t="shared" si="11"/>
        <v>2678531701890990</v>
      </c>
      <c r="M326" s="9">
        <f t="shared" si="10"/>
        <v>0</v>
      </c>
    </row>
    <row r="327" spans="1:13" ht="15.75" customHeight="1" x14ac:dyDescent="0.3">
      <c r="A327" s="7" t="s">
        <v>407</v>
      </c>
      <c r="B327" s="7">
        <v>0.79</v>
      </c>
      <c r="C327" s="7">
        <v>9.9</v>
      </c>
      <c r="D327" s="7">
        <v>0</v>
      </c>
      <c r="E327" s="7" t="s">
        <v>408</v>
      </c>
      <c r="F327" s="7">
        <v>0</v>
      </c>
      <c r="G327" s="7" t="s">
        <v>408</v>
      </c>
      <c r="H327" s="7">
        <v>10</v>
      </c>
      <c r="I327" s="7">
        <v>192</v>
      </c>
      <c r="L327" s="9">
        <f t="shared" si="11"/>
        <v>174383574341861.28</v>
      </c>
      <c r="M327" s="9">
        <f t="shared" si="10"/>
        <v>0</v>
      </c>
    </row>
    <row r="328" spans="1:13" ht="15.75" customHeight="1" x14ac:dyDescent="0.3">
      <c r="A328" s="7" t="s">
        <v>409</v>
      </c>
      <c r="B328" s="7">
        <v>32.9</v>
      </c>
      <c r="C328" s="7">
        <v>10.55</v>
      </c>
      <c r="D328" s="7">
        <v>0</v>
      </c>
      <c r="E328" s="7">
        <v>14</v>
      </c>
      <c r="F328" s="7">
        <v>0</v>
      </c>
      <c r="G328" s="7">
        <v>14</v>
      </c>
      <c r="H328" s="7">
        <v>1.44</v>
      </c>
      <c r="I328" s="7">
        <v>194</v>
      </c>
      <c r="L328" s="9">
        <f t="shared" si="11"/>
        <v>24852355996926.707</v>
      </c>
      <c r="M328" s="9">
        <f t="shared" si="10"/>
        <v>0</v>
      </c>
    </row>
    <row r="329" spans="1:13" ht="15.75" customHeight="1" x14ac:dyDescent="0.3">
      <c r="A329" s="7" t="s">
        <v>410</v>
      </c>
      <c r="B329" s="7">
        <v>33.799999999999997</v>
      </c>
      <c r="C329" s="7">
        <v>8.83</v>
      </c>
      <c r="D329" s="7">
        <v>-1</v>
      </c>
      <c r="E329" s="7">
        <v>9.8000000000000007</v>
      </c>
      <c r="F329" s="7">
        <v>0.13</v>
      </c>
      <c r="G329" s="7">
        <v>9.9</v>
      </c>
      <c r="H329" s="7">
        <v>27.5</v>
      </c>
      <c r="I329" s="7">
        <v>195</v>
      </c>
      <c r="L329" s="9">
        <f t="shared" si="11"/>
        <v>472177062833347.5</v>
      </c>
      <c r="M329" s="9">
        <f t="shared" si="10"/>
        <v>4013333333333.3335</v>
      </c>
    </row>
    <row r="330" spans="1:13" ht="15.75" customHeight="1" x14ac:dyDescent="0.3">
      <c r="A330" s="7" t="s">
        <v>411</v>
      </c>
      <c r="B330" s="7">
        <v>25.3</v>
      </c>
      <c r="C330" s="7">
        <v>9.89</v>
      </c>
      <c r="D330" s="7">
        <v>0</v>
      </c>
      <c r="E330" s="7">
        <v>12.3</v>
      </c>
      <c r="F330" s="7">
        <v>0</v>
      </c>
      <c r="G330" s="7">
        <v>12.3</v>
      </c>
      <c r="H330" s="7">
        <v>0.72</v>
      </c>
      <c r="I330" s="7">
        <v>196</v>
      </c>
      <c r="L330" s="9">
        <f t="shared" si="11"/>
        <v>12299380263785.156</v>
      </c>
      <c r="M330" s="9">
        <f t="shared" si="10"/>
        <v>0</v>
      </c>
    </row>
    <row r="331" spans="1:13" ht="15.75" customHeight="1" x14ac:dyDescent="0.3">
      <c r="A331" s="7" t="s">
        <v>412</v>
      </c>
      <c r="B331" s="7">
        <v>7.2</v>
      </c>
      <c r="C331" s="7">
        <v>7.8</v>
      </c>
      <c r="D331" s="7">
        <v>0</v>
      </c>
      <c r="E331" s="7">
        <v>7.6</v>
      </c>
      <c r="F331" s="7">
        <v>0</v>
      </c>
      <c r="G331" s="7">
        <v>7.6</v>
      </c>
      <c r="H331" s="7">
        <v>3.66</v>
      </c>
      <c r="I331" s="7">
        <v>198</v>
      </c>
      <c r="L331" s="9">
        <f t="shared" si="11"/>
        <v>61890315839147.875</v>
      </c>
      <c r="M331" s="9">
        <f t="shared" si="10"/>
        <v>0</v>
      </c>
    </row>
    <row r="332" spans="1:13" ht="15.75" customHeight="1" x14ac:dyDescent="0.3">
      <c r="A332" s="7" t="s">
        <v>413</v>
      </c>
      <c r="B332" s="7">
        <v>100</v>
      </c>
      <c r="C332" s="7">
        <v>7.63</v>
      </c>
      <c r="D332" s="7">
        <v>-1.84</v>
      </c>
      <c r="E332" s="7">
        <v>7.32</v>
      </c>
      <c r="F332" s="7">
        <v>0.43</v>
      </c>
      <c r="G332" s="7">
        <v>7.75</v>
      </c>
      <c r="H332" s="7">
        <v>98.65</v>
      </c>
      <c r="I332" s="7">
        <v>196.97</v>
      </c>
      <c r="J332" s="14">
        <v>18.88</v>
      </c>
      <c r="K332" s="14">
        <v>57.722000000000001</v>
      </c>
      <c r="L332" s="9">
        <f t="shared" si="11"/>
        <v>1676887041120133.3</v>
      </c>
      <c r="M332" s="9">
        <f t="shared" si="10"/>
        <v>13142102858303.289</v>
      </c>
    </row>
    <row r="333" spans="1:13" ht="15.75" customHeight="1" x14ac:dyDescent="0.3">
      <c r="A333" s="7" t="s">
        <v>414</v>
      </c>
      <c r="B333" s="7" t="s">
        <v>13</v>
      </c>
      <c r="C333" s="7">
        <v>12.692</v>
      </c>
      <c r="D333" s="7" t="s">
        <v>13</v>
      </c>
      <c r="E333" s="7">
        <v>20.239999999999998</v>
      </c>
      <c r="F333" s="7">
        <v>6.6</v>
      </c>
      <c r="G333" s="7">
        <v>26.8</v>
      </c>
      <c r="H333" s="7">
        <v>372.3</v>
      </c>
      <c r="I333" s="7">
        <v>200.59</v>
      </c>
      <c r="J333" s="14">
        <v>13.593999999999999</v>
      </c>
      <c r="K333" s="14">
        <v>40.811</v>
      </c>
      <c r="L333" s="9">
        <f t="shared" si="11"/>
        <v>6214276338638613</v>
      </c>
      <c r="M333" s="9">
        <f t="shared" si="10"/>
        <v>198075676753576.91</v>
      </c>
    </row>
    <row r="334" spans="1:13" ht="15.75" customHeight="1" x14ac:dyDescent="0.3">
      <c r="A334" s="7" t="s">
        <v>415</v>
      </c>
      <c r="B334" s="7">
        <v>0.2</v>
      </c>
      <c r="C334" s="7">
        <v>30.3</v>
      </c>
      <c r="D334" s="7">
        <v>0</v>
      </c>
      <c r="E334" s="7" t="s">
        <v>416</v>
      </c>
      <c r="F334" s="7">
        <v>0</v>
      </c>
      <c r="G334" s="7" t="s">
        <v>416</v>
      </c>
      <c r="H334" s="7">
        <v>3080</v>
      </c>
      <c r="I334" s="7">
        <v>196</v>
      </c>
      <c r="L334" s="9">
        <f t="shared" si="11"/>
        <v>5.261401557285872E+16</v>
      </c>
      <c r="M334" s="9">
        <f t="shared" ref="M334:M373" si="12">F334*10^-8*6.02*10^23/I334</f>
        <v>0</v>
      </c>
    </row>
    <row r="335" spans="1:13" ht="15.75" customHeight="1" x14ac:dyDescent="0.3">
      <c r="A335" s="7" t="s">
        <v>417</v>
      </c>
      <c r="B335" s="7">
        <v>10.1</v>
      </c>
      <c r="C335" s="7" t="s">
        <v>13</v>
      </c>
      <c r="D335" s="7">
        <v>0</v>
      </c>
      <c r="E335" s="7" t="s">
        <v>13</v>
      </c>
      <c r="F335" s="7">
        <v>0</v>
      </c>
      <c r="G335" s="7" t="s">
        <v>13</v>
      </c>
      <c r="H335" s="7">
        <v>2</v>
      </c>
      <c r="I335" s="7">
        <v>198</v>
      </c>
      <c r="L335" s="9">
        <f t="shared" si="11"/>
        <v>33819844720845.824</v>
      </c>
      <c r="M335" s="9">
        <f t="shared" si="12"/>
        <v>0</v>
      </c>
    </row>
    <row r="336" spans="1:13" ht="15.75" customHeight="1" x14ac:dyDescent="0.3">
      <c r="A336" s="7" t="s">
        <v>418</v>
      </c>
      <c r="B336" s="7">
        <v>17</v>
      </c>
      <c r="C336" s="7">
        <v>16.899999999999999</v>
      </c>
      <c r="D336" s="7" t="s">
        <v>419</v>
      </c>
      <c r="E336" s="7" t="s">
        <v>420</v>
      </c>
      <c r="F336" s="7">
        <v>30</v>
      </c>
      <c r="G336" s="7" t="s">
        <v>421</v>
      </c>
      <c r="H336" s="7">
        <v>2150</v>
      </c>
      <c r="I336" s="7">
        <v>199</v>
      </c>
      <c r="L336" s="9">
        <f t="shared" si="11"/>
        <v>3.6173637933829328E+16</v>
      </c>
      <c r="M336" s="9">
        <f t="shared" si="12"/>
        <v>907537688442210.88</v>
      </c>
    </row>
    <row r="337" spans="1:13" ht="15.75" customHeight="1" x14ac:dyDescent="0.3">
      <c r="A337" s="7" t="s">
        <v>422</v>
      </c>
      <c r="B337" s="7">
        <v>23.1</v>
      </c>
      <c r="C337" s="7" t="s">
        <v>13</v>
      </c>
      <c r="D337" s="7">
        <v>0</v>
      </c>
      <c r="E337" s="7" t="s">
        <v>13</v>
      </c>
      <c r="F337" s="7">
        <v>0</v>
      </c>
      <c r="G337" s="7" t="s">
        <v>13</v>
      </c>
      <c r="H337" s="7" t="s">
        <v>423</v>
      </c>
      <c r="I337" s="7"/>
    </row>
    <row r="338" spans="1:13" ht="15.75" customHeight="1" x14ac:dyDescent="0.3">
      <c r="A338" s="7" t="s">
        <v>424</v>
      </c>
      <c r="B338" s="7">
        <v>13.2</v>
      </c>
      <c r="C338" s="7" t="s">
        <v>13</v>
      </c>
      <c r="D338" s="7" t="s">
        <v>13</v>
      </c>
      <c r="E338" s="7" t="s">
        <v>13</v>
      </c>
      <c r="F338" s="7" t="s">
        <v>13</v>
      </c>
      <c r="G338" s="7" t="s">
        <v>13</v>
      </c>
      <c r="H338" s="7">
        <v>7.8</v>
      </c>
      <c r="I338" s="7">
        <v>201</v>
      </c>
      <c r="L338" s="9">
        <f t="shared" si="11"/>
        <v>129928776584264.42</v>
      </c>
    </row>
    <row r="339" spans="1:13" ht="15.75" customHeight="1" x14ac:dyDescent="0.3">
      <c r="A339" s="7" t="s">
        <v>425</v>
      </c>
      <c r="B339" s="7">
        <v>29.6</v>
      </c>
      <c r="C339" s="7" t="s">
        <v>13</v>
      </c>
      <c r="D339" s="7">
        <v>0</v>
      </c>
      <c r="E339" s="7" t="s">
        <v>13</v>
      </c>
      <c r="F339" s="7">
        <v>0</v>
      </c>
      <c r="G339" s="7">
        <v>9.8279999999999994</v>
      </c>
      <c r="H339" s="7">
        <v>4.8899999999999997</v>
      </c>
      <c r="I339" s="7">
        <v>202</v>
      </c>
      <c r="L339" s="9">
        <f t="shared" si="11"/>
        <v>81052104098062.75</v>
      </c>
      <c r="M339" s="9">
        <f t="shared" si="12"/>
        <v>0</v>
      </c>
    </row>
    <row r="340" spans="1:13" ht="15.75" customHeight="1" x14ac:dyDescent="0.3">
      <c r="A340" s="7" t="s">
        <v>426</v>
      </c>
      <c r="B340" s="7">
        <v>6.8</v>
      </c>
      <c r="C340" s="7" t="s">
        <v>13</v>
      </c>
      <c r="D340" s="7">
        <v>0</v>
      </c>
      <c r="E340" s="7" t="s">
        <v>13</v>
      </c>
      <c r="F340" s="7">
        <v>0</v>
      </c>
      <c r="G340" s="7" t="s">
        <v>13</v>
      </c>
      <c r="H340" s="7">
        <v>0.43</v>
      </c>
      <c r="I340" s="7">
        <v>204</v>
      </c>
      <c r="L340" s="9">
        <f t="shared" si="11"/>
        <v>7057405832188.2686</v>
      </c>
      <c r="M340" s="9">
        <f t="shared" si="12"/>
        <v>0</v>
      </c>
    </row>
    <row r="341" spans="1:13" ht="15.75" customHeight="1" x14ac:dyDescent="0.3">
      <c r="A341" s="7" t="s">
        <v>427</v>
      </c>
      <c r="B341" s="7" t="s">
        <v>13</v>
      </c>
      <c r="C341" s="7">
        <v>8.7759999999999998</v>
      </c>
      <c r="D341" s="7" t="s">
        <v>13</v>
      </c>
      <c r="E341" s="7">
        <v>9.6780000000000008</v>
      </c>
      <c r="F341" s="7">
        <v>0.21</v>
      </c>
      <c r="G341" s="7">
        <v>9.89</v>
      </c>
      <c r="H341" s="7">
        <v>3.43</v>
      </c>
      <c r="I341" s="7">
        <v>204.37</v>
      </c>
      <c r="J341" s="14">
        <v>11.85</v>
      </c>
      <c r="K341" s="14">
        <v>34.917000000000002</v>
      </c>
      <c r="L341" s="9">
        <f t="shared" si="11"/>
        <v>56193201897820.719</v>
      </c>
      <c r="M341" s="9">
        <f t="shared" si="12"/>
        <v>6185839408915.2012</v>
      </c>
    </row>
    <row r="342" spans="1:13" ht="15.75" customHeight="1" x14ac:dyDescent="0.3">
      <c r="A342" s="7" t="s">
        <v>428</v>
      </c>
      <c r="B342" s="7">
        <v>29.524000000000001</v>
      </c>
      <c r="C342" s="7">
        <v>6.99</v>
      </c>
      <c r="D342" s="7">
        <v>1.06</v>
      </c>
      <c r="E342" s="7">
        <v>6.14</v>
      </c>
      <c r="F342" s="7">
        <v>0.14000000000000001</v>
      </c>
      <c r="G342" s="7">
        <v>6.28</v>
      </c>
      <c r="H342" s="7">
        <v>11.4</v>
      </c>
      <c r="I342" s="7">
        <v>203</v>
      </c>
      <c r="L342" s="9">
        <f t="shared" si="11"/>
        <v>188025008630278.81</v>
      </c>
      <c r="M342" s="9">
        <f t="shared" si="12"/>
        <v>4151724137931.0337</v>
      </c>
    </row>
    <row r="343" spans="1:13" ht="15.75" customHeight="1" x14ac:dyDescent="0.3">
      <c r="A343" s="7" t="s">
        <v>429</v>
      </c>
      <c r="B343" s="7">
        <v>70.475999999999999</v>
      </c>
      <c r="C343" s="7">
        <v>9.52</v>
      </c>
      <c r="D343" s="7">
        <v>-0.24199999999999999</v>
      </c>
      <c r="E343" s="7">
        <v>11.39</v>
      </c>
      <c r="F343" s="7">
        <v>7.0000000000000001E-3</v>
      </c>
      <c r="G343" s="7">
        <v>11.4</v>
      </c>
      <c r="H343" s="7">
        <v>0.104</v>
      </c>
      <c r="I343" s="7">
        <v>205</v>
      </c>
      <c r="L343" s="9">
        <f t="shared" si="11"/>
        <v>1698581079247.9441</v>
      </c>
      <c r="M343" s="9">
        <f t="shared" si="12"/>
        <v>205560975609.7561</v>
      </c>
    </row>
    <row r="344" spans="1:13" ht="15.75" customHeight="1" x14ac:dyDescent="0.3">
      <c r="A344" s="7" t="s">
        <v>430</v>
      </c>
      <c r="B344" s="7" t="s">
        <v>13</v>
      </c>
      <c r="C344" s="7">
        <v>9.4049999999999994</v>
      </c>
      <c r="D344" s="7" t="s">
        <v>13</v>
      </c>
      <c r="E344" s="7">
        <v>11.115</v>
      </c>
      <c r="F344" s="7">
        <v>3.0000000000000001E-3</v>
      </c>
      <c r="G344" s="7">
        <v>11.118</v>
      </c>
      <c r="H344" s="7">
        <v>0.17100000000000001</v>
      </c>
      <c r="I344" s="7">
        <v>207.19</v>
      </c>
      <c r="J344" s="14">
        <v>11.343999999999999</v>
      </c>
      <c r="K344" s="14">
        <v>32.970999999999997</v>
      </c>
      <c r="L344" s="9">
        <f t="shared" si="11"/>
        <v>2763338729085.376</v>
      </c>
      <c r="M344" s="9">
        <f t="shared" si="12"/>
        <v>87166369033.254486</v>
      </c>
    </row>
    <row r="345" spans="1:13" ht="15.75" customHeight="1" x14ac:dyDescent="0.3">
      <c r="A345" s="7" t="s">
        <v>431</v>
      </c>
      <c r="B345" s="7">
        <v>1.4</v>
      </c>
      <c r="C345" s="7">
        <v>9.9</v>
      </c>
      <c r="D345" s="7">
        <v>0</v>
      </c>
      <c r="E345" s="7">
        <v>12.3</v>
      </c>
      <c r="F345" s="7">
        <v>0</v>
      </c>
      <c r="G345" s="7">
        <v>12.3</v>
      </c>
      <c r="H345" s="7">
        <v>0.65</v>
      </c>
      <c r="I345" s="7">
        <v>204</v>
      </c>
      <c r="L345" s="9">
        <f t="shared" si="11"/>
        <v>10668171606796.221</v>
      </c>
      <c r="M345" s="9">
        <f t="shared" si="12"/>
        <v>0</v>
      </c>
    </row>
    <row r="346" spans="1:13" ht="15.75" customHeight="1" x14ac:dyDescent="0.3">
      <c r="A346" s="7" t="s">
        <v>432</v>
      </c>
      <c r="B346" s="7">
        <v>24.1</v>
      </c>
      <c r="C346" s="7">
        <v>9.2200000000000006</v>
      </c>
      <c r="D346" s="7">
        <v>0</v>
      </c>
      <c r="E346" s="7">
        <v>10.68</v>
      </c>
      <c r="F346" s="7">
        <v>0</v>
      </c>
      <c r="G346" s="7">
        <v>10.68</v>
      </c>
      <c r="H346" s="7">
        <v>0.03</v>
      </c>
      <c r="I346" s="7">
        <v>206</v>
      </c>
      <c r="L346" s="9">
        <f t="shared" si="11"/>
        <v>487596790392.77722</v>
      </c>
      <c r="M346" s="9">
        <f t="shared" si="12"/>
        <v>0</v>
      </c>
    </row>
    <row r="347" spans="1:13" ht="15.75" customHeight="1" x14ac:dyDescent="0.3">
      <c r="A347" s="7" t="s">
        <v>433</v>
      </c>
      <c r="B347" s="7">
        <v>22.1</v>
      </c>
      <c r="C347" s="7">
        <v>9.2799999999999994</v>
      </c>
      <c r="D347" s="7">
        <v>0.14000000000000001</v>
      </c>
      <c r="E347" s="7">
        <v>10.82</v>
      </c>
      <c r="F347" s="7">
        <v>2E-3</v>
      </c>
      <c r="G347" s="7">
        <v>10.82</v>
      </c>
      <c r="H347" s="7">
        <v>0.69899999999999995</v>
      </c>
      <c r="I347" s="7">
        <v>207</v>
      </c>
      <c r="L347" s="9">
        <f t="shared" si="11"/>
        <v>11306121132981.896</v>
      </c>
      <c r="M347" s="9">
        <f t="shared" si="12"/>
        <v>58164251207.729462</v>
      </c>
    </row>
    <row r="348" spans="1:13" ht="15.75" customHeight="1" x14ac:dyDescent="0.3">
      <c r="A348" s="7" t="s">
        <v>434</v>
      </c>
      <c r="B348" s="7">
        <v>52.4</v>
      </c>
      <c r="C348" s="7">
        <v>9.5</v>
      </c>
      <c r="D348" s="7">
        <v>0</v>
      </c>
      <c r="E348" s="7">
        <v>11.34</v>
      </c>
      <c r="F348" s="7">
        <v>0</v>
      </c>
      <c r="G348" s="7">
        <v>11.34</v>
      </c>
      <c r="H348" s="7">
        <v>4.8000000000000001E-4</v>
      </c>
      <c r="I348" s="7">
        <v>208</v>
      </c>
      <c r="L348" s="9">
        <f t="shared" si="11"/>
        <v>7726533755.4547787</v>
      </c>
      <c r="M348" s="9">
        <f t="shared" si="12"/>
        <v>0</v>
      </c>
    </row>
    <row r="349" spans="1:13" ht="15.75" customHeight="1" x14ac:dyDescent="0.3">
      <c r="A349" s="7" t="s">
        <v>435</v>
      </c>
      <c r="B349" s="7">
        <v>100</v>
      </c>
      <c r="C349" s="7">
        <v>8.532</v>
      </c>
      <c r="D349" s="7" t="s">
        <v>13</v>
      </c>
      <c r="E349" s="7">
        <v>9.1479999999999997</v>
      </c>
      <c r="F349" s="7">
        <v>8.3999999999999995E-3</v>
      </c>
      <c r="G349" s="7">
        <v>9.1560000000000006</v>
      </c>
      <c r="H349" s="7">
        <v>3.3799999999999997E-2</v>
      </c>
      <c r="I349" s="7">
        <v>208.98</v>
      </c>
      <c r="J349" s="14">
        <v>9.8000000000000007</v>
      </c>
      <c r="K349" s="14">
        <v>28.24</v>
      </c>
      <c r="L349" s="9">
        <f t="shared" si="11"/>
        <v>541525334505.18854</v>
      </c>
      <c r="M349" s="9">
        <f t="shared" si="12"/>
        <v>241975308641.97528</v>
      </c>
    </row>
    <row r="350" spans="1:13" ht="15.75" customHeight="1" x14ac:dyDescent="0.3">
      <c r="A350" s="7" t="s">
        <v>436</v>
      </c>
      <c r="B350" s="7" t="s">
        <v>13</v>
      </c>
      <c r="C350" s="7" t="s">
        <v>13</v>
      </c>
      <c r="D350" s="7">
        <v>0.25900000000000001</v>
      </c>
      <c r="E350" s="7">
        <v>0</v>
      </c>
      <c r="F350" s="7" t="s">
        <v>13</v>
      </c>
      <c r="G350" s="7" t="s">
        <v>13</v>
      </c>
      <c r="H350" s="7" t="s">
        <v>13</v>
      </c>
      <c r="I350" s="7"/>
    </row>
    <row r="351" spans="1:13" ht="15.75" customHeight="1" x14ac:dyDescent="0.3">
      <c r="A351" s="7" t="s">
        <v>437</v>
      </c>
      <c r="B351" s="7" t="s">
        <v>13</v>
      </c>
      <c r="C351" s="7" t="s">
        <v>13</v>
      </c>
      <c r="D351" s="7" t="s">
        <v>13</v>
      </c>
      <c r="E351" s="7">
        <v>0</v>
      </c>
      <c r="F351" s="7" t="s">
        <v>13</v>
      </c>
      <c r="G351" s="7" t="s">
        <v>13</v>
      </c>
      <c r="H351" s="7" t="s">
        <v>13</v>
      </c>
      <c r="I351" s="7"/>
    </row>
    <row r="352" spans="1:13" ht="15.75" customHeight="1" x14ac:dyDescent="0.3">
      <c r="A352" s="7" t="s">
        <v>438</v>
      </c>
      <c r="B352" s="7" t="s">
        <v>13</v>
      </c>
      <c r="C352" s="7" t="s">
        <v>13</v>
      </c>
      <c r="D352" s="7" t="s">
        <v>13</v>
      </c>
      <c r="E352" s="7">
        <v>0</v>
      </c>
      <c r="F352" s="7" t="s">
        <v>13</v>
      </c>
      <c r="G352" s="7">
        <v>12.6</v>
      </c>
      <c r="H352" s="7" t="s">
        <v>13</v>
      </c>
      <c r="I352" s="7"/>
    </row>
    <row r="353" spans="1:13" ht="15.75" customHeight="1" x14ac:dyDescent="0.3">
      <c r="A353" s="7" t="s">
        <v>439</v>
      </c>
      <c r="B353" s="7" t="s">
        <v>13</v>
      </c>
      <c r="C353" s="7" t="s">
        <v>13</v>
      </c>
      <c r="D353" s="7" t="s">
        <v>13</v>
      </c>
      <c r="E353" s="7">
        <v>0</v>
      </c>
      <c r="F353" s="7" t="s">
        <v>13</v>
      </c>
      <c r="G353" s="7" t="s">
        <v>13</v>
      </c>
      <c r="H353" s="7" t="s">
        <v>13</v>
      </c>
      <c r="I353" s="7"/>
    </row>
    <row r="354" spans="1:13" ht="15.75" customHeight="1" x14ac:dyDescent="0.3">
      <c r="A354" s="7" t="s">
        <v>440</v>
      </c>
      <c r="B354" s="7" t="s">
        <v>441</v>
      </c>
      <c r="C354" s="7">
        <v>10</v>
      </c>
      <c r="D354" s="7">
        <v>0</v>
      </c>
      <c r="E354" s="7" t="s">
        <v>442</v>
      </c>
      <c r="F354" s="7">
        <v>0</v>
      </c>
      <c r="G354" s="7" t="s">
        <v>442</v>
      </c>
      <c r="H354" s="7">
        <v>12.8</v>
      </c>
      <c r="I354" s="7">
        <v>226.02539999999999</v>
      </c>
      <c r="L354" s="9">
        <f t="shared" si="11"/>
        <v>189609252899257.5</v>
      </c>
      <c r="M354" s="9">
        <f t="shared" si="12"/>
        <v>0</v>
      </c>
    </row>
    <row r="355" spans="1:13" ht="15.75" customHeight="1" x14ac:dyDescent="0.3">
      <c r="A355" s="7" t="s">
        <v>443</v>
      </c>
      <c r="B355" s="7" t="s">
        <v>13</v>
      </c>
      <c r="C355" s="7" t="s">
        <v>13</v>
      </c>
      <c r="D355" s="7" t="s">
        <v>13</v>
      </c>
      <c r="E355" s="7">
        <v>0</v>
      </c>
      <c r="F355" s="7" t="s">
        <v>13</v>
      </c>
      <c r="G355" s="7" t="s">
        <v>13</v>
      </c>
      <c r="H355" s="7" t="s">
        <v>13</v>
      </c>
      <c r="I355" s="7"/>
    </row>
    <row r="356" spans="1:13" ht="15.75" customHeight="1" x14ac:dyDescent="0.3">
      <c r="A356" s="7" t="s">
        <v>444</v>
      </c>
      <c r="B356" s="7">
        <v>100</v>
      </c>
      <c r="C356" s="7">
        <v>10.31</v>
      </c>
      <c r="D356" s="7">
        <v>0</v>
      </c>
      <c r="E356" s="7">
        <v>13.36</v>
      </c>
      <c r="F356" s="7">
        <v>0</v>
      </c>
      <c r="G356" s="7">
        <v>13.36</v>
      </c>
      <c r="H356" s="7">
        <v>7.37</v>
      </c>
      <c r="I356" s="7">
        <v>232.03809999999999</v>
      </c>
      <c r="L356" s="9">
        <f t="shared" si="11"/>
        <v>106344489563010.33</v>
      </c>
      <c r="M356" s="9">
        <f t="shared" si="12"/>
        <v>0</v>
      </c>
    </row>
    <row r="357" spans="1:13" ht="15.75" customHeight="1" x14ac:dyDescent="0.3">
      <c r="A357" s="7" t="s">
        <v>445</v>
      </c>
      <c r="B357" s="7" t="s">
        <v>446</v>
      </c>
      <c r="C357" s="7">
        <v>9.1</v>
      </c>
      <c r="D357" s="7" t="s">
        <v>13</v>
      </c>
      <c r="E357" s="7">
        <v>10.4</v>
      </c>
      <c r="F357" s="7">
        <v>0.1</v>
      </c>
      <c r="G357" s="7" t="s">
        <v>447</v>
      </c>
      <c r="H357" s="7">
        <v>200.6</v>
      </c>
      <c r="I357" s="7">
        <v>231.0359</v>
      </c>
      <c r="L357" s="9">
        <f t="shared" si="11"/>
        <v>2907088570430680.5</v>
      </c>
      <c r="M357" s="9">
        <f t="shared" si="12"/>
        <v>2605655657843.6514</v>
      </c>
    </row>
    <row r="358" spans="1:13" ht="15.75" customHeight="1" x14ac:dyDescent="0.3">
      <c r="A358" s="7" t="s">
        <v>448</v>
      </c>
      <c r="B358" s="7" t="s">
        <v>13</v>
      </c>
      <c r="C358" s="7">
        <v>8.4169999999999998</v>
      </c>
      <c r="D358" s="7" t="s">
        <v>13</v>
      </c>
      <c r="E358" s="7">
        <v>8.9030000000000005</v>
      </c>
      <c r="F358" s="7">
        <v>5.0000000000000001E-3</v>
      </c>
      <c r="G358" s="7">
        <v>8.9079999999999995</v>
      </c>
      <c r="H358" s="7">
        <v>7.57</v>
      </c>
      <c r="I358" s="7">
        <v>238.029</v>
      </c>
      <c r="L358" s="9">
        <f t="shared" si="11"/>
        <v>106481169223680.72</v>
      </c>
      <c r="M358" s="9">
        <f t="shared" si="12"/>
        <v>126455179831.02898</v>
      </c>
    </row>
    <row r="359" spans="1:13" ht="15.75" customHeight="1" x14ac:dyDescent="0.3">
      <c r="A359" s="7" t="s">
        <v>449</v>
      </c>
      <c r="B359" s="7" t="s">
        <v>450</v>
      </c>
      <c r="C359" s="7">
        <v>10.1</v>
      </c>
      <c r="D359" s="7" t="s">
        <v>451</v>
      </c>
      <c r="E359" s="7">
        <v>12.8</v>
      </c>
      <c r="F359" s="7">
        <v>0.1</v>
      </c>
      <c r="G359" s="7">
        <v>12.9</v>
      </c>
      <c r="H359" s="7">
        <v>574.70000000000005</v>
      </c>
      <c r="I359" s="7">
        <v>233</v>
      </c>
      <c r="L359" s="9">
        <f t="shared" si="11"/>
        <v>8258327087321630</v>
      </c>
      <c r="M359" s="9">
        <f t="shared" si="12"/>
        <v>2583690987124.4634</v>
      </c>
    </row>
    <row r="360" spans="1:13" ht="15.75" customHeight="1" x14ac:dyDescent="0.3">
      <c r="A360" s="7" t="s">
        <v>452</v>
      </c>
      <c r="B360" s="7">
        <v>5.0000000000000001E-3</v>
      </c>
      <c r="C360" s="7">
        <v>12.4</v>
      </c>
      <c r="D360" s="7">
        <v>0</v>
      </c>
      <c r="E360" s="7">
        <v>19.3</v>
      </c>
      <c r="F360" s="7">
        <v>0</v>
      </c>
      <c r="G360" s="7">
        <v>19.3</v>
      </c>
      <c r="H360" s="7">
        <v>100.1</v>
      </c>
      <c r="I360" s="7">
        <v>234</v>
      </c>
      <c r="L360" s="9">
        <f t="shared" si="11"/>
        <v>1432270423927820.8</v>
      </c>
      <c r="M360" s="9">
        <f t="shared" si="12"/>
        <v>0</v>
      </c>
    </row>
    <row r="361" spans="1:13" ht="15.75" customHeight="1" x14ac:dyDescent="0.3">
      <c r="A361" s="7" t="s">
        <v>453</v>
      </c>
      <c r="B361" s="7">
        <v>0.72</v>
      </c>
      <c r="C361" s="7">
        <v>10.47</v>
      </c>
      <c r="D361" s="7" t="s">
        <v>454</v>
      </c>
      <c r="E361" s="7">
        <v>13.78</v>
      </c>
      <c r="F361" s="7">
        <v>0.2</v>
      </c>
      <c r="G361" s="7">
        <v>14</v>
      </c>
      <c r="H361" s="7">
        <v>680.9</v>
      </c>
      <c r="I361" s="7">
        <v>235</v>
      </c>
      <c r="L361" s="9">
        <f t="shared" si="11"/>
        <v>9701128913923270</v>
      </c>
      <c r="M361" s="9">
        <f t="shared" si="12"/>
        <v>5123404255319.1494</v>
      </c>
    </row>
    <row r="362" spans="1:13" ht="15.75" customHeight="1" x14ac:dyDescent="0.3">
      <c r="A362" s="7" t="s">
        <v>455</v>
      </c>
      <c r="B362" s="7">
        <v>99.275000000000006</v>
      </c>
      <c r="C362" s="7">
        <v>8.4019999999999992</v>
      </c>
      <c r="D362" s="7">
        <v>0</v>
      </c>
      <c r="E362" s="7">
        <v>8.8710000000000004</v>
      </c>
      <c r="F362" s="7">
        <v>0</v>
      </c>
      <c r="G362" s="7">
        <v>8.8710000000000004</v>
      </c>
      <c r="H362" s="7">
        <v>2.68</v>
      </c>
      <c r="I362" s="7">
        <v>238</v>
      </c>
      <c r="L362" s="9">
        <f t="shared" si="11"/>
        <v>37702021854347.961</v>
      </c>
      <c r="M362" s="9">
        <f t="shared" si="12"/>
        <v>0</v>
      </c>
    </row>
    <row r="363" spans="1:13" ht="15.75" customHeight="1" x14ac:dyDescent="0.3">
      <c r="A363" s="7" t="s">
        <v>456</v>
      </c>
      <c r="B363" s="7" t="s">
        <v>457</v>
      </c>
      <c r="C363" s="7">
        <v>10.55</v>
      </c>
      <c r="D363" s="7" t="s">
        <v>13</v>
      </c>
      <c r="E363" s="7">
        <v>14</v>
      </c>
      <c r="F363" s="7">
        <v>0.5</v>
      </c>
      <c r="G363" s="7">
        <v>14.5</v>
      </c>
      <c r="H363" s="7">
        <v>175.9</v>
      </c>
      <c r="I363" s="7">
        <v>237.04820000000001</v>
      </c>
      <c r="L363" s="9">
        <f t="shared" si="11"/>
        <v>2484482725257062.5</v>
      </c>
      <c r="M363" s="9">
        <f t="shared" si="12"/>
        <v>12697839511120.521</v>
      </c>
    </row>
    <row r="364" spans="1:13" ht="15.75" customHeight="1" x14ac:dyDescent="0.3">
      <c r="A364" s="7" t="s">
        <v>458</v>
      </c>
      <c r="B364" s="7" t="s">
        <v>13</v>
      </c>
      <c r="C364" s="7" t="s">
        <v>13</v>
      </c>
      <c r="D364" s="7" t="s">
        <v>13</v>
      </c>
      <c r="E364" s="7" t="s">
        <v>13</v>
      </c>
      <c r="F364" s="7" t="s">
        <v>13</v>
      </c>
      <c r="G364" s="7" t="s">
        <v>13</v>
      </c>
      <c r="H364" s="7" t="s">
        <v>13</v>
      </c>
      <c r="I364" s="7"/>
    </row>
    <row r="365" spans="1:13" ht="15.75" customHeight="1" x14ac:dyDescent="0.3">
      <c r="A365" s="7" t="s">
        <v>459</v>
      </c>
      <c r="B365" s="7" t="s">
        <v>460</v>
      </c>
      <c r="C365" s="7">
        <v>14.1</v>
      </c>
      <c r="D365" s="7">
        <v>0</v>
      </c>
      <c r="E365" s="7" t="s">
        <v>461</v>
      </c>
      <c r="F365" s="7">
        <v>0</v>
      </c>
      <c r="G365" s="7" t="s">
        <v>461</v>
      </c>
      <c r="H365" s="7">
        <v>558</v>
      </c>
      <c r="I365" s="7">
        <v>238</v>
      </c>
      <c r="L365" s="9">
        <f t="shared" si="11"/>
        <v>7849898580121702</v>
      </c>
      <c r="M365" s="9">
        <f t="shared" si="12"/>
        <v>0</v>
      </c>
    </row>
    <row r="366" spans="1:13" ht="15.75" customHeight="1" x14ac:dyDescent="0.3">
      <c r="A366" s="7" t="s">
        <v>462</v>
      </c>
      <c r="B366" s="7" t="s">
        <v>463</v>
      </c>
      <c r="C366" s="7">
        <v>7.7</v>
      </c>
      <c r="D366" s="7" t="s">
        <v>464</v>
      </c>
      <c r="E366" s="7">
        <v>7.5</v>
      </c>
      <c r="F366" s="7">
        <v>0.2</v>
      </c>
      <c r="G366" s="7">
        <v>7.7</v>
      </c>
      <c r="H366" s="7">
        <v>1017.3</v>
      </c>
      <c r="I366" s="7">
        <v>239</v>
      </c>
      <c r="L366" s="9">
        <f t="shared" si="11"/>
        <v>1.425141370467418E+16</v>
      </c>
      <c r="M366" s="9">
        <f t="shared" si="12"/>
        <v>5037656903765.6904</v>
      </c>
    </row>
    <row r="367" spans="1:13" ht="15.75" customHeight="1" x14ac:dyDescent="0.3">
      <c r="A367" s="7" t="s">
        <v>465</v>
      </c>
      <c r="B367" s="7" t="s">
        <v>466</v>
      </c>
      <c r="C367" s="7">
        <v>3.5</v>
      </c>
      <c r="D367" s="7">
        <v>0</v>
      </c>
      <c r="E367" s="7">
        <v>1.54</v>
      </c>
      <c r="F367" s="7">
        <v>0</v>
      </c>
      <c r="G367" s="7">
        <v>1.54</v>
      </c>
      <c r="H367" s="7">
        <v>289.60000000000002</v>
      </c>
      <c r="I367" s="7">
        <v>240</v>
      </c>
      <c r="L367" s="9">
        <f t="shared" si="11"/>
        <v>4040118650352242.5</v>
      </c>
      <c r="M367" s="9">
        <f t="shared" si="12"/>
        <v>0</v>
      </c>
    </row>
    <row r="368" spans="1:13" ht="15.75" customHeight="1" x14ac:dyDescent="0.3">
      <c r="A368" s="7" t="s">
        <v>467</v>
      </c>
      <c r="B368" s="7" t="s">
        <v>468</v>
      </c>
      <c r="C368" s="7">
        <v>8.1</v>
      </c>
      <c r="D368" s="7">
        <v>0</v>
      </c>
      <c r="E368" s="7">
        <v>8.1999999999999993</v>
      </c>
      <c r="F368" s="7">
        <v>0</v>
      </c>
      <c r="G368" s="7">
        <v>8.1999999999999993</v>
      </c>
      <c r="H368" s="7">
        <v>18.5</v>
      </c>
      <c r="I368" s="7">
        <v>242</v>
      </c>
      <c r="L368" s="9">
        <f t="shared" si="11"/>
        <v>255954733910037.75</v>
      </c>
      <c r="M368" s="9">
        <f t="shared" si="12"/>
        <v>0</v>
      </c>
    </row>
    <row r="369" spans="1:13" ht="15.75" customHeight="1" x14ac:dyDescent="0.3">
      <c r="A369" s="7" t="s">
        <v>469</v>
      </c>
      <c r="B369" s="7" t="s">
        <v>470</v>
      </c>
      <c r="C369" s="7">
        <v>8.3000000000000007</v>
      </c>
      <c r="D369" s="7" t="s">
        <v>471</v>
      </c>
      <c r="E369" s="7">
        <v>8.6999999999999993</v>
      </c>
      <c r="F369" s="7">
        <v>0.3</v>
      </c>
      <c r="G369" s="7" t="s">
        <v>472</v>
      </c>
      <c r="H369" s="7">
        <v>75.3</v>
      </c>
      <c r="I369" s="7">
        <v>243</v>
      </c>
      <c r="L369" s="9">
        <f t="shared" si="11"/>
        <v>1037517680825059.1</v>
      </c>
      <c r="M369" s="9">
        <f t="shared" si="12"/>
        <v>7432098765432.0967</v>
      </c>
    </row>
    <row r="370" spans="1:13" ht="15.75" customHeight="1" x14ac:dyDescent="0.3">
      <c r="A370" s="7" t="s">
        <v>473</v>
      </c>
      <c r="B370" s="7" t="s">
        <v>13</v>
      </c>
      <c r="C370" s="7" t="s">
        <v>13</v>
      </c>
      <c r="D370" s="7" t="s">
        <v>13</v>
      </c>
      <c r="E370" s="7">
        <v>0</v>
      </c>
      <c r="F370" s="7" t="s">
        <v>13</v>
      </c>
      <c r="G370" s="7" t="s">
        <v>13</v>
      </c>
      <c r="H370" s="7" t="s">
        <v>13</v>
      </c>
      <c r="I370" s="7"/>
    </row>
    <row r="371" spans="1:13" ht="15.75" customHeight="1" x14ac:dyDescent="0.3">
      <c r="A371" s="7" t="s">
        <v>474</v>
      </c>
      <c r="B371" s="7" t="s">
        <v>475</v>
      </c>
      <c r="C371" s="7">
        <v>9.5</v>
      </c>
      <c r="D371" s="7">
        <v>0</v>
      </c>
      <c r="E371" s="7">
        <v>11.3</v>
      </c>
      <c r="F371" s="7">
        <v>0</v>
      </c>
      <c r="G371" s="7">
        <v>11.3</v>
      </c>
      <c r="H371" s="7">
        <v>16.2</v>
      </c>
      <c r="I371" s="7">
        <v>244</v>
      </c>
      <c r="L371" s="9">
        <f t="shared" si="11"/>
        <v>222296176079067.78</v>
      </c>
      <c r="M371" s="9">
        <f t="shared" si="12"/>
        <v>0</v>
      </c>
    </row>
    <row r="372" spans="1:13" ht="15.75" customHeight="1" x14ac:dyDescent="0.3">
      <c r="A372" s="7" t="s">
        <v>476</v>
      </c>
      <c r="B372" s="7" t="s">
        <v>477</v>
      </c>
      <c r="C372" s="7">
        <v>9.3000000000000007</v>
      </c>
      <c r="D372" s="7">
        <v>0</v>
      </c>
      <c r="E372" s="7">
        <v>10.9</v>
      </c>
      <c r="F372" s="7">
        <v>0</v>
      </c>
      <c r="G372" s="7">
        <v>10.9</v>
      </c>
      <c r="H372" s="7">
        <v>1.36</v>
      </c>
      <c r="I372" s="7">
        <v>246</v>
      </c>
      <c r="L372" s="9">
        <f t="shared" si="11"/>
        <v>18510178427701.965</v>
      </c>
      <c r="M372" s="9">
        <f t="shared" si="12"/>
        <v>0</v>
      </c>
    </row>
    <row r="373" spans="1:13" ht="15.75" customHeight="1" x14ac:dyDescent="0.3">
      <c r="A373" s="7" t="s">
        <v>478</v>
      </c>
      <c r="B373" s="7" t="s">
        <v>479</v>
      </c>
      <c r="C373" s="7">
        <v>7.7</v>
      </c>
      <c r="D373" s="7">
        <v>0</v>
      </c>
      <c r="E373" s="7">
        <v>7.5</v>
      </c>
      <c r="F373" s="7">
        <v>0</v>
      </c>
      <c r="G373" s="7">
        <v>7.5</v>
      </c>
      <c r="H373" s="7">
        <v>3</v>
      </c>
      <c r="I373" s="7">
        <v>248</v>
      </c>
      <c r="L373" s="9">
        <f t="shared" si="11"/>
        <v>40501991460045.211</v>
      </c>
      <c r="M373" s="9">
        <f t="shared" si="12"/>
        <v>0</v>
      </c>
    </row>
    <row r="374" spans="1:13" ht="15.75" customHeight="1" x14ac:dyDescent="0.3">
      <c r="A374" s="7"/>
      <c r="B374" s="7"/>
      <c r="C374" s="7"/>
      <c r="D374" s="7"/>
      <c r="E374" s="7"/>
      <c r="F374" s="7"/>
      <c r="G374" s="7"/>
      <c r="H374" s="7"/>
      <c r="I374" s="7"/>
    </row>
  </sheetData>
  <mergeCells count="1">
    <mergeCell ref="A1:H1"/>
  </mergeCells>
  <phoneticPr fontId="1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Reflectivity</vt:lpstr>
      <vt:lpstr>Uncertainties</vt:lpstr>
      <vt:lpstr>dTotal</vt:lpstr>
      <vt:lpstr>dDstack</vt:lpstr>
      <vt:lpstr>f_d^D</vt:lpstr>
      <vt:lpstr>f_d^H</vt:lpstr>
      <vt:lpstr>sigDstack</vt:lpstr>
      <vt:lpstr>sigHstack</vt:lpstr>
      <vt:lpstr>NbSi</vt:lpstr>
      <vt:lpstr>NbDstack</vt:lpstr>
      <vt:lpstr>NbHstack</vt:lpstr>
      <vt:lpstr>ScaledCombined</vt:lpstr>
      <vt:lpstr>ScatteringParameters</vt:lpstr>
      <vt:lpstr>AtomicParameters</vt:lpstr>
      <vt:lpstr>ScaledCombined!REF_L_2790_2008_01_10T13_3A40_3A12_04_3A00_CE_scaling</vt:lpstr>
    </vt:vector>
  </TitlesOfParts>
  <Company>Argonne National Laboratory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Ankner</dc:creator>
  <cp:lastModifiedBy>Ankner, John Francis</cp:lastModifiedBy>
  <cp:lastPrinted>2016-06-14T15:27:36Z</cp:lastPrinted>
  <dcterms:created xsi:type="dcterms:W3CDTF">2000-09-25T14:43:08Z</dcterms:created>
  <dcterms:modified xsi:type="dcterms:W3CDTF">2021-06-28T15:28:57Z</dcterms:modified>
</cp:coreProperties>
</file>