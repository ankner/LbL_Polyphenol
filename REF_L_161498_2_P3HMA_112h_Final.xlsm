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8_{8BBD9B37-BAFE-45A0-811A-6D38F0ADE017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73" r:id="rId2"/>
    <sheet name="dTotal" sheetId="45" r:id="rId3"/>
    <sheet name="density" sheetId="66" r:id="rId4"/>
    <sheet name="f_PEO" sheetId="67" r:id="rId5"/>
    <sheet name="sigDstack" sheetId="52" r:id="rId6"/>
    <sheet name="dSiOx" sheetId="70" r:id="rId7"/>
    <sheet name="NbBPEI" sheetId="72" r:id="rId8"/>
    <sheet name="NbSi" sheetId="74" r:id="rId9"/>
    <sheet name="ScaledCombined" sheetId="18" r:id="rId10"/>
    <sheet name="ScatteringParameters" sheetId="7" r:id="rId11"/>
    <sheet name="AtomicParameters" sheetId="6" r:id="rId12"/>
  </sheets>
  <functionGroups builtInGroupCount="19"/>
  <definedNames>
    <definedName name="REF_L_2790_2008_01_10T13_3A40_3A12_04_3A00_CE_scaling" localSheetId="9">ScaledCombined!$A$1:$M$362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/>
  <c r="B10" i="73" s="1"/>
  <c r="C13" i="73"/>
  <c r="B13" i="73"/>
  <c r="B8" i="73"/>
  <c r="B11" i="73" s="1"/>
  <c r="C8" i="73"/>
  <c r="C7" i="73"/>
  <c r="B7" i="73"/>
  <c r="B12" i="73" s="1"/>
  <c r="C5" i="73"/>
  <c r="B5" i="73"/>
  <c r="C3" i="73"/>
  <c r="B3" i="73"/>
  <c r="C2" i="73"/>
  <c r="B2" i="73"/>
  <c r="C10" i="73" l="1"/>
  <c r="G6" i="1"/>
  <c r="X128" i="1"/>
  <c r="Y128" i="1" s="1"/>
  <c r="X129" i="1"/>
  <c r="Y129" i="1" s="1"/>
  <c r="X130" i="1"/>
  <c r="Y130" i="1" s="1"/>
  <c r="X131" i="1"/>
  <c r="Y131" i="1" s="1"/>
  <c r="X132" i="1"/>
  <c r="Y132" i="1" s="1"/>
  <c r="X133" i="1"/>
  <c r="Y133" i="1" s="1"/>
  <c r="X134" i="1"/>
  <c r="Y134" i="1" s="1"/>
  <c r="X135" i="1"/>
  <c r="Y135" i="1" s="1"/>
  <c r="X136" i="1"/>
  <c r="Y136" i="1" s="1"/>
  <c r="X137" i="1"/>
  <c r="Y137" i="1" s="1"/>
  <c r="X138" i="1"/>
  <c r="Y138" i="1" s="1"/>
  <c r="X139" i="1"/>
  <c r="Y139" i="1" s="1"/>
  <c r="X140" i="1"/>
  <c r="Y140" i="1" s="1"/>
  <c r="X141" i="1"/>
  <c r="Y141" i="1" s="1"/>
  <c r="X142" i="1"/>
  <c r="Y142" i="1" s="1"/>
  <c r="X143" i="1"/>
  <c r="Y143" i="1" s="1"/>
  <c r="X144" i="1"/>
  <c r="Y144" i="1" s="1"/>
  <c r="X145" i="1"/>
  <c r="Y145" i="1" s="1"/>
  <c r="X146" i="1"/>
  <c r="Y146" i="1" s="1"/>
  <c r="X147" i="1"/>
  <c r="Y147" i="1" s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Y153" i="1" s="1"/>
  <c r="X154" i="1"/>
  <c r="Y154" i="1" s="1"/>
  <c r="X155" i="1"/>
  <c r="Y155" i="1" s="1"/>
  <c r="X156" i="1"/>
  <c r="Y156" i="1" s="1"/>
  <c r="X157" i="1"/>
  <c r="Y157" i="1" s="1"/>
  <c r="X158" i="1"/>
  <c r="Y158" i="1" s="1"/>
  <c r="X159" i="1"/>
  <c r="Y159" i="1" s="1"/>
  <c r="X160" i="1"/>
  <c r="Y160" i="1" s="1"/>
  <c r="X161" i="1"/>
  <c r="Y161" i="1" s="1"/>
  <c r="X162" i="1"/>
  <c r="Y162" i="1" s="1"/>
  <c r="X163" i="1"/>
  <c r="Y163" i="1" s="1"/>
  <c r="X164" i="1"/>
  <c r="Y164" i="1" s="1"/>
  <c r="X165" i="1"/>
  <c r="Y165" i="1" s="1"/>
  <c r="X166" i="1"/>
  <c r="Y166" i="1" s="1"/>
  <c r="X167" i="1"/>
  <c r="Y167" i="1" s="1"/>
  <c r="X168" i="1"/>
  <c r="Y168" i="1" s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Y174" i="1" s="1"/>
  <c r="X175" i="1"/>
  <c r="Y175" i="1" s="1"/>
  <c r="X176" i="1"/>
  <c r="Y176" i="1" s="1"/>
  <c r="X177" i="1"/>
  <c r="Y177" i="1" s="1"/>
  <c r="X178" i="1"/>
  <c r="Y178" i="1" s="1"/>
  <c r="X179" i="1"/>
  <c r="Y179" i="1" s="1"/>
  <c r="X180" i="1"/>
  <c r="Y180" i="1" s="1"/>
  <c r="X181" i="1"/>
  <c r="Y181" i="1" s="1"/>
  <c r="X182" i="1"/>
  <c r="Y182" i="1" s="1"/>
  <c r="X183" i="1"/>
  <c r="Y183" i="1" s="1"/>
  <c r="X184" i="1"/>
  <c r="Y184" i="1" s="1"/>
  <c r="X185" i="1"/>
  <c r="Y185" i="1" s="1"/>
  <c r="X186" i="1"/>
  <c r="Y186" i="1" s="1"/>
  <c r="X187" i="1"/>
  <c r="Y187" i="1" s="1"/>
  <c r="X188" i="1"/>
  <c r="Y188" i="1" s="1"/>
  <c r="X189" i="1"/>
  <c r="Y189" i="1" s="1"/>
  <c r="X190" i="1"/>
  <c r="Y190" i="1" s="1"/>
  <c r="X191" i="1"/>
  <c r="Y191" i="1" s="1"/>
  <c r="X192" i="1"/>
  <c r="Y192" i="1" s="1"/>
  <c r="X193" i="1"/>
  <c r="Y193" i="1" s="1"/>
  <c r="X194" i="1"/>
  <c r="Y194" i="1" s="1"/>
  <c r="X195" i="1"/>
  <c r="Y195" i="1" s="1"/>
  <c r="X196" i="1"/>
  <c r="Y196" i="1" s="1"/>
  <c r="X197" i="1"/>
  <c r="Y197" i="1" s="1"/>
  <c r="X198" i="1"/>
  <c r="Y198" i="1" s="1"/>
  <c r="X199" i="1"/>
  <c r="Y199" i="1" s="1"/>
  <c r="X200" i="1"/>
  <c r="Y200" i="1" s="1"/>
  <c r="X201" i="1"/>
  <c r="Y201" i="1" s="1"/>
  <c r="X202" i="1"/>
  <c r="Y202" i="1" s="1"/>
  <c r="X203" i="1"/>
  <c r="Y203" i="1" s="1"/>
  <c r="X204" i="1"/>
  <c r="Y204" i="1" s="1"/>
  <c r="X205" i="1"/>
  <c r="Y205" i="1" s="1"/>
  <c r="X206" i="1"/>
  <c r="Y206" i="1" s="1"/>
  <c r="X207" i="1"/>
  <c r="Y207" i="1" s="1"/>
  <c r="X208" i="1"/>
  <c r="Y208" i="1" s="1"/>
  <c r="X209" i="1"/>
  <c r="Y209" i="1" s="1"/>
  <c r="X210" i="1"/>
  <c r="Y210" i="1" s="1"/>
  <c r="X211" i="1"/>
  <c r="Y211" i="1" s="1"/>
  <c r="X212" i="1"/>
  <c r="Y212" i="1" s="1"/>
  <c r="X213" i="1"/>
  <c r="Y213" i="1" s="1"/>
  <c r="X214" i="1"/>
  <c r="Y214" i="1" s="1"/>
  <c r="X215" i="1"/>
  <c r="Y215" i="1" s="1"/>
  <c r="X216" i="1"/>
  <c r="Y216" i="1" s="1"/>
  <c r="X217" i="1"/>
  <c r="Y217" i="1" s="1"/>
  <c r="X218" i="1"/>
  <c r="Y218" i="1" s="1"/>
  <c r="X219" i="1"/>
  <c r="Y219" i="1" s="1"/>
  <c r="X220" i="1"/>
  <c r="Y220" i="1" s="1"/>
  <c r="X221" i="1"/>
  <c r="Y221" i="1" s="1"/>
  <c r="X222" i="1"/>
  <c r="Y222" i="1" s="1"/>
  <c r="X223" i="1"/>
  <c r="Y223" i="1" s="1"/>
  <c r="X224" i="1"/>
  <c r="Y224" i="1" s="1"/>
  <c r="X225" i="1"/>
  <c r="Y225" i="1" s="1"/>
  <c r="X226" i="1"/>
  <c r="Y226" i="1" s="1"/>
  <c r="X227" i="1"/>
  <c r="Y227" i="1" s="1"/>
  <c r="X228" i="1"/>
  <c r="Y228" i="1" s="1"/>
  <c r="X229" i="1"/>
  <c r="Y229" i="1" s="1"/>
  <c r="X230" i="1"/>
  <c r="Y230" i="1" s="1"/>
  <c r="X231" i="1"/>
  <c r="Y231" i="1" s="1"/>
  <c r="X232" i="1"/>
  <c r="Y232" i="1" s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Y241" i="1" s="1"/>
  <c r="X242" i="1"/>
  <c r="Y242" i="1" s="1"/>
  <c r="X243" i="1"/>
  <c r="Y243" i="1" s="1"/>
  <c r="X244" i="1"/>
  <c r="Y244" i="1" s="1"/>
  <c r="X245" i="1"/>
  <c r="Y245" i="1" s="1"/>
  <c r="X246" i="1"/>
  <c r="Y246" i="1" s="1"/>
  <c r="X247" i="1"/>
  <c r="Y247" i="1" s="1"/>
  <c r="X248" i="1"/>
  <c r="Y248" i="1" s="1"/>
  <c r="X249" i="1"/>
  <c r="Y249" i="1" s="1"/>
  <c r="X250" i="1"/>
  <c r="Y250" i="1" s="1"/>
  <c r="X251" i="1"/>
  <c r="Y251" i="1" s="1"/>
  <c r="X252" i="1"/>
  <c r="Y252" i="1" s="1"/>
  <c r="X253" i="1"/>
  <c r="Y253" i="1" s="1"/>
  <c r="X254" i="1"/>
  <c r="Y254" i="1" s="1"/>
  <c r="X255" i="1"/>
  <c r="Y255" i="1" s="1"/>
  <c r="X256" i="1"/>
  <c r="Y256" i="1" s="1"/>
  <c r="X257" i="1"/>
  <c r="Y257" i="1" s="1"/>
  <c r="X258" i="1"/>
  <c r="Y258" i="1" s="1"/>
  <c r="X259" i="1"/>
  <c r="Y259" i="1" s="1"/>
  <c r="X260" i="1"/>
  <c r="Y260" i="1" s="1"/>
  <c r="X261" i="1"/>
  <c r="Y261" i="1" s="1"/>
  <c r="X262" i="1"/>
  <c r="Y262" i="1" s="1"/>
  <c r="X263" i="1"/>
  <c r="Y263" i="1" s="1"/>
  <c r="X264" i="1"/>
  <c r="Y264" i="1" s="1"/>
  <c r="X265" i="1"/>
  <c r="Y265" i="1" s="1"/>
  <c r="X266" i="1"/>
  <c r="Y266" i="1" s="1"/>
  <c r="X267" i="1"/>
  <c r="Y267" i="1" s="1"/>
  <c r="X268" i="1"/>
  <c r="Y268" i="1" s="1"/>
  <c r="X269" i="1"/>
  <c r="Y269" i="1" s="1"/>
  <c r="X270" i="1"/>
  <c r="Y270" i="1" s="1"/>
  <c r="X271" i="1"/>
  <c r="Y271" i="1" s="1"/>
  <c r="X272" i="1"/>
  <c r="Y272" i="1" s="1"/>
  <c r="X273" i="1"/>
  <c r="Y273" i="1" s="1"/>
  <c r="X274" i="1"/>
  <c r="Y274" i="1" s="1"/>
  <c r="X275" i="1"/>
  <c r="Y275" i="1" s="1"/>
  <c r="X276" i="1"/>
  <c r="Y276" i="1" s="1"/>
  <c r="X277" i="1"/>
  <c r="Y277" i="1" s="1"/>
  <c r="X278" i="1"/>
  <c r="Y278" i="1" s="1"/>
  <c r="X279" i="1"/>
  <c r="Y279" i="1" s="1"/>
  <c r="X280" i="1"/>
  <c r="Y280" i="1" s="1"/>
  <c r="X281" i="1"/>
  <c r="Y281" i="1" s="1"/>
  <c r="X282" i="1"/>
  <c r="Y282" i="1" s="1"/>
  <c r="X283" i="1"/>
  <c r="Y283" i="1" s="1"/>
  <c r="X284" i="1"/>
  <c r="Y284" i="1" s="1"/>
  <c r="X285" i="1"/>
  <c r="Y285" i="1" s="1"/>
  <c r="X286" i="1"/>
  <c r="Y286" i="1" s="1"/>
  <c r="X287" i="1"/>
  <c r="Y287" i="1" s="1"/>
  <c r="X288" i="1"/>
  <c r="Y288" i="1" s="1"/>
  <c r="X289" i="1"/>
  <c r="Y289" i="1" s="1"/>
  <c r="X290" i="1"/>
  <c r="Y290" i="1" s="1"/>
  <c r="X291" i="1"/>
  <c r="Y291" i="1" s="1"/>
  <c r="X292" i="1"/>
  <c r="Y292" i="1" s="1"/>
  <c r="X293" i="1"/>
  <c r="Y293" i="1" s="1"/>
  <c r="X294" i="1"/>
  <c r="Y294" i="1" s="1"/>
  <c r="X295" i="1"/>
  <c r="Y295" i="1" s="1"/>
  <c r="X296" i="1"/>
  <c r="Y296" i="1" s="1"/>
  <c r="X297" i="1"/>
  <c r="Y297" i="1" s="1"/>
  <c r="X298" i="1"/>
  <c r="Y298" i="1" s="1"/>
  <c r="X299" i="1"/>
  <c r="Y299" i="1" s="1"/>
  <c r="X300" i="1"/>
  <c r="Y300" i="1" s="1"/>
  <c r="X301" i="1"/>
  <c r="Y301" i="1" s="1"/>
  <c r="X302" i="1"/>
  <c r="Y302" i="1" s="1"/>
  <c r="X303" i="1"/>
  <c r="Y303" i="1" s="1"/>
  <c r="X304" i="1"/>
  <c r="Y304" i="1" s="1"/>
  <c r="X305" i="1"/>
  <c r="Y305" i="1" s="1"/>
  <c r="X306" i="1"/>
  <c r="Y306" i="1" s="1"/>
  <c r="X307" i="1"/>
  <c r="Y307" i="1" s="1"/>
  <c r="X308" i="1"/>
  <c r="Y308" i="1" s="1"/>
  <c r="X309" i="1"/>
  <c r="Y309" i="1" s="1"/>
  <c r="X310" i="1"/>
  <c r="Y310" i="1" s="1"/>
  <c r="X311" i="1"/>
  <c r="Y311" i="1" s="1"/>
  <c r="X312" i="1"/>
  <c r="Y312" i="1" s="1"/>
  <c r="X313" i="1"/>
  <c r="Y313" i="1" s="1"/>
  <c r="X314" i="1"/>
  <c r="Y314" i="1" s="1"/>
  <c r="X315" i="1"/>
  <c r="Y315" i="1" s="1"/>
  <c r="X316" i="1"/>
  <c r="Y316" i="1" s="1"/>
  <c r="X317" i="1"/>
  <c r="Y317" i="1" s="1"/>
  <c r="X318" i="1"/>
  <c r="Y318" i="1" s="1"/>
  <c r="X319" i="1"/>
  <c r="Y319" i="1" s="1"/>
  <c r="X320" i="1"/>
  <c r="Y320" i="1" s="1"/>
  <c r="X321" i="1"/>
  <c r="Y321" i="1" s="1"/>
  <c r="X322" i="1"/>
  <c r="Y322" i="1" s="1"/>
  <c r="C4" i="1" l="1"/>
  <c r="F5" i="1"/>
  <c r="F4" i="1"/>
  <c r="X3" i="1" l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 s="1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83" i="1" l="1"/>
  <c r="Y104" i="1"/>
  <c r="Y67" i="1"/>
  <c r="Y111" i="1"/>
  <c r="Y99" i="1"/>
  <c r="Y92" i="1"/>
  <c r="Y51" i="1"/>
  <c r="Y123" i="1"/>
  <c r="Y121" i="1"/>
  <c r="Y72" i="1"/>
  <c r="Y87" i="1"/>
  <c r="Y29" i="1"/>
  <c r="Y56" i="1"/>
  <c r="Y85" i="1"/>
  <c r="Y25" i="1"/>
  <c r="Y52" i="1"/>
  <c r="Y5" i="1"/>
  <c r="Y124" i="1"/>
  <c r="Y109" i="1"/>
  <c r="Y37" i="1"/>
  <c r="Y53" i="1"/>
  <c r="Y126" i="1"/>
  <c r="Y34" i="1"/>
  <c r="Y93" i="1"/>
  <c r="Y36" i="1"/>
  <c r="Y122" i="1"/>
  <c r="Y62" i="1"/>
  <c r="Y110" i="1"/>
  <c r="Y21" i="1"/>
  <c r="Y22" i="1"/>
  <c r="Y17" i="1"/>
  <c r="Y10" i="1"/>
  <c r="Y115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61498_off0.01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<sst xmlns="http://schemas.openxmlformats.org/spreadsheetml/2006/main" count="1111" uniqueCount="638">
  <si>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</si>
  <si>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</si>
  <si>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</si>
  <si>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</si>
  <si>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</si>
  <si>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</si>
  <si>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</si>
  <si>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</si>
  <si>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</si>
  <si>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</si>
  <si>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</si>
  <si>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</si>
  <si>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</si>
  <si>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</si>
  <si>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</si>
  <si>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</si>
  <si>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</si>
  <si>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</si>
  <si>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</si>
  <si>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</si>
  <si>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</si>
  <si>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</si>
  <si>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</si>
  <si>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</si>
  <si>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</si>
  <si>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</si>
  <si>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</si>
  <si>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</si>
  <si>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</si>
  <si>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</si>
  <si>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</si>
  <si>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</si>
  <si>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</si>
  <si>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</si>
  <si>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</si>
  <si>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</si>
  <si>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</si>
  <si>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</si>
  <si>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</si>
  <si>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</si>
  <si>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</si>
  <si>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</si>
  <si>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</si>
  <si>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</si>
  <si>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</si>
  <si>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</si>
  <si>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</si>
  <si>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</si>
  <si>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</si>
  <si>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</si>
  <si>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</si>
  <si>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</si>
  <si>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</si>
  <si>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</si>
  <si>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</si>
  <si>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</si>
  <si>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</si>
  <si>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</si>
  <si>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</si>
  <si>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</si>
  <si>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</si>
  <si>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</si>
  <si>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</si>
  <si>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</si>
  <si>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</si>
  <si>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</si>
  <si>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</si>
  <si>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</si>
  <si>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</si>
  <si>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</si>
  <si>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</si>
  <si>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</si>
  <si>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</si>
  <si>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</si>
  <si>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</si>
  <si>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</si>
  <si>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</si>
  <si>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</si>
  <si>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</si>
  <si>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</si>
  <si>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</si>
  <si>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</si>
  <si>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</si>
  <si>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</si>
  <si>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</si>
  <si>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</si>
  <si>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</si>
  <si>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</si>
  <si>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</si>
  <si>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</si>
  <si>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</si>
  <si>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</si>
  <si>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</si>
  <si>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</si>
  <si>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</si>
  <si>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</si>
  <si>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</si>
  <si>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</si>
  <si>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</si>
  <si>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</si>
  <si>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</si>
  <si>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</si>
  <si>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</si>
  <si>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</si>
  <si>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</si>
  <si>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</si>
  <si>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</si>
  <si>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</si>
  <si>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</si>
  <si>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</si>
  <si>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</si>
  <si>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</si>
  <si>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</si>
  <si>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</si>
  <si>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</si>
  <si>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</si>
  <si>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</si>
  <si>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</si>
  <si>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</si>
  <si>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</si>
  <si>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</si>
  <si>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</si>
  <si>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</si>
  <si>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</si>
  <si>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</si>
  <si>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</si>
  <si>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</si>
  <si>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</si>
  <si>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</si>
  <si>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</si>
  <si>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</si>
  <si>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</si>
  <si>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</si>
  <si>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</si>
  <si>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</si>
  <si>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</si>
  <si>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</si>
  <si>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</si>
  <si>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</si>
  <si>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</si>
  <si>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</si>
  <si>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</si>
  <si>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</si>
  <si>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</si>
  <si>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</si>
  <si>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</si>
  <si>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</si>
  <si>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</si>
  <si>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</si>
  <si>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</si>
  <si>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</si>
  <si>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</si>
  <si>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</si>
  <si>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</si>
  <si>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</si>
  <si>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</si>
  <si>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</si>
  <si>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</si>
  <si>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</si>
  <si>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</si>
  <si>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</si>
  <si>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</si>
  <si>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</si>
  <si>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</si>
  <si>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</si>
  <si>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</si>
  <si>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</si>
  <si>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</si>
  <si>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</si>
  <si>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</si>
  <si>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</si>
  <si>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</si>
  <si>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</si>
  <si>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</si>
  <si>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</si>
  <si>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</si>
  <si>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</si>
  <si>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</si>
  <si>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</si>
  <si>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</si>
  <si>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</si>
  <si>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</si>
  <si>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</si>
  <si>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</si>
  <si>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</si>
  <si>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</si>
  <si>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</si>
  <si>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</si>
  <si>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</si>
  <si>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</si>
  <si>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</si>
  <si>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</si>
  <si>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</si>
  <si>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</si>
  <si>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</si>
  <si>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</si>
  <si>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</si>
  <si>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</si>
  <si>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</si>
  <si>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</si>
  <si>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</si>
  <si>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</si>
  <si>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</si>
  <si>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</si>
  <si>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</si>
  <si>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</si>
  <si>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</si>
  <si>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</si>
  <si>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</si>
  <si>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</si>
  <si>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</si>
  <si>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</si>
  <si>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</si>
  <si>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</si>
  <si>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</si>
  <si>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</si>
  <si>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</si>
  <si>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</si>
  <si>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</si>
  <si>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</si>
  <si>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</si>
  <si>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</si>
  <si>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</si>
  <si>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</si>
  <si>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</si>
  <si>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</si>
  <si>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</si>
  <si>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</si>
  <si>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</si>
  <si>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</si>
  <si>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</si>
  <si>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</si>
  <si>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</si>
  <si>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</si>
  <si>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</si>
  <si>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</si>
  <si>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</si>
  <si>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</si>
  <si>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</si>
  <si>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</si>
  <si>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</si>
  <si>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</si>
  <si>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</si>
  <si>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</si>
  <si>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</si>
  <si>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</si>
  <si>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</si>
  <si>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</si>
  <si>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</si>
  <si>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</si>
  <si>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</si>
  <si>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</si>
  <si>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</si>
  <si>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</si>
  <si>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</si>
  <si>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</si>
  <si>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</si>
  <si>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</si>
  <si>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</si>
  <si>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</si>
  <si>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</si>
  <si>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</si>
  <si>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</si>
  <si>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</si>
  <si>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</si>
  <si>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</si>
  <si>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</si>
  <si>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</si>
  <si>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</si>
  <si>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</si>
  <si>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</si>
  <si>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</si>
  <si>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</si>
  <si>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</si>
  <si>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</si>
  <si>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</si>
  <si>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</si>
  <si>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</si>
  <si>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</si>
  <si>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</si>
  <si>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</si>
  <si>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</si>
  <si>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</si>
  <si>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</si>
  <si>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</si>
  <si>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</si>
  <si>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</si>
  <si>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</si>
  <si>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</si>
  <si>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</si>
  <si>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</si>
  <si>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</si>
  <si>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</si>
  <si>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</si>
  <si>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</si>
  <si>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</si>
  <si>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</si>
  <si>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</si>
  <si>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</si>
  <si>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</si>
  <si>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</si>
  <si>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</si>
  <si>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</si>
  <si>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</si>
  <si>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</si>
  <si>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</si>
  <si>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</si>
  <si>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</si>
  <si>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</si>
  <si>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</si>
  <si>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</si>
  <si>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</si>
  <si>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</si>
  <si>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</si>
  <si>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</si>
  <si>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</si>
  <si>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</si>
  <si>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</si>
  <si>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</si>
  <si>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</si>
  <si>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</si>
  <si>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</si>
  <si>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</si>
  <si>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</si>
  <si>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</si>
  <si>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</si>
  <si>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</si>
  <si>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</si>
  <si>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</si>
  <si>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</si>
  <si>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</si>
  <si>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</si>
  <si>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</si>
  <si>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</si>
  <si>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</si>
  <si>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</si>
  <si>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</si>
  <si>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</si>
  <si>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</si>
  <si>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</si>
  <si>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</si>
  <si>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</si>
  <si>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</si>
  <si>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</si>
  <si>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</si>
  <si>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</si>
  <si>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</si>
  <si>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</si>
  <si>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</si>
  <si>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</si>
  <si>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</si>
  <si>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</si>
  <si>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</si>
  <si>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</si>
  <si>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</si>
  <si>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</si>
  <si>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</si>
  <si>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</si>
  <si>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</si>
  <si>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</si>
  <si>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</si>
  <si>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</si>
  <si>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</si>
  <si>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</si>
  <si>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</si>
  <si>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</si>
  <si>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</si>
  <si>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</si>
  <si>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</si>
  <si>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</si>
  <si>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</si>
  <si>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</si>
  <si>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</si>
  <si>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</si>
  <si>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</si>
  <si>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</si>
  <si>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</si>
  <si>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</si>
  <si>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</si>
  <si>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</si>
  <si>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</si>
  <si>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</si>
  <si>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</si>
  <si>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</si>
  <si>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</si>
  <si>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</si>
  <si>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</si>
  <si>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</si>
  <si>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</si>
  <si>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</si>
  <si>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</si>
  <si>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</si>
  <si>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</si>
  <si>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</si>
  <si>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</si>
  <si>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</si>
  <si>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</si>
  <si>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</si>
  <si>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</si>
  <si>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</si>
  <si>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</si>
  <si>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</si>
  <si>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</si>
  <si>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</si>
  <si>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</si>
  <si>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</si>
  <si>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</si>
  <si>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</si>
  <si>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</si>
  <si>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</si>
  <si>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</si>
  <si>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</si>
  <si>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</si>
  <si>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</si>
  <si>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</si>
  <si>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</si>
  <si>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</si>
  <si>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</si>
  <si>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</si>
  <si>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</si>
  <si>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</si>
  <si>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</si>
  <si>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</si>
  <si>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</si>
  <si>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</si>
  <si>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</si>
  <si>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</si>
  <si>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</si>
  <si>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</si>
  <si>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</si>
  <si>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</si>
  <si>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</si>
  <si>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</si>
  <si>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</si>
  <si>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</si>
  <si>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</si>
  <si>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</si>
  <si>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</si>
  <si>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</si>
  <si>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</si>
  <si>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</si>
  <si>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</si>
  <si>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</si>
  <si>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</si>
  <si>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</si>
  <si>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</si>
  <si>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</si>
  <si>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</si>
  <si>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</si>
  <si>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</si>
  <si>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</si>
  <si>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</si>
  <si>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</si>
  <si>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</si>
  <si>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</si>
  <si>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</si>
  <si>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</si>
  <si>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</si>
  <si>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</si>
  <si>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</si>
  <si>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</si>
  <si>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</si>
  <si>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</si>
  <si>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</si>
  <si>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</si>
  <si>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</si>
  <si>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</si>
  <si>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</si>
  <si>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</si>
  <si>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</si>
  <si>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</si>
  <si>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</si>
  <si>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</si>
  <si>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</si>
  <si>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</si>
  <si>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</si>
  <si>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</si>
  <si>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</si>
  <si>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</si>
  <si>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</si>
  <si>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</si>
  <si>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</si>
  <si>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</si>
  <si>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</si>
  <si>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</si>
  <si>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</si>
  <si>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</si>
  <si>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</si>
  <si>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</si>
  <si>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</si>
  <si>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</si>
  <si>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</si>
  <si>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</si>
  <si>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</si>
  <si>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</si>
  <si>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</si>
  <si>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</si>
  <si>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</si>
  <si>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</si>
  <si>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</si>
  <si>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</si>
  <si>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</si>
  <si>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</si>
  <si>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</si>
  <si>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</si>
  <si>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</si>
  <si>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</si>
  <si>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</si>
  <si>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</si>
  <si>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</si>
  <si>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</si>
  <si>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</si>
  <si>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</si>
  <si>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</si>
  <si>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</si>
  <si>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</si>
  <si>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</si>
  <si>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</si>
  <si>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</si>
  <si>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</si>
  <si>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</si>
  <si>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</si>
  <si>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</si>
  <si>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</si>
  <si>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</si>
  <si>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</si>
  <si>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</si>
  <si>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</si>
  <si>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</si>
  <si>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</si>
  <si>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</si>
  <si>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</si>
  <si>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</si>
  <si>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</si>
  <si>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</si>
  <si>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</si>
  <si>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</si>
  <si>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</si>
  <si>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</si>
  <si>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</si>
  <si>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</si>
  <si>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</si>
  <si>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</si>
  <si>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</si>
  <si>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</si>
  <si>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</si>
  <si>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</si>
  <si>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</si>
  <si>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</si>
  <si>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</si>
  <si>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</si>
  <si>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</si>
  <si>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</si>
  <si>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</si>
  <si>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</si>
  <si>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</si>
  <si>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</si>
  <si>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</si>
  <si>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</si>
  <si>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</si>
  <si>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</si>
  <si>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</si>
  <si>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</si>
  <si>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</si>
  <si>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</si>
  <si>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</si>
  <si>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</si>
  <si>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</si>
  <si>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</si>
  <si>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</si>
  <si>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</si>
  <si>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</si>
  <si>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</si>
  <si>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</si>
  <si>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</si>
  <si>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</si>
  <si>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</si>
  <si>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</si>
  <si>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</si>
  <si>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</si>
  <si>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</si>
  <si>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</si>
  <si>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</si>
  <si>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</si>
  <si>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</si>
  <si>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</si>
  <si>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</si>
  <si>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</si>
  <si>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</si>
  <si>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</si>
  <si>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</si>
  <si>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</si>
  <si>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</si>
  <si>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</si>
  <si>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</si>
  <si>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</si>
  <si>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</si>
  <si>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</si>
  <si>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</si>
  <si>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</si>
  <si>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</si>
  <si>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</si>
  <si>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</si>
  <si>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</si>
  <si>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</si>
  <si>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G4</t>
  </si>
  <si>
    <t>D-stack</t>
  </si>
  <si>
    <t>H10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</si>
  <si>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</si>
  <si>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</si>
  <si>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</si>
  <si>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</si>
  <si>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</si>
  <si>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</si>
  <si>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</si>
  <si>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t>H14</t>
  </si>
  <si>
    <t>H16</t>
  </si>
  <si>
    <t>F7</t>
  </si>
  <si>
    <t>C6</t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</si>
  <si>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</si>
  <si>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</si>
  <si>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</si>
  <si>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SiOx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</si>
  <si>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</si>
  <si>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×[(1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</si>
  <si>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</si>
  <si>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</si>
  <si>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BPEI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</si>
  <si>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IPTS-18855</t>
  </si>
  <si>
    <t>1_P3HMA_112h-161498-1.</t>
  </si>
  <si>
    <t>2018-07-21T09:40:23.874161666</t>
  </si>
  <si>
    <t>4.2.0</t>
  </si>
  <si>
    <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</si>
  <si>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</si>
  <si>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C8</t>
  </si>
  <si>
    <t>Thu</t>
  </si>
  <si>
    <t>Mar</t>
  </si>
  <si>
    <t>25_03_2021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</si>
</sst>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4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194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8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2" fontId="0" fillId="36" borderId="0" xfId="0" applyFill="1" applyAlignment="1">
      <alignment horizontal="right" vertical="center"/>
    </xf>
    <xf numFmtId="11" fontId="17" fillId="36" borderId="0" xfId="0" applyNumberFormat="1" applyFont="1" applyFill="1" applyAlignment="1">
      <alignment horizontal="center" vertical="center"/>
    </xf>
    <xf numFmtId="164" fontId="0" fillId="36" borderId="0" xfId="0" applyNumberFormat="1" applyFill="1" applyAlignment="1">
      <alignment horizontal="right" vertical="center"/>
    </xf>
    <xf numFmtId="11" fontId="16" fillId="36" borderId="0" xfId="0" applyNumberFormat="1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37" borderId="0" xfId="0" applyNumberFormat="1" applyFont="1" applyFill="1"/>
    <xf numFmtId="2" fontId="0" fillId="33" borderId="0" xfId="0" applyFill="1"/>
    <xf numFmtId="2" fontId="16" fillId="0" borderId="0" xfId="0" applyFont="1" applyAlignment="1">
      <alignment horizontal="center" vertical="center"/>
    </xf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66" fontId="0" fillId="0" borderId="0" xfId="0" applyNumberFormat="1"/>
    <xf numFmtId="11" fontId="0" fillId="41" borderId="0" xfId="0" applyNumberFormat="1" applyFill="1"/>
    <xf numFmtId="2" fontId="17" fillId="0" borderId="0" xfId="0" applyFont="1" applyAlignment="1">
      <alignment horizontal="center" vertical="center"/>
    </xf>
    <xf numFmtId="164" fontId="0" fillId="0" borderId="0" xfId="0" applyNumberFormat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  <xf numFmtId="2" fontId="17" fillId="0" borderId="0" xfId="0" applyFont="1" applyFill="1" applyAlignment="1">
      <alignment horizontal="center" vertical="center"/>
    </xf>
    <xf numFmtId="11" fontId="10" fillId="37" borderId="0" xfId="0" applyNumberFormat="1" applyFont="1" applyFill="1"/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101.72108158807413</c:v>
                </c:pt>
                <c:pt idx="4">
                  <c:v>101.72108158807413</c:v>
                </c:pt>
                <c:pt idx="5">
                  <c:v>103.00267046344801</c:v>
                </c:pt>
                <c:pt idx="6">
                  <c:v>103.00267046344801</c:v>
                </c:pt>
                <c:pt idx="7">
                  <c:v>103.71584765147151</c:v>
                </c:pt>
                <c:pt idx="8">
                  <c:v>103.71584765147151</c:v>
                </c:pt>
                <c:pt idx="9">
                  <c:v>104.23837036133814</c:v>
                </c:pt>
                <c:pt idx="10">
                  <c:v>104.23837036133814</c:v>
                </c:pt>
                <c:pt idx="11">
                  <c:v>104.66359218935676</c:v>
                </c:pt>
                <c:pt idx="12">
                  <c:v>104.66359218935676</c:v>
                </c:pt>
                <c:pt idx="13">
                  <c:v>105.03077359861321</c:v>
                </c:pt>
                <c:pt idx="14">
                  <c:v>105.03077359861321</c:v>
                </c:pt>
                <c:pt idx="15">
                  <c:v>105.36062844830079</c:v>
                </c:pt>
                <c:pt idx="16">
                  <c:v>105.36062844830079</c:v>
                </c:pt>
                <c:pt idx="17">
                  <c:v>105.66574430796707</c:v>
                </c:pt>
                <c:pt idx="18">
                  <c:v>105.66574430796707</c:v>
                </c:pt>
                <c:pt idx="19">
                  <c:v>105.95463979083682</c:v>
                </c:pt>
                <c:pt idx="20">
                  <c:v>105.95463979083682</c:v>
                </c:pt>
                <c:pt idx="21">
                  <c:v>106.23365761646924</c:v>
                </c:pt>
                <c:pt idx="22">
                  <c:v>106.23365761646924</c:v>
                </c:pt>
                <c:pt idx="23">
                  <c:v>106.50798841519858</c:v>
                </c:pt>
                <c:pt idx="24">
                  <c:v>106.50798841519858</c:v>
                </c:pt>
                <c:pt idx="25">
                  <c:v>106.78231921392792</c:v>
                </c:pt>
                <c:pt idx="26">
                  <c:v>106.78231921392792</c:v>
                </c:pt>
                <c:pt idx="27">
                  <c:v>107.06133703956034</c:v>
                </c:pt>
                <c:pt idx="28">
                  <c:v>107.06133703956034</c:v>
                </c:pt>
                <c:pt idx="29">
                  <c:v>107.35023252243009</c:v>
                </c:pt>
                <c:pt idx="30">
                  <c:v>107.35023252243009</c:v>
                </c:pt>
                <c:pt idx="31">
                  <c:v>107.65534838209638</c:v>
                </c:pt>
                <c:pt idx="32">
                  <c:v>107.65534838209638</c:v>
                </c:pt>
                <c:pt idx="33">
                  <c:v>107.98520323178396</c:v>
                </c:pt>
                <c:pt idx="34">
                  <c:v>107.98520323178396</c:v>
                </c:pt>
                <c:pt idx="35">
                  <c:v>108.3523846410404</c:v>
                </c:pt>
                <c:pt idx="36">
                  <c:v>108.3523846410404</c:v>
                </c:pt>
                <c:pt idx="37">
                  <c:v>108.77760646905902</c:v>
                </c:pt>
                <c:pt idx="38">
                  <c:v>108.77760646905902</c:v>
                </c:pt>
                <c:pt idx="39">
                  <c:v>109.30012917892566</c:v>
                </c:pt>
                <c:pt idx="40">
                  <c:v>109.30012917892566</c:v>
                </c:pt>
                <c:pt idx="41">
                  <c:v>110.01330636694915</c:v>
                </c:pt>
                <c:pt idx="42">
                  <c:v>110.01330636694915</c:v>
                </c:pt>
                <c:pt idx="43">
                  <c:v>111.29489524232304</c:v>
                </c:pt>
                <c:pt idx="44">
                  <c:v>111.29489524232304</c:v>
                </c:pt>
                <c:pt idx="45">
                  <c:v>113.01597683039716</c:v>
                </c:pt>
                <c:pt idx="46">
                  <c:v>113.01597683039716</c:v>
                </c:pt>
                <c:pt idx="47">
                  <c:v>234.36458257935286</c:v>
                </c:pt>
                <c:pt idx="48">
                  <c:v>234.36458257935286</c:v>
                </c:pt>
                <c:pt idx="49">
                  <c:v>253.4433945813937</c:v>
                </c:pt>
                <c:pt idx="50">
                  <c:v>253.4433945813937</c:v>
                </c:pt>
                <c:pt idx="51">
                  <c:v>267.65027087743618</c:v>
                </c:pt>
                <c:pt idx="52">
                  <c:v>267.65027087743618</c:v>
                </c:pt>
                <c:pt idx="53">
                  <c:v>275.55609799727074</c:v>
                </c:pt>
                <c:pt idx="54">
                  <c:v>275.55609799727074</c:v>
                </c:pt>
                <c:pt idx="55">
                  <c:v>281.34845125781413</c:v>
                </c:pt>
                <c:pt idx="56">
                  <c:v>281.34845125781413</c:v>
                </c:pt>
                <c:pt idx="57">
                  <c:v>286.06218904464936</c:v>
                </c:pt>
                <c:pt idx="58">
                  <c:v>286.06218904464936</c:v>
                </c:pt>
                <c:pt idx="59">
                  <c:v>290.13252779348642</c:v>
                </c:pt>
                <c:pt idx="60">
                  <c:v>290.13252779348642</c:v>
                </c:pt>
                <c:pt idx="61">
                  <c:v>293.78908812668521</c:v>
                </c:pt>
                <c:pt idx="62">
                  <c:v>293.78908812668521</c:v>
                </c:pt>
                <c:pt idx="63">
                  <c:v>297.1714078062119</c:v>
                </c:pt>
                <c:pt idx="64">
                  <c:v>297.1714078062119</c:v>
                </c:pt>
                <c:pt idx="65">
                  <c:v>300.37391874125615</c:v>
                </c:pt>
                <c:pt idx="66">
                  <c:v>300.37391874125615</c:v>
                </c:pt>
                <c:pt idx="67">
                  <c:v>303.46693227259954</c:v>
                </c:pt>
                <c:pt idx="68">
                  <c:v>303.46693227259954</c:v>
                </c:pt>
                <c:pt idx="69">
                  <c:v>306.50798841519855</c:v>
                </c:pt>
                <c:pt idx="70">
                  <c:v>306.50798841519855</c:v>
                </c:pt>
                <c:pt idx="71">
                  <c:v>309.54904455779757</c:v>
                </c:pt>
                <c:pt idx="72">
                  <c:v>309.54904455779757</c:v>
                </c:pt>
                <c:pt idx="73">
                  <c:v>312.64205808914096</c:v>
                </c:pt>
                <c:pt idx="74">
                  <c:v>312.64205808914096</c:v>
                </c:pt>
                <c:pt idx="75">
                  <c:v>315.8445690241852</c:v>
                </c:pt>
                <c:pt idx="76">
                  <c:v>315.8445690241852</c:v>
                </c:pt>
                <c:pt idx="77">
                  <c:v>319.22688870371189</c:v>
                </c:pt>
                <c:pt idx="78">
                  <c:v>319.22688870371189</c:v>
                </c:pt>
                <c:pt idx="79">
                  <c:v>322.88344903691069</c:v>
                </c:pt>
                <c:pt idx="80">
                  <c:v>322.88344903691069</c:v>
                </c:pt>
                <c:pt idx="81">
                  <c:v>326.95378778574775</c:v>
                </c:pt>
                <c:pt idx="82">
                  <c:v>326.95378778574775</c:v>
                </c:pt>
                <c:pt idx="83">
                  <c:v>331.66752557258297</c:v>
                </c:pt>
                <c:pt idx="84">
                  <c:v>331.66752557258297</c:v>
                </c:pt>
                <c:pt idx="85">
                  <c:v>337.45987883312637</c:v>
                </c:pt>
                <c:pt idx="86">
                  <c:v>337.45987883312637</c:v>
                </c:pt>
                <c:pt idx="87">
                  <c:v>345.36570595296092</c:v>
                </c:pt>
                <c:pt idx="88">
                  <c:v>345.36570595296092</c:v>
                </c:pt>
                <c:pt idx="89">
                  <c:v>359.5725822490034</c:v>
                </c:pt>
                <c:pt idx="90">
                  <c:v>359.5725822490034</c:v>
                </c:pt>
                <c:pt idx="91">
                  <c:v>378.65139425104428</c:v>
                </c:pt>
                <c:pt idx="92">
                  <c:v>378.65139425104428</c:v>
                </c:pt>
                <c:pt idx="93">
                  <c:v>1172.1351818423568</c:v>
                </c:pt>
                <c:pt idx="94">
                  <c:v>1172.1351818423568</c:v>
                </c:pt>
                <c:pt idx="95">
                  <c:v>1175.577345018505</c:v>
                </c:pt>
                <c:pt idx="96">
                  <c:v>1175.577345018505</c:v>
                </c:pt>
                <c:pt idx="97">
                  <c:v>1178.1405227692528</c:v>
                </c:pt>
                <c:pt idx="98">
                  <c:v>1178.1405227692528</c:v>
                </c:pt>
                <c:pt idx="99">
                  <c:v>1179.5668771452997</c:v>
                </c:pt>
                <c:pt idx="100">
                  <c:v>1179.5668771452997</c:v>
                </c:pt>
                <c:pt idx="101">
                  <c:v>1180.611922565033</c:v>
                </c:pt>
                <c:pt idx="102">
                  <c:v>1180.611922565033</c:v>
                </c:pt>
                <c:pt idx="103">
                  <c:v>1181.4623662210702</c:v>
                </c:pt>
                <c:pt idx="104">
                  <c:v>1181.4623662210702</c:v>
                </c:pt>
                <c:pt idx="105">
                  <c:v>1182.196729039583</c:v>
                </c:pt>
                <c:pt idx="106">
                  <c:v>1182.196729039583</c:v>
                </c:pt>
                <c:pt idx="107">
                  <c:v>1182.8564387389581</c:v>
                </c:pt>
                <c:pt idx="108">
                  <c:v>1182.8564387389581</c:v>
                </c:pt>
                <c:pt idx="109">
                  <c:v>1183.4666704582908</c:v>
                </c:pt>
                <c:pt idx="110">
                  <c:v>1183.4666704582908</c:v>
                </c:pt>
                <c:pt idx="111">
                  <c:v>1184.0444614240303</c:v>
                </c:pt>
                <c:pt idx="112">
                  <c:v>1184.0444614240303</c:v>
                </c:pt>
                <c:pt idx="113">
                  <c:v>1184.6024970752951</c:v>
                </c:pt>
                <c:pt idx="114">
                  <c:v>1184.6024970752951</c:v>
                </c:pt>
                <c:pt idx="115">
                  <c:v>1185.1511586727538</c:v>
                </c:pt>
                <c:pt idx="116">
                  <c:v>1185.1511586727538</c:v>
                </c:pt>
                <c:pt idx="117">
                  <c:v>1185.3784314000266</c:v>
                </c:pt>
                <c:pt idx="118">
                  <c:v>1185.3784314000266</c:v>
                </c:pt>
                <c:pt idx="119">
                  <c:v>1185.8329768545721</c:v>
                </c:pt>
                <c:pt idx="120">
                  <c:v>1185.8329768545721</c:v>
                </c:pt>
                <c:pt idx="121">
                  <c:v>1186.2875223091175</c:v>
                </c:pt>
                <c:pt idx="122">
                  <c:v>1186.2875223091175</c:v>
                </c:pt>
                <c:pt idx="123">
                  <c:v>1186.742067763663</c:v>
                </c:pt>
                <c:pt idx="124">
                  <c:v>1186.742067763663</c:v>
                </c:pt>
                <c:pt idx="125">
                  <c:v>1187.1966132182085</c:v>
                </c:pt>
                <c:pt idx="126">
                  <c:v>1187.1966132182085</c:v>
                </c:pt>
                <c:pt idx="127">
                  <c:v>1187.651158672754</c:v>
                </c:pt>
                <c:pt idx="128">
                  <c:v>1187.651158672754</c:v>
                </c:pt>
                <c:pt idx="129">
                  <c:v>1188.1057041272995</c:v>
                </c:pt>
                <c:pt idx="130">
                  <c:v>1188.1057041272995</c:v>
                </c:pt>
                <c:pt idx="131">
                  <c:v>1188.560249581845</c:v>
                </c:pt>
                <c:pt idx="132">
                  <c:v>1188.560249581845</c:v>
                </c:pt>
                <c:pt idx="133">
                  <c:v>1189.0147950363905</c:v>
                </c:pt>
                <c:pt idx="134">
                  <c:v>1189.0147950363905</c:v>
                </c:pt>
                <c:pt idx="135">
                  <c:v>1189.469340490936</c:v>
                </c:pt>
                <c:pt idx="136">
                  <c:v>1189.469340490936</c:v>
                </c:pt>
                <c:pt idx="137">
                  <c:v>1189.9238859454815</c:v>
                </c:pt>
                <c:pt idx="138">
                  <c:v>1189.9238859454815</c:v>
                </c:pt>
                <c:pt idx="139">
                  <c:v>1190.378431400027</c:v>
                </c:pt>
                <c:pt idx="140">
                  <c:v>1190.378431400027</c:v>
                </c:pt>
                <c:pt idx="141">
                  <c:v>1190.8329768545725</c:v>
                </c:pt>
                <c:pt idx="142">
                  <c:v>1190.8329768545725</c:v>
                </c:pt>
                <c:pt idx="143">
                  <c:v>1191.287522309118</c:v>
                </c:pt>
                <c:pt idx="144">
                  <c:v>1191.287522309118</c:v>
                </c:pt>
                <c:pt idx="145">
                  <c:v>1191.7420677636635</c:v>
                </c:pt>
                <c:pt idx="146">
                  <c:v>1191.7420677636635</c:v>
                </c:pt>
                <c:pt idx="147">
                  <c:v>1192.196613218209</c:v>
                </c:pt>
                <c:pt idx="148">
                  <c:v>1192.196613218209</c:v>
                </c:pt>
                <c:pt idx="149">
                  <c:v>1192.6511586727545</c:v>
                </c:pt>
                <c:pt idx="150">
                  <c:v>1192.6511586727545</c:v>
                </c:pt>
                <c:pt idx="151">
                  <c:v>1193.1057041273</c:v>
                </c:pt>
                <c:pt idx="152">
                  <c:v>1193.1057041273</c:v>
                </c:pt>
                <c:pt idx="153">
                  <c:v>1193.5602495818455</c:v>
                </c:pt>
                <c:pt idx="154">
                  <c:v>1193.5602495818455</c:v>
                </c:pt>
                <c:pt idx="155">
                  <c:v>1194.014795036391</c:v>
                </c:pt>
                <c:pt idx="156">
                  <c:v>1194.014795036391</c:v>
                </c:pt>
                <c:pt idx="157">
                  <c:v>1194.4693404909365</c:v>
                </c:pt>
                <c:pt idx="158">
                  <c:v>1194.4693404909365</c:v>
                </c:pt>
                <c:pt idx="159">
                  <c:v>1194.923885945482</c:v>
                </c:pt>
                <c:pt idx="160">
                  <c:v>1194.923885945482</c:v>
                </c:pt>
                <c:pt idx="161">
                  <c:v>1195.1511586727547</c:v>
                </c:pt>
                <c:pt idx="162">
                  <c:v>1195.1511586727547</c:v>
                </c:pt>
                <c:pt idx="163">
                  <c:v>1195.4254894714841</c:v>
                </c:pt>
                <c:pt idx="164">
                  <c:v>1195.4254894714841</c:v>
                </c:pt>
                <c:pt idx="165">
                  <c:v>1195.7045072971164</c:v>
                </c:pt>
                <c:pt idx="166">
                  <c:v>1195.7045072971164</c:v>
                </c:pt>
                <c:pt idx="167">
                  <c:v>1195.9934027799861</c:v>
                </c:pt>
                <c:pt idx="168">
                  <c:v>1195.9934027799861</c:v>
                </c:pt>
                <c:pt idx="169">
                  <c:v>1196.2985186396525</c:v>
                </c:pt>
                <c:pt idx="170">
                  <c:v>1196.2985186396525</c:v>
                </c:pt>
                <c:pt idx="171">
                  <c:v>1196.62837348934</c:v>
                </c:pt>
                <c:pt idx="172">
                  <c:v>1196.62837348934</c:v>
                </c:pt>
                <c:pt idx="173">
                  <c:v>1196.9955548985965</c:v>
                </c:pt>
                <c:pt idx="174">
                  <c:v>1196.9955548985965</c:v>
                </c:pt>
                <c:pt idx="175">
                  <c:v>1197.4207767266153</c:v>
                </c:pt>
                <c:pt idx="176">
                  <c:v>1197.4207767266153</c:v>
                </c:pt>
                <c:pt idx="177">
                  <c:v>1197.943299436482</c:v>
                </c:pt>
                <c:pt idx="178">
                  <c:v>1197.943299436482</c:v>
                </c:pt>
                <c:pt idx="179">
                  <c:v>1198.6564766245056</c:v>
                </c:pt>
                <c:pt idx="180">
                  <c:v>1198.6564766245056</c:v>
                </c:pt>
                <c:pt idx="181">
                  <c:v>1199.9380654998795</c:v>
                </c:pt>
                <c:pt idx="182">
                  <c:v>1199.9380654998795</c:v>
                </c:pt>
                <c:pt idx="183">
                  <c:v>1201.6591470879537</c:v>
                </c:pt>
                <c:pt idx="184">
                  <c:v>1201.6591470879537</c:v>
                </c:pt>
                <c:pt idx="185">
                  <c:v>1210.6716440486075</c:v>
                </c:pt>
                <c:pt idx="186">
                  <c:v>1210.6716440486075</c:v>
                </c:pt>
                <c:pt idx="187">
                  <c:v>1212.3927256366817</c:v>
                </c:pt>
                <c:pt idx="188">
                  <c:v>1212.3927256366817</c:v>
                </c:pt>
                <c:pt idx="189">
                  <c:v>1213.6743145120556</c:v>
                </c:pt>
                <c:pt idx="190">
                  <c:v>1213.6743145120556</c:v>
                </c:pt>
                <c:pt idx="191">
                  <c:v>1214.3874917000792</c:v>
                </c:pt>
                <c:pt idx="192">
                  <c:v>1214.3874917000792</c:v>
                </c:pt>
                <c:pt idx="193">
                  <c:v>1214.9100144099459</c:v>
                </c:pt>
                <c:pt idx="194">
                  <c:v>1214.9100144099459</c:v>
                </c:pt>
                <c:pt idx="195">
                  <c:v>1215.3352362379646</c:v>
                </c:pt>
                <c:pt idx="196">
                  <c:v>1215.3352362379646</c:v>
                </c:pt>
                <c:pt idx="197">
                  <c:v>1215.7024176472212</c:v>
                </c:pt>
                <c:pt idx="198">
                  <c:v>1215.7024176472212</c:v>
                </c:pt>
                <c:pt idx="199">
                  <c:v>1216.0322724969087</c:v>
                </c:pt>
                <c:pt idx="200">
                  <c:v>1216.0322724969087</c:v>
                </c:pt>
                <c:pt idx="201">
                  <c:v>1216.337388356575</c:v>
                </c:pt>
                <c:pt idx="202">
                  <c:v>1216.337388356575</c:v>
                </c:pt>
                <c:pt idx="203">
                  <c:v>1216.6262838394448</c:v>
                </c:pt>
                <c:pt idx="204">
                  <c:v>1216.6262838394448</c:v>
                </c:pt>
                <c:pt idx="205">
                  <c:v>1216.9053016650771</c:v>
                </c:pt>
                <c:pt idx="206">
                  <c:v>1216.9053016650771</c:v>
                </c:pt>
                <c:pt idx="207">
                  <c:v>1217.1796324638065</c:v>
                </c:pt>
                <c:pt idx="208">
                  <c:v>1217.1796324638065</c:v>
                </c:pt>
                <c:pt idx="209">
                  <c:v>1217.4539632625358</c:v>
                </c:pt>
                <c:pt idx="210">
                  <c:v>1217.4539632625358</c:v>
                </c:pt>
                <c:pt idx="211">
                  <c:v>1217.7329810881681</c:v>
                </c:pt>
                <c:pt idx="212">
                  <c:v>1217.7329810881681</c:v>
                </c:pt>
                <c:pt idx="213">
                  <c:v>1218.0218765710379</c:v>
                </c:pt>
                <c:pt idx="214">
                  <c:v>1218.0218765710379</c:v>
                </c:pt>
                <c:pt idx="215">
                  <c:v>1218.3269924307042</c:v>
                </c:pt>
                <c:pt idx="216">
                  <c:v>1218.3269924307042</c:v>
                </c:pt>
                <c:pt idx="217">
                  <c:v>1218.6568472803917</c:v>
                </c:pt>
                <c:pt idx="218">
                  <c:v>1218.6568472803917</c:v>
                </c:pt>
                <c:pt idx="219">
                  <c:v>1219.0240286896483</c:v>
                </c:pt>
                <c:pt idx="220">
                  <c:v>1219.0240286896483</c:v>
                </c:pt>
                <c:pt idx="221">
                  <c:v>1219.449250517667</c:v>
                </c:pt>
                <c:pt idx="222">
                  <c:v>1219.449250517667</c:v>
                </c:pt>
                <c:pt idx="223">
                  <c:v>1219.9717732275337</c:v>
                </c:pt>
                <c:pt idx="224">
                  <c:v>1219.9717732275337</c:v>
                </c:pt>
                <c:pt idx="225">
                  <c:v>1220.6849504155573</c:v>
                </c:pt>
                <c:pt idx="226">
                  <c:v>1220.6849504155573</c:v>
                </c:pt>
                <c:pt idx="227">
                  <c:v>1221.9665392909312</c:v>
                </c:pt>
                <c:pt idx="228">
                  <c:v>1221.9665392909312</c:v>
                </c:pt>
                <c:pt idx="229">
                  <c:v>1223.6876208790054</c:v>
                </c:pt>
                <c:pt idx="230">
                  <c:v>1223.6876208790054</c:v>
                </c:pt>
                <c:pt idx="231">
                  <c:v>1323.6876208790054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6.1818756843783314E-9</c:v>
                </c:pt>
                <c:pt idx="3">
                  <c:v>6.1818756843783314E-9</c:v>
                </c:pt>
                <c:pt idx="4">
                  <c:v>5.0921897914794916E-8</c:v>
                </c:pt>
                <c:pt idx="5">
                  <c:v>5.0921897914794916E-8</c:v>
                </c:pt>
                <c:pt idx="6">
                  <c:v>1.1564505807497344E-7</c:v>
                </c:pt>
                <c:pt idx="7">
                  <c:v>1.1564505807497344E-7</c:v>
                </c:pt>
                <c:pt idx="8">
                  <c:v>1.8888269987584475E-7</c:v>
                </c:pt>
                <c:pt idx="9">
                  <c:v>1.8888269987584475E-7</c:v>
                </c:pt>
                <c:pt idx="10">
                  <c:v>2.6617405870975311E-7</c:v>
                </c:pt>
                <c:pt idx="11">
                  <c:v>2.6617405870975311E-7</c:v>
                </c:pt>
                <c:pt idx="12">
                  <c:v>3.4547703194780347E-7</c:v>
                </c:pt>
                <c:pt idx="13">
                  <c:v>3.4547703194780347E-7</c:v>
                </c:pt>
                <c:pt idx="14">
                  <c:v>4.2577360785297281E-7</c:v>
                </c:pt>
                <c:pt idx="15">
                  <c:v>4.2577360785297281E-7</c:v>
                </c:pt>
                <c:pt idx="16">
                  <c:v>5.0653796381982975E-7</c:v>
                </c:pt>
                <c:pt idx="17">
                  <c:v>5.0653796381982975E-7</c:v>
                </c:pt>
                <c:pt idx="18">
                  <c:v>5.8750063779169001E-7</c:v>
                </c:pt>
                <c:pt idx="19">
                  <c:v>5.8750063779169001E-7</c:v>
                </c:pt>
                <c:pt idx="20">
                  <c:v>6.6853200842141043E-7</c:v>
                </c:pt>
                <c:pt idx="21">
                  <c:v>6.6853200842141043E-7</c:v>
                </c:pt>
                <c:pt idx="22">
                  <c:v>7.4957923106819953E-7</c:v>
                </c:pt>
                <c:pt idx="23">
                  <c:v>7.4957923106819953E-7</c:v>
                </c:pt>
                <c:pt idx="24">
                  <c:v>8.3062822009503426E-7</c:v>
                </c:pt>
                <c:pt idx="25">
                  <c:v>8.3062822009503426E-7</c:v>
                </c:pt>
                <c:pt idx="26">
                  <c:v>9.1167544274182336E-7</c:v>
                </c:pt>
                <c:pt idx="27">
                  <c:v>9.1167544274182336E-7</c:v>
                </c:pt>
                <c:pt idx="28">
                  <c:v>9.9270681337154368E-7</c:v>
                </c:pt>
                <c:pt idx="29">
                  <c:v>9.9270681337154368E-7</c:v>
                </c:pt>
                <c:pt idx="30">
                  <c:v>1.073669487343404E-6</c:v>
                </c:pt>
                <c:pt idx="31">
                  <c:v>1.073669487343404E-6</c:v>
                </c:pt>
                <c:pt idx="32">
                  <c:v>1.1544338433102611E-6</c:v>
                </c:pt>
                <c:pt idx="33">
                  <c:v>1.1544338433102611E-6</c:v>
                </c:pt>
                <c:pt idx="34">
                  <c:v>1.2347304192154303E-6</c:v>
                </c:pt>
                <c:pt idx="35">
                  <c:v>1.2347304192154303E-6</c:v>
                </c:pt>
                <c:pt idx="36">
                  <c:v>1.3140333924534807E-6</c:v>
                </c:pt>
                <c:pt idx="37">
                  <c:v>1.3140333924534807E-6</c:v>
                </c:pt>
                <c:pt idx="38">
                  <c:v>1.391324751287389E-6</c:v>
                </c:pt>
                <c:pt idx="39">
                  <c:v>1.391324751287389E-6</c:v>
                </c:pt>
                <c:pt idx="40">
                  <c:v>1.4645623930882604E-6</c:v>
                </c:pt>
                <c:pt idx="41">
                  <c:v>1.4645623930882604E-6</c:v>
                </c:pt>
                <c:pt idx="42">
                  <c:v>1.5292855532484389E-6</c:v>
                </c:pt>
                <c:pt idx="43">
                  <c:v>1.5292855532484389E-6</c:v>
                </c:pt>
                <c:pt idx="44">
                  <c:v>1.5740255754788555E-6</c:v>
                </c:pt>
                <c:pt idx="45">
                  <c:v>1.5740255754788555E-6</c:v>
                </c:pt>
                <c:pt idx="46">
                  <c:v>1.5802074511632338E-6</c:v>
                </c:pt>
                <c:pt idx="47">
                  <c:v>1.5802074511632338E-6</c:v>
                </c:pt>
                <c:pt idx="48">
                  <c:v>1.5802074511632338E-6</c:v>
                </c:pt>
                <c:pt idx="49">
                  <c:v>1.5802074511632338E-6</c:v>
                </c:pt>
                <c:pt idx="50">
                  <c:v>1.5802074511632338E-6</c:v>
                </c:pt>
                <c:pt idx="51">
                  <c:v>1.5802074511632338E-6</c:v>
                </c:pt>
                <c:pt idx="52">
                  <c:v>1.5802074511632338E-6</c:v>
                </c:pt>
                <c:pt idx="53">
                  <c:v>1.5802074511632338E-6</c:v>
                </c:pt>
                <c:pt idx="54">
                  <c:v>1.5802074511632338E-6</c:v>
                </c:pt>
                <c:pt idx="55">
                  <c:v>1.5802074511632338E-6</c:v>
                </c:pt>
                <c:pt idx="56">
                  <c:v>1.5802074511632338E-6</c:v>
                </c:pt>
                <c:pt idx="57">
                  <c:v>1.5802074511632338E-6</c:v>
                </c:pt>
                <c:pt idx="58">
                  <c:v>1.5802074511632338E-6</c:v>
                </c:pt>
                <c:pt idx="59">
                  <c:v>1.5802074511632338E-6</c:v>
                </c:pt>
                <c:pt idx="60">
                  <c:v>1.5802074511632338E-6</c:v>
                </c:pt>
                <c:pt idx="61">
                  <c:v>1.5802074511632338E-6</c:v>
                </c:pt>
                <c:pt idx="62">
                  <c:v>1.5802074511632338E-6</c:v>
                </c:pt>
                <c:pt idx="63">
                  <c:v>1.5802074511632338E-6</c:v>
                </c:pt>
                <c:pt idx="64">
                  <c:v>1.5802074511632338E-6</c:v>
                </c:pt>
                <c:pt idx="65">
                  <c:v>1.5802074511632338E-6</c:v>
                </c:pt>
                <c:pt idx="66">
                  <c:v>1.5802074511632338E-6</c:v>
                </c:pt>
                <c:pt idx="67">
                  <c:v>1.5802074511632338E-6</c:v>
                </c:pt>
                <c:pt idx="68">
                  <c:v>1.5802074511632338E-6</c:v>
                </c:pt>
                <c:pt idx="69">
                  <c:v>1.5802074511632338E-6</c:v>
                </c:pt>
                <c:pt idx="70">
                  <c:v>1.5802074511632338E-6</c:v>
                </c:pt>
                <c:pt idx="71">
                  <c:v>1.5802074511632338E-6</c:v>
                </c:pt>
                <c:pt idx="72">
                  <c:v>1.5802074511632338E-6</c:v>
                </c:pt>
                <c:pt idx="73">
                  <c:v>1.5802074511632338E-6</c:v>
                </c:pt>
                <c:pt idx="74">
                  <c:v>1.5802074511632338E-6</c:v>
                </c:pt>
                <c:pt idx="75">
                  <c:v>1.5802074511632338E-6</c:v>
                </c:pt>
                <c:pt idx="76">
                  <c:v>1.5802074511632338E-6</c:v>
                </c:pt>
                <c:pt idx="77">
                  <c:v>1.5802074511632338E-6</c:v>
                </c:pt>
                <c:pt idx="78">
                  <c:v>1.5802074511632338E-6</c:v>
                </c:pt>
                <c:pt idx="79">
                  <c:v>1.5802074511632338E-6</c:v>
                </c:pt>
                <c:pt idx="80">
                  <c:v>1.5802074511632338E-6</c:v>
                </c:pt>
                <c:pt idx="81">
                  <c:v>1.5802074511632338E-6</c:v>
                </c:pt>
                <c:pt idx="82">
                  <c:v>1.5802074511632338E-6</c:v>
                </c:pt>
                <c:pt idx="83">
                  <c:v>1.5802074511632338E-6</c:v>
                </c:pt>
                <c:pt idx="84">
                  <c:v>1.5802074511632338E-6</c:v>
                </c:pt>
                <c:pt idx="85">
                  <c:v>1.5802074511632338E-6</c:v>
                </c:pt>
                <c:pt idx="86">
                  <c:v>1.5802074511632338E-6</c:v>
                </c:pt>
                <c:pt idx="87">
                  <c:v>1.5802074511632338E-6</c:v>
                </c:pt>
                <c:pt idx="88">
                  <c:v>1.5802074511632338E-6</c:v>
                </c:pt>
                <c:pt idx="89">
                  <c:v>1.5802074511632338E-6</c:v>
                </c:pt>
                <c:pt idx="90">
                  <c:v>1.5802074511632338E-6</c:v>
                </c:pt>
                <c:pt idx="91">
                  <c:v>1.5802074511632338E-6</c:v>
                </c:pt>
                <c:pt idx="92">
                  <c:v>1.5802074511632338E-6</c:v>
                </c:pt>
                <c:pt idx="93">
                  <c:v>1.5802074511632338E-6</c:v>
                </c:pt>
                <c:pt idx="94">
                  <c:v>1.5778114409076112E-6</c:v>
                </c:pt>
                <c:pt idx="95">
                  <c:v>1.5778114409076112E-6</c:v>
                </c:pt>
                <c:pt idx="96">
                  <c:v>1.5604708217211491E-6</c:v>
                </c:pt>
                <c:pt idx="97">
                  <c:v>1.5604708217211491E-6</c:v>
                </c:pt>
                <c:pt idx="98">
                  <c:v>1.5353850122617376E-6</c:v>
                </c:pt>
                <c:pt idx="99">
                  <c:v>1.5353850122617376E-6</c:v>
                </c:pt>
                <c:pt idx="100">
                  <c:v>1.5069991064603756E-6</c:v>
                </c:pt>
                <c:pt idx="101">
                  <c:v>1.5069991064603756E-6</c:v>
                </c:pt>
                <c:pt idx="102">
                  <c:v>1.4770420355174869E-6</c:v>
                </c:pt>
                <c:pt idx="103">
                  <c:v>1.4770420355174869E-6</c:v>
                </c:pt>
                <c:pt idx="104">
                  <c:v>1.4463052904127796E-6</c:v>
                </c:pt>
                <c:pt idx="105">
                  <c:v>1.4463052904127796E-6</c:v>
                </c:pt>
                <c:pt idx="106">
                  <c:v>1.4151834385375746E-6</c:v>
                </c:pt>
                <c:pt idx="107">
                  <c:v>1.4151834385375746E-6</c:v>
                </c:pt>
                <c:pt idx="108">
                  <c:v>1.3838802815241878E-6</c:v>
                </c:pt>
                <c:pt idx="109">
                  <c:v>1.3838802815241878E-6</c:v>
                </c:pt>
                <c:pt idx="110">
                  <c:v>1.352500259171198E-6</c:v>
                </c:pt>
                <c:pt idx="111">
                  <c:v>1.352500259171198E-6</c:v>
                </c:pt>
                <c:pt idx="112">
                  <c:v>1.3210936109355208E-6</c:v>
                </c:pt>
                <c:pt idx="113">
                  <c:v>1.3210936109355208E-6</c:v>
                </c:pt>
                <c:pt idx="114">
                  <c:v>1.2896808186753747E-6</c:v>
                </c:pt>
                <c:pt idx="115">
                  <c:v>1.2896808186753747E-6</c:v>
                </c:pt>
                <c:pt idx="116">
                  <c:v>1.2674405226513808E-6</c:v>
                </c:pt>
                <c:pt idx="117">
                  <c:v>1.2674405226513808E-6</c:v>
                </c:pt>
                <c:pt idx="118">
                  <c:v>1.247880002302615E-6</c:v>
                </c:pt>
                <c:pt idx="119">
                  <c:v>1.247880002302615E-6</c:v>
                </c:pt>
                <c:pt idx="120">
                  <c:v>1.2220882672343838E-6</c:v>
                </c:pt>
                <c:pt idx="121">
                  <c:v>1.2220882672343838E-6</c:v>
                </c:pt>
                <c:pt idx="122">
                  <c:v>1.1968998250191106E-6</c:v>
                </c:pt>
                <c:pt idx="123">
                  <c:v>1.1968998250191106E-6</c:v>
                </c:pt>
                <c:pt idx="124">
                  <c:v>1.1726072681822458E-6</c:v>
                </c:pt>
                <c:pt idx="125">
                  <c:v>1.1726072681822458E-6</c:v>
                </c:pt>
                <c:pt idx="126">
                  <c:v>1.1495033560426727E-6</c:v>
                </c:pt>
                <c:pt idx="127">
                  <c:v>1.1495033560426727E-6</c:v>
                </c:pt>
                <c:pt idx="128">
                  <c:v>1.1278997195507073E-6</c:v>
                </c:pt>
                <c:pt idx="129">
                  <c:v>1.1278997195507073E-6</c:v>
                </c:pt>
                <c:pt idx="130">
                  <c:v>1.1081647695234581E-6</c:v>
                </c:pt>
                <c:pt idx="131">
                  <c:v>1.1081647695234581E-6</c:v>
                </c:pt>
                <c:pt idx="132">
                  <c:v>1.0907873075247217E-6</c:v>
                </c:pt>
                <c:pt idx="133">
                  <c:v>1.0907873075247217E-6</c:v>
                </c:pt>
                <c:pt idx="134">
                  <c:v>1.076470144221813E-6</c:v>
                </c:pt>
                <c:pt idx="135">
                  <c:v>1.076470144221813E-6</c:v>
                </c:pt>
                <c:pt idx="136">
                  <c:v>1.0662517105920561E-6</c:v>
                </c:pt>
                <c:pt idx="137">
                  <c:v>1.0662517105920561E-6</c:v>
                </c:pt>
                <c:pt idx="138">
                  <c:v>1.0616420411671771E-6</c:v>
                </c:pt>
                <c:pt idx="139">
                  <c:v>1.0616420411671771E-6</c:v>
                </c:pt>
                <c:pt idx="140">
                  <c:v>1.0647432162269178E-6</c:v>
                </c:pt>
                <c:pt idx="141">
                  <c:v>1.0647432162269178E-6</c:v>
                </c:pt>
                <c:pt idx="142">
                  <c:v>1.078307028155918E-6</c:v>
                </c:pt>
                <c:pt idx="143">
                  <c:v>1.078307028155918E-6</c:v>
                </c:pt>
                <c:pt idx="144">
                  <c:v>1.1056714676724529E-6</c:v>
                </c:pt>
                <c:pt idx="145">
                  <c:v>1.1056714676724529E-6</c:v>
                </c:pt>
                <c:pt idx="146">
                  <c:v>1.1505219392331222E-6</c:v>
                </c:pt>
                <c:pt idx="147">
                  <c:v>1.1505219392331222E-6</c:v>
                </c:pt>
                <c:pt idx="148">
                  <c:v>1.2164506891750634E-6</c:v>
                </c:pt>
                <c:pt idx="149">
                  <c:v>1.2164506891750634E-6</c:v>
                </c:pt>
                <c:pt idx="150">
                  <c:v>1.3063397961990549E-6</c:v>
                </c:pt>
                <c:pt idx="151">
                  <c:v>1.3063397961990549E-6</c:v>
                </c:pt>
                <c:pt idx="152">
                  <c:v>1.4216592582156674E-6</c:v>
                </c:pt>
                <c:pt idx="153">
                  <c:v>1.4216592582156674E-6</c:v>
                </c:pt>
                <c:pt idx="154">
                  <c:v>1.5618311052757021E-6</c:v>
                </c:pt>
                <c:pt idx="155">
                  <c:v>1.5618311052757021E-6</c:v>
                </c:pt>
                <c:pt idx="156">
                  <c:v>1.7238369038407321E-6</c:v>
                </c:pt>
                <c:pt idx="157">
                  <c:v>1.7238369038407321E-6</c:v>
                </c:pt>
                <c:pt idx="158">
                  <c:v>1.9022194646118401E-6</c:v>
                </c:pt>
                <c:pt idx="159">
                  <c:v>1.9022194646118401E-6</c:v>
                </c:pt>
                <c:pt idx="160">
                  <c:v>2.0423346716363661E-6</c:v>
                </c:pt>
                <c:pt idx="161">
                  <c:v>2.0423346716363661E-6</c:v>
                </c:pt>
                <c:pt idx="162">
                  <c:v>2.1411167493014851E-6</c:v>
                </c:pt>
                <c:pt idx="163">
                  <c:v>2.1411167493014851E-6</c:v>
                </c:pt>
                <c:pt idx="164">
                  <c:v>2.255607043348213E-6</c:v>
                </c:pt>
                <c:pt idx="165">
                  <c:v>2.255607043348213E-6</c:v>
                </c:pt>
                <c:pt idx="166">
                  <c:v>2.3700749442513368E-6</c:v>
                </c:pt>
                <c:pt idx="167">
                  <c:v>2.3700749442513368E-6</c:v>
                </c:pt>
                <c:pt idx="168">
                  <c:v>2.4844458017234639E-6</c:v>
                </c:pt>
                <c:pt idx="169">
                  <c:v>2.4844458017234639E-6</c:v>
                </c:pt>
                <c:pt idx="170">
                  <c:v>2.5985365078718796E-6</c:v>
                </c:pt>
                <c:pt idx="171">
                  <c:v>2.5985365078718796E-6</c:v>
                </c:pt>
                <c:pt idx="172">
                  <c:v>2.711966410663156E-6</c:v>
                </c:pt>
                <c:pt idx="173">
                  <c:v>2.711966410663156E-6</c:v>
                </c:pt>
                <c:pt idx="174">
                  <c:v>2.8239927137034601E-6</c:v>
                </c:pt>
                <c:pt idx="175">
                  <c:v>2.8239927137034601E-6</c:v>
                </c:pt>
                <c:pt idx="176">
                  <c:v>2.9331773360899732E-6</c:v>
                </c:pt>
                <c:pt idx="177">
                  <c:v>2.9331773360899732E-6</c:v>
                </c:pt>
                <c:pt idx="178">
                  <c:v>3.0366355283788469E-6</c:v>
                </c:pt>
                <c:pt idx="179">
                  <c:v>3.0366355283788469E-6</c:v>
                </c:pt>
                <c:pt idx="180">
                  <c:v>3.1280658500650879E-6</c:v>
                </c:pt>
                <c:pt idx="181">
                  <c:v>3.1280658500650879E-6</c:v>
                </c:pt>
                <c:pt idx="182">
                  <c:v>3.1912672545492482E-6</c:v>
                </c:pt>
                <c:pt idx="183">
                  <c:v>3.1912672545492482E-6</c:v>
                </c:pt>
                <c:pt idx="184">
                  <c:v>3.1999999999999999E-6</c:v>
                </c:pt>
                <c:pt idx="185">
                  <c:v>3.1999999999999999E-6</c:v>
                </c:pt>
                <c:pt idx="186">
                  <c:v>3.1955139569094203E-6</c:v>
                </c:pt>
                <c:pt idx="187">
                  <c:v>3.1955139569094203E-6</c:v>
                </c:pt>
                <c:pt idx="188">
                  <c:v>3.1630471656236762E-6</c:v>
                </c:pt>
                <c:pt idx="189">
                  <c:v>3.1630471656236762E-6</c:v>
                </c:pt>
                <c:pt idx="190">
                  <c:v>3.1160790769300206E-6</c:v>
                </c:pt>
                <c:pt idx="191">
                  <c:v>3.1160790769300206E-6</c:v>
                </c:pt>
                <c:pt idx="192">
                  <c:v>3.0629322273740888E-6</c:v>
                </c:pt>
                <c:pt idx="193">
                  <c:v>3.0629322273740888E-6</c:v>
                </c:pt>
                <c:pt idx="194">
                  <c:v>3.0068436898555254E-6</c:v>
                </c:pt>
                <c:pt idx="195">
                  <c:v>3.0068436898555254E-6</c:v>
                </c:pt>
                <c:pt idx="196">
                  <c:v>2.9492953706526726E-6</c:v>
                </c:pt>
                <c:pt idx="197">
                  <c:v>2.9492953706526726E-6</c:v>
                </c:pt>
                <c:pt idx="198">
                  <c:v>2.8910260171542135E-6</c:v>
                </c:pt>
                <c:pt idx="199">
                  <c:v>2.8910260171542135E-6</c:v>
                </c:pt>
                <c:pt idx="200">
                  <c:v>2.832417206568491E-6</c:v>
                </c:pt>
                <c:pt idx="201">
                  <c:v>2.832417206568491E-6</c:v>
                </c:pt>
                <c:pt idx="202">
                  <c:v>2.773664481229139E-6</c:v>
                </c:pt>
                <c:pt idx="203">
                  <c:v>2.773664481229139E-6</c:v>
                </c:pt>
                <c:pt idx="204">
                  <c:v>2.7148619043264312E-6</c:v>
                </c:pt>
                <c:pt idx="205">
                  <c:v>2.7148619043264312E-6</c:v>
                </c:pt>
                <c:pt idx="206">
                  <c:v>2.6560478239844319E-6</c:v>
                </c:pt>
                <c:pt idx="207">
                  <c:v>2.6560478239844319E-6</c:v>
                </c:pt>
                <c:pt idx="208">
                  <c:v>2.5972324618216061E-6</c:v>
                </c:pt>
                <c:pt idx="209">
                  <c:v>2.5972324618216061E-6</c:v>
                </c:pt>
                <c:pt idx="210">
                  <c:v>2.5384183814796068E-6</c:v>
                </c:pt>
                <c:pt idx="211">
                  <c:v>2.5384183814796068E-6</c:v>
                </c:pt>
                <c:pt idx="212">
                  <c:v>2.479615804576899E-6</c:v>
                </c:pt>
                <c:pt idx="213">
                  <c:v>2.479615804576899E-6</c:v>
                </c:pt>
                <c:pt idx="214">
                  <c:v>2.420863079237547E-6</c:v>
                </c:pt>
                <c:pt idx="215">
                  <c:v>2.420863079237547E-6</c:v>
                </c:pt>
                <c:pt idx="216">
                  <c:v>2.3622542686518244E-6</c:v>
                </c:pt>
                <c:pt idx="217">
                  <c:v>2.3622542686518244E-6</c:v>
                </c:pt>
                <c:pt idx="218">
                  <c:v>2.3039849151533654E-6</c:v>
                </c:pt>
                <c:pt idx="219">
                  <c:v>2.3039849151533654E-6</c:v>
                </c:pt>
                <c:pt idx="220">
                  <c:v>2.2464365959505125E-6</c:v>
                </c:pt>
                <c:pt idx="221">
                  <c:v>2.2464365959505125E-6</c:v>
                </c:pt>
                <c:pt idx="222">
                  <c:v>2.1903480584319492E-6</c:v>
                </c:pt>
                <c:pt idx="223">
                  <c:v>2.1903480584319492E-6</c:v>
                </c:pt>
                <c:pt idx="224">
                  <c:v>2.1372012088760173E-6</c:v>
                </c:pt>
                <c:pt idx="225">
                  <c:v>2.1372012088760173E-6</c:v>
                </c:pt>
                <c:pt idx="226">
                  <c:v>2.0902331201823617E-6</c:v>
                </c:pt>
                <c:pt idx="227">
                  <c:v>2.0902331201823617E-6</c:v>
                </c:pt>
                <c:pt idx="228">
                  <c:v>2.0577663288966177E-6</c:v>
                </c:pt>
                <c:pt idx="229">
                  <c:v>2.0577663288966177E-6</c:v>
                </c:pt>
                <c:pt idx="230">
                  <c:v>2.0532802858060381E-6</c:v>
                </c:pt>
                <c:pt idx="231">
                  <c:v>2.0532802858060381E-6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1.28039863258E-2</c:v>
                </c:pt>
                <c:pt idx="46">
                  <c:v>1.2932026189000001E-2</c:v>
                </c:pt>
                <c:pt idx="47">
                  <c:v>1.3061346450899999E-2</c:v>
                </c:pt>
                <c:pt idx="48">
                  <c:v>1.31919599154E-2</c:v>
                </c:pt>
                <c:pt idx="49">
                  <c:v>1.33238795146E-2</c:v>
                </c:pt>
                <c:pt idx="50">
                  <c:v>1.3457118309700001E-2</c:v>
                </c:pt>
                <c:pt idx="51">
                  <c:v>1.3591689492799999E-2</c:v>
                </c:pt>
                <c:pt idx="52">
                  <c:v>1.37276063878E-2</c:v>
                </c:pt>
                <c:pt idx="53">
                  <c:v>1.3864882451600001E-2</c:v>
                </c:pt>
                <c:pt idx="54">
                  <c:v>1.40035312762E-2</c:v>
                </c:pt>
                <c:pt idx="55">
                  <c:v>1.41435665889E-2</c:v>
                </c:pt>
                <c:pt idx="56">
                  <c:v>1.42850022548E-2</c:v>
                </c:pt>
                <c:pt idx="57">
                  <c:v>1.44278522774E-2</c:v>
                </c:pt>
                <c:pt idx="58">
                  <c:v>1.4572130800099999E-2</c:v>
                </c:pt>
                <c:pt idx="59">
                  <c:v>1.4717852108099999E-2</c:v>
                </c:pt>
                <c:pt idx="60">
                  <c:v>1.4865030629200001E-2</c:v>
                </c:pt>
                <c:pt idx="61">
                  <c:v>1.50136809355E-2</c:v>
                </c:pt>
                <c:pt idx="62">
                  <c:v>1.5163817744900001E-2</c:v>
                </c:pt>
                <c:pt idx="63">
                  <c:v>1.5315455922300001E-2</c:v>
                </c:pt>
                <c:pt idx="64">
                  <c:v>1.54686104815E-2</c:v>
                </c:pt>
                <c:pt idx="65">
                  <c:v>1.56232965864E-2</c:v>
                </c:pt>
                <c:pt idx="66">
                  <c:v>1.5779529552200001E-2</c:v>
                </c:pt>
                <c:pt idx="67">
                  <c:v>1.59373248477E-2</c:v>
                </c:pt>
                <c:pt idx="68">
                  <c:v>1.6096698096199999E-2</c:v>
                </c:pt>
                <c:pt idx="69">
                  <c:v>1.6257665077200001E-2</c:v>
                </c:pt>
                <c:pt idx="70">
                  <c:v>1.6420241727999999E-2</c:v>
                </c:pt>
                <c:pt idx="71">
                  <c:v>1.6584444145200002E-2</c:v>
                </c:pt>
                <c:pt idx="72">
                  <c:v>1.67502885867E-2</c:v>
                </c:pt>
                <c:pt idx="73">
                  <c:v>1.6917791472599999E-2</c:v>
                </c:pt>
                <c:pt idx="74">
                  <c:v>1.7086969387300002E-2</c:v>
                </c:pt>
                <c:pt idx="75">
                  <c:v>1.7257839081199999E-2</c:v>
                </c:pt>
                <c:pt idx="76">
                  <c:v>1.7430417472000002E-2</c:v>
                </c:pt>
                <c:pt idx="77">
                  <c:v>1.7604721646699999E-2</c:v>
                </c:pt>
                <c:pt idx="78">
                  <c:v>1.77807688631E-2</c:v>
                </c:pt>
                <c:pt idx="79">
                  <c:v>1.7958576551799998E-2</c:v>
                </c:pt>
                <c:pt idx="80">
                  <c:v>1.8138162317300002E-2</c:v>
                </c:pt>
                <c:pt idx="81">
                  <c:v>1.8319543940500001E-2</c:v>
                </c:pt>
                <c:pt idx="82">
                  <c:v>1.8502739379900001E-2</c:v>
                </c:pt>
                <c:pt idx="83">
                  <c:v>1.8687766773700001E-2</c:v>
                </c:pt>
                <c:pt idx="84">
                  <c:v>1.8874644441399999E-2</c:v>
                </c:pt>
                <c:pt idx="85">
                  <c:v>1.9063390885799999E-2</c:v>
                </c:pt>
                <c:pt idx="86">
                  <c:v>1.9254024794699998E-2</c:v>
                </c:pt>
                <c:pt idx="87">
                  <c:v>1.9446565042599999E-2</c:v>
                </c:pt>
                <c:pt idx="88">
                  <c:v>1.9641030693100001E-2</c:v>
                </c:pt>
                <c:pt idx="89">
                  <c:v>1.9837441000000001E-2</c:v>
                </c:pt>
                <c:pt idx="90">
                  <c:v>2.0035815410000001E-2</c:v>
                </c:pt>
                <c:pt idx="91">
                  <c:v>2.0236173564099999E-2</c:v>
                </c:pt>
                <c:pt idx="92">
                  <c:v>2.0438535299700002E-2</c:v>
                </c:pt>
                <c:pt idx="93">
                  <c:v>2.06429206527E-2</c:v>
                </c:pt>
                <c:pt idx="94">
                  <c:v>2.0849349859299999E-2</c:v>
                </c:pt>
                <c:pt idx="95">
                  <c:v>2.1057843357800001E-2</c:v>
                </c:pt>
                <c:pt idx="96">
                  <c:v>2.12684217914E-2</c:v>
                </c:pt>
                <c:pt idx="97">
                  <c:v>2.1481106009300002E-2</c:v>
                </c:pt>
                <c:pt idx="98">
                  <c:v>2.1695917069400002E-2</c:v>
                </c:pt>
                <c:pt idx="99">
                  <c:v>2.19128762401E-2</c:v>
                </c:pt>
                <c:pt idx="100">
                  <c:v>2.21320050025E-2</c:v>
                </c:pt>
                <c:pt idx="101">
                  <c:v>2.2353325052600001E-2</c:v>
                </c:pt>
                <c:pt idx="102">
                  <c:v>2.2576858303100002E-2</c:v>
                </c:pt>
                <c:pt idx="103">
                  <c:v>2.2802626886099998E-2</c:v>
                </c:pt>
                <c:pt idx="104">
                  <c:v>2.3030653155000001E-2</c:v>
                </c:pt>
                <c:pt idx="105">
                  <c:v>2.32609596865E-2</c:v>
                </c:pt>
                <c:pt idx="106">
                  <c:v>2.34935692834E-2</c:v>
                </c:pt>
                <c:pt idx="107">
                  <c:v>2.37285049762E-2</c:v>
                </c:pt>
                <c:pt idx="108">
                  <c:v>2.3965790026000001E-2</c:v>
                </c:pt>
                <c:pt idx="109">
                  <c:v>2.42054479262E-2</c:v>
                </c:pt>
                <c:pt idx="110">
                  <c:v>2.4447502405500001E-2</c:v>
                </c:pt>
                <c:pt idx="111">
                  <c:v>2.4691977429599998E-2</c:v>
                </c:pt>
                <c:pt idx="112">
                  <c:v>2.4938897203899999E-2</c:v>
                </c:pt>
                <c:pt idx="113">
                  <c:v>2.51882861759E-2</c:v>
                </c:pt>
                <c:pt idx="114">
                  <c:v>2.5440169037600002E-2</c:v>
                </c:pt>
                <c:pt idx="115">
                  <c:v>2.5694570728E-2</c:v>
                </c:pt>
                <c:pt idx="116">
                  <c:v>2.5951516435299998E-2</c:v>
                </c:pt>
                <c:pt idx="117">
                  <c:v>2.6211031599700001E-2</c:v>
                </c:pt>
                <c:pt idx="118">
                  <c:v>2.6473141915700001E-2</c:v>
                </c:pt>
                <c:pt idx="119">
                  <c:v>2.6737873334799999E-2</c:v>
                </c:pt>
                <c:pt idx="120">
                  <c:v>2.7005252068200002E-2</c:v>
                </c:pt>
                <c:pt idx="121">
                  <c:v>2.7275304588799999E-2</c:v>
                </c:pt>
                <c:pt idx="122">
                  <c:v>2.7548057634700002E-2</c:v>
                </c:pt>
                <c:pt idx="123">
                  <c:v>2.78235382111E-2</c:v>
                </c:pt>
                <c:pt idx="124">
                  <c:v>2.81017735932E-2</c:v>
                </c:pt>
                <c:pt idx="125">
                  <c:v>2.8382791329100002E-2</c:v>
                </c:pt>
                <c:pt idx="126">
                  <c:v>2.86666192424E-2</c:v>
                </c:pt>
                <c:pt idx="127">
                  <c:v>2.89532854348E-2</c:v>
                </c:pt>
                <c:pt idx="128">
                  <c:v>2.9242818289200001E-2</c:v>
                </c:pt>
                <c:pt idx="129">
                  <c:v>2.9535246472099999E-2</c:v>
                </c:pt>
                <c:pt idx="130">
                  <c:v>2.9830598936799999E-2</c:v>
                </c:pt>
                <c:pt idx="131">
                  <c:v>3.01289049262E-2</c:v>
                </c:pt>
                <c:pt idx="132">
                  <c:v>3.0430193975400002E-2</c:v>
                </c:pt>
                <c:pt idx="133">
                  <c:v>3.07344959152E-2</c:v>
                </c:pt>
                <c:pt idx="134">
                  <c:v>3.1041840874300002E-2</c:v>
                </c:pt>
                <c:pt idx="135">
                  <c:v>3.1352259283100002E-2</c:v>
                </c:pt>
                <c:pt idx="136">
                  <c:v>3.1665781875900002E-2</c:v>
                </c:pt>
                <c:pt idx="137">
                  <c:v>3.19824396947E-2</c:v>
                </c:pt>
                <c:pt idx="138">
                  <c:v>3.2302264091600003E-2</c:v>
                </c:pt>
                <c:pt idx="139">
                  <c:v>3.2625286732500001E-2</c:v>
                </c:pt>
                <c:pt idx="140">
                  <c:v>3.29515395999E-2</c:v>
                </c:pt>
                <c:pt idx="141">
                  <c:v>3.3281054995899999E-2</c:v>
                </c:pt>
                <c:pt idx="142">
                  <c:v>3.3613865545800002E-2</c:v>
                </c:pt>
                <c:pt idx="143">
                  <c:v>3.3950004201300003E-2</c:v>
                </c:pt>
                <c:pt idx="144">
                  <c:v>3.4289504243299997E-2</c:v>
                </c:pt>
                <c:pt idx="145">
                  <c:v>3.46323992857E-2</c:v>
                </c:pt>
                <c:pt idx="146">
                  <c:v>3.49787232786E-2</c:v>
                </c:pt>
                <c:pt idx="147">
                  <c:v>3.5328510511399999E-2</c:v>
                </c:pt>
                <c:pt idx="148">
                  <c:v>3.5681795616499999E-2</c:v>
                </c:pt>
                <c:pt idx="149">
                  <c:v>3.6038613572599999E-2</c:v>
                </c:pt>
                <c:pt idx="150">
                  <c:v>3.63989997084E-2</c:v>
                </c:pt>
                <c:pt idx="151">
                  <c:v>3.6762989705399998E-2</c:v>
                </c:pt>
                <c:pt idx="152">
                  <c:v>3.7130619602499998E-2</c:v>
                </c:pt>
                <c:pt idx="153">
                  <c:v>3.7501925798500001E-2</c:v>
                </c:pt>
                <c:pt idx="154">
                  <c:v>3.7876945056500001E-2</c:v>
                </c:pt>
                <c:pt idx="155">
                  <c:v>3.8255714507099997E-2</c:v>
                </c:pt>
                <c:pt idx="156">
                  <c:v>3.8638271652100001E-2</c:v>
                </c:pt>
                <c:pt idx="157">
                  <c:v>3.90246543687E-2</c:v>
                </c:pt>
                <c:pt idx="158">
                  <c:v>3.9414900912399999E-2</c:v>
                </c:pt>
                <c:pt idx="159">
                  <c:v>3.98090499215E-2</c:v>
                </c:pt>
                <c:pt idx="160">
                  <c:v>4.0207140420699998E-2</c:v>
                </c:pt>
                <c:pt idx="161">
                  <c:v>4.0609211824900002E-2</c:v>
                </c:pt>
                <c:pt idx="162">
                  <c:v>4.1015303943099997E-2</c:v>
                </c:pt>
                <c:pt idx="163">
                  <c:v>4.1425456982600001E-2</c:v>
                </c:pt>
                <c:pt idx="164">
                  <c:v>4.1839711552400002E-2</c:v>
                </c:pt>
                <c:pt idx="165">
                  <c:v>4.2258108667900002E-2</c:v>
                </c:pt>
                <c:pt idx="166">
                  <c:v>4.2680689754600001E-2</c:v>
                </c:pt>
                <c:pt idx="167">
                  <c:v>4.3107496652199997E-2</c:v>
                </c:pt>
                <c:pt idx="168">
                  <c:v>4.3538571618699999E-2</c:v>
                </c:pt>
                <c:pt idx="169">
                  <c:v>4.3973957334899998E-2</c:v>
                </c:pt>
                <c:pt idx="170">
                  <c:v>4.4413696908199997E-2</c:v>
                </c:pt>
                <c:pt idx="171">
                  <c:v>4.4857833877300003E-2</c:v>
                </c:pt>
                <c:pt idx="172">
                  <c:v>4.5306412216100003E-2</c:v>
                </c:pt>
                <c:pt idx="173">
                  <c:v>4.5759476338200003E-2</c:v>
                </c:pt>
                <c:pt idx="174">
                  <c:v>4.6217071101599998E-2</c:v>
                </c:pt>
                <c:pt idx="175">
                  <c:v>4.6679241812599997E-2</c:v>
                </c:pt>
                <c:pt idx="176">
                  <c:v>4.71460342308E-2</c:v>
                </c:pt>
                <c:pt idx="177">
                  <c:v>4.7617494573100001E-2</c:v>
                </c:pt>
                <c:pt idx="178">
                  <c:v>4.8093669518800002E-2</c:v>
                </c:pt>
                <c:pt idx="179">
                  <c:v>4.8574606213999998E-2</c:v>
                </c:pt>
                <c:pt idx="180">
                  <c:v>4.9060352276099999E-2</c:v>
                </c:pt>
                <c:pt idx="181">
                  <c:v>4.9550955798900002E-2</c:v>
                </c:pt>
                <c:pt idx="182">
                  <c:v>5.0046465356900001E-2</c:v>
                </c:pt>
                <c:pt idx="183">
                  <c:v>5.0546930010399997E-2</c:v>
                </c:pt>
                <c:pt idx="184">
                  <c:v>5.1052399310499999E-2</c:v>
                </c:pt>
                <c:pt idx="185">
                  <c:v>5.1562923303600003E-2</c:v>
                </c:pt>
                <c:pt idx="186">
                  <c:v>5.2078552536699997E-2</c:v>
                </c:pt>
                <c:pt idx="187">
                  <c:v>5.2599338062100001E-2</c:v>
                </c:pt>
                <c:pt idx="188">
                  <c:v>5.31253314427E-2</c:v>
                </c:pt>
                <c:pt idx="189">
                  <c:v>5.3656584757100001E-2</c:v>
                </c:pt>
                <c:pt idx="190">
                  <c:v>5.4193150604700001E-2</c:v>
                </c:pt>
                <c:pt idx="191">
                  <c:v>5.4735082110700002E-2</c:v>
                </c:pt>
                <c:pt idx="192">
                  <c:v>5.5282432931799998E-2</c:v>
                </c:pt>
                <c:pt idx="193">
                  <c:v>5.5835257261100002E-2</c:v>
                </c:pt>
                <c:pt idx="194">
                  <c:v>5.6393609833799999E-2</c:v>
                </c:pt>
                <c:pt idx="195">
                  <c:v>5.69575459321E-2</c:v>
                </c:pt>
                <c:pt idx="196">
                  <c:v>5.7527121391400003E-2</c:v>
                </c:pt>
                <c:pt idx="197">
                  <c:v>5.81023926053E-2</c:v>
                </c:pt>
                <c:pt idx="198">
                  <c:v>5.8683416531400003E-2</c:v>
                </c:pt>
                <c:pt idx="199">
                  <c:v>5.92702506967E-2</c:v>
                </c:pt>
                <c:pt idx="200">
                  <c:v>5.9862953203699998E-2</c:v>
                </c:pt>
                <c:pt idx="201">
                  <c:v>6.0461582735700001E-2</c:v>
                </c:pt>
                <c:pt idx="202">
                  <c:v>6.1066198563099999E-2</c:v>
                </c:pt>
                <c:pt idx="203">
                  <c:v>6.1676860548700002E-2</c:v>
                </c:pt>
                <c:pt idx="204">
                  <c:v>6.2293629154200003E-2</c:v>
                </c:pt>
                <c:pt idx="205">
                  <c:v>6.2916565445699998E-2</c:v>
                </c:pt>
                <c:pt idx="206">
                  <c:v>6.3545731100199995E-2</c:v>
                </c:pt>
                <c:pt idx="207">
                  <c:v>6.4181188411200005E-2</c:v>
                </c:pt>
                <c:pt idx="208">
                  <c:v>6.4823000295299998E-2</c:v>
                </c:pt>
                <c:pt idx="209">
                  <c:v>6.5471230298199998E-2</c:v>
                </c:pt>
                <c:pt idx="210">
                  <c:v>6.61259426012E-2</c:v>
                </c:pt>
                <c:pt idx="211">
                  <c:v>6.6787202027199996E-2</c:v>
                </c:pt>
                <c:pt idx="212">
                  <c:v>6.7455074047499994E-2</c:v>
                </c:pt>
                <c:pt idx="213">
                  <c:v>6.8129624787999998E-2</c:v>
                </c:pt>
                <c:pt idx="214">
                  <c:v>6.8810921035900002E-2</c:v>
                </c:pt>
                <c:pt idx="215">
                  <c:v>6.9499030246199994E-2</c:v>
                </c:pt>
                <c:pt idx="216">
                  <c:v>7.0194020548699998E-2</c:v>
                </c:pt>
                <c:pt idx="217">
                  <c:v>7.0895960754200002E-2</c:v>
                </c:pt>
                <c:pt idx="218">
                  <c:v>7.1604920361700006E-2</c:v>
                </c:pt>
                <c:pt idx="219">
                  <c:v>7.23209695653E-2</c:v>
                </c:pt>
                <c:pt idx="220">
                  <c:v>7.3044179261E-2</c:v>
                </c:pt>
                <c:pt idx="221">
                  <c:v>7.3774621053599998E-2</c:v>
                </c:pt>
                <c:pt idx="222">
                  <c:v>7.4512367264100002E-2</c:v>
                </c:pt>
                <c:pt idx="223">
                  <c:v>7.5257490936799995E-2</c:v>
                </c:pt>
                <c:pt idx="224">
                  <c:v>7.6010065846099997E-2</c:v>
                </c:pt>
                <c:pt idx="225">
                  <c:v>7.6770166504600001E-2</c:v>
                </c:pt>
                <c:pt idx="226">
                  <c:v>7.7537868169599997E-2</c:v>
                </c:pt>
                <c:pt idx="227">
                  <c:v>7.8313246851300006E-2</c:v>
                </c:pt>
                <c:pt idx="228">
                  <c:v>7.90963793198E-2</c:v>
                </c:pt>
                <c:pt idx="229">
                  <c:v>7.9887343112999998E-2</c:v>
                </c:pt>
                <c:pt idx="230">
                  <c:v>8.0686216544199996E-2</c:v>
                </c:pt>
                <c:pt idx="231">
                  <c:v>8.14930787096E-2</c:v>
                </c:pt>
                <c:pt idx="232">
                  <c:v>8.2308009496700002E-2</c:v>
                </c:pt>
                <c:pt idx="233">
                  <c:v>8.31310895917E-2</c:v>
                </c:pt>
                <c:pt idx="234">
                  <c:v>8.3962400487599995E-2</c:v>
                </c:pt>
                <c:pt idx="235">
                  <c:v>8.4802024492500003E-2</c:v>
                </c:pt>
                <c:pt idx="236">
                  <c:v>8.5650044737399997E-2</c:v>
                </c:pt>
                <c:pt idx="237">
                  <c:v>8.6506545184799999E-2</c:v>
                </c:pt>
                <c:pt idx="238">
                  <c:v>8.7371610636599997E-2</c:v>
                </c:pt>
                <c:pt idx="239">
                  <c:v>8.8245326742999994E-2</c:v>
                </c:pt>
                <c:pt idx="240">
                  <c:v>8.9127780010400004E-2</c:v>
                </c:pt>
                <c:pt idx="241">
                  <c:v>9.00190578105E-2</c:v>
                </c:pt>
                <c:pt idx="242">
                  <c:v>9.0919248388599994E-2</c:v>
                </c:pt>
                <c:pt idx="243">
                  <c:v>9.18284408725E-2</c:v>
                </c:pt>
                <c:pt idx="244">
                  <c:v>9.2746725281199996E-2</c:v>
                </c:pt>
                <c:pt idx="245">
                  <c:v>9.3674192534E-2</c:v>
                </c:pt>
                <c:pt idx="246">
                  <c:v>9.4610934459399998E-2</c:v>
                </c:pt>
                <c:pt idx="247">
                  <c:v>9.5557043804E-2</c:v>
                </c:pt>
                <c:pt idx="248">
                  <c:v>9.6512614242E-2</c:v>
                </c:pt>
                <c:pt idx="249">
                  <c:v>9.7477740384400005E-2</c:v>
                </c:pt>
                <c:pt idx="250">
                  <c:v>9.8452517788299998E-2</c:v>
                </c:pt>
                <c:pt idx="251">
                  <c:v>9.9437042966199998E-2</c:v>
                </c:pt>
                <c:pt idx="252">
                  <c:v>0.10043141339599999</c:v>
                </c:pt>
                <c:pt idx="253">
                  <c:v>0.10143572753000001</c:v>
                </c:pt>
                <c:pt idx="254">
                  <c:v>0.10245008480499999</c:v>
                </c:pt>
                <c:pt idx="255">
                  <c:v>0.103474585653</c:v>
                </c:pt>
                <c:pt idx="256">
                  <c:v>0.10450933151</c:v>
                </c:pt>
                <c:pt idx="257">
                  <c:v>0.10555442482500001</c:v>
                </c:pt>
                <c:pt idx="258">
                  <c:v>0.10660996907299999</c:v>
                </c:pt>
                <c:pt idx="259">
                  <c:v>0.107676068764</c:v>
                </c:pt>
                <c:pt idx="260">
                  <c:v>0.108752829451</c:v>
                </c:pt>
                <c:pt idx="261">
                  <c:v>0.109840357746</c:v>
                </c:pt>
                <c:pt idx="262">
                  <c:v>0.110938761323</c:v>
                </c:pt>
                <c:pt idx="263">
                  <c:v>0.11204814893700001</c:v>
                </c:pt>
                <c:pt idx="264">
                  <c:v>0.11316863042600001</c:v>
                </c:pt>
                <c:pt idx="265">
                  <c:v>0.11430031673</c:v>
                </c:pt>
                <c:pt idx="266">
                  <c:v>0.115443319898</c:v>
                </c:pt>
                <c:pt idx="267">
                  <c:v>0.116597753096</c:v>
                </c:pt>
                <c:pt idx="268">
                  <c:v>0.117763730627</c:v>
                </c:pt>
                <c:pt idx="269">
                  <c:v>0.11894136793399999</c:v>
                </c:pt>
                <c:pt idx="270">
                  <c:v>0.120130781613</c:v>
                </c:pt>
                <c:pt idx="271">
                  <c:v>0.12133208942900001</c:v>
                </c:pt>
                <c:pt idx="272">
                  <c:v>0.122545410323</c:v>
                </c:pt>
                <c:pt idx="273">
                  <c:v>0.123770864427</c:v>
                </c:pt>
                <c:pt idx="274">
                  <c:v>0.125008573071</c:v>
                </c:pt>
                <c:pt idx="275">
                  <c:v>0.12625865880199999</c:v>
                </c:pt>
                <c:pt idx="276">
                  <c:v>0.12752124539000001</c:v>
                </c:pt>
                <c:pt idx="277">
                  <c:v>0.12879645784400001</c:v>
                </c:pt>
                <c:pt idx="278">
                  <c:v>0.130084422422</c:v>
                </c:pt>
                <c:pt idx="279">
                  <c:v>0.131385266646</c:v>
                </c:pt>
                <c:pt idx="280">
                  <c:v>0.13269911931299999</c:v>
                </c:pt>
                <c:pt idx="281">
                  <c:v>0.134026110506</c:v>
                </c:pt>
                <c:pt idx="282">
                  <c:v>0.13536637161100001</c:v>
                </c:pt>
                <c:pt idx="283">
                  <c:v>0.136720035327</c:v>
                </c:pt>
                <c:pt idx="284">
                  <c:v>0.13808723568</c:v>
                </c:pt>
                <c:pt idx="285">
                  <c:v>0.13946810803699999</c:v>
                </c:pt>
                <c:pt idx="286">
                  <c:v>0.14086278911700001</c:v>
                </c:pt>
                <c:pt idx="287">
                  <c:v>0.14227141700900001</c:v>
                </c:pt>
                <c:pt idx="288">
                  <c:v>0.14369413117900001</c:v>
                </c:pt>
                <c:pt idx="289">
                  <c:v>0.14513107249099999</c:v>
                </c:pt>
                <c:pt idx="290">
                  <c:v>0.146582383215</c:v>
                </c:pt>
                <c:pt idx="291">
                  <c:v>0.14804820704800001</c:v>
                </c:pt>
                <c:pt idx="292">
                  <c:v>0.14952868911799999</c:v>
                </c:pt>
                <c:pt idx="293">
                  <c:v>0.151023976009</c:v>
                </c:pt>
                <c:pt idx="294">
                  <c:v>0.152534215769</c:v>
                </c:pt>
                <c:pt idx="295">
                  <c:v>0.15405955792699999</c:v>
                </c:pt>
                <c:pt idx="296">
                  <c:v>0.15560015350600001</c:v>
                </c:pt>
                <c:pt idx="297">
                  <c:v>0.157156155041</c:v>
                </c:pt>
                <c:pt idx="298">
                  <c:v>0.158727716592</c:v>
                </c:pt>
                <c:pt idx="299">
                  <c:v>0.16031499375800001</c:v>
                </c:pt>
                <c:pt idx="300">
                  <c:v>0.16191814369499999</c:v>
                </c:pt>
                <c:pt idx="301">
                  <c:v>0.16353732513200001</c:v>
                </c:pt>
                <c:pt idx="302">
                  <c:v>0.16517269838400001</c:v>
                </c:pt>
                <c:pt idx="303">
                  <c:v>0.16682442536700001</c:v>
                </c:pt>
                <c:pt idx="304">
                  <c:v>0.16849266962100001</c:v>
                </c:pt>
                <c:pt idx="305">
                  <c:v>0.170177596317</c:v>
                </c:pt>
                <c:pt idx="306">
                  <c:v>0.17187937228</c:v>
                </c:pt>
                <c:pt idx="307">
                  <c:v>0.17359816600299999</c:v>
                </c:pt>
                <c:pt idx="308">
                  <c:v>0.17533414766300001</c:v>
                </c:pt>
                <c:pt idx="309">
                  <c:v>0.17708748914</c:v>
                </c:pt>
                <c:pt idx="310">
                  <c:v>0.178858364031</c:v>
                </c:pt>
                <c:pt idx="311">
                  <c:v>0.18064694767200001</c:v>
                </c:pt>
                <c:pt idx="312">
                  <c:v>0.18245341714800001</c:v>
                </c:pt>
                <c:pt idx="313">
                  <c:v>0.18427795131999999</c:v>
                </c:pt>
                <c:pt idx="314">
                  <c:v>0.18612073083299999</c:v>
                </c:pt>
                <c:pt idx="315">
                  <c:v>0.187981938141</c:v>
                </c:pt>
                <c:pt idx="316">
                  <c:v>0.189861757523</c:v>
                </c:pt>
                <c:pt idx="317">
                  <c:v>0.19176037509800001</c:v>
                </c:pt>
                <c:pt idx="318">
                  <c:v>0.19367797884900001</c:v>
                </c:pt>
                <c:pt idx="319">
                  <c:v>0.19561475863700001</c:v>
                </c:pt>
                <c:pt idx="320">
                  <c:v>0.197570906224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4.4436946398278765E-9</c:v>
                </c:pt>
                <c:pt idx="1">
                  <c:v>4.6208311791698572E-9</c:v>
                </c:pt>
                <c:pt idx="2">
                  <c:v>4.8044701942592256E-9</c:v>
                </c:pt>
                <c:pt idx="3">
                  <c:v>4.9946757196855919E-9</c:v>
                </c:pt>
                <c:pt idx="4">
                  <c:v>5.191449019913441E-9</c:v>
                </c:pt>
                <c:pt idx="5">
                  <c:v>5.3946875312643535E-9</c:v>
                </c:pt>
                <c:pt idx="6">
                  <c:v>5.6041220560562551E-9</c:v>
                </c:pt>
                <c:pt idx="7">
                  <c:v>5.8192197872051641E-9</c:v>
                </c:pt>
                <c:pt idx="8">
                  <c:v>6.0390204577663295E-9</c:v>
                </c:pt>
                <c:pt idx="9">
                  <c:v>6.2618477721606016E-9</c:v>
                </c:pt>
                <c:pt idx="10">
                  <c:v>6.4847852795273353E-9</c:v>
                </c:pt>
                <c:pt idx="11">
                  <c:v>6.7027162364740496E-9</c:v>
                </c:pt>
                <c:pt idx="12">
                  <c:v>6.9066719622933332E-9</c:v>
                </c:pt>
                <c:pt idx="13">
                  <c:v>7.0817352615357534E-9</c:v>
                </c:pt>
                <c:pt idx="14">
                  <c:v>7.2073784088622446E-9</c:v>
                </c:pt>
                <c:pt idx="15">
                  <c:v>7.2692287913778901E-9</c:v>
                </c:pt>
                <c:pt idx="16">
                  <c:v>7.2915427299943075E-9</c:v>
                </c:pt>
                <c:pt idx="17">
                  <c:v>7.3682262805299431E-9</c:v>
                </c:pt>
                <c:pt idx="18">
                  <c:v>7.6227159141942707E-9</c:v>
                </c:pt>
                <c:pt idx="19">
                  <c:v>8.0579560340776932E-9</c:v>
                </c:pt>
                <c:pt idx="20">
                  <c:v>8.406575288175788E-9</c:v>
                </c:pt>
                <c:pt idx="21">
                  <c:v>8.2317787977618853E-9</c:v>
                </c:pt>
                <c:pt idx="22">
                  <c:v>7.3664088084869558E-9</c:v>
                </c:pt>
                <c:pt idx="23">
                  <c:v>6.1686829759793876E-9</c:v>
                </c:pt>
                <c:pt idx="24">
                  <c:v>5.1344629176995494E-9</c:v>
                </c:pt>
                <c:pt idx="25">
                  <c:v>4.4408278122450735E-9</c:v>
                </c:pt>
                <c:pt idx="26">
                  <c:v>3.989992925205405E-9</c:v>
                </c:pt>
                <c:pt idx="27">
                  <c:v>3.6506744882138909E-9</c:v>
                </c:pt>
                <c:pt idx="28">
                  <c:v>3.3519656986655532E-9</c:v>
                </c:pt>
                <c:pt idx="29">
                  <c:v>3.064151984307829E-9</c:v>
                </c:pt>
                <c:pt idx="30">
                  <c:v>2.7776839301877326E-9</c:v>
                </c:pt>
                <c:pt idx="31">
                  <c:v>2.4901169193704444E-9</c:v>
                </c:pt>
                <c:pt idx="32">
                  <c:v>2.2026336894384709E-9</c:v>
                </c:pt>
                <c:pt idx="33">
                  <c:v>1.9184382091367187E-9</c:v>
                </c:pt>
                <c:pt idx="34">
                  <c:v>1.6418716180754752E-9</c:v>
                </c:pt>
                <c:pt idx="35">
                  <c:v>1.3778157325899065E-9</c:v>
                </c:pt>
                <c:pt idx="36">
                  <c:v>1.1312344878965297E-9</c:v>
                </c:pt>
                <c:pt idx="37">
                  <c:v>9.068014311734235E-10</c:v>
                </c:pt>
                <c:pt idx="38">
                  <c:v>7.0859931708738445E-10</c:v>
                </c:pt>
                <c:pt idx="39">
                  <c:v>5.398916736900498E-10</c:v>
                </c:pt>
                <c:pt idx="40">
                  <c:v>4.0296878708215285E-10</c:v>
                </c:pt>
                <c:pt idx="41">
                  <c:v>2.9906780763968639E-10</c:v>
                </c:pt>
                <c:pt idx="42">
                  <c:v>2.2836196120493207E-10</c:v>
                </c:pt>
                <c:pt idx="43">
                  <c:v>1.9000923133129543E-10</c:v>
                </c:pt>
                <c:pt idx="44">
                  <c:v>1.8224759710186059E-10</c:v>
                </c:pt>
                <c:pt idx="45">
                  <c:v>2.0252248694498433E-10</c:v>
                </c:pt>
                <c:pt idx="46">
                  <c:v>2.476113350635773E-10</c:v>
                </c:pt>
                <c:pt idx="47">
                  <c:v>3.1390390448678674E-10</c:v>
                </c:pt>
                <c:pt idx="48">
                  <c:v>3.9728348812452309E-10</c:v>
                </c:pt>
                <c:pt idx="49">
                  <c:v>4.9350060002930596E-10</c:v>
                </c:pt>
                <c:pt idx="50">
                  <c:v>5.9822469029126636E-10</c:v>
                </c:pt>
                <c:pt idx="51">
                  <c:v>7.0715560532451488E-10</c:v>
                </c:pt>
                <c:pt idx="52">
                  <c:v>8.1612127545457945E-10</c:v>
                </c:pt>
                <c:pt idx="53">
                  <c:v>9.2116331467813548E-10</c:v>
                </c:pt>
                <c:pt idx="54">
                  <c:v>1.0186127178410741E-9</c:v>
                </c:pt>
                <c:pt idx="55">
                  <c:v>1.1051578365047792E-9</c:v>
                </c:pt>
                <c:pt idx="56">
                  <c:v>1.1779064295849006E-9</c:v>
                </c:pt>
                <c:pt idx="57">
                  <c:v>1.2344429095761447E-9</c:v>
                </c:pt>
                <c:pt idx="58">
                  <c:v>1.2728810649353663E-9</c:v>
                </c:pt>
                <c:pt idx="59">
                  <c:v>1.2919116070316261E-9</c:v>
                </c:pt>
                <c:pt idx="60">
                  <c:v>1.2908429634657087E-9</c:v>
                </c:pt>
                <c:pt idx="61">
                  <c:v>1.2696329001768311E-9</c:v>
                </c:pt>
                <c:pt idx="62">
                  <c:v>1.2289078847492167E-9</c:v>
                </c:pt>
                <c:pt idx="63">
                  <c:v>1.1699666910464143E-9</c:v>
                </c:pt>
                <c:pt idx="64">
                  <c:v>1.0947646667817167E-9</c:v>
                </c:pt>
                <c:pt idx="65">
                  <c:v>1.0058754083158188E-9</c:v>
                </c:pt>
                <c:pt idx="66">
                  <c:v>9.064273463425221E-10</c:v>
                </c:pt>
                <c:pt idx="67">
                  <c:v>8.0001394347574178E-10</c:v>
                </c:pt>
                <c:pt idx="68">
                  <c:v>6.9057779400337196E-10</c:v>
                </c:pt>
                <c:pt idx="69">
                  <c:v>5.8227078327259498E-10</c:v>
                </c:pt>
                <c:pt idx="70">
                  <c:v>4.7929446537860568E-10</c:v>
                </c:pt>
                <c:pt idx="71">
                  <c:v>3.8572675293691786E-10</c:v>
                </c:pt>
                <c:pt idx="72">
                  <c:v>3.053426754427149E-10</c:v>
                </c:pt>
                <c:pt idx="73">
                  <c:v>2.4143815986376389E-10</c:v>
                </c:pt>
                <c:pt idx="74">
                  <c:v>1.9666636281403957E-10</c:v>
                </c:pt>
                <c:pt idx="75">
                  <c:v>1.728959640149823E-10</c:v>
                </c:pt>
                <c:pt idx="76">
                  <c:v>1.7110000666102962E-10</c:v>
                </c:pt>
                <c:pt idx="77">
                  <c:v>1.9128242947661318E-10</c:v>
                </c:pt>
                <c:pt idx="78">
                  <c:v>2.3244752598210735E-10</c:v>
                </c:pt>
                <c:pt idx="79">
                  <c:v>2.9261537582662629E-10</c:v>
                </c:pt>
                <c:pt idx="80">
                  <c:v>3.6888401697650725E-10</c:v>
                </c:pt>
                <c:pt idx="81">
                  <c:v>4.5753693679171886E-10</c:v>
                </c:pt>
                <c:pt idx="82">
                  <c:v>5.5419246968824542E-10</c:v>
                </c:pt>
                <c:pt idx="83">
                  <c:v>6.5398996248065847E-10</c:v>
                </c:pt>
                <c:pt idx="84">
                  <c:v>7.5180609557217736E-10</c:v>
                </c:pt>
                <c:pt idx="85">
                  <c:v>8.4249348480699371E-10</c:v>
                </c:pt>
                <c:pt idx="86">
                  <c:v>9.2113255950629511E-10</c:v>
                </c:pt>
                <c:pt idx="87">
                  <c:v>9.832866557961234E-10</c:v>
                </c:pt>
                <c:pt idx="88">
                  <c:v>1.0252492502845926E-9</c:v>
                </c:pt>
                <c:pt idx="89">
                  <c:v>1.0442713191911729E-9</c:v>
                </c:pt>
                <c:pt idx="90">
                  <c:v>1.0387560517483029E-9</c:v>
                </c:pt>
                <c:pt idx="91">
                  <c:v>1.0084077514147319E-9</c:v>
                </c:pt>
                <c:pt idx="92">
                  <c:v>9.5432197474143128E-10</c:v>
                </c:pt>
                <c:pt idx="93">
                  <c:v>8.7900505622059592E-10</c:v>
                </c:pt>
                <c:pt idx="94">
                  <c:v>7.8631340903064579E-10</c:v>
                </c:pt>
                <c:pt idx="95">
                  <c:v>6.8130655519386421E-10</c:v>
                </c:pt>
                <c:pt idx="96">
                  <c:v>5.7001276730500246E-10</c:v>
                </c:pt>
                <c:pt idx="97">
                  <c:v>4.5911235010835555E-10</c:v>
                </c:pt>
                <c:pt idx="98">
                  <c:v>3.5555057279541633E-10</c:v>
                </c:pt>
                <c:pt idx="99">
                  <c:v>2.6609950600820858E-10</c:v>
                </c:pt>
                <c:pt idx="100">
                  <c:v>1.9689475506167432E-10</c:v>
                </c:pt>
                <c:pt idx="101">
                  <c:v>1.5297849218564353E-10</c:v>
                </c:pt>
                <c:pt idx="102">
                  <c:v>1.3788348917804715E-10</c:v>
                </c:pt>
                <c:pt idx="103">
                  <c:v>1.5329342696957096E-10</c:v>
                </c:pt>
                <c:pt idx="104">
                  <c:v>1.9881227312611606E-10</c:v>
                </c:pt>
                <c:pt idx="105">
                  <c:v>2.7186996129719745E-10</c:v>
                </c:pt>
                <c:pt idx="106">
                  <c:v>3.6778329805341123E-10</c:v>
                </c:pt>
                <c:pt idx="107">
                  <c:v>4.7998053922904415E-10</c:v>
                </c:pt>
                <c:pt idx="108">
                  <c:v>6.0038616954339633E-10</c:v>
                </c:pt>
                <c:pt idx="109">
                  <c:v>7.1994988445733176E-10</c:v>
                </c:pt>
                <c:pt idx="110">
                  <c:v>8.2929140088241453E-10</c:v>
                </c:pt>
                <c:pt idx="111">
                  <c:v>9.1942123145519993E-10</c:v>
                </c:pt>
                <c:pt idx="112">
                  <c:v>9.8248764687334255E-10</c:v>
                </c:pt>
                <c:pt idx="113">
                  <c:v>1.0124924293723219E-9</c:v>
                </c:pt>
                <c:pt idx="114">
                  <c:v>1.0059135039635529E-9</c:v>
                </c:pt>
                <c:pt idx="115">
                  <c:v>9.6217204933651143E-10</c:v>
                </c:pt>
                <c:pt idx="116">
                  <c:v>8.8388624148500834E-10</c:v>
                </c:pt>
                <c:pt idx="117">
                  <c:v>7.7686429043344784E-10</c:v>
                </c:pt>
                <c:pt idx="118">
                  <c:v>6.4980647296341978E-10</c:v>
                </c:pt>
                <c:pt idx="119">
                  <c:v>5.137093502270443E-10</c:v>
                </c:pt>
                <c:pt idx="120">
                  <c:v>3.8099421850006169E-10</c:v>
                </c:pt>
                <c:pt idx="121">
                  <c:v>2.6441382311179988E-10</c:v>
                </c:pt>
                <c:pt idx="122">
                  <c:v>1.7582306385154753E-10</c:v>
                </c:pt>
                <c:pt idx="123">
                  <c:v>1.249265907237892E-10</c:v>
                </c:pt>
                <c:pt idx="124">
                  <c:v>1.1813431173177528E-10</c:v>
                </c:pt>
                <c:pt idx="125">
                  <c:v>1.5766092439084516E-10</c:v>
                </c:pt>
                <c:pt idx="126">
                  <c:v>2.4099493218193046E-10</c:v>
                </c:pt>
                <c:pt idx="127">
                  <c:v>3.6083542283370539E-10</c:v>
                </c:pt>
                <c:pt idx="128">
                  <c:v>5.0555254710893982E-10</c:v>
                </c:pt>
                <c:pt idx="129">
                  <c:v>6.6017358778222401E-10</c:v>
                </c:pt>
                <c:pt idx="130">
                  <c:v>8.0783584111265548E-10</c:v>
                </c:pt>
                <c:pt idx="131">
                  <c:v>9.315864009006212E-10</c:v>
                </c:pt>
                <c:pt idx="132">
                  <c:v>1.0163540184026386E-9</c:v>
                </c:pt>
                <c:pt idx="133">
                  <c:v>1.050876273088579E-9</c:v>
                </c:pt>
                <c:pt idx="134">
                  <c:v>1.0293428516790211E-9</c:v>
                </c:pt>
                <c:pt idx="135">
                  <c:v>9.5251868379158339E-10</c:v>
                </c:pt>
                <c:pt idx="136">
                  <c:v>8.2814358563368667E-10</c:v>
                </c:pt>
                <c:pt idx="137">
                  <c:v>6.7047008737560309E-10</c:v>
                </c:pt>
                <c:pt idx="138">
                  <c:v>4.9889659456284335E-10</c:v>
                </c:pt>
                <c:pt idx="139">
                  <c:v>3.357720330351545E-10</c:v>
                </c:pt>
                <c:pt idx="140">
                  <c:v>2.0357768332368474E-10</c:v>
                </c:pt>
                <c:pt idx="141">
                  <c:v>1.2181347531800047E-10</c:v>
                </c:pt>
                <c:pt idx="142">
                  <c:v>1.0400767975532554E-10</c:v>
                </c:pt>
                <c:pt idx="143">
                  <c:v>1.553092311819634E-10</c:v>
                </c:pt>
                <c:pt idx="144">
                  <c:v>2.7109454493273039E-10</c:v>
                </c:pt>
                <c:pt idx="145">
                  <c:v>4.3691893425908811E-10</c:v>
                </c:pt>
                <c:pt idx="146">
                  <c:v>6.2997228998934086E-10</c:v>
                </c:pt>
                <c:pt idx="147">
                  <c:v>8.2197812363399085E-10</c:v>
                </c:pt>
                <c:pt idx="148">
                  <c:v>9.8323383930643374E-10</c:v>
                </c:pt>
                <c:pt idx="149">
                  <c:v>1.0872647211092339E-9</c:v>
                </c:pt>
                <c:pt idx="150">
                  <c:v>1.1153935724446756E-9</c:v>
                </c:pt>
                <c:pt idx="151">
                  <c:v>1.0607465885618768E-9</c:v>
                </c:pt>
                <c:pt idx="152">
                  <c:v>9.2917139352799303E-10</c:v>
                </c:pt>
                <c:pt idx="153">
                  <c:v>7.4092907307155223E-10</c:v>
                </c:pt>
                <c:pt idx="154">
                  <c:v>5.271431030450163E-10</c:v>
                </c:pt>
                <c:pt idx="155">
                  <c:v>3.253328805036967E-10</c:v>
                </c:pt>
                <c:pt idx="156">
                  <c:v>1.7304019425351243E-10</c:v>
                </c:pt>
                <c:pt idx="157">
                  <c:v>1.008143828145144E-10</c:v>
                </c:pt>
                <c:pt idx="158">
                  <c:v>1.2584401048965419E-10</c:v>
                </c:pt>
                <c:pt idx="159">
                  <c:v>2.4757611853226904E-10</c:v>
                </c:pt>
                <c:pt idx="160">
                  <c:v>4.4644340329381506E-10</c:v>
                </c:pt>
                <c:pt idx="161">
                  <c:v>6.8632551686700302E-10</c:v>
                </c:pt>
                <c:pt idx="162">
                  <c:v>9.206665941122793E-10</c:v>
                </c:pt>
                <c:pt idx="163">
                  <c:v>1.1013785254790487E-9</c:v>
                </c:pt>
                <c:pt idx="164">
                  <c:v>1.188938748258528E-9</c:v>
                </c:pt>
                <c:pt idx="165">
                  <c:v>1.1616128596543415E-9</c:v>
                </c:pt>
                <c:pt idx="166">
                  <c:v>1.0216431801915456E-9</c:v>
                </c:pt>
                <c:pt idx="167">
                  <c:v>7.9663365326507099E-10</c:v>
                </c:pt>
                <c:pt idx="168">
                  <c:v>5.3522830103970781E-10</c:v>
                </c:pt>
                <c:pt idx="169">
                  <c:v>2.9741035477214539E-10</c:v>
                </c:pt>
                <c:pt idx="170">
                  <c:v>1.4110934302235009E-10</c:v>
                </c:pt>
                <c:pt idx="171">
                  <c:v>1.0797019721019624E-10</c:v>
                </c:pt>
                <c:pt idx="172">
                  <c:v>2.1176389573477335E-10</c:v>
                </c:pt>
                <c:pt idx="173">
                  <c:v>4.3272873516237148E-10</c:v>
                </c:pt>
                <c:pt idx="174">
                  <c:v>7.2002577382662346E-10</c:v>
                </c:pt>
                <c:pt idx="175">
                  <c:v>1.0026163786715366E-9</c:v>
                </c:pt>
                <c:pt idx="176">
                  <c:v>1.2066177325162296E-9</c:v>
                </c:pt>
                <c:pt idx="177">
                  <c:v>1.2751348699834426E-9</c:v>
                </c:pt>
                <c:pt idx="178">
                  <c:v>1.1853219395247307E-9</c:v>
                </c:pt>
                <c:pt idx="179">
                  <c:v>9.5748864625340117E-10</c:v>
                </c:pt>
                <c:pt idx="180">
                  <c:v>6.526565048532125E-10</c:v>
                </c:pt>
                <c:pt idx="181">
                  <c:v>3.5789344267241083E-10</c:v>
                </c:pt>
                <c:pt idx="182">
                  <c:v>1.6237329370967432E-10</c:v>
                </c:pt>
                <c:pt idx="183">
                  <c:v>1.3041038676412579E-10</c:v>
                </c:pt>
                <c:pt idx="184">
                  <c:v>2.7957335039198986E-10</c:v>
                </c:pt>
                <c:pt idx="185">
                  <c:v>5.7149101856548369E-10</c:v>
                </c:pt>
                <c:pt idx="186">
                  <c:v>9.1985612480494158E-10</c:v>
                </c:pt>
                <c:pt idx="187">
                  <c:v>1.2150054052009441E-9</c:v>
                </c:pt>
                <c:pt idx="188">
                  <c:v>1.3587346299672838E-9</c:v>
                </c:pt>
                <c:pt idx="189">
                  <c:v>1.2985983754745746E-9</c:v>
                </c:pt>
                <c:pt idx="190">
                  <c:v>1.0496397317163064E-9</c:v>
                </c:pt>
                <c:pt idx="191">
                  <c:v>6.9431502266454891E-10</c:v>
                </c:pt>
                <c:pt idx="192">
                  <c:v>3.5803923631391187E-10</c:v>
                </c:pt>
                <c:pt idx="193">
                  <c:v>1.6649421918568615E-10</c:v>
                </c:pt>
                <c:pt idx="194">
                  <c:v>1.9864502294700658E-10</c:v>
                </c:pt>
                <c:pt idx="195">
                  <c:v>4.5304361357543042E-10</c:v>
                </c:pt>
                <c:pt idx="196">
                  <c:v>8.4221167059875399E-10</c:v>
                </c:pt>
                <c:pt idx="197">
                  <c:v>1.2206505594030187E-9</c:v>
                </c:pt>
                <c:pt idx="198">
                  <c:v>1.4395384061215601E-9</c:v>
                </c:pt>
                <c:pt idx="199">
                  <c:v>1.4055235777275135E-9</c:v>
                </c:pt>
                <c:pt idx="200">
                  <c:v>1.1270018766876434E-9</c:v>
                </c:pt>
                <c:pt idx="201">
                  <c:v>7.1630433499975709E-10</c:v>
                </c:pt>
                <c:pt idx="202">
                  <c:v>3.4933661206121192E-10</c:v>
                </c:pt>
                <c:pt idx="203">
                  <c:v>1.9259904834172618E-10</c:v>
                </c:pt>
                <c:pt idx="204">
                  <c:v>3.2743228268323494E-10</c:v>
                </c:pt>
                <c:pt idx="205">
                  <c:v>7.0624744965301131E-10</c:v>
                </c:pt>
                <c:pt idx="206">
                  <c:v>1.1651089148371022E-9</c:v>
                </c:pt>
                <c:pt idx="207">
                  <c:v>1.493142752063276E-9</c:v>
                </c:pt>
                <c:pt idx="208">
                  <c:v>1.53137432689943E-9</c:v>
                </c:pt>
                <c:pt idx="209">
                  <c:v>1.2551704410786808E-9</c:v>
                </c:pt>
                <c:pt idx="210">
                  <c:v>7.9660317521411549E-10</c:v>
                </c:pt>
                <c:pt idx="211">
                  <c:v>3.882769010996637E-10</c:v>
                </c:pt>
                <c:pt idx="212">
                  <c:v>2.4915506945398077E-10</c:v>
                </c:pt>
                <c:pt idx="213">
                  <c:v>4.6696548557986689E-10</c:v>
                </c:pt>
                <c:pt idx="214">
                  <c:v>9.4104438614171137E-10</c:v>
                </c:pt>
                <c:pt idx="215">
                  <c:v>1.4242878495299544E-9</c:v>
                </c:pt>
                <c:pt idx="216">
                  <c:v>1.6516309167841525E-9</c:v>
                </c:pt>
                <c:pt idx="217">
                  <c:v>1.4906675918760384E-9</c:v>
                </c:pt>
                <c:pt idx="218">
                  <c:v>1.0284277011600576E-9</c:v>
                </c:pt>
                <c:pt idx="219">
                  <c:v>5.3525620905895988E-10</c:v>
                </c:pt>
                <c:pt idx="220">
                  <c:v>3.1406544530311631E-10</c:v>
                </c:pt>
                <c:pt idx="221">
                  <c:v>5.1575398473182181E-10</c:v>
                </c:pt>
                <c:pt idx="222">
                  <c:v>1.0337459852289763E-9</c:v>
                </c:pt>
                <c:pt idx="223">
                  <c:v>1.554291521051098E-9</c:v>
                </c:pt>
                <c:pt idx="224">
                  <c:v>1.7466339855547996E-9</c:v>
                </c:pt>
                <c:pt idx="225">
                  <c:v>1.4813703244745363E-9</c:v>
                </c:pt>
                <c:pt idx="226">
                  <c:v>9.3166894495573767E-10</c:v>
                </c:pt>
                <c:pt idx="227">
                  <c:v>4.7460160006360976E-10</c:v>
                </c:pt>
                <c:pt idx="228">
                  <c:v>4.405341674405943E-10</c:v>
                </c:pt>
                <c:pt idx="229">
                  <c:v>8.7412055808797573E-10</c:v>
                </c:pt>
                <c:pt idx="230">
                  <c:v>1.4828511466741479E-9</c:v>
                </c:pt>
                <c:pt idx="231">
                  <c:v>1.8313856682088078E-9</c:v>
                </c:pt>
                <c:pt idx="232">
                  <c:v>1.6603906055972968E-9</c:v>
                </c:pt>
                <c:pt idx="233">
                  <c:v>1.0970361414255719E-9</c:v>
                </c:pt>
                <c:pt idx="234">
                  <c:v>5.8052583692503687E-10</c:v>
                </c:pt>
                <c:pt idx="235">
                  <c:v>5.3252846747815196E-10</c:v>
                </c:pt>
                <c:pt idx="236">
                  <c:v>1.0143854785801182E-9</c:v>
                </c:pt>
                <c:pt idx="237">
                  <c:v>1.6538531787849405E-9</c:v>
                </c:pt>
                <c:pt idx="238">
                  <c:v>1.9307360500951711E-9</c:v>
                </c:pt>
                <c:pt idx="239">
                  <c:v>1.6125223407103823E-9</c:v>
                </c:pt>
                <c:pt idx="240">
                  <c:v>9.7434142400901013E-10</c:v>
                </c:pt>
                <c:pt idx="241">
                  <c:v>5.8592215895278302E-10</c:v>
                </c:pt>
                <c:pt idx="242">
                  <c:v>8.1538206843104605E-10</c:v>
                </c:pt>
                <c:pt idx="243">
                  <c:v>1.4793082384233805E-9</c:v>
                </c:pt>
                <c:pt idx="244">
                  <c:v>1.9818269679803102E-9</c:v>
                </c:pt>
                <c:pt idx="245">
                  <c:v>1.8574337978622221E-9</c:v>
                </c:pt>
                <c:pt idx="246">
                  <c:v>1.2290309890105854E-9</c:v>
                </c:pt>
                <c:pt idx="247">
                  <c:v>7.2010119874321445E-10</c:v>
                </c:pt>
                <c:pt idx="248">
                  <c:v>8.5756247566548557E-10</c:v>
                </c:pt>
                <c:pt idx="249">
                  <c:v>1.5288767128864315E-9</c:v>
                </c:pt>
                <c:pt idx="250">
                  <c:v>2.0642045581538036E-9</c:v>
                </c:pt>
                <c:pt idx="251">
                  <c:v>1.9142203628194021E-9</c:v>
                </c:pt>
                <c:pt idx="252">
                  <c:v>1.2468672118375857E-9</c:v>
                </c:pt>
                <c:pt idx="253">
                  <c:v>8.0080516264181904E-10</c:v>
                </c:pt>
                <c:pt idx="254">
                  <c:v>1.0925900007475534E-9</c:v>
                </c:pt>
                <c:pt idx="255">
                  <c:v>1.8208453598627742E-9</c:v>
                </c:pt>
                <c:pt idx="256">
                  <c:v>2.1731579115695367E-9</c:v>
                </c:pt>
                <c:pt idx="257">
                  <c:v>1.7531251056079037E-9</c:v>
                </c:pt>
                <c:pt idx="258">
                  <c:v>1.0723132306578647E-9</c:v>
                </c:pt>
                <c:pt idx="259">
                  <c:v>9.7220263838473876E-10</c:v>
                </c:pt>
                <c:pt idx="260">
                  <c:v>1.6017666099814208E-9</c:v>
                </c:pt>
                <c:pt idx="261">
                  <c:v>2.200045754769391E-9</c:v>
                </c:pt>
                <c:pt idx="262">
                  <c:v>2.0271049083213924E-9</c:v>
                </c:pt>
                <c:pt idx="263">
                  <c:v>1.3243516741408036E-9</c:v>
                </c:pt>
                <c:pt idx="264">
                  <c:v>1.0365240143672933E-9</c:v>
                </c:pt>
                <c:pt idx="265">
                  <c:v>1.5731500200861196E-9</c:v>
                </c:pt>
                <c:pt idx="266">
                  <c:v>2.2294481322659527E-9</c:v>
                </c:pt>
                <c:pt idx="267">
                  <c:v>2.1210531062320403E-9</c:v>
                </c:pt>
                <c:pt idx="268">
                  <c:v>1.4234801785461096E-9</c:v>
                </c:pt>
                <c:pt idx="269">
                  <c:v>1.1581989873832967E-9</c:v>
                </c:pt>
                <c:pt idx="270">
                  <c:v>1.7343201408030984E-9</c:v>
                </c:pt>
                <c:pt idx="271">
                  <c:v>2.3229986586533605E-9</c:v>
                </c:pt>
                <c:pt idx="272">
                  <c:v>2.0648083900199782E-9</c:v>
                </c:pt>
                <c:pt idx="273">
                  <c:v>1.382355228523761E-9</c:v>
                </c:pt>
                <c:pt idx="274">
                  <c:v>1.361020815913136E-9</c:v>
                </c:pt>
                <c:pt idx="275">
                  <c:v>2.0542873734026931E-9</c:v>
                </c:pt>
                <c:pt idx="276">
                  <c:v>2.3708876795975438E-9</c:v>
                </c:pt>
                <c:pt idx="277">
                  <c:v>1.8241187098409827E-9</c:v>
                </c:pt>
                <c:pt idx="278">
                  <c:v>1.3513110715880542E-9</c:v>
                </c:pt>
                <c:pt idx="279">
                  <c:v>1.7691733895590712E-9</c:v>
                </c:pt>
                <c:pt idx="280">
                  <c:v>2.3768786378014059E-9</c:v>
                </c:pt>
                <c:pt idx="281">
                  <c:v>2.142906746226887E-9</c:v>
                </c:pt>
                <c:pt idx="282">
                  <c:v>1.515754268364933E-9</c:v>
                </c:pt>
                <c:pt idx="283">
                  <c:v>1.6447561183809219E-9</c:v>
                </c:pt>
                <c:pt idx="284">
                  <c:v>2.3030578778493111E-9</c:v>
                </c:pt>
                <c:pt idx="285">
                  <c:v>2.2891270401121251E-9</c:v>
                </c:pt>
                <c:pt idx="286">
                  <c:v>1.6647919592349053E-9</c:v>
                </c:pt>
                <c:pt idx="287">
                  <c:v>1.6484729552308157E-9</c:v>
                </c:pt>
                <c:pt idx="288">
                  <c:v>2.2742578028668898E-9</c:v>
                </c:pt>
                <c:pt idx="289">
                  <c:v>2.319466929991221E-9</c:v>
                </c:pt>
                <c:pt idx="290">
                  <c:v>1.7278626396567157E-9</c:v>
                </c:pt>
                <c:pt idx="291">
                  <c:v>1.7239233904160276E-9</c:v>
                </c:pt>
                <c:pt idx="292">
                  <c:v>2.3096834660045524E-9</c:v>
                </c:pt>
                <c:pt idx="293">
                  <c:v>2.2642182631807158E-9</c:v>
                </c:pt>
                <c:pt idx="294">
                  <c:v>1.716296049844698E-9</c:v>
                </c:pt>
                <c:pt idx="295">
                  <c:v>1.8599154647458883E-9</c:v>
                </c:pt>
                <c:pt idx="296">
                  <c:v>2.3631660801506545E-9</c:v>
                </c:pt>
                <c:pt idx="297">
                  <c:v>2.1134717357632976E-9</c:v>
                </c:pt>
                <c:pt idx="298">
                  <c:v>1.7003088488724024E-9</c:v>
                </c:pt>
                <c:pt idx="299">
                  <c:v>2.0597781186272855E-9</c:v>
                </c:pt>
                <c:pt idx="300">
                  <c:v>2.3314827410725899E-9</c:v>
                </c:pt>
                <c:pt idx="301">
                  <c:v>1.8864623381778872E-9</c:v>
                </c:pt>
                <c:pt idx="302">
                  <c:v>1.795562535646789E-9</c:v>
                </c:pt>
                <c:pt idx="303">
                  <c:v>2.2426160244238764E-9</c:v>
                </c:pt>
                <c:pt idx="304">
                  <c:v>2.1078149695837052E-9</c:v>
                </c:pt>
                <c:pt idx="305">
                  <c:v>1.7357777071359739E-9</c:v>
                </c:pt>
                <c:pt idx="306">
                  <c:v>2.0356764508425486E-9</c:v>
                </c:pt>
                <c:pt idx="307">
                  <c:v>2.1903293187694192E-9</c:v>
                </c:pt>
                <c:pt idx="308">
                  <c:v>1.7900296769128082E-9</c:v>
                </c:pt>
                <c:pt idx="309">
                  <c:v>1.8632038187106719E-9</c:v>
                </c:pt>
                <c:pt idx="310">
                  <c:v>2.1487383052213862E-9</c:v>
                </c:pt>
                <c:pt idx="311">
                  <c:v>1.8424023758108551E-9</c:v>
                </c:pt>
                <c:pt idx="312">
                  <c:v>1.7555100227213659E-9</c:v>
                </c:pt>
                <c:pt idx="313">
                  <c:v>2.0524558052058757E-9</c:v>
                </c:pt>
                <c:pt idx="314">
                  <c:v>1.8428661424197486E-9</c:v>
                </c:pt>
                <c:pt idx="315">
                  <c:v>1.685318562061297E-9</c:v>
                </c:pt>
                <c:pt idx="316">
                  <c:v>1.9468854289445727E-9</c:v>
                </c:pt>
                <c:pt idx="317">
                  <c:v>1.7890820165803666E-9</c:v>
                </c:pt>
                <c:pt idx="318">
                  <c:v>1.6249057083684345E-9</c:v>
                </c:pt>
                <c:pt idx="319">
                  <c:v>1.8434514698375517E-9</c:v>
                </c:pt>
                <c:pt idx="320">
                  <c:v>1.6890257467201474E-9</c:v>
                </c:pt>
                <c:pt idx="321">
                  <c:v>1.3442144802959171E-6</c:v>
                </c:pt>
                <c:pt idx="322">
                  <c:v>1.0840537763210928E-6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5.0736784846031425E-10</c:v>
                  </c:pt>
                  <c:pt idx="1">
                    <c:v>4.9159282653071874E-10</c:v>
                  </c:pt>
                  <c:pt idx="2">
                    <c:v>5.0929515566390448E-10</c:v>
                  </c:pt>
                  <c:pt idx="3">
                    <c:v>4.8047217907161321E-10</c:v>
                  </c:pt>
                  <c:pt idx="4">
                    <c:v>4.741291503924505E-10</c:v>
                  </c:pt>
                  <c:pt idx="5">
                    <c:v>5.2354205654438827E-10</c:v>
                  </c:pt>
                  <c:pt idx="6">
                    <c:v>5.1932292440465684E-10</c:v>
                  </c:pt>
                  <c:pt idx="7">
                    <c:v>5.0313369378705256E-10</c:v>
                  </c:pt>
                  <c:pt idx="8">
                    <c:v>4.7128332565657469E-10</c:v>
                  </c:pt>
                  <c:pt idx="9">
                    <c:v>5.1971440105840966E-10</c:v>
                  </c:pt>
                  <c:pt idx="10">
                    <c:v>5.0940011194074955E-10</c:v>
                  </c:pt>
                  <c:pt idx="11">
                    <c:v>4.9298488083110374E-10</c:v>
                  </c:pt>
                  <c:pt idx="12">
                    <c:v>5.1416293506550997E-10</c:v>
                  </c:pt>
                  <c:pt idx="13">
                    <c:v>5.0964857758981342E-10</c:v>
                  </c:pt>
                  <c:pt idx="14">
                    <c:v>4.953410258847685E-10</c:v>
                  </c:pt>
                  <c:pt idx="15">
                    <c:v>5.1963723419533758E-10</c:v>
                  </c:pt>
                  <c:pt idx="16">
                    <c:v>3.6133535288478311E-10</c:v>
                  </c:pt>
                  <c:pt idx="17">
                    <c:v>3.7730804459305474E-10</c:v>
                  </c:pt>
                  <c:pt idx="18">
                    <c:v>3.5843443973427221E-10</c:v>
                  </c:pt>
                  <c:pt idx="19">
                    <c:v>3.7346270157115534E-10</c:v>
                  </c:pt>
                  <c:pt idx="20">
                    <c:v>3.3695262264910624E-10</c:v>
                  </c:pt>
                  <c:pt idx="21">
                    <c:v>4.8298916090268089E-10</c:v>
                  </c:pt>
                  <c:pt idx="22">
                    <c:v>4.5095751303233022E-10</c:v>
                  </c:pt>
                  <c:pt idx="23">
                    <c:v>4.0185111935547921E-10</c:v>
                  </c:pt>
                  <c:pt idx="24">
                    <c:v>3.8438805744765481E-10</c:v>
                  </c:pt>
                  <c:pt idx="25">
                    <c:v>3.0145553743449142E-10</c:v>
                  </c:pt>
                  <c:pt idx="26">
                    <c:v>3.0749992184306007E-10</c:v>
                  </c:pt>
                  <c:pt idx="27">
                    <c:v>2.7731737378134636E-10</c:v>
                  </c:pt>
                  <c:pt idx="28">
                    <c:v>3.0370468224311443E-10</c:v>
                  </c:pt>
                  <c:pt idx="29">
                    <c:v>2.6982896743016253E-10</c:v>
                  </c:pt>
                  <c:pt idx="30">
                    <c:v>2.4418828402135602E-10</c:v>
                  </c:pt>
                  <c:pt idx="31">
                    <c:v>2.1009340505800021E-10</c:v>
                  </c:pt>
                  <c:pt idx="32">
                    <c:v>2.1987724454902206E-10</c:v>
                  </c:pt>
                  <c:pt idx="33">
                    <c:v>2.0016972166867976E-10</c:v>
                  </c:pt>
                  <c:pt idx="34">
                    <c:v>1.9271084081369947E-10</c:v>
                  </c:pt>
                  <c:pt idx="35">
                    <c:v>1.7272921120615489E-10</c:v>
                  </c:pt>
                  <c:pt idx="36">
                    <c:v>1.6835869796543188E-10</c:v>
                  </c:pt>
                  <c:pt idx="37">
                    <c:v>7.0762884932708406E-11</c:v>
                  </c:pt>
                  <c:pt idx="38">
                    <c:v>6.3952414560111193E-11</c:v>
                  </c:pt>
                  <c:pt idx="39">
                    <c:v>5.8793730136131252E-11</c:v>
                  </c:pt>
                  <c:pt idx="40">
                    <c:v>4.8007585749269937E-11</c:v>
                  </c:pt>
                  <c:pt idx="41">
                    <c:v>4.6353247315491585E-11</c:v>
                  </c:pt>
                  <c:pt idx="42">
                    <c:v>4.8791202909920926E-11</c:v>
                  </c:pt>
                  <c:pt idx="43">
                    <c:v>4.5368142676191078E-11</c:v>
                  </c:pt>
                  <c:pt idx="44">
                    <c:v>4.3582046979154627E-11</c:v>
                  </c:pt>
                  <c:pt idx="45">
                    <c:v>4.8487309081276973E-11</c:v>
                  </c:pt>
                  <c:pt idx="46">
                    <c:v>4.7721430188883807E-11</c:v>
                  </c:pt>
                  <c:pt idx="47">
                    <c:v>5.5724312121383692E-11</c:v>
                  </c:pt>
                  <c:pt idx="48">
                    <c:v>6.321152510843317E-11</c:v>
                  </c:pt>
                  <c:pt idx="49">
                    <c:v>6.2078234744738554E-11</c:v>
                  </c:pt>
                  <c:pt idx="50">
                    <c:v>6.3961475033918318E-11</c:v>
                  </c:pt>
                  <c:pt idx="51">
                    <c:v>6.3986918930549827E-11</c:v>
                  </c:pt>
                  <c:pt idx="52">
                    <c:v>7.4946100091203042E-11</c:v>
                  </c:pt>
                  <c:pt idx="53">
                    <c:v>7.3988412810486229E-11</c:v>
                  </c:pt>
                  <c:pt idx="54">
                    <c:v>8.2948713396460774E-11</c:v>
                  </c:pt>
                  <c:pt idx="55">
                    <c:v>7.7583992951880335E-11</c:v>
                  </c:pt>
                  <c:pt idx="56">
                    <c:v>8.1370133060661024E-11</c:v>
                  </c:pt>
                  <c:pt idx="57">
                    <c:v>8.1101869975976933E-11</c:v>
                  </c:pt>
                  <c:pt idx="58">
                    <c:v>8.055151636520327E-11</c:v>
                  </c:pt>
                  <c:pt idx="59">
                    <c:v>8.41729544683887E-11</c:v>
                  </c:pt>
                  <c:pt idx="60">
                    <c:v>7.6959758124826906E-11</c:v>
                  </c:pt>
                  <c:pt idx="61">
                    <c:v>7.4907960057996323E-11</c:v>
                  </c:pt>
                  <c:pt idx="62">
                    <c:v>7.6052899765549671E-11</c:v>
                  </c:pt>
                  <c:pt idx="63">
                    <c:v>7.6431650039954333E-11</c:v>
                  </c:pt>
                  <c:pt idx="64">
                    <c:v>6.0250104593219769E-11</c:v>
                  </c:pt>
                  <c:pt idx="65">
                    <c:v>5.5132453912537117E-11</c:v>
                  </c:pt>
                  <c:pt idx="66">
                    <c:v>5.2208179134150551E-11</c:v>
                  </c:pt>
                  <c:pt idx="67">
                    <c:v>4.8265599044173355E-11</c:v>
                  </c:pt>
                  <c:pt idx="68">
                    <c:v>4.5725838389063511E-11</c:v>
                  </c:pt>
                  <c:pt idx="69">
                    <c:v>4.1805493844646245E-11</c:v>
                  </c:pt>
                  <c:pt idx="70">
                    <c:v>6.7171009649308133E-11</c:v>
                  </c:pt>
                  <c:pt idx="71">
                    <c:v>5.4755416256506721E-11</c:v>
                  </c:pt>
                  <c:pt idx="72">
                    <c:v>5.105314636211522E-11</c:v>
                  </c:pt>
                  <c:pt idx="73">
                    <c:v>5.2577659356558058E-11</c:v>
                  </c:pt>
                  <c:pt idx="74">
                    <c:v>4.6634942973391773E-11</c:v>
                  </c:pt>
                  <c:pt idx="75">
                    <c:v>4.2077863703204552E-11</c:v>
                  </c:pt>
                  <c:pt idx="76">
                    <c:v>4.9455462907903702E-11</c:v>
                  </c:pt>
                  <c:pt idx="77">
                    <c:v>4.0848649841134512E-11</c:v>
                  </c:pt>
                  <c:pt idx="78">
                    <c:v>5.1536586015352121E-11</c:v>
                  </c:pt>
                  <c:pt idx="79">
                    <c:v>5.3930755317611672E-11</c:v>
                  </c:pt>
                  <c:pt idx="80">
                    <c:v>5.3353565368356967E-11</c:v>
                  </c:pt>
                  <c:pt idx="81">
                    <c:v>5.3025781486891056E-11</c:v>
                  </c:pt>
                  <c:pt idx="82">
                    <c:v>5.8799611630858595E-11</c:v>
                  </c:pt>
                  <c:pt idx="83">
                    <c:v>6.8341968130604625E-11</c:v>
                  </c:pt>
                  <c:pt idx="84">
                    <c:v>7.0394893885099142E-11</c:v>
                  </c:pt>
                  <c:pt idx="85">
                    <c:v>7.1723049468158941E-11</c:v>
                  </c:pt>
                  <c:pt idx="86">
                    <c:v>8.3505881806706753E-11</c:v>
                  </c:pt>
                  <c:pt idx="87">
                    <c:v>8.078090957270839E-11</c:v>
                  </c:pt>
                  <c:pt idx="88">
                    <c:v>7.6534344873700042E-11</c:v>
                  </c:pt>
                  <c:pt idx="89">
                    <c:v>7.8114097263732187E-11</c:v>
                  </c:pt>
                  <c:pt idx="90">
                    <c:v>8.3640046599020104E-11</c:v>
                  </c:pt>
                  <c:pt idx="91">
                    <c:v>8.2060300843972745E-11</c:v>
                  </c:pt>
                  <c:pt idx="92">
                    <c:v>8.0504498934099269E-11</c:v>
                  </c:pt>
                  <c:pt idx="93">
                    <c:v>7.4558975669683429E-11</c:v>
                  </c:pt>
                  <c:pt idx="94">
                    <c:v>6.937315163964926E-11</c:v>
                  </c:pt>
                  <c:pt idx="95">
                    <c:v>7.3794932286620488E-11</c:v>
                  </c:pt>
                  <c:pt idx="96">
                    <c:v>6.9077701730122012E-11</c:v>
                  </c:pt>
                  <c:pt idx="97">
                    <c:v>5.9386054244652778E-11</c:v>
                  </c:pt>
                  <c:pt idx="98">
                    <c:v>5.2735539856376625E-11</c:v>
                  </c:pt>
                  <c:pt idx="99">
                    <c:v>4.9120967861240475E-11</c:v>
                  </c:pt>
                  <c:pt idx="100">
                    <c:v>4.5911888652755277E-11</c:v>
                  </c:pt>
                  <c:pt idx="101">
                    <c:v>4.4801720749241691E-11</c:v>
                  </c:pt>
                  <c:pt idx="102">
                    <c:v>4.2953296470546985E-11</c:v>
                  </c:pt>
                  <c:pt idx="103">
                    <c:v>2.0840960485982537E-11</c:v>
                  </c:pt>
                  <c:pt idx="104">
                    <c:v>2.1849791573703631E-11</c:v>
                  </c:pt>
                  <c:pt idx="105">
                    <c:v>2.4376695623150846E-11</c:v>
                  </c:pt>
                  <c:pt idx="106">
                    <c:v>2.7454966516883426E-11</c:v>
                  </c:pt>
                  <c:pt idx="107">
                    <c:v>3.0702087681714424E-11</c:v>
                  </c:pt>
                  <c:pt idx="108">
                    <c:v>3.3160390726226635E-11</c:v>
                  </c:pt>
                  <c:pt idx="109">
                    <c:v>3.3068755803702985E-11</c:v>
                  </c:pt>
                  <c:pt idx="110">
                    <c:v>3.5565567078543668E-11</c:v>
                  </c:pt>
                  <c:pt idx="111">
                    <c:v>4.4780588269954932E-11</c:v>
                  </c:pt>
                  <c:pt idx="112">
                    <c:v>4.5886526371357457E-11</c:v>
                  </c:pt>
                  <c:pt idx="113">
                    <c:v>4.3573935575727782E-11</c:v>
                  </c:pt>
                  <c:pt idx="114">
                    <c:v>4.7239165918024727E-11</c:v>
                  </c:pt>
                  <c:pt idx="115">
                    <c:v>4.6911683864025762E-11</c:v>
                  </c:pt>
                  <c:pt idx="116">
                    <c:v>4.0843315148621892E-11</c:v>
                  </c:pt>
                  <c:pt idx="117">
                    <c:v>4.2469246022086725E-11</c:v>
                  </c:pt>
                  <c:pt idx="118">
                    <c:v>4.0385207547907921E-11</c:v>
                  </c:pt>
                  <c:pt idx="119">
                    <c:v>3.6295711525091292E-11</c:v>
                  </c:pt>
                  <c:pt idx="120">
                    <c:v>3.5845689651769432E-11</c:v>
                  </c:pt>
                  <c:pt idx="121">
                    <c:v>3.3588030385903974E-11</c:v>
                  </c:pt>
                  <c:pt idx="122">
                    <c:v>3.1990522696129711E-11</c:v>
                  </c:pt>
                  <c:pt idx="123">
                    <c:v>3.139603723991075E-11</c:v>
                  </c:pt>
                  <c:pt idx="124">
                    <c:v>2.9621879533259814E-11</c:v>
                  </c:pt>
                  <c:pt idx="125">
                    <c:v>3.1049641943656333E-11</c:v>
                  </c:pt>
                  <c:pt idx="126">
                    <c:v>3.4244056323987561E-11</c:v>
                  </c:pt>
                  <c:pt idx="127">
                    <c:v>3.833450211446007E-11</c:v>
                  </c:pt>
                  <c:pt idx="128">
                    <c:v>3.8978505420856759E-11</c:v>
                  </c:pt>
                  <c:pt idx="129">
                    <c:v>4.3187233543620107E-11</c:v>
                  </c:pt>
                  <c:pt idx="130">
                    <c:v>4.9000639199428288E-11</c:v>
                  </c:pt>
                  <c:pt idx="131">
                    <c:v>5.2731868928084564E-11</c:v>
                  </c:pt>
                  <c:pt idx="132">
                    <c:v>5.3237052696948075E-11</c:v>
                  </c:pt>
                  <c:pt idx="133">
                    <c:v>5.7985860327426087E-11</c:v>
                  </c:pt>
                  <c:pt idx="134">
                    <c:v>5.7197868628483361E-11</c:v>
                  </c:pt>
                  <c:pt idx="135">
                    <c:v>5.4682178622571455E-11</c:v>
                  </c:pt>
                  <c:pt idx="136">
                    <c:v>5.549978060682577E-11</c:v>
                  </c:pt>
                  <c:pt idx="137">
                    <c:v>4.7512384499827361E-11</c:v>
                  </c:pt>
                  <c:pt idx="138">
                    <c:v>5.3417954953095502E-11</c:v>
                  </c:pt>
                  <c:pt idx="139">
                    <c:v>4.47710569435113E-11</c:v>
                  </c:pt>
                  <c:pt idx="140">
                    <c:v>4.9209827965958553E-11</c:v>
                  </c:pt>
                  <c:pt idx="141">
                    <c:v>4.6339182234253224E-11</c:v>
                  </c:pt>
                  <c:pt idx="142">
                    <c:v>4.8803334454705462E-11</c:v>
                  </c:pt>
                  <c:pt idx="143">
                    <c:v>4.4226460206072983E-11</c:v>
                  </c:pt>
                  <c:pt idx="144">
                    <c:v>4.8848956016218229E-11</c:v>
                  </c:pt>
                  <c:pt idx="145">
                    <c:v>5.3776764498041886E-11</c:v>
                  </c:pt>
                  <c:pt idx="146">
                    <c:v>6.4398978949029315E-11</c:v>
                  </c:pt>
                  <c:pt idx="147">
                    <c:v>7.4279943692212654E-11</c:v>
                  </c:pt>
                  <c:pt idx="148">
                    <c:v>6.9903886459351366E-11</c:v>
                  </c:pt>
                  <c:pt idx="149">
                    <c:v>6.6804396757857587E-11</c:v>
                  </c:pt>
                  <c:pt idx="150">
                    <c:v>7.2138247098884361E-11</c:v>
                  </c:pt>
                  <c:pt idx="151">
                    <c:v>6.4657521066379974E-11</c:v>
                  </c:pt>
                  <c:pt idx="152">
                    <c:v>7.0530537749608824E-11</c:v>
                  </c:pt>
                  <c:pt idx="153">
                    <c:v>6.2397293972166769E-11</c:v>
                  </c:pt>
                  <c:pt idx="154">
                    <c:v>6.6275662164441353E-11</c:v>
                  </c:pt>
                  <c:pt idx="155">
                    <c:v>6.4891757508081146E-11</c:v>
                  </c:pt>
                  <c:pt idx="156">
                    <c:v>6.0425475680662134E-11</c:v>
                  </c:pt>
                  <c:pt idx="157">
                    <c:v>6.3053363438618582E-11</c:v>
                  </c:pt>
                  <c:pt idx="158">
                    <c:v>6.6200965110337489E-11</c:v>
                  </c:pt>
                  <c:pt idx="159">
                    <c:v>6.8777406267883665E-11</c:v>
                  </c:pt>
                  <c:pt idx="160">
                    <c:v>6.6224979340289015E-11</c:v>
                  </c:pt>
                  <c:pt idx="161">
                    <c:v>7.6019736746527054E-11</c:v>
                  </c:pt>
                  <c:pt idx="162">
                    <c:v>7.9660456641509834E-11</c:v>
                  </c:pt>
                  <c:pt idx="163">
                    <c:v>8.8069695775313064E-11</c:v>
                  </c:pt>
                  <c:pt idx="164">
                    <c:v>8.8916136674204693E-11</c:v>
                  </c:pt>
                  <c:pt idx="165">
                    <c:v>1.0356920507091201E-10</c:v>
                  </c:pt>
                  <c:pt idx="166">
                    <c:v>8.793395496555814E-11</c:v>
                  </c:pt>
                  <c:pt idx="167">
                    <c:v>8.2006631155630811E-11</c:v>
                  </c:pt>
                  <c:pt idx="168">
                    <c:v>8.9685942473406851E-11</c:v>
                  </c:pt>
                  <c:pt idx="169">
                    <c:v>8.7435385249612531E-11</c:v>
                  </c:pt>
                  <c:pt idx="170">
                    <c:v>3.6546537326955471E-11</c:v>
                  </c:pt>
                  <c:pt idx="171">
                    <c:v>3.7554351571734677E-11</c:v>
                  </c:pt>
                  <c:pt idx="172">
                    <c:v>4.1264209380886701E-11</c:v>
                  </c:pt>
                  <c:pt idx="173">
                    <c:v>4.420323009653074E-11</c:v>
                  </c:pt>
                  <c:pt idx="174">
                    <c:v>4.8311320311483783E-11</c:v>
                  </c:pt>
                  <c:pt idx="175">
                    <c:v>5.1196571621012029E-11</c:v>
                  </c:pt>
                  <c:pt idx="176">
                    <c:v>4.8461304259222788E-11</c:v>
                  </c:pt>
                  <c:pt idx="177">
                    <c:v>5.3117491054473015E-11</c:v>
                  </c:pt>
                  <c:pt idx="178">
                    <c:v>5.1891039423809638E-11</c:v>
                  </c:pt>
                  <c:pt idx="179">
                    <c:v>5.0047734874465793E-11</c:v>
                  </c:pt>
                  <c:pt idx="180">
                    <c:v>4.7251789257620895E-11</c:v>
                  </c:pt>
                  <c:pt idx="181">
                    <c:v>4.937938857405984E-11</c:v>
                  </c:pt>
                  <c:pt idx="182">
                    <c:v>4.4789954867964992E-11</c:v>
                  </c:pt>
                  <c:pt idx="183">
                    <c:v>4.7063008744348518E-11</c:v>
                  </c:pt>
                  <c:pt idx="184">
                    <c:v>4.8774251165107449E-11</c:v>
                  </c:pt>
                  <c:pt idx="185">
                    <c:v>4.9323447353232743E-11</c:v>
                  </c:pt>
                  <c:pt idx="186">
                    <c:v>5.3161195370148653E-11</c:v>
                  </c:pt>
                  <c:pt idx="187">
                    <c:v>6.3993091708014347E-11</c:v>
                  </c:pt>
                  <c:pt idx="188">
                    <c:v>6.265461450539377E-11</c:v>
                  </c:pt>
                  <c:pt idx="189">
                    <c:v>6.3883782693828192E-11</c:v>
                  </c:pt>
                  <c:pt idx="190">
                    <c:v>6.4817567754886423E-11</c:v>
                  </c:pt>
                  <c:pt idx="191">
                    <c:v>5.4994662188319258E-11</c:v>
                  </c:pt>
                  <c:pt idx="192">
                    <c:v>6.2632945970689788E-11</c:v>
                  </c:pt>
                  <c:pt idx="193">
                    <c:v>6.1855125104819465E-11</c:v>
                  </c:pt>
                  <c:pt idx="194">
                    <c:v>6.7279921522410955E-11</c:v>
                  </c:pt>
                  <c:pt idx="195">
                    <c:v>6.7248580416484063E-11</c:v>
                  </c:pt>
                  <c:pt idx="196">
                    <c:v>6.2630456479217743E-11</c:v>
                  </c:pt>
                  <c:pt idx="197">
                    <c:v>7.2551908233870145E-11</c:v>
                  </c:pt>
                  <c:pt idx="198">
                    <c:v>7.1855467352421332E-11</c:v>
                  </c:pt>
                  <c:pt idx="199">
                    <c:v>7.6360506092017991E-11</c:v>
                  </c:pt>
                  <c:pt idx="200">
                    <c:v>7.9818606974260601E-11</c:v>
                  </c:pt>
                  <c:pt idx="201">
                    <c:v>8.1038799942975788E-11</c:v>
                  </c:pt>
                  <c:pt idx="202">
                    <c:v>6.8987539016946663E-11</c:v>
                  </c:pt>
                  <c:pt idx="203">
                    <c:v>7.586110412367211E-11</c:v>
                  </c:pt>
                  <c:pt idx="204">
                    <c:v>7.3570756022613885E-11</c:v>
                  </c:pt>
                  <c:pt idx="205">
                    <c:v>8.1148825876740027E-11</c:v>
                  </c:pt>
                  <c:pt idx="206">
                    <c:v>9.3048752556818912E-11</c:v>
                  </c:pt>
                  <c:pt idx="207">
                    <c:v>9.5809341057992047E-11</c:v>
                  </c:pt>
                  <c:pt idx="208">
                    <c:v>9.6760950265919932E-11</c:v>
                  </c:pt>
                  <c:pt idx="209">
                    <c:v>1.0172106942514972E-10</c:v>
                  </c:pt>
                  <c:pt idx="210">
                    <c:v>9.5142534649902711E-11</c:v>
                  </c:pt>
                  <c:pt idx="211">
                    <c:v>9.3906635145380681E-11</c:v>
                  </c:pt>
                  <c:pt idx="212">
                    <c:v>8.7077934418235553E-11</c:v>
                  </c:pt>
                  <c:pt idx="213">
                    <c:v>1.1004489714413776E-10</c:v>
                  </c:pt>
                  <c:pt idx="214">
                    <c:v>1.0596347665753334E-10</c:v>
                  </c:pt>
                  <c:pt idx="215">
                    <c:v>1.071381291977496E-10</c:v>
                  </c:pt>
                  <c:pt idx="216">
                    <c:v>1.0324283793034332E-10</c:v>
                  </c:pt>
                  <c:pt idx="217">
                    <c:v>9.9643561696088187E-11</c:v>
                  </c:pt>
                  <c:pt idx="218">
                    <c:v>1.1307290590527749E-10</c:v>
                  </c:pt>
                  <c:pt idx="219">
                    <c:v>1.2141015257280935E-10</c:v>
                  </c:pt>
                  <c:pt idx="220">
                    <c:v>1.0188167907090988E-10</c:v>
                  </c:pt>
                  <c:pt idx="221">
                    <c:v>1.1466628627478959E-10</c:v>
                  </c:pt>
                  <c:pt idx="222">
                    <c:v>1.2212357718050353E-10</c:v>
                  </c:pt>
                  <c:pt idx="223">
                    <c:v>1.1879168129444682E-10</c:v>
                  </c:pt>
                  <c:pt idx="224">
                    <c:v>1.2850504452960566E-10</c:v>
                  </c:pt>
                  <c:pt idx="225">
                    <c:v>1.2668551573293507E-10</c:v>
                  </c:pt>
                  <c:pt idx="226">
                    <c:v>1.2802000820005331E-10</c:v>
                  </c:pt>
                  <c:pt idx="227">
                    <c:v>1.1961813956844574E-10</c:v>
                  </c:pt>
                  <c:pt idx="228">
                    <c:v>1.281684048991835E-10</c:v>
                  </c:pt>
                  <c:pt idx="229">
                    <c:v>1.3388053878358098E-10</c:v>
                  </c:pt>
                  <c:pt idx="230">
                    <c:v>1.3000805111971549E-10</c:v>
                  </c:pt>
                  <c:pt idx="231">
                    <c:v>1.3451791981397138E-10</c:v>
                  </c:pt>
                  <c:pt idx="232">
                    <c:v>1.7065697690072247E-10</c:v>
                  </c:pt>
                  <c:pt idx="233">
                    <c:v>1.483788175443917E-10</c:v>
                  </c:pt>
                  <c:pt idx="234">
                    <c:v>1.5166900973701484E-10</c:v>
                  </c:pt>
                  <c:pt idx="235">
                    <c:v>1.6677037557253247E-10</c:v>
                  </c:pt>
                  <c:pt idx="236">
                    <c:v>1.6940233858215146E-10</c:v>
                  </c:pt>
                  <c:pt idx="237">
                    <c:v>1.6076513742393041E-10</c:v>
                  </c:pt>
                  <c:pt idx="238">
                    <c:v>8.1076510062718393E-11</c:v>
                  </c:pt>
                  <c:pt idx="239">
                    <c:v>7.7838862425419236E-11</c:v>
                  </c:pt>
                  <c:pt idx="240">
                    <c:v>8.9963324337113075E-11</c:v>
                  </c:pt>
                  <c:pt idx="241">
                    <c:v>8.1428886501455189E-11</c:v>
                  </c:pt>
                  <c:pt idx="242">
                    <c:v>8.6810841326550714E-11</c:v>
                  </c:pt>
                  <c:pt idx="243">
                    <c:v>8.9869715546548196E-11</c:v>
                  </c:pt>
                  <c:pt idx="244">
                    <c:v>8.2719100394061345E-11</c:v>
                  </c:pt>
                  <c:pt idx="245">
                    <c:v>8.6880397706644478E-11</c:v>
                  </c:pt>
                  <c:pt idx="246">
                    <c:v>8.9386520944669491E-11</c:v>
                  </c:pt>
                  <c:pt idx="247">
                    <c:v>9.2150448140703629E-11</c:v>
                  </c:pt>
                  <c:pt idx="248">
                    <c:v>8.1590217712493341E-11</c:v>
                  </c:pt>
                  <c:pt idx="249">
                    <c:v>9.3253754747334351E-11</c:v>
                  </c:pt>
                  <c:pt idx="250">
                    <c:v>8.8549572203506289E-11</c:v>
                  </c:pt>
                  <c:pt idx="251">
                    <c:v>9.3315297440948491E-11</c:v>
                  </c:pt>
                  <c:pt idx="252">
                    <c:v>9.4869336094941499E-11</c:v>
                  </c:pt>
                  <c:pt idx="253">
                    <c:v>1.0123655405609541E-10</c:v>
                  </c:pt>
                  <c:pt idx="254">
                    <c:v>9.3028900531892268E-11</c:v>
                  </c:pt>
                  <c:pt idx="255">
                    <c:v>1.0335066732348115E-10</c:v>
                  </c:pt>
                  <c:pt idx="256">
                    <c:v>1.1240585853646711E-10</c:v>
                  </c:pt>
                  <c:pt idx="257">
                    <c:v>1.1302856805489978E-10</c:v>
                  </c:pt>
                  <c:pt idx="258">
                    <c:v>1.1785462995239822E-10</c:v>
                  </c:pt>
                  <c:pt idx="259">
                    <c:v>1.1404320126161919E-10</c:v>
                  </c:pt>
                  <c:pt idx="260">
                    <c:v>1.1152062006942324E-10</c:v>
                  </c:pt>
                  <c:pt idx="261">
                    <c:v>1.2800586630332171E-10</c:v>
                  </c:pt>
                  <c:pt idx="262">
                    <c:v>1.2196755471583705E-10</c:v>
                  </c:pt>
                  <c:pt idx="263">
                    <c:v>1.246531443643778E-10</c:v>
                  </c:pt>
                  <c:pt idx="264">
                    <c:v>1.2497328512384854E-10</c:v>
                  </c:pt>
                  <c:pt idx="265">
                    <c:v>1.2930125452640587E-10</c:v>
                  </c:pt>
                  <c:pt idx="266">
                    <c:v>1.3567169623040584E-10</c:v>
                  </c:pt>
                  <c:pt idx="267">
                    <c:v>1.3122211509304701E-10</c:v>
                  </c:pt>
                  <c:pt idx="268">
                    <c:v>1.4609722350388761E-10</c:v>
                  </c:pt>
                  <c:pt idx="269">
                    <c:v>1.475638836540453E-10</c:v>
                  </c:pt>
                  <c:pt idx="270">
                    <c:v>1.3617860264545265E-10</c:v>
                  </c:pt>
                  <c:pt idx="271">
                    <c:v>1.389033881816933E-10</c:v>
                  </c:pt>
                  <c:pt idx="272">
                    <c:v>1.5197100597086948E-10</c:v>
                  </c:pt>
                  <c:pt idx="273">
                    <c:v>1.5679028826612824E-10</c:v>
                  </c:pt>
                  <c:pt idx="274">
                    <c:v>1.6736434127729418E-10</c:v>
                  </c:pt>
                  <c:pt idx="275">
                    <c:v>1.7218333495476171E-10</c:v>
                  </c:pt>
                  <c:pt idx="276">
                    <c:v>1.7371542029980054E-10</c:v>
                  </c:pt>
                  <c:pt idx="277">
                    <c:v>1.8163042128625632E-10</c:v>
                  </c:pt>
                  <c:pt idx="278">
                    <c:v>1.6952404867585866E-10</c:v>
                  </c:pt>
                  <c:pt idx="279">
                    <c:v>1.8159508444551537E-10</c:v>
                  </c:pt>
                  <c:pt idx="280">
                    <c:v>1.8138261627725984E-10</c:v>
                  </c:pt>
                  <c:pt idx="281">
                    <c:v>1.8924433594708082E-10</c:v>
                  </c:pt>
                  <c:pt idx="282">
                    <c:v>2.0843097387149574E-10</c:v>
                  </c:pt>
                  <c:pt idx="283">
                    <c:v>2.0159302448168034E-10</c:v>
                  </c:pt>
                  <c:pt idx="284">
                    <c:v>1.8536339224622718E-10</c:v>
                  </c:pt>
                  <c:pt idx="285">
                    <c:v>1.9941946440818176E-10</c:v>
                  </c:pt>
                  <c:pt idx="286">
                    <c:v>2.2133380670932905E-10</c:v>
                  </c:pt>
                  <c:pt idx="287">
                    <c:v>2.0179945881475065E-10</c:v>
                  </c:pt>
                  <c:pt idx="288">
                    <c:v>2.1033301878450632E-10</c:v>
                  </c:pt>
                  <c:pt idx="289">
                    <c:v>2.1336559898116562E-10</c:v>
                  </c:pt>
                  <c:pt idx="290">
                    <c:v>2.3828752365873248E-10</c:v>
                  </c:pt>
                  <c:pt idx="291">
                    <c:v>2.396328552142259E-10</c:v>
                  </c:pt>
                  <c:pt idx="292">
                    <c:v>2.240291906203847E-10</c:v>
                  </c:pt>
                  <c:pt idx="293">
                    <c:v>2.5207397200389967E-10</c:v>
                  </c:pt>
                  <c:pt idx="294">
                    <c:v>2.4359603091638461E-10</c:v>
                  </c:pt>
                  <c:pt idx="295">
                    <c:v>2.5602236425578343E-10</c:v>
                  </c:pt>
                  <c:pt idx="296">
                    <c:v>2.4559105477868413E-10</c:v>
                  </c:pt>
                  <c:pt idx="297">
                    <c:v>2.4481904413299454E-10</c:v>
                  </c:pt>
                  <c:pt idx="298">
                    <c:v>2.6983262283592605E-10</c:v>
                  </c:pt>
                  <c:pt idx="299">
                    <c:v>2.6970605895056993E-10</c:v>
                  </c:pt>
                  <c:pt idx="300">
                    <c:v>3.1084312707484965E-10</c:v>
                  </c:pt>
                  <c:pt idx="301">
                    <c:v>3.0211310131441647E-10</c:v>
                  </c:pt>
                  <c:pt idx="302">
                    <c:v>2.63320378929181E-10</c:v>
                  </c:pt>
                  <c:pt idx="303">
                    <c:v>2.9758603067166673E-10</c:v>
                  </c:pt>
                  <c:pt idx="304">
                    <c:v>3.1340275892740686E-10</c:v>
                  </c:pt>
                  <c:pt idx="305">
                    <c:v>3.171922051464706E-10</c:v>
                  </c:pt>
                  <c:pt idx="306">
                    <c:v>3.004287582247889E-10</c:v>
                  </c:pt>
                  <c:pt idx="307">
                    <c:v>3.5000431415572262E-10</c:v>
                  </c:pt>
                  <c:pt idx="308">
                    <c:v>3.586721444168873E-10</c:v>
                  </c:pt>
                  <c:pt idx="309">
                    <c:v>3.8959999780549881E-10</c:v>
                  </c:pt>
                  <c:pt idx="310">
                    <c:v>3.5059495135550506E-10</c:v>
                  </c:pt>
                  <c:pt idx="311">
                    <c:v>3.6222158797601557E-10</c:v>
                  </c:pt>
                  <c:pt idx="312">
                    <c:v>3.6063919671677235E-10</c:v>
                  </c:pt>
                  <c:pt idx="313">
                    <c:v>3.8838356992440338E-10</c:v>
                  </c:pt>
                  <c:pt idx="314">
                    <c:v>3.9275180862225129E-10</c:v>
                  </c:pt>
                  <c:pt idx="315">
                    <c:v>3.8562801915228531E-10</c:v>
                  </c:pt>
                  <c:pt idx="316">
                    <c:v>3.9824166467238244E-10</c:v>
                  </c:pt>
                  <c:pt idx="317">
                    <c:v>4.6623654945629436E-10</c:v>
                  </c:pt>
                  <c:pt idx="318">
                    <c:v>4.9194212260202565E-10</c:v>
                  </c:pt>
                  <c:pt idx="319">
                    <c:v>4.6984956421948779E-10</c:v>
                  </c:pt>
                  <c:pt idx="320">
                    <c:v>4.9435162817785488E-10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5.0736784846031425E-10</c:v>
                  </c:pt>
                  <c:pt idx="1">
                    <c:v>4.9159282653071874E-10</c:v>
                  </c:pt>
                  <c:pt idx="2">
                    <c:v>5.0929515566390448E-10</c:v>
                  </c:pt>
                  <c:pt idx="3">
                    <c:v>4.8047217907161321E-10</c:v>
                  </c:pt>
                  <c:pt idx="4">
                    <c:v>4.741291503924505E-10</c:v>
                  </c:pt>
                  <c:pt idx="5">
                    <c:v>5.2354205654438827E-10</c:v>
                  </c:pt>
                  <c:pt idx="6">
                    <c:v>5.1932292440465684E-10</c:v>
                  </c:pt>
                  <c:pt idx="7">
                    <c:v>5.0313369378705256E-10</c:v>
                  </c:pt>
                  <c:pt idx="8">
                    <c:v>4.7128332565657469E-10</c:v>
                  </c:pt>
                  <c:pt idx="9">
                    <c:v>5.1971440105840966E-10</c:v>
                  </c:pt>
                  <c:pt idx="10">
                    <c:v>5.0940011194074955E-10</c:v>
                  </c:pt>
                  <c:pt idx="11">
                    <c:v>4.9298488083110374E-10</c:v>
                  </c:pt>
                  <c:pt idx="12">
                    <c:v>5.1416293506550997E-10</c:v>
                  </c:pt>
                  <c:pt idx="13">
                    <c:v>5.0964857758981342E-10</c:v>
                  </c:pt>
                  <c:pt idx="14">
                    <c:v>4.953410258847685E-10</c:v>
                  </c:pt>
                  <c:pt idx="15">
                    <c:v>5.1963723419533758E-10</c:v>
                  </c:pt>
                  <c:pt idx="16">
                    <c:v>3.6133535288478311E-10</c:v>
                  </c:pt>
                  <c:pt idx="17">
                    <c:v>3.7730804459305474E-10</c:v>
                  </c:pt>
                  <c:pt idx="18">
                    <c:v>3.5843443973427221E-10</c:v>
                  </c:pt>
                  <c:pt idx="19">
                    <c:v>3.7346270157115534E-10</c:v>
                  </c:pt>
                  <c:pt idx="20">
                    <c:v>3.3695262264910624E-10</c:v>
                  </c:pt>
                  <c:pt idx="21">
                    <c:v>4.8298916090268089E-10</c:v>
                  </c:pt>
                  <c:pt idx="22">
                    <c:v>4.5095751303233022E-10</c:v>
                  </c:pt>
                  <c:pt idx="23">
                    <c:v>4.0185111935547921E-10</c:v>
                  </c:pt>
                  <c:pt idx="24">
                    <c:v>3.8438805744765481E-10</c:v>
                  </c:pt>
                  <c:pt idx="25">
                    <c:v>3.0145553743449142E-10</c:v>
                  </c:pt>
                  <c:pt idx="26">
                    <c:v>3.0749992184306007E-10</c:v>
                  </c:pt>
                  <c:pt idx="27">
                    <c:v>2.7731737378134636E-10</c:v>
                  </c:pt>
                  <c:pt idx="28">
                    <c:v>3.0370468224311443E-10</c:v>
                  </c:pt>
                  <c:pt idx="29">
                    <c:v>2.6982896743016253E-10</c:v>
                  </c:pt>
                  <c:pt idx="30">
                    <c:v>2.4418828402135602E-10</c:v>
                  </c:pt>
                  <c:pt idx="31">
                    <c:v>2.1009340505800021E-10</c:v>
                  </c:pt>
                  <c:pt idx="32">
                    <c:v>2.1987724454902206E-10</c:v>
                  </c:pt>
                  <c:pt idx="33">
                    <c:v>2.0016972166867976E-10</c:v>
                  </c:pt>
                  <c:pt idx="34">
                    <c:v>1.9271084081369947E-10</c:v>
                  </c:pt>
                  <c:pt idx="35">
                    <c:v>1.7272921120615489E-10</c:v>
                  </c:pt>
                  <c:pt idx="36">
                    <c:v>1.6835869796543188E-10</c:v>
                  </c:pt>
                  <c:pt idx="37">
                    <c:v>7.0762884932708406E-11</c:v>
                  </c:pt>
                  <c:pt idx="38">
                    <c:v>6.3952414560111193E-11</c:v>
                  </c:pt>
                  <c:pt idx="39">
                    <c:v>5.8793730136131252E-11</c:v>
                  </c:pt>
                  <c:pt idx="40">
                    <c:v>4.8007585749269937E-11</c:v>
                  </c:pt>
                  <c:pt idx="41">
                    <c:v>4.6353247315491585E-11</c:v>
                  </c:pt>
                  <c:pt idx="42">
                    <c:v>4.8791202909920926E-11</c:v>
                  </c:pt>
                  <c:pt idx="43">
                    <c:v>4.5368142676191078E-11</c:v>
                  </c:pt>
                  <c:pt idx="44">
                    <c:v>4.3582046979154627E-11</c:v>
                  </c:pt>
                  <c:pt idx="45">
                    <c:v>4.8487309081276973E-11</c:v>
                  </c:pt>
                  <c:pt idx="46">
                    <c:v>4.7721430188883807E-11</c:v>
                  </c:pt>
                  <c:pt idx="47">
                    <c:v>5.5724312121383692E-11</c:v>
                  </c:pt>
                  <c:pt idx="48">
                    <c:v>6.321152510843317E-11</c:v>
                  </c:pt>
                  <c:pt idx="49">
                    <c:v>6.2078234744738554E-11</c:v>
                  </c:pt>
                  <c:pt idx="50">
                    <c:v>6.3961475033918318E-11</c:v>
                  </c:pt>
                  <c:pt idx="51">
                    <c:v>6.3986918930549827E-11</c:v>
                  </c:pt>
                  <c:pt idx="52">
                    <c:v>7.4946100091203042E-11</c:v>
                  </c:pt>
                  <c:pt idx="53">
                    <c:v>7.3988412810486229E-11</c:v>
                  </c:pt>
                  <c:pt idx="54">
                    <c:v>8.2948713396460774E-11</c:v>
                  </c:pt>
                  <c:pt idx="55">
                    <c:v>7.7583992951880335E-11</c:v>
                  </c:pt>
                  <c:pt idx="56">
                    <c:v>8.1370133060661024E-11</c:v>
                  </c:pt>
                  <c:pt idx="57">
                    <c:v>8.1101869975976933E-11</c:v>
                  </c:pt>
                  <c:pt idx="58">
                    <c:v>8.055151636520327E-11</c:v>
                  </c:pt>
                  <c:pt idx="59">
                    <c:v>8.41729544683887E-11</c:v>
                  </c:pt>
                  <c:pt idx="60">
                    <c:v>7.6959758124826906E-11</c:v>
                  </c:pt>
                  <c:pt idx="61">
                    <c:v>7.4907960057996323E-11</c:v>
                  </c:pt>
                  <c:pt idx="62">
                    <c:v>7.6052899765549671E-11</c:v>
                  </c:pt>
                  <c:pt idx="63">
                    <c:v>7.6431650039954333E-11</c:v>
                  </c:pt>
                  <c:pt idx="64">
                    <c:v>6.0250104593219769E-11</c:v>
                  </c:pt>
                  <c:pt idx="65">
                    <c:v>5.5132453912537117E-11</c:v>
                  </c:pt>
                  <c:pt idx="66">
                    <c:v>5.2208179134150551E-11</c:v>
                  </c:pt>
                  <c:pt idx="67">
                    <c:v>4.8265599044173355E-11</c:v>
                  </c:pt>
                  <c:pt idx="68">
                    <c:v>4.5725838389063511E-11</c:v>
                  </c:pt>
                  <c:pt idx="69">
                    <c:v>4.1805493844646245E-11</c:v>
                  </c:pt>
                  <c:pt idx="70">
                    <c:v>6.7171009649308133E-11</c:v>
                  </c:pt>
                  <c:pt idx="71">
                    <c:v>5.4755416256506721E-11</c:v>
                  </c:pt>
                  <c:pt idx="72">
                    <c:v>5.105314636211522E-11</c:v>
                  </c:pt>
                  <c:pt idx="73">
                    <c:v>5.2577659356558058E-11</c:v>
                  </c:pt>
                  <c:pt idx="74">
                    <c:v>4.6634942973391773E-11</c:v>
                  </c:pt>
                  <c:pt idx="75">
                    <c:v>4.2077863703204552E-11</c:v>
                  </c:pt>
                  <c:pt idx="76">
                    <c:v>4.9455462907903702E-11</c:v>
                  </c:pt>
                  <c:pt idx="77">
                    <c:v>4.0848649841134512E-11</c:v>
                  </c:pt>
                  <c:pt idx="78">
                    <c:v>5.1536586015352121E-11</c:v>
                  </c:pt>
                  <c:pt idx="79">
                    <c:v>5.3930755317611672E-11</c:v>
                  </c:pt>
                  <c:pt idx="80">
                    <c:v>5.3353565368356967E-11</c:v>
                  </c:pt>
                  <c:pt idx="81">
                    <c:v>5.3025781486891056E-11</c:v>
                  </c:pt>
                  <c:pt idx="82">
                    <c:v>5.8799611630858595E-11</c:v>
                  </c:pt>
                  <c:pt idx="83">
                    <c:v>6.8341968130604625E-11</c:v>
                  </c:pt>
                  <c:pt idx="84">
                    <c:v>7.0394893885099142E-11</c:v>
                  </c:pt>
                  <c:pt idx="85">
                    <c:v>7.1723049468158941E-11</c:v>
                  </c:pt>
                  <c:pt idx="86">
                    <c:v>8.3505881806706753E-11</c:v>
                  </c:pt>
                  <c:pt idx="87">
                    <c:v>8.078090957270839E-11</c:v>
                  </c:pt>
                  <c:pt idx="88">
                    <c:v>7.6534344873700042E-11</c:v>
                  </c:pt>
                  <c:pt idx="89">
                    <c:v>7.8114097263732187E-11</c:v>
                  </c:pt>
                  <c:pt idx="90">
                    <c:v>8.3640046599020104E-11</c:v>
                  </c:pt>
                  <c:pt idx="91">
                    <c:v>8.2060300843972745E-11</c:v>
                  </c:pt>
                  <c:pt idx="92">
                    <c:v>8.0504498934099269E-11</c:v>
                  </c:pt>
                  <c:pt idx="93">
                    <c:v>7.4558975669683429E-11</c:v>
                  </c:pt>
                  <c:pt idx="94">
                    <c:v>6.937315163964926E-11</c:v>
                  </c:pt>
                  <c:pt idx="95">
                    <c:v>7.3794932286620488E-11</c:v>
                  </c:pt>
                  <c:pt idx="96">
                    <c:v>6.9077701730122012E-11</c:v>
                  </c:pt>
                  <c:pt idx="97">
                    <c:v>5.9386054244652778E-11</c:v>
                  </c:pt>
                  <c:pt idx="98">
                    <c:v>5.2735539856376625E-11</c:v>
                  </c:pt>
                  <c:pt idx="99">
                    <c:v>4.9120967861240475E-11</c:v>
                  </c:pt>
                  <c:pt idx="100">
                    <c:v>4.5911888652755277E-11</c:v>
                  </c:pt>
                  <c:pt idx="101">
                    <c:v>4.4801720749241691E-11</c:v>
                  </c:pt>
                  <c:pt idx="102">
                    <c:v>4.2953296470546985E-11</c:v>
                  </c:pt>
                  <c:pt idx="103">
                    <c:v>2.0840960485982537E-11</c:v>
                  </c:pt>
                  <c:pt idx="104">
                    <c:v>2.1849791573703631E-11</c:v>
                  </c:pt>
                  <c:pt idx="105">
                    <c:v>2.4376695623150846E-11</c:v>
                  </c:pt>
                  <c:pt idx="106">
                    <c:v>2.7454966516883426E-11</c:v>
                  </c:pt>
                  <c:pt idx="107">
                    <c:v>3.0702087681714424E-11</c:v>
                  </c:pt>
                  <c:pt idx="108">
                    <c:v>3.3160390726226635E-11</c:v>
                  </c:pt>
                  <c:pt idx="109">
                    <c:v>3.3068755803702985E-11</c:v>
                  </c:pt>
                  <c:pt idx="110">
                    <c:v>3.5565567078543668E-11</c:v>
                  </c:pt>
                  <c:pt idx="111">
                    <c:v>4.4780588269954932E-11</c:v>
                  </c:pt>
                  <c:pt idx="112">
                    <c:v>4.5886526371357457E-11</c:v>
                  </c:pt>
                  <c:pt idx="113">
                    <c:v>4.3573935575727782E-11</c:v>
                  </c:pt>
                  <c:pt idx="114">
                    <c:v>4.7239165918024727E-11</c:v>
                  </c:pt>
                  <c:pt idx="115">
                    <c:v>4.6911683864025762E-11</c:v>
                  </c:pt>
                  <c:pt idx="116">
                    <c:v>4.0843315148621892E-11</c:v>
                  </c:pt>
                  <c:pt idx="117">
                    <c:v>4.2469246022086725E-11</c:v>
                  </c:pt>
                  <c:pt idx="118">
                    <c:v>4.0385207547907921E-11</c:v>
                  </c:pt>
                  <c:pt idx="119">
                    <c:v>3.6295711525091292E-11</c:v>
                  </c:pt>
                  <c:pt idx="120">
                    <c:v>3.5845689651769432E-11</c:v>
                  </c:pt>
                  <c:pt idx="121">
                    <c:v>3.3588030385903974E-11</c:v>
                  </c:pt>
                  <c:pt idx="122">
                    <c:v>3.1990522696129711E-11</c:v>
                  </c:pt>
                  <c:pt idx="123">
                    <c:v>3.139603723991075E-11</c:v>
                  </c:pt>
                  <c:pt idx="124">
                    <c:v>2.9621879533259814E-11</c:v>
                  </c:pt>
                  <c:pt idx="125">
                    <c:v>3.1049641943656333E-11</c:v>
                  </c:pt>
                  <c:pt idx="126">
                    <c:v>3.4244056323987561E-11</c:v>
                  </c:pt>
                  <c:pt idx="127">
                    <c:v>3.833450211446007E-11</c:v>
                  </c:pt>
                  <c:pt idx="128">
                    <c:v>3.8978505420856759E-11</c:v>
                  </c:pt>
                  <c:pt idx="129">
                    <c:v>4.3187233543620107E-11</c:v>
                  </c:pt>
                  <c:pt idx="130">
                    <c:v>4.9000639199428288E-11</c:v>
                  </c:pt>
                  <c:pt idx="131">
                    <c:v>5.2731868928084564E-11</c:v>
                  </c:pt>
                  <c:pt idx="132">
                    <c:v>5.3237052696948075E-11</c:v>
                  </c:pt>
                  <c:pt idx="133">
                    <c:v>5.7985860327426087E-11</c:v>
                  </c:pt>
                  <c:pt idx="134">
                    <c:v>5.7197868628483361E-11</c:v>
                  </c:pt>
                  <c:pt idx="135">
                    <c:v>5.4682178622571455E-11</c:v>
                  </c:pt>
                  <c:pt idx="136">
                    <c:v>5.549978060682577E-11</c:v>
                  </c:pt>
                  <c:pt idx="137">
                    <c:v>4.7512384499827361E-11</c:v>
                  </c:pt>
                  <c:pt idx="138">
                    <c:v>5.3417954953095502E-11</c:v>
                  </c:pt>
                  <c:pt idx="139">
                    <c:v>4.47710569435113E-11</c:v>
                  </c:pt>
                  <c:pt idx="140">
                    <c:v>4.9209827965958553E-11</c:v>
                  </c:pt>
                  <c:pt idx="141">
                    <c:v>4.6339182234253224E-11</c:v>
                  </c:pt>
                  <c:pt idx="142">
                    <c:v>4.8803334454705462E-11</c:v>
                  </c:pt>
                  <c:pt idx="143">
                    <c:v>4.4226460206072983E-11</c:v>
                  </c:pt>
                  <c:pt idx="144">
                    <c:v>4.8848956016218229E-11</c:v>
                  </c:pt>
                  <c:pt idx="145">
                    <c:v>5.3776764498041886E-11</c:v>
                  </c:pt>
                  <c:pt idx="146">
                    <c:v>6.4398978949029315E-11</c:v>
                  </c:pt>
                  <c:pt idx="147">
                    <c:v>7.4279943692212654E-11</c:v>
                  </c:pt>
                  <c:pt idx="148">
                    <c:v>6.9903886459351366E-11</c:v>
                  </c:pt>
                  <c:pt idx="149">
                    <c:v>6.6804396757857587E-11</c:v>
                  </c:pt>
                  <c:pt idx="150">
                    <c:v>7.2138247098884361E-11</c:v>
                  </c:pt>
                  <c:pt idx="151">
                    <c:v>6.4657521066379974E-11</c:v>
                  </c:pt>
                  <c:pt idx="152">
                    <c:v>7.0530537749608824E-11</c:v>
                  </c:pt>
                  <c:pt idx="153">
                    <c:v>6.2397293972166769E-11</c:v>
                  </c:pt>
                  <c:pt idx="154">
                    <c:v>6.6275662164441353E-11</c:v>
                  </c:pt>
                  <c:pt idx="155">
                    <c:v>6.4891757508081146E-11</c:v>
                  </c:pt>
                  <c:pt idx="156">
                    <c:v>6.0425475680662134E-11</c:v>
                  </c:pt>
                  <c:pt idx="157">
                    <c:v>6.3053363438618582E-11</c:v>
                  </c:pt>
                  <c:pt idx="158">
                    <c:v>6.6200965110337489E-11</c:v>
                  </c:pt>
                  <c:pt idx="159">
                    <c:v>6.8777406267883665E-11</c:v>
                  </c:pt>
                  <c:pt idx="160">
                    <c:v>6.6224979340289015E-11</c:v>
                  </c:pt>
                  <c:pt idx="161">
                    <c:v>7.6019736746527054E-11</c:v>
                  </c:pt>
                  <c:pt idx="162">
                    <c:v>7.9660456641509834E-11</c:v>
                  </c:pt>
                  <c:pt idx="163">
                    <c:v>8.8069695775313064E-11</c:v>
                  </c:pt>
                  <c:pt idx="164">
                    <c:v>8.8916136674204693E-11</c:v>
                  </c:pt>
                  <c:pt idx="165">
                    <c:v>1.0356920507091201E-10</c:v>
                  </c:pt>
                  <c:pt idx="166">
                    <c:v>8.793395496555814E-11</c:v>
                  </c:pt>
                  <c:pt idx="167">
                    <c:v>8.2006631155630811E-11</c:v>
                  </c:pt>
                  <c:pt idx="168">
                    <c:v>8.9685942473406851E-11</c:v>
                  </c:pt>
                  <c:pt idx="169">
                    <c:v>8.7435385249612531E-11</c:v>
                  </c:pt>
                  <c:pt idx="170">
                    <c:v>3.6546537326955471E-11</c:v>
                  </c:pt>
                  <c:pt idx="171">
                    <c:v>3.7554351571734677E-11</c:v>
                  </c:pt>
                  <c:pt idx="172">
                    <c:v>4.1264209380886701E-11</c:v>
                  </c:pt>
                  <c:pt idx="173">
                    <c:v>4.420323009653074E-11</c:v>
                  </c:pt>
                  <c:pt idx="174">
                    <c:v>4.8311320311483783E-11</c:v>
                  </c:pt>
                  <c:pt idx="175">
                    <c:v>5.1196571621012029E-11</c:v>
                  </c:pt>
                  <c:pt idx="176">
                    <c:v>4.8461304259222788E-11</c:v>
                  </c:pt>
                  <c:pt idx="177">
                    <c:v>5.3117491054473015E-11</c:v>
                  </c:pt>
                  <c:pt idx="178">
                    <c:v>5.1891039423809638E-11</c:v>
                  </c:pt>
                  <c:pt idx="179">
                    <c:v>5.0047734874465793E-11</c:v>
                  </c:pt>
                  <c:pt idx="180">
                    <c:v>4.7251789257620895E-11</c:v>
                  </c:pt>
                  <c:pt idx="181">
                    <c:v>4.937938857405984E-11</c:v>
                  </c:pt>
                  <c:pt idx="182">
                    <c:v>4.4789954867964992E-11</c:v>
                  </c:pt>
                  <c:pt idx="183">
                    <c:v>4.7063008744348518E-11</c:v>
                  </c:pt>
                  <c:pt idx="184">
                    <c:v>4.8774251165107449E-11</c:v>
                  </c:pt>
                  <c:pt idx="185">
                    <c:v>4.9323447353232743E-11</c:v>
                  </c:pt>
                  <c:pt idx="186">
                    <c:v>5.3161195370148653E-11</c:v>
                  </c:pt>
                  <c:pt idx="187">
                    <c:v>6.3993091708014347E-11</c:v>
                  </c:pt>
                  <c:pt idx="188">
                    <c:v>6.265461450539377E-11</c:v>
                  </c:pt>
                  <c:pt idx="189">
                    <c:v>6.3883782693828192E-11</c:v>
                  </c:pt>
                  <c:pt idx="190">
                    <c:v>6.4817567754886423E-11</c:v>
                  </c:pt>
                  <c:pt idx="191">
                    <c:v>5.4994662188319258E-11</c:v>
                  </c:pt>
                  <c:pt idx="192">
                    <c:v>6.2632945970689788E-11</c:v>
                  </c:pt>
                  <c:pt idx="193">
                    <c:v>6.1855125104819465E-11</c:v>
                  </c:pt>
                  <c:pt idx="194">
                    <c:v>6.7279921522410955E-11</c:v>
                  </c:pt>
                  <c:pt idx="195">
                    <c:v>6.7248580416484063E-11</c:v>
                  </c:pt>
                  <c:pt idx="196">
                    <c:v>6.2630456479217743E-11</c:v>
                  </c:pt>
                  <c:pt idx="197">
                    <c:v>7.2551908233870145E-11</c:v>
                  </c:pt>
                  <c:pt idx="198">
                    <c:v>7.1855467352421332E-11</c:v>
                  </c:pt>
                  <c:pt idx="199">
                    <c:v>7.6360506092017991E-11</c:v>
                  </c:pt>
                  <c:pt idx="200">
                    <c:v>7.9818606974260601E-11</c:v>
                  </c:pt>
                  <c:pt idx="201">
                    <c:v>8.1038799942975788E-11</c:v>
                  </c:pt>
                  <c:pt idx="202">
                    <c:v>6.8987539016946663E-11</c:v>
                  </c:pt>
                  <c:pt idx="203">
                    <c:v>7.586110412367211E-11</c:v>
                  </c:pt>
                  <c:pt idx="204">
                    <c:v>7.3570756022613885E-11</c:v>
                  </c:pt>
                  <c:pt idx="205">
                    <c:v>8.1148825876740027E-11</c:v>
                  </c:pt>
                  <c:pt idx="206">
                    <c:v>9.3048752556818912E-11</c:v>
                  </c:pt>
                  <c:pt idx="207">
                    <c:v>9.5809341057992047E-11</c:v>
                  </c:pt>
                  <c:pt idx="208">
                    <c:v>9.6760950265919932E-11</c:v>
                  </c:pt>
                  <c:pt idx="209">
                    <c:v>1.0172106942514972E-10</c:v>
                  </c:pt>
                  <c:pt idx="210">
                    <c:v>9.5142534649902711E-11</c:v>
                  </c:pt>
                  <c:pt idx="211">
                    <c:v>9.3906635145380681E-11</c:v>
                  </c:pt>
                  <c:pt idx="212">
                    <c:v>8.7077934418235553E-11</c:v>
                  </c:pt>
                  <c:pt idx="213">
                    <c:v>1.1004489714413776E-10</c:v>
                  </c:pt>
                  <c:pt idx="214">
                    <c:v>1.0596347665753334E-10</c:v>
                  </c:pt>
                  <c:pt idx="215">
                    <c:v>1.071381291977496E-10</c:v>
                  </c:pt>
                  <c:pt idx="216">
                    <c:v>1.0324283793034332E-10</c:v>
                  </c:pt>
                  <c:pt idx="217">
                    <c:v>9.9643561696088187E-11</c:v>
                  </c:pt>
                  <c:pt idx="218">
                    <c:v>1.1307290590527749E-10</c:v>
                  </c:pt>
                  <c:pt idx="219">
                    <c:v>1.2141015257280935E-10</c:v>
                  </c:pt>
                  <c:pt idx="220">
                    <c:v>1.0188167907090988E-10</c:v>
                  </c:pt>
                  <c:pt idx="221">
                    <c:v>1.1466628627478959E-10</c:v>
                  </c:pt>
                  <c:pt idx="222">
                    <c:v>1.2212357718050353E-10</c:v>
                  </c:pt>
                  <c:pt idx="223">
                    <c:v>1.1879168129444682E-10</c:v>
                  </c:pt>
                  <c:pt idx="224">
                    <c:v>1.2850504452960566E-10</c:v>
                  </c:pt>
                  <c:pt idx="225">
                    <c:v>1.2668551573293507E-10</c:v>
                  </c:pt>
                  <c:pt idx="226">
                    <c:v>1.2802000820005331E-10</c:v>
                  </c:pt>
                  <c:pt idx="227">
                    <c:v>1.1961813956844574E-10</c:v>
                  </c:pt>
                  <c:pt idx="228">
                    <c:v>1.281684048991835E-10</c:v>
                  </c:pt>
                  <c:pt idx="229">
                    <c:v>1.3388053878358098E-10</c:v>
                  </c:pt>
                  <c:pt idx="230">
                    <c:v>1.3000805111971549E-10</c:v>
                  </c:pt>
                  <c:pt idx="231">
                    <c:v>1.3451791981397138E-10</c:v>
                  </c:pt>
                  <c:pt idx="232">
                    <c:v>1.7065697690072247E-10</c:v>
                  </c:pt>
                  <c:pt idx="233">
                    <c:v>1.483788175443917E-10</c:v>
                  </c:pt>
                  <c:pt idx="234">
                    <c:v>1.5166900973701484E-10</c:v>
                  </c:pt>
                  <c:pt idx="235">
                    <c:v>1.6677037557253247E-10</c:v>
                  </c:pt>
                  <c:pt idx="236">
                    <c:v>1.6940233858215146E-10</c:v>
                  </c:pt>
                  <c:pt idx="237">
                    <c:v>1.6076513742393041E-10</c:v>
                  </c:pt>
                  <c:pt idx="238">
                    <c:v>8.1076510062718393E-11</c:v>
                  </c:pt>
                  <c:pt idx="239">
                    <c:v>7.7838862425419236E-11</c:v>
                  </c:pt>
                  <c:pt idx="240">
                    <c:v>8.9963324337113075E-11</c:v>
                  </c:pt>
                  <c:pt idx="241">
                    <c:v>8.1428886501455189E-11</c:v>
                  </c:pt>
                  <c:pt idx="242">
                    <c:v>8.6810841326550714E-11</c:v>
                  </c:pt>
                  <c:pt idx="243">
                    <c:v>8.9869715546548196E-11</c:v>
                  </c:pt>
                  <c:pt idx="244">
                    <c:v>8.2719100394061345E-11</c:v>
                  </c:pt>
                  <c:pt idx="245">
                    <c:v>8.6880397706644478E-11</c:v>
                  </c:pt>
                  <c:pt idx="246">
                    <c:v>8.9386520944669491E-11</c:v>
                  </c:pt>
                  <c:pt idx="247">
                    <c:v>9.2150448140703629E-11</c:v>
                  </c:pt>
                  <c:pt idx="248">
                    <c:v>8.1590217712493341E-11</c:v>
                  </c:pt>
                  <c:pt idx="249">
                    <c:v>9.3253754747334351E-11</c:v>
                  </c:pt>
                  <c:pt idx="250">
                    <c:v>8.8549572203506289E-11</c:v>
                  </c:pt>
                  <c:pt idx="251">
                    <c:v>9.3315297440948491E-11</c:v>
                  </c:pt>
                  <c:pt idx="252">
                    <c:v>9.4869336094941499E-11</c:v>
                  </c:pt>
                  <c:pt idx="253">
                    <c:v>1.0123655405609541E-10</c:v>
                  </c:pt>
                  <c:pt idx="254">
                    <c:v>9.3028900531892268E-11</c:v>
                  </c:pt>
                  <c:pt idx="255">
                    <c:v>1.0335066732348115E-10</c:v>
                  </c:pt>
                  <c:pt idx="256">
                    <c:v>1.1240585853646711E-10</c:v>
                  </c:pt>
                  <c:pt idx="257">
                    <c:v>1.1302856805489978E-10</c:v>
                  </c:pt>
                  <c:pt idx="258">
                    <c:v>1.1785462995239822E-10</c:v>
                  </c:pt>
                  <c:pt idx="259">
                    <c:v>1.1404320126161919E-10</c:v>
                  </c:pt>
                  <c:pt idx="260">
                    <c:v>1.1152062006942324E-10</c:v>
                  </c:pt>
                  <c:pt idx="261">
                    <c:v>1.2800586630332171E-10</c:v>
                  </c:pt>
                  <c:pt idx="262">
                    <c:v>1.2196755471583705E-10</c:v>
                  </c:pt>
                  <c:pt idx="263">
                    <c:v>1.246531443643778E-10</c:v>
                  </c:pt>
                  <c:pt idx="264">
                    <c:v>1.2497328512384854E-10</c:v>
                  </c:pt>
                  <c:pt idx="265">
                    <c:v>1.2930125452640587E-10</c:v>
                  </c:pt>
                  <c:pt idx="266">
                    <c:v>1.3567169623040584E-10</c:v>
                  </c:pt>
                  <c:pt idx="267">
                    <c:v>1.3122211509304701E-10</c:v>
                  </c:pt>
                  <c:pt idx="268">
                    <c:v>1.4609722350388761E-10</c:v>
                  </c:pt>
                  <c:pt idx="269">
                    <c:v>1.475638836540453E-10</c:v>
                  </c:pt>
                  <c:pt idx="270">
                    <c:v>1.3617860264545265E-10</c:v>
                  </c:pt>
                  <c:pt idx="271">
                    <c:v>1.389033881816933E-10</c:v>
                  </c:pt>
                  <c:pt idx="272">
                    <c:v>1.5197100597086948E-10</c:v>
                  </c:pt>
                  <c:pt idx="273">
                    <c:v>1.5679028826612824E-10</c:v>
                  </c:pt>
                  <c:pt idx="274">
                    <c:v>1.6736434127729418E-10</c:v>
                  </c:pt>
                  <c:pt idx="275">
                    <c:v>1.7218333495476171E-10</c:v>
                  </c:pt>
                  <c:pt idx="276">
                    <c:v>1.7371542029980054E-10</c:v>
                  </c:pt>
                  <c:pt idx="277">
                    <c:v>1.8163042128625632E-10</c:v>
                  </c:pt>
                  <c:pt idx="278">
                    <c:v>1.6952404867585866E-10</c:v>
                  </c:pt>
                  <c:pt idx="279">
                    <c:v>1.8159508444551537E-10</c:v>
                  </c:pt>
                  <c:pt idx="280">
                    <c:v>1.8138261627725984E-10</c:v>
                  </c:pt>
                  <c:pt idx="281">
                    <c:v>1.8924433594708082E-10</c:v>
                  </c:pt>
                  <c:pt idx="282">
                    <c:v>2.0843097387149574E-10</c:v>
                  </c:pt>
                  <c:pt idx="283">
                    <c:v>2.0159302448168034E-10</c:v>
                  </c:pt>
                  <c:pt idx="284">
                    <c:v>1.8536339224622718E-10</c:v>
                  </c:pt>
                  <c:pt idx="285">
                    <c:v>1.9941946440818176E-10</c:v>
                  </c:pt>
                  <c:pt idx="286">
                    <c:v>2.2133380670932905E-10</c:v>
                  </c:pt>
                  <c:pt idx="287">
                    <c:v>2.0179945881475065E-10</c:v>
                  </c:pt>
                  <c:pt idx="288">
                    <c:v>2.1033301878450632E-10</c:v>
                  </c:pt>
                  <c:pt idx="289">
                    <c:v>2.1336559898116562E-10</c:v>
                  </c:pt>
                  <c:pt idx="290">
                    <c:v>2.3828752365873248E-10</c:v>
                  </c:pt>
                  <c:pt idx="291">
                    <c:v>2.396328552142259E-10</c:v>
                  </c:pt>
                  <c:pt idx="292">
                    <c:v>2.240291906203847E-10</c:v>
                  </c:pt>
                  <c:pt idx="293">
                    <c:v>2.5207397200389967E-10</c:v>
                  </c:pt>
                  <c:pt idx="294">
                    <c:v>2.4359603091638461E-10</c:v>
                  </c:pt>
                  <c:pt idx="295">
                    <c:v>2.5602236425578343E-10</c:v>
                  </c:pt>
                  <c:pt idx="296">
                    <c:v>2.4559105477868413E-10</c:v>
                  </c:pt>
                  <c:pt idx="297">
                    <c:v>2.4481904413299454E-10</c:v>
                  </c:pt>
                  <c:pt idx="298">
                    <c:v>2.6983262283592605E-10</c:v>
                  </c:pt>
                  <c:pt idx="299">
                    <c:v>2.6970605895056993E-10</c:v>
                  </c:pt>
                  <c:pt idx="300">
                    <c:v>3.1084312707484965E-10</c:v>
                  </c:pt>
                  <c:pt idx="301">
                    <c:v>3.0211310131441647E-10</c:v>
                  </c:pt>
                  <c:pt idx="302">
                    <c:v>2.63320378929181E-10</c:v>
                  </c:pt>
                  <c:pt idx="303">
                    <c:v>2.9758603067166673E-10</c:v>
                  </c:pt>
                  <c:pt idx="304">
                    <c:v>3.1340275892740686E-10</c:v>
                  </c:pt>
                  <c:pt idx="305">
                    <c:v>3.171922051464706E-10</c:v>
                  </c:pt>
                  <c:pt idx="306">
                    <c:v>3.004287582247889E-10</c:v>
                  </c:pt>
                  <c:pt idx="307">
                    <c:v>3.5000431415572262E-10</c:v>
                  </c:pt>
                  <c:pt idx="308">
                    <c:v>3.586721444168873E-10</c:v>
                  </c:pt>
                  <c:pt idx="309">
                    <c:v>3.8959999780549881E-10</c:v>
                  </c:pt>
                  <c:pt idx="310">
                    <c:v>3.5059495135550506E-10</c:v>
                  </c:pt>
                  <c:pt idx="311">
                    <c:v>3.6222158797601557E-10</c:v>
                  </c:pt>
                  <c:pt idx="312">
                    <c:v>3.6063919671677235E-10</c:v>
                  </c:pt>
                  <c:pt idx="313">
                    <c:v>3.8838356992440338E-10</c:v>
                  </c:pt>
                  <c:pt idx="314">
                    <c:v>3.9275180862225129E-10</c:v>
                  </c:pt>
                  <c:pt idx="315">
                    <c:v>3.8562801915228531E-10</c:v>
                  </c:pt>
                  <c:pt idx="316">
                    <c:v>3.9824166467238244E-10</c:v>
                  </c:pt>
                  <c:pt idx="317">
                    <c:v>4.6623654945629436E-10</c:v>
                  </c:pt>
                  <c:pt idx="318">
                    <c:v>4.9194212260202565E-10</c:v>
                  </c:pt>
                  <c:pt idx="319">
                    <c:v>4.6984956421948779E-10</c:v>
                  </c:pt>
                  <c:pt idx="320">
                    <c:v>4.9435162817785488E-10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1.28039863258E-2</c:v>
                </c:pt>
                <c:pt idx="46">
                  <c:v>1.2932026189000001E-2</c:v>
                </c:pt>
                <c:pt idx="47">
                  <c:v>1.3061346450899999E-2</c:v>
                </c:pt>
                <c:pt idx="48">
                  <c:v>1.31919599154E-2</c:v>
                </c:pt>
                <c:pt idx="49">
                  <c:v>1.33238795146E-2</c:v>
                </c:pt>
                <c:pt idx="50">
                  <c:v>1.3457118309700001E-2</c:v>
                </c:pt>
                <c:pt idx="51">
                  <c:v>1.3591689492799999E-2</c:v>
                </c:pt>
                <c:pt idx="52">
                  <c:v>1.37276063878E-2</c:v>
                </c:pt>
                <c:pt idx="53">
                  <c:v>1.3864882451600001E-2</c:v>
                </c:pt>
                <c:pt idx="54">
                  <c:v>1.40035312762E-2</c:v>
                </c:pt>
                <c:pt idx="55">
                  <c:v>1.41435665889E-2</c:v>
                </c:pt>
                <c:pt idx="56">
                  <c:v>1.42850022548E-2</c:v>
                </c:pt>
                <c:pt idx="57">
                  <c:v>1.44278522774E-2</c:v>
                </c:pt>
                <c:pt idx="58">
                  <c:v>1.4572130800099999E-2</c:v>
                </c:pt>
                <c:pt idx="59">
                  <c:v>1.4717852108099999E-2</c:v>
                </c:pt>
                <c:pt idx="60">
                  <c:v>1.4865030629200001E-2</c:v>
                </c:pt>
                <c:pt idx="61">
                  <c:v>1.50136809355E-2</c:v>
                </c:pt>
                <c:pt idx="62">
                  <c:v>1.5163817744900001E-2</c:v>
                </c:pt>
                <c:pt idx="63">
                  <c:v>1.5315455922300001E-2</c:v>
                </c:pt>
                <c:pt idx="64">
                  <c:v>1.54686104815E-2</c:v>
                </c:pt>
                <c:pt idx="65">
                  <c:v>1.56232965864E-2</c:v>
                </c:pt>
                <c:pt idx="66">
                  <c:v>1.5779529552200001E-2</c:v>
                </c:pt>
                <c:pt idx="67">
                  <c:v>1.59373248477E-2</c:v>
                </c:pt>
                <c:pt idx="68">
                  <c:v>1.6096698096199999E-2</c:v>
                </c:pt>
                <c:pt idx="69">
                  <c:v>1.6257665077200001E-2</c:v>
                </c:pt>
                <c:pt idx="70">
                  <c:v>1.6420241727999999E-2</c:v>
                </c:pt>
                <c:pt idx="71">
                  <c:v>1.6584444145200002E-2</c:v>
                </c:pt>
                <c:pt idx="72">
                  <c:v>1.67502885867E-2</c:v>
                </c:pt>
                <c:pt idx="73">
                  <c:v>1.6917791472599999E-2</c:v>
                </c:pt>
                <c:pt idx="74">
                  <c:v>1.7086969387300002E-2</c:v>
                </c:pt>
                <c:pt idx="75">
                  <c:v>1.7257839081199999E-2</c:v>
                </c:pt>
                <c:pt idx="76">
                  <c:v>1.7430417472000002E-2</c:v>
                </c:pt>
                <c:pt idx="77">
                  <c:v>1.7604721646699999E-2</c:v>
                </c:pt>
                <c:pt idx="78">
                  <c:v>1.77807688631E-2</c:v>
                </c:pt>
                <c:pt idx="79">
                  <c:v>1.7958576551799998E-2</c:v>
                </c:pt>
                <c:pt idx="80">
                  <c:v>1.8138162317300002E-2</c:v>
                </c:pt>
                <c:pt idx="81">
                  <c:v>1.8319543940500001E-2</c:v>
                </c:pt>
                <c:pt idx="82">
                  <c:v>1.8502739379900001E-2</c:v>
                </c:pt>
                <c:pt idx="83">
                  <c:v>1.8687766773700001E-2</c:v>
                </c:pt>
                <c:pt idx="84">
                  <c:v>1.8874644441399999E-2</c:v>
                </c:pt>
                <c:pt idx="85">
                  <c:v>1.9063390885799999E-2</c:v>
                </c:pt>
                <c:pt idx="86">
                  <c:v>1.9254024794699998E-2</c:v>
                </c:pt>
                <c:pt idx="87">
                  <c:v>1.9446565042599999E-2</c:v>
                </c:pt>
                <c:pt idx="88">
                  <c:v>1.9641030693100001E-2</c:v>
                </c:pt>
                <c:pt idx="89">
                  <c:v>1.9837441000000001E-2</c:v>
                </c:pt>
                <c:pt idx="90">
                  <c:v>2.0035815410000001E-2</c:v>
                </c:pt>
                <c:pt idx="91">
                  <c:v>2.0236173564099999E-2</c:v>
                </c:pt>
                <c:pt idx="92">
                  <c:v>2.0438535299700002E-2</c:v>
                </c:pt>
                <c:pt idx="93">
                  <c:v>2.06429206527E-2</c:v>
                </c:pt>
                <c:pt idx="94">
                  <c:v>2.0849349859299999E-2</c:v>
                </c:pt>
                <c:pt idx="95">
                  <c:v>2.1057843357800001E-2</c:v>
                </c:pt>
                <c:pt idx="96">
                  <c:v>2.12684217914E-2</c:v>
                </c:pt>
                <c:pt idx="97">
                  <c:v>2.1481106009300002E-2</c:v>
                </c:pt>
                <c:pt idx="98">
                  <c:v>2.1695917069400002E-2</c:v>
                </c:pt>
                <c:pt idx="99">
                  <c:v>2.19128762401E-2</c:v>
                </c:pt>
                <c:pt idx="100">
                  <c:v>2.21320050025E-2</c:v>
                </c:pt>
                <c:pt idx="101">
                  <c:v>2.2353325052600001E-2</c:v>
                </c:pt>
                <c:pt idx="102">
                  <c:v>2.2576858303100002E-2</c:v>
                </c:pt>
                <c:pt idx="103">
                  <c:v>2.2802626886099998E-2</c:v>
                </c:pt>
                <c:pt idx="104">
                  <c:v>2.3030653155000001E-2</c:v>
                </c:pt>
                <c:pt idx="105">
                  <c:v>2.32609596865E-2</c:v>
                </c:pt>
                <c:pt idx="106">
                  <c:v>2.34935692834E-2</c:v>
                </c:pt>
                <c:pt idx="107">
                  <c:v>2.37285049762E-2</c:v>
                </c:pt>
                <c:pt idx="108">
                  <c:v>2.3965790026000001E-2</c:v>
                </c:pt>
                <c:pt idx="109">
                  <c:v>2.42054479262E-2</c:v>
                </c:pt>
                <c:pt idx="110">
                  <c:v>2.4447502405500001E-2</c:v>
                </c:pt>
                <c:pt idx="111">
                  <c:v>2.4691977429599998E-2</c:v>
                </c:pt>
                <c:pt idx="112">
                  <c:v>2.4938897203899999E-2</c:v>
                </c:pt>
                <c:pt idx="113">
                  <c:v>2.51882861759E-2</c:v>
                </c:pt>
                <c:pt idx="114">
                  <c:v>2.5440169037600002E-2</c:v>
                </c:pt>
                <c:pt idx="115">
                  <c:v>2.5694570728E-2</c:v>
                </c:pt>
                <c:pt idx="116">
                  <c:v>2.5951516435299998E-2</c:v>
                </c:pt>
                <c:pt idx="117">
                  <c:v>2.6211031599700001E-2</c:v>
                </c:pt>
                <c:pt idx="118">
                  <c:v>2.6473141915700001E-2</c:v>
                </c:pt>
                <c:pt idx="119">
                  <c:v>2.6737873334799999E-2</c:v>
                </c:pt>
                <c:pt idx="120">
                  <c:v>2.7005252068200002E-2</c:v>
                </c:pt>
                <c:pt idx="121">
                  <c:v>2.7275304588799999E-2</c:v>
                </c:pt>
                <c:pt idx="122">
                  <c:v>2.7548057634700002E-2</c:v>
                </c:pt>
                <c:pt idx="123">
                  <c:v>2.78235382111E-2</c:v>
                </c:pt>
                <c:pt idx="124">
                  <c:v>2.81017735932E-2</c:v>
                </c:pt>
                <c:pt idx="125">
                  <c:v>2.8382791329100002E-2</c:v>
                </c:pt>
                <c:pt idx="126">
                  <c:v>2.86666192424E-2</c:v>
                </c:pt>
                <c:pt idx="127">
                  <c:v>2.89532854348E-2</c:v>
                </c:pt>
                <c:pt idx="128">
                  <c:v>2.9242818289200001E-2</c:v>
                </c:pt>
                <c:pt idx="129">
                  <c:v>2.9535246472099999E-2</c:v>
                </c:pt>
                <c:pt idx="130">
                  <c:v>2.9830598936799999E-2</c:v>
                </c:pt>
                <c:pt idx="131">
                  <c:v>3.01289049262E-2</c:v>
                </c:pt>
                <c:pt idx="132">
                  <c:v>3.0430193975400002E-2</c:v>
                </c:pt>
                <c:pt idx="133">
                  <c:v>3.07344959152E-2</c:v>
                </c:pt>
                <c:pt idx="134">
                  <c:v>3.1041840874300002E-2</c:v>
                </c:pt>
                <c:pt idx="135">
                  <c:v>3.1352259283100002E-2</c:v>
                </c:pt>
                <c:pt idx="136">
                  <c:v>3.1665781875900002E-2</c:v>
                </c:pt>
                <c:pt idx="137">
                  <c:v>3.19824396947E-2</c:v>
                </c:pt>
                <c:pt idx="138">
                  <c:v>3.2302264091600003E-2</c:v>
                </c:pt>
                <c:pt idx="139">
                  <c:v>3.2625286732500001E-2</c:v>
                </c:pt>
                <c:pt idx="140">
                  <c:v>3.29515395999E-2</c:v>
                </c:pt>
                <c:pt idx="141">
                  <c:v>3.3281054995899999E-2</c:v>
                </c:pt>
                <c:pt idx="142">
                  <c:v>3.3613865545800002E-2</c:v>
                </c:pt>
                <c:pt idx="143">
                  <c:v>3.3950004201300003E-2</c:v>
                </c:pt>
                <c:pt idx="144">
                  <c:v>3.4289504243299997E-2</c:v>
                </c:pt>
                <c:pt idx="145">
                  <c:v>3.46323992857E-2</c:v>
                </c:pt>
                <c:pt idx="146">
                  <c:v>3.49787232786E-2</c:v>
                </c:pt>
                <c:pt idx="147">
                  <c:v>3.5328510511399999E-2</c:v>
                </c:pt>
                <c:pt idx="148">
                  <c:v>3.5681795616499999E-2</c:v>
                </c:pt>
                <c:pt idx="149">
                  <c:v>3.6038613572599999E-2</c:v>
                </c:pt>
                <c:pt idx="150">
                  <c:v>3.63989997084E-2</c:v>
                </c:pt>
                <c:pt idx="151">
                  <c:v>3.6762989705399998E-2</c:v>
                </c:pt>
                <c:pt idx="152">
                  <c:v>3.7130619602499998E-2</c:v>
                </c:pt>
                <c:pt idx="153">
                  <c:v>3.7501925798500001E-2</c:v>
                </c:pt>
                <c:pt idx="154">
                  <c:v>3.7876945056500001E-2</c:v>
                </c:pt>
                <c:pt idx="155">
                  <c:v>3.8255714507099997E-2</c:v>
                </c:pt>
                <c:pt idx="156">
                  <c:v>3.8638271652100001E-2</c:v>
                </c:pt>
                <c:pt idx="157">
                  <c:v>3.90246543687E-2</c:v>
                </c:pt>
                <c:pt idx="158">
                  <c:v>3.9414900912399999E-2</c:v>
                </c:pt>
                <c:pt idx="159">
                  <c:v>3.98090499215E-2</c:v>
                </c:pt>
                <c:pt idx="160">
                  <c:v>4.0207140420699998E-2</c:v>
                </c:pt>
                <c:pt idx="161">
                  <c:v>4.0609211824900002E-2</c:v>
                </c:pt>
                <c:pt idx="162">
                  <c:v>4.1015303943099997E-2</c:v>
                </c:pt>
                <c:pt idx="163">
                  <c:v>4.1425456982600001E-2</c:v>
                </c:pt>
                <c:pt idx="164">
                  <c:v>4.1839711552400002E-2</c:v>
                </c:pt>
                <c:pt idx="165">
                  <c:v>4.2258108667900002E-2</c:v>
                </c:pt>
                <c:pt idx="166">
                  <c:v>4.2680689754600001E-2</c:v>
                </c:pt>
                <c:pt idx="167">
                  <c:v>4.3107496652199997E-2</c:v>
                </c:pt>
                <c:pt idx="168">
                  <c:v>4.3538571618699999E-2</c:v>
                </c:pt>
                <c:pt idx="169">
                  <c:v>4.3973957334899998E-2</c:v>
                </c:pt>
                <c:pt idx="170">
                  <c:v>4.4413696908199997E-2</c:v>
                </c:pt>
                <c:pt idx="171">
                  <c:v>4.4857833877300003E-2</c:v>
                </c:pt>
                <c:pt idx="172">
                  <c:v>4.5306412216100003E-2</c:v>
                </c:pt>
                <c:pt idx="173">
                  <c:v>4.5759476338200003E-2</c:v>
                </c:pt>
                <c:pt idx="174">
                  <c:v>4.6217071101599998E-2</c:v>
                </c:pt>
                <c:pt idx="175">
                  <c:v>4.6679241812599997E-2</c:v>
                </c:pt>
                <c:pt idx="176">
                  <c:v>4.71460342308E-2</c:v>
                </c:pt>
                <c:pt idx="177">
                  <c:v>4.7617494573100001E-2</c:v>
                </c:pt>
                <c:pt idx="178">
                  <c:v>4.8093669518800002E-2</c:v>
                </c:pt>
                <c:pt idx="179">
                  <c:v>4.8574606213999998E-2</c:v>
                </c:pt>
                <c:pt idx="180">
                  <c:v>4.9060352276099999E-2</c:v>
                </c:pt>
                <c:pt idx="181">
                  <c:v>4.9550955798900002E-2</c:v>
                </c:pt>
                <c:pt idx="182">
                  <c:v>5.0046465356900001E-2</c:v>
                </c:pt>
                <c:pt idx="183">
                  <c:v>5.0546930010399997E-2</c:v>
                </c:pt>
                <c:pt idx="184">
                  <c:v>5.1052399310499999E-2</c:v>
                </c:pt>
                <c:pt idx="185">
                  <c:v>5.1562923303600003E-2</c:v>
                </c:pt>
                <c:pt idx="186">
                  <c:v>5.2078552536699997E-2</c:v>
                </c:pt>
                <c:pt idx="187">
                  <c:v>5.2599338062100001E-2</c:v>
                </c:pt>
                <c:pt idx="188">
                  <c:v>5.31253314427E-2</c:v>
                </c:pt>
                <c:pt idx="189">
                  <c:v>5.3656584757100001E-2</c:v>
                </c:pt>
                <c:pt idx="190">
                  <c:v>5.4193150604700001E-2</c:v>
                </c:pt>
                <c:pt idx="191">
                  <c:v>5.4735082110700002E-2</c:v>
                </c:pt>
                <c:pt idx="192">
                  <c:v>5.5282432931799998E-2</c:v>
                </c:pt>
                <c:pt idx="193">
                  <c:v>5.5835257261100002E-2</c:v>
                </c:pt>
                <c:pt idx="194">
                  <c:v>5.6393609833799999E-2</c:v>
                </c:pt>
                <c:pt idx="195">
                  <c:v>5.69575459321E-2</c:v>
                </c:pt>
                <c:pt idx="196">
                  <c:v>5.7527121391400003E-2</c:v>
                </c:pt>
                <c:pt idx="197">
                  <c:v>5.81023926053E-2</c:v>
                </c:pt>
                <c:pt idx="198">
                  <c:v>5.8683416531400003E-2</c:v>
                </c:pt>
                <c:pt idx="199">
                  <c:v>5.92702506967E-2</c:v>
                </c:pt>
                <c:pt idx="200">
                  <c:v>5.9862953203699998E-2</c:v>
                </c:pt>
                <c:pt idx="201">
                  <c:v>6.0461582735700001E-2</c:v>
                </c:pt>
                <c:pt idx="202">
                  <c:v>6.1066198563099999E-2</c:v>
                </c:pt>
                <c:pt idx="203">
                  <c:v>6.1676860548700002E-2</c:v>
                </c:pt>
                <c:pt idx="204">
                  <c:v>6.2293629154200003E-2</c:v>
                </c:pt>
                <c:pt idx="205">
                  <c:v>6.2916565445699998E-2</c:v>
                </c:pt>
                <c:pt idx="206">
                  <c:v>6.3545731100199995E-2</c:v>
                </c:pt>
                <c:pt idx="207">
                  <c:v>6.4181188411200005E-2</c:v>
                </c:pt>
                <c:pt idx="208">
                  <c:v>6.4823000295299998E-2</c:v>
                </c:pt>
                <c:pt idx="209">
                  <c:v>6.5471230298199998E-2</c:v>
                </c:pt>
                <c:pt idx="210">
                  <c:v>6.61259426012E-2</c:v>
                </c:pt>
                <c:pt idx="211">
                  <c:v>6.6787202027199996E-2</c:v>
                </c:pt>
                <c:pt idx="212">
                  <c:v>6.7455074047499994E-2</c:v>
                </c:pt>
                <c:pt idx="213">
                  <c:v>6.8129624787999998E-2</c:v>
                </c:pt>
                <c:pt idx="214">
                  <c:v>6.8810921035900002E-2</c:v>
                </c:pt>
                <c:pt idx="215">
                  <c:v>6.9499030246199994E-2</c:v>
                </c:pt>
                <c:pt idx="216">
                  <c:v>7.0194020548699998E-2</c:v>
                </c:pt>
                <c:pt idx="217">
                  <c:v>7.0895960754200002E-2</c:v>
                </c:pt>
                <c:pt idx="218">
                  <c:v>7.1604920361700006E-2</c:v>
                </c:pt>
                <c:pt idx="219">
                  <c:v>7.23209695653E-2</c:v>
                </c:pt>
                <c:pt idx="220">
                  <c:v>7.3044179261E-2</c:v>
                </c:pt>
                <c:pt idx="221">
                  <c:v>7.3774621053599998E-2</c:v>
                </c:pt>
                <c:pt idx="222">
                  <c:v>7.4512367264100002E-2</c:v>
                </c:pt>
                <c:pt idx="223">
                  <c:v>7.5257490936799995E-2</c:v>
                </c:pt>
                <c:pt idx="224">
                  <c:v>7.6010065846099997E-2</c:v>
                </c:pt>
                <c:pt idx="225">
                  <c:v>7.6770166504600001E-2</c:v>
                </c:pt>
                <c:pt idx="226">
                  <c:v>7.7537868169599997E-2</c:v>
                </c:pt>
                <c:pt idx="227">
                  <c:v>7.8313246851300006E-2</c:v>
                </c:pt>
                <c:pt idx="228">
                  <c:v>7.90963793198E-2</c:v>
                </c:pt>
                <c:pt idx="229">
                  <c:v>7.9887343112999998E-2</c:v>
                </c:pt>
                <c:pt idx="230">
                  <c:v>8.0686216544199996E-2</c:v>
                </c:pt>
                <c:pt idx="231">
                  <c:v>8.14930787096E-2</c:v>
                </c:pt>
                <c:pt idx="232">
                  <c:v>8.2308009496700002E-2</c:v>
                </c:pt>
                <c:pt idx="233">
                  <c:v>8.31310895917E-2</c:v>
                </c:pt>
                <c:pt idx="234">
                  <c:v>8.3962400487599995E-2</c:v>
                </c:pt>
                <c:pt idx="235">
                  <c:v>8.4802024492500003E-2</c:v>
                </c:pt>
                <c:pt idx="236">
                  <c:v>8.5650044737399997E-2</c:v>
                </c:pt>
                <c:pt idx="237">
                  <c:v>8.6506545184799999E-2</c:v>
                </c:pt>
                <c:pt idx="238">
                  <c:v>8.7371610636599997E-2</c:v>
                </c:pt>
                <c:pt idx="239">
                  <c:v>8.8245326742999994E-2</c:v>
                </c:pt>
                <c:pt idx="240">
                  <c:v>8.9127780010400004E-2</c:v>
                </c:pt>
                <c:pt idx="241">
                  <c:v>9.00190578105E-2</c:v>
                </c:pt>
                <c:pt idx="242">
                  <c:v>9.0919248388599994E-2</c:v>
                </c:pt>
                <c:pt idx="243">
                  <c:v>9.18284408725E-2</c:v>
                </c:pt>
                <c:pt idx="244">
                  <c:v>9.2746725281199996E-2</c:v>
                </c:pt>
                <c:pt idx="245">
                  <c:v>9.3674192534E-2</c:v>
                </c:pt>
                <c:pt idx="246">
                  <c:v>9.4610934459399998E-2</c:v>
                </c:pt>
                <c:pt idx="247">
                  <c:v>9.5557043804E-2</c:v>
                </c:pt>
                <c:pt idx="248">
                  <c:v>9.6512614242E-2</c:v>
                </c:pt>
                <c:pt idx="249">
                  <c:v>9.7477740384400005E-2</c:v>
                </c:pt>
                <c:pt idx="250">
                  <c:v>9.8452517788299998E-2</c:v>
                </c:pt>
                <c:pt idx="251">
                  <c:v>9.9437042966199998E-2</c:v>
                </c:pt>
                <c:pt idx="252">
                  <c:v>0.10043141339599999</c:v>
                </c:pt>
                <c:pt idx="253">
                  <c:v>0.10143572753000001</c:v>
                </c:pt>
                <c:pt idx="254">
                  <c:v>0.10245008480499999</c:v>
                </c:pt>
                <c:pt idx="255">
                  <c:v>0.103474585653</c:v>
                </c:pt>
                <c:pt idx="256">
                  <c:v>0.10450933151</c:v>
                </c:pt>
                <c:pt idx="257">
                  <c:v>0.10555442482500001</c:v>
                </c:pt>
                <c:pt idx="258">
                  <c:v>0.10660996907299999</c:v>
                </c:pt>
                <c:pt idx="259">
                  <c:v>0.107676068764</c:v>
                </c:pt>
                <c:pt idx="260">
                  <c:v>0.108752829451</c:v>
                </c:pt>
                <c:pt idx="261">
                  <c:v>0.109840357746</c:v>
                </c:pt>
                <c:pt idx="262">
                  <c:v>0.110938761323</c:v>
                </c:pt>
                <c:pt idx="263">
                  <c:v>0.11204814893700001</c:v>
                </c:pt>
                <c:pt idx="264">
                  <c:v>0.11316863042600001</c:v>
                </c:pt>
                <c:pt idx="265">
                  <c:v>0.11430031673</c:v>
                </c:pt>
                <c:pt idx="266">
                  <c:v>0.115443319898</c:v>
                </c:pt>
                <c:pt idx="267">
                  <c:v>0.116597753096</c:v>
                </c:pt>
                <c:pt idx="268">
                  <c:v>0.117763730627</c:v>
                </c:pt>
                <c:pt idx="269">
                  <c:v>0.11894136793399999</c:v>
                </c:pt>
                <c:pt idx="270">
                  <c:v>0.120130781613</c:v>
                </c:pt>
                <c:pt idx="271">
                  <c:v>0.12133208942900001</c:v>
                </c:pt>
                <c:pt idx="272">
                  <c:v>0.122545410323</c:v>
                </c:pt>
                <c:pt idx="273">
                  <c:v>0.123770864427</c:v>
                </c:pt>
                <c:pt idx="274">
                  <c:v>0.125008573071</c:v>
                </c:pt>
                <c:pt idx="275">
                  <c:v>0.12625865880199999</c:v>
                </c:pt>
                <c:pt idx="276">
                  <c:v>0.12752124539000001</c:v>
                </c:pt>
                <c:pt idx="277">
                  <c:v>0.12879645784400001</c:v>
                </c:pt>
                <c:pt idx="278">
                  <c:v>0.130084422422</c:v>
                </c:pt>
                <c:pt idx="279">
                  <c:v>0.131385266646</c:v>
                </c:pt>
                <c:pt idx="280">
                  <c:v>0.13269911931299999</c:v>
                </c:pt>
                <c:pt idx="281">
                  <c:v>0.134026110506</c:v>
                </c:pt>
                <c:pt idx="282">
                  <c:v>0.13536637161100001</c:v>
                </c:pt>
                <c:pt idx="283">
                  <c:v>0.136720035327</c:v>
                </c:pt>
                <c:pt idx="284">
                  <c:v>0.13808723568</c:v>
                </c:pt>
                <c:pt idx="285">
                  <c:v>0.13946810803699999</c:v>
                </c:pt>
                <c:pt idx="286">
                  <c:v>0.14086278911700001</c:v>
                </c:pt>
                <c:pt idx="287">
                  <c:v>0.14227141700900001</c:v>
                </c:pt>
                <c:pt idx="288">
                  <c:v>0.14369413117900001</c:v>
                </c:pt>
                <c:pt idx="289">
                  <c:v>0.14513107249099999</c:v>
                </c:pt>
                <c:pt idx="290">
                  <c:v>0.146582383215</c:v>
                </c:pt>
                <c:pt idx="291">
                  <c:v>0.14804820704800001</c:v>
                </c:pt>
                <c:pt idx="292">
                  <c:v>0.14952868911799999</c:v>
                </c:pt>
                <c:pt idx="293">
                  <c:v>0.151023976009</c:v>
                </c:pt>
                <c:pt idx="294">
                  <c:v>0.152534215769</c:v>
                </c:pt>
                <c:pt idx="295">
                  <c:v>0.15405955792699999</c:v>
                </c:pt>
                <c:pt idx="296">
                  <c:v>0.15560015350600001</c:v>
                </c:pt>
                <c:pt idx="297">
                  <c:v>0.157156155041</c:v>
                </c:pt>
                <c:pt idx="298">
                  <c:v>0.158727716592</c:v>
                </c:pt>
                <c:pt idx="299">
                  <c:v>0.16031499375800001</c:v>
                </c:pt>
                <c:pt idx="300">
                  <c:v>0.16191814369499999</c:v>
                </c:pt>
                <c:pt idx="301">
                  <c:v>0.16353732513200001</c:v>
                </c:pt>
                <c:pt idx="302">
                  <c:v>0.16517269838400001</c:v>
                </c:pt>
                <c:pt idx="303">
                  <c:v>0.16682442536700001</c:v>
                </c:pt>
                <c:pt idx="304">
                  <c:v>0.16849266962100001</c:v>
                </c:pt>
                <c:pt idx="305">
                  <c:v>0.170177596317</c:v>
                </c:pt>
                <c:pt idx="306">
                  <c:v>0.17187937228</c:v>
                </c:pt>
                <c:pt idx="307">
                  <c:v>0.17359816600299999</c:v>
                </c:pt>
                <c:pt idx="308">
                  <c:v>0.17533414766300001</c:v>
                </c:pt>
                <c:pt idx="309">
                  <c:v>0.17708748914</c:v>
                </c:pt>
                <c:pt idx="310">
                  <c:v>0.178858364031</c:v>
                </c:pt>
                <c:pt idx="311">
                  <c:v>0.18064694767200001</c:v>
                </c:pt>
                <c:pt idx="312">
                  <c:v>0.18245341714800001</c:v>
                </c:pt>
                <c:pt idx="313">
                  <c:v>0.18427795131999999</c:v>
                </c:pt>
                <c:pt idx="314">
                  <c:v>0.18612073083299999</c:v>
                </c:pt>
                <c:pt idx="315">
                  <c:v>0.187981938141</c:v>
                </c:pt>
                <c:pt idx="316">
                  <c:v>0.189861757523</c:v>
                </c:pt>
                <c:pt idx="317">
                  <c:v>0.19176037509800001</c:v>
                </c:pt>
                <c:pt idx="318">
                  <c:v>0.19367797884900001</c:v>
                </c:pt>
                <c:pt idx="319">
                  <c:v>0.19561475863700001</c:v>
                </c:pt>
                <c:pt idx="320">
                  <c:v>0.197570906224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4.5744001652877133E-9</c:v>
                </c:pt>
                <c:pt idx="1">
                  <c:v>4.8009525708331476E-9</c:v>
                </c:pt>
                <c:pt idx="2">
                  <c:v>5.295962102958549E-9</c:v>
                </c:pt>
                <c:pt idx="3">
                  <c:v>4.8263849775514018E-9</c:v>
                </c:pt>
                <c:pt idx="4">
                  <c:v>5.08400268212257E-9</c:v>
                </c:pt>
                <c:pt idx="5">
                  <c:v>6.413227671874797E-9</c:v>
                </c:pt>
                <c:pt idx="6">
                  <c:v>6.4529575933790566E-9</c:v>
                </c:pt>
                <c:pt idx="7">
                  <c:v>6.3351614083283889E-9</c:v>
                </c:pt>
                <c:pt idx="8">
                  <c:v>5.4987375324301825E-9</c:v>
                </c:pt>
                <c:pt idx="9">
                  <c:v>7.0443671814215603E-9</c:v>
                </c:pt>
                <c:pt idx="10">
                  <c:v>7.0223031240887309E-9</c:v>
                </c:pt>
                <c:pt idx="11">
                  <c:v>6.9599618052184138E-9</c:v>
                </c:pt>
                <c:pt idx="12">
                  <c:v>7.4687752684688198E-9</c:v>
                </c:pt>
                <c:pt idx="13">
                  <c:v>7.4966084679844427E-9</c:v>
                </c:pt>
                <c:pt idx="14">
                  <c:v>7.4892683635265326E-9</c:v>
                </c:pt>
                <c:pt idx="15">
                  <c:v>8.3297088228183568E-9</c:v>
                </c:pt>
                <c:pt idx="16">
                  <c:v>8.2436835309666487E-9</c:v>
                </c:pt>
                <c:pt idx="17">
                  <c:v>9.1357228688198214E-9</c:v>
                </c:pt>
                <c:pt idx="18">
                  <c:v>8.8171341116599414E-9</c:v>
                </c:pt>
                <c:pt idx="19">
                  <c:v>9.6020102033804362E-9</c:v>
                </c:pt>
                <c:pt idx="20">
                  <c:v>8.3417130421180671E-9</c:v>
                </c:pt>
                <c:pt idx="21">
                  <c:v>9.0132059507300461E-9</c:v>
                </c:pt>
                <c:pt idx="22">
                  <c:v>8.0996350126144953E-9</c:v>
                </c:pt>
                <c:pt idx="23">
                  <c:v>6.5630983674383054E-9</c:v>
                </c:pt>
                <c:pt idx="24">
                  <c:v>5.9978569819916114E-9</c:v>
                </c:pt>
                <c:pt idx="25">
                  <c:v>3.9722542227741582E-9</c:v>
                </c:pt>
                <c:pt idx="26">
                  <c:v>4.1535243277823093E-9</c:v>
                </c:pt>
                <c:pt idx="27">
                  <c:v>3.3487686414982954E-9</c:v>
                </c:pt>
                <c:pt idx="28">
                  <c:v>3.9733668636906602E-9</c:v>
                </c:pt>
                <c:pt idx="29">
                  <c:v>3.269946214326922E-9</c:v>
                </c:pt>
                <c:pt idx="30">
                  <c:v>2.5995997479715889E-9</c:v>
                </c:pt>
                <c:pt idx="31">
                  <c:v>2.0301040198249595E-9</c:v>
                </c:pt>
                <c:pt idx="32">
                  <c:v>2.281437812437659E-9</c:v>
                </c:pt>
                <c:pt idx="33">
                  <c:v>1.8319038578512584E-9</c:v>
                </c:pt>
                <c:pt idx="34">
                  <c:v>1.7141463933811508E-9</c:v>
                </c:pt>
                <c:pt idx="35">
                  <c:v>1.3998730554999898E-9</c:v>
                </c:pt>
                <c:pt idx="36">
                  <c:v>1.2809277264453529E-9</c:v>
                </c:pt>
                <c:pt idx="37">
                  <c:v>7.4622908409195729E-10</c:v>
                </c:pt>
                <c:pt idx="38">
                  <c:v>6.0047173562626131E-10</c:v>
                </c:pt>
                <c:pt idx="39">
                  <c:v>5.4207251806316459E-10</c:v>
                </c:pt>
                <c:pt idx="40">
                  <c:v>3.4836944984193921E-10</c:v>
                </c:pt>
                <c:pt idx="41">
                  <c:v>2.6328086249042783E-10</c:v>
                </c:pt>
                <c:pt idx="42">
                  <c:v>2.5509099932966731E-10</c:v>
                </c:pt>
                <c:pt idx="43">
                  <c:v>1.679945421442464E-10</c:v>
                </c:pt>
                <c:pt idx="44">
                  <c:v>1.1243005687972554E-10</c:v>
                </c:pt>
                <c:pt idx="45">
                  <c:v>2.2832238614872411E-10</c:v>
                </c:pt>
                <c:pt idx="46">
                  <c:v>2.5995454958270426E-10</c:v>
                </c:pt>
                <c:pt idx="47">
                  <c:v>4.1315541866807746E-10</c:v>
                </c:pt>
                <c:pt idx="48">
                  <c:v>5.1000090290807274E-10</c:v>
                </c:pt>
                <c:pt idx="49">
                  <c:v>5.0197782131556218E-10</c:v>
                </c:pt>
                <c:pt idx="50">
                  <c:v>5.5638446344219591E-10</c:v>
                </c:pt>
                <c:pt idx="51">
                  <c:v>5.1778579107384627E-10</c:v>
                </c:pt>
                <c:pt idx="52">
                  <c:v>8.3002525020795839E-10</c:v>
                </c:pt>
                <c:pt idx="53">
                  <c:v>8.4689402776101856E-10</c:v>
                </c:pt>
                <c:pt idx="54">
                  <c:v>1.0686357393183157E-9</c:v>
                </c:pt>
                <c:pt idx="55">
                  <c:v>1.0237673138153618E-9</c:v>
                </c:pt>
                <c:pt idx="56">
                  <c:v>1.1072695168424468E-9</c:v>
                </c:pt>
                <c:pt idx="57">
                  <c:v>1.1464646833256753E-9</c:v>
                </c:pt>
                <c:pt idx="58">
                  <c:v>1.1780922534224874E-9</c:v>
                </c:pt>
                <c:pt idx="59">
                  <c:v>1.225101702839564E-9</c:v>
                </c:pt>
                <c:pt idx="60">
                  <c:v>1.032300473221115E-9</c:v>
                </c:pt>
                <c:pt idx="61">
                  <c:v>1.0377689350192317E-9</c:v>
                </c:pt>
                <c:pt idx="62">
                  <c:v>1.0074099124337365E-9</c:v>
                </c:pt>
                <c:pt idx="63">
                  <c:v>1.102309148284919E-9</c:v>
                </c:pt>
                <c:pt idx="64">
                  <c:v>1.0986980674113073E-9</c:v>
                </c:pt>
                <c:pt idx="65">
                  <c:v>9.3936547359345137E-10</c:v>
                </c:pt>
                <c:pt idx="66">
                  <c:v>8.3880814202362086E-10</c:v>
                </c:pt>
                <c:pt idx="67">
                  <c:v>7.2163025327008991E-10</c:v>
                </c:pt>
                <c:pt idx="68">
                  <c:v>6.5797969674645416E-10</c:v>
                </c:pt>
                <c:pt idx="69">
                  <c:v>5.4860338537247667E-10</c:v>
                </c:pt>
                <c:pt idx="70">
                  <c:v>5.1204559997797626E-10</c:v>
                </c:pt>
                <c:pt idx="71">
                  <c:v>3.9792514041653822E-10</c:v>
                </c:pt>
                <c:pt idx="72">
                  <c:v>3.1255957903387268E-10</c:v>
                </c:pt>
                <c:pt idx="73">
                  <c:v>3.1537498707081037E-10</c:v>
                </c:pt>
                <c:pt idx="74">
                  <c:v>2.2972433211091794E-10</c:v>
                </c:pt>
                <c:pt idx="75">
                  <c:v>1.985440780243543E-10</c:v>
                </c:pt>
                <c:pt idx="76">
                  <c:v>2.9702256238751927E-10</c:v>
                </c:pt>
                <c:pt idx="77">
                  <c:v>1.5628839145780962E-10</c:v>
                </c:pt>
                <c:pt idx="78">
                  <c:v>3.4738030524288241E-10</c:v>
                </c:pt>
                <c:pt idx="79">
                  <c:v>3.6526337923230712E-10</c:v>
                </c:pt>
                <c:pt idx="80">
                  <c:v>3.7984993674947858E-10</c:v>
                </c:pt>
                <c:pt idx="81">
                  <c:v>3.6191379045503751E-10</c:v>
                </c:pt>
                <c:pt idx="82">
                  <c:v>4.7981505454150185E-10</c:v>
                </c:pt>
                <c:pt idx="83">
                  <c:v>7.0822920143078454E-10</c:v>
                </c:pt>
                <c:pt idx="84">
                  <c:v>7.0665250420541788E-10</c:v>
                </c:pt>
                <c:pt idx="85">
                  <c:v>7.4006318804560048E-10</c:v>
                </c:pt>
                <c:pt idx="86">
                  <c:v>9.7334686642430611E-10</c:v>
                </c:pt>
                <c:pt idx="87">
                  <c:v>9.2040985697848689E-10</c:v>
                </c:pt>
                <c:pt idx="88">
                  <c:v>8.3847097654543116E-10</c:v>
                </c:pt>
                <c:pt idx="89">
                  <c:v>8.9807391480170976E-10</c:v>
                </c:pt>
                <c:pt idx="90">
                  <c:v>1.0385708756837795E-9</c:v>
                </c:pt>
                <c:pt idx="91">
                  <c:v>9.9148423651535923E-10</c:v>
                </c:pt>
                <c:pt idx="92">
                  <c:v>9.1129306357103471E-10</c:v>
                </c:pt>
                <c:pt idx="93">
                  <c:v>8.2332214657579235E-10</c:v>
                </c:pt>
                <c:pt idx="94">
                  <c:v>7.1027108960827762E-10</c:v>
                </c:pt>
                <c:pt idx="95">
                  <c:v>8.1469055617922558E-10</c:v>
                </c:pt>
                <c:pt idx="96">
                  <c:v>6.5373837644020329E-10</c:v>
                </c:pt>
                <c:pt idx="97">
                  <c:v>4.7815549172294887E-10</c:v>
                </c:pt>
                <c:pt idx="98">
                  <c:v>3.2936475863937557E-10</c:v>
                </c:pt>
                <c:pt idx="99">
                  <c:v>3.1183225378060422E-10</c:v>
                </c:pt>
                <c:pt idx="100">
                  <c:v>2.6165275038370067E-10</c:v>
                </c:pt>
                <c:pt idx="101">
                  <c:v>2.5000319824628379E-10</c:v>
                </c:pt>
                <c:pt idx="102">
                  <c:v>2.0714105199440845E-10</c:v>
                </c:pt>
                <c:pt idx="103">
                  <c:v>2.2926486759666119E-10</c:v>
                </c:pt>
                <c:pt idx="104">
                  <c:v>2.6722301702350285E-10</c:v>
                </c:pt>
                <c:pt idx="105">
                  <c:v>3.5350260744944102E-10</c:v>
                </c:pt>
                <c:pt idx="106">
                  <c:v>4.3152298412909776E-10</c:v>
                </c:pt>
                <c:pt idx="107">
                  <c:v>5.0733883793371031E-10</c:v>
                </c:pt>
                <c:pt idx="108">
                  <c:v>6.0218621941909916E-10</c:v>
                </c:pt>
                <c:pt idx="109">
                  <c:v>6.4664756845041512E-10</c:v>
                </c:pt>
                <c:pt idx="110">
                  <c:v>7.1453621970991242E-10</c:v>
                </c:pt>
                <c:pt idx="111">
                  <c:v>8.7268695416950001E-10</c:v>
                </c:pt>
                <c:pt idx="112">
                  <c:v>9.2506259212083822E-10</c:v>
                </c:pt>
                <c:pt idx="113">
                  <c:v>8.6468782158616178E-10</c:v>
                </c:pt>
                <c:pt idx="114">
                  <c:v>9.122149605927427E-10</c:v>
                </c:pt>
                <c:pt idx="115">
                  <c:v>9.0874369627093967E-10</c:v>
                </c:pt>
                <c:pt idx="116">
                  <c:v>7.7674498906001868E-10</c:v>
                </c:pt>
                <c:pt idx="117">
                  <c:v>7.5123288678575941E-10</c:v>
                </c:pt>
                <c:pt idx="118">
                  <c:v>7.158590869129259E-10</c:v>
                </c:pt>
                <c:pt idx="119">
                  <c:v>5.6669701811274678E-10</c:v>
                </c:pt>
                <c:pt idx="120">
                  <c:v>5.0743959695366796E-10</c:v>
                </c:pt>
                <c:pt idx="121">
                  <c:v>4.4791591802743026E-10</c:v>
                </c:pt>
                <c:pt idx="122">
                  <c:v>3.9528989357366929E-10</c:v>
                </c:pt>
                <c:pt idx="123">
                  <c:v>3.4920429055733576E-10</c:v>
                </c:pt>
                <c:pt idx="124">
                  <c:v>3.4652379674077395E-10</c:v>
                </c:pt>
                <c:pt idx="125">
                  <c:v>3.2540559028415305E-10</c:v>
                </c:pt>
                <c:pt idx="126">
                  <c:v>3.6881002768827221E-10</c:v>
                </c:pt>
                <c:pt idx="127">
                  <c:v>4.4806443063326E-10</c:v>
                </c:pt>
                <c:pt idx="128">
                  <c:v>5.0413891403303021E-10</c:v>
                </c:pt>
                <c:pt idx="129">
                  <c:v>5.885827057134773E-10</c:v>
                </c:pt>
                <c:pt idx="130">
                  <c:v>7.4150188408771842E-10</c:v>
                </c:pt>
                <c:pt idx="131">
                  <c:v>8.2974714859033087E-10</c:v>
                </c:pt>
                <c:pt idx="132">
                  <c:v>8.0254939217293973E-10</c:v>
                </c:pt>
                <c:pt idx="133">
                  <c:v>9.3081727090921091E-10</c:v>
                </c:pt>
                <c:pt idx="134">
                  <c:v>9.1632137439968806E-10</c:v>
                </c:pt>
                <c:pt idx="135">
                  <c:v>8.2770116507477875E-10</c:v>
                </c:pt>
                <c:pt idx="136">
                  <c:v>7.7647078721359145E-10</c:v>
                </c:pt>
                <c:pt idx="137">
                  <c:v>5.9308865039955135E-10</c:v>
                </c:pt>
                <c:pt idx="138">
                  <c:v>6.7374817572975633E-10</c:v>
                </c:pt>
                <c:pt idx="139">
                  <c:v>3.8631586428157218E-10</c:v>
                </c:pt>
                <c:pt idx="140">
                  <c:v>4.6915311820248578E-10</c:v>
                </c:pt>
                <c:pt idx="141">
                  <c:v>3.9600551130114602E-10</c:v>
                </c:pt>
                <c:pt idx="142">
                  <c:v>4.4117962068716177E-10</c:v>
                </c:pt>
                <c:pt idx="143">
                  <c:v>3.5472962563481155E-10</c:v>
                </c:pt>
                <c:pt idx="144">
                  <c:v>4.3970256983624953E-10</c:v>
                </c:pt>
                <c:pt idx="145">
                  <c:v>5.2273509454076138E-10</c:v>
                </c:pt>
                <c:pt idx="146">
                  <c:v>6.9216555430777871E-10</c:v>
                </c:pt>
                <c:pt idx="147">
                  <c:v>8.8143551834634954E-10</c:v>
                </c:pt>
                <c:pt idx="148">
                  <c:v>8.2672010591190073E-10</c:v>
                </c:pt>
                <c:pt idx="149">
                  <c:v>7.3553244536619542E-10</c:v>
                </c:pt>
                <c:pt idx="150">
                  <c:v>8.4513508571010381E-10</c:v>
                </c:pt>
                <c:pt idx="151">
                  <c:v>6.4622010312757372E-10</c:v>
                </c:pt>
                <c:pt idx="152">
                  <c:v>7.2942720328805841E-10</c:v>
                </c:pt>
                <c:pt idx="153">
                  <c:v>5.8787437065768881E-10</c:v>
                </c:pt>
                <c:pt idx="154">
                  <c:v>6.0916373517560019E-10</c:v>
                </c:pt>
                <c:pt idx="155">
                  <c:v>5.8068169233742576E-10</c:v>
                </c:pt>
                <c:pt idx="156">
                  <c:v>4.8006127813975208E-10</c:v>
                </c:pt>
                <c:pt idx="157">
                  <c:v>5.0054291806267124E-10</c:v>
                </c:pt>
                <c:pt idx="158">
                  <c:v>5.3038818273586371E-10</c:v>
                </c:pt>
                <c:pt idx="159">
                  <c:v>5.4351886449434895E-10</c:v>
                </c:pt>
                <c:pt idx="160">
                  <c:v>4.9322713855240491E-10</c:v>
                </c:pt>
                <c:pt idx="161">
                  <c:v>6.63972465163821E-10</c:v>
                </c:pt>
                <c:pt idx="162">
                  <c:v>7.0929913950050183E-10</c:v>
                </c:pt>
                <c:pt idx="163">
                  <c:v>8.6385814010258388E-10</c:v>
                </c:pt>
                <c:pt idx="164">
                  <c:v>8.2522951360775552E-10</c:v>
                </c:pt>
                <c:pt idx="165">
                  <c:v>9.7245107389757547E-10</c:v>
                </c:pt>
                <c:pt idx="166">
                  <c:v>7.7261574308879282E-10</c:v>
                </c:pt>
                <c:pt idx="167">
                  <c:v>6.397478232841708E-10</c:v>
                </c:pt>
                <c:pt idx="168">
                  <c:v>7.1758308598703565E-10</c:v>
                </c:pt>
                <c:pt idx="169">
                  <c:v>6.6775925372119746E-10</c:v>
                </c:pt>
                <c:pt idx="170">
                  <c:v>4.273144006202952E-10</c:v>
                </c:pt>
                <c:pt idx="171">
                  <c:v>4.9181052047725542E-10</c:v>
                </c:pt>
                <c:pt idx="172">
                  <c:v>5.7089437876194229E-10</c:v>
                </c:pt>
                <c:pt idx="173">
                  <c:v>6.7742461113952513E-10</c:v>
                </c:pt>
                <c:pt idx="174">
                  <c:v>7.6341940505348444E-10</c:v>
                </c:pt>
                <c:pt idx="175">
                  <c:v>8.1823010610317607E-10</c:v>
                </c:pt>
                <c:pt idx="176">
                  <c:v>7.8961615829865436E-10</c:v>
                </c:pt>
                <c:pt idx="177">
                  <c:v>9.3552961209977451E-10</c:v>
                </c:pt>
                <c:pt idx="178">
                  <c:v>8.962643071002515E-10</c:v>
                </c:pt>
                <c:pt idx="179">
                  <c:v>7.9323947263888323E-10</c:v>
                </c:pt>
                <c:pt idx="180">
                  <c:v>7.2170868801718059E-10</c:v>
                </c:pt>
                <c:pt idx="181">
                  <c:v>7.4521927035568703E-10</c:v>
                </c:pt>
                <c:pt idx="182">
                  <c:v>6.2343810381646264E-10</c:v>
                </c:pt>
                <c:pt idx="183">
                  <c:v>6.7237910065307205E-10</c:v>
                </c:pt>
                <c:pt idx="184">
                  <c:v>7.2215132898549241E-10</c:v>
                </c:pt>
                <c:pt idx="185">
                  <c:v>7.3354326593841004E-10</c:v>
                </c:pt>
                <c:pt idx="186">
                  <c:v>7.3956005997447231E-10</c:v>
                </c:pt>
                <c:pt idx="187">
                  <c:v>9.1625648799198916E-10</c:v>
                </c:pt>
                <c:pt idx="188">
                  <c:v>8.7414693969245367E-10</c:v>
                </c:pt>
                <c:pt idx="189">
                  <c:v>9.1854959505513247E-10</c:v>
                </c:pt>
                <c:pt idx="190">
                  <c:v>8.9539456742862887E-10</c:v>
                </c:pt>
                <c:pt idx="191">
                  <c:v>6.7324638488463597E-10</c:v>
                </c:pt>
                <c:pt idx="192">
                  <c:v>7.8110399146338664E-10</c:v>
                </c:pt>
                <c:pt idx="193">
                  <c:v>7.0441974144677416E-10</c:v>
                </c:pt>
                <c:pt idx="194">
                  <c:v>8.4462379465525508E-10</c:v>
                </c:pt>
                <c:pt idx="195">
                  <c:v>8.424027845606242E-10</c:v>
                </c:pt>
                <c:pt idx="196">
                  <c:v>7.413476422580803E-10</c:v>
                </c:pt>
                <c:pt idx="197">
                  <c:v>9.7867588169907864E-10</c:v>
                </c:pt>
                <c:pt idx="198">
                  <c:v>9.0284071641155449E-10</c:v>
                </c:pt>
                <c:pt idx="199">
                  <c:v>9.9089077104164765E-10</c:v>
                </c:pt>
                <c:pt idx="200">
                  <c:v>1.0013030216728072E-9</c:v>
                </c:pt>
                <c:pt idx="201">
                  <c:v>1.0098917824813483E-9</c:v>
                </c:pt>
                <c:pt idx="202">
                  <c:v>7.4549637181538684E-10</c:v>
                </c:pt>
                <c:pt idx="203">
                  <c:v>8.3323546624227491E-10</c:v>
                </c:pt>
                <c:pt idx="204">
                  <c:v>7.9586595369014113E-10</c:v>
                </c:pt>
                <c:pt idx="205">
                  <c:v>9.01713015289121E-10</c:v>
                </c:pt>
                <c:pt idx="206">
                  <c:v>1.0787269235332515E-9</c:v>
                </c:pt>
                <c:pt idx="207">
                  <c:v>1.0821188571598128E-9</c:v>
                </c:pt>
                <c:pt idx="208">
                  <c:v>9.9646561405189652E-10</c:v>
                </c:pt>
                <c:pt idx="209">
                  <c:v>1.081852870110122E-9</c:v>
                </c:pt>
                <c:pt idx="210">
                  <c:v>9.9389992969332067E-10</c:v>
                </c:pt>
                <c:pt idx="211">
                  <c:v>9.1646474682401804E-10</c:v>
                </c:pt>
                <c:pt idx="212">
                  <c:v>7.6764006331377881E-10</c:v>
                </c:pt>
                <c:pt idx="213">
                  <c:v>1.0609402546496161E-9</c:v>
                </c:pt>
                <c:pt idx="214">
                  <c:v>1.0001838513597339E-9</c:v>
                </c:pt>
                <c:pt idx="215">
                  <c:v>1.1515537063152038E-9</c:v>
                </c:pt>
                <c:pt idx="216">
                  <c:v>1.0427481219407279E-9</c:v>
                </c:pt>
                <c:pt idx="217">
                  <c:v>9.3273698748949718E-10</c:v>
                </c:pt>
                <c:pt idx="218">
                  <c:v>1.056905226020478E-9</c:v>
                </c:pt>
                <c:pt idx="219">
                  <c:v>1.1771693231887921E-9</c:v>
                </c:pt>
                <c:pt idx="220">
                  <c:v>9.167231477692194E-10</c:v>
                </c:pt>
                <c:pt idx="221">
                  <c:v>1.079594486480661E-9</c:v>
                </c:pt>
                <c:pt idx="222">
                  <c:v>1.084100586261547E-9</c:v>
                </c:pt>
                <c:pt idx="223">
                  <c:v>1.0850240706582314E-9</c:v>
                </c:pt>
                <c:pt idx="224">
                  <c:v>1.1513842893038867E-9</c:v>
                </c:pt>
                <c:pt idx="225">
                  <c:v>1.1391830823095322E-9</c:v>
                </c:pt>
                <c:pt idx="226">
                  <c:v>1.0013598705877472E-9</c:v>
                </c:pt>
                <c:pt idx="227">
                  <c:v>8.6269722915025927E-10</c:v>
                </c:pt>
                <c:pt idx="228">
                  <c:v>1.1055260111093071E-9</c:v>
                </c:pt>
                <c:pt idx="229">
                  <c:v>1.0418978309972398E-9</c:v>
                </c:pt>
                <c:pt idx="230">
                  <c:v>8.8542026543405286E-10</c:v>
                </c:pt>
                <c:pt idx="231">
                  <c:v>9.8021790764406073E-10</c:v>
                </c:pt>
                <c:pt idx="232">
                  <c:v>1.5549813319921049E-9</c:v>
                </c:pt>
                <c:pt idx="233">
                  <c:v>1.140482860922175E-9</c:v>
                </c:pt>
                <c:pt idx="234">
                  <c:v>1.2110621484155777E-9</c:v>
                </c:pt>
                <c:pt idx="235">
                  <c:v>1.4412019560611568E-9</c:v>
                </c:pt>
                <c:pt idx="236">
                  <c:v>1.3655491668295546E-9</c:v>
                </c:pt>
                <c:pt idx="237">
                  <c:v>1.2355236560197174E-9</c:v>
                </c:pt>
                <c:pt idx="238">
                  <c:v>1.2562178873537408E-9</c:v>
                </c:pt>
                <c:pt idx="239">
                  <c:v>1.2241305196202755E-9</c:v>
                </c:pt>
                <c:pt idx="240">
                  <c:v>1.4919750982424574E-9</c:v>
                </c:pt>
                <c:pt idx="241">
                  <c:v>1.3277426690151723E-9</c:v>
                </c:pt>
                <c:pt idx="242">
                  <c:v>1.3476946279158635E-9</c:v>
                </c:pt>
                <c:pt idx="243">
                  <c:v>1.4839907254853081E-9</c:v>
                </c:pt>
                <c:pt idx="244">
                  <c:v>1.2626324303644339E-9</c:v>
                </c:pt>
                <c:pt idx="245">
                  <c:v>1.3952825450724697E-9</c:v>
                </c:pt>
                <c:pt idx="246">
                  <c:v>1.4971829290437923E-9</c:v>
                </c:pt>
                <c:pt idx="247">
                  <c:v>1.537835513757427E-9</c:v>
                </c:pt>
                <c:pt idx="248">
                  <c:v>1.2173831459312642E-9</c:v>
                </c:pt>
                <c:pt idx="249">
                  <c:v>1.4369598950021873E-9</c:v>
                </c:pt>
                <c:pt idx="250">
                  <c:v>1.46474277836195E-9</c:v>
                </c:pt>
                <c:pt idx="251">
                  <c:v>1.4258251703121548E-9</c:v>
                </c:pt>
                <c:pt idx="252">
                  <c:v>1.4883606235428823E-9</c:v>
                </c:pt>
                <c:pt idx="253">
                  <c:v>1.4987131267750924E-9</c:v>
                </c:pt>
                <c:pt idx="254">
                  <c:v>1.2502020534702395E-9</c:v>
                </c:pt>
                <c:pt idx="255">
                  <c:v>1.479273244139109E-9</c:v>
                </c:pt>
                <c:pt idx="256">
                  <c:v>1.6189094543639001E-9</c:v>
                </c:pt>
                <c:pt idx="257">
                  <c:v>1.6564128384246262E-9</c:v>
                </c:pt>
                <c:pt idx="258">
                  <c:v>1.6969285464020766E-9</c:v>
                </c:pt>
                <c:pt idx="259">
                  <c:v>1.5385698916689845E-9</c:v>
                </c:pt>
                <c:pt idx="260">
                  <c:v>1.5248132471741904E-9</c:v>
                </c:pt>
                <c:pt idx="261">
                  <c:v>1.6302862763752356E-9</c:v>
                </c:pt>
                <c:pt idx="262">
                  <c:v>1.5340837836377288E-9</c:v>
                </c:pt>
                <c:pt idx="263">
                  <c:v>1.5096239755479538E-9</c:v>
                </c:pt>
                <c:pt idx="264">
                  <c:v>1.625166161445436E-9</c:v>
                </c:pt>
                <c:pt idx="265">
                  <c:v>1.6294668155192555E-9</c:v>
                </c:pt>
                <c:pt idx="266">
                  <c:v>1.8131491590464622E-9</c:v>
                </c:pt>
                <c:pt idx="267">
                  <c:v>1.5756006265827532E-9</c:v>
                </c:pt>
                <c:pt idx="268">
                  <c:v>1.742977830078194E-9</c:v>
                </c:pt>
                <c:pt idx="269">
                  <c:v>1.9748144701427056E-9</c:v>
                </c:pt>
                <c:pt idx="270">
                  <c:v>1.7119594144834993E-9</c:v>
                </c:pt>
                <c:pt idx="271">
                  <c:v>1.5809934872499106E-9</c:v>
                </c:pt>
                <c:pt idx="272">
                  <c:v>1.838335523694993E-9</c:v>
                </c:pt>
                <c:pt idx="273">
                  <c:v>1.8086528612403063E-9</c:v>
                </c:pt>
                <c:pt idx="274">
                  <c:v>1.7885172166437272E-9</c:v>
                </c:pt>
                <c:pt idx="275">
                  <c:v>1.8456021033239266E-9</c:v>
                </c:pt>
                <c:pt idx="276">
                  <c:v>1.5871787094176311E-9</c:v>
                </c:pt>
                <c:pt idx="277">
                  <c:v>1.9007325283318863E-9</c:v>
                </c:pt>
                <c:pt idx="278">
                  <c:v>1.5577585036913875E-9</c:v>
                </c:pt>
                <c:pt idx="279">
                  <c:v>1.9370354901052911E-9</c:v>
                </c:pt>
                <c:pt idx="280">
                  <c:v>1.8798085493270579E-9</c:v>
                </c:pt>
                <c:pt idx="281">
                  <c:v>1.7217539890972477E-9</c:v>
                </c:pt>
                <c:pt idx="282">
                  <c:v>1.9804607955499621E-9</c:v>
                </c:pt>
                <c:pt idx="283">
                  <c:v>2.1066444584655325E-9</c:v>
                </c:pt>
                <c:pt idx="284">
                  <c:v>1.6724713136337481E-9</c:v>
                </c:pt>
                <c:pt idx="285">
                  <c:v>1.8763437328524525E-9</c:v>
                </c:pt>
                <c:pt idx="286">
                  <c:v>2.2065786740399668E-9</c:v>
                </c:pt>
                <c:pt idx="287">
                  <c:v>1.4245986029735098E-9</c:v>
                </c:pt>
                <c:pt idx="288">
                  <c:v>1.9730700123499981E-9</c:v>
                </c:pt>
                <c:pt idx="289">
                  <c:v>2.0900210343641594E-9</c:v>
                </c:pt>
                <c:pt idx="290">
                  <c:v>2.3053148384395972E-9</c:v>
                </c:pt>
                <c:pt idx="291">
                  <c:v>2.0864812016318784E-9</c:v>
                </c:pt>
                <c:pt idx="292">
                  <c:v>1.7559558527207308E-9</c:v>
                </c:pt>
                <c:pt idx="293">
                  <c:v>2.1869018917104849E-9</c:v>
                </c:pt>
                <c:pt idx="294">
                  <c:v>1.9271311998094231E-9</c:v>
                </c:pt>
                <c:pt idx="295">
                  <c:v>1.5795391511872323E-9</c:v>
                </c:pt>
                <c:pt idx="296">
                  <c:v>1.784318889725535E-9</c:v>
                </c:pt>
                <c:pt idx="297">
                  <c:v>1.8420723421934606E-9</c:v>
                </c:pt>
                <c:pt idx="298">
                  <c:v>1.8275873246053398E-9</c:v>
                </c:pt>
                <c:pt idx="299">
                  <c:v>1.7429089619151488E-9</c:v>
                </c:pt>
                <c:pt idx="300">
                  <c:v>2.1032940042026025E-9</c:v>
                </c:pt>
                <c:pt idx="301">
                  <c:v>2.4414849223338017E-9</c:v>
                </c:pt>
                <c:pt idx="302">
                  <c:v>1.46884939488187E-9</c:v>
                </c:pt>
                <c:pt idx="303">
                  <c:v>2.2415247434885639E-9</c:v>
                </c:pt>
                <c:pt idx="304">
                  <c:v>1.5068960317527785E-9</c:v>
                </c:pt>
                <c:pt idx="305">
                  <c:v>2.7434229871967762E-9</c:v>
                </c:pt>
                <c:pt idx="306">
                  <c:v>1.7880250452952663E-9</c:v>
                </c:pt>
                <c:pt idx="307">
                  <c:v>2.4744019568244914E-9</c:v>
                </c:pt>
                <c:pt idx="308">
                  <c:v>2.1291057566646523E-9</c:v>
                </c:pt>
                <c:pt idx="309">
                  <c:v>2.8046279786212795E-9</c:v>
                </c:pt>
                <c:pt idx="310">
                  <c:v>1.4203340005684088E-9</c:v>
                </c:pt>
                <c:pt idx="311">
                  <c:v>1.1570299594801554E-9</c:v>
                </c:pt>
                <c:pt idx="312">
                  <c:v>1.8004835816928793E-9</c:v>
                </c:pt>
                <c:pt idx="313">
                  <c:v>1.6991487867766565E-9</c:v>
                </c:pt>
                <c:pt idx="314">
                  <c:v>1.2920136316052724E-9</c:v>
                </c:pt>
                <c:pt idx="315">
                  <c:v>1.790310820859361E-9</c:v>
                </c:pt>
                <c:pt idx="316">
                  <c:v>1.5173144358817386E-9</c:v>
                </c:pt>
                <c:pt idx="317">
                  <c:v>2.3842188904077542E-9</c:v>
                </c:pt>
                <c:pt idx="318">
                  <c:v>2.3272606348724418E-9</c:v>
                </c:pt>
                <c:pt idx="319">
                  <c:v>2.1786951556542982E-9</c:v>
                </c:pt>
                <c:pt idx="320">
                  <c:v>2.0705112962611706E-9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8.18E-03</c:v>
                </c:pt>
                <c:pt idx="1">
                  <c:v>8.26E-03</c:v>
                </c:pt>
                <c:pt idx="2">
                  <c:v>8.35E-03</c:v>
                </c:pt>
                <c:pt idx="3">
                  <c:v>8.43E-03</c:v>
                </c:pt>
                <c:pt idx="4">
                  <c:v>8.51E-03</c:v>
                </c:pt>
                <c:pt idx="5">
                  <c:v>8.60E-03</c:v>
                </c:pt>
                <c:pt idx="6">
                  <c:v>8.69E-03</c:v>
                </c:pt>
                <c:pt idx="7">
                  <c:v>8.77E-03</c:v>
                </c:pt>
                <c:pt idx="8">
                  <c:v>8.86E-03</c:v>
                </c:pt>
                <c:pt idx="9">
                  <c:v>8.95E-03</c:v>
                </c:pt>
                <c:pt idx="10">
                  <c:v>9.04E-03</c:v>
                </c:pt>
                <c:pt idx="11">
                  <c:v>9.13E-03</c:v>
                </c:pt>
                <c:pt idx="12">
                  <c:v>9.22E-03</c:v>
                </c:pt>
                <c:pt idx="13">
                  <c:v>9.31E-03</c:v>
                </c:pt>
                <c:pt idx="14">
                  <c:v>9.41E-03</c:v>
                </c:pt>
                <c:pt idx="15">
                  <c:v>9.50E-03</c:v>
                </c:pt>
                <c:pt idx="16">
                  <c:v>9.59E-03</c:v>
                </c:pt>
                <c:pt idx="17">
                  <c:v>9.69E-03</c:v>
                </c:pt>
                <c:pt idx="18">
                  <c:v>9.79E-03</c:v>
                </c:pt>
                <c:pt idx="19">
                  <c:v>9.89E-03</c:v>
                </c:pt>
                <c:pt idx="20">
                  <c:v>9.98E-03</c:v>
                </c:pt>
                <c:pt idx="21">
                  <c:v>1.01E-02</c:v>
                </c:pt>
                <c:pt idx="22">
                  <c:v>1.02E-02</c:v>
                </c:pt>
                <c:pt idx="23">
                  <c:v>1.03E-02</c:v>
                </c:pt>
                <c:pt idx="24">
                  <c:v>1.04E-02</c:v>
                </c:pt>
                <c:pt idx="25">
                  <c:v>1.05E-02</c:v>
                </c:pt>
                <c:pt idx="26">
                  <c:v>1.06E-02</c:v>
                </c:pt>
                <c:pt idx="27">
                  <c:v>1.07E-02</c:v>
                </c:pt>
                <c:pt idx="28">
                  <c:v>1.08E-02</c:v>
                </c:pt>
                <c:pt idx="29">
                  <c:v>1.09E-02</c:v>
                </c:pt>
                <c:pt idx="30">
                  <c:v>1.10E-02</c:v>
                </c:pt>
                <c:pt idx="31">
                  <c:v>1.11E-02</c:v>
                </c:pt>
                <c:pt idx="32">
                  <c:v>1.13E-02</c:v>
                </c:pt>
                <c:pt idx="33">
                  <c:v>1.14E-02</c:v>
                </c:pt>
                <c:pt idx="34">
                  <c:v>1.15E-02</c:v>
                </c:pt>
                <c:pt idx="35">
                  <c:v>1.16E-02</c:v>
                </c:pt>
                <c:pt idx="36">
                  <c:v>1.17E-02</c:v>
                </c:pt>
                <c:pt idx="37">
                  <c:v>1.18E-02</c:v>
                </c:pt>
                <c:pt idx="38">
                  <c:v>1.19E-02</c:v>
                </c:pt>
                <c:pt idx="39">
                  <c:v>1.21E-02</c:v>
                </c:pt>
                <c:pt idx="40">
                  <c:v>1.22E-02</c:v>
                </c:pt>
                <c:pt idx="41">
                  <c:v>1.23E-02</c:v>
                </c:pt>
                <c:pt idx="42">
                  <c:v>1.24E-02</c:v>
                </c:pt>
                <c:pt idx="43">
                  <c:v>1.26E-02</c:v>
                </c:pt>
                <c:pt idx="44">
                  <c:v>1.27E-02</c:v>
                </c:pt>
                <c:pt idx="45">
                  <c:v>1.28E-02</c:v>
                </c:pt>
                <c:pt idx="46">
                  <c:v>1.29E-02</c:v>
                </c:pt>
                <c:pt idx="47">
                  <c:v>1.31E-02</c:v>
                </c:pt>
                <c:pt idx="48">
                  <c:v>1.32E-02</c:v>
                </c:pt>
                <c:pt idx="49">
                  <c:v>1.33E-02</c:v>
                </c:pt>
                <c:pt idx="50">
                  <c:v>1.35E-02</c:v>
                </c:pt>
                <c:pt idx="51">
                  <c:v>1.36E-02</c:v>
                </c:pt>
                <c:pt idx="52">
                  <c:v>1.37E-02</c:v>
                </c:pt>
                <c:pt idx="53">
                  <c:v>1.39E-02</c:v>
                </c:pt>
                <c:pt idx="54">
                  <c:v>1.40E-02</c:v>
                </c:pt>
                <c:pt idx="55">
                  <c:v>1.41E-02</c:v>
                </c:pt>
                <c:pt idx="56">
                  <c:v>1.43E-02</c:v>
                </c:pt>
                <c:pt idx="57">
                  <c:v>1.44E-02</c:v>
                </c:pt>
                <c:pt idx="58">
                  <c:v>1.46E-02</c:v>
                </c:pt>
                <c:pt idx="59">
                  <c:v>1.47E-02</c:v>
                </c:pt>
                <c:pt idx="60">
                  <c:v>1.49E-02</c:v>
                </c:pt>
                <c:pt idx="61">
                  <c:v>1.50E-02</c:v>
                </c:pt>
                <c:pt idx="62">
                  <c:v>1.52E-02</c:v>
                </c:pt>
                <c:pt idx="63">
                  <c:v>1.53E-02</c:v>
                </c:pt>
                <c:pt idx="64">
                  <c:v>1.55E-02</c:v>
                </c:pt>
                <c:pt idx="65">
                  <c:v>1.56E-02</c:v>
                </c:pt>
                <c:pt idx="66">
                  <c:v>1.58E-02</c:v>
                </c:pt>
                <c:pt idx="67">
                  <c:v>1.59E-02</c:v>
                </c:pt>
                <c:pt idx="68">
                  <c:v>1.61E-02</c:v>
                </c:pt>
                <c:pt idx="69">
                  <c:v>1.63E-02</c:v>
                </c:pt>
                <c:pt idx="70">
                  <c:v>1.64E-02</c:v>
                </c:pt>
                <c:pt idx="71">
                  <c:v>1.66E-02</c:v>
                </c:pt>
                <c:pt idx="72">
                  <c:v>1.68E-02</c:v>
                </c:pt>
                <c:pt idx="73">
                  <c:v>1.69E-02</c:v>
                </c:pt>
                <c:pt idx="74">
                  <c:v>1.71E-02</c:v>
                </c:pt>
                <c:pt idx="75">
                  <c:v>1.73E-02</c:v>
                </c:pt>
                <c:pt idx="76">
                  <c:v>1.74E-02</c:v>
                </c:pt>
                <c:pt idx="77">
                  <c:v>1.76E-02</c:v>
                </c:pt>
                <c:pt idx="78">
                  <c:v>1.78E-02</c:v>
                </c:pt>
                <c:pt idx="79">
                  <c:v>1.80E-02</c:v>
                </c:pt>
                <c:pt idx="80">
                  <c:v>1.81E-02</c:v>
                </c:pt>
                <c:pt idx="81">
                  <c:v>1.83E-02</c:v>
                </c:pt>
                <c:pt idx="82">
                  <c:v>1.85E-02</c:v>
                </c:pt>
                <c:pt idx="83">
                  <c:v>1.87E-02</c:v>
                </c:pt>
                <c:pt idx="84">
                  <c:v>1.89E-02</c:v>
                </c:pt>
                <c:pt idx="85">
                  <c:v>1.91E-02</c:v>
                </c:pt>
                <c:pt idx="86">
                  <c:v>1.93E-02</c:v>
                </c:pt>
                <c:pt idx="87">
                  <c:v>1.94E-02</c:v>
                </c:pt>
                <c:pt idx="88">
                  <c:v>1.96E-02</c:v>
                </c:pt>
                <c:pt idx="89">
                  <c:v>1.98E-02</c:v>
                </c:pt>
                <c:pt idx="90">
                  <c:v>2.00E-02</c:v>
                </c:pt>
                <c:pt idx="91">
                  <c:v>2.02E-02</c:v>
                </c:pt>
                <c:pt idx="92">
                  <c:v>2.04E-02</c:v>
                </c:pt>
                <c:pt idx="93">
                  <c:v>2.06E-02</c:v>
                </c:pt>
                <c:pt idx="94">
                  <c:v>2.08E-02</c:v>
                </c:pt>
                <c:pt idx="95">
                  <c:v>2.11E-02</c:v>
                </c:pt>
                <c:pt idx="96">
                  <c:v>2.13E-02</c:v>
                </c:pt>
                <c:pt idx="97">
                  <c:v>2.15E-02</c:v>
                </c:pt>
                <c:pt idx="98">
                  <c:v>2.17E-02</c:v>
                </c:pt>
                <c:pt idx="99">
                  <c:v>2.19E-02</c:v>
                </c:pt>
                <c:pt idx="100">
                  <c:v>2.21E-02</c:v>
                </c:pt>
                <c:pt idx="101">
                  <c:v>2.24E-02</c:v>
                </c:pt>
                <c:pt idx="102">
                  <c:v>2.26E-02</c:v>
                </c:pt>
                <c:pt idx="103">
                  <c:v>2.28E-02</c:v>
                </c:pt>
                <c:pt idx="104">
                  <c:v>2.30E-02</c:v>
                </c:pt>
                <c:pt idx="105">
                  <c:v>2.33E-02</c:v>
                </c:pt>
                <c:pt idx="106">
                  <c:v>2.35E-02</c:v>
                </c:pt>
                <c:pt idx="107">
                  <c:v>2.37E-02</c:v>
                </c:pt>
                <c:pt idx="108">
                  <c:v>2.40E-02</c:v>
                </c:pt>
                <c:pt idx="109">
                  <c:v>2.42E-02</c:v>
                </c:pt>
                <c:pt idx="110">
                  <c:v>2.44E-02</c:v>
                </c:pt>
                <c:pt idx="111">
                  <c:v>2.47E-02</c:v>
                </c:pt>
                <c:pt idx="112">
                  <c:v>2.49E-02</c:v>
                </c:pt>
                <c:pt idx="113">
                  <c:v>2.52E-02</c:v>
                </c:pt>
                <c:pt idx="114">
                  <c:v>2.54E-02</c:v>
                </c:pt>
                <c:pt idx="115">
                  <c:v>2.57E-02</c:v>
                </c:pt>
                <c:pt idx="116">
                  <c:v>2.60E-02</c:v>
                </c:pt>
                <c:pt idx="117">
                  <c:v>2.62E-02</c:v>
                </c:pt>
                <c:pt idx="118">
                  <c:v>2.65E-02</c:v>
                </c:pt>
                <c:pt idx="119">
                  <c:v>2.67E-02</c:v>
                </c:pt>
                <c:pt idx="120">
                  <c:v>2.70E-02</c:v>
                </c:pt>
                <c:pt idx="121">
                  <c:v>2.73E-02</c:v>
                </c:pt>
                <c:pt idx="122">
                  <c:v>2.75E-02</c:v>
                </c:pt>
                <c:pt idx="123">
                  <c:v>2.78E-02</c:v>
                </c:pt>
                <c:pt idx="124">
                  <c:v>2.81E-02</c:v>
                </c:pt>
                <c:pt idx="125">
                  <c:v>2.84E-02</c:v>
                </c:pt>
                <c:pt idx="126">
                  <c:v>2.87E-02</c:v>
                </c:pt>
                <c:pt idx="127">
                  <c:v>2.90E-02</c:v>
                </c:pt>
                <c:pt idx="128">
                  <c:v>2.92E-02</c:v>
                </c:pt>
                <c:pt idx="129">
                  <c:v>2.95E-02</c:v>
                </c:pt>
                <c:pt idx="130">
                  <c:v>2.98E-02</c:v>
                </c:pt>
                <c:pt idx="131">
                  <c:v>3.01E-02</c:v>
                </c:pt>
                <c:pt idx="132">
                  <c:v>3.04E-02</c:v>
                </c:pt>
                <c:pt idx="133">
                  <c:v>3.07E-02</c:v>
                </c:pt>
                <c:pt idx="134">
                  <c:v>3.10E-02</c:v>
                </c:pt>
                <c:pt idx="135">
                  <c:v>3.14E-02</c:v>
                </c:pt>
                <c:pt idx="136">
                  <c:v>3.17E-02</c:v>
                </c:pt>
                <c:pt idx="137">
                  <c:v>3.20E-02</c:v>
                </c:pt>
                <c:pt idx="138">
                  <c:v>3.23E-02</c:v>
                </c:pt>
                <c:pt idx="139">
                  <c:v>3.26E-02</c:v>
                </c:pt>
                <c:pt idx="140">
                  <c:v>3.30E-02</c:v>
                </c:pt>
                <c:pt idx="141">
                  <c:v>3.33E-02</c:v>
                </c:pt>
                <c:pt idx="142">
                  <c:v>3.36E-02</c:v>
                </c:pt>
                <c:pt idx="143">
                  <c:v>3.40E-02</c:v>
                </c:pt>
                <c:pt idx="144">
                  <c:v>3.43E-02</c:v>
                </c:pt>
                <c:pt idx="145">
                  <c:v>3.46E-02</c:v>
                </c:pt>
                <c:pt idx="146">
                  <c:v>3.50E-02</c:v>
                </c:pt>
                <c:pt idx="147">
                  <c:v>3.53E-02</c:v>
                </c:pt>
                <c:pt idx="148">
                  <c:v>3.57E-02</c:v>
                </c:pt>
                <c:pt idx="149">
                  <c:v>3.60E-02</c:v>
                </c:pt>
                <c:pt idx="150">
                  <c:v>3.64E-02</c:v>
                </c:pt>
                <c:pt idx="151">
                  <c:v>3.68E-02</c:v>
                </c:pt>
                <c:pt idx="152">
                  <c:v>3.71E-02</c:v>
                </c:pt>
                <c:pt idx="153">
                  <c:v>3.75E-02</c:v>
                </c:pt>
                <c:pt idx="154">
                  <c:v>3.79E-02</c:v>
                </c:pt>
                <c:pt idx="155">
                  <c:v>3.83E-02</c:v>
                </c:pt>
                <c:pt idx="156">
                  <c:v>3.86E-02</c:v>
                </c:pt>
                <c:pt idx="157">
                  <c:v>3.90E-02</c:v>
                </c:pt>
                <c:pt idx="158">
                  <c:v>3.94E-02</c:v>
                </c:pt>
                <c:pt idx="159">
                  <c:v>3.98E-02</c:v>
                </c:pt>
                <c:pt idx="160">
                  <c:v>4.02E-02</c:v>
                </c:pt>
                <c:pt idx="161">
                  <c:v>4.06E-02</c:v>
                </c:pt>
                <c:pt idx="162">
                  <c:v>4.10E-02</c:v>
                </c:pt>
                <c:pt idx="163">
                  <c:v>4.14E-02</c:v>
                </c:pt>
                <c:pt idx="164">
                  <c:v>4.18E-02</c:v>
                </c:pt>
                <c:pt idx="165">
                  <c:v>4.23E-02</c:v>
                </c:pt>
                <c:pt idx="166">
                  <c:v>4.27E-02</c:v>
                </c:pt>
                <c:pt idx="167">
                  <c:v>4.31E-02</c:v>
                </c:pt>
                <c:pt idx="168">
                  <c:v>4.35E-02</c:v>
                </c:pt>
                <c:pt idx="169">
                  <c:v>4.40E-02</c:v>
                </c:pt>
                <c:pt idx="170">
                  <c:v>4.44E-02</c:v>
                </c:pt>
                <c:pt idx="171">
                  <c:v>4.49E-02</c:v>
                </c:pt>
                <c:pt idx="172">
                  <c:v>4.53E-02</c:v>
                </c:pt>
                <c:pt idx="173">
                  <c:v>4.58E-02</c:v>
                </c:pt>
                <c:pt idx="174">
                  <c:v>4.62E-02</c:v>
                </c:pt>
                <c:pt idx="175">
                  <c:v>4.67E-02</c:v>
                </c:pt>
                <c:pt idx="176">
                  <c:v>4.71E-02</c:v>
                </c:pt>
                <c:pt idx="177">
                  <c:v>4.76E-02</c:v>
                </c:pt>
                <c:pt idx="178">
                  <c:v>4.81E-02</c:v>
                </c:pt>
                <c:pt idx="179">
                  <c:v>4.86E-02</c:v>
                </c:pt>
                <c:pt idx="180">
                  <c:v>4.91E-02</c:v>
                </c:pt>
                <c:pt idx="181">
                  <c:v>4.96E-02</c:v>
                </c:pt>
                <c:pt idx="182">
                  <c:v>5.00E-02</c:v>
                </c:pt>
                <c:pt idx="183">
                  <c:v>5.05E-02</c:v>
                </c:pt>
                <c:pt idx="184">
                  <c:v>5.11E-02</c:v>
                </c:pt>
                <c:pt idx="185">
                  <c:v>5.16E-02</c:v>
                </c:pt>
                <c:pt idx="186">
                  <c:v>5.21E-02</c:v>
                </c:pt>
                <c:pt idx="187">
                  <c:v>5.26E-02</c:v>
                </c:pt>
                <c:pt idx="188">
                  <c:v>5.31E-02</c:v>
                </c:pt>
                <c:pt idx="189">
                  <c:v>5.37E-02</c:v>
                </c:pt>
                <c:pt idx="190">
                  <c:v>5.42E-02</c:v>
                </c:pt>
                <c:pt idx="191">
                  <c:v>5.47E-02</c:v>
                </c:pt>
                <c:pt idx="192">
                  <c:v>5.53E-02</c:v>
                </c:pt>
                <c:pt idx="193">
                  <c:v>5.58E-02</c:v>
                </c:pt>
                <c:pt idx="194">
                  <c:v>5.64E-02</c:v>
                </c:pt>
                <c:pt idx="195">
                  <c:v>5.70E-02</c:v>
                </c:pt>
                <c:pt idx="196">
                  <c:v>5.75E-02</c:v>
                </c:pt>
                <c:pt idx="197">
                  <c:v>5.81E-02</c:v>
                </c:pt>
                <c:pt idx="198">
                  <c:v>5.87E-02</c:v>
                </c:pt>
                <c:pt idx="199">
                  <c:v>5.93E-02</c:v>
                </c:pt>
                <c:pt idx="200">
                  <c:v>5.99E-02</c:v>
                </c:pt>
                <c:pt idx="201">
                  <c:v>6.05E-02</c:v>
                </c:pt>
                <c:pt idx="202">
                  <c:v>6.11E-02</c:v>
                </c:pt>
                <c:pt idx="203">
                  <c:v>6.17E-02</c:v>
                </c:pt>
                <c:pt idx="204">
                  <c:v>6.23E-02</c:v>
                </c:pt>
                <c:pt idx="205">
                  <c:v>6.29E-02</c:v>
                </c:pt>
                <c:pt idx="206">
                  <c:v>6.35E-02</c:v>
                </c:pt>
                <c:pt idx="207">
                  <c:v>6.42E-02</c:v>
                </c:pt>
                <c:pt idx="208">
                  <c:v>6.48E-02</c:v>
                </c:pt>
                <c:pt idx="209">
                  <c:v>6.55E-02</c:v>
                </c:pt>
                <c:pt idx="210">
                  <c:v>6.61E-02</c:v>
                </c:pt>
                <c:pt idx="211">
                  <c:v>6.68E-02</c:v>
                </c:pt>
                <c:pt idx="212">
                  <c:v>6.75E-02</c:v>
                </c:pt>
                <c:pt idx="213">
                  <c:v>6.81E-02</c:v>
                </c:pt>
                <c:pt idx="214">
                  <c:v>6.88E-02</c:v>
                </c:pt>
                <c:pt idx="215">
                  <c:v>6.95E-02</c:v>
                </c:pt>
                <c:pt idx="216">
                  <c:v>7.02E-02</c:v>
                </c:pt>
                <c:pt idx="217">
                  <c:v>7.09E-02</c:v>
                </c:pt>
                <c:pt idx="218">
                  <c:v>7.16E-02</c:v>
                </c:pt>
                <c:pt idx="219">
                  <c:v>7.23E-02</c:v>
                </c:pt>
                <c:pt idx="220">
                  <c:v>7.30E-02</c:v>
                </c:pt>
                <c:pt idx="221">
                  <c:v>7.38E-02</c:v>
                </c:pt>
                <c:pt idx="222">
                  <c:v>7.45E-02</c:v>
                </c:pt>
                <c:pt idx="223">
                  <c:v>7.53E-02</c:v>
                </c:pt>
                <c:pt idx="224">
                  <c:v>7.60E-02</c:v>
                </c:pt>
                <c:pt idx="225">
                  <c:v>7.68E-02</c:v>
                </c:pt>
                <c:pt idx="226">
                  <c:v>7.75E-02</c:v>
                </c:pt>
                <c:pt idx="227">
                  <c:v>7.83E-02</c:v>
                </c:pt>
                <c:pt idx="228">
                  <c:v>7.91E-02</c:v>
                </c:pt>
                <c:pt idx="229">
                  <c:v>7.99E-02</c:v>
                </c:pt>
                <c:pt idx="230">
                  <c:v>8.07E-02</c:v>
                </c:pt>
                <c:pt idx="231">
                  <c:v>8.15E-02</c:v>
                </c:pt>
                <c:pt idx="232">
                  <c:v>8.23E-02</c:v>
                </c:pt>
                <c:pt idx="233">
                  <c:v>8.31E-02</c:v>
                </c:pt>
                <c:pt idx="234">
                  <c:v>8.40E-02</c:v>
                </c:pt>
                <c:pt idx="235">
                  <c:v>8.48E-02</c:v>
                </c:pt>
                <c:pt idx="236">
                  <c:v>8.57E-02</c:v>
                </c:pt>
                <c:pt idx="237">
                  <c:v>8.65E-02</c:v>
                </c:pt>
                <c:pt idx="238">
                  <c:v>8.74E-02</c:v>
                </c:pt>
                <c:pt idx="239">
                  <c:v>8.82E-02</c:v>
                </c:pt>
                <c:pt idx="240">
                  <c:v>8.91E-02</c:v>
                </c:pt>
                <c:pt idx="241">
                  <c:v>9.00E-02</c:v>
                </c:pt>
                <c:pt idx="242">
                  <c:v>9.09E-02</c:v>
                </c:pt>
                <c:pt idx="243">
                  <c:v>9.18E-02</c:v>
                </c:pt>
                <c:pt idx="244">
                  <c:v>9.27E-02</c:v>
                </c:pt>
                <c:pt idx="245">
                  <c:v>9.37E-02</c:v>
                </c:pt>
                <c:pt idx="246">
                  <c:v>9.46E-02</c:v>
                </c:pt>
                <c:pt idx="247">
                  <c:v>9.56E-02</c:v>
                </c:pt>
                <c:pt idx="248">
                  <c:v>9.65E-02</c:v>
                </c:pt>
                <c:pt idx="249">
                  <c:v>9.75E-02</c:v>
                </c:pt>
                <c:pt idx="250">
                  <c:v>9.85E-02</c:v>
                </c:pt>
                <c:pt idx="251">
                  <c:v>9.94E-02</c:v>
                </c:pt>
                <c:pt idx="252">
                  <c:v>1.00E-01</c:v>
                </c:pt>
                <c:pt idx="253">
                  <c:v>1.01E-01</c:v>
                </c:pt>
                <c:pt idx="254">
                  <c:v>1.02E-01</c:v>
                </c:pt>
                <c:pt idx="255">
                  <c:v>1.03E-01</c:v>
                </c:pt>
                <c:pt idx="256">
                  <c:v>1.05E-01</c:v>
                </c:pt>
                <c:pt idx="257">
                  <c:v>1.06E-01</c:v>
                </c:pt>
                <c:pt idx="258">
                  <c:v>1.07E-01</c:v>
                </c:pt>
                <c:pt idx="259">
                  <c:v>1.08E-01</c:v>
                </c:pt>
                <c:pt idx="260">
                  <c:v>1.09E-01</c:v>
                </c:pt>
                <c:pt idx="261">
                  <c:v>1.10E-01</c:v>
                </c:pt>
                <c:pt idx="262">
                  <c:v>1.11E-01</c:v>
                </c:pt>
                <c:pt idx="263">
                  <c:v>1.12E-01</c:v>
                </c:pt>
                <c:pt idx="264">
                  <c:v>1.13E-01</c:v>
                </c:pt>
                <c:pt idx="265">
                  <c:v>1.14E-01</c:v>
                </c:pt>
                <c:pt idx="266">
                  <c:v>1.15E-01</c:v>
                </c:pt>
                <c:pt idx="267">
                  <c:v>1.17E-01</c:v>
                </c:pt>
                <c:pt idx="268">
                  <c:v>1.18E-01</c:v>
                </c:pt>
                <c:pt idx="269">
                  <c:v>1.19E-01</c:v>
                </c:pt>
                <c:pt idx="270">
                  <c:v>1.20E-01</c:v>
                </c:pt>
                <c:pt idx="271">
                  <c:v>1.21E-01</c:v>
                </c:pt>
                <c:pt idx="272">
                  <c:v>1.23E-01</c:v>
                </c:pt>
                <c:pt idx="273">
                  <c:v>1.24E-01</c:v>
                </c:pt>
                <c:pt idx="274">
                  <c:v>1.25E-01</c:v>
                </c:pt>
                <c:pt idx="275">
                  <c:v>1.26E-01</c:v>
                </c:pt>
                <c:pt idx="276">
                  <c:v>1.28E-01</c:v>
                </c:pt>
                <c:pt idx="277">
                  <c:v>1.29E-01</c:v>
                </c:pt>
                <c:pt idx="278">
                  <c:v>1.30E-01</c:v>
                </c:pt>
                <c:pt idx="279">
                  <c:v>1.31E-01</c:v>
                </c:pt>
                <c:pt idx="280">
                  <c:v>1.33E-01</c:v>
                </c:pt>
                <c:pt idx="281">
                  <c:v>1.34E-01</c:v>
                </c:pt>
                <c:pt idx="282">
                  <c:v>1.35E-01</c:v>
                </c:pt>
                <c:pt idx="283">
                  <c:v>1.37E-01</c:v>
                </c:pt>
                <c:pt idx="284">
                  <c:v>1.38E-01</c:v>
                </c:pt>
                <c:pt idx="285">
                  <c:v>1.39E-01</c:v>
                </c:pt>
                <c:pt idx="286">
                  <c:v>1.41E-01</c:v>
                </c:pt>
                <c:pt idx="287">
                  <c:v>1.42E-01</c:v>
                </c:pt>
                <c:pt idx="288">
                  <c:v>1.44E-01</c:v>
                </c:pt>
                <c:pt idx="289">
                  <c:v>1.45E-01</c:v>
                </c:pt>
                <c:pt idx="290">
                  <c:v>1.47E-01</c:v>
                </c:pt>
                <c:pt idx="291">
                  <c:v>1.48E-01</c:v>
                </c:pt>
                <c:pt idx="292">
                  <c:v>1.50E-01</c:v>
                </c:pt>
                <c:pt idx="293">
                  <c:v>1.51E-01</c:v>
                </c:pt>
                <c:pt idx="294">
                  <c:v>1.53E-01</c:v>
                </c:pt>
                <c:pt idx="295">
                  <c:v>1.54E-01</c:v>
                </c:pt>
                <c:pt idx="296">
                  <c:v>1.56E-01</c:v>
                </c:pt>
                <c:pt idx="297">
                  <c:v>1.57E-01</c:v>
                </c:pt>
                <c:pt idx="298">
                  <c:v>1.59E-01</c:v>
                </c:pt>
                <c:pt idx="299">
                  <c:v>1.60E-01</c:v>
                </c:pt>
                <c:pt idx="300">
                  <c:v>1.62E-01</c:v>
                </c:pt>
                <c:pt idx="301">
                  <c:v>1.64E-01</c:v>
                </c:pt>
                <c:pt idx="302">
                  <c:v>1.65E-01</c:v>
                </c:pt>
                <c:pt idx="303">
                  <c:v>1.67E-01</c:v>
                </c:pt>
                <c:pt idx="304">
                  <c:v>1.68E-01</c:v>
                </c:pt>
                <c:pt idx="305">
                  <c:v>1.70E-01</c:v>
                </c:pt>
                <c:pt idx="306">
                  <c:v>1.72E-01</c:v>
                </c:pt>
                <c:pt idx="307">
                  <c:v>1.74E-01</c:v>
                </c:pt>
                <c:pt idx="308">
                  <c:v>1.75E-01</c:v>
                </c:pt>
                <c:pt idx="309">
                  <c:v>1.77E-01</c:v>
                </c:pt>
                <c:pt idx="310">
                  <c:v>1.79E-01</c:v>
                </c:pt>
                <c:pt idx="311">
                  <c:v>1.81E-01</c:v>
                </c:pt>
                <c:pt idx="312">
                  <c:v>1.82E-01</c:v>
                </c:pt>
                <c:pt idx="313">
                  <c:v>1.84E-01</c:v>
                </c:pt>
                <c:pt idx="314">
                  <c:v>1.86E-01</c:v>
                </c:pt>
                <c:pt idx="315">
                  <c:v>1.88E-01</c:v>
                </c:pt>
                <c:pt idx="316">
                  <c:v>1.90E-01</c:v>
                </c:pt>
                <c:pt idx="317">
                  <c:v>1.92E-01</c:v>
                </c:pt>
                <c:pt idx="318">
                  <c:v>1.94E-01</c:v>
                </c:pt>
                <c:pt idx="319">
                  <c:v>1.96E-01</c:v>
                </c:pt>
                <c:pt idx="320">
                  <c:v>1.98E-01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1.28039863258E-2</c:v>
                </c:pt>
                <c:pt idx="46">
                  <c:v>1.2932026189000001E-2</c:v>
                </c:pt>
                <c:pt idx="47">
                  <c:v>1.3061346450899999E-2</c:v>
                </c:pt>
                <c:pt idx="48">
                  <c:v>1.31919599154E-2</c:v>
                </c:pt>
                <c:pt idx="49">
                  <c:v>1.33238795146E-2</c:v>
                </c:pt>
                <c:pt idx="50">
                  <c:v>1.3457118309700001E-2</c:v>
                </c:pt>
                <c:pt idx="51">
                  <c:v>1.3591689492799999E-2</c:v>
                </c:pt>
                <c:pt idx="52">
                  <c:v>1.37276063878E-2</c:v>
                </c:pt>
                <c:pt idx="53">
                  <c:v>1.3864882451600001E-2</c:v>
                </c:pt>
                <c:pt idx="54">
                  <c:v>1.40035312762E-2</c:v>
                </c:pt>
                <c:pt idx="55">
                  <c:v>1.41435665889E-2</c:v>
                </c:pt>
                <c:pt idx="56">
                  <c:v>1.42850022548E-2</c:v>
                </c:pt>
                <c:pt idx="57">
                  <c:v>1.44278522774E-2</c:v>
                </c:pt>
                <c:pt idx="58">
                  <c:v>1.4572130800099999E-2</c:v>
                </c:pt>
                <c:pt idx="59">
                  <c:v>1.4717852108099999E-2</c:v>
                </c:pt>
                <c:pt idx="60">
                  <c:v>1.4865030629200001E-2</c:v>
                </c:pt>
                <c:pt idx="61">
                  <c:v>1.50136809355E-2</c:v>
                </c:pt>
                <c:pt idx="62">
                  <c:v>1.5163817744900001E-2</c:v>
                </c:pt>
                <c:pt idx="63">
                  <c:v>1.5315455922300001E-2</c:v>
                </c:pt>
                <c:pt idx="64">
                  <c:v>1.54686104815E-2</c:v>
                </c:pt>
                <c:pt idx="65">
                  <c:v>1.56232965864E-2</c:v>
                </c:pt>
                <c:pt idx="66">
                  <c:v>1.5779529552200001E-2</c:v>
                </c:pt>
                <c:pt idx="67">
                  <c:v>1.59373248477E-2</c:v>
                </c:pt>
                <c:pt idx="68">
                  <c:v>1.6096698096199999E-2</c:v>
                </c:pt>
                <c:pt idx="69">
                  <c:v>1.6257665077200001E-2</c:v>
                </c:pt>
                <c:pt idx="70">
                  <c:v>1.6420241727999999E-2</c:v>
                </c:pt>
                <c:pt idx="71">
                  <c:v>1.6584444145200002E-2</c:v>
                </c:pt>
                <c:pt idx="72">
                  <c:v>1.67502885867E-2</c:v>
                </c:pt>
                <c:pt idx="73">
                  <c:v>1.6917791472599999E-2</c:v>
                </c:pt>
                <c:pt idx="74">
                  <c:v>1.7086969387300002E-2</c:v>
                </c:pt>
                <c:pt idx="75">
                  <c:v>1.7257839081199999E-2</c:v>
                </c:pt>
                <c:pt idx="76">
                  <c:v>1.7430417472000002E-2</c:v>
                </c:pt>
                <c:pt idx="77">
                  <c:v>1.7604721646699999E-2</c:v>
                </c:pt>
                <c:pt idx="78">
                  <c:v>1.77807688631E-2</c:v>
                </c:pt>
                <c:pt idx="79">
                  <c:v>1.7958576551799998E-2</c:v>
                </c:pt>
                <c:pt idx="80">
                  <c:v>1.8138162317300002E-2</c:v>
                </c:pt>
                <c:pt idx="81">
                  <c:v>1.8319543940500001E-2</c:v>
                </c:pt>
                <c:pt idx="82">
                  <c:v>1.8502739379900001E-2</c:v>
                </c:pt>
                <c:pt idx="83">
                  <c:v>1.8687766773700001E-2</c:v>
                </c:pt>
                <c:pt idx="84">
                  <c:v>1.8874644441399999E-2</c:v>
                </c:pt>
                <c:pt idx="85">
                  <c:v>1.9063390885799999E-2</c:v>
                </c:pt>
                <c:pt idx="86">
                  <c:v>1.9254024794699998E-2</c:v>
                </c:pt>
                <c:pt idx="87">
                  <c:v>1.9446565042599999E-2</c:v>
                </c:pt>
                <c:pt idx="88">
                  <c:v>1.9641030693100001E-2</c:v>
                </c:pt>
                <c:pt idx="89">
                  <c:v>1.9837441000000001E-2</c:v>
                </c:pt>
                <c:pt idx="90">
                  <c:v>2.0035815410000001E-2</c:v>
                </c:pt>
                <c:pt idx="91">
                  <c:v>2.0236173564099999E-2</c:v>
                </c:pt>
                <c:pt idx="92">
                  <c:v>2.0438535299700002E-2</c:v>
                </c:pt>
                <c:pt idx="93">
                  <c:v>2.06429206527E-2</c:v>
                </c:pt>
                <c:pt idx="94">
                  <c:v>2.0849349859299999E-2</c:v>
                </c:pt>
                <c:pt idx="95">
                  <c:v>2.1057843357800001E-2</c:v>
                </c:pt>
                <c:pt idx="96">
                  <c:v>2.12684217914E-2</c:v>
                </c:pt>
                <c:pt idx="97">
                  <c:v>2.1481106009300002E-2</c:v>
                </c:pt>
                <c:pt idx="98">
                  <c:v>2.1695917069400002E-2</c:v>
                </c:pt>
                <c:pt idx="99">
                  <c:v>2.19128762401E-2</c:v>
                </c:pt>
                <c:pt idx="100">
                  <c:v>2.21320050025E-2</c:v>
                </c:pt>
                <c:pt idx="101">
                  <c:v>2.2353325052600001E-2</c:v>
                </c:pt>
                <c:pt idx="102">
                  <c:v>2.2576858303100002E-2</c:v>
                </c:pt>
                <c:pt idx="103">
                  <c:v>2.2802626886099998E-2</c:v>
                </c:pt>
                <c:pt idx="104">
                  <c:v>2.3030653155000001E-2</c:v>
                </c:pt>
                <c:pt idx="105">
                  <c:v>2.32609596865E-2</c:v>
                </c:pt>
                <c:pt idx="106">
                  <c:v>2.34935692834E-2</c:v>
                </c:pt>
                <c:pt idx="107">
                  <c:v>2.37285049762E-2</c:v>
                </c:pt>
                <c:pt idx="108">
                  <c:v>2.3965790026000001E-2</c:v>
                </c:pt>
                <c:pt idx="109">
                  <c:v>2.42054479262E-2</c:v>
                </c:pt>
                <c:pt idx="110">
                  <c:v>2.4447502405500001E-2</c:v>
                </c:pt>
                <c:pt idx="111">
                  <c:v>2.4691977429599998E-2</c:v>
                </c:pt>
                <c:pt idx="112">
                  <c:v>2.4938897203899999E-2</c:v>
                </c:pt>
                <c:pt idx="113">
                  <c:v>2.51882861759E-2</c:v>
                </c:pt>
                <c:pt idx="114">
                  <c:v>2.5440169037600002E-2</c:v>
                </c:pt>
                <c:pt idx="115">
                  <c:v>2.5694570728E-2</c:v>
                </c:pt>
                <c:pt idx="116">
                  <c:v>2.5951516435299998E-2</c:v>
                </c:pt>
                <c:pt idx="117">
                  <c:v>2.6211031599700001E-2</c:v>
                </c:pt>
                <c:pt idx="118">
                  <c:v>2.6473141915700001E-2</c:v>
                </c:pt>
                <c:pt idx="119">
                  <c:v>2.6737873334799999E-2</c:v>
                </c:pt>
                <c:pt idx="120">
                  <c:v>2.7005252068200002E-2</c:v>
                </c:pt>
                <c:pt idx="121">
                  <c:v>2.7275304588799999E-2</c:v>
                </c:pt>
                <c:pt idx="122">
                  <c:v>2.7548057634700002E-2</c:v>
                </c:pt>
                <c:pt idx="123">
                  <c:v>2.78235382111E-2</c:v>
                </c:pt>
                <c:pt idx="124">
                  <c:v>2.81017735932E-2</c:v>
                </c:pt>
                <c:pt idx="125">
                  <c:v>2.8382791329100002E-2</c:v>
                </c:pt>
                <c:pt idx="126">
                  <c:v>2.86666192424E-2</c:v>
                </c:pt>
                <c:pt idx="127">
                  <c:v>2.89532854348E-2</c:v>
                </c:pt>
                <c:pt idx="128">
                  <c:v>2.9242818289200001E-2</c:v>
                </c:pt>
                <c:pt idx="129">
                  <c:v>2.9535246472099999E-2</c:v>
                </c:pt>
                <c:pt idx="130">
                  <c:v>2.9830598936799999E-2</c:v>
                </c:pt>
                <c:pt idx="131">
                  <c:v>3.01289049262E-2</c:v>
                </c:pt>
                <c:pt idx="132">
                  <c:v>3.0430193975400002E-2</c:v>
                </c:pt>
                <c:pt idx="133">
                  <c:v>3.07344959152E-2</c:v>
                </c:pt>
                <c:pt idx="134">
                  <c:v>3.1041840874300002E-2</c:v>
                </c:pt>
                <c:pt idx="135">
                  <c:v>3.1352259283100002E-2</c:v>
                </c:pt>
                <c:pt idx="136">
                  <c:v>3.1665781875900002E-2</c:v>
                </c:pt>
                <c:pt idx="137">
                  <c:v>3.19824396947E-2</c:v>
                </c:pt>
                <c:pt idx="138">
                  <c:v>3.2302264091600003E-2</c:v>
                </c:pt>
                <c:pt idx="139">
                  <c:v>3.2625286732500001E-2</c:v>
                </c:pt>
                <c:pt idx="140">
                  <c:v>3.29515395999E-2</c:v>
                </c:pt>
                <c:pt idx="141">
                  <c:v>3.3281054995899999E-2</c:v>
                </c:pt>
                <c:pt idx="142">
                  <c:v>3.3613865545800002E-2</c:v>
                </c:pt>
                <c:pt idx="143">
                  <c:v>3.3950004201300003E-2</c:v>
                </c:pt>
                <c:pt idx="144">
                  <c:v>3.4289504243299997E-2</c:v>
                </c:pt>
                <c:pt idx="145">
                  <c:v>3.46323992857E-2</c:v>
                </c:pt>
                <c:pt idx="146">
                  <c:v>3.49787232786E-2</c:v>
                </c:pt>
                <c:pt idx="147">
                  <c:v>3.5328510511399999E-2</c:v>
                </c:pt>
                <c:pt idx="148">
                  <c:v>3.5681795616499999E-2</c:v>
                </c:pt>
                <c:pt idx="149">
                  <c:v>3.6038613572599999E-2</c:v>
                </c:pt>
                <c:pt idx="150">
                  <c:v>3.63989997084E-2</c:v>
                </c:pt>
                <c:pt idx="151">
                  <c:v>3.6762989705399998E-2</c:v>
                </c:pt>
                <c:pt idx="152">
                  <c:v>3.7130619602499998E-2</c:v>
                </c:pt>
                <c:pt idx="153">
                  <c:v>3.7501925798500001E-2</c:v>
                </c:pt>
                <c:pt idx="154">
                  <c:v>3.7876945056500001E-2</c:v>
                </c:pt>
                <c:pt idx="155">
                  <c:v>3.8255714507099997E-2</c:v>
                </c:pt>
                <c:pt idx="156">
                  <c:v>3.8638271652100001E-2</c:v>
                </c:pt>
                <c:pt idx="157">
                  <c:v>3.90246543687E-2</c:v>
                </c:pt>
                <c:pt idx="158">
                  <c:v>3.9414900912399999E-2</c:v>
                </c:pt>
                <c:pt idx="159">
                  <c:v>3.98090499215E-2</c:v>
                </c:pt>
                <c:pt idx="160">
                  <c:v>4.0207140420699998E-2</c:v>
                </c:pt>
                <c:pt idx="161">
                  <c:v>4.0609211824900002E-2</c:v>
                </c:pt>
                <c:pt idx="162">
                  <c:v>4.1015303943099997E-2</c:v>
                </c:pt>
                <c:pt idx="163">
                  <c:v>4.1425456982600001E-2</c:v>
                </c:pt>
                <c:pt idx="164">
                  <c:v>4.1839711552400002E-2</c:v>
                </c:pt>
                <c:pt idx="165">
                  <c:v>4.2258108667900002E-2</c:v>
                </c:pt>
                <c:pt idx="166">
                  <c:v>4.2680689754600001E-2</c:v>
                </c:pt>
                <c:pt idx="167">
                  <c:v>4.3107496652199997E-2</c:v>
                </c:pt>
                <c:pt idx="168">
                  <c:v>4.3538571618699999E-2</c:v>
                </c:pt>
                <c:pt idx="169">
                  <c:v>4.3973957334899998E-2</c:v>
                </c:pt>
                <c:pt idx="170">
                  <c:v>4.4413696908199997E-2</c:v>
                </c:pt>
                <c:pt idx="171">
                  <c:v>4.4857833877300003E-2</c:v>
                </c:pt>
                <c:pt idx="172">
                  <c:v>4.5306412216100003E-2</c:v>
                </c:pt>
                <c:pt idx="173">
                  <c:v>4.5759476338200003E-2</c:v>
                </c:pt>
                <c:pt idx="174">
                  <c:v>4.6217071101599998E-2</c:v>
                </c:pt>
                <c:pt idx="175">
                  <c:v>4.6679241812599997E-2</c:v>
                </c:pt>
                <c:pt idx="176">
                  <c:v>4.71460342308E-2</c:v>
                </c:pt>
                <c:pt idx="177">
                  <c:v>4.7617494573100001E-2</c:v>
                </c:pt>
                <c:pt idx="178">
                  <c:v>4.8093669518800002E-2</c:v>
                </c:pt>
                <c:pt idx="179">
                  <c:v>4.8574606213999998E-2</c:v>
                </c:pt>
                <c:pt idx="180">
                  <c:v>4.9060352276099999E-2</c:v>
                </c:pt>
                <c:pt idx="181">
                  <c:v>4.9550955798900002E-2</c:v>
                </c:pt>
                <c:pt idx="182">
                  <c:v>5.0046465356900001E-2</c:v>
                </c:pt>
                <c:pt idx="183">
                  <c:v>5.0546930010399997E-2</c:v>
                </c:pt>
                <c:pt idx="184">
                  <c:v>5.1052399310499999E-2</c:v>
                </c:pt>
                <c:pt idx="185">
                  <c:v>5.1562923303600003E-2</c:v>
                </c:pt>
                <c:pt idx="186">
                  <c:v>5.2078552536699997E-2</c:v>
                </c:pt>
                <c:pt idx="187">
                  <c:v>5.2599338062100001E-2</c:v>
                </c:pt>
                <c:pt idx="188">
                  <c:v>5.31253314427E-2</c:v>
                </c:pt>
                <c:pt idx="189">
                  <c:v>5.3656584757100001E-2</c:v>
                </c:pt>
                <c:pt idx="190">
                  <c:v>5.4193150604700001E-2</c:v>
                </c:pt>
                <c:pt idx="191">
                  <c:v>5.4735082110700002E-2</c:v>
                </c:pt>
                <c:pt idx="192">
                  <c:v>5.5282432931799998E-2</c:v>
                </c:pt>
                <c:pt idx="193">
                  <c:v>5.5835257261100002E-2</c:v>
                </c:pt>
                <c:pt idx="194">
                  <c:v>5.6393609833799999E-2</c:v>
                </c:pt>
                <c:pt idx="195">
                  <c:v>5.69575459321E-2</c:v>
                </c:pt>
                <c:pt idx="196">
                  <c:v>5.7527121391400003E-2</c:v>
                </c:pt>
                <c:pt idx="197">
                  <c:v>5.81023926053E-2</c:v>
                </c:pt>
                <c:pt idx="198">
                  <c:v>5.8683416531400003E-2</c:v>
                </c:pt>
                <c:pt idx="199">
                  <c:v>5.92702506967E-2</c:v>
                </c:pt>
                <c:pt idx="200">
                  <c:v>5.9862953203699998E-2</c:v>
                </c:pt>
                <c:pt idx="201">
                  <c:v>6.0461582735700001E-2</c:v>
                </c:pt>
                <c:pt idx="202">
                  <c:v>6.1066198563099999E-2</c:v>
                </c:pt>
                <c:pt idx="203">
                  <c:v>6.1676860548700002E-2</c:v>
                </c:pt>
                <c:pt idx="204">
                  <c:v>6.2293629154200003E-2</c:v>
                </c:pt>
                <c:pt idx="205">
                  <c:v>6.2916565445699998E-2</c:v>
                </c:pt>
                <c:pt idx="206">
                  <c:v>6.3545731100199995E-2</c:v>
                </c:pt>
                <c:pt idx="207">
                  <c:v>6.4181188411200005E-2</c:v>
                </c:pt>
                <c:pt idx="208">
                  <c:v>6.4823000295299998E-2</c:v>
                </c:pt>
                <c:pt idx="209">
                  <c:v>6.5471230298199998E-2</c:v>
                </c:pt>
                <c:pt idx="210">
                  <c:v>6.61259426012E-2</c:v>
                </c:pt>
                <c:pt idx="211">
                  <c:v>6.6787202027199996E-2</c:v>
                </c:pt>
                <c:pt idx="212">
                  <c:v>6.7455074047499994E-2</c:v>
                </c:pt>
                <c:pt idx="213">
                  <c:v>6.8129624787999998E-2</c:v>
                </c:pt>
                <c:pt idx="214">
                  <c:v>6.8810921035900002E-2</c:v>
                </c:pt>
                <c:pt idx="215">
                  <c:v>6.9499030246199994E-2</c:v>
                </c:pt>
                <c:pt idx="216">
                  <c:v>7.0194020548699998E-2</c:v>
                </c:pt>
                <c:pt idx="217">
                  <c:v>7.0895960754200002E-2</c:v>
                </c:pt>
                <c:pt idx="218">
                  <c:v>7.1604920361700006E-2</c:v>
                </c:pt>
                <c:pt idx="219">
                  <c:v>7.23209695653E-2</c:v>
                </c:pt>
                <c:pt idx="220">
                  <c:v>7.3044179261E-2</c:v>
                </c:pt>
                <c:pt idx="221">
                  <c:v>7.3774621053599998E-2</c:v>
                </c:pt>
                <c:pt idx="222">
                  <c:v>7.4512367264100002E-2</c:v>
                </c:pt>
                <c:pt idx="223">
                  <c:v>7.5257490936799995E-2</c:v>
                </c:pt>
                <c:pt idx="224">
                  <c:v>7.6010065846099997E-2</c:v>
                </c:pt>
                <c:pt idx="225">
                  <c:v>7.6770166504600001E-2</c:v>
                </c:pt>
                <c:pt idx="226">
                  <c:v>7.7537868169599997E-2</c:v>
                </c:pt>
                <c:pt idx="227">
                  <c:v>7.8313246851300006E-2</c:v>
                </c:pt>
                <c:pt idx="228">
                  <c:v>7.90963793198E-2</c:v>
                </c:pt>
                <c:pt idx="229">
                  <c:v>7.9887343112999998E-2</c:v>
                </c:pt>
                <c:pt idx="230">
                  <c:v>8.0686216544199996E-2</c:v>
                </c:pt>
                <c:pt idx="231">
                  <c:v>8.14930787096E-2</c:v>
                </c:pt>
                <c:pt idx="232">
                  <c:v>8.2308009496700002E-2</c:v>
                </c:pt>
                <c:pt idx="233">
                  <c:v>8.31310895917E-2</c:v>
                </c:pt>
                <c:pt idx="234">
                  <c:v>8.3962400487599995E-2</c:v>
                </c:pt>
                <c:pt idx="235">
                  <c:v>8.4802024492500003E-2</c:v>
                </c:pt>
                <c:pt idx="236">
                  <c:v>8.5650044737399997E-2</c:v>
                </c:pt>
                <c:pt idx="237">
                  <c:v>8.6506545184799999E-2</c:v>
                </c:pt>
                <c:pt idx="238">
                  <c:v>8.7371610636599997E-2</c:v>
                </c:pt>
                <c:pt idx="239">
                  <c:v>8.8245326742999994E-2</c:v>
                </c:pt>
                <c:pt idx="240">
                  <c:v>8.9127780010400004E-2</c:v>
                </c:pt>
                <c:pt idx="241">
                  <c:v>9.00190578105E-2</c:v>
                </c:pt>
                <c:pt idx="242">
                  <c:v>9.0919248388599994E-2</c:v>
                </c:pt>
                <c:pt idx="243">
                  <c:v>9.18284408725E-2</c:v>
                </c:pt>
                <c:pt idx="244">
                  <c:v>9.2746725281199996E-2</c:v>
                </c:pt>
                <c:pt idx="245">
                  <c:v>9.3674192534E-2</c:v>
                </c:pt>
                <c:pt idx="246">
                  <c:v>9.4610934459399998E-2</c:v>
                </c:pt>
                <c:pt idx="247">
                  <c:v>9.5557043804E-2</c:v>
                </c:pt>
                <c:pt idx="248">
                  <c:v>9.6512614242E-2</c:v>
                </c:pt>
                <c:pt idx="249">
                  <c:v>9.7477740384400005E-2</c:v>
                </c:pt>
                <c:pt idx="250">
                  <c:v>9.8452517788299998E-2</c:v>
                </c:pt>
                <c:pt idx="251">
                  <c:v>9.9437042966199998E-2</c:v>
                </c:pt>
                <c:pt idx="252">
                  <c:v>0.10043141339599999</c:v>
                </c:pt>
                <c:pt idx="253">
                  <c:v>0.10143572753000001</c:v>
                </c:pt>
                <c:pt idx="254">
                  <c:v>0.10245008480499999</c:v>
                </c:pt>
                <c:pt idx="255">
                  <c:v>0.103474585653</c:v>
                </c:pt>
                <c:pt idx="256">
                  <c:v>0.10450933151</c:v>
                </c:pt>
                <c:pt idx="257">
                  <c:v>0.10555442482500001</c:v>
                </c:pt>
                <c:pt idx="258">
                  <c:v>0.10660996907299999</c:v>
                </c:pt>
                <c:pt idx="259">
                  <c:v>0.107676068764</c:v>
                </c:pt>
                <c:pt idx="260">
                  <c:v>0.108752829451</c:v>
                </c:pt>
                <c:pt idx="261">
                  <c:v>0.109840357746</c:v>
                </c:pt>
                <c:pt idx="262">
                  <c:v>0.110938761323</c:v>
                </c:pt>
                <c:pt idx="263">
                  <c:v>0.11204814893700001</c:v>
                </c:pt>
                <c:pt idx="264">
                  <c:v>0.11316863042600001</c:v>
                </c:pt>
                <c:pt idx="265">
                  <c:v>0.11430031673</c:v>
                </c:pt>
                <c:pt idx="266">
                  <c:v>0.115443319898</c:v>
                </c:pt>
                <c:pt idx="267">
                  <c:v>0.116597753096</c:v>
                </c:pt>
                <c:pt idx="268">
                  <c:v>0.117763730627</c:v>
                </c:pt>
                <c:pt idx="269">
                  <c:v>0.11894136793399999</c:v>
                </c:pt>
                <c:pt idx="270">
                  <c:v>0.120130781613</c:v>
                </c:pt>
                <c:pt idx="271">
                  <c:v>0.12133208942900001</c:v>
                </c:pt>
                <c:pt idx="272">
                  <c:v>0.122545410323</c:v>
                </c:pt>
                <c:pt idx="273">
                  <c:v>0.123770864427</c:v>
                </c:pt>
                <c:pt idx="274">
                  <c:v>0.125008573071</c:v>
                </c:pt>
                <c:pt idx="275">
                  <c:v>0.12625865880199999</c:v>
                </c:pt>
                <c:pt idx="276">
                  <c:v>0.12752124539000001</c:v>
                </c:pt>
                <c:pt idx="277">
                  <c:v>0.12879645784400001</c:v>
                </c:pt>
                <c:pt idx="278">
                  <c:v>0.130084422422</c:v>
                </c:pt>
                <c:pt idx="279">
                  <c:v>0.131385266646</c:v>
                </c:pt>
                <c:pt idx="280">
                  <c:v>0.13269911931299999</c:v>
                </c:pt>
                <c:pt idx="281">
                  <c:v>0.134026110506</c:v>
                </c:pt>
                <c:pt idx="282">
                  <c:v>0.13536637161100001</c:v>
                </c:pt>
                <c:pt idx="283">
                  <c:v>0.136720035327</c:v>
                </c:pt>
                <c:pt idx="284">
                  <c:v>0.13808723568</c:v>
                </c:pt>
                <c:pt idx="285">
                  <c:v>0.13946810803699999</c:v>
                </c:pt>
                <c:pt idx="286">
                  <c:v>0.14086278911700001</c:v>
                </c:pt>
                <c:pt idx="287">
                  <c:v>0.14227141700900001</c:v>
                </c:pt>
                <c:pt idx="288">
                  <c:v>0.14369413117900001</c:v>
                </c:pt>
                <c:pt idx="289">
                  <c:v>0.14513107249099999</c:v>
                </c:pt>
                <c:pt idx="290">
                  <c:v>0.146582383215</c:v>
                </c:pt>
                <c:pt idx="291">
                  <c:v>0.14804820704800001</c:v>
                </c:pt>
                <c:pt idx="292">
                  <c:v>0.14952868911799999</c:v>
                </c:pt>
                <c:pt idx="293">
                  <c:v>0.151023976009</c:v>
                </c:pt>
                <c:pt idx="294">
                  <c:v>0.152534215769</c:v>
                </c:pt>
                <c:pt idx="295">
                  <c:v>0.15405955792699999</c:v>
                </c:pt>
                <c:pt idx="296">
                  <c:v>0.15560015350600001</c:v>
                </c:pt>
                <c:pt idx="297">
                  <c:v>0.157156155041</c:v>
                </c:pt>
                <c:pt idx="298">
                  <c:v>0.158727716592</c:v>
                </c:pt>
                <c:pt idx="299">
                  <c:v>0.16031499375800001</c:v>
                </c:pt>
                <c:pt idx="300">
                  <c:v>0.16191814369499999</c:v>
                </c:pt>
                <c:pt idx="301">
                  <c:v>0.16353732513200001</c:v>
                </c:pt>
                <c:pt idx="302">
                  <c:v>0.16517269838400001</c:v>
                </c:pt>
                <c:pt idx="303">
                  <c:v>0.16682442536700001</c:v>
                </c:pt>
                <c:pt idx="304">
                  <c:v>0.16849266962100001</c:v>
                </c:pt>
                <c:pt idx="305">
                  <c:v>0.170177596317</c:v>
                </c:pt>
                <c:pt idx="306">
                  <c:v>0.17187937228</c:v>
                </c:pt>
                <c:pt idx="307">
                  <c:v>0.17359816600299999</c:v>
                </c:pt>
                <c:pt idx="308">
                  <c:v>0.17533414766300001</c:v>
                </c:pt>
                <c:pt idx="309">
                  <c:v>0.17708748914</c:v>
                </c:pt>
                <c:pt idx="310">
                  <c:v>0.178858364031</c:v>
                </c:pt>
                <c:pt idx="311">
                  <c:v>0.18064694767200001</c:v>
                </c:pt>
                <c:pt idx="312">
                  <c:v>0.18245341714800001</c:v>
                </c:pt>
                <c:pt idx="313">
                  <c:v>0.18427795131999999</c:v>
                </c:pt>
                <c:pt idx="314">
                  <c:v>0.18612073083299999</c:v>
                </c:pt>
                <c:pt idx="315">
                  <c:v>0.187981938141</c:v>
                </c:pt>
                <c:pt idx="316">
                  <c:v>0.189861757523</c:v>
                </c:pt>
                <c:pt idx="317">
                  <c:v>0.19176037509800001</c:v>
                </c:pt>
                <c:pt idx="318">
                  <c:v>0.19367797884900001</c:v>
                </c:pt>
                <c:pt idx="319">
                  <c:v>0.19561475863700001</c:v>
                </c:pt>
                <c:pt idx="320">
                  <c:v>0.197570906224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4.4436996588996298E-9</c:v>
                </c:pt>
                <c:pt idx="1">
                  <c:v>4.6208375250192489E-9</c:v>
                </c:pt>
                <c:pt idx="2">
                  <c:v>4.8044780519360251E-9</c:v>
                </c:pt>
                <c:pt idx="3">
                  <c:v>4.9946852176799383E-9</c:v>
                </c:pt>
                <c:pt idx="4">
                  <c:v>5.191460123818752E-9</c:v>
                </c:pt>
                <c:pt idx="5">
                  <c:v>5.3946998253331416E-9</c:v>
                </c:pt>
                <c:pt idx="6">
                  <c:v>5.6041342865965026E-9</c:v>
                </c:pt>
                <c:pt idx="7">
                  <c:v>5.8192288874718715E-9</c:v>
                </c:pt>
                <c:pt idx="8">
                  <c:v>6.039019414252197E-9</c:v>
                </c:pt>
                <c:pt idx="9">
                  <c:v>6.2618208291547062E-9</c:v>
                </c:pt>
                <c:pt idx="10">
                  <c:v>6.484697013432007E-9</c:v>
                </c:pt>
                <c:pt idx="11">
                  <c:v>6.7024878056231906E-9</c:v>
                </c:pt>
                <c:pt idx="12">
                  <c:v>6.9061406589826009E-9</c:v>
                </c:pt>
                <c:pt idx="13">
                  <c:v>7.0806347917052843E-9</c:v>
                </c:pt>
                <c:pt idx="14">
                  <c:v>7.2055128968280473E-9</c:v>
                </c:pt>
                <c:pt idx="15">
                  <c:v>7.2670845523980209E-9</c:v>
                </c:pt>
                <c:pt idx="16">
                  <c:v>7.2908630090040247E-9</c:v>
                </c:pt>
                <c:pt idx="17">
                  <c:v>7.3709185516577882E-9</c:v>
                </c:pt>
                <c:pt idx="18">
                  <c:v>7.6281733060636007E-9</c:v>
                </c:pt>
                <c:pt idx="19">
                  <c:v>8.0627291146119111E-9</c:v>
                </c:pt>
                <c:pt idx="20">
                  <c:v>8.4076097134724408E-9</c:v>
                </c:pt>
                <c:pt idx="21">
                  <c:v>8.2284270253278036E-9</c:v>
                </c:pt>
                <c:pt idx="22">
                  <c:v>7.3594817440586558E-9</c:v>
                </c:pt>
                <c:pt idx="23">
                  <c:v>6.1593628767145736E-9</c:v>
                </c:pt>
                <c:pt idx="24">
                  <c:v>5.1238451775714853E-9</c:v>
                </c:pt>
                <c:pt idx="25">
                  <c:v>4.4295843325905642E-9</c:v>
                </c:pt>
                <c:pt idx="26">
                  <c:v>3.9783764256576944E-9</c:v>
                </c:pt>
                <c:pt idx="27">
                  <c:v>3.6387818189686584E-9</c:v>
                </c:pt>
                <c:pt idx="28">
                  <c:v>3.3399274763885481E-9</c:v>
                </c:pt>
                <c:pt idx="29">
                  <c:v>3.0521966170943429E-9</c:v>
                </c:pt>
                <c:pt idx="30">
                  <c:v>2.7661372538292069E-9</c:v>
                </c:pt>
                <c:pt idx="31">
                  <c:v>2.479387000766894E-9</c:v>
                </c:pt>
                <c:pt idx="32">
                  <c:v>2.1931844737213362E-9</c:v>
                </c:pt>
                <c:pt idx="33">
                  <c:v>1.9107549668558148E-9</c:v>
                </c:pt>
                <c:pt idx="34">
                  <c:v>1.6364203484945273E-9</c:v>
                </c:pt>
                <c:pt idx="35">
                  <c:v>1.3750002534514316E-9</c:v>
                </c:pt>
                <c:pt idx="36">
                  <c:v>1.1313559618571866E-9</c:v>
                </c:pt>
                <c:pt idx="37">
                  <c:v>9.1002520849421207E-10</c:v>
                </c:pt>
                <c:pt idx="38">
                  <c:v>7.1493315599055625E-10</c:v>
                </c:pt>
                <c:pt idx="39">
                  <c:v>5.491778127706844E-10</c:v>
                </c:pt>
                <c:pt idx="40">
                  <c:v>4.1489035164889822E-10</c:v>
                </c:pt>
                <c:pt idx="41">
                  <c:v>3.1316807504205569E-10</c:v>
                </c:pt>
                <c:pt idx="42">
                  <c:v>2.4407348153789762E-10</c:v>
                </c:pt>
                <c:pt idx="43">
                  <c:v>2.0668894445798095E-10</c:v>
                </c:pt>
                <c:pt idx="44">
                  <c:v>1.9921396117543969E-10</c:v>
                </c:pt>
                <c:pt idx="45">
                  <c:v>2.1909112650985604E-10</c:v>
                </c:pt>
                <c:pt idx="46">
                  <c:v>2.6312585522349044E-10</c:v>
                </c:pt>
                <c:pt idx="47">
                  <c:v>3.2776308571811117E-10</c:v>
                </c:pt>
                <c:pt idx="48">
                  <c:v>4.0896103533754797E-10</c:v>
                </c:pt>
                <c:pt idx="49">
                  <c:v>5.0255865701702768E-10</c:v>
                </c:pt>
                <c:pt idx="50">
                  <c:v>6.0432267853244075E-10</c:v>
                </c:pt>
                <c:pt idx="51">
                  <c:v>7.1005509032875825E-10</c:v>
                </c:pt>
                <c:pt idx="52">
                  <c:v>8.1568799763683338E-10</c:v>
                </c:pt>
                <c:pt idx="53">
                  <c:v>9.1736738978988657E-10</c:v>
                </c:pt>
                <c:pt idx="54">
                  <c:v>1.0115277635149651E-9</c:v>
                </c:pt>
                <c:pt idx="55">
                  <c:v>1.0949594693219979E-9</c:v>
                </c:pt>
                <c:pt idx="56">
                  <c:v>1.1648702436523769E-9</c:v>
                </c:pt>
                <c:pt idx="57">
                  <c:v>1.2189417265816596E-9</c:v>
                </c:pt>
                <c:pt idx="58">
                  <c:v>1.2553809634131763E-9</c:v>
                </c:pt>
                <c:pt idx="59">
                  <c:v>1.2729660188340592E-9</c:v>
                </c:pt>
                <c:pt idx="60">
                  <c:v>1.2710839904872949E-9</c:v>
                </c:pt>
                <c:pt idx="61">
                  <c:v>1.2497589759142005E-9</c:v>
                </c:pt>
                <c:pt idx="62">
                  <c:v>1.2096670028547758E-9</c:v>
                </c:pt>
                <c:pt idx="63">
                  <c:v>1.1521346599730224E-9</c:v>
                </c:pt>
                <c:pt idx="64">
                  <c:v>1.0791182282058191E-9</c:v>
                </c:pt>
                <c:pt idx="65">
                  <c:v>9.931605629327175E-10</c:v>
                </c:pt>
                <c:pt idx="66">
                  <c:v>8.9732382888145583E-10</c:v>
                </c:pt>
                <c:pt idx="67">
                  <c:v>7.9509742258560101E-10</c:v>
                </c:pt>
                <c:pt idx="68">
                  <c:v>6.9028196647850034E-10</c:v>
                </c:pt>
                <c:pt idx="69">
                  <c:v>5.8685200051822629E-10</c:v>
                </c:pt>
                <c:pt idx="70">
                  <c:v>4.8880178991280888E-10</c:v>
                </c:pt>
                <c:pt idx="71">
                  <c:v>3.9998032910561801E-10</c:v>
                </c:pt>
                <c:pt idx="72">
                  <c:v>3.2392297880621934E-10</c:v>
                </c:pt>
                <c:pt idx="73">
                  <c:v>2.6368807371464095E-10</c:v>
                </c:pt>
                <c:pt idx="74">
                  <c:v>2.2170717292446734E-10</c:v>
                </c:pt>
                <c:pt idx="75">
                  <c:v>1.9965735651242049E-10</c:v>
                </c:pt>
                <c:pt idx="76">
                  <c:v>1.9836311472417419E-10</c:v>
                </c:pt>
                <c:pt idx="77">
                  <c:v>2.1773402025428871E-10</c:v>
                </c:pt>
                <c:pt idx="78">
                  <c:v>2.5674264888066395E-10</c:v>
                </c:pt>
                <c:pt idx="79">
                  <c:v>3.1344527049581445E-10</c:v>
                </c:pt>
                <c:pt idx="80">
                  <c:v>3.8504582250470633E-10</c:v>
                </c:pt>
                <c:pt idx="81">
                  <c:v>4.6800172726904097E-10</c:v>
                </c:pt>
                <c:pt idx="82">
                  <c:v>5.581683059964459E-10</c:v>
                </c:pt>
                <c:pt idx="83">
                  <c:v>6.509769184640506E-10</c:v>
                </c:pt>
                <c:pt idx="84">
                  <c:v>7.4164051320012866E-10</c:v>
                </c:pt>
                <c:pt idx="85">
                  <c:v>8.2537898177018812E-10</c:v>
                </c:pt>
                <c:pt idx="86">
                  <c:v>8.9765553247467895E-10</c:v>
                </c:pt>
                <c:pt idx="87">
                  <c:v>9.5441421343111101E-10</c:v>
                </c:pt>
                <c:pt idx="88">
                  <c:v>9.9230773393834057E-10</c:v>
                </c:pt>
                <c:pt idx="89">
                  <c:v>1.0089039211492227E-9</c:v>
                </c:pt>
                <c:pt idx="90">
                  <c:v>1.0028586323609344E-9</c:v>
                </c:pt>
                <c:pt idx="91">
                  <c:v>9.7404289257292868E-10</c:v>
                </c:pt>
                <c:pt idx="92">
                  <c:v>9.2361265702653534E-10</c:v>
                </c:pt>
                <c:pt idx="93">
                  <c:v>8.5401111547981742E-10</c:v>
                </c:pt>
                <c:pt idx="94">
                  <c:v>7.6889603005722125E-10</c:v>
                </c:pt>
                <c:pt idx="95">
                  <c:v>6.7298830815448074E-10</c:v>
                </c:pt>
                <c:pt idx="96">
                  <c:v>5.7184280210690411E-10</c:v>
                </c:pt>
                <c:pt idx="97">
                  <c:v>4.7154798244499119E-10</c:v>
                </c:pt>
                <c:pt idx="98">
                  <c:v>3.7836725587087181E-10</c:v>
                </c:pt>
                <c:pt idx="99">
                  <c:v>2.9834076920502069E-10</c:v>
                </c:pt>
                <c:pt idx="100">
                  <c:v>2.3687191708946208E-10</c:v>
                </c:pt>
                <c:pt idx="101">
                  <c:v>1.9832681583758678E-10</c:v>
                </c:pt>
                <c:pt idx="102">
                  <c:v>1.8567714044009318E-10</c:v>
                </c:pt>
                <c:pt idx="103">
                  <c:v>2.002165256108829E-10</c:v>
                </c:pt>
                <c:pt idx="104">
                  <c:v>2.4137799717667761E-10</c:v>
                </c:pt>
                <c:pt idx="105">
                  <c:v>3.0667465610308401E-10</c:v>
                </c:pt>
                <c:pt idx="106">
                  <c:v>3.9177834765234474E-10</c:v>
                </c:pt>
                <c:pt idx="107">
                  <c:v>4.9074175878132513E-10</c:v>
                </c:pt>
                <c:pt idx="108">
                  <c:v>5.9635888290181294E-10</c:v>
                </c:pt>
                <c:pt idx="109">
                  <c:v>7.0064772410028801E-10</c:v>
                </c:pt>
                <c:pt idx="110">
                  <c:v>7.9542818200986419E-10</c:v>
                </c:pt>
                <c:pt idx="111">
                  <c:v>8.7295797136942181E-10</c:v>
                </c:pt>
                <c:pt idx="112">
                  <c:v>9.2658094085031124E-10</c:v>
                </c:pt>
                <c:pt idx="113">
                  <c:v>9.5133604753619656E-10</c:v>
                </c:pt>
                <c:pt idx="114">
                  <c:v>9.4447236278001933E-10</c:v>
                </c:pt>
                <c:pt idx="115">
                  <c:v>9.0581667716212848E-10</c:v>
                </c:pt>
                <c:pt idx="116">
                  <c:v>8.3794629685095189E-10</c:v>
                </c:pt>
                <c:pt idx="117">
                  <c:v>7.461309904329285E-10</c:v>
                </c:pt>
                <c:pt idx="118">
                  <c:v>6.3802481322176453E-10</c:v>
                </c:pt>
                <c:pt idx="119">
                  <c:v>5.2311010663126574E-10</c:v>
                </c:pt>
                <c:pt idx="120">
                  <c:v>4.1192094702201109E-10</c:v>
                </c:pt>
                <c:pt idx="121">
                  <c:v>3.1509947587851122E-10</c:v>
                </c:pt>
                <c:pt idx="122">
                  <c:v>2.4236296597565307E-10</c:v>
                </c:pt>
                <c:pt idx="123">
                  <c:v>2.0147887757783661E-10</c:v>
                </c:pt>
                <c:pt idx="124">
                  <c:v>1.9735629791528065E-10</c:v>
                </c:pt>
                <c:pt idx="125">
                  <c:v>2.313623928759867E-10</c:v>
                </c:pt>
                <c:pt idx="126">
                  <c:v>3.0096021760457677E-10</c:v>
                </c:pt>
                <c:pt idx="127">
                  <c:v>3.9973921758972065E-10</c:v>
                </c:pt>
                <c:pt idx="128">
                  <c:v>5.1787333393707018E-10</c:v>
                </c:pt>
                <c:pt idx="129">
                  <c:v>6.4299664156137907E-10</c:v>
                </c:pt>
                <c:pt idx="130">
                  <c:v>7.6143704186403234E-10</c:v>
                </c:pt>
                <c:pt idx="131">
                  <c:v>8.59699831320026E-10</c:v>
                </c:pt>
                <c:pt idx="132">
                  <c:v>9.2605072150975436E-10</c:v>
                </c:pt>
                <c:pt idx="133">
                  <c:v>9.5201800629969522E-10</c:v>
                </c:pt>
                <c:pt idx="134">
                  <c:v>9.3362160958264175E-10</c:v>
                </c:pt>
                <c:pt idx="135">
                  <c:v>8.7214722139610123E-10</c:v>
                </c:pt>
                <c:pt idx="136">
                  <c:v>7.7431928172156889E-10</c:v>
                </c:pt>
                <c:pt idx="137">
                  <c:v>6.5178704821961333E-10</c:v>
                </c:pt>
                <c:pt idx="138">
                  <c:v>5.1991959770342679E-10</c:v>
                </c:pt>
                <c:pt idx="139">
                  <c:v>3.9600047292065056E-10</c:v>
                </c:pt>
                <c:pt idx="140">
                  <c:v>2.9700903362849265E-10</c:v>
                </c:pt>
                <c:pt idx="141">
                  <c:v>2.3725884992413416E-10</c:v>
                </c:pt>
                <c:pt idx="142">
                  <c:v>2.2621835845650818E-10</c:v>
                </c:pt>
                <c:pt idx="143">
                  <c:v>2.6685200324566097E-10</c:v>
                </c:pt>
                <c:pt idx="144">
                  <c:v>3.5478236387211016E-10</c:v>
                </c:pt>
                <c:pt idx="145">
                  <c:v>4.7848353409001252E-10</c:v>
                </c:pt>
                <c:pt idx="146">
                  <c:v>6.2057992783548179E-10</c:v>
                </c:pt>
                <c:pt idx="147">
                  <c:v>7.6015809837201002E-10</c:v>
                </c:pt>
                <c:pt idx="148">
                  <c:v>8.7582486818941989E-10</c:v>
                </c:pt>
                <c:pt idx="149">
                  <c:v>9.4909085526447679E-10</c:v>
                </c:pt>
                <c:pt idx="150">
                  <c:v>9.6755346192058635E-10</c:v>
                </c:pt>
                <c:pt idx="151">
                  <c:v>9.2753954749848635E-10</c:v>
                </c:pt>
                <c:pt idx="152">
                  <c:v>8.3441555181498019E-10</c:v>
                </c:pt>
                <c:pt idx="153">
                  <c:v>7.0345492525548146E-10</c:v>
                </c:pt>
                <c:pt idx="154">
                  <c:v>5.5695838246540823E-10</c:v>
                </c:pt>
                <c:pt idx="155">
                  <c:v>4.2089842553180267E-10</c:v>
                </c:pt>
                <c:pt idx="156">
                  <c:v>3.2041904755862344E-10</c:v>
                </c:pt>
                <c:pt idx="157">
                  <c:v>2.7512982710949203E-10</c:v>
                </c:pt>
                <c:pt idx="158">
                  <c:v>2.9507818081422504E-10</c:v>
                </c:pt>
                <c:pt idx="159">
                  <c:v>3.7825543282169681E-10</c:v>
                </c:pt>
                <c:pt idx="160">
                  <c:v>5.1028521151614841E-10</c:v>
                </c:pt>
                <c:pt idx="161">
                  <c:v>6.6657199158595512E-10</c:v>
                </c:pt>
                <c:pt idx="162">
                  <c:v>8.1670712921707024E-10</c:v>
                </c:pt>
                <c:pt idx="163">
                  <c:v>9.3042665768949013E-10</c:v>
                </c:pt>
                <c:pt idx="164">
                  <c:v>9.8399681265393018E-10</c:v>
                </c:pt>
                <c:pt idx="165">
                  <c:v>9.6567698688154165E-10</c:v>
                </c:pt>
                <c:pt idx="166">
                  <c:v>8.7895790603279518E-10</c:v>
                </c:pt>
                <c:pt idx="167">
                  <c:v>7.4262809071388615E-10</c:v>
                </c:pt>
                <c:pt idx="168">
                  <c:v>5.8734899710100796E-10</c:v>
                </c:pt>
                <c:pt idx="169">
                  <c:v>4.4920993722482464E-10</c:v>
                </c:pt>
                <c:pt idx="170">
                  <c:v>3.6151816223887768E-10</c:v>
                </c:pt>
                <c:pt idx="171">
                  <c:v>3.4665830353707786E-10</c:v>
                </c:pt>
                <c:pt idx="172">
                  <c:v>4.1004766607381732E-10</c:v>
                </c:pt>
                <c:pt idx="173">
                  <c:v>5.379092020342613E-10</c:v>
                </c:pt>
                <c:pt idx="174">
                  <c:v>6.9978654560025058E-10</c:v>
                </c:pt>
                <c:pt idx="175">
                  <c:v>8.55575022676432E-10</c:v>
                </c:pt>
                <c:pt idx="176">
                  <c:v>9.6560124113849045E-10</c:v>
                </c:pt>
                <c:pt idx="177">
                  <c:v>1.0012851392142198E-9</c:v>
                </c:pt>
                <c:pt idx="178">
                  <c:v>9.5348387964873467E-10</c:v>
                </c:pt>
                <c:pt idx="179">
                  <c:v>8.3595886091750074E-10</c:v>
                </c:pt>
                <c:pt idx="180">
                  <c:v>6.8254212196775642E-10</c:v>
                </c:pt>
                <c:pt idx="181">
                  <c:v>5.3828427804251644E-10</c:v>
                </c:pt>
                <c:pt idx="182">
                  <c:v>4.4670505446170415E-10</c:v>
                </c:pt>
                <c:pt idx="183">
                  <c:v>4.3668503701907728E-10</c:v>
                </c:pt>
                <c:pt idx="184">
                  <c:v>5.1302076657150683E-10</c:v>
                </c:pt>
                <c:pt idx="185">
                  <c:v>6.5392141534272858E-10</c:v>
                </c:pt>
                <c:pt idx="186">
                  <c:v>8.1681994970926965E-10</c:v>
                </c:pt>
                <c:pt idx="187">
                  <c:v>9.512752811633246E-10</c:v>
                </c:pt>
                <c:pt idx="188">
                  <c:v>1.0152413901071107E-9</c:v>
                </c:pt>
                <c:pt idx="189">
                  <c:v>9.8945802508140988E-10</c:v>
                </c:pt>
                <c:pt idx="190">
                  <c:v>8.8485276215866294E-10</c:v>
                </c:pt>
                <c:pt idx="191">
                  <c:v>7.3981952849259642E-10</c:v>
                </c:pt>
                <c:pt idx="192">
                  <c:v>6.075849844449352E-10</c:v>
                </c:pt>
                <c:pt idx="193">
                  <c:v>5.3753098171937982E-10</c:v>
                </c:pt>
                <c:pt idx="194">
                  <c:v>5.5696207701109046E-10</c:v>
                </c:pt>
                <c:pt idx="195">
                  <c:v>6.6023801683735977E-10</c:v>
                </c:pt>
                <c:pt idx="196">
                  <c:v>8.0996796439487538E-10</c:v>
                </c:pt>
                <c:pt idx="197">
                  <c:v>9.5062448338863789E-10</c:v>
                </c:pt>
                <c:pt idx="198">
                  <c:v>1.0301397971478021E-9</c:v>
                </c:pt>
                <c:pt idx="199">
                  <c:v>1.0202458368669227E-9</c:v>
                </c:pt>
                <c:pt idx="200">
                  <c:v>9.2953992351932918E-10</c:v>
                </c:pt>
                <c:pt idx="201">
                  <c:v>8.0004554350121103E-10</c:v>
                </c:pt>
                <c:pt idx="202">
                  <c:v>6.9018988611151038E-10</c:v>
                </c:pt>
                <c:pt idx="203">
                  <c:v>6.4987188984354529E-10</c:v>
                </c:pt>
                <c:pt idx="204">
                  <c:v>6.9840607778446537E-10</c:v>
                </c:pt>
                <c:pt idx="205">
                  <c:v>8.1547672285861215E-10</c:v>
                </c:pt>
                <c:pt idx="206">
                  <c:v>9.4994976831459367E-10</c:v>
                </c:pt>
                <c:pt idx="207">
                  <c:v>1.0433024835148689E-9</c:v>
                </c:pt>
                <c:pt idx="208">
                  <c:v>1.0571837113387536E-9</c:v>
                </c:pt>
                <c:pt idx="209">
                  <c:v>9.9190829983008182E-10</c:v>
                </c:pt>
                <c:pt idx="210">
                  <c:v>8.8636407432194401E-10</c:v>
                </c:pt>
                <c:pt idx="211">
                  <c:v>7.9863436463838421E-10</c:v>
                </c:pt>
                <c:pt idx="212">
                  <c:v>7.7652842897816274E-10</c:v>
                </c:pt>
                <c:pt idx="213">
                  <c:v>8.3302265405256327E-10</c:v>
                </c:pt>
                <c:pt idx="214">
                  <c:v>9.3979907330314994E-10</c:v>
                </c:pt>
                <c:pt idx="215">
                  <c:v>1.0428894164280346E-9</c:v>
                </c:pt>
                <c:pt idx="216">
                  <c:v>1.092380938538482E-9</c:v>
                </c:pt>
                <c:pt idx="217">
                  <c:v>1.0698802975393839E-9</c:v>
                </c:pt>
                <c:pt idx="218">
                  <c:v>9.9808869962359871E-10</c:v>
                </c:pt>
                <c:pt idx="219">
                  <c:v>9.2670649534368899E-10</c:v>
                </c:pt>
                <c:pt idx="220">
                  <c:v>9.0271236349336637E-10</c:v>
                </c:pt>
                <c:pt idx="221">
                  <c:v>9.4270512556582136E-10</c:v>
                </c:pt>
                <c:pt idx="222">
                  <c:v>1.0241673097437289E-9</c:v>
                </c:pt>
                <c:pt idx="223">
                  <c:v>1.1010179466292706E-9</c:v>
                </c:pt>
                <c:pt idx="224">
                  <c:v>1.13344332459953E-9</c:v>
                </c:pt>
                <c:pt idx="225">
                  <c:v>1.1126770229017675E-9</c:v>
                </c:pt>
                <c:pt idx="226">
                  <c:v>1.0646834184815322E-9</c:v>
                </c:pt>
                <c:pt idx="227">
                  <c:v>1.030841451446419E-9</c:v>
                </c:pt>
                <c:pt idx="228">
                  <c:v>1.0393545319417997E-9</c:v>
                </c:pt>
                <c:pt idx="229">
                  <c:v>1.0873342694122361E-9</c:v>
                </c:pt>
                <c:pt idx="230">
                  <c:v>1.1455918387679512E-9</c:v>
                </c:pt>
                <c:pt idx="231">
                  <c:v>1.1815433988566239E-9</c:v>
                </c:pt>
                <c:pt idx="232">
                  <c:v>1.1825817646240058E-9</c:v>
                </c:pt>
                <c:pt idx="233">
                  <c:v>1.1627505875434122E-9</c:v>
                </c:pt>
                <c:pt idx="234">
                  <c:v>1.1490995998498121E-9</c:v>
                </c:pt>
                <c:pt idx="235">
                  <c:v>1.1598802514479447E-9</c:v>
                </c:pt>
                <c:pt idx="236">
                  <c:v>1.1922000997608099E-9</c:v>
                </c:pt>
                <c:pt idx="237">
                  <c:v>1.2277644218081299E-9</c:v>
                </c:pt>
                <c:pt idx="238">
                  <c:v>1.2498324478981516E-9</c:v>
                </c:pt>
                <c:pt idx="239">
                  <c:v>1.2560070053054489E-9</c:v>
                </c:pt>
                <c:pt idx="240">
                  <c:v>1.256957100440525E-9</c:v>
                </c:pt>
                <c:pt idx="241">
                  <c:v>1.2646471079199866E-9</c:v>
                </c:pt>
                <c:pt idx="242">
                  <c:v>1.2822097207208265E-9</c:v>
                </c:pt>
                <c:pt idx="243">
                  <c:v>1.3039689232687069E-9</c:v>
                </c:pt>
                <c:pt idx="244">
                  <c:v>1.3231453259078E-9</c:v>
                </c:pt>
                <c:pt idx="245">
                  <c:v>1.33807224633283E-9</c:v>
                </c:pt>
                <c:pt idx="246">
                  <c:v>1.3515027977686427E-9</c:v>
                </c:pt>
                <c:pt idx="247">
                  <c:v>1.366074708301618E-9</c:v>
                </c:pt>
                <c:pt idx="248">
                  <c:v>1.3820021196287371E-9</c:v>
                </c:pt>
                <c:pt idx="249">
                  <c:v>1.3984065900836805E-9</c:v>
                </c:pt>
                <c:pt idx="250">
                  <c:v>1.4148234167819562E-9</c:v>
                </c:pt>
                <c:pt idx="251">
                  <c:v>1.430781461830129E-9</c:v>
                </c:pt>
                <c:pt idx="252">
                  <c:v>1.4457329669990296E-9</c:v>
                </c:pt>
                <c:pt idx="253">
                  <c:v>1.4609506120536935E-9</c:v>
                </c:pt>
                <c:pt idx="254">
                  <c:v>1.4797030033655815E-9</c:v>
                </c:pt>
                <c:pt idx="255">
                  <c:v>1.5023416601370489E-9</c:v>
                </c:pt>
                <c:pt idx="256">
                  <c:v>1.5220669817454265E-9</c:v>
                </c:pt>
                <c:pt idx="257">
                  <c:v>1.5312479664903292E-9</c:v>
                </c:pt>
                <c:pt idx="258">
                  <c:v>1.5348208369442322E-9</c:v>
                </c:pt>
                <c:pt idx="259">
                  <c:v>1.5507009470469817E-9</c:v>
                </c:pt>
                <c:pt idx="260">
                  <c:v>1.5873740067939902E-9</c:v>
                </c:pt>
                <c:pt idx="261">
                  <c:v>1.6241734095412815E-9</c:v>
                </c:pt>
                <c:pt idx="262">
                  <c:v>1.630246962463497E-9</c:v>
                </c:pt>
                <c:pt idx="263">
                  <c:v>1.610303972704595E-9</c:v>
                </c:pt>
                <c:pt idx="264">
                  <c:v>1.6125273946509055E-9</c:v>
                </c:pt>
                <c:pt idx="265">
                  <c:v>1.6676434848161642E-9</c:v>
                </c:pt>
                <c:pt idx="266">
                  <c:v>1.7321103818448905E-9</c:v>
                </c:pt>
                <c:pt idx="267">
                  <c:v>1.7331269261642055E-9</c:v>
                </c:pt>
                <c:pt idx="268">
                  <c:v>1.6787023960347333E-9</c:v>
                </c:pt>
                <c:pt idx="269">
                  <c:v>1.6696257934992435E-9</c:v>
                </c:pt>
                <c:pt idx="270">
                  <c:v>1.758691119043351E-9</c:v>
                </c:pt>
                <c:pt idx="271">
                  <c:v>1.8484683247689736E-9</c:v>
                </c:pt>
                <c:pt idx="272">
                  <c:v>1.8168088237268968E-9</c:v>
                </c:pt>
                <c:pt idx="273">
                  <c:v>1.719838991931439E-9</c:v>
                </c:pt>
                <c:pt idx="274">
                  <c:v>1.7374261707962732E-9</c:v>
                </c:pt>
                <c:pt idx="275">
                  <c:v>1.8867585954387782E-9</c:v>
                </c:pt>
                <c:pt idx="276">
                  <c:v>1.9566026284862479E-9</c:v>
                </c:pt>
                <c:pt idx="277">
                  <c:v>1.8376375869067625E-9</c:v>
                </c:pt>
                <c:pt idx="278">
                  <c:v>1.7402412983817708E-9</c:v>
                </c:pt>
                <c:pt idx="279">
                  <c:v>1.8697555924779212E-9</c:v>
                </c:pt>
                <c:pt idx="280">
                  <c:v>2.0452961316124222E-9</c:v>
                </c:pt>
                <c:pt idx="281">
                  <c:v>1.97232107120393E-9</c:v>
                </c:pt>
                <c:pt idx="282">
                  <c:v>1.782667447008746E-9</c:v>
                </c:pt>
                <c:pt idx="283">
                  <c:v>1.8480317854844485E-9</c:v>
                </c:pt>
                <c:pt idx="284">
                  <c:v>2.0930682960148828E-9</c:v>
                </c:pt>
                <c:pt idx="285">
                  <c:v>2.0800733726137577E-9</c:v>
                </c:pt>
                <c:pt idx="286">
                  <c:v>1.8321668724221877E-9</c:v>
                </c:pt>
                <c:pt idx="287">
                  <c:v>1.8458587129179478E-9</c:v>
                </c:pt>
                <c:pt idx="288">
                  <c:v>2.1344273975557612E-9</c:v>
                </c:pt>
                <c:pt idx="289">
                  <c:v>2.1444209110956405E-9</c:v>
                </c:pt>
                <c:pt idx="290">
                  <c:v>1.8526142030574322E-9</c:v>
                </c:pt>
                <c:pt idx="291">
                  <c:v>1.869992866208158E-9</c:v>
                </c:pt>
                <c:pt idx="292">
                  <c:v>2.1917945649177442E-9</c:v>
                </c:pt>
                <c:pt idx="293">
                  <c:v>2.1515315880141964E-9</c:v>
                </c:pt>
                <c:pt idx="294">
                  <c:v>1.830592878070637E-9</c:v>
                </c:pt>
                <c:pt idx="295">
                  <c:v>1.9363942987169092E-9</c:v>
                </c:pt>
                <c:pt idx="296">
                  <c:v>2.2540486325823032E-9</c:v>
                </c:pt>
                <c:pt idx="297">
                  <c:v>2.0738369558527493E-9</c:v>
                </c:pt>
                <c:pt idx="298">
                  <c:v>1.798588039546241E-9</c:v>
                </c:pt>
                <c:pt idx="299">
                  <c:v>2.0653637256402886E-9</c:v>
                </c:pt>
                <c:pt idx="300">
                  <c:v>2.2518358541280869E-9</c:v>
                </c:pt>
                <c:pt idx="301">
                  <c:v>1.9075674552905999E-9</c:v>
                </c:pt>
                <c:pt idx="302">
                  <c:v>1.8497437294279832E-9</c:v>
                </c:pt>
                <c:pt idx="303">
                  <c:v>2.2066246734947416E-9</c:v>
                </c:pt>
                <c:pt idx="304">
                  <c:v>2.081550685732273E-9</c:v>
                </c:pt>
                <c:pt idx="305">
                  <c:v>1.7729516037440135E-9</c:v>
                </c:pt>
                <c:pt idx="306">
                  <c:v>2.038348151732923E-9</c:v>
                </c:pt>
                <c:pt idx="307">
                  <c:v>2.1632231843593399E-9</c:v>
                </c:pt>
                <c:pt idx="308">
                  <c:v>1.8008369086399954E-9</c:v>
                </c:pt>
                <c:pt idx="309">
                  <c:v>1.8758059856661151E-9</c:v>
                </c:pt>
                <c:pt idx="310">
                  <c:v>2.1358166734268927E-9</c:v>
                </c:pt>
                <c:pt idx="311">
                  <c:v>1.8410379028050491E-9</c:v>
                </c:pt>
                <c:pt idx="312">
                  <c:v>1.7635305688786724E-9</c:v>
                </c:pt>
                <c:pt idx="313">
                  <c:v>2.0495023715567812E-9</c:v>
                </c:pt>
                <c:pt idx="314">
                  <c:v>1.8401303135690507E-9</c:v>
                </c:pt>
                <c:pt idx="315">
                  <c:v>1.6876446549335008E-9</c:v>
                </c:pt>
                <c:pt idx="316">
                  <c:v>1.9473453516662537E-9</c:v>
                </c:pt>
                <c:pt idx="317">
                  <c:v>1.7882163367587173E-9</c:v>
                </c:pt>
                <c:pt idx="318">
                  <c:v>1.6246017506399128E-9</c:v>
                </c:pt>
                <c:pt idx="319">
                  <c:v>1.8436678609373297E-9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1065</c:v>
                </c:pt>
                <c:pt idx="1">
                  <c:v>1069</c:v>
                </c:pt>
                <c:pt idx="2">
                  <c:v>1073</c:v>
                </c:pt>
                <c:pt idx="3">
                  <c:v>1077</c:v>
                </c:pt>
                <c:pt idx="4">
                  <c:v>1081</c:v>
                </c:pt>
                <c:pt idx="5">
                  <c:v>1085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4.0204015277440899</c:v>
                </c:pt>
                <c:pt idx="1">
                  <c:v>3.4161473720640263</c:v>
                </c:pt>
                <c:pt idx="2">
                  <c:v>3.0207050331535088</c:v>
                </c:pt>
                <c:pt idx="3">
                  <c:v>2.8340029486677589</c:v>
                </c:pt>
                <c:pt idx="4">
                  <c:v>2.8533649966999906</c:v>
                </c:pt>
                <c:pt idx="5">
                  <c:v>3.076095860381689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density!$B$3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density!$A$4:$A$23</c:f>
              <c:numCache>
                <c:formatCode>0.00</c:formatCode>
                <c:ptCount val="20"/>
                <c:pt idx="0">
                  <c:v>1.1499999999999999</c:v>
                </c:pt>
                <c:pt idx="1">
                  <c:v>1.17</c:v>
                </c:pt>
                <c:pt idx="2">
                  <c:v>1.19</c:v>
                </c:pt>
                <c:pt idx="3">
                  <c:v>1.21</c:v>
                </c:pt>
                <c:pt idx="4">
                  <c:v>1.23</c:v>
                </c:pt>
                <c:pt idx="5">
                  <c:v>1.25</c:v>
                </c:pt>
              </c:numCache>
            </c:numRef>
          </c:xVal>
          <c:yVal>
            <c:numRef>
              <c:f>density!$B$4:$B$23</c:f>
              <c:numCache>
                <c:formatCode>0.00</c:formatCode>
                <c:ptCount val="20"/>
                <c:pt idx="0">
                  <c:v>3.6446098323244578</c:v>
                </c:pt>
                <c:pt idx="1">
                  <c:v>3.2337778218104867</c:v>
                </c:pt>
                <c:pt idx="2">
                  <c:v>2.9509918082689048</c:v>
                </c:pt>
                <c:pt idx="3">
                  <c:v>2.827382932697196</c:v>
                </c:pt>
                <c:pt idx="4">
                  <c:v>2.8991364636812502</c:v>
                </c:pt>
                <c:pt idx="5">
                  <c:v>3.2068556312997507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C4-4134-887F-ACC8836AA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f_PEO!$B$3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f_PEO!$A$4:$A$23</c:f>
              <c:numCache>
                <c:formatCode>0.00</c:formatCode>
                <c:ptCount val="20"/>
                <c:pt idx="0">
                  <c:v>0.21</c:v>
                </c:pt>
                <c:pt idx="1">
                  <c:v>0.222</c:v>
                </c:pt>
                <c:pt idx="2">
                  <c:v>0.23400000000000001</c:v>
                </c:pt>
                <c:pt idx="3">
                  <c:v>0.246</c:v>
                </c:pt>
                <c:pt idx="4">
                  <c:v>0.25800000000000001</c:v>
                </c:pt>
                <c:pt idx="5">
                  <c:v>0.27</c:v>
                </c:pt>
              </c:numCache>
            </c:numRef>
          </c:xVal>
          <c:yVal>
            <c:numRef>
              <c:f>f_PEO!$B$4:$B$23</c:f>
              <c:numCache>
                <c:formatCode>0.00</c:formatCode>
                <c:ptCount val="20"/>
                <c:pt idx="0">
                  <c:v>3.0222602789493198</c:v>
                </c:pt>
                <c:pt idx="1">
                  <c:v>2.8922639887472186</c:v>
                </c:pt>
                <c:pt idx="2">
                  <c:v>2.8313755583696683</c:v>
                </c:pt>
                <c:pt idx="3">
                  <c:v>2.8329494957115164</c:v>
                </c:pt>
                <c:pt idx="4">
                  <c:v>2.8907001158179941</c:v>
                </c:pt>
                <c:pt idx="5">
                  <c:v>2.9987350882885049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D9-4338-9736-E89776945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2.8307354998235845</c:v>
                </c:pt>
                <c:pt idx="1">
                  <c:v>2.8249624628039003</c:v>
                </c:pt>
                <c:pt idx="2">
                  <c:v>2.8759730174002853</c:v>
                </c:pt>
                <c:pt idx="3">
                  <c:v>3.0769116002580548</c:v>
                </c:pt>
                <c:pt idx="4">
                  <c:v>3.4777093879067209</c:v>
                </c:pt>
                <c:pt idx="5">
                  <c:v>4.0738010919863061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dSiOx!$A$4:$A$23</c:f>
              <c:numCache>
                <c:formatCode>0.0</c:formatCode>
                <c:ptCount val="20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</c:numCache>
            </c:numRef>
          </c:xVal>
          <c:yVal>
            <c:numRef>
              <c:f>dSiOx!$B$4:$B$23</c:f>
              <c:numCache>
                <c:formatCode>0.00</c:formatCode>
                <c:ptCount val="20"/>
                <c:pt idx="0">
                  <c:v>3.2628363245354075</c:v>
                </c:pt>
                <c:pt idx="1">
                  <c:v>2.936483075622716</c:v>
                </c:pt>
                <c:pt idx="2">
                  <c:v>2.8249751356674255</c:v>
                </c:pt>
                <c:pt idx="3">
                  <c:v>2.9268495850789185</c:v>
                </c:pt>
                <c:pt idx="4">
                  <c:v>3.2395123118390496</c:v>
                </c:pt>
                <c:pt idx="5">
                  <c:v>3.7594790455555533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D-4B3E-9196-574E9C927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NbBPEI!$B$3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NbBPEI!$A$4:$A$23</c:f>
              <c:numCache>
                <c:formatCode>0.00E+00</c:formatCode>
                <c:ptCount val="20"/>
                <c:pt idx="0">
                  <c:v>5.9999999999999997E-7</c:v>
                </c:pt>
                <c:pt idx="1">
                  <c:v>7.1999999999999999E-7</c:v>
                </c:pt>
                <c:pt idx="2">
                  <c:v>8.4E-7</c:v>
                </c:pt>
                <c:pt idx="3">
                  <c:v>9.5999999999999991E-7</c:v>
                </c:pt>
                <c:pt idx="4">
                  <c:v>1.0799999999999998E-6</c:v>
                </c:pt>
                <c:pt idx="5">
                  <c:v>1.1999999999999999E-6</c:v>
                </c:pt>
              </c:numCache>
            </c:numRef>
          </c:xVal>
          <c:yVal>
            <c:numRef>
              <c:f>NbBPEI!$B$4:$B$23</c:f>
              <c:numCache>
                <c:formatCode>0.00</c:formatCode>
                <c:ptCount val="20"/>
                <c:pt idx="0">
                  <c:v>3.5404370448559361</c:v>
                </c:pt>
                <c:pt idx="1">
                  <c:v>3.125868629990133</c:v>
                </c:pt>
                <c:pt idx="2">
                  <c:v>2.8946194861304422</c:v>
                </c:pt>
                <c:pt idx="3">
                  <c:v>2.8245910252710478</c:v>
                </c:pt>
                <c:pt idx="4">
                  <c:v>2.8959701607736332</c:v>
                </c:pt>
                <c:pt idx="5">
                  <c:v>3.0912310544554447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64-42E6-8969-6C0A31741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1.9999999999999999E-6</c:v>
                </c:pt>
                <c:pt idx="1">
                  <c:v>2.0199999999999997E-6</c:v>
                </c:pt>
                <c:pt idx="2">
                  <c:v>2.04E-6</c:v>
                </c:pt>
                <c:pt idx="3">
                  <c:v>2.0599999999999998E-6</c:v>
                </c:pt>
                <c:pt idx="4">
                  <c:v>2.08E-6</c:v>
                </c:pt>
                <c:pt idx="5">
                  <c:v>2.0999999999999998E-6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3.3547067106367607</c:v>
                </c:pt>
                <c:pt idx="1">
                  <c:v>3.0315072811463217</c:v>
                </c:pt>
                <c:pt idx="2">
                  <c:v>2.8538909593332082</c:v>
                </c:pt>
                <c:pt idx="3">
                  <c:v>2.824795089177222</c:v>
                </c:pt>
                <c:pt idx="4">
                  <c:v>2.9489352735545027</c:v>
                </c:pt>
                <c:pt idx="5">
                  <c:v>3.235553246928168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DE-4520-854E-172A5EF78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56684</xdr:colOff>
      <xdr:row>3</xdr:row>
      <xdr:rowOff>71592</xdr:rowOff>
    </xdr:from>
    <xdr:to>
      <xdr:col>20</xdr:col>
      <xdr:colOff>179714</xdr:colOff>
      <xdr:row>24</xdr:row>
      <xdr:rowOff>57585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265799</xdr:colOff>
      <xdr:row>25</xdr:row>
      <xdr:rowOff>90649</xdr:rowOff>
    </xdr:from>
    <xdr:to>
      <xdr:col>19</xdr:col>
      <xdr:colOff>394446</xdr:colOff>
      <xdr:row>45</xdr:row>
      <xdr:rowOff>129989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6350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5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D26" sqref="D26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9.83203125" style="50" customWidth="1"/>
    <col min="10" max="10" width="9.83203125" style="51" customWidth="1"/>
    <col min="11" max="11" width="9.83203125" style="52" customWidth="1"/>
    <col min="12" max="12" width="8.58203125" style="156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8.58203125" style="57" bestFit="1" customWidth="1"/>
    <col min="20" max="20" width="12.1640625" style="75" bestFit="1" customWidth="1"/>
    <col min="21" max="21" width="11.6640625" style="130" bestFit="1" customWidth="1"/>
    <col min="22" max="22" width="8.1640625" style="132" bestFit="1" customWidth="1"/>
    <col min="23" max="23" width="11.83203125" style="133" customWidth="1"/>
    <col min="24" max="24" width="8.1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9" bestFit="1" customWidth="1"/>
  </cols>
  <sheetData>
    <row r="1" spans="1:36" ht="18" x14ac:dyDescent="0.35">
      <c r="A1" s="87" t="s">
        <v>525</v>
      </c>
      <c r="B1" s="188" t="s">
        <v>491</v>
      </c>
      <c r="C1" s="188"/>
      <c r="D1" s="188"/>
      <c r="E1" s="188"/>
      <c r="F1" s="188"/>
      <c r="G1" s="188"/>
      <c r="H1" s="188"/>
      <c r="I1" s="189" t="s">
        <v>507</v>
      </c>
      <c r="J1" s="189"/>
      <c r="K1" s="189"/>
      <c r="L1" s="66" t="s">
        <v>505</v>
      </c>
      <c r="M1" s="190" t="s">
        <v>489</v>
      </c>
      <c r="N1" s="190"/>
      <c r="O1" s="190"/>
      <c r="P1" s="190"/>
      <c r="Q1" s="190"/>
      <c r="R1" s="187" t="s">
        <v>490</v>
      </c>
      <c r="S1" s="187"/>
      <c r="T1" s="70"/>
      <c r="U1" s="186" t="s">
        <v>593</v>
      </c>
      <c r="V1" s="186"/>
      <c r="W1" s="186"/>
      <c r="X1" s="124" t="s">
        <v>594</v>
      </c>
      <c r="Y1" s="137" t="s">
        <v>536</v>
      </c>
      <c r="AA1" s="185"/>
      <c r="AB1" s="185"/>
      <c r="AC1" s="185"/>
      <c r="AD1" s="185"/>
      <c r="AE1" s="185"/>
      <c r="AF1" s="185"/>
      <c r="AG1" s="70"/>
      <c r="AH1" s="183"/>
      <c r="AI1" s="183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SUM(Y3:Y322)/319</f>
        <v>2.8171960000445568</v>
      </c>
      <c r="AA2" s="177"/>
      <c r="AB2" s="178"/>
      <c r="AC2" s="179"/>
      <c r="AD2" s="180"/>
      <c r="AE2" s="180"/>
      <c r="AF2" s="180"/>
      <c r="AG2" s="72"/>
      <c r="AH2" s="181"/>
      <c r="AI2" s="180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614</v>
      </c>
      <c r="I3" s="109">
        <v>8.1824504007600007E-3</v>
      </c>
      <c r="J3" s="109">
        <v>4.5744001652877133E-9</v>
      </c>
      <c r="K3" s="109">
        <v>5.0736784846031425E-10</v>
      </c>
      <c r="L3" s="156">
        <v>4.4436946398278765E-9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4.4433821504888884E-9</v>
      </c>
      <c r="V3" s="127">
        <v>4.4436946398278765E-9</v>
      </c>
      <c r="W3" s="128">
        <v>4.4440272054538784E-9</v>
      </c>
      <c r="X3" s="128">
        <f t="shared" ref="X3:X66" si="0">(U3+2*V3+W3)/4</f>
        <v>4.4436996588996298E-9</v>
      </c>
      <c r="Y3" s="139">
        <f t="shared" ref="Y3:Y66" si="1">(J3-X3)*(J3-X3)/(K3*K3)</f>
        <v>6.6360347992627355E-2</v>
      </c>
      <c r="AA3" s="73"/>
      <c r="AB3" s="182"/>
      <c r="AC3" s="182"/>
      <c r="AD3" s="182"/>
      <c r="AJ3" s="135"/>
    </row>
    <row r="4" spans="1:36" ht="18.5" x14ac:dyDescent="0.35">
      <c r="A4" s="88" t="s">
        <v>528</v>
      </c>
      <c r="B4" s="21" t="s">
        <v>606</v>
      </c>
      <c r="C4" s="161">
        <f>C5</f>
        <v>1.5802074511632338E-6</v>
      </c>
      <c r="D4" s="19">
        <v>9.9999999999999994E-12</v>
      </c>
      <c r="E4" s="19">
        <v>5.0000000000000001E-9</v>
      </c>
      <c r="F4" s="153">
        <f>H4*H8</f>
        <v>200</v>
      </c>
      <c r="G4" s="107">
        <v>5</v>
      </c>
      <c r="H4" s="153">
        <v>200</v>
      </c>
      <c r="I4" s="109">
        <v>8.2642749047700005E-3</v>
      </c>
      <c r="J4" s="109">
        <v>4.8009525708331476E-9</v>
      </c>
      <c r="K4" s="109">
        <v>4.9159282653071874E-10</v>
      </c>
      <c r="L4" s="156">
        <v>4.6208311791698572E-9</v>
      </c>
      <c r="M4" s="27"/>
      <c r="N4" s="18">
        <v>6.1818756843783314E-9</v>
      </c>
      <c r="O4" s="18">
        <v>3.9120658998460512E-14</v>
      </c>
      <c r="P4" s="18">
        <v>1.9560329499230255E-11</v>
      </c>
      <c r="Q4" s="28">
        <v>1.7210815880741237</v>
      </c>
      <c r="R4" s="60">
        <v>100</v>
      </c>
      <c r="S4" s="57">
        <v>0</v>
      </c>
      <c r="U4" s="127">
        <v>4.6205665143428366E-9</v>
      </c>
      <c r="V4" s="127">
        <v>4.6208311791698572E-9</v>
      </c>
      <c r="W4" s="128">
        <v>4.6211212273944462E-9</v>
      </c>
      <c r="X4" s="128">
        <f t="shared" si="0"/>
        <v>4.6208375250192489E-9</v>
      </c>
      <c r="Y4" s="139">
        <f t="shared" si="1"/>
        <v>0.13424215396987374</v>
      </c>
      <c r="AA4" s="73"/>
      <c r="AB4" s="182"/>
      <c r="AC4" s="182"/>
      <c r="AD4" s="182"/>
      <c r="AJ4" s="135"/>
    </row>
    <row r="5" spans="1:36" x14ac:dyDescent="0.35">
      <c r="A5" s="89"/>
      <c r="B5" s="100" t="s">
        <v>603</v>
      </c>
      <c r="C5" s="161">
        <f>H14*(H16*D16+(1-H16)*C16)</f>
        <v>1.5802074511632338E-6</v>
      </c>
      <c r="D5" s="101">
        <v>1.5392483148537927E-10</v>
      </c>
      <c r="E5" s="101">
        <v>5.0509225500401457E-8</v>
      </c>
      <c r="F5" s="153">
        <f>(H10-H4)*H8</f>
        <v>878.64317025755554</v>
      </c>
      <c r="G5" s="153">
        <v>55.42680874121109</v>
      </c>
      <c r="H5" s="111" t="s">
        <v>599</v>
      </c>
      <c r="I5" s="109">
        <v>8.3469176538099998E-3</v>
      </c>
      <c r="J5" s="109">
        <v>5.295962102958549E-9</v>
      </c>
      <c r="K5" s="109">
        <v>5.0929515566390448E-10</v>
      </c>
      <c r="L5" s="156">
        <v>4.8044701942592256E-9</v>
      </c>
      <c r="M5" s="27"/>
      <c r="N5" s="18">
        <v>5.0921897914794916E-8</v>
      </c>
      <c r="O5" s="18">
        <v>3.2224818252381934E-13</v>
      </c>
      <c r="P5" s="18">
        <v>1.6112409126190968E-10</v>
      </c>
      <c r="Q5" s="28">
        <v>1.281588875373888</v>
      </c>
      <c r="R5" s="60">
        <v>100</v>
      </c>
      <c r="S5" s="57">
        <v>6.1818756843783314E-9</v>
      </c>
      <c r="U5" s="127">
        <v>4.8042829935449484E-9</v>
      </c>
      <c r="V5" s="127">
        <v>4.8044701942592256E-9</v>
      </c>
      <c r="W5" s="128">
        <v>4.8046888256807021E-9</v>
      </c>
      <c r="X5" s="128">
        <f t="shared" si="0"/>
        <v>4.8044780519360251E-9</v>
      </c>
      <c r="Y5" s="139">
        <f t="shared" si="1"/>
        <v>0.93127891020175058</v>
      </c>
      <c r="AA5" s="73"/>
      <c r="AB5" s="182"/>
      <c r="AC5" s="182"/>
      <c r="AD5" s="182"/>
      <c r="AJ5" s="135"/>
    </row>
    <row r="6" spans="1:36" x14ac:dyDescent="0.35">
      <c r="B6" s="100" t="s">
        <v>604</v>
      </c>
      <c r="C6" s="152">
        <v>9.6774070930268282E-7</v>
      </c>
      <c r="D6" s="101">
        <v>1.5392483148537927E-10</v>
      </c>
      <c r="E6" s="101">
        <v>5.0509225500401457E-8</v>
      </c>
      <c r="F6" s="153">
        <v>10</v>
      </c>
      <c r="G6" s="102">
        <f>F6</f>
        <v>10</v>
      </c>
      <c r="H6" s="154">
        <v>0.03</v>
      </c>
      <c r="I6" s="109">
        <v>8.4303868303500003E-3</v>
      </c>
      <c r="J6" s="109">
        <v>4.8263849775514018E-9</v>
      </c>
      <c r="K6" s="109">
        <v>4.8047217907161321E-10</v>
      </c>
      <c r="L6" s="156">
        <v>4.9946757196855919E-9</v>
      </c>
      <c r="M6" s="27"/>
      <c r="N6" s="18">
        <v>1.1564505807497344E-7</v>
      </c>
      <c r="O6" s="18">
        <v>7.318346587332186E-13</v>
      </c>
      <c r="P6" s="18">
        <v>3.6591732936660931E-10</v>
      </c>
      <c r="Q6" s="28">
        <v>0.71317718802348939</v>
      </c>
      <c r="R6" s="60">
        <v>101.72108158807413</v>
      </c>
      <c r="S6" s="57">
        <v>6.1818756843783314E-9</v>
      </c>
      <c r="U6" s="127">
        <v>4.9946097009627844E-9</v>
      </c>
      <c r="V6" s="127">
        <v>4.9946757196855919E-9</v>
      </c>
      <c r="W6" s="128">
        <v>4.9947797303857845E-9</v>
      </c>
      <c r="X6" s="128">
        <f t="shared" si="0"/>
        <v>4.9946852176799383E-9</v>
      </c>
      <c r="Y6" s="139">
        <f t="shared" si="1"/>
        <v>0.12269672759488534</v>
      </c>
      <c r="AA6" s="73"/>
      <c r="AB6" s="182"/>
      <c r="AC6" s="182"/>
      <c r="AD6" s="182"/>
      <c r="AJ6" s="135"/>
    </row>
    <row r="7" spans="1:36" ht="18.5" x14ac:dyDescent="0.35">
      <c r="A7" s="68" t="s">
        <v>529</v>
      </c>
      <c r="B7" s="141" t="s">
        <v>504</v>
      </c>
      <c r="C7" s="155">
        <v>3.1999999999999999E-6</v>
      </c>
      <c r="D7" s="142">
        <v>2.5307649463664093E-11</v>
      </c>
      <c r="E7" s="142">
        <v>1.486857631694136E-12</v>
      </c>
      <c r="F7" s="167">
        <v>22.028473791051074</v>
      </c>
      <c r="G7" s="102">
        <v>5</v>
      </c>
      <c r="H7" s="134" t="s">
        <v>600</v>
      </c>
      <c r="I7" s="109">
        <v>8.5146906986500008E-3</v>
      </c>
      <c r="J7" s="109">
        <v>5.08400268212257E-9</v>
      </c>
      <c r="K7" s="109">
        <v>4.741291503924505E-10</v>
      </c>
      <c r="L7" s="156">
        <v>5.191449019913441E-9</v>
      </c>
      <c r="M7" s="27"/>
      <c r="N7" s="18">
        <v>1.8888269987584475E-7</v>
      </c>
      <c r="O7" s="18">
        <v>1.1953031846344163E-12</v>
      </c>
      <c r="P7" s="18">
        <v>5.9765159231720819E-10</v>
      </c>
      <c r="Q7" s="28">
        <v>0.52252270986663085</v>
      </c>
      <c r="R7" s="60">
        <v>101.72108158807413</v>
      </c>
      <c r="S7" s="57">
        <v>5.0921897914794916E-8</v>
      </c>
      <c r="U7" s="127">
        <v>5.1915691994855179E-9</v>
      </c>
      <c r="V7" s="127">
        <v>5.191449019913441E-9</v>
      </c>
      <c r="W7" s="128">
        <v>5.1913732559626055E-9</v>
      </c>
      <c r="X7" s="128">
        <f t="shared" si="0"/>
        <v>5.191460123818752E-9</v>
      </c>
      <c r="Y7" s="139">
        <f t="shared" si="1"/>
        <v>5.1366464989346529E-2</v>
      </c>
      <c r="AA7" s="73"/>
      <c r="AB7" s="182"/>
      <c r="AC7" s="182"/>
      <c r="AD7" s="182"/>
      <c r="AJ7" s="135"/>
    </row>
    <row r="8" spans="1:36" x14ac:dyDescent="0.35">
      <c r="A8" s="90" t="b">
        <v>1</v>
      </c>
      <c r="B8" s="141" t="s">
        <v>52</v>
      </c>
      <c r="C8" s="193">
        <v>2.0532802858060381E-6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4">
        <v>1</v>
      </c>
      <c r="I8" s="109">
        <v>8.5998376056400008E-3</v>
      </c>
      <c r="J8" s="109">
        <v>6.413227671874797E-9</v>
      </c>
      <c r="K8" s="109">
        <v>5.2354205654438827E-10</v>
      </c>
      <c r="L8" s="156">
        <v>5.3946875312643535E-9</v>
      </c>
      <c r="M8" s="27"/>
      <c r="N8" s="18">
        <v>2.6617405870975311E-7</v>
      </c>
      <c r="O8" s="18">
        <v>1.6844247792517059E-12</v>
      </c>
      <c r="P8" s="18">
        <v>8.422123896258529E-10</v>
      </c>
      <c r="Q8" s="28">
        <v>0.42522182801861985</v>
      </c>
      <c r="R8" s="60">
        <v>103.00267046344801</v>
      </c>
      <c r="S8" s="57">
        <v>5.0921897914794916E-8</v>
      </c>
      <c r="U8" s="127">
        <v>5.395092027494381E-9</v>
      </c>
      <c r="V8" s="127">
        <v>5.3946875312643535E-9</v>
      </c>
      <c r="W8" s="128">
        <v>5.3943322113094807E-9</v>
      </c>
      <c r="X8" s="128">
        <f t="shared" si="0"/>
        <v>5.3946998253331416E-9</v>
      </c>
      <c r="Y8" s="139">
        <f t="shared" si="1"/>
        <v>3.7847976461686543</v>
      </c>
      <c r="AA8" s="73"/>
      <c r="AB8" s="182"/>
      <c r="AC8" s="182"/>
      <c r="AD8" s="182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619</v>
      </c>
      <c r="I9" s="109">
        <v>8.6858359817000002E-3</v>
      </c>
      <c r="J9" s="109">
        <v>6.4529575933790566E-9</v>
      </c>
      <c r="K9" s="109">
        <v>5.1932292440465684E-10</v>
      </c>
      <c r="L9" s="156">
        <v>5.6041220560562551E-9</v>
      </c>
      <c r="M9" s="27"/>
      <c r="N9" s="18">
        <v>3.4547703194780347E-7</v>
      </c>
      <c r="O9" s="18">
        <v>2.1862764391693533E-12</v>
      </c>
      <c r="P9" s="18">
        <v>1.0931382195846767E-9</v>
      </c>
      <c r="Q9" s="28">
        <v>0.36718140925644527</v>
      </c>
      <c r="R9" s="60">
        <v>103.00267046344801</v>
      </c>
      <c r="S9" s="57">
        <v>1.1564505807497344E-7</v>
      </c>
      <c r="U9" s="127">
        <v>5.6049619057130013E-9</v>
      </c>
      <c r="V9" s="127">
        <v>5.6041220560562551E-9</v>
      </c>
      <c r="W9" s="128">
        <v>5.6033311285605004E-9</v>
      </c>
      <c r="X9" s="128">
        <f t="shared" si="0"/>
        <v>5.6041342865965026E-9</v>
      </c>
      <c r="Y9" s="139">
        <f t="shared" si="1"/>
        <v>2.6715272202064675</v>
      </c>
      <c r="AA9" s="73"/>
      <c r="AB9" s="182"/>
      <c r="AC9" s="182"/>
      <c r="AD9" s="182"/>
      <c r="AJ9" s="135"/>
    </row>
    <row r="10" spans="1:36" x14ac:dyDescent="0.35">
      <c r="A10" s="69">
        <v>12.665829843488408</v>
      </c>
      <c r="B10" s="100"/>
      <c r="C10" s="101"/>
      <c r="D10" s="101"/>
      <c r="E10" s="101"/>
      <c r="F10" s="102"/>
      <c r="G10" s="102"/>
      <c r="H10" s="107">
        <v>1078.6431702575555</v>
      </c>
      <c r="I10" s="109">
        <v>8.7726943415100001E-3</v>
      </c>
      <c r="J10" s="109">
        <v>6.3351614083283889E-9</v>
      </c>
      <c r="K10" s="109">
        <v>5.0313369378705256E-10</v>
      </c>
      <c r="L10" s="156">
        <v>5.8192197872051641E-9</v>
      </c>
      <c r="M10" s="27"/>
      <c r="N10" s="18">
        <v>4.2577360785297281E-7</v>
      </c>
      <c r="O10" s="18">
        <v>2.694415897985731E-12</v>
      </c>
      <c r="P10" s="18">
        <v>1.3472079489928657E-9</v>
      </c>
      <c r="Q10" s="28">
        <v>0.32985484968757195</v>
      </c>
      <c r="R10" s="60">
        <v>103.71584765147151</v>
      </c>
      <c r="S10" s="57">
        <v>1.1564505807497344E-7</v>
      </c>
      <c r="U10" s="127">
        <v>5.8207331054702709E-9</v>
      </c>
      <c r="V10" s="127">
        <v>5.8192197872051641E-9</v>
      </c>
      <c r="W10" s="128">
        <v>5.8177428700068863E-9</v>
      </c>
      <c r="X10" s="128">
        <f t="shared" si="0"/>
        <v>5.8192288874718715E-9</v>
      </c>
      <c r="Y10" s="139">
        <f t="shared" si="1"/>
        <v>1.0515235490593506</v>
      </c>
      <c r="AA10" s="73"/>
      <c r="AB10" s="182"/>
      <c r="AC10" s="182"/>
      <c r="AD10" s="182"/>
      <c r="AJ10" s="135"/>
    </row>
    <row r="11" spans="1:36" x14ac:dyDescent="0.35">
      <c r="B11" s="100"/>
      <c r="C11" s="142"/>
      <c r="D11" s="101"/>
      <c r="E11" s="101"/>
      <c r="F11" s="143"/>
      <c r="G11" s="147"/>
      <c r="H11" s="147"/>
      <c r="I11" s="109">
        <v>8.86042128493E-3</v>
      </c>
      <c r="J11" s="109">
        <v>5.4987375324301825E-9</v>
      </c>
      <c r="K11" s="109">
        <v>4.7128332565657469E-10</v>
      </c>
      <c r="L11" s="156">
        <v>6.0390204577663295E-9</v>
      </c>
      <c r="M11" s="27"/>
      <c r="N11" s="18">
        <v>5.0653796381982975E-7</v>
      </c>
      <c r="O11" s="18">
        <v>3.2055156014291243E-12</v>
      </c>
      <c r="P11" s="18">
        <v>1.6027578007145623E-9</v>
      </c>
      <c r="Q11" s="28">
        <v>0.30511585966628851</v>
      </c>
      <c r="R11" s="60">
        <v>103.71584765147151</v>
      </c>
      <c r="S11" s="57">
        <v>1.8888269987584475E-7</v>
      </c>
      <c r="U11" s="127">
        <v>6.0415934245204498E-9</v>
      </c>
      <c r="V11" s="127">
        <v>6.0390204577663295E-9</v>
      </c>
      <c r="W11" s="128">
        <v>6.0364433169556807E-9</v>
      </c>
      <c r="X11" s="128">
        <f t="shared" si="0"/>
        <v>6.039019414252197E-9</v>
      </c>
      <c r="Y11" s="139">
        <f t="shared" si="1"/>
        <v>1.3142459850824113</v>
      </c>
      <c r="AA11" s="73"/>
      <c r="AB11" s="182"/>
      <c r="AC11" s="182"/>
      <c r="AD11" s="182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8.9490254977800006E-3</v>
      </c>
      <c r="J12" s="109">
        <v>7.0443671814215603E-9</v>
      </c>
      <c r="K12" s="109">
        <v>5.1971440105840966E-10</v>
      </c>
      <c r="L12" s="156">
        <v>6.2618477721606016E-9</v>
      </c>
      <c r="M12" s="27"/>
      <c r="N12" s="18">
        <v>5.8750063779169001E-7</v>
      </c>
      <c r="O12" s="18">
        <v>3.7178703173384912E-12</v>
      </c>
      <c r="P12" s="18">
        <v>1.8589351586692456E-9</v>
      </c>
      <c r="Q12" s="28">
        <v>0.28889548286974742</v>
      </c>
      <c r="R12" s="60">
        <v>104.23837036133814</v>
      </c>
      <c r="S12" s="57">
        <v>1.8888269987584475E-7</v>
      </c>
      <c r="U12" s="127">
        <v>6.2661276996925252E-9</v>
      </c>
      <c r="V12" s="127">
        <v>6.2618477721606016E-9</v>
      </c>
      <c r="W12" s="128">
        <v>6.2574600726050938E-9</v>
      </c>
      <c r="X12" s="128">
        <f t="shared" si="0"/>
        <v>6.2618208291547062E-9</v>
      </c>
      <c r="Y12" s="139">
        <f t="shared" si="1"/>
        <v>2.2672042162987922</v>
      </c>
      <c r="AA12" s="73"/>
      <c r="AB12" s="182"/>
      <c r="AC12" s="182"/>
      <c r="AD12" s="182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612</v>
      </c>
      <c r="I13" s="109">
        <v>9.0385157527600006E-3</v>
      </c>
      <c r="J13" s="109">
        <v>7.0223031240887309E-9</v>
      </c>
      <c r="K13" s="109">
        <v>5.0940011194074955E-10</v>
      </c>
      <c r="L13" s="156">
        <v>6.4847852795273353E-9</v>
      </c>
      <c r="M13" s="27"/>
      <c r="N13" s="18">
        <v>6.6853200842141043E-7</v>
      </c>
      <c r="O13" s="18">
        <v>4.2306597651421388E-12</v>
      </c>
      <c r="P13" s="18">
        <v>2.1153298825710695E-9</v>
      </c>
      <c r="Q13" s="28">
        <v>0.27901782563242211</v>
      </c>
      <c r="R13" s="60">
        <v>104.23837036133814</v>
      </c>
      <c r="S13" s="57">
        <v>2.6617405870975311E-7</v>
      </c>
      <c r="U13" s="127">
        <v>6.4918975104740677E-9</v>
      </c>
      <c r="V13" s="127">
        <v>6.4847852795273353E-9</v>
      </c>
      <c r="W13" s="128">
        <v>6.4773199841992904E-9</v>
      </c>
      <c r="X13" s="128">
        <f t="shared" si="0"/>
        <v>6.484697013432007E-9</v>
      </c>
      <c r="Y13" s="139">
        <f t="shared" si="1"/>
        <v>1.1138079688466314</v>
      </c>
      <c r="AA13" s="73"/>
      <c r="AB13" s="182"/>
      <c r="AC13" s="182"/>
      <c r="AD13" s="182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64">
        <v>1.210589058721542</v>
      </c>
      <c r="I14" s="109">
        <v>9.1289009102799995E-3</v>
      </c>
      <c r="J14" s="109">
        <v>6.9599618052184138E-9</v>
      </c>
      <c r="K14" s="109">
        <v>4.9298488083110374E-10</v>
      </c>
      <c r="L14" s="156">
        <v>6.7027162364740496E-9</v>
      </c>
      <c r="M14" s="27"/>
      <c r="N14" s="18">
        <v>7.4957923106819953E-7</v>
      </c>
      <c r="O14" s="18">
        <v>4.7435495289964222E-12</v>
      </c>
      <c r="P14" s="18">
        <v>2.3717747644982111E-9</v>
      </c>
      <c r="Q14" s="28">
        <v>0.27433079872934468</v>
      </c>
      <c r="R14" s="60">
        <v>104.66359218935676</v>
      </c>
      <c r="S14" s="57">
        <v>2.6617405870975311E-7</v>
      </c>
      <c r="U14" s="127">
        <v>6.7146851959506422E-9</v>
      </c>
      <c r="V14" s="127">
        <v>6.7027162364740496E-9</v>
      </c>
      <c r="W14" s="128">
        <v>6.6898335535940226E-9</v>
      </c>
      <c r="X14" s="128">
        <f t="shared" si="0"/>
        <v>6.7024878056231906E-9</v>
      </c>
      <c r="Y14" s="139">
        <f t="shared" si="1"/>
        <v>0.27277185568256579</v>
      </c>
      <c r="AA14" s="73"/>
      <c r="AB14" s="182"/>
      <c r="AC14" s="182"/>
      <c r="AD14" s="182"/>
      <c r="AJ14" s="135"/>
    </row>
    <row r="15" spans="1:36" ht="18" x14ac:dyDescent="0.45">
      <c r="A15" s="118">
        <v>2.3E-2</v>
      </c>
      <c r="B15" s="100"/>
      <c r="C15" s="111" t="s">
        <v>632</v>
      </c>
      <c r="D15" s="111" t="s">
        <v>608</v>
      </c>
      <c r="E15" s="111" t="s">
        <v>610</v>
      </c>
      <c r="F15" s="102"/>
      <c r="G15" s="102"/>
      <c r="H15" s="120" t="s">
        <v>613</v>
      </c>
      <c r="I15" s="109">
        <v>9.2201899193900001E-3</v>
      </c>
      <c r="J15" s="109">
        <v>7.4687752684688198E-9</v>
      </c>
      <c r="K15" s="109">
        <v>5.1416293506550997E-10</v>
      </c>
      <c r="L15" s="156">
        <v>6.9066719622933332E-9</v>
      </c>
      <c r="M15" s="27"/>
      <c r="N15" s="18">
        <v>8.3062822009503426E-7</v>
      </c>
      <c r="O15" s="18">
        <v>5.2564504710035772E-12</v>
      </c>
      <c r="P15" s="18">
        <v>2.628225235501789E-9</v>
      </c>
      <c r="Q15" s="28">
        <v>0.27433079872934468</v>
      </c>
      <c r="R15" s="60">
        <v>104.66359218935676</v>
      </c>
      <c r="S15" s="57">
        <v>3.4547703194780347E-7</v>
      </c>
      <c r="U15" s="127">
        <v>6.9271882145470309E-9</v>
      </c>
      <c r="V15" s="127">
        <v>6.9066719622933332E-9</v>
      </c>
      <c r="W15" s="128">
        <v>6.8840304967967063E-9</v>
      </c>
      <c r="X15" s="128">
        <f t="shared" si="0"/>
        <v>6.9061406589826009E-9</v>
      </c>
      <c r="Y15" s="139">
        <f t="shared" si="1"/>
        <v>1.197433364661036</v>
      </c>
      <c r="AA15" s="73"/>
      <c r="AB15" s="182"/>
      <c r="AC15" s="182"/>
      <c r="AD15" s="182"/>
      <c r="AJ15" s="135"/>
    </row>
    <row r="16" spans="1:36" x14ac:dyDescent="0.35">
      <c r="A16" s="83" t="s">
        <v>516</v>
      </c>
      <c r="B16" s="100"/>
      <c r="C16" s="161">
        <v>1.5400000000000001E-6</v>
      </c>
      <c r="D16" s="161">
        <v>5.6499999999999999E-7</v>
      </c>
      <c r="E16" s="161">
        <v>5.7300000000000002E-6</v>
      </c>
      <c r="F16" s="102"/>
      <c r="G16" s="102"/>
      <c r="H16" s="164">
        <v>0.24069629974121684</v>
      </c>
      <c r="I16" s="109">
        <v>9.3123918185800004E-3</v>
      </c>
      <c r="J16" s="109">
        <v>7.4966084679844427E-9</v>
      </c>
      <c r="K16" s="109">
        <v>5.0964857758981342E-10</v>
      </c>
      <c r="L16" s="156">
        <v>7.0817352615357534E-9</v>
      </c>
      <c r="M16" s="27"/>
      <c r="N16" s="18">
        <v>9.1167544274182336E-7</v>
      </c>
      <c r="O16" s="18">
        <v>5.7693402348578606E-12</v>
      </c>
      <c r="P16" s="18">
        <v>2.8846701174289306E-9</v>
      </c>
      <c r="Q16" s="28">
        <v>0.27901782563242211</v>
      </c>
      <c r="R16" s="60">
        <v>105.03077359861321</v>
      </c>
      <c r="S16" s="57">
        <v>3.4547703194780347E-7</v>
      </c>
      <c r="U16" s="127">
        <v>7.1172062400858662E-9</v>
      </c>
      <c r="V16" s="127">
        <v>7.0817352615357534E-9</v>
      </c>
      <c r="W16" s="128">
        <v>7.0418624036637652E-9</v>
      </c>
      <c r="X16" s="128">
        <f t="shared" si="0"/>
        <v>7.0806347917052843E-9</v>
      </c>
      <c r="Y16" s="139">
        <f t="shared" si="1"/>
        <v>0.66617765874432855</v>
      </c>
      <c r="AA16" s="73"/>
      <c r="AB16" s="182"/>
      <c r="AC16" s="182"/>
      <c r="AD16" s="182"/>
      <c r="AJ16" s="135"/>
    </row>
    <row r="17" spans="1:36" ht="19.5" x14ac:dyDescent="0.45">
      <c r="A17" s="84">
        <v>4.25</v>
      </c>
      <c r="B17" s="103"/>
      <c r="C17" s="162" t="s">
        <v>633</v>
      </c>
      <c r="D17" s="162" t="s">
        <v>609</v>
      </c>
      <c r="E17" s="162" t="s">
        <v>611</v>
      </c>
      <c r="F17" s="104"/>
      <c r="G17" s="104"/>
      <c r="H17" s="144"/>
      <c r="I17" s="109">
        <v>9.4055157367700006E-3</v>
      </c>
      <c r="J17" s="109">
        <v>7.4892683635265326E-9</v>
      </c>
      <c r="K17" s="109">
        <v>4.953410258847685E-10</v>
      </c>
      <c r="L17" s="156">
        <v>7.2073784088622446E-9</v>
      </c>
      <c r="M17" s="27"/>
      <c r="N17" s="18">
        <v>9.9270681337154368E-7</v>
      </c>
      <c r="O17" s="18">
        <v>6.2821296826615082E-12</v>
      </c>
      <c r="P17" s="18">
        <v>3.1410648413307545E-9</v>
      </c>
      <c r="Q17" s="28">
        <v>0.28889548286974742</v>
      </c>
      <c r="R17" s="60">
        <v>105.03077359861321</v>
      </c>
      <c r="S17" s="57">
        <v>4.2577360785297281E-7</v>
      </c>
      <c r="U17" s="127">
        <v>7.2670331899602323E-9</v>
      </c>
      <c r="V17" s="127">
        <v>7.2073784088622446E-9</v>
      </c>
      <c r="W17" s="128">
        <v>7.1402615796274692E-9</v>
      </c>
      <c r="X17" s="128">
        <f t="shared" si="0"/>
        <v>7.2055128968280473E-9</v>
      </c>
      <c r="Y17" s="139">
        <f t="shared" si="1"/>
        <v>0.32815564225958488</v>
      </c>
      <c r="AA17" s="73"/>
      <c r="AB17" s="182"/>
      <c r="AC17" s="182"/>
      <c r="AD17" s="182"/>
      <c r="AJ17" s="135"/>
    </row>
    <row r="18" spans="1:36" x14ac:dyDescent="0.35">
      <c r="B18" s="103"/>
      <c r="C18" s="163">
        <v>223.25</v>
      </c>
      <c r="D18" s="163">
        <v>44.06</v>
      </c>
      <c r="E18" s="163">
        <v>48.06</v>
      </c>
      <c r="F18" s="104"/>
      <c r="G18" s="104"/>
      <c r="H18" s="108"/>
      <c r="I18" s="109">
        <v>9.4995708941299998E-3</v>
      </c>
      <c r="J18" s="109">
        <v>8.3297088228183568E-9</v>
      </c>
      <c r="K18" s="109">
        <v>5.1963723419533758E-10</v>
      </c>
      <c r="L18" s="156">
        <v>7.2692287913778901E-9</v>
      </c>
      <c r="N18" s="18">
        <v>1.073669487343404E-6</v>
      </c>
      <c r="O18" s="18">
        <v>6.7944843985708755E-12</v>
      </c>
      <c r="P18" s="18">
        <v>3.397242199285438E-9</v>
      </c>
      <c r="Q18" s="28">
        <v>0.30511585966628851</v>
      </c>
      <c r="R18" s="60">
        <v>105.36062844830079</v>
      </c>
      <c r="S18" s="57">
        <v>4.2577360785297281E-7</v>
      </c>
      <c r="U18" s="127">
        <v>7.3604321282789368E-9</v>
      </c>
      <c r="V18" s="127">
        <v>7.2692287913778901E-9</v>
      </c>
      <c r="W18" s="128">
        <v>7.1694484985573675E-9</v>
      </c>
      <c r="X18" s="128">
        <f t="shared" si="0"/>
        <v>7.2670845523980209E-9</v>
      </c>
      <c r="Y18" s="139">
        <f t="shared" si="1"/>
        <v>4.1817583900746227</v>
      </c>
      <c r="AA18" s="73"/>
      <c r="AB18" s="182"/>
      <c r="AC18" s="182"/>
      <c r="AD18" s="182"/>
      <c r="AJ18" s="135"/>
    </row>
    <row r="19" spans="1:36" x14ac:dyDescent="0.35">
      <c r="B19" s="108"/>
      <c r="C19" s="104"/>
      <c r="D19" s="104"/>
      <c r="E19" s="104"/>
      <c r="F19" s="104"/>
      <c r="G19" s="104"/>
      <c r="H19" s="144"/>
      <c r="I19" s="109">
        <v>9.5945666030799997E-3</v>
      </c>
      <c r="J19" s="109">
        <v>8.2436835309666487E-9</v>
      </c>
      <c r="K19" s="109">
        <v>3.6133535288478311E-10</v>
      </c>
      <c r="L19" s="156">
        <v>7.2915427299943075E-9</v>
      </c>
      <c r="N19" s="18">
        <v>1.1544338433102611E-6</v>
      </c>
      <c r="O19" s="18">
        <v>7.3055841020142692E-12</v>
      </c>
      <c r="P19" s="18">
        <v>3.6527920510071346E-9</v>
      </c>
      <c r="Q19" s="28">
        <v>0.32985484968757195</v>
      </c>
      <c r="R19" s="60">
        <v>105.36062844830079</v>
      </c>
      <c r="S19" s="57">
        <v>5.0653796381982975E-7</v>
      </c>
      <c r="U19" s="127">
        <v>7.4070066589474086E-9</v>
      </c>
      <c r="V19" s="127">
        <v>7.2915427299943075E-9</v>
      </c>
      <c r="W19" s="128">
        <v>7.1733599170800758E-9</v>
      </c>
      <c r="X19" s="128">
        <f t="shared" si="0"/>
        <v>7.2908630090040247E-9</v>
      </c>
      <c r="Y19" s="139">
        <f t="shared" si="1"/>
        <v>6.953465356974136</v>
      </c>
      <c r="AA19" s="73"/>
      <c r="AB19" s="182"/>
      <c r="AC19" s="182"/>
      <c r="AD19" s="182"/>
      <c r="AJ19" s="135"/>
    </row>
    <row r="20" spans="1:36" x14ac:dyDescent="0.35">
      <c r="B20" s="100"/>
      <c r="C20" s="100"/>
      <c r="D20" s="101"/>
      <c r="E20" s="101"/>
      <c r="F20" s="102"/>
      <c r="G20" s="102"/>
      <c r="H20" s="108"/>
      <c r="I20" s="109">
        <v>9.69051226911E-3</v>
      </c>
      <c r="J20" s="109">
        <v>9.1357228688198214E-9</v>
      </c>
      <c r="K20" s="109">
        <v>3.7730804459305474E-10</v>
      </c>
      <c r="L20" s="156">
        <v>7.3682262805299431E-9</v>
      </c>
      <c r="N20" s="18">
        <v>1.2347304192154303E-6</v>
      </c>
      <c r="O20" s="18">
        <v>7.8137235608306465E-12</v>
      </c>
      <c r="P20" s="18">
        <v>3.9068617804153232E-9</v>
      </c>
      <c r="Q20" s="28">
        <v>0.36718140925644527</v>
      </c>
      <c r="R20" s="60">
        <v>105.66574430796707</v>
      </c>
      <c r="S20" s="57">
        <v>5.0653796381982975E-7</v>
      </c>
      <c r="U20" s="127">
        <v>7.4750061152992259E-9</v>
      </c>
      <c r="V20" s="127">
        <v>7.3682262805299431E-9</v>
      </c>
      <c r="W20" s="128">
        <v>7.2722155302720432E-9</v>
      </c>
      <c r="X20" s="128">
        <f t="shared" si="0"/>
        <v>7.3709185516577882E-9</v>
      </c>
      <c r="Y20" s="139">
        <f t="shared" si="1"/>
        <v>21.877665868145311</v>
      </c>
      <c r="AA20" s="73"/>
      <c r="AB20" s="182"/>
      <c r="AC20" s="182"/>
      <c r="AD20" s="182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9.7874173918000001E-3</v>
      </c>
      <c r="J21" s="109">
        <v>8.8171341116599414E-9</v>
      </c>
      <c r="K21" s="109">
        <v>3.5843443973427221E-10</v>
      </c>
      <c r="L21" s="156">
        <v>7.6227159141942707E-9</v>
      </c>
      <c r="M21" s="31"/>
      <c r="N21" s="18">
        <v>1.3140333924534807E-6</v>
      </c>
      <c r="O21" s="18">
        <v>8.3155752207482941E-12</v>
      </c>
      <c r="P21" s="30">
        <v>4.1577876103741469E-9</v>
      </c>
      <c r="Q21" s="65">
        <v>0.42522182801861985</v>
      </c>
      <c r="R21" s="62">
        <v>105.66574430796707</v>
      </c>
      <c r="S21" s="61">
        <v>5.8750063779169001E-7</v>
      </c>
      <c r="T21" s="75"/>
      <c r="U21" s="127">
        <v>7.6762910212092985E-9</v>
      </c>
      <c r="V21" s="127">
        <v>7.6227159141942707E-9</v>
      </c>
      <c r="W21" s="128">
        <v>7.5909703746565662E-9</v>
      </c>
      <c r="X21" s="128">
        <f t="shared" si="0"/>
        <v>7.6281733060636007E-9</v>
      </c>
      <c r="Y21" s="139">
        <f t="shared" si="1"/>
        <v>11.003114014473402</v>
      </c>
      <c r="AA21" s="73"/>
      <c r="AB21" s="182"/>
      <c r="AC21" s="182"/>
      <c r="AD21" s="182"/>
      <c r="AE21" s="75"/>
      <c r="AF21" s="75"/>
      <c r="AG21" s="75"/>
      <c r="AH21" s="75"/>
      <c r="AI21" s="159"/>
      <c r="AJ21" s="135"/>
    </row>
    <row r="22" spans="1:36" x14ac:dyDescent="0.35">
      <c r="B22" s="100"/>
      <c r="C22" s="100"/>
      <c r="D22" s="101"/>
      <c r="E22" s="101"/>
      <c r="F22" s="102"/>
      <c r="G22" s="102"/>
      <c r="H22" s="108"/>
      <c r="I22" s="109">
        <v>9.8852915657199995E-3</v>
      </c>
      <c r="J22" s="109">
        <v>9.6020102033804362E-9</v>
      </c>
      <c r="K22" s="109">
        <v>3.7346270157115534E-10</v>
      </c>
      <c r="L22" s="156">
        <v>8.0579560340776932E-9</v>
      </c>
      <c r="N22" s="18">
        <v>1.391324751287389E-6</v>
      </c>
      <c r="O22" s="18">
        <v>8.8046968153655827E-12</v>
      </c>
      <c r="P22" s="18">
        <v>4.402348407682792E-9</v>
      </c>
      <c r="Q22" s="28">
        <v>0.52252270986663085</v>
      </c>
      <c r="R22" s="60">
        <v>105.95463979083682</v>
      </c>
      <c r="S22" s="57">
        <v>5.8750063779169001E-7</v>
      </c>
      <c r="U22" s="127">
        <v>8.037600704132054E-9</v>
      </c>
      <c r="V22" s="127">
        <v>8.0579560340776932E-9</v>
      </c>
      <c r="W22" s="128">
        <v>8.0974036861602022E-9</v>
      </c>
      <c r="X22" s="128">
        <f t="shared" si="0"/>
        <v>8.0627291146119111E-9</v>
      </c>
      <c r="Y22" s="139">
        <f t="shared" si="1"/>
        <v>16.987966603273453</v>
      </c>
      <c r="AA22" s="73"/>
      <c r="AB22" s="182"/>
      <c r="AC22" s="182"/>
      <c r="AD22" s="182"/>
      <c r="AJ22" s="135"/>
    </row>
    <row r="23" spans="1:36" x14ac:dyDescent="0.35">
      <c r="B23" s="100"/>
      <c r="C23" s="100"/>
      <c r="D23" s="101"/>
      <c r="E23" s="101"/>
      <c r="F23" s="102"/>
      <c r="G23" s="102"/>
      <c r="H23" s="121"/>
      <c r="I23" s="109">
        <v>9.9841444813699998E-3</v>
      </c>
      <c r="J23" s="109">
        <v>8.3417130421180671E-9</v>
      </c>
      <c r="K23" s="109">
        <v>3.3695262264910624E-10</v>
      </c>
      <c r="L23" s="156">
        <v>8.406575288175788E-9</v>
      </c>
      <c r="N23" s="18">
        <v>1.4645623930882604E-6</v>
      </c>
      <c r="O23" s="18">
        <v>9.2681653412667804E-12</v>
      </c>
      <c r="P23" s="18">
        <v>4.6340826706333911E-9</v>
      </c>
      <c r="Q23" s="28">
        <v>0.71317718802348939</v>
      </c>
      <c r="R23" s="60">
        <v>105.95463979083682</v>
      </c>
      <c r="S23" s="57">
        <v>6.6853200842141043E-7</v>
      </c>
      <c r="U23" s="127">
        <v>8.3251015214526804E-9</v>
      </c>
      <c r="V23" s="127">
        <v>8.406575288175788E-9</v>
      </c>
      <c r="W23" s="128">
        <v>8.4921867560855016E-9</v>
      </c>
      <c r="X23" s="128">
        <f t="shared" si="0"/>
        <v>8.4076097134724408E-9</v>
      </c>
      <c r="Y23" s="139">
        <f t="shared" si="1"/>
        <v>3.8246286424550566E-2</v>
      </c>
      <c r="AA23" s="73"/>
      <c r="AB23" s="182"/>
      <c r="AC23" s="182"/>
      <c r="AD23" s="182"/>
      <c r="AJ23" s="135"/>
    </row>
    <row r="24" spans="1:36" x14ac:dyDescent="0.35">
      <c r="B24" s="100"/>
      <c r="C24" s="100"/>
      <c r="D24" s="101"/>
      <c r="E24" s="101"/>
      <c r="F24" s="102"/>
      <c r="G24" s="102"/>
      <c r="H24" s="146"/>
      <c r="I24" s="109">
        <v>1.0083985926200001E-2</v>
      </c>
      <c r="J24" s="109">
        <v>9.0132059507300461E-9</v>
      </c>
      <c r="K24" s="109">
        <v>4.8298916090268089E-10</v>
      </c>
      <c r="L24" s="156">
        <v>8.2317787977618853E-9</v>
      </c>
      <c r="N24" s="18">
        <v>1.5292855532484389E-6</v>
      </c>
      <c r="O24" s="18">
        <v>9.6777518174761795E-12</v>
      </c>
      <c r="P24" s="18">
        <v>4.8388759087380908E-9</v>
      </c>
      <c r="Q24" s="28">
        <v>1.281588875373888</v>
      </c>
      <c r="R24" s="60">
        <v>106.23365761646924</v>
      </c>
      <c r="S24" s="57">
        <v>6.6853200842141043E-7</v>
      </c>
      <c r="U24" s="127">
        <v>8.1067383809917572E-9</v>
      </c>
      <c r="V24" s="127">
        <v>8.2317787977618853E-9</v>
      </c>
      <c r="W24" s="128">
        <v>8.3434121247956832E-9</v>
      </c>
      <c r="X24" s="128">
        <f t="shared" si="0"/>
        <v>8.2284270253278036E-9</v>
      </c>
      <c r="Y24" s="139">
        <f t="shared" si="1"/>
        <v>2.6400970674194761</v>
      </c>
      <c r="AA24" s="73"/>
      <c r="AB24" s="182"/>
      <c r="AC24" s="182"/>
      <c r="AD24" s="182"/>
      <c r="AJ24" s="135"/>
    </row>
    <row r="25" spans="1:36" x14ac:dyDescent="0.35">
      <c r="B25" s="100"/>
      <c r="C25" s="100"/>
      <c r="D25" s="101"/>
      <c r="E25" s="101"/>
      <c r="F25" s="102"/>
      <c r="G25" s="102"/>
      <c r="H25" s="147"/>
      <c r="I25" s="109">
        <v>1.01848257854E-2</v>
      </c>
      <c r="J25" s="109">
        <v>8.0996350126144953E-9</v>
      </c>
      <c r="K25" s="109">
        <v>4.5095751303233022E-10</v>
      </c>
      <c r="L25" s="156">
        <v>7.3664088084869558E-9</v>
      </c>
      <c r="N25" s="18">
        <v>1.5740255754788555E-6</v>
      </c>
      <c r="O25" s="18">
        <v>9.960879341001539E-12</v>
      </c>
      <c r="P25" s="18">
        <v>4.98043967050077E-9</v>
      </c>
      <c r="Q25" s="28">
        <v>1.7210815880741237</v>
      </c>
      <c r="R25" s="60">
        <v>106.23365761646924</v>
      </c>
      <c r="S25" s="57">
        <v>7.4957923106819953E-7</v>
      </c>
      <c r="U25" s="127">
        <v>7.2061420977894177E-9</v>
      </c>
      <c r="V25" s="127">
        <v>7.3664088084869558E-9</v>
      </c>
      <c r="W25" s="128">
        <v>7.4989672614712946E-9</v>
      </c>
      <c r="X25" s="128">
        <f t="shared" si="0"/>
        <v>7.3594817440586558E-9</v>
      </c>
      <c r="Y25" s="139">
        <f t="shared" si="1"/>
        <v>2.6938416863517189</v>
      </c>
      <c r="AA25" s="73"/>
      <c r="AB25" s="182"/>
      <c r="AC25" s="182"/>
      <c r="AD25" s="182"/>
      <c r="AJ25" s="135"/>
    </row>
    <row r="26" spans="1:36" x14ac:dyDescent="0.35">
      <c r="B26" s="100"/>
      <c r="C26" s="100"/>
      <c r="D26" s="101"/>
      <c r="E26" s="101"/>
      <c r="F26" s="102"/>
      <c r="G26" s="102"/>
      <c r="H26" s="148"/>
      <c r="I26" s="109">
        <v>1.02866740433E-2</v>
      </c>
      <c r="J26" s="109">
        <v>6.5630983674383054E-9</v>
      </c>
      <c r="K26" s="109">
        <v>4.0185111935547921E-10</v>
      </c>
      <c r="L26" s="156">
        <v>6.1686829759793876E-9</v>
      </c>
      <c r="N26" s="18">
        <v>1.5802074511632338E-6</v>
      </c>
      <c r="O26" s="18">
        <v>9.9999999999999994E-12</v>
      </c>
      <c r="P26" s="18">
        <v>5.0000000000000001E-9</v>
      </c>
      <c r="Q26" s="28">
        <v>121.34860574895569</v>
      </c>
      <c r="R26" s="60">
        <v>106.50798841519858</v>
      </c>
      <c r="S26" s="57">
        <v>7.4957923106819953E-7</v>
      </c>
      <c r="U26" s="127">
        <v>5.9895821565021485E-9</v>
      </c>
      <c r="V26" s="127">
        <v>6.1686829759793876E-9</v>
      </c>
      <c r="W26" s="128">
        <v>6.3105033983973706E-9</v>
      </c>
      <c r="X26" s="128">
        <f t="shared" si="0"/>
        <v>6.1593628767145736E-9</v>
      </c>
      <c r="Y26" s="139">
        <f t="shared" si="1"/>
        <v>1.0094004440968871</v>
      </c>
      <c r="AA26" s="73"/>
      <c r="AB26" s="182"/>
      <c r="AC26" s="182"/>
      <c r="AD26" s="182"/>
      <c r="AJ26" s="135"/>
    </row>
    <row r="27" spans="1:36" x14ac:dyDescent="0.35">
      <c r="B27" s="100"/>
      <c r="C27" s="100"/>
      <c r="D27" s="101"/>
      <c r="E27" s="101"/>
      <c r="F27" s="102"/>
      <c r="G27" s="102"/>
      <c r="H27" s="149"/>
      <c r="I27" s="109">
        <v>1.03895407837E-2</v>
      </c>
      <c r="J27" s="109">
        <v>5.9978569819916114E-9</v>
      </c>
      <c r="K27" s="109">
        <v>3.8438805744765481E-10</v>
      </c>
      <c r="L27" s="156">
        <v>5.1344629176995494E-9</v>
      </c>
      <c r="N27" s="18">
        <v>1.5802074511632338E-6</v>
      </c>
      <c r="O27" s="18">
        <v>1.056304342539504E-11</v>
      </c>
      <c r="P27" s="18">
        <v>5.1780350892085253E-9</v>
      </c>
      <c r="Q27" s="28">
        <v>19.078812002040859</v>
      </c>
      <c r="R27" s="60">
        <v>106.50798841519858</v>
      </c>
      <c r="S27" s="57">
        <v>8.3062822009503426E-7</v>
      </c>
      <c r="U27" s="127">
        <v>4.965005834471572E-9</v>
      </c>
      <c r="V27" s="127">
        <v>5.1344629176995494E-9</v>
      </c>
      <c r="W27" s="128">
        <v>5.2614490404152704E-9</v>
      </c>
      <c r="X27" s="128">
        <f t="shared" si="0"/>
        <v>5.1238451775714853E-9</v>
      </c>
      <c r="Y27" s="139">
        <f t="shared" si="1"/>
        <v>5.1700509653497315</v>
      </c>
      <c r="AA27" s="73"/>
      <c r="AB27" s="182"/>
      <c r="AC27" s="182"/>
      <c r="AD27" s="182"/>
      <c r="AJ27" s="135"/>
    </row>
    <row r="28" spans="1:36" x14ac:dyDescent="0.35">
      <c r="B28" s="100"/>
      <c r="C28" s="100"/>
      <c r="D28" s="101"/>
      <c r="E28" s="101"/>
      <c r="F28" s="102"/>
      <c r="G28" s="102"/>
      <c r="H28" s="148"/>
      <c r="I28" s="109">
        <v>1.04934361916E-2</v>
      </c>
      <c r="J28" s="109">
        <v>3.9722542227741582E-9</v>
      </c>
      <c r="K28" s="109">
        <v>3.0145553743449142E-10</v>
      </c>
      <c r="L28" s="156">
        <v>4.4408278122450735E-9</v>
      </c>
      <c r="N28" s="18">
        <v>1.5802074511632338E-6</v>
      </c>
      <c r="O28" s="18">
        <v>1.4637951536621044E-11</v>
      </c>
      <c r="P28" s="18">
        <v>6.4665265205571022E-9</v>
      </c>
      <c r="Q28" s="28">
        <v>14.206876296042461</v>
      </c>
      <c r="R28" s="60">
        <v>106.78231921392792</v>
      </c>
      <c r="S28" s="57">
        <v>8.3062822009503426E-7</v>
      </c>
      <c r="U28" s="127">
        <v>4.3052670417914238E-9</v>
      </c>
      <c r="V28" s="127">
        <v>4.4408278122450735E-9</v>
      </c>
      <c r="W28" s="128">
        <v>4.5314146640806853E-9</v>
      </c>
      <c r="X28" s="128">
        <f t="shared" si="0"/>
        <v>4.4295843325905642E-9</v>
      </c>
      <c r="Y28" s="139">
        <f t="shared" si="1"/>
        <v>2.3015110235316385</v>
      </c>
      <c r="AA28" s="73"/>
      <c r="AB28" s="182"/>
      <c r="AC28" s="182"/>
      <c r="AD28" s="182"/>
      <c r="AJ28" s="135"/>
    </row>
    <row r="29" spans="1:36" x14ac:dyDescent="0.35">
      <c r="B29" s="100"/>
      <c r="C29" s="100"/>
      <c r="D29" s="101"/>
      <c r="E29" s="101"/>
      <c r="F29" s="102"/>
      <c r="G29" s="102"/>
      <c r="H29" s="150"/>
      <c r="I29" s="109">
        <v>1.05983705535E-2</v>
      </c>
      <c r="J29" s="109">
        <v>4.1535243277823093E-9</v>
      </c>
      <c r="K29" s="109">
        <v>3.0749992184306007E-10</v>
      </c>
      <c r="L29" s="156">
        <v>3.989992925205405E-9</v>
      </c>
      <c r="N29" s="18">
        <v>1.5802074511632338E-6</v>
      </c>
      <c r="O29" s="18">
        <v>2.0532917993333852E-11</v>
      </c>
      <c r="P29" s="18">
        <v>8.3305228513299389E-9</v>
      </c>
      <c r="Q29" s="28">
        <v>7.9058271198345373</v>
      </c>
      <c r="R29" s="60">
        <v>106.78231921392792</v>
      </c>
      <c r="S29" s="57">
        <v>9.1167544274182336E-7</v>
      </c>
      <c r="U29" s="127">
        <v>3.9000784179948696E-9</v>
      </c>
      <c r="V29" s="127">
        <v>3.989992925205405E-9</v>
      </c>
      <c r="W29" s="128">
        <v>4.0334414342250988E-9</v>
      </c>
      <c r="X29" s="128">
        <f t="shared" si="0"/>
        <v>3.9783764256576944E-9</v>
      </c>
      <c r="Y29" s="139">
        <f t="shared" si="1"/>
        <v>0.32442914363493702</v>
      </c>
      <c r="AA29" s="73"/>
      <c r="AB29" s="182"/>
      <c r="AC29" s="182"/>
      <c r="AD29" s="182"/>
      <c r="AJ29" s="135"/>
    </row>
    <row r="30" spans="1:36" x14ac:dyDescent="0.35">
      <c r="B30" s="184"/>
      <c r="C30" s="184"/>
      <c r="D30" s="184"/>
      <c r="E30" s="184"/>
      <c r="F30" s="184"/>
      <c r="G30" s="184"/>
      <c r="H30" s="145"/>
      <c r="I30" s="109">
        <v>1.0704354259E-2</v>
      </c>
      <c r="J30" s="109">
        <v>3.3487686414982954E-9</v>
      </c>
      <c r="K30" s="109">
        <v>2.7731737378134636E-10</v>
      </c>
      <c r="L30" s="156">
        <v>3.6506744882138909E-9</v>
      </c>
      <c r="N30" s="18">
        <v>1.5802074511632338E-6</v>
      </c>
      <c r="O30" s="18">
        <v>2.7203380942244557E-11</v>
      </c>
      <c r="P30" s="18">
        <v>1.0439732217087566E-8</v>
      </c>
      <c r="Q30" s="28">
        <v>5.7923532605434165</v>
      </c>
      <c r="R30" s="60">
        <v>107.06133703956034</v>
      </c>
      <c r="S30" s="57">
        <v>9.1167544274182336E-7</v>
      </c>
      <c r="U30" s="127">
        <v>3.6096601188801722E-9</v>
      </c>
      <c r="V30" s="127">
        <v>3.6506744882138909E-9</v>
      </c>
      <c r="W30" s="128">
        <v>3.6441181805666789E-9</v>
      </c>
      <c r="X30" s="128">
        <f t="shared" si="0"/>
        <v>3.6387818189686584E-9</v>
      </c>
      <c r="Y30" s="139">
        <f t="shared" si="1"/>
        <v>1.0936574248067377</v>
      </c>
      <c r="AA30" s="73"/>
      <c r="AB30" s="182"/>
      <c r="AC30" s="182"/>
      <c r="AD30" s="182"/>
      <c r="AJ30" s="135"/>
    </row>
    <row r="31" spans="1:36" x14ac:dyDescent="0.35">
      <c r="B31" s="141"/>
      <c r="C31" s="103"/>
      <c r="D31" s="103"/>
      <c r="E31" s="103"/>
      <c r="F31" s="143"/>
      <c r="G31" s="143"/>
      <c r="H31" s="144"/>
      <c r="I31" s="109">
        <v>1.08113978016E-2</v>
      </c>
      <c r="J31" s="109">
        <v>3.9733668636906602E-9</v>
      </c>
      <c r="K31" s="109">
        <v>3.0370468224311443E-10</v>
      </c>
      <c r="L31" s="156">
        <v>3.3519656986655532E-9</v>
      </c>
      <c r="N31" s="18">
        <v>1.5802074511632338E-6</v>
      </c>
      <c r="O31" s="18">
        <v>3.4243055250359895E-11</v>
      </c>
      <c r="P31" s="18">
        <v>1.2665686711742984E-8</v>
      </c>
      <c r="Q31" s="28">
        <v>4.7137377868352397</v>
      </c>
      <c r="R31" s="60">
        <v>107.06133703956034</v>
      </c>
      <c r="S31" s="57">
        <v>9.9270681337154368E-7</v>
      </c>
      <c r="U31" s="127">
        <v>3.3595957717944242E-9</v>
      </c>
      <c r="V31" s="127">
        <v>3.3519656986655532E-9</v>
      </c>
      <c r="W31" s="128">
        <v>3.2961827364286604E-9</v>
      </c>
      <c r="X31" s="128">
        <f t="shared" si="0"/>
        <v>3.3399274763885481E-9</v>
      </c>
      <c r="Y31" s="139">
        <f t="shared" si="1"/>
        <v>4.3501792610113803</v>
      </c>
      <c r="AA31" s="73"/>
      <c r="AB31" s="182"/>
      <c r="AC31" s="182"/>
      <c r="AD31" s="182"/>
      <c r="AJ31" s="135"/>
    </row>
    <row r="32" spans="1:36" x14ac:dyDescent="0.35">
      <c r="B32" s="100"/>
      <c r="C32" s="101"/>
      <c r="D32" s="101"/>
      <c r="E32" s="101"/>
      <c r="F32" s="102"/>
      <c r="G32" s="102"/>
      <c r="H32" s="101"/>
      <c r="I32" s="109">
        <v>1.0919511779600001E-2</v>
      </c>
      <c r="J32" s="109">
        <v>3.269946214326922E-9</v>
      </c>
      <c r="K32" s="109">
        <v>2.6982896743016253E-10</v>
      </c>
      <c r="L32" s="156">
        <v>3.064151984307829E-9</v>
      </c>
      <c r="N32" s="18">
        <v>1.5802074511632338E-6</v>
      </c>
      <c r="O32" s="18">
        <v>4.1465946808790422E-11</v>
      </c>
      <c r="P32" s="18">
        <v>1.4949574747637285E-8</v>
      </c>
      <c r="Q32" s="28">
        <v>4.0703387488370701</v>
      </c>
      <c r="R32" s="60">
        <v>107.35023252243009</v>
      </c>
      <c r="S32" s="57">
        <v>9.9270681337154368E-7</v>
      </c>
      <c r="U32" s="127">
        <v>3.1188297693902253E-9</v>
      </c>
      <c r="V32" s="127">
        <v>3.064151984307829E-9</v>
      </c>
      <c r="W32" s="128">
        <v>2.9616527303714893E-9</v>
      </c>
      <c r="X32" s="128">
        <f t="shared" si="0"/>
        <v>3.0521966170943429E-9</v>
      </c>
      <c r="Y32" s="139">
        <f t="shared" si="1"/>
        <v>0.65123476703783001</v>
      </c>
      <c r="AA32" s="73"/>
      <c r="AB32" s="182"/>
      <c r="AC32" s="182"/>
      <c r="AD32" s="182"/>
      <c r="AJ32" s="135"/>
    </row>
    <row r="33" spans="2:36" x14ac:dyDescent="0.35">
      <c r="B33" s="100"/>
      <c r="C33" s="142"/>
      <c r="D33" s="101"/>
      <c r="E33" s="101"/>
      <c r="F33" s="143"/>
      <c r="G33" s="102"/>
      <c r="H33" s="121"/>
      <c r="I33" s="109">
        <v>1.1028706897400001E-2</v>
      </c>
      <c r="J33" s="109">
        <v>2.5995997479715889E-9</v>
      </c>
      <c r="K33" s="109">
        <v>2.4418828402135602E-10</v>
      </c>
      <c r="L33" s="156">
        <v>2.7776839301877326E-9</v>
      </c>
      <c r="N33" s="18">
        <v>1.5802074511632338E-6</v>
      </c>
      <c r="O33" s="18">
        <v>4.8779335406912324E-11</v>
      </c>
      <c r="P33" s="18">
        <v>1.7262078069329932E-8</v>
      </c>
      <c r="Q33" s="28">
        <v>3.6565603331987968</v>
      </c>
      <c r="R33" s="60">
        <v>107.35023252243009</v>
      </c>
      <c r="S33" s="57">
        <v>1.073669487343404E-6</v>
      </c>
      <c r="U33" s="127">
        <v>2.8767123790894949E-9</v>
      </c>
      <c r="V33" s="127">
        <v>2.7776839301877326E-9</v>
      </c>
      <c r="W33" s="128">
        <v>2.6324687758518667E-9</v>
      </c>
      <c r="X33" s="128">
        <f t="shared" si="0"/>
        <v>2.7661372538292069E-9</v>
      </c>
      <c r="Y33" s="139">
        <f t="shared" si="1"/>
        <v>0.46513012298177708</v>
      </c>
      <c r="AA33" s="73"/>
      <c r="AB33" s="182"/>
      <c r="AC33" s="182"/>
      <c r="AD33" s="182"/>
      <c r="AJ33" s="135"/>
    </row>
    <row r="34" spans="2:36" x14ac:dyDescent="0.35">
      <c r="B34" s="100"/>
      <c r="C34" s="101"/>
      <c r="D34" s="101"/>
      <c r="E34" s="101"/>
      <c r="F34" s="102"/>
      <c r="G34" s="102"/>
      <c r="H34" s="101"/>
      <c r="I34" s="109">
        <v>1.11389939664E-2</v>
      </c>
      <c r="J34" s="109">
        <v>2.0301040198249595E-9</v>
      </c>
      <c r="K34" s="109">
        <v>2.1009340505800021E-10</v>
      </c>
      <c r="L34" s="156">
        <v>2.4901169193704444E-9</v>
      </c>
      <c r="N34" s="18">
        <v>1.5802074511632338E-6</v>
      </c>
      <c r="O34" s="18">
        <v>5.613532927594409E-11</v>
      </c>
      <c r="P34" s="18">
        <v>1.9588053235049304E-8</v>
      </c>
      <c r="Q34" s="28">
        <v>3.3823196795267156</v>
      </c>
      <c r="R34" s="60">
        <v>107.65534838209638</v>
      </c>
      <c r="S34" s="57">
        <v>1.073669487343404E-6</v>
      </c>
      <c r="U34" s="127">
        <v>2.629704112490681E-9</v>
      </c>
      <c r="V34" s="127">
        <v>2.4901169193704444E-9</v>
      </c>
      <c r="W34" s="128">
        <v>2.3076100518360052E-9</v>
      </c>
      <c r="X34" s="128">
        <f t="shared" si="0"/>
        <v>2.479387000766894E-9</v>
      </c>
      <c r="Y34" s="139">
        <f t="shared" si="1"/>
        <v>4.5731463031166752</v>
      </c>
      <c r="AA34" s="73"/>
      <c r="AB34" s="182"/>
      <c r="AC34" s="182"/>
      <c r="AD34" s="182"/>
      <c r="AJ34" s="135"/>
    </row>
    <row r="35" spans="2:36" x14ac:dyDescent="0.35">
      <c r="B35" s="100"/>
      <c r="C35" s="142"/>
      <c r="D35" s="101"/>
      <c r="E35" s="101"/>
      <c r="F35" s="143"/>
      <c r="G35" s="102"/>
      <c r="H35" s="116"/>
      <c r="I35" s="109">
        <v>1.12503839061E-2</v>
      </c>
      <c r="J35" s="109">
        <v>2.281437812437659E-9</v>
      </c>
      <c r="K35" s="109">
        <v>2.1987724454902206E-10</v>
      </c>
      <c r="L35" s="156">
        <v>2.2026336894384709E-9</v>
      </c>
      <c r="N35" s="18">
        <v>1.5802074511632338E-6</v>
      </c>
      <c r="O35" s="18">
        <v>6.3509385890743584E-11</v>
      </c>
      <c r="P35" s="18">
        <v>2.1919739865300652E-8</v>
      </c>
      <c r="Q35" s="28">
        <v>3.2025109350442627</v>
      </c>
      <c r="R35" s="60">
        <v>107.65534838209638</v>
      </c>
      <c r="S35" s="57">
        <v>1.1544338433102611E-6</v>
      </c>
      <c r="U35" s="127">
        <v>2.3778155575965267E-9</v>
      </c>
      <c r="V35" s="127">
        <v>2.2026336894384709E-9</v>
      </c>
      <c r="W35" s="128">
        <v>1.9896549584118755E-9</v>
      </c>
      <c r="X35" s="128">
        <f t="shared" si="0"/>
        <v>2.1931844737213362E-9</v>
      </c>
      <c r="Y35" s="139">
        <f t="shared" si="1"/>
        <v>0.16110229107597504</v>
      </c>
      <c r="AA35" s="73"/>
      <c r="AB35" s="182"/>
      <c r="AC35" s="182"/>
      <c r="AD35" s="182"/>
      <c r="AJ35" s="135"/>
    </row>
    <row r="36" spans="2:36" x14ac:dyDescent="0.35">
      <c r="B36" s="100"/>
      <c r="C36" s="101"/>
      <c r="D36" s="101"/>
      <c r="E36" s="101"/>
      <c r="F36" s="102"/>
      <c r="G36" s="102"/>
      <c r="H36" s="102"/>
      <c r="I36" s="109">
        <v>1.1362887745099999E-2</v>
      </c>
      <c r="J36" s="109">
        <v>1.8319038578512584E-9</v>
      </c>
      <c r="K36" s="109">
        <v>2.0016972166867976E-10</v>
      </c>
      <c r="L36" s="156">
        <v>1.9184382091367187E-9</v>
      </c>
      <c r="N36" s="18">
        <v>1.5802074511632338E-6</v>
      </c>
      <c r="O36" s="18">
        <v>7.088969937700566E-11</v>
      </c>
      <c r="P36" s="18">
        <v>2.4253404926732906E-8</v>
      </c>
      <c r="Q36" s="28">
        <v>3.0930135313433689</v>
      </c>
      <c r="R36" s="60">
        <v>107.98520323178396</v>
      </c>
      <c r="S36" s="57">
        <v>1.1544338433102611E-6</v>
      </c>
      <c r="U36" s="127">
        <v>2.1230783155847175E-9</v>
      </c>
      <c r="V36" s="127">
        <v>1.9184382091367187E-9</v>
      </c>
      <c r="W36" s="128">
        <v>1.6830651335651041E-9</v>
      </c>
      <c r="X36" s="128">
        <f t="shared" si="0"/>
        <v>1.9107549668558148E-9</v>
      </c>
      <c r="Y36" s="139">
        <f t="shared" si="1"/>
        <v>0.15517395920192376</v>
      </c>
      <c r="AA36" s="73"/>
      <c r="AB36" s="182"/>
      <c r="AC36" s="182"/>
      <c r="AD36" s="182"/>
      <c r="AJ36" s="135"/>
    </row>
    <row r="37" spans="2:36" x14ac:dyDescent="0.35">
      <c r="B37" s="100"/>
      <c r="C37" s="142"/>
      <c r="D37" s="101"/>
      <c r="E37" s="101"/>
      <c r="F37" s="143"/>
      <c r="G37" s="102"/>
      <c r="H37" s="116"/>
      <c r="I37" s="109">
        <v>1.14765166226E-2</v>
      </c>
      <c r="J37" s="109">
        <v>1.7141463933811508E-9</v>
      </c>
      <c r="K37" s="109">
        <v>1.9271084081369947E-10</v>
      </c>
      <c r="L37" s="156">
        <v>1.6418716180754752E-9</v>
      </c>
      <c r="N37" s="18">
        <v>1.5802074511632338E-6</v>
      </c>
      <c r="O37" s="18">
        <v>7.8271456660336026E-11</v>
      </c>
      <c r="P37" s="18">
        <v>2.6587526518742132E-8</v>
      </c>
      <c r="Q37" s="28">
        <v>3.0410561425990124</v>
      </c>
      <c r="R37" s="60">
        <v>107.98520323178396</v>
      </c>
      <c r="S37" s="57">
        <v>1.2347304192154303E-6</v>
      </c>
      <c r="U37" s="127">
        <v>1.8687594685336962E-9</v>
      </c>
      <c r="V37" s="127">
        <v>1.6418716180754752E-9</v>
      </c>
      <c r="W37" s="128">
        <v>1.3931786892934623E-9</v>
      </c>
      <c r="X37" s="128">
        <f t="shared" si="0"/>
        <v>1.6364203484945273E-9</v>
      </c>
      <c r="Y37" s="139">
        <f t="shared" si="1"/>
        <v>0.16267501129938824</v>
      </c>
      <c r="AA37" s="73"/>
      <c r="AB37" s="182"/>
      <c r="AC37" s="182"/>
      <c r="AD37" s="182"/>
      <c r="AJ37" s="135"/>
    </row>
    <row r="38" spans="2:36" x14ac:dyDescent="0.35">
      <c r="B38" s="100"/>
      <c r="C38" s="101"/>
      <c r="D38" s="101"/>
      <c r="E38" s="101"/>
      <c r="F38" s="102"/>
      <c r="G38" s="102"/>
      <c r="H38" s="102"/>
      <c r="I38" s="109">
        <v>1.1591281788799999E-2</v>
      </c>
      <c r="J38" s="109">
        <v>1.3998730554999898E-9</v>
      </c>
      <c r="K38" s="109">
        <v>1.7272921120615489E-10</v>
      </c>
      <c r="L38" s="156">
        <v>1.3778157325899065E-9</v>
      </c>
      <c r="N38" s="18">
        <v>1.5802074511632338E-6</v>
      </c>
      <c r="O38" s="18">
        <v>8.5653374825043235E-11</v>
      </c>
      <c r="P38" s="18">
        <v>2.8921698981659327E-8</v>
      </c>
      <c r="Q38" s="28">
        <v>3.0410561425990124</v>
      </c>
      <c r="R38" s="60">
        <v>108.3523846410404</v>
      </c>
      <c r="S38" s="57">
        <v>1.2347304192154303E-6</v>
      </c>
      <c r="U38" s="127">
        <v>1.6188641819634496E-9</v>
      </c>
      <c r="V38" s="127">
        <v>1.3778157325899065E-9</v>
      </c>
      <c r="W38" s="128">
        <v>1.125505366662464E-9</v>
      </c>
      <c r="X38" s="128">
        <f t="shared" si="0"/>
        <v>1.3750002534514316E-9</v>
      </c>
      <c r="Y38" s="139">
        <f t="shared" si="1"/>
        <v>2.0735659253263164E-2</v>
      </c>
      <c r="AA38" s="73"/>
      <c r="AB38" s="182"/>
      <c r="AC38" s="182"/>
      <c r="AD38" s="182"/>
      <c r="AJ38" s="135"/>
    </row>
    <row r="39" spans="2:36" x14ac:dyDescent="0.35">
      <c r="B39" s="100"/>
      <c r="C39" s="101"/>
      <c r="D39" s="101"/>
      <c r="E39" s="101"/>
      <c r="F39" s="102"/>
      <c r="G39" s="102"/>
      <c r="H39" s="116"/>
      <c r="I39" s="109">
        <v>1.17071946067E-2</v>
      </c>
      <c r="J39" s="109">
        <v>1.2809277264453529E-9</v>
      </c>
      <c r="K39" s="109">
        <v>1.6835869796543188E-10</v>
      </c>
      <c r="L39" s="156">
        <v>1.1312344878965297E-9</v>
      </c>
      <c r="N39" s="18">
        <v>1.5802074511632338E-6</v>
      </c>
      <c r="O39" s="18">
        <v>9.3035132108373614E-11</v>
      </c>
      <c r="P39" s="18">
        <v>3.1255820573668549E-8</v>
      </c>
      <c r="Q39" s="28">
        <v>3.0930135313433689</v>
      </c>
      <c r="R39" s="60">
        <v>108.3523846410404</v>
      </c>
      <c r="S39" s="57">
        <v>1.3140333924534807E-6</v>
      </c>
      <c r="U39" s="127">
        <v>1.3777641727691356E-9</v>
      </c>
      <c r="V39" s="127">
        <v>1.1312344878965297E-9</v>
      </c>
      <c r="W39" s="128">
        <v>8.8519069886655125E-10</v>
      </c>
      <c r="X39" s="128">
        <f t="shared" si="0"/>
        <v>1.1313559618571866E-9</v>
      </c>
      <c r="Y39" s="139">
        <f t="shared" si="1"/>
        <v>0.78927458374642145</v>
      </c>
      <c r="AA39" s="73"/>
      <c r="AB39" s="182"/>
      <c r="AC39" s="182"/>
      <c r="AD39" s="182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1.18242665528E-2</v>
      </c>
      <c r="J40" s="109">
        <v>7.4622908409195729E-10</v>
      </c>
      <c r="K40" s="109">
        <v>7.0762884932708406E-11</v>
      </c>
      <c r="L40" s="156">
        <v>9.068014311734235E-10</v>
      </c>
      <c r="N40" s="18">
        <v>1.5802074511632338E-6</v>
      </c>
      <c r="O40" s="18">
        <v>1.0041544559463568E-10</v>
      </c>
      <c r="P40" s="18">
        <v>3.3589485635100807E-8</v>
      </c>
      <c r="Q40" s="28">
        <v>3.2025109350442627</v>
      </c>
      <c r="R40" s="60">
        <v>108.77760646905902</v>
      </c>
      <c r="S40" s="57">
        <v>1.3140333924534807E-6</v>
      </c>
      <c r="U40" s="127">
        <v>1.1498902567491917E-9</v>
      </c>
      <c r="V40" s="127">
        <v>9.068014311734235E-10</v>
      </c>
      <c r="W40" s="128">
        <v>6.7660771488080964E-10</v>
      </c>
      <c r="X40" s="128">
        <f t="shared" si="0"/>
        <v>9.1002520849421207E-10</v>
      </c>
      <c r="Y40" s="139">
        <f t="shared" si="1"/>
        <v>5.3579194794887046</v>
      </c>
      <c r="AA40" s="73"/>
      <c r="AB40" s="182"/>
      <c r="AC40" s="182"/>
      <c r="AD40" s="182"/>
      <c r="AJ40" s="135"/>
    </row>
    <row r="41" spans="2:36" x14ac:dyDescent="0.35">
      <c r="B41" s="141"/>
      <c r="C41" s="142"/>
      <c r="D41" s="142"/>
      <c r="E41" s="142"/>
      <c r="F41" s="143"/>
      <c r="G41" s="143"/>
      <c r="H41" s="151"/>
      <c r="I41" s="109">
        <v>1.19425092183E-2</v>
      </c>
      <c r="J41" s="109">
        <v>6.0047173562626131E-10</v>
      </c>
      <c r="K41" s="109">
        <v>6.3952414560111193E-11</v>
      </c>
      <c r="L41" s="156">
        <v>7.0859931708738445E-10</v>
      </c>
      <c r="N41" s="18">
        <v>1.5802074511632338E-6</v>
      </c>
      <c r="O41" s="18">
        <v>1.0778950220943518E-10</v>
      </c>
      <c r="P41" s="18">
        <v>3.5921172265352152E-8</v>
      </c>
      <c r="Q41" s="28">
        <v>3.3823196795267156</v>
      </c>
      <c r="R41" s="60">
        <v>108.77760646905902</v>
      </c>
      <c r="S41" s="57">
        <v>1.391324751287389E-6</v>
      </c>
      <c r="U41" s="127">
        <v>9.3946796052150974E-10</v>
      </c>
      <c r="V41" s="127">
        <v>7.0859931708738445E-10</v>
      </c>
      <c r="W41" s="128">
        <v>5.0306602926594617E-10</v>
      </c>
      <c r="X41" s="128">
        <f t="shared" si="0"/>
        <v>7.1493315599055625E-10</v>
      </c>
      <c r="Y41" s="139">
        <f t="shared" si="1"/>
        <v>3.2033498286134421</v>
      </c>
      <c r="AA41" s="73"/>
      <c r="AB41" s="182"/>
      <c r="AC41" s="182"/>
      <c r="AD41" s="182"/>
      <c r="AJ41" s="135"/>
    </row>
    <row r="42" spans="2:36" x14ac:dyDescent="0.35">
      <c r="B42" s="103"/>
      <c r="C42" s="104"/>
      <c r="D42" s="104"/>
      <c r="E42" s="104"/>
      <c r="F42" s="104"/>
      <c r="G42" s="104"/>
      <c r="H42" s="150"/>
      <c r="I42" s="109">
        <v>1.2061934310500001E-2</v>
      </c>
      <c r="J42" s="109">
        <v>5.4207251806316459E-10</v>
      </c>
      <c r="K42" s="109">
        <v>5.8793730136131252E-11</v>
      </c>
      <c r="L42" s="156">
        <v>5.398916736900498E-10</v>
      </c>
      <c r="N42" s="18">
        <v>1.5802074511632338E-6</v>
      </c>
      <c r="O42" s="18">
        <v>1.1514549607846696E-10</v>
      </c>
      <c r="P42" s="18">
        <v>3.8247147431071527E-8</v>
      </c>
      <c r="Q42" s="28">
        <v>3.6565603331987968</v>
      </c>
      <c r="R42" s="60">
        <v>109.30012917892566</v>
      </c>
      <c r="S42" s="57">
        <v>1.391324751287389E-6</v>
      </c>
      <c r="U42" s="127">
        <v>7.5029270853103391E-10</v>
      </c>
      <c r="V42" s="127">
        <v>5.398916736900498E-10</v>
      </c>
      <c r="W42" s="128">
        <v>3.6663519517160424E-10</v>
      </c>
      <c r="X42" s="128">
        <f t="shared" si="0"/>
        <v>5.491778127706844E-10</v>
      </c>
      <c r="Y42" s="139">
        <f t="shared" si="1"/>
        <v>1.4605020221211688E-2</v>
      </c>
      <c r="AA42" s="73"/>
      <c r="AB42" s="182"/>
      <c r="AC42" s="182"/>
      <c r="AD42" s="182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1.2182553653599999E-2</v>
      </c>
      <c r="J43" s="109">
        <v>3.4836944984193921E-10</v>
      </c>
      <c r="K43" s="109">
        <v>4.8007585749269937E-11</v>
      </c>
      <c r="L43" s="156">
        <v>4.0296878708215285E-10</v>
      </c>
      <c r="N43" s="18">
        <v>1.5802074511632338E-6</v>
      </c>
      <c r="O43" s="18">
        <v>1.2245888467658885E-10</v>
      </c>
      <c r="P43" s="18">
        <v>4.055965075276417E-8</v>
      </c>
      <c r="Q43" s="28">
        <v>4.0703387488370701</v>
      </c>
      <c r="R43" s="60">
        <v>109.30012917892566</v>
      </c>
      <c r="S43" s="57">
        <v>1.4645623930882604E-6</v>
      </c>
      <c r="U43" s="127">
        <v>5.8554785059141009E-10</v>
      </c>
      <c r="V43" s="127">
        <v>4.0296878708215285E-10</v>
      </c>
      <c r="W43" s="128">
        <v>2.6807598183987726E-10</v>
      </c>
      <c r="X43" s="128">
        <f t="shared" si="0"/>
        <v>4.1489035164889822E-10</v>
      </c>
      <c r="Y43" s="139">
        <f t="shared" si="1"/>
        <v>1.9199791999003666</v>
      </c>
      <c r="AA43" s="73"/>
      <c r="AB43" s="182"/>
      <c r="AC43" s="182"/>
      <c r="AD43" s="182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1.2304379190100001E-2</v>
      </c>
      <c r="J44" s="109">
        <v>2.6328086249042783E-10</v>
      </c>
      <c r="K44" s="109">
        <v>4.6353247315491585E-11</v>
      </c>
      <c r="L44" s="156">
        <v>2.9906780763968639E-10</v>
      </c>
      <c r="N44" s="18">
        <v>1.5802074511632338E-6</v>
      </c>
      <c r="O44" s="18">
        <v>1.2968177623501939E-10</v>
      </c>
      <c r="P44" s="18">
        <v>4.2843538788658475E-8</v>
      </c>
      <c r="Q44" s="28">
        <v>4.7137377868352397</v>
      </c>
      <c r="R44" s="60">
        <v>110.01330636694915</v>
      </c>
      <c r="S44" s="57">
        <v>1.4645623930882604E-6</v>
      </c>
      <c r="U44" s="127">
        <v>4.4766993185822269E-10</v>
      </c>
      <c r="V44" s="127">
        <v>2.9906780763968639E-10</v>
      </c>
      <c r="W44" s="128">
        <v>2.0686675303062736E-10</v>
      </c>
      <c r="X44" s="128">
        <f t="shared" si="0"/>
        <v>3.1316807504205569E-10</v>
      </c>
      <c r="Y44" s="139">
        <f t="shared" si="1"/>
        <v>1.158292243230258</v>
      </c>
      <c r="AA44" s="73"/>
      <c r="AB44" s="182"/>
      <c r="AC44" s="182"/>
      <c r="AD44" s="182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1.2427422981999999E-2</v>
      </c>
      <c r="J45" s="109">
        <v>2.5509099932966731E-10</v>
      </c>
      <c r="K45" s="109">
        <v>4.8791202909920926E-11</v>
      </c>
      <c r="L45" s="156">
        <v>2.2836196120493207E-10</v>
      </c>
      <c r="N45" s="18">
        <v>1.5802074511632338E-6</v>
      </c>
      <c r="O45" s="18">
        <v>1.3672145054313472E-10</v>
      </c>
      <c r="P45" s="18">
        <v>4.5069493283313893E-8</v>
      </c>
      <c r="Q45" s="28">
        <v>5.7923532605434165</v>
      </c>
      <c r="R45" s="60">
        <v>110.01330636694915</v>
      </c>
      <c r="S45" s="57">
        <v>1.5292855532484389E-6</v>
      </c>
      <c r="U45" s="127">
        <v>3.3826376743776067E-10</v>
      </c>
      <c r="V45" s="127">
        <v>2.2836196120493207E-10</v>
      </c>
      <c r="W45" s="128">
        <v>1.8130623630396558E-10</v>
      </c>
      <c r="X45" s="128">
        <f t="shared" si="0"/>
        <v>2.4407348153789762E-10</v>
      </c>
      <c r="Y45" s="139">
        <f t="shared" si="1"/>
        <v>5.0989936383410393E-2</v>
      </c>
      <c r="AA45" s="73"/>
      <c r="AB45" s="182"/>
      <c r="AC45" s="182"/>
      <c r="AD45" s="182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1.25516972118E-2</v>
      </c>
      <c r="J46" s="109">
        <v>1.679945421442464E-10</v>
      </c>
      <c r="K46" s="109">
        <v>4.5368142676191078E-11</v>
      </c>
      <c r="L46" s="156">
        <v>1.9000923133129543E-10</v>
      </c>
      <c r="N46" s="18">
        <v>1.5802074511632338E-6</v>
      </c>
      <c r="O46" s="18">
        <v>1.4339191349204541E-10</v>
      </c>
      <c r="P46" s="18">
        <v>4.717870264907152E-8</v>
      </c>
      <c r="Q46" s="28">
        <v>7.9058271198345373</v>
      </c>
      <c r="R46" s="60">
        <v>111.29489524232304</v>
      </c>
      <c r="S46" s="57">
        <v>1.5292855532484389E-6</v>
      </c>
      <c r="U46" s="127">
        <v>2.580667018886087E-10</v>
      </c>
      <c r="V46" s="127">
        <v>1.9000923133129543E-10</v>
      </c>
      <c r="W46" s="128">
        <v>1.8867061328072415E-10</v>
      </c>
      <c r="X46" s="128">
        <f t="shared" si="0"/>
        <v>2.0668894445798095E-10</v>
      </c>
      <c r="Y46" s="139">
        <f t="shared" si="1"/>
        <v>0.72743515487204358</v>
      </c>
      <c r="AA46" s="73"/>
      <c r="AB46" s="182"/>
      <c r="AC46" s="182"/>
      <c r="AD46" s="182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1.26772141839E-2</v>
      </c>
      <c r="J47" s="109">
        <v>1.1243005687972554E-10</v>
      </c>
      <c r="K47" s="109">
        <v>4.3582046979154627E-11</v>
      </c>
      <c r="L47" s="156">
        <v>1.8224759710186059E-10</v>
      </c>
      <c r="N47" s="18">
        <v>1.5802074511632338E-6</v>
      </c>
      <c r="O47" s="18">
        <v>1.4928687994875822E-10</v>
      </c>
      <c r="P47" s="18">
        <v>4.9042698979844353E-8</v>
      </c>
      <c r="Q47" s="28">
        <v>14.206876296042461</v>
      </c>
      <c r="R47" s="60">
        <v>111.29489524232304</v>
      </c>
      <c r="S47" s="57">
        <v>1.5740255754788555E-6</v>
      </c>
      <c r="U47" s="127">
        <v>2.0695806432077746E-10</v>
      </c>
      <c r="V47" s="127">
        <v>1.8224759710186059E-10</v>
      </c>
      <c r="W47" s="128">
        <v>2.254025861772601E-10</v>
      </c>
      <c r="X47" s="128">
        <f t="shared" si="0"/>
        <v>1.9921396117543969E-10</v>
      </c>
      <c r="Y47" s="139">
        <f t="shared" si="1"/>
        <v>3.9651819463191824</v>
      </c>
      <c r="AA47" s="73"/>
      <c r="AB47" s="182"/>
      <c r="AC47" s="182"/>
      <c r="AD47" s="182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1.28039863258E-2</v>
      </c>
      <c r="J48" s="109">
        <v>2.2832238614872411E-10</v>
      </c>
      <c r="K48" s="109">
        <v>4.8487309081276973E-11</v>
      </c>
      <c r="L48" s="156">
        <v>2.0252248694498433E-10</v>
      </c>
      <c r="N48" s="18">
        <v>1.5802074511632338E-6</v>
      </c>
      <c r="O48" s="18">
        <v>1.5336178805998422E-10</v>
      </c>
      <c r="P48" s="18">
        <v>5.0331190411192935E-8</v>
      </c>
      <c r="Q48" s="28">
        <v>19.078812002040859</v>
      </c>
      <c r="R48" s="60">
        <v>113.01597683039716</v>
      </c>
      <c r="S48" s="57">
        <v>1.5740255754788555E-6</v>
      </c>
      <c r="U48" s="127">
        <v>1.8400704738641344E-10</v>
      </c>
      <c r="V48" s="127">
        <v>2.0252248694498433E-10</v>
      </c>
      <c r="W48" s="128">
        <v>2.8731248476304198E-10</v>
      </c>
      <c r="X48" s="128">
        <f t="shared" si="0"/>
        <v>2.1909112650985604E-10</v>
      </c>
      <c r="Y48" s="139">
        <f t="shared" si="1"/>
        <v>3.6246474135364762E-2</v>
      </c>
      <c r="AA48" s="73"/>
      <c r="AB48" s="182"/>
      <c r="AC48" s="182"/>
      <c r="AD48" s="182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1.2932026189000001E-2</v>
      </c>
      <c r="J49" s="109">
        <v>2.5995454958270426E-10</v>
      </c>
      <c r="K49" s="109">
        <v>4.7721430188883807E-11</v>
      </c>
      <c r="L49" s="156">
        <v>2.476113350635773E-10</v>
      </c>
      <c r="N49" s="18">
        <v>1.5802074511632338E-6</v>
      </c>
      <c r="O49" s="18">
        <v>1.5392483148537927E-10</v>
      </c>
      <c r="P49" s="18">
        <v>5.0509225500401457E-8</v>
      </c>
      <c r="Q49" s="28">
        <v>793.48378759131265</v>
      </c>
      <c r="R49" s="60">
        <v>113.01597683039716</v>
      </c>
      <c r="S49" s="57">
        <v>1.5802074511632338E-6</v>
      </c>
      <c r="U49" s="127">
        <v>1.8745630694341142E-10</v>
      </c>
      <c r="V49" s="127">
        <v>2.476113350635773E-10</v>
      </c>
      <c r="W49" s="128">
        <v>3.6982444382339573E-10</v>
      </c>
      <c r="X49" s="128">
        <f t="shared" si="0"/>
        <v>2.6312585522349044E-10</v>
      </c>
      <c r="Y49" s="139">
        <f t="shared" si="1"/>
        <v>4.4162057458018268E-3</v>
      </c>
      <c r="AA49" s="73"/>
      <c r="AB49" s="182"/>
      <c r="AC49" s="182"/>
      <c r="AD49" s="182"/>
      <c r="AJ49" s="135"/>
    </row>
    <row r="50" spans="2:36" x14ac:dyDescent="0.35">
      <c r="B50" s="150"/>
      <c r="C50" s="150"/>
      <c r="D50" s="150"/>
      <c r="E50" s="150"/>
      <c r="F50" s="102"/>
      <c r="G50" s="102"/>
      <c r="H50" s="101"/>
      <c r="I50" s="109">
        <v>1.3061346450899999E-2</v>
      </c>
      <c r="J50" s="109">
        <v>4.1315541866807746E-10</v>
      </c>
      <c r="K50" s="109">
        <v>5.5724312121383692E-11</v>
      </c>
      <c r="L50" s="156">
        <v>3.1390390448678674E-10</v>
      </c>
      <c r="N50" s="18">
        <v>1.5778114409076112E-6</v>
      </c>
      <c r="O50" s="18">
        <v>1.5392483148537927E-10</v>
      </c>
      <c r="P50" s="18">
        <v>5.0509225500401457E-8</v>
      </c>
      <c r="Q50" s="28">
        <v>3.4421631761482474</v>
      </c>
      <c r="R50" s="60">
        <v>234.36458257935286</v>
      </c>
      <c r="S50" s="57">
        <v>1.5802074511632338E-6</v>
      </c>
      <c r="U50" s="127">
        <v>2.1524630995549803E-10</v>
      </c>
      <c r="V50" s="127">
        <v>3.1390390448678674E-10</v>
      </c>
      <c r="W50" s="128">
        <v>4.6799822394337312E-10</v>
      </c>
      <c r="X50" s="128">
        <f t="shared" si="0"/>
        <v>3.2776308571811117E-10</v>
      </c>
      <c r="Y50" s="139">
        <f t="shared" si="1"/>
        <v>2.3482715978196311</v>
      </c>
      <c r="AA50" s="73"/>
      <c r="AB50" s="182"/>
      <c r="AC50" s="182"/>
      <c r="AD50" s="182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1.31919599154E-2</v>
      </c>
      <c r="J51" s="109">
        <v>5.1000090290807274E-10</v>
      </c>
      <c r="K51" s="109">
        <v>6.321152510843317E-11</v>
      </c>
      <c r="L51" s="156">
        <v>3.9728348812452309E-10</v>
      </c>
      <c r="N51" s="18">
        <v>1.5604708217211491E-6</v>
      </c>
      <c r="O51" s="18">
        <v>1.5392483148537927E-10</v>
      </c>
      <c r="P51" s="18">
        <v>5.0509225500401457E-8</v>
      </c>
      <c r="Q51" s="28">
        <v>2.563177750747776</v>
      </c>
      <c r="R51" s="60">
        <v>234.36458257935286</v>
      </c>
      <c r="S51" s="57">
        <v>1.5802074511632338E-6</v>
      </c>
      <c r="U51" s="127">
        <v>2.6440599840825328E-10</v>
      </c>
      <c r="V51" s="127">
        <v>3.9728348812452309E-10</v>
      </c>
      <c r="W51" s="128">
        <v>5.7687116669289224E-10</v>
      </c>
      <c r="X51" s="128">
        <f t="shared" si="0"/>
        <v>4.0896103533754797E-10</v>
      </c>
      <c r="Y51" s="139">
        <f t="shared" si="1"/>
        <v>2.555012323876352</v>
      </c>
      <c r="AA51" s="73"/>
      <c r="AB51" s="182"/>
      <c r="AC51" s="182"/>
      <c r="AD51" s="182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1.33238795146E-2</v>
      </c>
      <c r="J52" s="109">
        <v>5.0197782131556218E-10</v>
      </c>
      <c r="K52" s="109">
        <v>6.2078234744738554E-11</v>
      </c>
      <c r="L52" s="156">
        <v>4.9350060002930596E-10</v>
      </c>
      <c r="N52" s="18">
        <v>1.5353850122617376E-6</v>
      </c>
      <c r="O52" s="18">
        <v>1.5392483148537927E-10</v>
      </c>
      <c r="P52" s="18">
        <v>5.0509225500401457E-8</v>
      </c>
      <c r="Q52" s="28">
        <v>1.4263543760469788</v>
      </c>
      <c r="R52" s="60">
        <v>253.4433945813937</v>
      </c>
      <c r="S52" s="57">
        <v>1.5802074511632338E-6</v>
      </c>
      <c r="U52" s="127">
        <v>3.3170633462441641E-10</v>
      </c>
      <c r="V52" s="127">
        <v>4.9350060002930596E-10</v>
      </c>
      <c r="W52" s="128">
        <v>6.9152709338508244E-10</v>
      </c>
      <c r="X52" s="128">
        <f t="shared" si="0"/>
        <v>5.0255865701702768E-10</v>
      </c>
      <c r="Y52" s="139">
        <f t="shared" si="1"/>
        <v>8.7544302679804005E-5</v>
      </c>
      <c r="AA52" s="73"/>
      <c r="AB52" s="182"/>
      <c r="AC52" s="182"/>
      <c r="AD52" s="182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1.3457118309700001E-2</v>
      </c>
      <c r="J53" s="109">
        <v>5.5638446344219591E-10</v>
      </c>
      <c r="K53" s="109">
        <v>6.3961475033918318E-11</v>
      </c>
      <c r="L53" s="156">
        <v>5.9822469029126636E-10</v>
      </c>
      <c r="N53" s="18">
        <v>1.5069991064603756E-6</v>
      </c>
      <c r="O53" s="18">
        <v>1.5392483148537927E-10</v>
      </c>
      <c r="P53" s="18">
        <v>5.0509225500401457E-8</v>
      </c>
      <c r="Q53" s="28">
        <v>1.0450454197332617</v>
      </c>
      <c r="R53" s="60">
        <v>253.4433945813937</v>
      </c>
      <c r="S53" s="57">
        <v>1.5802074511632338E-6</v>
      </c>
      <c r="U53" s="127">
        <v>4.1362377082333552E-10</v>
      </c>
      <c r="V53" s="127">
        <v>5.9822469029126636E-10</v>
      </c>
      <c r="W53" s="128">
        <v>8.0721756272389461E-10</v>
      </c>
      <c r="X53" s="128">
        <f t="shared" si="0"/>
        <v>6.0432267853244075E-10</v>
      </c>
      <c r="Y53" s="139">
        <f t="shared" si="1"/>
        <v>0.56172891296692795</v>
      </c>
      <c r="AA53" s="73"/>
      <c r="AB53" s="182"/>
      <c r="AC53" s="182"/>
      <c r="AD53" s="182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1.3591689492799999E-2</v>
      </c>
      <c r="J54" s="109">
        <v>5.1778579107384627E-10</v>
      </c>
      <c r="K54" s="109">
        <v>6.3986918930549827E-11</v>
      </c>
      <c r="L54" s="156">
        <v>7.0715560532451488E-10</v>
      </c>
      <c r="N54" s="18">
        <v>1.4770420355174869E-6</v>
      </c>
      <c r="O54" s="18">
        <v>1.5392483148537927E-10</v>
      </c>
      <c r="P54" s="18">
        <v>5.0509225500401457E-8</v>
      </c>
      <c r="Q54" s="28">
        <v>0.8504436560372397</v>
      </c>
      <c r="R54" s="60">
        <v>267.65027087743618</v>
      </c>
      <c r="S54" s="57">
        <v>1.5802074511632338E-6</v>
      </c>
      <c r="U54" s="127">
        <v>5.0644840223250821E-10</v>
      </c>
      <c r="V54" s="127">
        <v>7.0715560532451488E-10</v>
      </c>
      <c r="W54" s="128">
        <v>9.1946074843349526E-10</v>
      </c>
      <c r="X54" s="128">
        <f t="shared" si="0"/>
        <v>7.1005509032875825E-10</v>
      </c>
      <c r="Y54" s="139">
        <f t="shared" si="1"/>
        <v>9.0289550206579339</v>
      </c>
      <c r="AA54" s="73"/>
      <c r="AB54" s="182"/>
      <c r="AC54" s="182"/>
      <c r="AD54" s="182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1.37276063878E-2</v>
      </c>
      <c r="J55" s="109">
        <v>8.3002525020795839E-10</v>
      </c>
      <c r="K55" s="109">
        <v>7.4946100091203042E-11</v>
      </c>
      <c r="L55" s="156">
        <v>8.1612127545457945E-10</v>
      </c>
      <c r="N55" s="18">
        <v>1.4463052904127796E-6</v>
      </c>
      <c r="O55" s="18">
        <v>1.5392483148537927E-10</v>
      </c>
      <c r="P55" s="18">
        <v>5.0509225500401457E-8</v>
      </c>
      <c r="Q55" s="28">
        <v>0.73436281851289054</v>
      </c>
      <c r="R55" s="60">
        <v>267.65027087743618</v>
      </c>
      <c r="S55" s="57">
        <v>1.5802074511632338E-6</v>
      </c>
      <c r="U55" s="127">
        <v>6.063843599167722E-10</v>
      </c>
      <c r="V55" s="127">
        <v>8.1612127545457945E-10</v>
      </c>
      <c r="W55" s="128">
        <v>1.0241250797214025E-9</v>
      </c>
      <c r="X55" s="128">
        <f t="shared" si="0"/>
        <v>8.1568799763683338E-10</v>
      </c>
      <c r="Y55" s="139">
        <f t="shared" si="1"/>
        <v>3.6596014799731194E-2</v>
      </c>
      <c r="AA55" s="73"/>
      <c r="AB55" s="182"/>
      <c r="AC55" s="182"/>
      <c r="AD55" s="182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1.3864882451600001E-2</v>
      </c>
      <c r="J56" s="109">
        <v>8.4689402776101856E-10</v>
      </c>
      <c r="K56" s="109">
        <v>7.3988412810486229E-11</v>
      </c>
      <c r="L56" s="156">
        <v>9.2116331467813548E-10</v>
      </c>
      <c r="N56" s="18">
        <v>1.4151834385375746E-6</v>
      </c>
      <c r="O56" s="18">
        <v>1.5392483148537927E-10</v>
      </c>
      <c r="P56" s="18">
        <v>5.0509225500401457E-8</v>
      </c>
      <c r="Q56" s="28">
        <v>0.6597096993751439</v>
      </c>
      <c r="R56" s="60">
        <v>275.55609799727074</v>
      </c>
      <c r="S56" s="57">
        <v>1.5802074511632338E-6</v>
      </c>
      <c r="U56" s="127">
        <v>7.0964155730398374E-10</v>
      </c>
      <c r="V56" s="127">
        <v>9.2116331467813548E-10</v>
      </c>
      <c r="W56" s="128">
        <v>1.1175013724992915E-9</v>
      </c>
      <c r="X56" s="128">
        <f t="shared" si="0"/>
        <v>9.1736738978988657E-10</v>
      </c>
      <c r="Y56" s="139">
        <f t="shared" si="1"/>
        <v>0.90724077149646598</v>
      </c>
      <c r="AA56" s="73"/>
      <c r="AB56" s="182"/>
      <c r="AC56" s="182"/>
      <c r="AD56" s="182"/>
      <c r="AJ56" s="135"/>
    </row>
    <row r="57" spans="2:36" x14ac:dyDescent="0.35">
      <c r="B57" s="100"/>
      <c r="C57" s="100"/>
      <c r="D57" s="101"/>
      <c r="E57" s="101"/>
      <c r="F57" s="102"/>
      <c r="G57" s="102"/>
      <c r="H57" s="150"/>
      <c r="I57" s="109">
        <v>1.40035312762E-2</v>
      </c>
      <c r="J57" s="109">
        <v>1.0686357393183157E-9</v>
      </c>
      <c r="K57" s="109">
        <v>8.2948713396460774E-11</v>
      </c>
      <c r="L57" s="156">
        <v>1.0186127178410741E-9</v>
      </c>
      <c r="N57" s="18">
        <v>1.3838802815241878E-6</v>
      </c>
      <c r="O57" s="18">
        <v>1.5392483148537927E-10</v>
      </c>
      <c r="P57" s="18">
        <v>5.0509225500401457E-8</v>
      </c>
      <c r="Q57" s="28">
        <v>0.61023171933257703</v>
      </c>
      <c r="R57" s="60">
        <v>275.55609799727074</v>
      </c>
      <c r="S57" s="57">
        <v>1.5802074511632338E-6</v>
      </c>
      <c r="U57" s="127">
        <v>8.1251898272924222E-10</v>
      </c>
      <c r="V57" s="127">
        <v>1.0186127178410741E-9</v>
      </c>
      <c r="W57" s="128">
        <v>1.19636663564847E-9</v>
      </c>
      <c r="X57" s="128">
        <f t="shared" si="0"/>
        <v>1.0115277635149651E-9</v>
      </c>
      <c r="Y57" s="139">
        <f t="shared" si="1"/>
        <v>0.47399550739773794</v>
      </c>
      <c r="AA57" s="73"/>
      <c r="AB57" s="182"/>
      <c r="AC57" s="182"/>
      <c r="AD57" s="182"/>
      <c r="AJ57" s="135"/>
    </row>
    <row r="58" spans="2:36" x14ac:dyDescent="0.35">
      <c r="B58" s="100"/>
      <c r="C58" s="100"/>
      <c r="D58" s="101"/>
      <c r="E58" s="101"/>
      <c r="F58" s="102"/>
      <c r="G58" s="102"/>
      <c r="H58" s="150"/>
      <c r="I58" s="109">
        <v>1.41435665889E-2</v>
      </c>
      <c r="J58" s="109">
        <v>1.0237673138153618E-9</v>
      </c>
      <c r="K58" s="109">
        <v>7.7583992951880335E-11</v>
      </c>
      <c r="L58" s="156">
        <v>1.1051578365047792E-9</v>
      </c>
      <c r="N58" s="18">
        <v>1.352500259171198E-6</v>
      </c>
      <c r="O58" s="18">
        <v>1.5392483148537927E-10</v>
      </c>
      <c r="P58" s="18">
        <v>5.0509225500401457E-8</v>
      </c>
      <c r="Q58" s="28">
        <v>0.57779096573949484</v>
      </c>
      <c r="R58" s="60">
        <v>281.34845125781413</v>
      </c>
      <c r="S58" s="57">
        <v>1.5802074511632338E-6</v>
      </c>
      <c r="U58" s="127">
        <v>9.1148041625056208E-10</v>
      </c>
      <c r="V58" s="127">
        <v>1.1051578365047792E-9</v>
      </c>
      <c r="W58" s="128">
        <v>1.2580417880278712E-9</v>
      </c>
      <c r="X58" s="128">
        <f t="shared" si="0"/>
        <v>1.0949594693219979E-9</v>
      </c>
      <c r="Y58" s="139">
        <f t="shared" si="1"/>
        <v>0.84201539144852278</v>
      </c>
      <c r="AA58" s="73"/>
      <c r="AB58" s="182"/>
      <c r="AC58" s="182"/>
      <c r="AD58" s="182"/>
      <c r="AJ58" s="135"/>
    </row>
    <row r="59" spans="2:36" x14ac:dyDescent="0.35">
      <c r="B59" s="100"/>
      <c r="C59" s="100"/>
      <c r="D59" s="101"/>
      <c r="E59" s="101"/>
      <c r="F59" s="102"/>
      <c r="G59" s="102"/>
      <c r="H59" s="150"/>
      <c r="I59" s="109">
        <v>1.42850022548E-2</v>
      </c>
      <c r="J59" s="109">
        <v>1.1072695168424468E-9</v>
      </c>
      <c r="K59" s="109">
        <v>8.1370133060661024E-11</v>
      </c>
      <c r="L59" s="156">
        <v>1.1779064295849006E-9</v>
      </c>
      <c r="N59" s="18">
        <v>1.3210936109355208E-6</v>
      </c>
      <c r="O59" s="18">
        <v>1.5392483148537927E-10</v>
      </c>
      <c r="P59" s="18">
        <v>5.0509225500401457E-8</v>
      </c>
      <c r="Q59" s="28">
        <v>0.55803565126484422</v>
      </c>
      <c r="R59" s="60">
        <v>281.34845125781413</v>
      </c>
      <c r="S59" s="57">
        <v>1.5802074511632338E-6</v>
      </c>
      <c r="U59" s="127">
        <v>1.003223772580606E-9</v>
      </c>
      <c r="V59" s="127">
        <v>1.1779064295849006E-9</v>
      </c>
      <c r="W59" s="128">
        <v>1.3004443428590997E-9</v>
      </c>
      <c r="X59" s="128">
        <f t="shared" si="0"/>
        <v>1.1648702436523769E-9</v>
      </c>
      <c r="Y59" s="139">
        <f t="shared" si="1"/>
        <v>0.50110169812720939</v>
      </c>
      <c r="AA59" s="73"/>
      <c r="AB59" s="182"/>
      <c r="AC59" s="182"/>
      <c r="AD59" s="182"/>
      <c r="AJ59" s="135"/>
    </row>
    <row r="60" spans="2:36" x14ac:dyDescent="0.35">
      <c r="B60" s="100"/>
      <c r="C60" s="100"/>
      <c r="D60" s="101"/>
      <c r="E60" s="101"/>
      <c r="F60" s="102"/>
      <c r="G60" s="102"/>
      <c r="H60" s="150"/>
      <c r="I60" s="109">
        <v>1.44278522774E-2</v>
      </c>
      <c r="J60" s="109">
        <v>1.1464646833256753E-9</v>
      </c>
      <c r="K60" s="109">
        <v>8.1101869975976933E-11</v>
      </c>
      <c r="L60" s="156">
        <v>1.2344429095761447E-9</v>
      </c>
      <c r="N60" s="18">
        <v>1.2896808186753747E-6</v>
      </c>
      <c r="O60" s="18">
        <v>1.5392483148537927E-10</v>
      </c>
      <c r="P60" s="18">
        <v>5.0509225500401457E-8</v>
      </c>
      <c r="Q60" s="28">
        <v>0.54866159745868937</v>
      </c>
      <c r="R60" s="60">
        <v>286.06218904464936</v>
      </c>
      <c r="S60" s="57">
        <v>1.5802074511632338E-6</v>
      </c>
      <c r="U60" s="127">
        <v>1.0847452594764104E-9</v>
      </c>
      <c r="V60" s="127">
        <v>1.2344429095761447E-9</v>
      </c>
      <c r="W60" s="128">
        <v>1.3221358276979381E-9</v>
      </c>
      <c r="X60" s="128">
        <f t="shared" si="0"/>
        <v>1.2189417265816596E-9</v>
      </c>
      <c r="Y60" s="139">
        <f t="shared" si="1"/>
        <v>0.79861819333278994</v>
      </c>
      <c r="AA60" s="73"/>
      <c r="AB60" s="182"/>
      <c r="AC60" s="182"/>
      <c r="AD60" s="182"/>
      <c r="AJ60" s="135"/>
    </row>
    <row r="61" spans="2:36" x14ac:dyDescent="0.35">
      <c r="B61" s="184"/>
      <c r="C61" s="184"/>
      <c r="D61" s="184"/>
      <c r="E61" s="184"/>
      <c r="F61" s="184"/>
      <c r="G61" s="184"/>
      <c r="H61" s="184"/>
      <c r="I61" s="109">
        <v>1.4572130800099999E-2</v>
      </c>
      <c r="J61" s="109">
        <v>1.1780922534224874E-9</v>
      </c>
      <c r="K61" s="109">
        <v>8.055151636520327E-11</v>
      </c>
      <c r="L61" s="156">
        <v>1.2728810649353663E-9</v>
      </c>
      <c r="N61" s="18">
        <v>1.2674405226513808E-6</v>
      </c>
      <c r="O61" s="18">
        <v>1.5392462373247677E-10</v>
      </c>
      <c r="P61" s="18">
        <v>5.050914391620612E-8</v>
      </c>
      <c r="Q61" s="28">
        <v>0.22727272727272727</v>
      </c>
      <c r="R61" s="60">
        <v>286.06218904464936</v>
      </c>
      <c r="S61" s="57">
        <v>1.5802074511632338E-6</v>
      </c>
      <c r="U61" s="127">
        <v>1.1533992757936977E-9</v>
      </c>
      <c r="V61" s="127">
        <v>1.2728810649353663E-9</v>
      </c>
      <c r="W61" s="128">
        <v>1.3223624479882756E-9</v>
      </c>
      <c r="X61" s="128">
        <f t="shared" si="0"/>
        <v>1.2553809634131763E-9</v>
      </c>
      <c r="Y61" s="139">
        <f t="shared" si="1"/>
        <v>0.92062905401206097</v>
      </c>
      <c r="AA61" s="73"/>
      <c r="AB61" s="182"/>
      <c r="AC61" s="182"/>
      <c r="AD61" s="182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1.4717852108099999E-2</v>
      </c>
      <c r="J62" s="109">
        <v>1.225101702839564E-9</v>
      </c>
      <c r="K62" s="109">
        <v>8.41729544683887E-11</v>
      </c>
      <c r="L62" s="156">
        <v>1.2919116070316261E-9</v>
      </c>
      <c r="N62" s="18">
        <v>1.247880002302615E-6</v>
      </c>
      <c r="O62" s="18">
        <v>1.5392438425026633E-10</v>
      </c>
      <c r="P62" s="18">
        <v>5.0509049871967987E-8</v>
      </c>
      <c r="Q62" s="28">
        <v>0.45454545454545453</v>
      </c>
      <c r="R62" s="60">
        <v>290.13252779348642</v>
      </c>
      <c r="S62" s="57">
        <v>1.5802074511632338E-6</v>
      </c>
      <c r="U62" s="127">
        <v>1.2069544996724016E-9</v>
      </c>
      <c r="V62" s="127">
        <v>1.2919116070316261E-9</v>
      </c>
      <c r="W62" s="128">
        <v>1.3010863616005831E-9</v>
      </c>
      <c r="X62" s="128">
        <f t="shared" si="0"/>
        <v>1.2729660188340592E-9</v>
      </c>
      <c r="Y62" s="139">
        <f t="shared" si="1"/>
        <v>0.3233542486676379</v>
      </c>
      <c r="AA62" s="73"/>
      <c r="AB62" s="182"/>
      <c r="AC62" s="182"/>
      <c r="AD62" s="182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1.4865030629200001E-2</v>
      </c>
      <c r="J63" s="109">
        <v>1.032300473221115E-9</v>
      </c>
      <c r="K63" s="109">
        <v>7.6959758124826906E-11</v>
      </c>
      <c r="L63" s="156">
        <v>1.2908429634657087E-9</v>
      </c>
      <c r="N63" s="18">
        <v>1.2220882672343838E-6</v>
      </c>
      <c r="O63" s="18">
        <v>1.5392363528405696E-10</v>
      </c>
      <c r="P63" s="18">
        <v>5.0508755754269556E-8</v>
      </c>
      <c r="Q63" s="28">
        <v>0.45454545454545453</v>
      </c>
      <c r="R63" s="60">
        <v>290.13252779348642</v>
      </c>
      <c r="S63" s="57">
        <v>1.5802074511632338E-6</v>
      </c>
      <c r="U63" s="127">
        <v>1.2436460097327699E-9</v>
      </c>
      <c r="V63" s="127">
        <v>1.2908429634657087E-9</v>
      </c>
      <c r="W63" s="128">
        <v>1.2590040252849916E-9</v>
      </c>
      <c r="X63" s="128">
        <f t="shared" si="0"/>
        <v>1.2710839904872949E-9</v>
      </c>
      <c r="Y63" s="139">
        <f t="shared" si="1"/>
        <v>9.626785649164578</v>
      </c>
      <c r="AA63" s="73"/>
      <c r="AB63" s="182"/>
      <c r="AC63" s="182"/>
      <c r="AD63" s="182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1.50136809355E-2</v>
      </c>
      <c r="J64" s="109">
        <v>1.0377689350192317E-9</v>
      </c>
      <c r="K64" s="109">
        <v>7.4907960057996323E-11</v>
      </c>
      <c r="L64" s="156">
        <v>1.2696329001768311E-9</v>
      </c>
      <c r="N64" s="18">
        <v>1.1968998250191106E-6</v>
      </c>
      <c r="O64" s="18">
        <v>1.5392176934880552E-10</v>
      </c>
      <c r="P64" s="18">
        <v>5.0508023004814749E-8</v>
      </c>
      <c r="Q64" s="28">
        <v>0.45454545454545453</v>
      </c>
      <c r="R64" s="60">
        <v>293.78908812668521</v>
      </c>
      <c r="S64" s="57">
        <v>1.5802074511632338E-6</v>
      </c>
      <c r="U64" s="127">
        <v>1.2622226033082638E-9</v>
      </c>
      <c r="V64" s="127">
        <v>1.2696329001768311E-9</v>
      </c>
      <c r="W64" s="128">
        <v>1.1975474999948761E-9</v>
      </c>
      <c r="X64" s="128">
        <f t="shared" si="0"/>
        <v>1.2497589759142005E-9</v>
      </c>
      <c r="Y64" s="139">
        <f t="shared" si="1"/>
        <v>8.0089388323493793</v>
      </c>
      <c r="AA64" s="73"/>
      <c r="AB64" s="182"/>
      <c r="AC64" s="182"/>
      <c r="AD64" s="182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1.5163817744900001E-2</v>
      </c>
      <c r="J65" s="109">
        <v>1.0074099124337365E-9</v>
      </c>
      <c r="K65" s="109">
        <v>7.6052899765549671E-11</v>
      </c>
      <c r="L65" s="156">
        <v>1.2289078847492167E-9</v>
      </c>
      <c r="N65" s="18">
        <v>1.1726072681822458E-6</v>
      </c>
      <c r="O65" s="18">
        <v>1.5391732796236246E-10</v>
      </c>
      <c r="P65" s="18">
        <v>5.0506278880257284E-8</v>
      </c>
      <c r="Q65" s="28">
        <v>0.45454545454545453</v>
      </c>
      <c r="R65" s="60">
        <v>293.78908812668521</v>
      </c>
      <c r="S65" s="57">
        <v>1.5802074511632338E-6</v>
      </c>
      <c r="U65" s="127">
        <v>1.2619877836064354E-9</v>
      </c>
      <c r="V65" s="127">
        <v>1.2289078847492167E-9</v>
      </c>
      <c r="W65" s="128">
        <v>1.1188644583142347E-9</v>
      </c>
      <c r="X65" s="128">
        <f t="shared" si="0"/>
        <v>1.2096670028547758E-9</v>
      </c>
      <c r="Y65" s="139">
        <f t="shared" si="1"/>
        <v>7.0725488461127357</v>
      </c>
      <c r="AA65" s="73"/>
      <c r="AB65" s="182"/>
      <c r="AC65" s="182"/>
      <c r="AD65" s="182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1.5315455922300001E-2</v>
      </c>
      <c r="J66" s="109">
        <v>1.102309148284919E-9</v>
      </c>
      <c r="K66" s="109">
        <v>7.6431650039954333E-11</v>
      </c>
      <c r="L66" s="156">
        <v>1.1699666910464143E-9</v>
      </c>
      <c r="N66" s="18">
        <v>1.1495033560426727E-6</v>
      </c>
      <c r="O66" s="18">
        <v>1.5390722782781785E-10</v>
      </c>
      <c r="P66" s="18">
        <v>5.0502312575384026E-8</v>
      </c>
      <c r="Q66" s="28">
        <v>0.45454545454545453</v>
      </c>
      <c r="R66" s="60">
        <v>297.1714078062119</v>
      </c>
      <c r="S66" s="57">
        <v>1.5802074511632338E-6</v>
      </c>
      <c r="U66" s="127">
        <v>1.2428322539115858E-9</v>
      </c>
      <c r="V66" s="127">
        <v>1.1699666910464143E-9</v>
      </c>
      <c r="W66" s="128">
        <v>1.0257730038876755E-9</v>
      </c>
      <c r="X66" s="128">
        <f t="shared" si="0"/>
        <v>1.1521346599730224E-9</v>
      </c>
      <c r="Y66" s="139">
        <f t="shared" si="1"/>
        <v>0.42496881707076567</v>
      </c>
      <c r="AA66" s="73"/>
      <c r="AB66" s="182"/>
      <c r="AC66" s="182"/>
      <c r="AD66" s="182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1.54686104815E-2</v>
      </c>
      <c r="J67" s="109">
        <v>1.0986980674113073E-9</v>
      </c>
      <c r="K67" s="109">
        <v>6.0250104593219769E-11</v>
      </c>
      <c r="L67" s="156">
        <v>1.0947646667817167E-9</v>
      </c>
      <c r="N67" s="18">
        <v>1.1278997195507073E-6</v>
      </c>
      <c r="O67" s="18">
        <v>1.5388528355918637E-10</v>
      </c>
      <c r="P67" s="18">
        <v>5.0493695100118872E-8</v>
      </c>
      <c r="Q67" s="28">
        <v>0.45454545454545453</v>
      </c>
      <c r="R67" s="60">
        <v>297.1714078062119</v>
      </c>
      <c r="S67" s="57">
        <v>1.5802074511632338E-6</v>
      </c>
      <c r="U67" s="127">
        <v>1.2052552456280069E-9</v>
      </c>
      <c r="V67" s="127">
        <v>1.0947646667817167E-9</v>
      </c>
      <c r="W67" s="128">
        <v>9.2168833363183621E-10</v>
      </c>
      <c r="X67" s="128">
        <f t="shared" ref="X67:X127" si="2">(U67+2*V67+W67)/4</f>
        <v>1.0791182282058191E-9</v>
      </c>
      <c r="Y67" s="139">
        <f t="shared" ref="Y67:Y127" si="3">(J67-X67)*(J67-X67)/(K67*K67)</f>
        <v>0.10560941368507297</v>
      </c>
      <c r="AA67" s="73"/>
      <c r="AB67" s="182"/>
      <c r="AC67" s="182"/>
      <c r="AD67" s="182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1.56232965864E-2</v>
      </c>
      <c r="J68" s="109">
        <v>9.3936547359345137E-10</v>
      </c>
      <c r="K68" s="109">
        <v>5.5132453912537117E-11</v>
      </c>
      <c r="L68" s="156">
        <v>1.0058754083158188E-9</v>
      </c>
      <c r="N68" s="18">
        <v>1.1081647695234581E-6</v>
      </c>
      <c r="O68" s="18">
        <v>1.5383973244666914E-10</v>
      </c>
      <c r="P68" s="18">
        <v>5.0475807259242999E-8</v>
      </c>
      <c r="Q68" s="28">
        <v>0.45454545454545453</v>
      </c>
      <c r="R68" s="60">
        <v>300.37391874125615</v>
      </c>
      <c r="S68" s="57">
        <v>1.5802074511632338E-6</v>
      </c>
      <c r="U68" s="127">
        <v>1.1503716878001691E-9</v>
      </c>
      <c r="V68" s="127">
        <v>1.0058754083158188E-9</v>
      </c>
      <c r="W68" s="128">
        <v>8.105197472990627E-10</v>
      </c>
      <c r="X68" s="128">
        <f t="shared" si="2"/>
        <v>9.931605629327175E-10</v>
      </c>
      <c r="Y68" s="139">
        <f t="shared" si="3"/>
        <v>0.95207381309981964</v>
      </c>
      <c r="AA68" s="73"/>
      <c r="AB68" s="182"/>
      <c r="AC68" s="182"/>
      <c r="AD68" s="182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1.5779529552200001E-2</v>
      </c>
      <c r="J69" s="109">
        <v>8.3880814202362086E-10</v>
      </c>
      <c r="K69" s="109">
        <v>5.2208179134150551E-11</v>
      </c>
      <c r="L69" s="156">
        <v>9.064273463425221E-10</v>
      </c>
      <c r="N69" s="18">
        <v>1.0907873075247217E-6</v>
      </c>
      <c r="O69" s="18">
        <v>1.5374939678812531E-10</v>
      </c>
      <c r="P69" s="18">
        <v>5.0440332606788841E-8</v>
      </c>
      <c r="Q69" s="28">
        <v>0.45454545454545453</v>
      </c>
      <c r="R69" s="60">
        <v>300.37391874125615</v>
      </c>
      <c r="S69" s="57">
        <v>1.5802074511632338E-6</v>
      </c>
      <c r="U69" s="127">
        <v>1.079902162843427E-9</v>
      </c>
      <c r="V69" s="127">
        <v>9.064273463425221E-10</v>
      </c>
      <c r="W69" s="128">
        <v>6.9653845999735222E-10</v>
      </c>
      <c r="X69" s="128">
        <f t="shared" si="2"/>
        <v>8.9732382888145583E-10</v>
      </c>
      <c r="Y69" s="139">
        <f t="shared" si="3"/>
        <v>1.2562252578649078</v>
      </c>
      <c r="AA69" s="73"/>
      <c r="AB69" s="182"/>
      <c r="AC69" s="182"/>
      <c r="AD69" s="182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1.59373248477E-2</v>
      </c>
      <c r="J70" s="109">
        <v>7.2163025327008991E-10</v>
      </c>
      <c r="K70" s="109">
        <v>4.8265599044173355E-11</v>
      </c>
      <c r="L70" s="156">
        <v>8.0001394347574178E-10</v>
      </c>
      <c r="N70" s="18">
        <v>1.076470144221813E-6</v>
      </c>
      <c r="O70" s="18">
        <v>1.5357823763804676E-10</v>
      </c>
      <c r="P70" s="18">
        <v>5.0373118712948229E-8</v>
      </c>
      <c r="Q70" s="28">
        <v>0.45454545454545453</v>
      </c>
      <c r="R70" s="60">
        <v>303.46693227259954</v>
      </c>
      <c r="S70" s="57">
        <v>1.5802074511632338E-6</v>
      </c>
      <c r="U70" s="127">
        <v>9.9614284017813032E-10</v>
      </c>
      <c r="V70" s="127">
        <v>8.0001394347574178E-10</v>
      </c>
      <c r="W70" s="128">
        <v>5.8421896321279028E-10</v>
      </c>
      <c r="X70" s="128">
        <f t="shared" si="2"/>
        <v>7.9509742258560101E-10</v>
      </c>
      <c r="Y70" s="139">
        <f t="shared" si="3"/>
        <v>2.3169209264789647</v>
      </c>
      <c r="AA70" s="73"/>
      <c r="AB70" s="182"/>
      <c r="AC70" s="182"/>
      <c r="AD70" s="182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1.6096698096199999E-2</v>
      </c>
      <c r="J71" s="109">
        <v>6.5797969674645416E-10</v>
      </c>
      <c r="K71" s="109">
        <v>4.5725838389063511E-11</v>
      </c>
      <c r="L71" s="156">
        <v>6.9057779400337196E-10</v>
      </c>
      <c r="N71" s="18">
        <v>1.0662517105920561E-6</v>
      </c>
      <c r="O71" s="18">
        <v>1.5326841009825541E-10</v>
      </c>
      <c r="P71" s="18">
        <v>5.0251449989079967E-8</v>
      </c>
      <c r="Q71" s="28">
        <v>0.45454545454545453</v>
      </c>
      <c r="R71" s="60">
        <v>303.46693227259954</v>
      </c>
      <c r="S71" s="57">
        <v>1.5802074511632338E-6</v>
      </c>
      <c r="U71" s="127">
        <v>9.0191317492755627E-10</v>
      </c>
      <c r="V71" s="127">
        <v>6.9057779400337196E-10</v>
      </c>
      <c r="W71" s="128">
        <v>4.7805910297970115E-10</v>
      </c>
      <c r="X71" s="128">
        <f t="shared" si="2"/>
        <v>6.9028196647850034E-10</v>
      </c>
      <c r="Y71" s="139">
        <f t="shared" si="3"/>
        <v>0.49904846537799313</v>
      </c>
      <c r="AA71" s="73"/>
      <c r="AB71" s="182"/>
      <c r="AC71" s="182"/>
      <c r="AD71" s="182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1.6257665077200001E-2</v>
      </c>
      <c r="J72" s="109">
        <v>5.4860338537247667E-10</v>
      </c>
      <c r="K72" s="109">
        <v>4.1805493844646245E-11</v>
      </c>
      <c r="L72" s="156">
        <v>5.8227078327259498E-10</v>
      </c>
      <c r="N72" s="18">
        <v>1.0616420411671771E-6</v>
      </c>
      <c r="O72" s="18">
        <v>1.5273259210709308E-10</v>
      </c>
      <c r="P72" s="18">
        <v>5.0041035216867413E-8</v>
      </c>
      <c r="Q72" s="28">
        <v>0.45454545454545453</v>
      </c>
      <c r="R72" s="60">
        <v>306.50798841519855</v>
      </c>
      <c r="S72" s="57">
        <v>1.5802074511632338E-6</v>
      </c>
      <c r="U72" s="127">
        <v>8.004801018314625E-10</v>
      </c>
      <c r="V72" s="127">
        <v>5.8227078327259498E-10</v>
      </c>
      <c r="W72" s="128">
        <v>3.8238633369625284E-10</v>
      </c>
      <c r="X72" s="128">
        <f t="shared" si="2"/>
        <v>5.8685200051822629E-10</v>
      </c>
      <c r="Y72" s="139">
        <f t="shared" si="3"/>
        <v>0.83707566142166279</v>
      </c>
      <c r="AA72" s="73"/>
      <c r="AB72" s="182"/>
      <c r="AC72" s="182"/>
      <c r="AD72" s="182"/>
      <c r="AJ72" s="135"/>
    </row>
    <row r="73" spans="2:36" x14ac:dyDescent="0.35">
      <c r="B73" s="103"/>
      <c r="C73" s="104"/>
      <c r="D73" s="104"/>
      <c r="E73" s="104"/>
      <c r="F73" s="104"/>
      <c r="G73" s="104"/>
      <c r="H73" s="150"/>
      <c r="I73" s="109">
        <v>1.6420241727999999E-2</v>
      </c>
      <c r="J73" s="109">
        <v>5.1204559997797626E-10</v>
      </c>
      <c r="K73" s="109">
        <v>6.7171009649308133E-11</v>
      </c>
      <c r="L73" s="156">
        <v>4.7929446537860568E-10</v>
      </c>
      <c r="N73" s="18">
        <v>1.0647432162269178E-6</v>
      </c>
      <c r="O73" s="18">
        <v>1.5184729200633146E-10</v>
      </c>
      <c r="P73" s="18">
        <v>4.9693379441746038E-8</v>
      </c>
      <c r="Q73" s="28">
        <v>0.45454545454545453</v>
      </c>
      <c r="R73" s="60">
        <v>306.50798841519855</v>
      </c>
      <c r="S73" s="57">
        <v>1.5802074511632338E-6</v>
      </c>
      <c r="U73" s="127">
        <v>6.9545872197288189E-10</v>
      </c>
      <c r="V73" s="127">
        <v>4.7929446537860568E-10</v>
      </c>
      <c r="W73" s="128">
        <v>3.0115950692114226E-10</v>
      </c>
      <c r="X73" s="128">
        <f t="shared" si="2"/>
        <v>4.8880178991280888E-10</v>
      </c>
      <c r="Y73" s="139">
        <f t="shared" si="3"/>
        <v>0.11974320647744303</v>
      </c>
      <c r="AA73" s="73"/>
      <c r="AB73" s="182"/>
      <c r="AC73" s="182"/>
      <c r="AD73" s="182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1.6584444145200002E-2</v>
      </c>
      <c r="J74" s="109">
        <v>3.9792514041653822E-10</v>
      </c>
      <c r="K74" s="109">
        <v>5.4755416256506721E-11</v>
      </c>
      <c r="L74" s="156">
        <v>3.8572675293691786E-10</v>
      </c>
      <c r="N74" s="18">
        <v>1.078307028155918E-6</v>
      </c>
      <c r="O74" s="18">
        <v>1.5044983463714939E-10</v>
      </c>
      <c r="P74" s="18">
        <v>4.9144600418153815E-8</v>
      </c>
      <c r="Q74" s="28">
        <v>0.45454545454545453</v>
      </c>
      <c r="R74" s="60">
        <v>309.54904455779757</v>
      </c>
      <c r="S74" s="57">
        <v>1.5802074511632338E-6</v>
      </c>
      <c r="U74" s="127">
        <v>5.9069099587458152E-10</v>
      </c>
      <c r="V74" s="127">
        <v>3.8572675293691786E-10</v>
      </c>
      <c r="W74" s="128">
        <v>2.3777681467405481E-10</v>
      </c>
      <c r="X74" s="128">
        <f t="shared" si="2"/>
        <v>3.9998032910561801E-10</v>
      </c>
      <c r="Y74" s="139">
        <f t="shared" si="3"/>
        <v>1.4087996415015731E-3</v>
      </c>
      <c r="AA74" s="73"/>
      <c r="AB74" s="182"/>
      <c r="AC74" s="182"/>
      <c r="AD74" s="182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1.67502885867E-2</v>
      </c>
      <c r="J75" s="109">
        <v>3.1255957903387268E-10</v>
      </c>
      <c r="K75" s="109">
        <v>5.105314636211522E-11</v>
      </c>
      <c r="L75" s="156">
        <v>3.053426754427149E-10</v>
      </c>
      <c r="N75" s="18">
        <v>1.1056714676724529E-6</v>
      </c>
      <c r="O75" s="18">
        <v>1.4834236768904425E-10</v>
      </c>
      <c r="P75" s="18">
        <v>4.8317001895623606E-8</v>
      </c>
      <c r="Q75" s="28">
        <v>0.45454545454545453</v>
      </c>
      <c r="R75" s="60">
        <v>309.54904455779757</v>
      </c>
      <c r="S75" s="57">
        <v>1.5802074511632338E-6</v>
      </c>
      <c r="U75" s="127">
        <v>4.9010561018991257E-10</v>
      </c>
      <c r="V75" s="127">
        <v>3.053426754427149E-10</v>
      </c>
      <c r="W75" s="128">
        <v>1.9490095414953509E-10</v>
      </c>
      <c r="X75" s="128">
        <f t="shared" si="2"/>
        <v>3.2392297880621934E-10</v>
      </c>
      <c r="Y75" s="139">
        <f t="shared" si="3"/>
        <v>4.9541773172601326E-2</v>
      </c>
      <c r="AA75" s="73"/>
      <c r="AB75" s="182"/>
      <c r="AC75" s="182"/>
      <c r="AD75" s="182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1.6917791472599999E-2</v>
      </c>
      <c r="J76" s="109">
        <v>3.1537498707081037E-10</v>
      </c>
      <c r="K76" s="109">
        <v>5.2577659356558058E-11</v>
      </c>
      <c r="L76" s="156">
        <v>2.4143815986376389E-10</v>
      </c>
      <c r="N76" s="18">
        <v>1.1505219392331222E-6</v>
      </c>
      <c r="O76" s="18">
        <v>1.4530598180669824E-10</v>
      </c>
      <c r="P76" s="18">
        <v>4.7124618559637941E-8</v>
      </c>
      <c r="Q76" s="28">
        <v>0.45454545454545453</v>
      </c>
      <c r="R76" s="60">
        <v>312.64205808914096</v>
      </c>
      <c r="S76" s="57">
        <v>1.5802074511632338E-6</v>
      </c>
      <c r="U76" s="127">
        <v>3.9756383502988282E-10</v>
      </c>
      <c r="V76" s="127">
        <v>2.4143815986376389E-10</v>
      </c>
      <c r="W76" s="128">
        <v>1.7431214010115319E-10</v>
      </c>
      <c r="X76" s="128">
        <f t="shared" si="2"/>
        <v>2.6368807371464095E-10</v>
      </c>
      <c r="Y76" s="139">
        <f t="shared" si="3"/>
        <v>0.9664039551743715</v>
      </c>
      <c r="AA76" s="73"/>
      <c r="AB76" s="182"/>
      <c r="AC76" s="182"/>
      <c r="AD76" s="182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1.7086969387300002E-2</v>
      </c>
      <c r="J77" s="109">
        <v>2.2972433211091794E-10</v>
      </c>
      <c r="K77" s="109">
        <v>4.6634942973391773E-11</v>
      </c>
      <c r="L77" s="156">
        <v>1.9666636281403957E-10</v>
      </c>
      <c r="N77" s="18">
        <v>1.2164506891750634E-6</v>
      </c>
      <c r="O77" s="18">
        <v>1.4112645118160966E-10</v>
      </c>
      <c r="P77" s="18">
        <v>4.5483324316184636E-8</v>
      </c>
      <c r="Q77" s="28">
        <v>0.45454545454545453</v>
      </c>
      <c r="R77" s="60">
        <v>312.64205808914096</v>
      </c>
      <c r="S77" s="57">
        <v>1.5802074511632338E-6</v>
      </c>
      <c r="U77" s="127">
        <v>3.1669766880052531E-10</v>
      </c>
      <c r="V77" s="127">
        <v>1.9666636281403957E-10</v>
      </c>
      <c r="W77" s="128">
        <v>1.7679829726926499E-10</v>
      </c>
      <c r="X77" s="128">
        <f t="shared" si="2"/>
        <v>2.2170717292446734E-10</v>
      </c>
      <c r="Y77" s="139">
        <f t="shared" si="3"/>
        <v>2.9554125538362595E-2</v>
      </c>
      <c r="AA77" s="73"/>
      <c r="AB77" s="182"/>
      <c r="AC77" s="182"/>
      <c r="AD77" s="182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1.7257839081199999E-2</v>
      </c>
      <c r="J78" s="109">
        <v>1.985440780243543E-10</v>
      </c>
      <c r="K78" s="109">
        <v>4.2077863703204552E-11</v>
      </c>
      <c r="L78" s="156">
        <v>1.728959640149823E-10</v>
      </c>
      <c r="N78" s="18">
        <v>1.3063397961990549E-6</v>
      </c>
      <c r="O78" s="18">
        <v>1.3563011623289256E-10</v>
      </c>
      <c r="P78" s="18">
        <v>4.3324923356691892E-8</v>
      </c>
      <c r="Q78" s="28">
        <v>0.45454545454545453</v>
      </c>
      <c r="R78" s="60">
        <v>315.8445690241852</v>
      </c>
      <c r="S78" s="57">
        <v>1.5802074511632338E-6</v>
      </c>
      <c r="U78" s="127">
        <v>2.5074772974741607E-10</v>
      </c>
      <c r="V78" s="127">
        <v>1.728959640149823E-10</v>
      </c>
      <c r="W78" s="128">
        <v>2.0208976827230131E-10</v>
      </c>
      <c r="X78" s="128">
        <f t="shared" si="2"/>
        <v>1.9965735651242049E-10</v>
      </c>
      <c r="Y78" s="139">
        <f t="shared" si="3"/>
        <v>7.0000359341745855E-4</v>
      </c>
      <c r="AA78" s="73"/>
      <c r="AB78" s="182"/>
      <c r="AC78" s="182"/>
      <c r="AD78" s="182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1.7430417472000002E-2</v>
      </c>
      <c r="J79" s="109">
        <v>2.9702256238751927E-10</v>
      </c>
      <c r="K79" s="109">
        <v>4.9455462907903702E-11</v>
      </c>
      <c r="L79" s="156">
        <v>1.7110000666102962E-10</v>
      </c>
      <c r="N79" s="18">
        <v>1.4216592582156674E-6</v>
      </c>
      <c r="O79" s="18">
        <v>1.2872462070995875E-10</v>
      </c>
      <c r="P79" s="18">
        <v>4.0613147545803174E-8</v>
      </c>
      <c r="Q79" s="28">
        <v>0.45454545454545453</v>
      </c>
      <c r="R79" s="60">
        <v>315.8445690241852</v>
      </c>
      <c r="S79" s="57">
        <v>1.5802074511632338E-6</v>
      </c>
      <c r="U79" s="127">
        <v>2.0240905574637231E-10</v>
      </c>
      <c r="V79" s="127">
        <v>1.7110000666102962E-10</v>
      </c>
      <c r="W79" s="128">
        <v>2.4884338982826531E-10</v>
      </c>
      <c r="X79" s="128">
        <f t="shared" si="2"/>
        <v>1.9836311472417419E-10</v>
      </c>
      <c r="Y79" s="139">
        <f t="shared" si="3"/>
        <v>3.9796860892811514</v>
      </c>
      <c r="AA79" s="73"/>
      <c r="AB79" s="182"/>
      <c r="AC79" s="182"/>
      <c r="AD79" s="182"/>
      <c r="AJ79" s="135"/>
    </row>
    <row r="80" spans="2:36" x14ac:dyDescent="0.35">
      <c r="I80" s="109">
        <v>1.7604721646699999E-2</v>
      </c>
      <c r="J80" s="109">
        <v>1.5628839145780962E-10</v>
      </c>
      <c r="K80" s="109">
        <v>4.0848649841134512E-11</v>
      </c>
      <c r="L80" s="156">
        <v>1.9128242947661318E-10</v>
      </c>
      <c r="N80" s="18">
        <v>1.5618311052757021E-6</v>
      </c>
      <c r="O80" s="18">
        <v>1.2043579780249245E-10</v>
      </c>
      <c r="P80" s="18">
        <v>3.7358141531164883E-8</v>
      </c>
      <c r="Q80" s="28">
        <v>0.45454545454545453</v>
      </c>
      <c r="R80" s="60">
        <v>319.22688870371189</v>
      </c>
      <c r="S80" s="57">
        <v>1.5802074511632338E-6</v>
      </c>
      <c r="U80" s="127">
        <v>1.736931338414786E-10</v>
      </c>
      <c r="V80" s="127">
        <v>1.9128242947661318E-10</v>
      </c>
      <c r="W80" s="128">
        <v>3.1467808822244983E-10</v>
      </c>
      <c r="X80" s="128">
        <f t="shared" si="2"/>
        <v>2.1773402025428871E-10</v>
      </c>
      <c r="Y80" s="139">
        <f t="shared" si="3"/>
        <v>2.2626978947683183</v>
      </c>
      <c r="AA80" s="73"/>
      <c r="AB80" s="182"/>
      <c r="AC80" s="182"/>
      <c r="AD80" s="182"/>
      <c r="AJ80" s="135"/>
    </row>
    <row r="81" spans="2:36" x14ac:dyDescent="0.35">
      <c r="I81" s="109">
        <v>1.77807688631E-2</v>
      </c>
      <c r="J81" s="109">
        <v>3.4738030524288241E-10</v>
      </c>
      <c r="K81" s="109">
        <v>5.1536586015352121E-11</v>
      </c>
      <c r="L81" s="156">
        <v>2.3244752598210735E-10</v>
      </c>
      <c r="N81" s="18">
        <v>1.7238369038407321E-6</v>
      </c>
      <c r="O81" s="18">
        <v>1.1093048112340735E-10</v>
      </c>
      <c r="P81" s="18">
        <v>3.3625420575865659E-8</v>
      </c>
      <c r="Q81" s="28">
        <v>0.45454545454545453</v>
      </c>
      <c r="R81" s="60">
        <v>319.22688870371189</v>
      </c>
      <c r="S81" s="57">
        <v>1.5802074511632338E-6</v>
      </c>
      <c r="U81" s="127">
        <v>1.6581407052143931E-10</v>
      </c>
      <c r="V81" s="127">
        <v>2.3244752598210735E-10</v>
      </c>
      <c r="W81" s="128">
        <v>3.9626147303700191E-10</v>
      </c>
      <c r="X81" s="128">
        <f t="shared" si="2"/>
        <v>2.5674264888066395E-10</v>
      </c>
      <c r="Y81" s="139">
        <f t="shared" si="3"/>
        <v>3.0930436083201363</v>
      </c>
      <c r="AA81" s="73"/>
      <c r="AB81" s="182"/>
      <c r="AC81" s="182"/>
      <c r="AD81" s="182"/>
      <c r="AJ81" s="135"/>
    </row>
    <row r="82" spans="2:36" x14ac:dyDescent="0.35">
      <c r="I82" s="109">
        <v>1.7958576551799998E-2</v>
      </c>
      <c r="J82" s="109">
        <v>3.6526337923230712E-10</v>
      </c>
      <c r="K82" s="109">
        <v>5.3930755317611672E-11</v>
      </c>
      <c r="L82" s="156">
        <v>2.9261537582662629E-10</v>
      </c>
      <c r="N82" s="18">
        <v>1.9022194646118401E-6</v>
      </c>
      <c r="O82" s="18">
        <v>1.0051655036892841E-10</v>
      </c>
      <c r="P82" s="18">
        <v>2.9535888489069367E-8</v>
      </c>
      <c r="Q82" s="28">
        <v>0.45454545454545453</v>
      </c>
      <c r="R82" s="60">
        <v>322.88344903691069</v>
      </c>
      <c r="S82" s="57">
        <v>1.5802074511632338E-6</v>
      </c>
      <c r="U82" s="127">
        <v>1.7910586230540492E-10</v>
      </c>
      <c r="V82" s="127">
        <v>2.9261537582662629E-10</v>
      </c>
      <c r="W82" s="128">
        <v>4.8944446802460034E-10</v>
      </c>
      <c r="X82" s="128">
        <f t="shared" si="2"/>
        <v>3.1344527049581445E-10</v>
      </c>
      <c r="Y82" s="139">
        <f t="shared" si="3"/>
        <v>0.92318791451490456</v>
      </c>
      <c r="AA82" s="73"/>
      <c r="AB82" s="182"/>
      <c r="AC82" s="182"/>
      <c r="AD82" s="182"/>
      <c r="AJ82" s="135"/>
    </row>
    <row r="83" spans="2:36" x14ac:dyDescent="0.35">
      <c r="I83" s="109">
        <v>1.8138162317300002E-2</v>
      </c>
      <c r="J83" s="109">
        <v>3.7984993674947858E-10</v>
      </c>
      <c r="K83" s="109">
        <v>5.3353565368356967E-11</v>
      </c>
      <c r="L83" s="156">
        <v>3.6888401697650725E-10</v>
      </c>
      <c r="N83" s="18">
        <v>2.0423346716363661E-6</v>
      </c>
      <c r="O83" s="18">
        <v>9.2360844852852474E-11</v>
      </c>
      <c r="P83" s="18">
        <v>2.6333157437289582E-8</v>
      </c>
      <c r="Q83" s="28">
        <v>0.22727272727272727</v>
      </c>
      <c r="R83" s="60">
        <v>322.88344903691069</v>
      </c>
      <c r="S83" s="57">
        <v>1.5802074511632338E-6</v>
      </c>
      <c r="U83" s="127">
        <v>2.1297632611490625E-10</v>
      </c>
      <c r="V83" s="127">
        <v>3.6888401697650725E-10</v>
      </c>
      <c r="W83" s="128">
        <v>5.8943892995090463E-10</v>
      </c>
      <c r="X83" s="128">
        <f t="shared" si="2"/>
        <v>3.8504582250470633E-10</v>
      </c>
      <c r="Y83" s="139">
        <f t="shared" si="3"/>
        <v>9.4840163429822551E-3</v>
      </c>
      <c r="AA83" s="73"/>
      <c r="AB83" s="182"/>
      <c r="AC83" s="182"/>
      <c r="AD83" s="182"/>
      <c r="AJ83" s="135"/>
    </row>
    <row r="84" spans="2:36" x14ac:dyDescent="0.35">
      <c r="I84" s="109">
        <v>1.8319543940500001E-2</v>
      </c>
      <c r="J84" s="109">
        <v>3.6191379045503751E-10</v>
      </c>
      <c r="K84" s="109">
        <v>5.3025781486891056E-11</v>
      </c>
      <c r="L84" s="156">
        <v>4.5753693679171886E-10</v>
      </c>
      <c r="N84" s="18">
        <v>2.1411167493014851E-6</v>
      </c>
      <c r="O84" s="18">
        <v>8.6317846783659503E-11</v>
      </c>
      <c r="P84" s="18">
        <v>2.3960082842590184E-8</v>
      </c>
      <c r="Q84" s="28">
        <v>0.27433079872934468</v>
      </c>
      <c r="R84" s="60">
        <v>326.95378778574775</v>
      </c>
      <c r="S84" s="57">
        <v>1.5802074511632338E-6</v>
      </c>
      <c r="U84" s="127">
        <v>2.6590152778786037E-10</v>
      </c>
      <c r="V84" s="127">
        <v>4.5753693679171886E-10</v>
      </c>
      <c r="W84" s="128">
        <v>6.9103150770486595E-10</v>
      </c>
      <c r="X84" s="128">
        <f t="shared" si="2"/>
        <v>4.6800172726904097E-10</v>
      </c>
      <c r="Y84" s="139">
        <f t="shared" si="3"/>
        <v>4.0027443313043776</v>
      </c>
      <c r="AA84" s="73"/>
      <c r="AB84" s="182"/>
      <c r="AC84" s="182"/>
      <c r="AD84" s="182"/>
      <c r="AJ84" s="135"/>
    </row>
    <row r="85" spans="2:36" x14ac:dyDescent="0.35">
      <c r="I85" s="109">
        <v>1.8502739379900001E-2</v>
      </c>
      <c r="J85" s="109">
        <v>4.7981505454150185E-10</v>
      </c>
      <c r="K85" s="109">
        <v>5.8799611630858595E-11</v>
      </c>
      <c r="L85" s="156">
        <v>5.5419246968824542E-10</v>
      </c>
      <c r="N85" s="18">
        <v>2.255607043348213E-6</v>
      </c>
      <c r="O85" s="18">
        <v>7.9721203172187416E-11</v>
      </c>
      <c r="P85" s="18">
        <v>2.1369592628059781E-8</v>
      </c>
      <c r="Q85" s="28">
        <v>0.27901782563242211</v>
      </c>
      <c r="R85" s="60">
        <v>326.95378778574775</v>
      </c>
      <c r="S85" s="57">
        <v>1.5802074511632338E-6</v>
      </c>
      <c r="U85" s="127">
        <v>3.3546265089228E-10</v>
      </c>
      <c r="V85" s="127">
        <v>5.5419246968824542E-10</v>
      </c>
      <c r="W85" s="128">
        <v>7.8882563371701262E-10</v>
      </c>
      <c r="X85" s="128">
        <f t="shared" si="2"/>
        <v>5.581683059964459E-10</v>
      </c>
      <c r="Y85" s="139">
        <f t="shared" si="3"/>
        <v>1.7756817508345801</v>
      </c>
      <c r="AA85" s="73"/>
      <c r="AB85" s="182"/>
      <c r="AC85" s="182"/>
      <c r="AD85" s="182"/>
      <c r="AJ85" s="135"/>
    </row>
    <row r="86" spans="2:36" x14ac:dyDescent="0.35">
      <c r="I86" s="109">
        <v>1.8687766773700001E-2</v>
      </c>
      <c r="J86" s="109">
        <v>7.0822920143078454E-10</v>
      </c>
      <c r="K86" s="109">
        <v>6.8341968130604625E-11</v>
      </c>
      <c r="L86" s="156">
        <v>6.5398996248065847E-10</v>
      </c>
      <c r="N86" s="18">
        <v>2.3700749442513368E-6</v>
      </c>
      <c r="O86" s="18">
        <v>7.3125849797489764E-11</v>
      </c>
      <c r="P86" s="18">
        <v>1.8779609087216092E-8</v>
      </c>
      <c r="Q86" s="28">
        <v>0.28889548286974742</v>
      </c>
      <c r="R86" s="60">
        <v>331.66752557258297</v>
      </c>
      <c r="S86" s="57">
        <v>1.5802074511632338E-6</v>
      </c>
      <c r="U86" s="127">
        <v>4.1842531726674489E-10</v>
      </c>
      <c r="V86" s="127">
        <v>6.5398996248065847E-10</v>
      </c>
      <c r="W86" s="128">
        <v>8.7750243162814041E-10</v>
      </c>
      <c r="X86" s="128">
        <f t="shared" si="2"/>
        <v>6.509769184640506E-10</v>
      </c>
      <c r="Y86" s="139">
        <f t="shared" si="3"/>
        <v>0.70179562264829987</v>
      </c>
      <c r="AA86" s="73"/>
      <c r="AB86" s="182"/>
      <c r="AC86" s="182"/>
      <c r="AD86" s="182"/>
      <c r="AJ86" s="135"/>
    </row>
    <row r="87" spans="2:36" x14ac:dyDescent="0.35">
      <c r="I87" s="109">
        <v>1.8874644441399999E-2</v>
      </c>
      <c r="J87" s="109">
        <v>7.0665250420541788E-10</v>
      </c>
      <c r="K87" s="109">
        <v>7.0394893885099142E-11</v>
      </c>
      <c r="L87" s="156">
        <v>7.5180609557217736E-10</v>
      </c>
      <c r="N87" s="18">
        <v>2.4844458017234639E-6</v>
      </c>
      <c r="O87" s="18">
        <v>6.6536087821909837E-11</v>
      </c>
      <c r="P87" s="18">
        <v>1.619182127886201E-8</v>
      </c>
      <c r="Q87" s="28">
        <v>0.30511585966628851</v>
      </c>
      <c r="R87" s="60">
        <v>331.66752557258297</v>
      </c>
      <c r="S87" s="57">
        <v>1.5802074511632338E-6</v>
      </c>
      <c r="U87" s="127">
        <v>5.1085951591976802E-10</v>
      </c>
      <c r="V87" s="127">
        <v>7.5180609557217736E-10</v>
      </c>
      <c r="W87" s="128">
        <v>9.520903457363917E-10</v>
      </c>
      <c r="X87" s="128">
        <f t="shared" si="2"/>
        <v>7.4164051320012866E-10</v>
      </c>
      <c r="Y87" s="139">
        <f t="shared" si="3"/>
        <v>0.24703366509515276</v>
      </c>
      <c r="AA87" s="73"/>
      <c r="AB87" s="182"/>
      <c r="AC87" s="182"/>
      <c r="AD87" s="182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1.9063390885799999E-2</v>
      </c>
      <c r="J88" s="109">
        <v>7.4006318804560048E-10</v>
      </c>
      <c r="K88" s="109">
        <v>7.1723049468158941E-11</v>
      </c>
      <c r="L88" s="156">
        <v>8.4249348480699371E-10</v>
      </c>
      <c r="N88" s="18">
        <v>2.5985365078718796E-6</v>
      </c>
      <c r="O88" s="18">
        <v>5.9962467463007486E-11</v>
      </c>
      <c r="P88" s="18">
        <v>1.3610372254670404E-8</v>
      </c>
      <c r="Q88" s="28">
        <v>0.32985484968757195</v>
      </c>
      <c r="R88" s="60">
        <v>337.45987883312637</v>
      </c>
      <c r="S88" s="57">
        <v>1.5802074511632338E-6</v>
      </c>
      <c r="U88" s="127">
        <v>6.0829659092621643E-10</v>
      </c>
      <c r="V88" s="127">
        <v>8.4249348480699371E-10</v>
      </c>
      <c r="W88" s="128">
        <v>1.0082323665405486E-9</v>
      </c>
      <c r="X88" s="128">
        <f t="shared" si="2"/>
        <v>8.2537898177018812E-10</v>
      </c>
      <c r="Y88" s="139">
        <f t="shared" si="3"/>
        <v>1.4149509284747037</v>
      </c>
      <c r="AA88" s="73"/>
      <c r="AB88" s="182"/>
      <c r="AC88" s="182"/>
      <c r="AD88" s="182"/>
      <c r="AJ88" s="135"/>
    </row>
    <row r="89" spans="2:36" x14ac:dyDescent="0.35">
      <c r="I89" s="109">
        <v>1.9254024794699998E-2</v>
      </c>
      <c r="J89" s="109">
        <v>9.7334686642430611E-10</v>
      </c>
      <c r="K89" s="109">
        <v>8.3505881806706753E-11</v>
      </c>
      <c r="L89" s="156">
        <v>9.2113255950629511E-10</v>
      </c>
      <c r="N89" s="18">
        <v>2.711966410663156E-6</v>
      </c>
      <c r="O89" s="18">
        <v>5.3426920936307296E-11</v>
      </c>
      <c r="P89" s="18">
        <v>1.1043874756672797E-8</v>
      </c>
      <c r="Q89" s="28">
        <v>0.36718140925644527</v>
      </c>
      <c r="R89" s="60">
        <v>337.45987883312637</v>
      </c>
      <c r="S89" s="57">
        <v>1.5802074511632338E-6</v>
      </c>
      <c r="U89" s="127">
        <v>7.0591820556632563E-10</v>
      </c>
      <c r="V89" s="127">
        <v>9.2113255950629511E-10</v>
      </c>
      <c r="W89" s="128">
        <v>1.0424388053197999E-9</v>
      </c>
      <c r="X89" s="128">
        <f t="shared" si="2"/>
        <v>8.9765553247467895E-10</v>
      </c>
      <c r="Y89" s="139">
        <f t="shared" si="3"/>
        <v>0.82159575238888927</v>
      </c>
      <c r="AA89" s="73"/>
      <c r="AB89" s="182"/>
      <c r="AC89" s="182"/>
      <c r="AD89" s="182"/>
      <c r="AJ89" s="135"/>
    </row>
    <row r="90" spans="2:36" x14ac:dyDescent="0.35">
      <c r="I90" s="109">
        <v>1.9446565042599999E-2</v>
      </c>
      <c r="J90" s="109">
        <v>9.2040985697848689E-10</v>
      </c>
      <c r="K90" s="109">
        <v>8.078090957270839E-11</v>
      </c>
      <c r="L90" s="156">
        <v>9.832866557961234E-10</v>
      </c>
      <c r="N90" s="18">
        <v>2.8239927137034601E-6</v>
      </c>
      <c r="O90" s="18">
        <v>4.69722463071545E-11</v>
      </c>
      <c r="P90" s="18">
        <v>8.5091355090167258E-9</v>
      </c>
      <c r="Q90" s="28">
        <v>0.42522182801861985</v>
      </c>
      <c r="R90" s="60">
        <v>345.36570595296092</v>
      </c>
      <c r="S90" s="57">
        <v>1.5802074511632338E-6</v>
      </c>
      <c r="U90" s="127">
        <v>7.9877082832342225E-10</v>
      </c>
      <c r="V90" s="127">
        <v>9.832866557961234E-10</v>
      </c>
      <c r="W90" s="128">
        <v>1.052312713808775E-9</v>
      </c>
      <c r="X90" s="128">
        <f t="shared" si="2"/>
        <v>9.5441421343111101E-10</v>
      </c>
      <c r="Y90" s="139">
        <f t="shared" si="3"/>
        <v>0.17719507313811905</v>
      </c>
      <c r="AA90" s="73"/>
      <c r="AB90" s="182"/>
      <c r="AC90" s="182"/>
      <c r="AD90" s="182"/>
      <c r="AJ90" s="135"/>
    </row>
    <row r="91" spans="2:36" x14ac:dyDescent="0.35">
      <c r="I91" s="109">
        <v>1.9641030693100001E-2</v>
      </c>
      <c r="J91" s="109">
        <v>8.3847097654543116E-10</v>
      </c>
      <c r="K91" s="109">
        <v>7.6534344873700042E-11</v>
      </c>
      <c r="L91" s="156">
        <v>1.0252492502845926E-9</v>
      </c>
      <c r="N91" s="18">
        <v>2.9331773360899732E-6</v>
      </c>
      <c r="O91" s="18">
        <v>4.0681302190590146E-11</v>
      </c>
      <c r="P91" s="18">
        <v>6.038692942470242E-9</v>
      </c>
      <c r="Q91" s="28">
        <v>0.52252270986663085</v>
      </c>
      <c r="R91" s="60">
        <v>345.36570595296092</v>
      </c>
      <c r="S91" s="57">
        <v>1.5802074511632338E-6</v>
      </c>
      <c r="U91" s="127">
        <v>8.8199803750957767E-10</v>
      </c>
      <c r="V91" s="127">
        <v>1.0252492502845926E-9</v>
      </c>
      <c r="W91" s="128">
        <v>1.0367343976745994E-9</v>
      </c>
      <c r="X91" s="128">
        <f t="shared" si="2"/>
        <v>9.9230773393834057E-10</v>
      </c>
      <c r="Y91" s="139">
        <f t="shared" si="3"/>
        <v>4.0402430908961078</v>
      </c>
      <c r="AA91" s="73"/>
      <c r="AB91" s="182"/>
      <c r="AC91" s="182"/>
      <c r="AD91" s="182"/>
      <c r="AJ91" s="135"/>
    </row>
    <row r="92" spans="2:36" x14ac:dyDescent="0.35">
      <c r="I92" s="109">
        <v>1.9837441000000001E-2</v>
      </c>
      <c r="J92" s="109">
        <v>8.9807391480170976E-10</v>
      </c>
      <c r="K92" s="109">
        <v>7.8114097263732187E-11</v>
      </c>
      <c r="L92" s="156">
        <v>1.0442713191911729E-9</v>
      </c>
      <c r="N92" s="18">
        <v>3.0366355283788469E-6</v>
      </c>
      <c r="O92" s="18">
        <v>3.4720300614873111E-11</v>
      </c>
      <c r="P92" s="18">
        <v>3.6978182249334949E-9</v>
      </c>
      <c r="Q92" s="28">
        <v>0.71317718802348939</v>
      </c>
      <c r="R92" s="60">
        <v>359.5725822490034</v>
      </c>
      <c r="S92" s="57">
        <v>1.5802074511632338E-6</v>
      </c>
      <c r="U92" s="127">
        <v>9.510817726923509E-10</v>
      </c>
      <c r="V92" s="127">
        <v>1.0442713191911729E-9</v>
      </c>
      <c r="W92" s="128">
        <v>9.9599127352219446E-10</v>
      </c>
      <c r="X92" s="128">
        <f t="shared" si="2"/>
        <v>1.0089039211492227E-9</v>
      </c>
      <c r="Y92" s="139">
        <f t="shared" si="3"/>
        <v>2.0130561088798107</v>
      </c>
      <c r="AA92" s="73"/>
      <c r="AB92" s="182"/>
      <c r="AC92" s="182"/>
      <c r="AD92" s="182"/>
      <c r="AJ92" s="135"/>
    </row>
    <row r="93" spans="2:36" x14ac:dyDescent="0.35">
      <c r="I93" s="109">
        <v>2.0035815410000001E-2</v>
      </c>
      <c r="J93" s="109">
        <v>1.0385708756837795E-9</v>
      </c>
      <c r="K93" s="109">
        <v>8.3640046599020104E-11</v>
      </c>
      <c r="L93" s="156">
        <v>1.0387560517483029E-9</v>
      </c>
      <c r="N93" s="18">
        <v>3.1280658500650879E-6</v>
      </c>
      <c r="O93" s="18">
        <v>2.9452314778447387E-11</v>
      </c>
      <c r="P93" s="18">
        <v>1.6290895557337576E-9</v>
      </c>
      <c r="Q93" s="28">
        <v>1.281588875373888</v>
      </c>
      <c r="R93" s="60">
        <v>359.5725822490034</v>
      </c>
      <c r="S93" s="57">
        <v>1.5802074511632338E-6</v>
      </c>
      <c r="U93" s="127">
        <v>1.0020825554131753E-9</v>
      </c>
      <c r="V93" s="127">
        <v>1.0387560517483029E-9</v>
      </c>
      <c r="W93" s="128">
        <v>9.3183987053395667E-10</v>
      </c>
      <c r="X93" s="128">
        <f t="shared" si="2"/>
        <v>1.0028586323609344E-9</v>
      </c>
      <c r="Y93" s="139">
        <f t="shared" si="3"/>
        <v>0.18230800211083875</v>
      </c>
      <c r="AA93" s="73"/>
      <c r="AB93" s="182"/>
      <c r="AC93" s="182"/>
      <c r="AD93" s="182"/>
      <c r="AJ93" s="135"/>
    </row>
    <row r="94" spans="2:36" x14ac:dyDescent="0.35">
      <c r="I94" s="109">
        <v>2.0236173564099999E-2</v>
      </c>
      <c r="J94" s="109">
        <v>9.9148423651535923E-10</v>
      </c>
      <c r="K94" s="109">
        <v>8.2060300843972745E-11</v>
      </c>
      <c r="L94" s="156">
        <v>1.0084077514147319E-9</v>
      </c>
      <c r="N94" s="18">
        <v>3.1912672545492482E-6</v>
      </c>
      <c r="O94" s="18">
        <v>2.5810808355585536E-11</v>
      </c>
      <c r="P94" s="18">
        <v>1.990764596544104E-10</v>
      </c>
      <c r="Q94" s="28">
        <v>1.7210815880741237</v>
      </c>
      <c r="R94" s="60">
        <v>378.65139425104428</v>
      </c>
      <c r="S94" s="57">
        <v>1.5802074511632338E-6</v>
      </c>
      <c r="U94" s="127">
        <v>1.0318676673276946E-9</v>
      </c>
      <c r="V94" s="127">
        <v>1.0084077514147319E-9</v>
      </c>
      <c r="W94" s="128">
        <v>8.4748840013455627E-10</v>
      </c>
      <c r="X94" s="128">
        <f t="shared" si="2"/>
        <v>9.7404289257292868E-10</v>
      </c>
      <c r="Y94" s="139">
        <f t="shared" si="3"/>
        <v>4.5174534205613646E-2</v>
      </c>
      <c r="AA94" s="73"/>
      <c r="AB94" s="182"/>
      <c r="AC94" s="182"/>
      <c r="AD94" s="182"/>
      <c r="AJ94" s="135"/>
    </row>
    <row r="95" spans="2:36" x14ac:dyDescent="0.35">
      <c r="I95" s="109">
        <v>2.0438535299700002E-2</v>
      </c>
      <c r="J95" s="109">
        <v>9.1129306357103471E-10</v>
      </c>
      <c r="K95" s="109">
        <v>8.0504498934099269E-11</v>
      </c>
      <c r="L95" s="156">
        <v>9.5432197474143128E-10</v>
      </c>
      <c r="N95" s="18">
        <v>3.1999999999999999E-6</v>
      </c>
      <c r="O95" s="18">
        <v>2.5307649463664093E-11</v>
      </c>
      <c r="P95" s="18">
        <v>1.486857631694136E-12</v>
      </c>
      <c r="Q95" s="28">
        <v>9.0124969606539302</v>
      </c>
      <c r="R95" s="60">
        <v>378.65139425104428</v>
      </c>
      <c r="S95" s="57">
        <v>1.5802074511632338E-6</v>
      </c>
      <c r="U95" s="127">
        <v>1.0383153941237718E-9</v>
      </c>
      <c r="V95" s="127">
        <v>9.5432197474143128E-10</v>
      </c>
      <c r="W95" s="128">
        <v>7.4749128449950704E-10</v>
      </c>
      <c r="X95" s="128">
        <f t="shared" si="2"/>
        <v>9.2361265702653534E-10</v>
      </c>
      <c r="Y95" s="139">
        <f t="shared" si="3"/>
        <v>2.3418142819973939E-2</v>
      </c>
      <c r="AA95" s="73"/>
      <c r="AB95" s="182"/>
      <c r="AC95" s="182"/>
      <c r="AD95" s="182"/>
      <c r="AJ95" s="135"/>
    </row>
    <row r="96" spans="2:36" x14ac:dyDescent="0.35">
      <c r="I96" s="109">
        <v>2.06429206527E-2</v>
      </c>
      <c r="J96" s="109">
        <v>8.2332214657579235E-10</v>
      </c>
      <c r="K96" s="109">
        <v>7.4558975669683429E-11</v>
      </c>
      <c r="L96" s="156">
        <v>8.7900505622059592E-10</v>
      </c>
      <c r="N96" s="18">
        <v>3.1955139569094203E-6</v>
      </c>
      <c r="O96" s="18">
        <v>2.5394460155846639E-11</v>
      </c>
      <c r="P96" s="18">
        <v>1.4888560802367562E-12</v>
      </c>
      <c r="Q96" s="28">
        <v>1.7210815880741237</v>
      </c>
      <c r="R96" s="60">
        <v>1172.1351818423568</v>
      </c>
      <c r="S96" s="57">
        <v>1.5802074511632338E-6</v>
      </c>
      <c r="U96" s="127">
        <v>1.0204828455612097E-9</v>
      </c>
      <c r="V96" s="127">
        <v>8.7900505622059592E-10</v>
      </c>
      <c r="W96" s="128">
        <v>6.375515039168677E-10</v>
      </c>
      <c r="X96" s="128">
        <f t="shared" si="2"/>
        <v>8.5401111547981742E-10</v>
      </c>
      <c r="Y96" s="139">
        <f t="shared" si="3"/>
        <v>0.1694200199839854</v>
      </c>
      <c r="AA96" s="73"/>
      <c r="AB96" s="182"/>
      <c r="AC96" s="182"/>
      <c r="AD96" s="182"/>
      <c r="AJ96" s="135"/>
    </row>
    <row r="97" spans="9:36" x14ac:dyDescent="0.35">
      <c r="I97" s="109">
        <v>2.0849349859299999E-2</v>
      </c>
      <c r="J97" s="109">
        <v>7.1027108960827762E-10</v>
      </c>
      <c r="K97" s="109">
        <v>6.937315163964926E-11</v>
      </c>
      <c r="L97" s="156">
        <v>7.8631340903064579E-10</v>
      </c>
      <c r="N97" s="18">
        <v>3.1630471656236762E-6</v>
      </c>
      <c r="O97" s="18">
        <v>2.6022734242286083E-11</v>
      </c>
      <c r="P97" s="18">
        <v>1.5033194303246767E-12</v>
      </c>
      <c r="Q97" s="28">
        <v>1.281588875373888</v>
      </c>
      <c r="R97" s="60">
        <v>1172.1351818423568</v>
      </c>
      <c r="S97" s="57">
        <v>1.5778114409076112E-6</v>
      </c>
      <c r="U97" s="127">
        <v>9.7872474396346437E-10</v>
      </c>
      <c r="V97" s="127">
        <v>7.8631340903064579E-10</v>
      </c>
      <c r="W97" s="128">
        <v>5.2423255820412884E-10</v>
      </c>
      <c r="X97" s="128">
        <f t="shared" si="2"/>
        <v>7.6889603005722125E-10</v>
      </c>
      <c r="Y97" s="139">
        <f t="shared" si="3"/>
        <v>0.71413773047539086</v>
      </c>
      <c r="AA97" s="73"/>
      <c r="AB97" s="182"/>
      <c r="AC97" s="182"/>
      <c r="AD97" s="182"/>
      <c r="AJ97" s="135"/>
    </row>
    <row r="98" spans="9:36" x14ac:dyDescent="0.35">
      <c r="I98" s="109">
        <v>2.1057843357800001E-2</v>
      </c>
      <c r="J98" s="109">
        <v>8.1469055617922558E-10</v>
      </c>
      <c r="K98" s="109">
        <v>7.3794932286620488E-11</v>
      </c>
      <c r="L98" s="156">
        <v>6.8130655519386421E-10</v>
      </c>
      <c r="N98" s="18">
        <v>3.1160790769300206E-6</v>
      </c>
      <c r="O98" s="18">
        <v>2.6931627047740807E-11</v>
      </c>
      <c r="P98" s="18">
        <v>1.5242428379924715E-12</v>
      </c>
      <c r="Q98" s="28">
        <v>0.71317718802348939</v>
      </c>
      <c r="R98" s="60">
        <v>1175.577345018505</v>
      </c>
      <c r="S98" s="57">
        <v>1.5778114409076112E-6</v>
      </c>
      <c r="U98" s="127">
        <v>9.1475116444467311E-10</v>
      </c>
      <c r="V98" s="127">
        <v>6.8130655519386421E-10</v>
      </c>
      <c r="W98" s="128">
        <v>4.1458895778552157E-10</v>
      </c>
      <c r="X98" s="128">
        <f t="shared" si="2"/>
        <v>6.7298830815448074E-10</v>
      </c>
      <c r="Y98" s="139">
        <f t="shared" si="3"/>
        <v>3.6872314813751808</v>
      </c>
      <c r="AA98" s="73"/>
      <c r="AB98" s="182"/>
      <c r="AC98" s="182"/>
      <c r="AD98" s="182"/>
      <c r="AJ98" s="135"/>
    </row>
    <row r="99" spans="9:36" x14ac:dyDescent="0.35">
      <c r="I99" s="109">
        <v>2.12684217914E-2</v>
      </c>
      <c r="J99" s="109">
        <v>6.5373837644020329E-10</v>
      </c>
      <c r="K99" s="109">
        <v>6.9077701730122012E-11</v>
      </c>
      <c r="L99" s="156">
        <v>5.7001276730500246E-10</v>
      </c>
      <c r="N99" s="18">
        <v>3.0629322273740888E-6</v>
      </c>
      <c r="O99" s="18">
        <v>2.7960086807068764E-11</v>
      </c>
      <c r="P99" s="18">
        <v>1.5479187684049419E-12</v>
      </c>
      <c r="Q99" s="28">
        <v>0.52252270986663085</v>
      </c>
      <c r="R99" s="60">
        <v>1175.577345018505</v>
      </c>
      <c r="S99" s="57">
        <v>1.5604708217211491E-6</v>
      </c>
      <c r="U99" s="127">
        <v>8.3161374629176859E-10</v>
      </c>
      <c r="V99" s="127">
        <v>5.7001276730500246E-10</v>
      </c>
      <c r="W99" s="128">
        <v>3.1573192752584304E-10</v>
      </c>
      <c r="X99" s="128">
        <f t="shared" si="2"/>
        <v>5.7184280210690411E-10</v>
      </c>
      <c r="Y99" s="139">
        <f t="shared" si="3"/>
        <v>1.405546138354655</v>
      </c>
      <c r="AA99" s="73"/>
      <c r="AB99" s="182"/>
      <c r="AC99" s="182"/>
      <c r="AD99" s="182"/>
      <c r="AJ99" s="135"/>
    </row>
    <row r="100" spans="9:36" x14ac:dyDescent="0.35">
      <c r="I100" s="109">
        <v>2.1481106009300002E-2</v>
      </c>
      <c r="J100" s="109">
        <v>4.7815549172294887E-10</v>
      </c>
      <c r="K100" s="109">
        <v>5.9386054244652778E-11</v>
      </c>
      <c r="L100" s="156">
        <v>4.5911235010835555E-10</v>
      </c>
      <c r="N100" s="18">
        <v>3.0068436898555254E-6</v>
      </c>
      <c r="O100" s="18">
        <v>2.9045472004486553E-11</v>
      </c>
      <c r="P100" s="18">
        <v>1.5729051659491501E-12</v>
      </c>
      <c r="Q100" s="28">
        <v>0.42522182801861985</v>
      </c>
      <c r="R100" s="60">
        <v>1178.1405227692528</v>
      </c>
      <c r="S100" s="57">
        <v>1.5604708217211491E-6</v>
      </c>
      <c r="U100" s="127">
        <v>7.3361257442413289E-10</v>
      </c>
      <c r="V100" s="127">
        <v>4.5911235010835555E-10</v>
      </c>
      <c r="W100" s="128">
        <v>2.343546551391208E-10</v>
      </c>
      <c r="X100" s="128">
        <f t="shared" si="2"/>
        <v>4.7154798244499119E-10</v>
      </c>
      <c r="Y100" s="139">
        <f t="shared" si="3"/>
        <v>1.2379600274466402E-2</v>
      </c>
      <c r="AA100" s="73"/>
      <c r="AB100" s="182"/>
      <c r="AC100" s="182"/>
      <c r="AD100" s="182"/>
      <c r="AJ100" s="135"/>
    </row>
    <row r="101" spans="9:36" x14ac:dyDescent="0.35">
      <c r="I101" s="109">
        <v>2.1695917069400002E-2</v>
      </c>
      <c r="J101" s="109">
        <v>3.2936475863937557E-10</v>
      </c>
      <c r="K101" s="109">
        <v>5.2735539856376625E-11</v>
      </c>
      <c r="L101" s="156">
        <v>3.5555057279541633E-10</v>
      </c>
      <c r="N101" s="18">
        <v>2.9492953706526726E-6</v>
      </c>
      <c r="O101" s="18">
        <v>3.015910585130201E-11</v>
      </c>
      <c r="P101" s="18">
        <v>1.5985418690121882E-12</v>
      </c>
      <c r="Q101" s="28">
        <v>0.36718140925644527</v>
      </c>
      <c r="R101" s="60">
        <v>1178.1405227692528</v>
      </c>
      <c r="S101" s="57">
        <v>1.5353850122617376E-6</v>
      </c>
      <c r="U101" s="127">
        <v>6.2611984994376605E-10</v>
      </c>
      <c r="V101" s="127">
        <v>3.5555057279541633E-10</v>
      </c>
      <c r="W101" s="128">
        <v>1.7624802794888865E-10</v>
      </c>
      <c r="X101" s="128">
        <f t="shared" si="2"/>
        <v>3.7836725587087181E-10</v>
      </c>
      <c r="Y101" s="139">
        <f t="shared" si="3"/>
        <v>0.86343496809580622</v>
      </c>
      <c r="AA101" s="73"/>
      <c r="AB101" s="182"/>
      <c r="AC101" s="182"/>
      <c r="AD101" s="182"/>
      <c r="AJ101" s="135"/>
    </row>
    <row r="102" spans="9:36" x14ac:dyDescent="0.35">
      <c r="I102" s="109">
        <v>2.19128762401E-2</v>
      </c>
      <c r="J102" s="109">
        <v>3.1183225378060422E-10</v>
      </c>
      <c r="K102" s="109">
        <v>4.9120967861240475E-11</v>
      </c>
      <c r="L102" s="156">
        <v>2.6609950600820858E-10</v>
      </c>
      <c r="N102" s="18">
        <v>2.8910260171542135E-6</v>
      </c>
      <c r="O102" s="18">
        <v>3.1286692637272319E-11</v>
      </c>
      <c r="P102" s="18">
        <v>1.6244997794083121E-12</v>
      </c>
      <c r="Q102" s="28">
        <v>0.32985484968757195</v>
      </c>
      <c r="R102" s="60">
        <v>1179.5668771452997</v>
      </c>
      <c r="S102" s="57">
        <v>1.5353850122617376E-6</v>
      </c>
      <c r="U102" s="127">
        <v>5.1532159662083581E-10</v>
      </c>
      <c r="V102" s="127">
        <v>2.6609950600820858E-10</v>
      </c>
      <c r="W102" s="128">
        <v>1.4584246818282983E-10</v>
      </c>
      <c r="X102" s="128">
        <f t="shared" si="2"/>
        <v>2.9834076920502069E-10</v>
      </c>
      <c r="Y102" s="139">
        <f t="shared" si="3"/>
        <v>7.5437215849630909E-2</v>
      </c>
      <c r="AA102" s="73"/>
      <c r="AB102" s="182"/>
      <c r="AC102" s="182"/>
      <c r="AD102" s="182"/>
      <c r="AJ102" s="135"/>
    </row>
    <row r="103" spans="9:36" x14ac:dyDescent="0.35">
      <c r="I103" s="109">
        <v>2.21320050025E-2</v>
      </c>
      <c r="J103" s="109">
        <v>2.6165275038370067E-10</v>
      </c>
      <c r="K103" s="109">
        <v>4.5911888652755277E-11</v>
      </c>
      <c r="L103" s="156">
        <v>1.9689475506167432E-10</v>
      </c>
      <c r="N103" s="18">
        <v>2.832417206568491E-6</v>
      </c>
      <c r="O103" s="18">
        <v>3.242084835361548E-11</v>
      </c>
      <c r="P103" s="18">
        <v>1.6506089116067295E-12</v>
      </c>
      <c r="Q103" s="28">
        <v>0.30511585966628851</v>
      </c>
      <c r="R103" s="60">
        <v>1179.5668771452997</v>
      </c>
      <c r="S103" s="57">
        <v>1.5069991064603756E-6</v>
      </c>
      <c r="U103" s="127">
        <v>4.0788475678307433E-10</v>
      </c>
      <c r="V103" s="127">
        <v>1.9689475506167432E-10</v>
      </c>
      <c r="W103" s="128">
        <v>1.4581340145142534E-10</v>
      </c>
      <c r="X103" s="128">
        <f t="shared" si="2"/>
        <v>2.3687191708946208E-10</v>
      </c>
      <c r="Y103" s="139">
        <f t="shared" si="3"/>
        <v>0.29132750891276049</v>
      </c>
      <c r="AA103" s="73"/>
      <c r="AB103" s="182"/>
      <c r="AC103" s="182"/>
      <c r="AD103" s="182"/>
      <c r="AJ103" s="135"/>
    </row>
    <row r="104" spans="9:36" x14ac:dyDescent="0.35">
      <c r="I104" s="109">
        <v>2.2353325052600001E-2</v>
      </c>
      <c r="J104" s="109">
        <v>2.5000319824628379E-10</v>
      </c>
      <c r="K104" s="109">
        <v>4.4801720749241691E-11</v>
      </c>
      <c r="L104" s="156">
        <v>1.5297849218564353E-10</v>
      </c>
      <c r="N104" s="18">
        <v>2.773664481229139E-6</v>
      </c>
      <c r="O104" s="18">
        <v>3.3557789005173389E-11</v>
      </c>
      <c r="P104" s="18">
        <v>1.6767821551442145E-12</v>
      </c>
      <c r="Q104" s="28">
        <v>0.28889548286974742</v>
      </c>
      <c r="R104" s="60">
        <v>1180.611922565033</v>
      </c>
      <c r="S104" s="57">
        <v>1.5069991064603756E-6</v>
      </c>
      <c r="U104" s="127">
        <v>3.105637041762974E-10</v>
      </c>
      <c r="V104" s="127">
        <v>1.5297849218564353E-10</v>
      </c>
      <c r="W104" s="128">
        <v>1.767865748027627E-10</v>
      </c>
      <c r="X104" s="128">
        <f t="shared" si="2"/>
        <v>1.9832681583758678E-10</v>
      </c>
      <c r="Y104" s="139">
        <f t="shared" si="3"/>
        <v>1.3304385408616703</v>
      </c>
      <c r="AA104" s="73"/>
      <c r="AB104" s="182"/>
      <c r="AC104" s="182"/>
      <c r="AD104" s="182"/>
      <c r="AJ104" s="135"/>
    </row>
    <row r="105" spans="9:36" x14ac:dyDescent="0.35">
      <c r="I105" s="109">
        <v>2.2576858303100002E-2</v>
      </c>
      <c r="J105" s="109">
        <v>2.0714105199440845E-10</v>
      </c>
      <c r="K105" s="109">
        <v>4.2953296470546985E-11</v>
      </c>
      <c r="L105" s="156">
        <v>1.3788348917804715E-10</v>
      </c>
      <c r="N105" s="18">
        <v>2.7148619043264312E-6</v>
      </c>
      <c r="O105" s="18">
        <v>3.4695694348472758E-11</v>
      </c>
      <c r="P105" s="18">
        <v>1.7029776066235592E-12</v>
      </c>
      <c r="Q105" s="28">
        <v>0.27901782563242211</v>
      </c>
      <c r="R105" s="60">
        <v>1180.611922565033</v>
      </c>
      <c r="S105" s="57">
        <v>1.4770420355174869E-6</v>
      </c>
      <c r="U105" s="127">
        <v>2.2976684954749297E-10</v>
      </c>
      <c r="V105" s="127">
        <v>1.3788348917804715E-10</v>
      </c>
      <c r="W105" s="128">
        <v>2.3717473385678539E-10</v>
      </c>
      <c r="X105" s="128">
        <f t="shared" si="2"/>
        <v>1.8567714044009318E-10</v>
      </c>
      <c r="Y105" s="139">
        <f t="shared" si="3"/>
        <v>0.24970356398056534</v>
      </c>
      <c r="AA105" s="73"/>
      <c r="AB105" s="182"/>
      <c r="AC105" s="182"/>
      <c r="AD105" s="182"/>
      <c r="AJ105" s="135"/>
    </row>
    <row r="106" spans="9:36" x14ac:dyDescent="0.35">
      <c r="I106" s="109">
        <v>2.2802626886099998E-2</v>
      </c>
      <c r="J106" s="109">
        <v>2.2926486759666119E-10</v>
      </c>
      <c r="K106" s="109">
        <v>2.0840960485982537E-11</v>
      </c>
      <c r="L106" s="156">
        <v>1.5329342696957096E-10</v>
      </c>
      <c r="N106" s="18">
        <v>2.6560478239844319E-6</v>
      </c>
      <c r="O106" s="18">
        <v>3.5833822298088476E-11</v>
      </c>
      <c r="P106" s="18">
        <v>1.7291781826705961E-12</v>
      </c>
      <c r="Q106" s="28">
        <v>0.27433079872934468</v>
      </c>
      <c r="R106" s="60">
        <v>1181.4623662210702</v>
      </c>
      <c r="S106" s="57">
        <v>1.4770420355174869E-6</v>
      </c>
      <c r="U106" s="127">
        <v>1.7110992762560909E-10</v>
      </c>
      <c r="V106" s="127">
        <v>1.5329342696957096E-10</v>
      </c>
      <c r="W106" s="128">
        <v>3.2316932087878055E-10</v>
      </c>
      <c r="X106" s="128">
        <f t="shared" si="2"/>
        <v>2.002165256108829E-10</v>
      </c>
      <c r="Y106" s="139">
        <f t="shared" si="3"/>
        <v>1.9427066974153462</v>
      </c>
      <c r="AA106" s="73"/>
      <c r="AB106" s="182"/>
      <c r="AC106" s="182"/>
      <c r="AD106" s="182"/>
      <c r="AJ106" s="135"/>
    </row>
    <row r="107" spans="9:36" x14ac:dyDescent="0.35">
      <c r="I107" s="109">
        <v>2.3030653155000001E-2</v>
      </c>
      <c r="J107" s="109">
        <v>2.6722301702350285E-10</v>
      </c>
      <c r="K107" s="109">
        <v>2.1849791573703631E-11</v>
      </c>
      <c r="L107" s="156">
        <v>1.9881227312611606E-10</v>
      </c>
      <c r="N107" s="18">
        <v>2.5972324618216061E-6</v>
      </c>
      <c r="O107" s="18">
        <v>3.6971975052582559E-11</v>
      </c>
      <c r="P107" s="18">
        <v>1.7553793297449081E-12</v>
      </c>
      <c r="Q107" s="28">
        <v>0.27433079872934468</v>
      </c>
      <c r="R107" s="60">
        <v>1181.4623662210702</v>
      </c>
      <c r="S107" s="57">
        <v>1.4463052904127796E-6</v>
      </c>
      <c r="U107" s="127">
        <v>1.3898699554584838E-10</v>
      </c>
      <c r="V107" s="127">
        <v>1.9881227312611606E-10</v>
      </c>
      <c r="W107" s="128">
        <v>4.2890044690862988E-10</v>
      </c>
      <c r="X107" s="128">
        <f t="shared" si="2"/>
        <v>2.4137799717667761E-10</v>
      </c>
      <c r="Y107" s="139">
        <f t="shared" si="3"/>
        <v>1.3991334603002159</v>
      </c>
      <c r="AA107" s="73"/>
      <c r="AB107" s="182"/>
      <c r="AC107" s="182"/>
      <c r="AD107" s="182"/>
      <c r="AJ107" s="135"/>
    </row>
    <row r="108" spans="9:36" x14ac:dyDescent="0.35">
      <c r="I108" s="109">
        <v>2.32609596865E-2</v>
      </c>
      <c r="J108" s="109">
        <v>3.5350260744944102E-10</v>
      </c>
      <c r="K108" s="109">
        <v>2.4376695623150846E-11</v>
      </c>
      <c r="L108" s="156">
        <v>2.7186996129719745E-10</v>
      </c>
      <c r="N108" s="18">
        <v>2.5384183814796068E-6</v>
      </c>
      <c r="O108" s="18">
        <v>3.8110103002198277E-11</v>
      </c>
      <c r="P108" s="18">
        <v>1.781579905791945E-12</v>
      </c>
      <c r="Q108" s="28">
        <v>0.27901782563242211</v>
      </c>
      <c r="R108" s="60">
        <v>1182.196729039583</v>
      </c>
      <c r="S108" s="57">
        <v>1.4463052904127796E-6</v>
      </c>
      <c r="U108" s="127">
        <v>1.361924730084169E-10</v>
      </c>
      <c r="V108" s="127">
        <v>2.7186996129719745E-10</v>
      </c>
      <c r="W108" s="128">
        <v>5.4676622880952417E-10</v>
      </c>
      <c r="X108" s="128">
        <f t="shared" si="2"/>
        <v>3.0667465610308401E-10</v>
      </c>
      <c r="Y108" s="139">
        <f t="shared" si="3"/>
        <v>3.6902912861731103</v>
      </c>
      <c r="AA108" s="73"/>
      <c r="AB108" s="182"/>
      <c r="AC108" s="182"/>
      <c r="AD108" s="182"/>
      <c r="AJ108" s="135"/>
    </row>
    <row r="109" spans="9:36" x14ac:dyDescent="0.35">
      <c r="I109" s="109">
        <v>2.34935692834E-2</v>
      </c>
      <c r="J109" s="109">
        <v>4.3152298412909776E-10</v>
      </c>
      <c r="K109" s="109">
        <v>2.7454966516883426E-11</v>
      </c>
      <c r="L109" s="156">
        <v>3.6778329805341123E-10</v>
      </c>
      <c r="N109" s="18">
        <v>2.479615804576899E-6</v>
      </c>
      <c r="O109" s="18">
        <v>3.9248008345497645E-11</v>
      </c>
      <c r="P109" s="18">
        <v>1.8077753572712897E-12</v>
      </c>
      <c r="Q109" s="28">
        <v>0.28889548286974742</v>
      </c>
      <c r="R109" s="60">
        <v>1182.196729039583</v>
      </c>
      <c r="S109" s="57">
        <v>1.4151834385375746E-6</v>
      </c>
      <c r="U109" s="127">
        <v>1.636272328407909E-10</v>
      </c>
      <c r="V109" s="127">
        <v>3.6778329805341123E-10</v>
      </c>
      <c r="W109" s="128">
        <v>6.6791956166176574E-10</v>
      </c>
      <c r="X109" s="128">
        <f t="shared" si="2"/>
        <v>3.9177834765234474E-10</v>
      </c>
      <c r="Y109" s="139">
        <f t="shared" si="3"/>
        <v>2.0956329646814384</v>
      </c>
      <c r="AA109" s="73"/>
      <c r="AB109" s="182"/>
      <c r="AC109" s="182"/>
      <c r="AD109" s="182"/>
      <c r="AJ109" s="135"/>
    </row>
    <row r="110" spans="9:36" x14ac:dyDescent="0.35">
      <c r="I110" s="109">
        <v>2.37285049762E-2</v>
      </c>
      <c r="J110" s="109">
        <v>5.0733883793371031E-10</v>
      </c>
      <c r="K110" s="109">
        <v>3.0702087681714424E-11</v>
      </c>
      <c r="L110" s="156">
        <v>4.7998053922904415E-10</v>
      </c>
      <c r="N110" s="18">
        <v>2.420863079237547E-6</v>
      </c>
      <c r="O110" s="18">
        <v>4.0384948997055555E-11</v>
      </c>
      <c r="P110" s="18">
        <v>1.8339486008087749E-12</v>
      </c>
      <c r="Q110" s="28">
        <v>0.30511585966628851</v>
      </c>
      <c r="R110" s="60">
        <v>1182.8564387389581</v>
      </c>
      <c r="S110" s="57">
        <v>1.4151834385375746E-6</v>
      </c>
      <c r="U110" s="127">
        <v>2.2011857265010561E-10</v>
      </c>
      <c r="V110" s="127">
        <v>4.7998053922904415E-10</v>
      </c>
      <c r="W110" s="128">
        <v>7.8288738401710657E-10</v>
      </c>
      <c r="X110" s="128">
        <f t="shared" si="2"/>
        <v>4.9074175878132513E-10</v>
      </c>
      <c r="Y110" s="139">
        <f t="shared" si="3"/>
        <v>0.29223182821288435</v>
      </c>
      <c r="AA110" s="73"/>
      <c r="AB110" s="182"/>
      <c r="AC110" s="182"/>
      <c r="AD110" s="182"/>
      <c r="AJ110" s="135"/>
    </row>
    <row r="111" spans="9:36" x14ac:dyDescent="0.35">
      <c r="I111" s="109">
        <v>2.3965790026000001E-2</v>
      </c>
      <c r="J111" s="109">
        <v>6.0218621941909916E-10</v>
      </c>
      <c r="K111" s="109">
        <v>3.3160390726226635E-11</v>
      </c>
      <c r="L111" s="156">
        <v>6.0038616954339633E-10</v>
      </c>
      <c r="N111" s="18">
        <v>2.3622542686518244E-6</v>
      </c>
      <c r="O111" s="18">
        <v>4.1519104713398716E-11</v>
      </c>
      <c r="P111" s="18">
        <v>1.8600577330071923E-12</v>
      </c>
      <c r="Q111" s="28">
        <v>0.32985484968757195</v>
      </c>
      <c r="R111" s="60">
        <v>1182.8564387389581</v>
      </c>
      <c r="S111" s="57">
        <v>1.3838802815241878E-6</v>
      </c>
      <c r="U111" s="127">
        <v>3.0237792228710795E-10</v>
      </c>
      <c r="V111" s="127">
        <v>6.0038616954339633E-10</v>
      </c>
      <c r="W111" s="128">
        <v>8.8228527023335104E-10</v>
      </c>
      <c r="X111" s="128">
        <f t="shared" si="2"/>
        <v>5.9635888290181294E-10</v>
      </c>
      <c r="Y111" s="139">
        <f t="shared" si="3"/>
        <v>3.0881680012125028E-2</v>
      </c>
      <c r="AA111" s="73"/>
      <c r="AB111" s="182"/>
      <c r="AC111" s="182"/>
      <c r="AD111" s="182"/>
      <c r="AJ111" s="135"/>
    </row>
    <row r="112" spans="9:36" x14ac:dyDescent="0.35">
      <c r="I112" s="109">
        <v>2.42054479262E-2</v>
      </c>
      <c r="J112" s="109">
        <v>6.4664756845041512E-10</v>
      </c>
      <c r="K112" s="109">
        <v>3.3068755803702985E-11</v>
      </c>
      <c r="L112" s="156">
        <v>7.1994988445733176E-10</v>
      </c>
      <c r="N112" s="18">
        <v>2.3039849151533654E-6</v>
      </c>
      <c r="O112" s="18">
        <v>4.2646691499369025E-11</v>
      </c>
      <c r="P112" s="18">
        <v>1.8860156434033162E-12</v>
      </c>
      <c r="Q112" s="28">
        <v>0.36718140925644527</v>
      </c>
      <c r="R112" s="60">
        <v>1183.4666704582908</v>
      </c>
      <c r="S112" s="57">
        <v>1.3838802815241878E-6</v>
      </c>
      <c r="U112" s="127">
        <v>4.0511170043065466E-10</v>
      </c>
      <c r="V112" s="127">
        <v>7.1994988445733176E-10</v>
      </c>
      <c r="W112" s="128">
        <v>9.575794270558341E-10</v>
      </c>
      <c r="X112" s="128">
        <f t="shared" si="2"/>
        <v>7.0064772410028801E-10</v>
      </c>
      <c r="Y112" s="139">
        <f t="shared" si="3"/>
        <v>2.6665781309890564</v>
      </c>
      <c r="AA112" s="73"/>
      <c r="AB112" s="182"/>
      <c r="AC112" s="182"/>
      <c r="AD112" s="182"/>
      <c r="AJ112" s="135"/>
    </row>
    <row r="113" spans="9:36" x14ac:dyDescent="0.35">
      <c r="I113" s="109">
        <v>2.4447502405500001E-2</v>
      </c>
      <c r="J113" s="109">
        <v>7.1453621970991242E-10</v>
      </c>
      <c r="K113" s="109">
        <v>3.5565567078543668E-11</v>
      </c>
      <c r="L113" s="156">
        <v>8.2929140088241453E-10</v>
      </c>
      <c r="N113" s="18">
        <v>2.2464365959505125E-6</v>
      </c>
      <c r="O113" s="18">
        <v>4.3760325346184482E-11</v>
      </c>
      <c r="P113" s="18">
        <v>1.9116523464663543E-12</v>
      </c>
      <c r="Q113" s="28">
        <v>0.42522182801861985</v>
      </c>
      <c r="R113" s="60">
        <v>1183.4666704582908</v>
      </c>
      <c r="S113" s="57">
        <v>1.352500259171198E-6</v>
      </c>
      <c r="U113" s="127">
        <v>5.2129037616863486E-10</v>
      </c>
      <c r="V113" s="127">
        <v>8.2929140088241453E-10</v>
      </c>
      <c r="W113" s="128">
        <v>1.001839550105993E-9</v>
      </c>
      <c r="X113" s="128">
        <f t="shared" si="2"/>
        <v>7.9542818200986419E-10</v>
      </c>
      <c r="Y113" s="139">
        <f t="shared" si="3"/>
        <v>5.1731046734793606</v>
      </c>
      <c r="AA113" s="73"/>
      <c r="AB113" s="182"/>
      <c r="AC113" s="182"/>
      <c r="AD113" s="182"/>
      <c r="AJ113" s="135"/>
    </row>
    <row r="114" spans="9:36" x14ac:dyDescent="0.35">
      <c r="I114" s="109">
        <v>2.4691977429599998E-2</v>
      </c>
      <c r="J114" s="109">
        <v>8.7268695416950001E-10</v>
      </c>
      <c r="K114" s="109">
        <v>4.4780588269954932E-11</v>
      </c>
      <c r="L114" s="156">
        <v>9.1942123145519993E-10</v>
      </c>
      <c r="N114" s="18">
        <v>2.1903480584319492E-6</v>
      </c>
      <c r="O114" s="18">
        <v>4.4845710543602274E-11</v>
      </c>
      <c r="P114" s="18">
        <v>1.9366387440105623E-12</v>
      </c>
      <c r="Q114" s="28">
        <v>0.52252270986663085</v>
      </c>
      <c r="R114" s="60">
        <v>1184.0444614240303</v>
      </c>
      <c r="S114" s="57">
        <v>1.352500259171198E-6</v>
      </c>
      <c r="U114" s="127">
        <v>6.4256919663842964E-10</v>
      </c>
      <c r="V114" s="127">
        <v>9.1942123145519993E-10</v>
      </c>
      <c r="W114" s="128">
        <v>1.0104202259288574E-9</v>
      </c>
      <c r="X114" s="128">
        <f t="shared" si="2"/>
        <v>8.7295797136942181E-10</v>
      </c>
      <c r="Y114" s="139">
        <f t="shared" si="3"/>
        <v>3.6628077037136201E-5</v>
      </c>
      <c r="AA114" s="73"/>
      <c r="AB114" s="182"/>
      <c r="AC114" s="182"/>
      <c r="AD114" s="182"/>
      <c r="AJ114" s="135"/>
    </row>
    <row r="115" spans="9:36" x14ac:dyDescent="0.35">
      <c r="I115" s="109">
        <v>2.4938897203899999E-2</v>
      </c>
      <c r="J115" s="109">
        <v>9.2506259212083822E-10</v>
      </c>
      <c r="K115" s="109">
        <v>4.5886526371357457E-11</v>
      </c>
      <c r="L115" s="156">
        <v>9.8248764687334255E-10</v>
      </c>
      <c r="N115" s="18">
        <v>2.1372012088760173E-6</v>
      </c>
      <c r="O115" s="18">
        <v>4.5874170302930228E-11</v>
      </c>
      <c r="P115" s="18">
        <v>1.9603146744230327E-12</v>
      </c>
      <c r="Q115" s="28">
        <v>0.71317718802348939</v>
      </c>
      <c r="R115" s="60">
        <v>1184.0444614240303</v>
      </c>
      <c r="S115" s="57">
        <v>1.3210936109355208E-6</v>
      </c>
      <c r="U115" s="127">
        <v>7.5984195009199224E-10</v>
      </c>
      <c r="V115" s="127">
        <v>9.8248764687334255E-10</v>
      </c>
      <c r="W115" s="128">
        <v>9.8150651956256772E-10</v>
      </c>
      <c r="X115" s="128">
        <f t="shared" si="2"/>
        <v>9.2658094085031124E-10</v>
      </c>
      <c r="Y115" s="139">
        <f t="shared" si="3"/>
        <v>1.0948955619984916E-3</v>
      </c>
      <c r="AA115" s="73"/>
      <c r="AB115" s="182"/>
      <c r="AC115" s="182"/>
      <c r="AD115" s="182"/>
      <c r="AJ115" s="135"/>
    </row>
    <row r="116" spans="9:36" x14ac:dyDescent="0.35">
      <c r="I116" s="109">
        <v>2.51882861759E-2</v>
      </c>
      <c r="J116" s="109">
        <v>8.6468782158616178E-10</v>
      </c>
      <c r="K116" s="109">
        <v>4.3573935575727782E-11</v>
      </c>
      <c r="L116" s="156">
        <v>1.0124924293723219E-9</v>
      </c>
      <c r="N116" s="18">
        <v>2.0902331201823617E-6</v>
      </c>
      <c r="O116" s="18">
        <v>4.6783063108384949E-11</v>
      </c>
      <c r="P116" s="18">
        <v>1.9812380820908275E-12</v>
      </c>
      <c r="Q116" s="28">
        <v>1.281588875373888</v>
      </c>
      <c r="R116" s="60">
        <v>1184.6024970752951</v>
      </c>
      <c r="S116" s="57">
        <v>1.3210936109355208E-6</v>
      </c>
      <c r="U116" s="127">
        <v>8.6389726917524036E-10</v>
      </c>
      <c r="V116" s="127">
        <v>1.0124924293723219E-9</v>
      </c>
      <c r="W116" s="128">
        <v>9.1646206222490195E-10</v>
      </c>
      <c r="X116" s="128">
        <f t="shared" si="2"/>
        <v>9.5133604753619656E-10</v>
      </c>
      <c r="Y116" s="139">
        <f t="shared" si="3"/>
        <v>3.954265054461779</v>
      </c>
      <c r="AA116" s="73"/>
      <c r="AB116" s="182"/>
      <c r="AC116" s="182"/>
      <c r="AD116" s="182"/>
      <c r="AJ116" s="135"/>
    </row>
    <row r="117" spans="9:36" x14ac:dyDescent="0.35">
      <c r="I117" s="109">
        <v>2.5440169037600002E-2</v>
      </c>
      <c r="J117" s="109">
        <v>9.122149605927427E-10</v>
      </c>
      <c r="K117" s="109">
        <v>4.7239165918024727E-11</v>
      </c>
      <c r="L117" s="156">
        <v>1.0059135039635529E-9</v>
      </c>
      <c r="N117" s="18">
        <v>2.0577663288966177E-6</v>
      </c>
      <c r="O117" s="18">
        <v>4.7411337194824393E-11</v>
      </c>
      <c r="P117" s="18">
        <v>1.995701432178748E-12</v>
      </c>
      <c r="Q117" s="28">
        <v>1.7210815880741237</v>
      </c>
      <c r="R117" s="60">
        <v>1184.6024970752951</v>
      </c>
      <c r="S117" s="57">
        <v>1.2896808186753747E-6</v>
      </c>
      <c r="U117" s="127">
        <v>9.4613605940017869E-10</v>
      </c>
      <c r="V117" s="127">
        <v>1.0059135039635529E-9</v>
      </c>
      <c r="W117" s="128">
        <v>8.1992638379279256E-10</v>
      </c>
      <c r="X117" s="128">
        <f t="shared" si="2"/>
        <v>9.4447236278001933E-10</v>
      </c>
      <c r="Y117" s="139">
        <f t="shared" si="3"/>
        <v>0.46628810462215475</v>
      </c>
      <c r="AA117" s="73"/>
      <c r="AB117" s="182"/>
      <c r="AC117" s="182"/>
      <c r="AD117" s="182"/>
      <c r="AJ117" s="135"/>
    </row>
    <row r="118" spans="9:36" x14ac:dyDescent="0.35">
      <c r="I118" s="109">
        <v>2.5694570728E-2</v>
      </c>
      <c r="J118" s="109">
        <v>9.0874369627093967E-10</v>
      </c>
      <c r="K118" s="109">
        <v>4.6911683864025762E-11</v>
      </c>
      <c r="L118" s="156">
        <v>9.6217204933651143E-10</v>
      </c>
      <c r="N118" s="18">
        <v>2.0532802858060381E-6</v>
      </c>
      <c r="O118" s="18">
        <v>4.7498147887006942E-11</v>
      </c>
      <c r="P118" s="18">
        <v>1.9976998807213682E-12</v>
      </c>
      <c r="Q118" s="28">
        <v>100</v>
      </c>
      <c r="R118" s="60">
        <v>1185.1511586727538</v>
      </c>
      <c r="S118" s="57">
        <v>1.2896808186753747E-6</v>
      </c>
      <c r="U118" s="127">
        <v>9.9929937804958378E-10</v>
      </c>
      <c r="V118" s="127">
        <v>9.6217204933651143E-10</v>
      </c>
      <c r="W118" s="128">
        <v>6.9962323192590748E-10</v>
      </c>
      <c r="X118" s="128">
        <f t="shared" si="2"/>
        <v>9.0581667716212848E-10</v>
      </c>
      <c r="Y118" s="139">
        <f t="shared" si="3"/>
        <v>3.8930418422023398E-3</v>
      </c>
      <c r="AA118" s="73"/>
      <c r="AB118" s="182"/>
      <c r="AC118" s="182"/>
      <c r="AD118" s="182"/>
      <c r="AJ118" s="135"/>
    </row>
    <row r="119" spans="9:36" x14ac:dyDescent="0.35">
      <c r="I119" s="109">
        <v>2.5951516435299998E-2</v>
      </c>
      <c r="J119" s="109">
        <v>7.7674498906001868E-10</v>
      </c>
      <c r="K119" s="109">
        <v>4.0843315148621892E-11</v>
      </c>
      <c r="L119" s="156">
        <v>8.8388624148500834E-10</v>
      </c>
      <c r="R119" s="60">
        <v>1185.1511586727538</v>
      </c>
      <c r="S119" s="57">
        <v>1.2674405226513808E-6</v>
      </c>
      <c r="U119" s="127">
        <v>1.0181492609688186E-9</v>
      </c>
      <c r="V119" s="127">
        <v>8.8388624148500834E-10</v>
      </c>
      <c r="W119" s="128">
        <v>5.6586344346497229E-10</v>
      </c>
      <c r="X119" s="128">
        <f t="shared" si="2"/>
        <v>8.3794629685095189E-10</v>
      </c>
      <c r="Y119" s="139">
        <f t="shared" si="3"/>
        <v>2.2453261492867229</v>
      </c>
      <c r="AA119" s="73"/>
      <c r="AB119" s="182"/>
      <c r="AC119" s="182"/>
      <c r="AD119" s="182"/>
      <c r="AJ119" s="135"/>
    </row>
    <row r="120" spans="9:36" x14ac:dyDescent="0.35">
      <c r="I120" s="109">
        <v>2.6211031599700001E-2</v>
      </c>
      <c r="J120" s="109">
        <v>7.5123288678575941E-10</v>
      </c>
      <c r="K120" s="109">
        <v>4.2469246022086725E-11</v>
      </c>
      <c r="L120" s="156">
        <v>7.7686429043344784E-10</v>
      </c>
      <c r="R120" s="60">
        <v>1185.3784314000266</v>
      </c>
      <c r="S120" s="57">
        <v>1.2674405226513808E-6</v>
      </c>
      <c r="U120" s="127">
        <v>1.0000414652153234E-9</v>
      </c>
      <c r="V120" s="127">
        <v>7.7686429043344784E-10</v>
      </c>
      <c r="W120" s="128">
        <v>4.3075391564949483E-10</v>
      </c>
      <c r="X120" s="128">
        <f t="shared" si="2"/>
        <v>7.461309904329285E-10</v>
      </c>
      <c r="Y120" s="139">
        <f t="shared" si="3"/>
        <v>1.4431589310303465E-2</v>
      </c>
      <c r="AA120" s="73"/>
      <c r="AB120" s="182"/>
      <c r="AC120" s="182"/>
      <c r="AD120" s="182"/>
      <c r="AJ120" s="135"/>
    </row>
    <row r="121" spans="9:36" x14ac:dyDescent="0.35">
      <c r="I121" s="109">
        <v>2.6473141915700001E-2</v>
      </c>
      <c r="J121" s="109">
        <v>7.158590869129259E-10</v>
      </c>
      <c r="K121" s="109">
        <v>4.0385207547907921E-11</v>
      </c>
      <c r="L121" s="156">
        <v>6.4980647296341978E-10</v>
      </c>
      <c r="R121" s="60">
        <v>1185.3784314000266</v>
      </c>
      <c r="S121" s="57">
        <v>1.247880002302615E-6</v>
      </c>
      <c r="U121" s="127">
        <v>9.4532981931347742E-10</v>
      </c>
      <c r="V121" s="127">
        <v>6.4980647296341978E-10</v>
      </c>
      <c r="W121" s="128">
        <v>3.0715648764674129E-10</v>
      </c>
      <c r="X121" s="128">
        <f t="shared" si="2"/>
        <v>6.3802481322176453E-10</v>
      </c>
      <c r="Y121" s="139">
        <f t="shared" si="3"/>
        <v>3.7144722315011141</v>
      </c>
      <c r="AA121" s="73"/>
      <c r="AB121" s="182"/>
      <c r="AC121" s="182"/>
      <c r="AD121" s="182"/>
      <c r="AJ121" s="135"/>
    </row>
    <row r="122" spans="9:36" x14ac:dyDescent="0.35">
      <c r="I122" s="109">
        <v>2.6737873334799999E-2</v>
      </c>
      <c r="J122" s="109">
        <v>5.6669701811274678E-10</v>
      </c>
      <c r="K122" s="109">
        <v>3.6295711525091292E-11</v>
      </c>
      <c r="L122" s="156">
        <v>5.137093502270443E-10</v>
      </c>
      <c r="R122" s="60">
        <v>1185.8329768545721</v>
      </c>
      <c r="S122" s="57">
        <v>1.247880002302615E-6</v>
      </c>
      <c r="U122" s="127">
        <v>8.575478158561862E-10</v>
      </c>
      <c r="V122" s="127">
        <v>5.137093502270443E-10</v>
      </c>
      <c r="W122" s="128">
        <v>2.0747391021478815E-10</v>
      </c>
      <c r="X122" s="128">
        <f t="shared" si="2"/>
        <v>5.2311010663126574E-10</v>
      </c>
      <c r="Y122" s="139">
        <f t="shared" si="3"/>
        <v>1.4421205446733194</v>
      </c>
      <c r="AA122" s="73"/>
      <c r="AB122" s="182"/>
      <c r="AC122" s="182"/>
      <c r="AD122" s="182"/>
      <c r="AJ122" s="135"/>
    </row>
    <row r="123" spans="9:36" x14ac:dyDescent="0.35">
      <c r="I123" s="109">
        <v>2.7005252068200002E-2</v>
      </c>
      <c r="J123" s="109">
        <v>5.0743959695366796E-10</v>
      </c>
      <c r="K123" s="109">
        <v>3.5845689651769432E-11</v>
      </c>
      <c r="L123" s="156">
        <v>3.8099421850006169E-10</v>
      </c>
      <c r="R123" s="60">
        <v>1185.8329768545721</v>
      </c>
      <c r="S123" s="57">
        <v>1.2220882672343838E-6</v>
      </c>
      <c r="U123" s="127">
        <v>7.4332503841918939E-10</v>
      </c>
      <c r="V123" s="127">
        <v>3.8099421850006169E-10</v>
      </c>
      <c r="W123" s="128">
        <v>1.423703126687316E-10</v>
      </c>
      <c r="X123" s="128">
        <f t="shared" si="2"/>
        <v>4.1192094702201109E-10</v>
      </c>
      <c r="Y123" s="139">
        <f t="shared" si="3"/>
        <v>7.1007213496103896</v>
      </c>
      <c r="AA123" s="73"/>
      <c r="AB123" s="182"/>
      <c r="AC123" s="182"/>
      <c r="AD123" s="182"/>
      <c r="AJ123" s="135"/>
    </row>
    <row r="124" spans="9:36" x14ac:dyDescent="0.35">
      <c r="I124" s="109">
        <v>2.7275304588799999E-2</v>
      </c>
      <c r="J124" s="109">
        <v>4.4791591802743026E-10</v>
      </c>
      <c r="K124" s="109">
        <v>3.3588030385903974E-11</v>
      </c>
      <c r="L124" s="156">
        <v>2.6441382311179988E-10</v>
      </c>
      <c r="R124" s="60">
        <v>1186.2875223091175</v>
      </c>
      <c r="S124" s="57">
        <v>1.2220882672343838E-6</v>
      </c>
      <c r="U124" s="127">
        <v>6.1201435629177012E-10</v>
      </c>
      <c r="V124" s="127">
        <v>2.6441382311179988E-10</v>
      </c>
      <c r="W124" s="128">
        <v>1.1955590099867496E-10</v>
      </c>
      <c r="X124" s="128">
        <f t="shared" si="2"/>
        <v>3.1509947587851122E-10</v>
      </c>
      <c r="Y124" s="139">
        <f t="shared" si="3"/>
        <v>15.636322160862703</v>
      </c>
      <c r="AA124" s="73"/>
      <c r="AB124" s="182"/>
      <c r="AC124" s="182"/>
      <c r="AD124" s="182"/>
      <c r="AJ124" s="135"/>
    </row>
    <row r="125" spans="9:36" x14ac:dyDescent="0.35">
      <c r="I125" s="109">
        <v>2.7548057634700002E-2</v>
      </c>
      <c r="J125" s="109">
        <v>3.9528989357366929E-10</v>
      </c>
      <c r="K125" s="109">
        <v>3.1990522696129711E-11</v>
      </c>
      <c r="L125" s="156">
        <v>1.7582306385154753E-10</v>
      </c>
      <c r="R125" s="60">
        <v>1186.2875223091175</v>
      </c>
      <c r="S125" s="57">
        <v>1.1968998250191106E-6</v>
      </c>
      <c r="U125" s="127">
        <v>4.7503018750728593E-10</v>
      </c>
      <c r="V125" s="127">
        <v>1.7582306385154753E-10</v>
      </c>
      <c r="W125" s="128">
        <v>1.4277554869223138E-10</v>
      </c>
      <c r="X125" s="128">
        <f t="shared" si="2"/>
        <v>2.4236296597565307E-10</v>
      </c>
      <c r="Y125" s="139">
        <f t="shared" si="3"/>
        <v>22.85205467524564</v>
      </c>
      <c r="AA125" s="73"/>
      <c r="AB125" s="182"/>
      <c r="AC125" s="182"/>
      <c r="AD125" s="182"/>
      <c r="AJ125" s="135"/>
    </row>
    <row r="126" spans="9:36" x14ac:dyDescent="0.35">
      <c r="I126" s="109">
        <v>2.78235382111E-2</v>
      </c>
      <c r="J126" s="109">
        <v>3.4920429055733576E-10</v>
      </c>
      <c r="K126" s="109">
        <v>3.139603723991075E-11</v>
      </c>
      <c r="L126" s="156">
        <v>1.249265907237892E-10</v>
      </c>
      <c r="R126" s="60">
        <v>1186.742067763663</v>
      </c>
      <c r="S126" s="57">
        <v>1.1968998250191106E-6</v>
      </c>
      <c r="U126" s="127">
        <v>3.4492718826213583E-10</v>
      </c>
      <c r="V126" s="127">
        <v>1.249265907237892E-10</v>
      </c>
      <c r="W126" s="128">
        <v>2.1113514060163213E-10</v>
      </c>
      <c r="X126" s="128">
        <f t="shared" si="2"/>
        <v>2.0147887757783661E-10</v>
      </c>
      <c r="Y126" s="139">
        <f t="shared" si="3"/>
        <v>22.139140399516201</v>
      </c>
      <c r="AA126" s="73"/>
      <c r="AB126" s="182"/>
      <c r="AC126" s="182"/>
      <c r="AD126" s="182"/>
      <c r="AJ126" s="135"/>
    </row>
    <row r="127" spans="9:36" x14ac:dyDescent="0.35">
      <c r="I127" s="109">
        <v>2.81017735932E-2</v>
      </c>
      <c r="J127" s="109">
        <v>3.4652379674077395E-10</v>
      </c>
      <c r="K127" s="109">
        <v>2.9621879533259814E-11</v>
      </c>
      <c r="L127" s="156">
        <v>1.1813431173177528E-10</v>
      </c>
      <c r="R127" s="60">
        <v>1186.742067763663</v>
      </c>
      <c r="S127" s="57">
        <v>1.1726072681822458E-6</v>
      </c>
      <c r="U127" s="127">
        <v>2.3428001137463075E-10</v>
      </c>
      <c r="V127" s="127">
        <v>1.1813431173177528E-10</v>
      </c>
      <c r="W127" s="128">
        <v>3.1887655682294125E-10</v>
      </c>
      <c r="X127" s="128">
        <f t="shared" si="2"/>
        <v>1.9735629791528065E-10</v>
      </c>
      <c r="Y127" s="139">
        <f t="shared" si="3"/>
        <v>25.358478509970816</v>
      </c>
      <c r="AA127" s="73"/>
      <c r="AB127" s="182"/>
      <c r="AC127" s="182"/>
      <c r="AD127" s="182"/>
      <c r="AJ127" s="135"/>
    </row>
    <row r="128" spans="9:36" x14ac:dyDescent="0.35">
      <c r="I128" s="109">
        <v>2.8382791329100002E-2</v>
      </c>
      <c r="J128" s="109">
        <v>3.2540559028415305E-10</v>
      </c>
      <c r="K128" s="109">
        <v>3.1049641943656333E-11</v>
      </c>
      <c r="L128" s="156">
        <v>1.5766092439084516E-10</v>
      </c>
      <c r="R128" s="60">
        <v>1187.1966132182085</v>
      </c>
      <c r="S128" s="57">
        <v>1.1726072681822458E-6</v>
      </c>
      <c r="U128" s="127">
        <v>1.5445482201891488E-10</v>
      </c>
      <c r="V128" s="127">
        <v>1.5766092439084516E-10</v>
      </c>
      <c r="W128" s="128">
        <v>4.5567290070334163E-10</v>
      </c>
      <c r="X128" s="128">
        <f t="shared" ref="X128:X191" si="4">(U128+2*V128+W128)/4</f>
        <v>2.313623928759867E-10</v>
      </c>
      <c r="Y128" s="139">
        <f t="shared" ref="Y128:Y191" si="5">(J128-X128)*(J128-X128)/(K128*K128)</f>
        <v>9.1736376123388741</v>
      </c>
      <c r="AA128" s="73"/>
      <c r="AB128" s="182"/>
      <c r="AC128" s="182"/>
      <c r="AD128" s="182"/>
      <c r="AJ128" s="135"/>
    </row>
    <row r="129" spans="9:36" x14ac:dyDescent="0.35">
      <c r="I129" s="109">
        <v>2.86666192424E-2</v>
      </c>
      <c r="J129" s="109">
        <v>3.6881002768827221E-10</v>
      </c>
      <c r="K129" s="109">
        <v>3.4244056323987561E-11</v>
      </c>
      <c r="L129" s="156">
        <v>2.4099493218193046E-10</v>
      </c>
      <c r="R129" s="60">
        <v>1187.1966132182085</v>
      </c>
      <c r="S129" s="57">
        <v>1.1495033560426727E-6</v>
      </c>
      <c r="U129" s="127">
        <v>1.143879090858076E-10</v>
      </c>
      <c r="V129" s="127">
        <v>2.4099493218193046E-10</v>
      </c>
      <c r="W129" s="128">
        <v>6.0746309696863849E-10</v>
      </c>
      <c r="X129" s="128">
        <f t="shared" si="4"/>
        <v>3.0096021760457677E-10</v>
      </c>
      <c r="Y129" s="139">
        <f t="shared" si="5"/>
        <v>3.9257882186283792</v>
      </c>
      <c r="AA129" s="73"/>
      <c r="AB129" s="182"/>
      <c r="AC129" s="182"/>
      <c r="AD129" s="182"/>
      <c r="AJ129" s="135"/>
    </row>
    <row r="130" spans="9:36" x14ac:dyDescent="0.35">
      <c r="I130" s="109">
        <v>2.89532854348E-2</v>
      </c>
      <c r="J130" s="109">
        <v>4.4806443063326E-10</v>
      </c>
      <c r="K130" s="109">
        <v>3.833450211446007E-11</v>
      </c>
      <c r="L130" s="156">
        <v>3.6083542283370539E-10</v>
      </c>
      <c r="R130" s="60">
        <v>1187.651158672754</v>
      </c>
      <c r="S130" s="57">
        <v>1.1495033560426727E-6</v>
      </c>
      <c r="U130" s="127">
        <v>1.1950174986857862E-10</v>
      </c>
      <c r="V130" s="127">
        <v>3.6083542283370539E-10</v>
      </c>
      <c r="W130" s="127">
        <v>7.5778427482289304E-10</v>
      </c>
      <c r="X130" s="128">
        <f t="shared" si="4"/>
        <v>3.9973921758972065E-10</v>
      </c>
      <c r="Y130" s="139">
        <f t="shared" si="5"/>
        <v>1.589161007836065</v>
      </c>
      <c r="AA130" s="73"/>
      <c r="AB130" s="182"/>
      <c r="AC130" s="182"/>
      <c r="AD130" s="182"/>
      <c r="AJ130" s="135"/>
    </row>
    <row r="131" spans="9:36" x14ac:dyDescent="0.35">
      <c r="I131" s="109">
        <v>2.9242818289200001E-2</v>
      </c>
      <c r="J131" s="49">
        <v>5.0413891403303021E-10</v>
      </c>
      <c r="K131" s="49">
        <v>3.8978505420856759E-11</v>
      </c>
      <c r="L131" s="156">
        <v>5.0555254710893982E-10</v>
      </c>
      <c r="R131" s="60">
        <v>1187.651158672754</v>
      </c>
      <c r="S131" s="57">
        <v>1.1278997195507073E-6</v>
      </c>
      <c r="U131" s="127">
        <v>1.7089067541020486E-10</v>
      </c>
      <c r="V131" s="127">
        <v>5.0555254710893982E-10</v>
      </c>
      <c r="W131" s="127">
        <v>8.894975661201963E-10</v>
      </c>
      <c r="X131" s="128">
        <f t="shared" si="4"/>
        <v>5.1787333393707018E-10</v>
      </c>
      <c r="Y131" s="139">
        <f t="shared" si="5"/>
        <v>0.12415673312467385</v>
      </c>
      <c r="AA131" s="73"/>
      <c r="AB131" s="182"/>
      <c r="AC131" s="182"/>
      <c r="AD131" s="182"/>
      <c r="AJ131" s="135"/>
    </row>
    <row r="132" spans="9:36" x14ac:dyDescent="0.35">
      <c r="I132" s="109">
        <v>2.9535246472099999E-2</v>
      </c>
      <c r="J132" s="49">
        <v>5.885827057134773E-10</v>
      </c>
      <c r="K132" s="49">
        <v>4.3187233543620107E-11</v>
      </c>
      <c r="L132" s="156">
        <v>6.6017358778222401E-10</v>
      </c>
      <c r="R132" s="60">
        <v>1188.1057041272995</v>
      </c>
      <c r="S132" s="57">
        <v>1.1278997195507073E-6</v>
      </c>
      <c r="U132" s="127">
        <v>2.6489457819138115E-10</v>
      </c>
      <c r="V132" s="127">
        <v>6.6017358778222401E-10</v>
      </c>
      <c r="W132" s="127">
        <v>9.8674481248968705E-10</v>
      </c>
      <c r="X132" s="128">
        <f t="shared" si="4"/>
        <v>6.4299664156137907E-10</v>
      </c>
      <c r="Y132" s="139">
        <f t="shared" si="5"/>
        <v>1.5874845603214356</v>
      </c>
      <c r="AA132" s="73"/>
      <c r="AB132" s="182"/>
      <c r="AC132" s="182"/>
      <c r="AD132" s="182"/>
      <c r="AJ132" s="135"/>
    </row>
    <row r="133" spans="9:36" x14ac:dyDescent="0.35">
      <c r="I133" s="109">
        <v>2.9830598936799999E-2</v>
      </c>
      <c r="J133" s="49">
        <v>7.4150188408771842E-10</v>
      </c>
      <c r="K133" s="49">
        <v>4.9000639199428288E-11</v>
      </c>
      <c r="L133" s="156">
        <v>8.0783584111265548E-10</v>
      </c>
      <c r="R133" s="60">
        <v>1188.1057041272995</v>
      </c>
      <c r="S133" s="57">
        <v>1.1081647695234581E-6</v>
      </c>
      <c r="U133" s="127">
        <v>3.9314948898695127E-10</v>
      </c>
      <c r="V133" s="127">
        <v>8.0783584111265548E-10</v>
      </c>
      <c r="W133" s="127">
        <v>1.0369269962438671E-9</v>
      </c>
      <c r="X133" s="128">
        <f t="shared" si="4"/>
        <v>7.6143704186403234E-10</v>
      </c>
      <c r="Y133" s="139">
        <f t="shared" si="5"/>
        <v>0.16551443041209218</v>
      </c>
      <c r="AA133" s="73"/>
      <c r="AB133" s="182"/>
      <c r="AC133" s="182"/>
      <c r="AD133" s="182"/>
      <c r="AJ133" s="135"/>
    </row>
    <row r="134" spans="9:36" x14ac:dyDescent="0.35">
      <c r="I134" s="109">
        <v>3.01289049262E-2</v>
      </c>
      <c r="J134" s="49">
        <v>8.2974714859033087E-10</v>
      </c>
      <c r="K134" s="49">
        <v>5.2731868928084564E-11</v>
      </c>
      <c r="L134" s="156">
        <v>9.315864009006212E-10</v>
      </c>
      <c r="R134" s="60">
        <v>1188.560249581845</v>
      </c>
      <c r="S134" s="57">
        <v>1.1081647695234581E-6</v>
      </c>
      <c r="U134" s="127">
        <v>5.4315996667991176E-10</v>
      </c>
      <c r="V134" s="127">
        <v>9.315864009006212E-10</v>
      </c>
      <c r="W134" s="127">
        <v>1.0324665567989498E-9</v>
      </c>
      <c r="X134" s="128">
        <f t="shared" si="4"/>
        <v>8.59699831320026E-10</v>
      </c>
      <c r="Y134" s="139">
        <f t="shared" si="5"/>
        <v>0.3226451378262204</v>
      </c>
      <c r="AA134" s="73"/>
      <c r="AB134" s="182"/>
      <c r="AC134" s="182"/>
      <c r="AD134" s="182"/>
      <c r="AJ134" s="135"/>
    </row>
    <row r="135" spans="9:36" x14ac:dyDescent="0.35">
      <c r="I135" s="109">
        <v>3.0430193975400002E-2</v>
      </c>
      <c r="J135" s="49">
        <v>8.0254939217293973E-10</v>
      </c>
      <c r="K135" s="49">
        <v>5.3237052696948075E-11</v>
      </c>
      <c r="L135" s="156">
        <v>1.0163540184026386E-9</v>
      </c>
      <c r="R135" s="60">
        <v>1188.560249581845</v>
      </c>
      <c r="S135" s="57">
        <v>1.0907873075247217E-6</v>
      </c>
      <c r="U135" s="127">
        <v>6.9938366023416417E-10</v>
      </c>
      <c r="V135" s="127">
        <v>1.0163540184026386E-9</v>
      </c>
      <c r="W135" s="127">
        <v>9.7211118899957591E-10</v>
      </c>
      <c r="X135" s="128">
        <f t="shared" si="4"/>
        <v>9.2605072150975436E-10</v>
      </c>
      <c r="Y135" s="139">
        <f t="shared" si="5"/>
        <v>5.381647603927278</v>
      </c>
      <c r="AA135" s="73"/>
      <c r="AB135" s="182"/>
      <c r="AC135" s="182"/>
      <c r="AD135" s="182"/>
      <c r="AJ135" s="135"/>
    </row>
    <row r="136" spans="9:36" x14ac:dyDescent="0.35">
      <c r="I136" s="109">
        <v>3.07344959152E-2</v>
      </c>
      <c r="J136" s="49">
        <v>9.3081727090921091E-10</v>
      </c>
      <c r="K136" s="49">
        <v>5.7985860327426087E-11</v>
      </c>
      <c r="L136" s="156">
        <v>1.050876273088579E-9</v>
      </c>
      <c r="R136" s="60">
        <v>1189.0147950363905</v>
      </c>
      <c r="S136" s="57">
        <v>1.0907873075247217E-6</v>
      </c>
      <c r="U136" s="127">
        <v>8.4475821709833677E-10</v>
      </c>
      <c r="V136" s="127">
        <v>1.050876273088579E-9</v>
      </c>
      <c r="W136" s="127">
        <v>8.6156126192328633E-10</v>
      </c>
      <c r="X136" s="128">
        <f t="shared" si="4"/>
        <v>9.5201800629969522E-10</v>
      </c>
      <c r="Y136" s="139">
        <f t="shared" si="5"/>
        <v>0.13367729254942465</v>
      </c>
      <c r="AA136" s="73"/>
      <c r="AB136" s="182"/>
      <c r="AC136" s="182"/>
      <c r="AD136" s="182"/>
      <c r="AJ136" s="135"/>
    </row>
    <row r="137" spans="9:36" x14ac:dyDescent="0.35">
      <c r="I137" s="109">
        <v>3.1041840874300002E-2</v>
      </c>
      <c r="J137" s="49">
        <v>9.1632137439968806E-10</v>
      </c>
      <c r="K137" s="49">
        <v>5.7197868628483361E-11</v>
      </c>
      <c r="L137" s="156">
        <v>1.0293428516790211E-9</v>
      </c>
      <c r="R137" s="60">
        <v>1189.0147950363905</v>
      </c>
      <c r="S137" s="57">
        <v>1.076470144221813E-6</v>
      </c>
      <c r="U137" s="127">
        <v>9.6254104522521509E-10</v>
      </c>
      <c r="V137" s="127">
        <v>1.0293428516790211E-9</v>
      </c>
      <c r="W137" s="127">
        <v>7.1325968974730991E-10</v>
      </c>
      <c r="X137" s="128">
        <f t="shared" si="4"/>
        <v>9.3362160958264175E-10</v>
      </c>
      <c r="Y137" s="139">
        <f t="shared" si="5"/>
        <v>9.1483826645214025E-2</v>
      </c>
      <c r="AA137" s="73"/>
      <c r="AB137" s="182"/>
      <c r="AC137" s="182"/>
      <c r="AD137" s="182"/>
      <c r="AJ137" s="135"/>
    </row>
    <row r="138" spans="9:36" x14ac:dyDescent="0.35">
      <c r="I138" s="109">
        <v>3.1352259283100002E-2</v>
      </c>
      <c r="J138" s="49">
        <v>8.2770116507477875E-10</v>
      </c>
      <c r="K138" s="49">
        <v>5.4682178622571455E-11</v>
      </c>
      <c r="L138" s="156">
        <v>9.5251868379158339E-10</v>
      </c>
      <c r="R138" s="60">
        <v>1189.469340490936</v>
      </c>
      <c r="S138" s="57">
        <v>1.076470144221813E-6</v>
      </c>
      <c r="U138" s="127">
        <v>1.0382799429466109E-9</v>
      </c>
      <c r="V138" s="127">
        <v>9.5251868379158339E-10</v>
      </c>
      <c r="W138" s="127">
        <v>5.4527157505462712E-10</v>
      </c>
      <c r="X138" s="128">
        <f t="shared" si="4"/>
        <v>8.7214722139610123E-10</v>
      </c>
      <c r="Y138" s="139">
        <f t="shared" si="5"/>
        <v>0.66065518243471144</v>
      </c>
      <c r="AA138" s="73"/>
      <c r="AB138" s="182"/>
      <c r="AC138" s="182"/>
      <c r="AD138" s="182"/>
      <c r="AJ138" s="135"/>
    </row>
    <row r="139" spans="9:36" x14ac:dyDescent="0.35">
      <c r="I139" s="109">
        <v>3.1665781875900002E-2</v>
      </c>
      <c r="J139" s="49">
        <v>7.7647078721359145E-10</v>
      </c>
      <c r="K139" s="49">
        <v>5.549978060682577E-11</v>
      </c>
      <c r="L139" s="156">
        <v>8.2814358563368667E-10</v>
      </c>
      <c r="R139" s="60">
        <v>1189.469340490936</v>
      </c>
      <c r="S139" s="57">
        <v>1.0662517105920561E-6</v>
      </c>
      <c r="U139" s="127">
        <v>1.0616940456399667E-9</v>
      </c>
      <c r="V139" s="127">
        <v>8.2814358563368667E-10</v>
      </c>
      <c r="W139" s="127">
        <v>3.792959099789359E-10</v>
      </c>
      <c r="X139" s="128">
        <f t="shared" si="4"/>
        <v>7.7431928172156889E-10</v>
      </c>
      <c r="Y139" s="139">
        <f t="shared" si="5"/>
        <v>1.5028041488135207E-3</v>
      </c>
      <c r="AA139" s="73"/>
      <c r="AB139" s="182"/>
      <c r="AC139" s="182"/>
      <c r="AD139" s="182"/>
      <c r="AJ139" s="135"/>
    </row>
    <row r="140" spans="9:36" x14ac:dyDescent="0.35">
      <c r="I140" s="109">
        <v>3.19824396947E-2</v>
      </c>
      <c r="J140" s="49">
        <v>5.9308865039955135E-10</v>
      </c>
      <c r="K140" s="49">
        <v>4.7512384499827361E-11</v>
      </c>
      <c r="L140" s="156">
        <v>6.7047008737560309E-10</v>
      </c>
      <c r="R140" s="60">
        <v>1189.9238859454815</v>
      </c>
      <c r="S140" s="57">
        <v>1.0662517105920561E-6</v>
      </c>
      <c r="U140" s="127">
        <v>1.028226410999769E-9</v>
      </c>
      <c r="V140" s="127">
        <v>6.7047008737560309E-10</v>
      </c>
      <c r="W140" s="127">
        <v>2.3798160712747835E-10</v>
      </c>
      <c r="X140" s="128">
        <f t="shared" si="4"/>
        <v>6.5178704821961333E-10</v>
      </c>
      <c r="Y140" s="139">
        <f t="shared" si="5"/>
        <v>1.5262962628449599</v>
      </c>
      <c r="AA140" s="73"/>
      <c r="AB140" s="182"/>
      <c r="AC140" s="182"/>
      <c r="AD140" s="182"/>
      <c r="AJ140" s="135"/>
    </row>
    <row r="141" spans="9:36" x14ac:dyDescent="0.35">
      <c r="I141" s="109">
        <v>3.2302264091600003E-2</v>
      </c>
      <c r="J141" s="49">
        <v>6.7374817572975633E-10</v>
      </c>
      <c r="K141" s="49">
        <v>5.3417954953095502E-11</v>
      </c>
      <c r="L141" s="156">
        <v>4.9889659456284335E-10</v>
      </c>
      <c r="R141" s="60">
        <v>1189.9238859454815</v>
      </c>
      <c r="S141" s="57">
        <v>1.0616420411671771E-6</v>
      </c>
      <c r="U141" s="127">
        <v>9.4003760309483697E-10</v>
      </c>
      <c r="V141" s="127">
        <v>4.9889659456284335E-10</v>
      </c>
      <c r="W141" s="127">
        <v>1.4184759859318329E-10</v>
      </c>
      <c r="X141" s="128">
        <f t="shared" si="4"/>
        <v>5.1991959770342679E-10</v>
      </c>
      <c r="Y141" s="139">
        <f t="shared" si="5"/>
        <v>8.2927683874145242</v>
      </c>
      <c r="AA141" s="73"/>
      <c r="AB141" s="182"/>
      <c r="AC141" s="182"/>
      <c r="AD141" s="182"/>
      <c r="AJ141" s="135"/>
    </row>
    <row r="142" spans="9:36" x14ac:dyDescent="0.35">
      <c r="I142" s="109">
        <v>3.2625286732500001E-2</v>
      </c>
      <c r="J142" s="49">
        <v>3.8631586428157218E-10</v>
      </c>
      <c r="K142" s="49">
        <v>4.47710569435113E-11</v>
      </c>
      <c r="L142" s="156">
        <v>3.357720330351545E-10</v>
      </c>
      <c r="R142" s="60">
        <v>1190.378431400027</v>
      </c>
      <c r="S142" s="57">
        <v>1.0616420411671771E-6</v>
      </c>
      <c r="U142" s="127">
        <v>8.0624803669065369E-10</v>
      </c>
      <c r="V142" s="127">
        <v>3.357720330351545E-10</v>
      </c>
      <c r="W142" s="127">
        <v>1.0620978892163971E-10</v>
      </c>
      <c r="X142" s="128">
        <f t="shared" si="4"/>
        <v>3.9600047292065056E-10</v>
      </c>
      <c r="Y142" s="139">
        <f t="shared" si="5"/>
        <v>4.6791768119628083E-2</v>
      </c>
      <c r="AA142" s="73"/>
      <c r="AB142" s="182"/>
      <c r="AC142" s="182"/>
      <c r="AD142" s="182"/>
      <c r="AJ142" s="135"/>
    </row>
    <row r="143" spans="9:36" x14ac:dyDescent="0.35">
      <c r="I143" s="109">
        <v>3.29515395999E-2</v>
      </c>
      <c r="J143" s="49">
        <v>4.6915311820248578E-10</v>
      </c>
      <c r="K143" s="49">
        <v>4.9209827965958553E-11</v>
      </c>
      <c r="L143" s="156">
        <v>2.0357768332368474E-10</v>
      </c>
      <c r="R143" s="60">
        <v>1190.378431400027</v>
      </c>
      <c r="S143" s="57">
        <v>1.0647432162269178E-6</v>
      </c>
      <c r="U143" s="127">
        <v>6.4230709093338263E-10</v>
      </c>
      <c r="V143" s="127">
        <v>2.0357768332368474E-10</v>
      </c>
      <c r="W143" s="127">
        <v>1.3857367693321844E-10</v>
      </c>
      <c r="X143" s="128">
        <f t="shared" si="4"/>
        <v>2.9700903362849265E-10</v>
      </c>
      <c r="Y143" s="139">
        <f t="shared" si="5"/>
        <v>12.237156480221936</v>
      </c>
      <c r="AA143" s="73"/>
      <c r="AB143" s="182"/>
      <c r="AC143" s="182"/>
      <c r="AD143" s="182"/>
      <c r="AJ143" s="135"/>
    </row>
    <row r="144" spans="9:36" x14ac:dyDescent="0.35">
      <c r="I144" s="109">
        <v>3.3281054995899999E-2</v>
      </c>
      <c r="J144" s="49">
        <v>3.9600551130114602E-10</v>
      </c>
      <c r="K144" s="49">
        <v>4.6339182234253224E-11</v>
      </c>
      <c r="L144" s="156">
        <v>1.2181347531800047E-10</v>
      </c>
      <c r="O144" s="30"/>
      <c r="R144" s="60">
        <v>1190.8329768545725</v>
      </c>
      <c r="S144" s="57">
        <v>1.0647432162269178E-6</v>
      </c>
      <c r="U144" s="127">
        <v>4.6846648617530153E-10</v>
      </c>
      <c r="V144" s="127">
        <v>1.2181347531800047E-10</v>
      </c>
      <c r="W144" s="127">
        <v>2.3694196288523411E-10</v>
      </c>
      <c r="X144" s="128">
        <f t="shared" si="4"/>
        <v>2.3725884992413416E-10</v>
      </c>
      <c r="Y144" s="139">
        <f t="shared" si="5"/>
        <v>11.735793792501047</v>
      </c>
      <c r="AA144" s="73"/>
      <c r="AB144" s="182"/>
      <c r="AC144" s="182"/>
      <c r="AD144" s="182"/>
      <c r="AJ144" s="135"/>
    </row>
    <row r="145" spans="9:36" x14ac:dyDescent="0.35">
      <c r="I145" s="109">
        <v>3.3613865545800002E-2</v>
      </c>
      <c r="J145" s="49">
        <v>4.4117962068716177E-10</v>
      </c>
      <c r="K145" s="49">
        <v>4.8803334454705462E-11</v>
      </c>
      <c r="L145" s="156">
        <v>1.0400767975532554E-10</v>
      </c>
      <c r="R145" s="60">
        <v>1190.8329768545725</v>
      </c>
      <c r="S145" s="57">
        <v>1.078307028155918E-6</v>
      </c>
      <c r="U145" s="127">
        <v>3.0745618078488494E-10</v>
      </c>
      <c r="V145" s="127">
        <v>1.0400767975532554E-10</v>
      </c>
      <c r="W145" s="127">
        <v>3.8940189353049667E-10</v>
      </c>
      <c r="X145" s="128">
        <f t="shared" si="4"/>
        <v>2.2621835845650818E-10</v>
      </c>
      <c r="Y145" s="139">
        <f t="shared" si="5"/>
        <v>19.400879370457854</v>
      </c>
      <c r="AA145" s="73"/>
      <c r="AB145" s="182"/>
      <c r="AC145" s="182"/>
      <c r="AD145" s="182"/>
      <c r="AJ145" s="135"/>
    </row>
    <row r="146" spans="9:36" x14ac:dyDescent="0.35">
      <c r="I146" s="109">
        <v>3.3950004201300003E-2</v>
      </c>
      <c r="J146" s="49">
        <v>3.5472962563481155E-10</v>
      </c>
      <c r="K146" s="49">
        <v>4.4226460206072983E-11</v>
      </c>
      <c r="L146" s="156">
        <v>1.553092311819634E-10</v>
      </c>
      <c r="R146" s="60">
        <v>1191.287522309118</v>
      </c>
      <c r="S146" s="57">
        <v>1.078307028155918E-6</v>
      </c>
      <c r="U146" s="127">
        <v>1.8158925407367042E-10</v>
      </c>
      <c r="V146" s="127">
        <v>1.553092311819634E-10</v>
      </c>
      <c r="W146" s="127">
        <v>5.7520029654504653E-10</v>
      </c>
      <c r="X146" s="128">
        <f t="shared" si="4"/>
        <v>2.6685200324566097E-10</v>
      </c>
      <c r="Y146" s="139">
        <f t="shared" si="5"/>
        <v>3.9481371875199414</v>
      </c>
      <c r="AA146" s="73"/>
      <c r="AB146" s="182"/>
      <c r="AC146" s="182"/>
      <c r="AD146" s="182"/>
      <c r="AJ146" s="135"/>
    </row>
    <row r="147" spans="9:36" x14ac:dyDescent="0.35">
      <c r="I147" s="109">
        <v>3.4289504243299997E-2</v>
      </c>
      <c r="J147" s="49">
        <v>4.3970256983624953E-10</v>
      </c>
      <c r="K147" s="49">
        <v>4.8848956016218229E-11</v>
      </c>
      <c r="L147" s="156">
        <v>2.7109454493273039E-10</v>
      </c>
      <c r="R147" s="60">
        <v>1191.287522309118</v>
      </c>
      <c r="S147" s="57">
        <v>1.1056714676724529E-6</v>
      </c>
      <c r="U147" s="127">
        <v>1.0963895782295207E-10</v>
      </c>
      <c r="V147" s="127">
        <v>2.7109454493273039E-10</v>
      </c>
      <c r="W147" s="127">
        <v>7.6730140780002765E-10</v>
      </c>
      <c r="X147" s="128">
        <f t="shared" si="4"/>
        <v>3.5478236387211016E-10</v>
      </c>
      <c r="Y147" s="139">
        <f t="shared" si="5"/>
        <v>3.0221186052516464</v>
      </c>
      <c r="AA147" s="73"/>
      <c r="AB147" s="182"/>
      <c r="AC147" s="182"/>
      <c r="AD147" s="182"/>
      <c r="AJ147" s="135"/>
    </row>
    <row r="148" spans="9:36" x14ac:dyDescent="0.35">
      <c r="I148" s="109">
        <v>3.46323992857E-2</v>
      </c>
      <c r="J148" s="49">
        <v>5.2273509454076138E-10</v>
      </c>
      <c r="K148" s="49">
        <v>5.3776764498041886E-11</v>
      </c>
      <c r="L148" s="156">
        <v>4.3691893425908811E-10</v>
      </c>
      <c r="R148" s="60">
        <v>1191.7420677636635</v>
      </c>
      <c r="S148" s="57">
        <v>1.1056714676724529E-6</v>
      </c>
      <c r="U148" s="127">
        <v>1.0391471586869311E-10</v>
      </c>
      <c r="V148" s="127">
        <v>4.3691893425908811E-10</v>
      </c>
      <c r="W148" s="127">
        <v>9.3618155197318046E-10</v>
      </c>
      <c r="X148" s="128">
        <f t="shared" si="4"/>
        <v>4.7848353409001252E-10</v>
      </c>
      <c r="Y148" s="139">
        <f t="shared" si="5"/>
        <v>0.67712342979439888</v>
      </c>
      <c r="AA148" s="73"/>
      <c r="AB148" s="182"/>
      <c r="AC148" s="182"/>
      <c r="AD148" s="182"/>
      <c r="AJ148" s="135"/>
    </row>
    <row r="149" spans="9:36" x14ac:dyDescent="0.35">
      <c r="I149" s="109">
        <v>3.49787232786E-2</v>
      </c>
      <c r="J149" s="49">
        <v>6.9216555430777871E-10</v>
      </c>
      <c r="K149" s="49">
        <v>6.4398978949029315E-11</v>
      </c>
      <c r="L149" s="156">
        <v>6.2997228998934086E-10</v>
      </c>
      <c r="R149" s="60">
        <v>1191.7420677636635</v>
      </c>
      <c r="S149" s="57">
        <v>1.1505219392331222E-6</v>
      </c>
      <c r="U149" s="127">
        <v>1.679938547655669E-10</v>
      </c>
      <c r="V149" s="127">
        <v>6.2997228998934086E-10</v>
      </c>
      <c r="W149" s="127">
        <v>1.0543812765976783E-9</v>
      </c>
      <c r="X149" s="128">
        <f t="shared" si="4"/>
        <v>6.2057992783548179E-10</v>
      </c>
      <c r="Y149" s="139">
        <f t="shared" si="5"/>
        <v>1.2356449446144906</v>
      </c>
      <c r="AA149" s="73"/>
      <c r="AB149" s="182"/>
      <c r="AC149" s="182"/>
      <c r="AD149" s="182"/>
      <c r="AJ149" s="135"/>
    </row>
    <row r="150" spans="9:36" x14ac:dyDescent="0.35">
      <c r="I150" s="109">
        <v>3.5328510511399999E-2</v>
      </c>
      <c r="J150" s="49">
        <v>8.8143551834634954E-10</v>
      </c>
      <c r="K150" s="49">
        <v>7.4279943692212654E-11</v>
      </c>
      <c r="L150" s="156">
        <v>8.2197812363399085E-10</v>
      </c>
      <c r="R150" s="60">
        <v>1192.196613218209</v>
      </c>
      <c r="S150" s="57">
        <v>1.1505219392331222E-6</v>
      </c>
      <c r="U150" s="127">
        <v>2.9552746878901551E-10</v>
      </c>
      <c r="V150" s="127">
        <v>8.2197812363399085E-10</v>
      </c>
      <c r="W150" s="127">
        <v>1.1011486774310429E-9</v>
      </c>
      <c r="X150" s="128">
        <f t="shared" si="4"/>
        <v>7.6015809837201002E-10</v>
      </c>
      <c r="Y150" s="139">
        <f t="shared" si="5"/>
        <v>2.6657337281762032</v>
      </c>
      <c r="AA150" s="73"/>
      <c r="AB150" s="182"/>
      <c r="AC150" s="182"/>
      <c r="AD150" s="182"/>
      <c r="AJ150" s="135"/>
    </row>
    <row r="151" spans="9:36" x14ac:dyDescent="0.35">
      <c r="I151" s="109">
        <v>3.5681795616499999E-2</v>
      </c>
      <c r="J151" s="49">
        <v>8.2672010591190073E-10</v>
      </c>
      <c r="K151" s="49">
        <v>6.9903886459351366E-11</v>
      </c>
      <c r="L151" s="156">
        <v>9.8323383930643374E-10</v>
      </c>
      <c r="R151" s="60">
        <v>1192.196613218209</v>
      </c>
      <c r="S151" s="57">
        <v>1.2164506891750634E-6</v>
      </c>
      <c r="U151" s="127">
        <v>4.7042705880493674E-10</v>
      </c>
      <c r="V151" s="127">
        <v>9.8323383930643374E-10</v>
      </c>
      <c r="W151" s="127">
        <v>1.0664047353398755E-9</v>
      </c>
      <c r="X151" s="128">
        <f t="shared" si="4"/>
        <v>8.7582486818941989E-10</v>
      </c>
      <c r="Y151" s="139">
        <f t="shared" si="5"/>
        <v>0.49345162316075736</v>
      </c>
      <c r="AA151" s="73"/>
      <c r="AB151" s="182"/>
      <c r="AC151" s="182"/>
      <c r="AD151" s="182"/>
      <c r="AJ151" s="135"/>
    </row>
    <row r="152" spans="9:36" x14ac:dyDescent="0.35">
      <c r="I152" s="109">
        <v>3.6038613572599999E-2</v>
      </c>
      <c r="J152" s="49">
        <v>7.3553244536619542E-10</v>
      </c>
      <c r="K152" s="49">
        <v>6.6804396757857587E-11</v>
      </c>
      <c r="L152" s="156">
        <v>1.0872647211092339E-9</v>
      </c>
      <c r="R152" s="60">
        <v>1192.6511586727545</v>
      </c>
      <c r="S152" s="57">
        <v>1.2164506891750634E-6</v>
      </c>
      <c r="U152" s="127">
        <v>6.6856069662394663E-10</v>
      </c>
      <c r="V152" s="127">
        <v>1.0872647211092339E-9</v>
      </c>
      <c r="W152" s="127">
        <v>9.5327328221549273E-10</v>
      </c>
      <c r="X152" s="128">
        <f t="shared" si="4"/>
        <v>9.4909085526447679E-10</v>
      </c>
      <c r="Y152" s="139">
        <f t="shared" si="5"/>
        <v>10.219349771565662</v>
      </c>
      <c r="AA152" s="73"/>
      <c r="AB152" s="182"/>
      <c r="AC152" s="182"/>
      <c r="AD152" s="182"/>
      <c r="AJ152" s="135"/>
    </row>
    <row r="153" spans="9:36" x14ac:dyDescent="0.35">
      <c r="I153" s="109">
        <v>3.63989997084E-2</v>
      </c>
      <c r="J153" s="49">
        <v>8.4513508571010381E-10</v>
      </c>
      <c r="K153" s="49">
        <v>7.2138247098884361E-11</v>
      </c>
      <c r="L153" s="156">
        <v>1.1153935724446756E-9</v>
      </c>
      <c r="R153" s="60">
        <v>1192.6511586727545</v>
      </c>
      <c r="S153" s="57">
        <v>1.3063397961990549E-6</v>
      </c>
      <c r="U153" s="127">
        <v>8.608632033779386E-10</v>
      </c>
      <c r="V153" s="127">
        <v>1.1153935724446756E-9</v>
      </c>
      <c r="W153" s="127">
        <v>7.7856349941505554E-10</v>
      </c>
      <c r="X153" s="128">
        <f t="shared" si="4"/>
        <v>9.6755346192058635E-10</v>
      </c>
      <c r="Y153" s="139">
        <f t="shared" si="5"/>
        <v>2.8797982204190151</v>
      </c>
      <c r="AA153" s="73"/>
      <c r="AB153" s="182"/>
      <c r="AC153" s="182"/>
      <c r="AD153" s="182"/>
      <c r="AJ153" s="135"/>
    </row>
    <row r="154" spans="9:36" x14ac:dyDescent="0.35">
      <c r="I154" s="109">
        <v>3.6762989705399998E-2</v>
      </c>
      <c r="J154" s="49">
        <v>6.4622010312757372E-10</v>
      </c>
      <c r="K154" s="49">
        <v>6.4657521066379974E-11</v>
      </c>
      <c r="L154" s="156">
        <v>1.0607465885618768E-9</v>
      </c>
      <c r="R154" s="60">
        <v>1193.1057041273</v>
      </c>
      <c r="S154" s="57">
        <v>1.3063397961990549E-6</v>
      </c>
      <c r="U154" s="127">
        <v>1.0176032134784385E-9</v>
      </c>
      <c r="V154" s="127">
        <v>1.0607465885618768E-9</v>
      </c>
      <c r="W154" s="127">
        <v>5.7106179939175357E-10</v>
      </c>
      <c r="X154" s="128">
        <f t="shared" si="4"/>
        <v>9.2753954749848635E-10</v>
      </c>
      <c r="Y154" s="139">
        <f t="shared" si="5"/>
        <v>18.930470233241465</v>
      </c>
      <c r="AA154" s="73"/>
      <c r="AB154" s="182"/>
      <c r="AC154" s="182"/>
      <c r="AD154" s="182"/>
      <c r="AJ154" s="135"/>
    </row>
    <row r="155" spans="9:36" x14ac:dyDescent="0.35">
      <c r="I155" s="109">
        <v>3.7130619602499998E-2</v>
      </c>
      <c r="J155" s="49">
        <v>7.2942720328805841E-10</v>
      </c>
      <c r="K155" s="49">
        <v>7.0530537749608824E-11</v>
      </c>
      <c r="L155" s="156">
        <v>9.2917139352799303E-10</v>
      </c>
      <c r="R155" s="60">
        <v>1193.1057041273</v>
      </c>
      <c r="S155" s="57">
        <v>1.4216592582156674E-6</v>
      </c>
      <c r="U155" s="127">
        <v>1.112878511049457E-9</v>
      </c>
      <c r="V155" s="127">
        <v>9.2917139352799303E-10</v>
      </c>
      <c r="W155" s="127">
        <v>3.66440909154478E-10</v>
      </c>
      <c r="X155" s="128">
        <f t="shared" si="4"/>
        <v>8.3441555181498019E-10</v>
      </c>
      <c r="Y155" s="139">
        <f t="shared" si="5"/>
        <v>2.2157860224993406</v>
      </c>
      <c r="AA155" s="73"/>
      <c r="AB155" s="182"/>
      <c r="AC155" s="182"/>
      <c r="AD155" s="182"/>
      <c r="AJ155" s="135"/>
    </row>
    <row r="156" spans="9:36" x14ac:dyDescent="0.35">
      <c r="I156" s="109">
        <v>3.7501925798500001E-2</v>
      </c>
      <c r="J156" s="49">
        <v>5.8787437065768881E-10</v>
      </c>
      <c r="K156" s="49">
        <v>6.2397293972166769E-11</v>
      </c>
      <c r="L156" s="156">
        <v>7.4092907307155223E-10</v>
      </c>
      <c r="R156" s="60">
        <v>1193.5602495818455</v>
      </c>
      <c r="S156" s="57">
        <v>1.4216592582156674E-6</v>
      </c>
      <c r="U156" s="127">
        <v>1.1292812673300795E-9</v>
      </c>
      <c r="V156" s="127">
        <v>7.4092907307155223E-10</v>
      </c>
      <c r="W156" s="127">
        <v>2.0268028754874199E-10</v>
      </c>
      <c r="X156" s="128">
        <f t="shared" si="4"/>
        <v>7.0345492525548146E-10</v>
      </c>
      <c r="Y156" s="139">
        <f t="shared" si="5"/>
        <v>3.4311368222555481</v>
      </c>
      <c r="AA156" s="73"/>
      <c r="AB156" s="182"/>
      <c r="AC156" s="182"/>
      <c r="AD156" s="182"/>
      <c r="AJ156" s="135"/>
    </row>
    <row r="157" spans="9:36" x14ac:dyDescent="0.35">
      <c r="I157" s="109">
        <v>3.7876945056500001E-2</v>
      </c>
      <c r="J157" s="49">
        <v>6.0916373517560019E-10</v>
      </c>
      <c r="K157" s="49">
        <v>6.6275662164441353E-11</v>
      </c>
      <c r="L157" s="156">
        <v>5.271431030450163E-10</v>
      </c>
      <c r="R157" s="60">
        <v>1193.5602495818455</v>
      </c>
      <c r="S157" s="57">
        <v>1.5618311052757021E-6</v>
      </c>
      <c r="U157" s="127">
        <v>1.0614601154136151E-9</v>
      </c>
      <c r="V157" s="127">
        <v>5.271431030450163E-10</v>
      </c>
      <c r="W157" s="127">
        <v>1.1208720835798531E-10</v>
      </c>
      <c r="X157" s="128">
        <f t="shared" si="4"/>
        <v>5.5695838246540823E-10</v>
      </c>
      <c r="Y157" s="139">
        <f t="shared" si="5"/>
        <v>0.62047161383062333</v>
      </c>
      <c r="AA157" s="73"/>
      <c r="AB157" s="182"/>
      <c r="AC157" s="182"/>
      <c r="AD157" s="182"/>
      <c r="AJ157" s="135"/>
    </row>
    <row r="158" spans="9:36" x14ac:dyDescent="0.35">
      <c r="I158" s="109">
        <v>3.8255714507099997E-2</v>
      </c>
      <c r="J158" s="49">
        <v>5.8068169233742576E-10</v>
      </c>
      <c r="K158" s="49">
        <v>6.4891757508081146E-11</v>
      </c>
      <c r="L158" s="156">
        <v>3.253328805036967E-10</v>
      </c>
      <c r="R158" s="60">
        <v>1194.014795036391</v>
      </c>
      <c r="S158" s="57">
        <v>1.5618311052757021E-6</v>
      </c>
      <c r="U158" s="127">
        <v>9.179405429560613E-10</v>
      </c>
      <c r="V158" s="127">
        <v>3.253328805036967E-10</v>
      </c>
      <c r="W158" s="127">
        <v>1.1498739816375616E-10</v>
      </c>
      <c r="X158" s="128">
        <f t="shared" si="4"/>
        <v>4.2089842553180267E-10</v>
      </c>
      <c r="Y158" s="139">
        <f t="shared" si="5"/>
        <v>6.0629434720122974</v>
      </c>
      <c r="AA158" s="73"/>
      <c r="AB158" s="182"/>
      <c r="AC158" s="182"/>
      <c r="AD158" s="182"/>
      <c r="AJ158" s="135"/>
    </row>
    <row r="159" spans="9:36" x14ac:dyDescent="0.35">
      <c r="I159" s="109">
        <v>3.8638271652100001E-2</v>
      </c>
      <c r="J159" s="49">
        <v>4.8006127813975208E-10</v>
      </c>
      <c r="K159" s="49">
        <v>6.0425475680662134E-11</v>
      </c>
      <c r="L159" s="156">
        <v>1.7304019425351243E-10</v>
      </c>
      <c r="R159" s="60">
        <v>1194.014795036391</v>
      </c>
      <c r="S159" s="57">
        <v>1.7238369038407321E-6</v>
      </c>
      <c r="U159" s="127">
        <v>7.2074937763000848E-10</v>
      </c>
      <c r="V159" s="127">
        <v>1.7304019425351243E-10</v>
      </c>
      <c r="W159" s="127">
        <v>2.148464240974603E-10</v>
      </c>
      <c r="X159" s="128">
        <f t="shared" si="4"/>
        <v>3.2041904755862344E-10</v>
      </c>
      <c r="Y159" s="139">
        <f t="shared" si="5"/>
        <v>6.9799999365976424</v>
      </c>
      <c r="AA159" s="73"/>
      <c r="AB159" s="182"/>
      <c r="AC159" s="182"/>
      <c r="AD159" s="182"/>
      <c r="AJ159" s="135"/>
    </row>
    <row r="160" spans="9:36" x14ac:dyDescent="0.35">
      <c r="I160" s="109">
        <v>3.90246543687E-2</v>
      </c>
      <c r="J160" s="49">
        <v>5.0054291806267124E-10</v>
      </c>
      <c r="K160" s="49">
        <v>6.3053363438618582E-11</v>
      </c>
      <c r="L160" s="157">
        <v>1.008143828145144E-10</v>
      </c>
      <c r="M160" s="32"/>
      <c r="R160" s="60">
        <v>1194.4693404909365</v>
      </c>
      <c r="S160" s="57">
        <v>1.7238369038407321E-6</v>
      </c>
      <c r="U160" s="127">
        <v>5.0261035631718195E-10</v>
      </c>
      <c r="V160" s="127">
        <v>1.008143828145144E-10</v>
      </c>
      <c r="W160" s="127">
        <v>3.9628018649175737E-10</v>
      </c>
      <c r="X160" s="128">
        <f t="shared" si="4"/>
        <v>2.7512982710949203E-10</v>
      </c>
      <c r="Y160" s="139">
        <f t="shared" si="5"/>
        <v>12.780320721767758</v>
      </c>
      <c r="AA160" s="73"/>
      <c r="AB160" s="182"/>
      <c r="AC160" s="182"/>
      <c r="AD160" s="182"/>
      <c r="AJ160" s="135"/>
    </row>
    <row r="161" spans="1:36" x14ac:dyDescent="0.35">
      <c r="I161" s="109">
        <v>3.9414900912399999E-2</v>
      </c>
      <c r="J161" s="49">
        <v>5.3038818273586371E-10</v>
      </c>
      <c r="K161" s="49">
        <v>6.6200965110337489E-11</v>
      </c>
      <c r="L161" s="157">
        <v>1.2584401048965419E-10</v>
      </c>
      <c r="M161" s="32"/>
      <c r="R161" s="60">
        <v>1194.4693404909365</v>
      </c>
      <c r="S161" s="57">
        <v>1.9022194646118401E-6</v>
      </c>
      <c r="U161" s="127">
        <v>3.0192387349743151E-10</v>
      </c>
      <c r="V161" s="127">
        <v>1.2584401048965419E-10</v>
      </c>
      <c r="W161" s="127">
        <v>6.2670082878016016E-10</v>
      </c>
      <c r="X161" s="128">
        <f t="shared" si="4"/>
        <v>2.9507818081422504E-10</v>
      </c>
      <c r="Y161" s="139">
        <f t="shared" si="5"/>
        <v>12.634327582471114</v>
      </c>
      <c r="AA161" s="73"/>
      <c r="AB161" s="182"/>
      <c r="AC161" s="182"/>
      <c r="AD161" s="182"/>
      <c r="AJ161" s="135"/>
    </row>
    <row r="162" spans="1:36" x14ac:dyDescent="0.35">
      <c r="I162" s="109">
        <v>3.98090499215E-2</v>
      </c>
      <c r="J162" s="49">
        <v>5.4351886449434895E-10</v>
      </c>
      <c r="K162" s="49">
        <v>6.8777406267883665E-11</v>
      </c>
      <c r="L162" s="157">
        <v>2.4757611853226904E-10</v>
      </c>
      <c r="M162" s="32"/>
      <c r="R162" s="60">
        <v>1194.923885945482</v>
      </c>
      <c r="S162" s="57">
        <v>1.9022194646118401E-6</v>
      </c>
      <c r="U162" s="127">
        <v>1.5619412192219433E-10</v>
      </c>
      <c r="V162" s="127">
        <v>2.4757611853226904E-10</v>
      </c>
      <c r="W162" s="127">
        <v>8.6167537230005481E-10</v>
      </c>
      <c r="X162" s="128">
        <f t="shared" si="4"/>
        <v>3.7825543282169681E-10</v>
      </c>
      <c r="Y162" s="139">
        <f t="shared" si="5"/>
        <v>5.7738027865789912</v>
      </c>
      <c r="AA162" s="73"/>
      <c r="AB162" s="182"/>
      <c r="AC162" s="182"/>
      <c r="AD162" s="182"/>
      <c r="AJ162" s="135"/>
    </row>
    <row r="163" spans="1:36" x14ac:dyDescent="0.35">
      <c r="I163" s="109">
        <v>4.0207140420699998E-2</v>
      </c>
      <c r="J163" s="49">
        <v>4.9322713855240491E-10</v>
      </c>
      <c r="K163" s="49">
        <v>6.6224979340289015E-11</v>
      </c>
      <c r="L163" s="157">
        <v>4.4644340329381506E-10</v>
      </c>
      <c r="M163" s="32"/>
      <c r="R163" s="60">
        <v>1194.923885945482</v>
      </c>
      <c r="S163" s="57">
        <v>2.0423346716363661E-6</v>
      </c>
      <c r="U163" s="127">
        <v>9.4964606481740241E-11</v>
      </c>
      <c r="V163" s="127">
        <v>4.4644340329381506E-10</v>
      </c>
      <c r="W163" s="127">
        <v>1.0532894329952232E-9</v>
      </c>
      <c r="X163" s="128">
        <f t="shared" si="4"/>
        <v>5.1028521151614841E-10</v>
      </c>
      <c r="Y163" s="139">
        <f t="shared" si="5"/>
        <v>6.6346233442032457E-2</v>
      </c>
      <c r="AA163" s="73"/>
      <c r="AB163" s="182"/>
      <c r="AC163" s="182"/>
      <c r="AD163" s="182"/>
      <c r="AJ163" s="135"/>
    </row>
    <row r="164" spans="1:36" x14ac:dyDescent="0.35">
      <c r="I164" s="109">
        <v>4.0609211824900002E-2</v>
      </c>
      <c r="J164" s="49">
        <v>6.63972465163821E-10</v>
      </c>
      <c r="K164" s="49">
        <v>7.6019736746527054E-11</v>
      </c>
      <c r="L164" s="157">
        <v>6.8632551686700302E-10</v>
      </c>
      <c r="M164" s="32"/>
      <c r="R164" s="60">
        <v>1195.1511586727547</v>
      </c>
      <c r="S164" s="57">
        <v>2.0423346716363661E-6</v>
      </c>
      <c r="U164" s="127">
        <v>1.3357429179559546E-10</v>
      </c>
      <c r="V164" s="127">
        <v>6.8632551686700302E-10</v>
      </c>
      <c r="W164" s="127">
        <v>1.1600626408142193E-9</v>
      </c>
      <c r="X164" s="128">
        <f t="shared" si="4"/>
        <v>6.6657199158595512E-10</v>
      </c>
      <c r="Y164" s="139">
        <f t="shared" si="5"/>
        <v>1.1693263853370544E-3</v>
      </c>
      <c r="AA164" s="73"/>
      <c r="AB164" s="182"/>
      <c r="AC164" s="182"/>
      <c r="AD164" s="182"/>
      <c r="AJ164" s="135"/>
    </row>
    <row r="165" spans="1:36" x14ac:dyDescent="0.35">
      <c r="I165" s="109">
        <v>4.1015303943099997E-2</v>
      </c>
      <c r="J165" s="49">
        <v>7.0929913950050183E-10</v>
      </c>
      <c r="K165" s="49">
        <v>7.9660456641509834E-11</v>
      </c>
      <c r="L165" s="157">
        <v>9.206665941122793E-10</v>
      </c>
      <c r="M165" s="32"/>
      <c r="R165" s="60">
        <v>1195.1511586727547</v>
      </c>
      <c r="S165" s="57">
        <v>2.1411167493014851E-6</v>
      </c>
      <c r="U165" s="127">
        <v>2.6906891731149155E-10</v>
      </c>
      <c r="V165" s="127">
        <v>9.206665941122793E-10</v>
      </c>
      <c r="W165" s="127">
        <v>1.1564264113322309E-9</v>
      </c>
      <c r="X165" s="128">
        <f t="shared" si="4"/>
        <v>8.1670712921707024E-10</v>
      </c>
      <c r="Y165" s="139">
        <f t="shared" si="5"/>
        <v>1.81797368812522</v>
      </c>
      <c r="AA165" s="73"/>
      <c r="AB165" s="182"/>
      <c r="AC165" s="182"/>
      <c r="AD165" s="182"/>
      <c r="AJ165" s="135"/>
    </row>
    <row r="166" spans="1:36" x14ac:dyDescent="0.35">
      <c r="I166" s="109">
        <v>4.1425456982600001E-2</v>
      </c>
      <c r="J166" s="49">
        <v>8.6385814010258388E-10</v>
      </c>
      <c r="K166" s="49">
        <v>8.8069695775313064E-11</v>
      </c>
      <c r="L166" s="157">
        <v>1.1013785254790487E-9</v>
      </c>
      <c r="M166" s="32"/>
      <c r="R166" s="60">
        <v>1195.4254894714841</v>
      </c>
      <c r="S166" s="57">
        <v>2.1411167493014851E-6</v>
      </c>
      <c r="U166" s="127">
        <v>4.7934791239893793E-10</v>
      </c>
      <c r="V166" s="127">
        <v>1.1013785254790487E-9</v>
      </c>
      <c r="W166" s="127">
        <v>1.0396016674009251E-9</v>
      </c>
      <c r="X166" s="128">
        <f t="shared" si="4"/>
        <v>9.3042665768949013E-10</v>
      </c>
      <c r="Y166" s="139">
        <f t="shared" si="5"/>
        <v>0.57132704031957915</v>
      </c>
      <c r="AA166" s="73"/>
      <c r="AB166" s="182"/>
      <c r="AC166" s="182"/>
      <c r="AD166" s="182"/>
      <c r="AJ166" s="135"/>
    </row>
    <row r="167" spans="1:36" x14ac:dyDescent="0.35">
      <c r="I167" s="109">
        <v>4.1839711552400002E-2</v>
      </c>
      <c r="J167" s="49">
        <v>8.2522951360775552E-10</v>
      </c>
      <c r="K167" s="49">
        <v>8.8916136674204693E-11</v>
      </c>
      <c r="L167" s="157">
        <v>1.188938748258528E-9</v>
      </c>
      <c r="M167" s="32"/>
      <c r="R167" s="60">
        <v>1195.4254894714841</v>
      </c>
      <c r="S167" s="57">
        <v>2.255607043348213E-6</v>
      </c>
      <c r="U167" s="127">
        <v>7.2610388669416396E-10</v>
      </c>
      <c r="V167" s="127">
        <v>1.188938748258528E-9</v>
      </c>
      <c r="W167" s="127">
        <v>8.3200586740450102E-10</v>
      </c>
      <c r="X167" s="128">
        <f t="shared" si="4"/>
        <v>9.8399681265393018E-10</v>
      </c>
      <c r="Y167" s="139">
        <f t="shared" si="5"/>
        <v>3.1883129545286013</v>
      </c>
      <c r="AA167" s="73"/>
      <c r="AB167" s="182"/>
      <c r="AC167" s="182"/>
      <c r="AD167" s="182"/>
      <c r="AJ167" s="135"/>
    </row>
    <row r="168" spans="1:36" x14ac:dyDescent="0.35">
      <c r="I168" s="109">
        <v>4.2258108667900002E-2</v>
      </c>
      <c r="J168" s="49">
        <v>9.7245107389757547E-10</v>
      </c>
      <c r="K168" s="49">
        <v>1.0356920507091201E-10</v>
      </c>
      <c r="L168" s="157">
        <v>1.1616128596543415E-9</v>
      </c>
      <c r="M168" s="32"/>
      <c r="R168" s="60">
        <v>1195.7045072971164</v>
      </c>
      <c r="S168" s="57">
        <v>2.255607043348213E-6</v>
      </c>
      <c r="U168" s="127">
        <v>9.6138853470390834E-10</v>
      </c>
      <c r="V168" s="127">
        <v>1.1616128596543415E-9</v>
      </c>
      <c r="W168" s="127">
        <v>5.7809369351357519E-10</v>
      </c>
      <c r="X168" s="128">
        <f t="shared" si="4"/>
        <v>9.6567698688154165E-10</v>
      </c>
      <c r="Y168" s="139">
        <f t="shared" si="5"/>
        <v>4.277994838827375E-3</v>
      </c>
      <c r="AA168" s="73"/>
      <c r="AB168" s="182"/>
      <c r="AC168" s="182"/>
      <c r="AD168" s="182"/>
      <c r="AJ168" s="135"/>
    </row>
    <row r="169" spans="1:36" x14ac:dyDescent="0.35">
      <c r="I169" s="109">
        <v>4.2680689754600001E-2</v>
      </c>
      <c r="J169" s="49">
        <v>7.7261574308879282E-10</v>
      </c>
      <c r="K169" s="49">
        <v>8.793395496555814E-11</v>
      </c>
      <c r="L169" s="157">
        <v>1.0216431801915456E-9</v>
      </c>
      <c r="M169" s="32"/>
      <c r="R169" s="60">
        <v>1195.7045072971164</v>
      </c>
      <c r="S169" s="57">
        <v>2.3700749442513368E-6</v>
      </c>
      <c r="U169" s="127">
        <v>1.1368421603516877E-9</v>
      </c>
      <c r="V169" s="127">
        <v>1.0216431801915456E-9</v>
      </c>
      <c r="W169" s="127">
        <v>3.3570310339640183E-10</v>
      </c>
      <c r="X169" s="128">
        <f t="shared" si="4"/>
        <v>8.7895790603279518E-10</v>
      </c>
      <c r="Y169" s="139">
        <f t="shared" si="5"/>
        <v>1.4625063670078866</v>
      </c>
      <c r="AA169" s="73"/>
      <c r="AB169" s="182"/>
      <c r="AC169" s="182"/>
      <c r="AD169" s="182"/>
      <c r="AJ169" s="135"/>
    </row>
    <row r="170" spans="1:36" x14ac:dyDescent="0.35">
      <c r="I170" s="109">
        <v>4.3107496652199997E-2</v>
      </c>
      <c r="J170" s="49">
        <v>6.397478232841708E-10</v>
      </c>
      <c r="K170" s="49">
        <v>8.2006631155630811E-11</v>
      </c>
      <c r="L170" s="157">
        <v>7.9663365326507099E-10</v>
      </c>
      <c r="M170" s="32"/>
      <c r="R170" s="60">
        <v>1195.9934027799861</v>
      </c>
      <c r="S170" s="57">
        <v>2.3700749442513368E-6</v>
      </c>
      <c r="U170" s="127">
        <v>1.2139169228568424E-9</v>
      </c>
      <c r="V170" s="127">
        <v>7.9663365326507099E-10</v>
      </c>
      <c r="W170" s="127">
        <v>1.6332813346856051E-10</v>
      </c>
      <c r="X170" s="128">
        <f t="shared" si="4"/>
        <v>7.4262809071388615E-10</v>
      </c>
      <c r="Y170" s="139">
        <f t="shared" si="5"/>
        <v>1.5738604653419035</v>
      </c>
      <c r="AA170" s="73"/>
      <c r="AB170" s="182"/>
      <c r="AC170" s="182"/>
      <c r="AD170" s="182"/>
      <c r="AJ170" s="135"/>
    </row>
    <row r="171" spans="1:36" x14ac:dyDescent="0.35">
      <c r="I171" s="109">
        <v>4.3538571618699999E-2</v>
      </c>
      <c r="J171" s="49">
        <v>7.1758308598703565E-10</v>
      </c>
      <c r="K171" s="49">
        <v>8.9685942473406851E-11</v>
      </c>
      <c r="L171" s="157">
        <v>5.3522830103970781E-10</v>
      </c>
      <c r="M171" s="32"/>
      <c r="R171" s="60">
        <v>1195.9934027799861</v>
      </c>
      <c r="S171" s="57">
        <v>2.4844458017234639E-6</v>
      </c>
      <c r="U171" s="127">
        <v>1.1729769136916336E-9</v>
      </c>
      <c r="V171" s="127">
        <v>5.3522830103970781E-10</v>
      </c>
      <c r="W171" s="127">
        <v>1.0596247263298259E-10</v>
      </c>
      <c r="X171" s="128">
        <f t="shared" si="4"/>
        <v>5.8734899710100796E-10</v>
      </c>
      <c r="Y171" s="139">
        <f t="shared" si="5"/>
        <v>2.1086310606386598</v>
      </c>
      <c r="AA171" s="73"/>
      <c r="AB171" s="182"/>
      <c r="AC171" s="182"/>
      <c r="AD171" s="182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4.3973957334899998E-2</v>
      </c>
      <c r="J172" s="49">
        <v>6.6775925372119746E-10</v>
      </c>
      <c r="K172" s="49">
        <v>8.7435385249612531E-11</v>
      </c>
      <c r="L172" s="157">
        <v>2.9741035477214539E-10</v>
      </c>
      <c r="M172" s="32"/>
      <c r="N172" s="18"/>
      <c r="O172" s="18"/>
      <c r="P172" s="30"/>
      <c r="Q172" s="65"/>
      <c r="R172" s="62">
        <v>1196.2985186396525</v>
      </c>
      <c r="S172" s="61">
        <v>2.4844458017234639E-6</v>
      </c>
      <c r="T172" s="75"/>
      <c r="U172" s="127">
        <v>1.0191153181289184E-9</v>
      </c>
      <c r="V172" s="127">
        <v>2.9741035477214539E-10</v>
      </c>
      <c r="W172" s="127">
        <v>1.829037212260894E-10</v>
      </c>
      <c r="X172" s="128">
        <f t="shared" si="4"/>
        <v>4.4920993722482464E-10</v>
      </c>
      <c r="Y172" s="139">
        <f t="shared" si="5"/>
        <v>6.2477615971956872</v>
      </c>
      <c r="AA172" s="73"/>
      <c r="AB172" s="182"/>
      <c r="AC172" s="182"/>
      <c r="AD172" s="182"/>
      <c r="AE172" s="75"/>
      <c r="AF172" s="75"/>
      <c r="AG172" s="75"/>
      <c r="AH172" s="75"/>
      <c r="AI172" s="159"/>
      <c r="AJ172" s="135"/>
    </row>
    <row r="173" spans="1:36" x14ac:dyDescent="0.35">
      <c r="I173" s="109">
        <v>4.4413696908199997E-2</v>
      </c>
      <c r="J173" s="49">
        <v>4.273144006202952E-10</v>
      </c>
      <c r="K173" s="49">
        <v>3.6546537326955471E-11</v>
      </c>
      <c r="L173" s="157">
        <v>1.4110934302235009E-10</v>
      </c>
      <c r="M173" s="32"/>
      <c r="R173" s="60">
        <v>1196.2985186396525</v>
      </c>
      <c r="S173" s="57">
        <v>2.5985365078718796E-6</v>
      </c>
      <c r="U173" s="127">
        <v>7.82972480200743E-10</v>
      </c>
      <c r="V173" s="127">
        <v>1.4110934302235009E-10</v>
      </c>
      <c r="W173" s="127">
        <v>3.8088148271006765E-10</v>
      </c>
      <c r="X173" s="128">
        <f t="shared" si="4"/>
        <v>3.6151816223887768E-10</v>
      </c>
      <c r="Y173" s="139">
        <f t="shared" si="5"/>
        <v>3.2412285856172272</v>
      </c>
      <c r="AA173" s="73"/>
      <c r="AB173" s="182"/>
      <c r="AC173" s="182"/>
      <c r="AD173" s="182"/>
      <c r="AJ173" s="135"/>
    </row>
    <row r="174" spans="1:36" x14ac:dyDescent="0.35">
      <c r="I174" s="109">
        <v>4.4857833877300003E-2</v>
      </c>
      <c r="J174" s="49">
        <v>4.9181052047725542E-10</v>
      </c>
      <c r="K174" s="49">
        <v>3.7554351571734677E-11</v>
      </c>
      <c r="L174" s="157">
        <v>1.0797019721019624E-10</v>
      </c>
      <c r="M174" s="32"/>
      <c r="R174" s="60">
        <v>1196.62837348934</v>
      </c>
      <c r="S174" s="57">
        <v>2.5985365078718796E-6</v>
      </c>
      <c r="U174" s="127">
        <v>5.1575707108583974E-10</v>
      </c>
      <c r="V174" s="127">
        <v>1.0797019721019624E-10</v>
      </c>
      <c r="W174" s="127">
        <v>6.5493574864207922E-10</v>
      </c>
      <c r="X174" s="128">
        <f t="shared" si="4"/>
        <v>3.4665830353707786E-10</v>
      </c>
      <c r="Y174" s="139">
        <f t="shared" si="5"/>
        <v>14.939181760162677</v>
      </c>
      <c r="AA174" s="73"/>
      <c r="AB174" s="182"/>
      <c r="AC174" s="182"/>
      <c r="AD174" s="182"/>
      <c r="AJ174" s="135"/>
    </row>
    <row r="175" spans="1:36" x14ac:dyDescent="0.35">
      <c r="I175" s="109">
        <v>4.5306412216100003E-2</v>
      </c>
      <c r="J175" s="49">
        <v>5.7089437876194229E-10</v>
      </c>
      <c r="K175" s="49">
        <v>4.1264209380886701E-11</v>
      </c>
      <c r="L175" s="157">
        <v>2.1176389573477335E-10</v>
      </c>
      <c r="M175" s="32"/>
      <c r="R175" s="60">
        <v>1196.62837348934</v>
      </c>
      <c r="S175" s="57">
        <v>2.711966410663156E-6</v>
      </c>
      <c r="U175" s="127">
        <v>2.7893797834932972E-10</v>
      </c>
      <c r="V175" s="127">
        <v>2.1176389573477335E-10</v>
      </c>
      <c r="W175" s="127">
        <v>9.3772489447639295E-10</v>
      </c>
      <c r="X175" s="128">
        <f t="shared" si="4"/>
        <v>4.1004766607381732E-10</v>
      </c>
      <c r="Y175" s="139">
        <f t="shared" si="5"/>
        <v>15.194181918986098</v>
      </c>
      <c r="AA175" s="73"/>
      <c r="AB175" s="182"/>
      <c r="AC175" s="182"/>
      <c r="AD175" s="182"/>
      <c r="AJ175" s="135"/>
    </row>
    <row r="176" spans="1:36" x14ac:dyDescent="0.35">
      <c r="I176" s="109">
        <v>4.5759476338200003E-2</v>
      </c>
      <c r="J176" s="49">
        <v>6.7742461113952513E-10</v>
      </c>
      <c r="K176" s="49">
        <v>4.420323009653074E-11</v>
      </c>
      <c r="L176" s="157">
        <v>4.3272873516237148E-10</v>
      </c>
      <c r="M176" s="32"/>
      <c r="R176" s="60">
        <v>1196.9955548985965</v>
      </c>
      <c r="S176" s="57">
        <v>2.711966410663156E-6</v>
      </c>
      <c r="U176" s="127">
        <v>1.3044168716100418E-10</v>
      </c>
      <c r="V176" s="127">
        <v>4.3272873516237148E-10</v>
      </c>
      <c r="W176" s="127">
        <v>1.1557376506512983E-9</v>
      </c>
      <c r="X176" s="128">
        <f t="shared" si="4"/>
        <v>5.379092020342613E-10</v>
      </c>
      <c r="Y176" s="139">
        <f t="shared" si="5"/>
        <v>9.9617661318660229</v>
      </c>
      <c r="AA176" s="73"/>
      <c r="AB176" s="182"/>
      <c r="AC176" s="182"/>
      <c r="AD176" s="182"/>
      <c r="AJ176" s="135"/>
    </row>
    <row r="177" spans="9:36" x14ac:dyDescent="0.35">
      <c r="I177" s="109">
        <v>4.6217071101599998E-2</v>
      </c>
      <c r="J177" s="49">
        <v>7.6341940505348444E-10</v>
      </c>
      <c r="K177" s="49">
        <v>4.8311320311483783E-11</v>
      </c>
      <c r="L177" s="156">
        <v>7.2002577382662346E-10</v>
      </c>
      <c r="M177" s="33"/>
      <c r="R177" s="60">
        <v>1196.9955548985965</v>
      </c>
      <c r="S177" s="57">
        <v>2.8239927137034601E-6</v>
      </c>
      <c r="U177" s="127">
        <v>1.1032781186632812E-10</v>
      </c>
      <c r="V177" s="127">
        <v>7.2002577382662346E-10</v>
      </c>
      <c r="W177" s="127">
        <v>1.2487668228814271E-9</v>
      </c>
      <c r="X177" s="128">
        <f t="shared" si="4"/>
        <v>6.9978654560025058E-10</v>
      </c>
      <c r="Y177" s="139">
        <f t="shared" si="5"/>
        <v>1.7348625244583453</v>
      </c>
      <c r="AA177" s="73"/>
      <c r="AB177" s="182"/>
      <c r="AC177" s="182"/>
      <c r="AD177" s="182"/>
      <c r="AJ177" s="135"/>
    </row>
    <row r="178" spans="9:36" x14ac:dyDescent="0.35">
      <c r="I178" s="109">
        <v>4.6679241812599997E-2</v>
      </c>
      <c r="J178" s="49">
        <v>8.1823010610317607E-10</v>
      </c>
      <c r="K178" s="49">
        <v>5.1196571621012029E-11</v>
      </c>
      <c r="L178" s="156">
        <v>1.0026163786715366E-9</v>
      </c>
      <c r="M178" s="33"/>
      <c r="R178" s="60">
        <v>1197.4207767266153</v>
      </c>
      <c r="S178" s="57">
        <v>2.8239927137034601E-6</v>
      </c>
      <c r="U178" s="127">
        <v>2.2947763666765583E-10</v>
      </c>
      <c r="V178" s="127">
        <v>1.0026163786715366E-9</v>
      </c>
      <c r="W178" s="127">
        <v>1.1875896966949988E-9</v>
      </c>
      <c r="X178" s="128">
        <f t="shared" si="4"/>
        <v>8.55575022676432E-10</v>
      </c>
      <c r="Y178" s="139">
        <f t="shared" si="5"/>
        <v>0.53208526026072023</v>
      </c>
      <c r="AA178" s="73"/>
      <c r="AB178" s="182"/>
      <c r="AC178" s="182"/>
      <c r="AD178" s="182"/>
      <c r="AJ178" s="135"/>
    </row>
    <row r="179" spans="9:36" x14ac:dyDescent="0.35">
      <c r="I179" s="109">
        <v>4.71460342308E-2</v>
      </c>
      <c r="J179" s="49">
        <v>7.8961615829865436E-10</v>
      </c>
      <c r="K179" s="49">
        <v>4.8461304259222788E-11</v>
      </c>
      <c r="L179" s="156">
        <v>1.2066177325162296E-9</v>
      </c>
      <c r="M179" s="33"/>
      <c r="R179" s="60">
        <v>1197.4207767266153</v>
      </c>
      <c r="S179" s="57">
        <v>2.9331773360899732E-6</v>
      </c>
      <c r="U179" s="127">
        <v>4.6455403214290141E-10</v>
      </c>
      <c r="V179" s="127">
        <v>1.2066177325162296E-9</v>
      </c>
      <c r="W179" s="127">
        <v>9.8461546737860109E-10</v>
      </c>
      <c r="X179" s="128">
        <f t="shared" si="4"/>
        <v>9.6560124113849045E-10</v>
      </c>
      <c r="Y179" s="139">
        <f t="shared" si="5"/>
        <v>13.187470989377063</v>
      </c>
      <c r="AA179" s="73"/>
      <c r="AB179" s="182"/>
      <c r="AC179" s="182"/>
      <c r="AD179" s="182"/>
      <c r="AJ179" s="135"/>
    </row>
    <row r="180" spans="9:36" x14ac:dyDescent="0.35">
      <c r="I180" s="109">
        <v>4.7617494573100001E-2</v>
      </c>
      <c r="J180" s="49">
        <v>9.3552961209977451E-10</v>
      </c>
      <c r="K180" s="49">
        <v>5.3117491054473015E-11</v>
      </c>
      <c r="L180" s="156">
        <v>1.2751348699834426E-9</v>
      </c>
      <c r="M180" s="33"/>
      <c r="R180" s="60">
        <v>1197.943299436482</v>
      </c>
      <c r="S180" s="57">
        <v>2.9331773360899732E-6</v>
      </c>
      <c r="U180" s="127">
        <v>7.6129616110834313E-10</v>
      </c>
      <c r="V180" s="127">
        <v>1.2751348699834426E-9</v>
      </c>
      <c r="W180" s="127">
        <v>6.935746557816506E-10</v>
      </c>
      <c r="X180" s="128">
        <f t="shared" si="4"/>
        <v>1.0012851392142198E-9</v>
      </c>
      <c r="Y180" s="139">
        <f t="shared" si="5"/>
        <v>1.532460962482094</v>
      </c>
      <c r="AA180" s="73"/>
      <c r="AB180" s="182"/>
      <c r="AC180" s="182"/>
      <c r="AD180" s="182"/>
      <c r="AJ180" s="135"/>
    </row>
    <row r="181" spans="9:36" x14ac:dyDescent="0.35">
      <c r="I181" s="109">
        <v>4.8093669518800002E-2</v>
      </c>
      <c r="J181" s="49">
        <v>8.962643071002515E-10</v>
      </c>
      <c r="K181" s="49">
        <v>5.1891039423809638E-11</v>
      </c>
      <c r="L181" s="156">
        <v>1.1853219395247307E-9</v>
      </c>
      <c r="M181" s="33"/>
      <c r="R181" s="60">
        <v>1197.943299436482</v>
      </c>
      <c r="S181" s="57">
        <v>3.0366355283788469E-6</v>
      </c>
      <c r="U181" s="127">
        <v>1.0462666575549202E-9</v>
      </c>
      <c r="V181" s="127">
        <v>1.1853219395247307E-9</v>
      </c>
      <c r="W181" s="127">
        <v>3.970249819905572E-10</v>
      </c>
      <c r="X181" s="128">
        <f t="shared" si="4"/>
        <v>9.5348387964873467E-10</v>
      </c>
      <c r="Y181" s="139">
        <f t="shared" si="5"/>
        <v>1.2159185332416456</v>
      </c>
      <c r="AA181" s="73"/>
      <c r="AB181" s="182"/>
      <c r="AC181" s="182"/>
      <c r="AD181" s="182"/>
      <c r="AJ181" s="135"/>
    </row>
    <row r="182" spans="9:36" x14ac:dyDescent="0.35">
      <c r="I182" s="109">
        <v>4.8574606213999998E-2</v>
      </c>
      <c r="J182" s="49">
        <v>7.9323947263888323E-10</v>
      </c>
      <c r="K182" s="49">
        <v>5.0047734874465793E-11</v>
      </c>
      <c r="L182" s="156">
        <v>9.5748864625340117E-10</v>
      </c>
      <c r="M182" s="33"/>
      <c r="R182" s="60">
        <v>1198.6564766245056</v>
      </c>
      <c r="S182" s="57">
        <v>3.0366355283788469E-6</v>
      </c>
      <c r="U182" s="127">
        <v>1.244886467136468E-9</v>
      </c>
      <c r="V182" s="127">
        <v>9.5748864625340117E-10</v>
      </c>
      <c r="W182" s="127">
        <v>1.8397168402673262E-10</v>
      </c>
      <c r="X182" s="128">
        <f t="shared" si="4"/>
        <v>8.3595886091750074E-10</v>
      </c>
      <c r="Y182" s="139">
        <f t="shared" si="5"/>
        <v>0.72858663023812398</v>
      </c>
      <c r="AA182" s="73"/>
      <c r="AB182" s="182"/>
      <c r="AC182" s="182"/>
      <c r="AD182" s="182"/>
      <c r="AJ182" s="135"/>
    </row>
    <row r="183" spans="9:36" x14ac:dyDescent="0.35">
      <c r="I183" s="109">
        <v>4.9060352276099999E-2</v>
      </c>
      <c r="J183" s="49">
        <v>7.2170868801718059E-10</v>
      </c>
      <c r="K183" s="49">
        <v>4.7251789257620895E-11</v>
      </c>
      <c r="L183" s="156">
        <v>6.526565048532125E-10</v>
      </c>
      <c r="M183" s="33"/>
      <c r="R183" s="60">
        <v>1198.6564766245056</v>
      </c>
      <c r="S183" s="57">
        <v>3.1280658500650879E-6</v>
      </c>
      <c r="U183" s="127">
        <v>1.3015579702127404E-9</v>
      </c>
      <c r="V183" s="127">
        <v>6.526565048532125E-10</v>
      </c>
      <c r="W183" s="127">
        <v>1.2329750795186019E-10</v>
      </c>
      <c r="X183" s="128">
        <f t="shared" si="4"/>
        <v>6.8254212196775642E-10</v>
      </c>
      <c r="Y183" s="139">
        <f t="shared" si="5"/>
        <v>0.68705970046583009</v>
      </c>
      <c r="AA183" s="73"/>
      <c r="AB183" s="182"/>
      <c r="AC183" s="182"/>
      <c r="AD183" s="182"/>
      <c r="AJ183" s="135"/>
    </row>
    <row r="184" spans="9:36" x14ac:dyDescent="0.35">
      <c r="I184" s="109">
        <v>4.9550955798900002E-2</v>
      </c>
      <c r="J184" s="49">
        <v>7.4521927035568703E-10</v>
      </c>
      <c r="K184" s="49">
        <v>4.937938857405984E-11</v>
      </c>
      <c r="L184" s="156">
        <v>3.5789344267241083E-10</v>
      </c>
      <c r="M184" s="33"/>
      <c r="R184" s="60">
        <v>1199.9380654998795</v>
      </c>
      <c r="S184" s="57">
        <v>3.1280658500650879E-6</v>
      </c>
      <c r="U184" s="127">
        <v>1.1965096976406745E-9</v>
      </c>
      <c r="V184" s="127">
        <v>3.5789344267241083E-10</v>
      </c>
      <c r="W184" s="127">
        <v>2.4084052918456975E-10</v>
      </c>
      <c r="X184" s="128">
        <f t="shared" si="4"/>
        <v>5.3828427804251644E-10</v>
      </c>
      <c r="Y184" s="139">
        <f t="shared" si="5"/>
        <v>17.562100345799717</v>
      </c>
      <c r="AA184" s="73"/>
      <c r="AB184" s="182"/>
      <c r="AC184" s="182"/>
      <c r="AD184" s="182"/>
      <c r="AJ184" s="135"/>
    </row>
    <row r="185" spans="9:36" x14ac:dyDescent="0.35">
      <c r="I185" s="109">
        <v>5.0046465356900001E-2</v>
      </c>
      <c r="J185" s="49">
        <v>6.2343810381646264E-10</v>
      </c>
      <c r="K185" s="49">
        <v>4.4789954867964992E-11</v>
      </c>
      <c r="L185" s="156">
        <v>1.6237329370967432E-10</v>
      </c>
      <c r="M185" s="33"/>
      <c r="R185" s="60">
        <v>1199.9380654998795</v>
      </c>
      <c r="S185" s="57">
        <v>3.1912672545492482E-6</v>
      </c>
      <c r="U185" s="127">
        <v>9.5418265873566784E-10</v>
      </c>
      <c r="V185" s="127">
        <v>1.6237329370967432E-10</v>
      </c>
      <c r="W185" s="127">
        <v>5.0789097169180032E-10</v>
      </c>
      <c r="X185" s="128">
        <f t="shared" si="4"/>
        <v>4.4670505446170415E-10</v>
      </c>
      <c r="Y185" s="139">
        <f t="shared" si="5"/>
        <v>15.569486598947888</v>
      </c>
      <c r="AA185" s="73"/>
      <c r="AB185" s="182"/>
      <c r="AC185" s="182"/>
      <c r="AD185" s="182"/>
      <c r="AJ185" s="135"/>
    </row>
    <row r="186" spans="9:36" x14ac:dyDescent="0.35">
      <c r="I186" s="109">
        <v>5.0546930010399997E-2</v>
      </c>
      <c r="J186" s="49">
        <v>6.7237910065307205E-10</v>
      </c>
      <c r="K186" s="49">
        <v>4.7063008744348518E-11</v>
      </c>
      <c r="L186" s="156">
        <v>1.3041038676412579E-10</v>
      </c>
      <c r="M186" s="33"/>
      <c r="R186" s="60">
        <v>1201.6591470879537</v>
      </c>
      <c r="S186" s="57">
        <v>3.1912672545492482E-6</v>
      </c>
      <c r="U186" s="127">
        <v>6.3970938623179684E-10</v>
      </c>
      <c r="V186" s="127">
        <v>1.3041038676412579E-10</v>
      </c>
      <c r="W186" s="127">
        <v>8.462099883162607E-10</v>
      </c>
      <c r="X186" s="128">
        <f t="shared" si="4"/>
        <v>4.3668503701907728E-10</v>
      </c>
      <c r="Y186" s="139">
        <f t="shared" si="5"/>
        <v>25.080599427113821</v>
      </c>
      <c r="AA186" s="73"/>
      <c r="AB186" s="182"/>
      <c r="AC186" s="182"/>
      <c r="AD186" s="182"/>
      <c r="AJ186" s="135"/>
    </row>
    <row r="187" spans="9:36" x14ac:dyDescent="0.35">
      <c r="I187" s="109">
        <v>5.1052399310499999E-2</v>
      </c>
      <c r="J187" s="49">
        <v>7.2215132898549241E-10</v>
      </c>
      <c r="K187" s="49">
        <v>4.8774251165107449E-11</v>
      </c>
      <c r="L187" s="156">
        <v>2.7957335039198986E-10</v>
      </c>
      <c r="M187" s="33"/>
      <c r="R187" s="60">
        <v>1201.6591470879537</v>
      </c>
      <c r="S187" s="57">
        <v>3.1999999999999999E-6</v>
      </c>
      <c r="U187" s="127">
        <v>3.4308381571061003E-10</v>
      </c>
      <c r="V187" s="127">
        <v>2.7957335039198986E-10</v>
      </c>
      <c r="W187" s="127">
        <v>1.1498525497914377E-9</v>
      </c>
      <c r="X187" s="128">
        <f t="shared" si="4"/>
        <v>5.1302076657150683E-10</v>
      </c>
      <c r="Y187" s="139">
        <f t="shared" si="5"/>
        <v>18.384583273420528</v>
      </c>
      <c r="AA187" s="73"/>
      <c r="AB187" s="182"/>
      <c r="AC187" s="182"/>
      <c r="AD187" s="182"/>
      <c r="AJ187" s="135"/>
    </row>
    <row r="188" spans="9:36" x14ac:dyDescent="0.35">
      <c r="I188" s="109">
        <v>5.1562923303600003E-2</v>
      </c>
      <c r="J188" s="49">
        <v>7.3354326593841004E-10</v>
      </c>
      <c r="K188" s="49">
        <v>4.9323447353232743E-11</v>
      </c>
      <c r="L188" s="156">
        <v>5.7149101856548369E-10</v>
      </c>
      <c r="M188" s="33"/>
      <c r="R188" s="60">
        <v>1210.6716440486075</v>
      </c>
      <c r="S188" s="57">
        <v>3.1999999999999999E-6</v>
      </c>
      <c r="U188" s="127">
        <v>1.5430002033614096E-10</v>
      </c>
      <c r="V188" s="127">
        <v>5.7149101856548369E-10</v>
      </c>
      <c r="W188" s="127">
        <v>1.3184036039038059E-9</v>
      </c>
      <c r="X188" s="128">
        <f t="shared" si="4"/>
        <v>6.5392141534272858E-10</v>
      </c>
      <c r="Y188" s="139">
        <f t="shared" si="5"/>
        <v>2.6058996567232748</v>
      </c>
      <c r="AA188" s="73"/>
      <c r="AB188" s="182"/>
      <c r="AC188" s="182"/>
      <c r="AD188" s="182"/>
      <c r="AJ188" s="135"/>
    </row>
    <row r="189" spans="9:36" x14ac:dyDescent="0.35">
      <c r="I189" s="109">
        <v>5.2078552536699997E-2</v>
      </c>
      <c r="J189" s="49">
        <v>7.3956005997447231E-10</v>
      </c>
      <c r="K189" s="49">
        <v>5.3161195370148653E-11</v>
      </c>
      <c r="L189" s="156">
        <v>9.1985612480494158E-10</v>
      </c>
      <c r="M189" s="33"/>
      <c r="R189" s="60">
        <v>1210.6716440486075</v>
      </c>
      <c r="S189" s="57">
        <v>3.1955139569094203E-6</v>
      </c>
      <c r="U189" s="127">
        <v>1.3601081148473806E-10</v>
      </c>
      <c r="V189" s="127">
        <v>9.1985612480494158E-10</v>
      </c>
      <c r="W189" s="127">
        <v>1.2915567377424574E-9</v>
      </c>
      <c r="X189" s="128">
        <f t="shared" si="4"/>
        <v>8.1681994970926965E-10</v>
      </c>
      <c r="Y189" s="139">
        <f t="shared" si="5"/>
        <v>2.1121205025656362</v>
      </c>
      <c r="AA189" s="73"/>
      <c r="AB189" s="182"/>
      <c r="AC189" s="182"/>
      <c r="AD189" s="182"/>
      <c r="AJ189" s="135"/>
    </row>
    <row r="190" spans="9:36" x14ac:dyDescent="0.35">
      <c r="I190" s="109">
        <v>5.2599338062100001E-2</v>
      </c>
      <c r="J190" s="49">
        <v>9.1625648799198916E-10</v>
      </c>
      <c r="K190" s="49">
        <v>6.3993091708014347E-11</v>
      </c>
      <c r="L190" s="156">
        <v>1.2150054052009441E-9</v>
      </c>
      <c r="M190" s="33"/>
      <c r="R190" s="60">
        <v>1212.3927256366817</v>
      </c>
      <c r="S190" s="57">
        <v>3.1955139569094203E-6</v>
      </c>
      <c r="U190" s="127">
        <v>3.0198150681204673E-10</v>
      </c>
      <c r="V190" s="127">
        <v>1.2150054052009441E-9</v>
      </c>
      <c r="W190" s="127">
        <v>1.0731088074393628E-9</v>
      </c>
      <c r="X190" s="128">
        <f t="shared" si="4"/>
        <v>9.512752811633246E-10</v>
      </c>
      <c r="Y190" s="139">
        <f t="shared" si="5"/>
        <v>0.29945816898859695</v>
      </c>
      <c r="AA190" s="73"/>
      <c r="AB190" s="182"/>
      <c r="AC190" s="182"/>
      <c r="AD190" s="182"/>
      <c r="AJ190" s="135"/>
    </row>
    <row r="191" spans="9:36" x14ac:dyDescent="0.35">
      <c r="I191" s="109">
        <v>5.31253314427E-2</v>
      </c>
      <c r="J191" s="49">
        <v>8.7414693969245367E-10</v>
      </c>
      <c r="K191" s="49">
        <v>6.265461450539377E-11</v>
      </c>
      <c r="L191" s="156">
        <v>1.3587346299672838E-9</v>
      </c>
      <c r="M191" s="33"/>
      <c r="R191" s="60">
        <v>1212.3927256366817</v>
      </c>
      <c r="S191" s="57">
        <v>3.1630471656236762E-6</v>
      </c>
      <c r="U191" s="127">
        <v>6.0892061712116112E-10</v>
      </c>
      <c r="V191" s="127">
        <v>1.3587346299672838E-9</v>
      </c>
      <c r="W191" s="127">
        <v>7.3457568337271402E-10</v>
      </c>
      <c r="X191" s="128">
        <f t="shared" si="4"/>
        <v>1.0152413901071107E-9</v>
      </c>
      <c r="Y191" s="139">
        <f t="shared" si="5"/>
        <v>5.071235044964201</v>
      </c>
      <c r="AA191" s="73"/>
      <c r="AB191" s="182"/>
      <c r="AC191" s="182"/>
      <c r="AD191" s="182"/>
      <c r="AJ191" s="135"/>
    </row>
    <row r="192" spans="9:36" x14ac:dyDescent="0.35">
      <c r="I192" s="109">
        <v>5.3656584757100001E-2</v>
      </c>
      <c r="J192" s="49">
        <v>9.1854959505513247E-10</v>
      </c>
      <c r="K192" s="49">
        <v>6.3883782693828192E-11</v>
      </c>
      <c r="L192" s="156">
        <v>1.2985983754745746E-9</v>
      </c>
      <c r="M192" s="33"/>
      <c r="R192" s="60">
        <v>1213.6743145120556</v>
      </c>
      <c r="S192" s="57">
        <v>3.1630471656236762E-6</v>
      </c>
      <c r="U192" s="127">
        <v>9.6594192476491762E-10</v>
      </c>
      <c r="V192" s="127">
        <v>1.2985983754745746E-9</v>
      </c>
      <c r="W192" s="127">
        <v>3.9469342461157291E-10</v>
      </c>
      <c r="X192" s="128">
        <f t="shared" ref="X192:X255" si="6">(U192+2*V192+W192)/4</f>
        <v>9.8945802508140988E-10</v>
      </c>
      <c r="Y192" s="139">
        <f t="shared" ref="Y192:Y255" si="7">(J192-X192)*(J192-X192)/(K192*K192)</f>
        <v>1.2320107355221428</v>
      </c>
      <c r="AA192" s="73"/>
      <c r="AB192" s="182"/>
      <c r="AC192" s="182"/>
      <c r="AD192" s="182"/>
      <c r="AJ192" s="135"/>
    </row>
    <row r="193" spans="9:36" x14ac:dyDescent="0.35">
      <c r="I193" s="109">
        <v>5.4193150604700001E-2</v>
      </c>
      <c r="J193" s="49">
        <v>8.9539456742862887E-10</v>
      </c>
      <c r="K193" s="49">
        <v>6.4817567754886423E-11</v>
      </c>
      <c r="L193" s="156">
        <v>1.0496397317163064E-9</v>
      </c>
      <c r="M193" s="33"/>
      <c r="R193" s="60">
        <v>1213.6743145120556</v>
      </c>
      <c r="S193" s="57">
        <v>3.1160790769300206E-6</v>
      </c>
      <c r="U193" s="127">
        <v>1.2606162327070006E-9</v>
      </c>
      <c r="V193" s="127">
        <v>1.0496397317163064E-9</v>
      </c>
      <c r="W193" s="127">
        <v>1.7951535249503856E-10</v>
      </c>
      <c r="X193" s="128">
        <f t="shared" si="6"/>
        <v>8.8485276215866294E-10</v>
      </c>
      <c r="Y193" s="139">
        <f t="shared" si="7"/>
        <v>2.6451147575460316E-2</v>
      </c>
      <c r="AA193" s="73"/>
      <c r="AB193" s="182"/>
      <c r="AC193" s="182"/>
      <c r="AD193" s="182"/>
      <c r="AJ193" s="135"/>
    </row>
    <row r="194" spans="9:36" x14ac:dyDescent="0.35">
      <c r="I194" s="109">
        <v>5.4735082110700002E-2</v>
      </c>
      <c r="J194" s="49">
        <v>6.7324638488463597E-10</v>
      </c>
      <c r="K194" s="49">
        <v>5.4994662188319258E-11</v>
      </c>
      <c r="L194" s="156">
        <v>6.9431502266454891E-10</v>
      </c>
      <c r="M194" s="33"/>
      <c r="R194" s="60">
        <v>1214.3874917000792</v>
      </c>
      <c r="S194" s="57">
        <v>3.1160790769300206E-6</v>
      </c>
      <c r="U194" s="127">
        <v>1.3947951109528245E-9</v>
      </c>
      <c r="V194" s="127">
        <v>6.9431502266454891E-10</v>
      </c>
      <c r="W194" s="127">
        <v>1.7585295768846373E-10</v>
      </c>
      <c r="X194" s="128">
        <f t="shared" si="6"/>
        <v>7.3981952849259642E-10</v>
      </c>
      <c r="Y194" s="139">
        <f t="shared" si="7"/>
        <v>1.4654029200079666</v>
      </c>
      <c r="AA194" s="73"/>
      <c r="AB194" s="182"/>
      <c r="AC194" s="182"/>
      <c r="AD194" s="182"/>
      <c r="AJ194" s="135"/>
    </row>
    <row r="195" spans="9:36" x14ac:dyDescent="0.35">
      <c r="I195" s="109">
        <v>5.5282432931799998E-2</v>
      </c>
      <c r="J195" s="49">
        <v>7.8110399146338664E-10</v>
      </c>
      <c r="K195" s="49">
        <v>6.2632945970689788E-11</v>
      </c>
      <c r="L195" s="156">
        <v>3.5803923631391187E-10</v>
      </c>
      <c r="M195" s="33"/>
      <c r="R195" s="60">
        <v>1214.3874917000792</v>
      </c>
      <c r="S195" s="57">
        <v>3.0629322273740888E-6</v>
      </c>
      <c r="U195" s="127">
        <v>1.3190737615609972E-9</v>
      </c>
      <c r="V195" s="127">
        <v>3.5803923631391187E-10</v>
      </c>
      <c r="W195" s="127">
        <v>3.9518770359091972E-10</v>
      </c>
      <c r="X195" s="128">
        <f t="shared" si="6"/>
        <v>6.075849844449352E-10</v>
      </c>
      <c r="Y195" s="139">
        <f t="shared" si="7"/>
        <v>7.6751775104499718</v>
      </c>
      <c r="AA195" s="73"/>
      <c r="AB195" s="182"/>
      <c r="AC195" s="182"/>
      <c r="AD195" s="182"/>
      <c r="AJ195" s="135"/>
    </row>
    <row r="196" spans="9:36" x14ac:dyDescent="0.35">
      <c r="I196" s="109">
        <v>5.5835257261100002E-2</v>
      </c>
      <c r="J196" s="49">
        <v>7.0441974144677416E-10</v>
      </c>
      <c r="K196" s="49">
        <v>6.1855125104819465E-11</v>
      </c>
      <c r="L196" s="156">
        <v>1.6649421918568615E-10</v>
      </c>
      <c r="M196" s="33"/>
      <c r="R196" s="60">
        <v>1214.9100144099459</v>
      </c>
      <c r="S196" s="57">
        <v>3.0629322273740888E-6</v>
      </c>
      <c r="U196" s="127">
        <v>1.0536924976875455E-9</v>
      </c>
      <c r="V196" s="127">
        <v>1.6649421918568615E-10</v>
      </c>
      <c r="W196" s="127">
        <v>7.6344299081860149E-10</v>
      </c>
      <c r="X196" s="128">
        <f t="shared" si="6"/>
        <v>5.3753098171937982E-10</v>
      </c>
      <c r="Y196" s="139">
        <f t="shared" si="7"/>
        <v>7.2795208619458487</v>
      </c>
      <c r="AA196" s="73"/>
      <c r="AB196" s="182"/>
      <c r="AC196" s="182"/>
      <c r="AD196" s="182"/>
      <c r="AJ196" s="135"/>
    </row>
    <row r="197" spans="9:36" x14ac:dyDescent="0.35">
      <c r="I197" s="109">
        <v>5.6393609833799999E-2</v>
      </c>
      <c r="J197" s="49">
        <v>8.4462379465525508E-10</v>
      </c>
      <c r="K197" s="49">
        <v>6.7279921522410955E-11</v>
      </c>
      <c r="L197" s="156">
        <v>1.9864502294700658E-10</v>
      </c>
      <c r="M197" s="33"/>
      <c r="R197" s="60">
        <v>1214.9100144099459</v>
      </c>
      <c r="S197" s="57">
        <v>3.0068436898555254E-6</v>
      </c>
      <c r="U197" s="127">
        <v>6.8682084981017123E-10</v>
      </c>
      <c r="V197" s="127">
        <v>1.9864502294700658E-10</v>
      </c>
      <c r="W197" s="127">
        <v>1.1437374123401776E-9</v>
      </c>
      <c r="X197" s="128">
        <f t="shared" si="6"/>
        <v>5.5696207701109046E-10</v>
      </c>
      <c r="Y197" s="139">
        <f t="shared" si="7"/>
        <v>18.280715347139218</v>
      </c>
      <c r="AA197" s="73"/>
      <c r="AB197" s="182"/>
      <c r="AC197" s="182"/>
      <c r="AD197" s="182"/>
      <c r="AJ197" s="135"/>
    </row>
    <row r="198" spans="9:36" x14ac:dyDescent="0.35">
      <c r="I198" s="109">
        <v>5.69575459321E-2</v>
      </c>
      <c r="J198" s="49">
        <v>8.424027845606242E-10</v>
      </c>
      <c r="K198" s="49">
        <v>6.7248580416484063E-11</v>
      </c>
      <c r="L198" s="156">
        <v>4.5304361357543042E-10</v>
      </c>
      <c r="M198" s="33"/>
      <c r="R198" s="60">
        <v>1215.3352362379646</v>
      </c>
      <c r="S198" s="57">
        <v>3.0068436898555254E-6</v>
      </c>
      <c r="U198" s="127">
        <v>3.4814105557630976E-10</v>
      </c>
      <c r="V198" s="127">
        <v>4.5304361357543042E-10</v>
      </c>
      <c r="W198" s="127">
        <v>1.3867237846222683E-9</v>
      </c>
      <c r="X198" s="128">
        <f t="shared" si="6"/>
        <v>6.6023801683735977E-10</v>
      </c>
      <c r="Y198" s="139">
        <f t="shared" si="7"/>
        <v>7.3377435048109474</v>
      </c>
      <c r="AA198" s="73"/>
      <c r="AB198" s="182"/>
      <c r="AC198" s="182"/>
      <c r="AD198" s="182"/>
      <c r="AJ198" s="135"/>
    </row>
    <row r="199" spans="9:36" x14ac:dyDescent="0.35">
      <c r="I199" s="109">
        <v>5.7527121391400003E-2</v>
      </c>
      <c r="J199" s="49">
        <v>7.413476422580803E-10</v>
      </c>
      <c r="K199" s="49">
        <v>6.2630456479217743E-11</v>
      </c>
      <c r="L199" s="156">
        <v>8.4221167059875399E-10</v>
      </c>
      <c r="M199" s="33"/>
      <c r="R199" s="60">
        <v>1215.3352362379646</v>
      </c>
      <c r="S199" s="57">
        <v>2.9492953706526726E-6</v>
      </c>
      <c r="U199" s="127">
        <v>1.6454492548540468E-10</v>
      </c>
      <c r="V199" s="127">
        <v>8.4221167059875399E-10</v>
      </c>
      <c r="W199" s="127">
        <v>1.390903590896589E-9</v>
      </c>
      <c r="X199" s="128">
        <f t="shared" si="6"/>
        <v>8.0996796439487538E-10</v>
      </c>
      <c r="Y199" s="139">
        <f t="shared" si="7"/>
        <v>1.2004231189953238</v>
      </c>
      <c r="AA199" s="73"/>
      <c r="AB199" s="182"/>
      <c r="AC199" s="182"/>
      <c r="AD199" s="182"/>
      <c r="AJ199" s="135"/>
    </row>
    <row r="200" spans="9:36" x14ac:dyDescent="0.35">
      <c r="I200" s="109">
        <v>5.81023926053E-2</v>
      </c>
      <c r="J200" s="49">
        <v>9.7867588169907864E-10</v>
      </c>
      <c r="K200" s="49">
        <v>7.2551908233870145E-11</v>
      </c>
      <c r="L200" s="156">
        <v>1.2206505594030187E-9</v>
      </c>
      <c r="M200" s="33"/>
      <c r="R200" s="60">
        <v>1215.7024176472212</v>
      </c>
      <c r="S200" s="57">
        <v>2.9492953706526726E-6</v>
      </c>
      <c r="U200" s="127">
        <v>2.1251764529079587E-10</v>
      </c>
      <c r="V200" s="127">
        <v>1.2206505594030187E-9</v>
      </c>
      <c r="W200" s="127">
        <v>1.1486791694577182E-9</v>
      </c>
      <c r="X200" s="128">
        <f t="shared" si="6"/>
        <v>9.5062448338863789E-10</v>
      </c>
      <c r="Y200" s="139">
        <f t="shared" si="7"/>
        <v>0.14948972764866991</v>
      </c>
      <c r="AA200" s="73"/>
      <c r="AB200" s="182"/>
      <c r="AC200" s="182"/>
      <c r="AD200" s="182"/>
      <c r="AJ200" s="135"/>
    </row>
    <row r="201" spans="9:36" x14ac:dyDescent="0.35">
      <c r="I201" s="109">
        <v>5.8683416531400003E-2</v>
      </c>
      <c r="J201" s="49">
        <v>9.0284071641155449E-10</v>
      </c>
      <c r="K201" s="49">
        <v>7.1855467352421332E-11</v>
      </c>
      <c r="L201" s="156">
        <v>1.4395384061215601E-9</v>
      </c>
      <c r="M201" s="33"/>
      <c r="R201" s="60">
        <v>1215.7024176472212</v>
      </c>
      <c r="S201" s="57">
        <v>2.8910260171542135E-6</v>
      </c>
      <c r="U201" s="127">
        <v>4.8502512770790925E-10</v>
      </c>
      <c r="V201" s="127">
        <v>1.4395384061215601E-9</v>
      </c>
      <c r="W201" s="127">
        <v>7.5645724864017902E-10</v>
      </c>
      <c r="X201" s="128">
        <f t="shared" si="6"/>
        <v>1.0301397971478021E-9</v>
      </c>
      <c r="Y201" s="139">
        <f t="shared" si="7"/>
        <v>3.1385633437349139</v>
      </c>
      <c r="AA201" s="73"/>
      <c r="AB201" s="182"/>
      <c r="AC201" s="182"/>
      <c r="AD201" s="182"/>
      <c r="AJ201" s="135"/>
    </row>
    <row r="202" spans="9:36" x14ac:dyDescent="0.35">
      <c r="I202" s="109">
        <v>5.92702506967E-2</v>
      </c>
      <c r="J202" s="49">
        <v>9.9089077104164765E-10</v>
      </c>
      <c r="K202" s="49">
        <v>7.6360506092017991E-11</v>
      </c>
      <c r="L202" s="156">
        <v>1.4055235777275135E-9</v>
      </c>
      <c r="M202" s="33"/>
      <c r="R202" s="60">
        <v>1216.0322724969087</v>
      </c>
      <c r="S202" s="57">
        <v>2.8910260171542135E-6</v>
      </c>
      <c r="U202" s="127">
        <v>8.8850604565655241E-10</v>
      </c>
      <c r="V202" s="127">
        <v>1.4055235777275135E-9</v>
      </c>
      <c r="W202" s="127">
        <v>3.8143014635611176E-10</v>
      </c>
      <c r="X202" s="128">
        <f t="shared" si="6"/>
        <v>1.0202458368669227E-9</v>
      </c>
      <c r="Y202" s="139">
        <f t="shared" si="7"/>
        <v>0.14778437558376864</v>
      </c>
      <c r="AA202" s="73"/>
      <c r="AB202" s="182"/>
      <c r="AC202" s="182"/>
      <c r="AD202" s="182"/>
      <c r="AJ202" s="135"/>
    </row>
    <row r="203" spans="9:36" x14ac:dyDescent="0.35">
      <c r="I203" s="109">
        <v>5.9862953203699998E-2</v>
      </c>
      <c r="J203" s="49">
        <v>1.0013030216728072E-9</v>
      </c>
      <c r="K203" s="49">
        <v>7.9818606974260601E-11</v>
      </c>
      <c r="L203" s="156">
        <v>1.1270018766876434E-9</v>
      </c>
      <c r="M203" s="33"/>
      <c r="R203" s="60">
        <v>1216.0322724969087</v>
      </c>
      <c r="S203" s="57">
        <v>2.832417206568491E-6</v>
      </c>
      <c r="U203" s="127">
        <v>1.2716556439952703E-9</v>
      </c>
      <c r="V203" s="127">
        <v>1.1270018766876434E-9</v>
      </c>
      <c r="W203" s="127">
        <v>1.9250029670676002E-10</v>
      </c>
      <c r="X203" s="128">
        <f t="shared" si="6"/>
        <v>9.2953992351932918E-10</v>
      </c>
      <c r="Y203" s="139">
        <f t="shared" si="7"/>
        <v>0.80834000275866413</v>
      </c>
      <c r="AA203" s="73"/>
      <c r="AB203" s="182"/>
      <c r="AC203" s="182"/>
      <c r="AD203" s="182"/>
      <c r="AJ203" s="135"/>
    </row>
    <row r="204" spans="9:36" x14ac:dyDescent="0.35">
      <c r="I204" s="109">
        <v>6.0461582735700001E-2</v>
      </c>
      <c r="J204" s="49">
        <v>1.0098917824813483E-9</v>
      </c>
      <c r="K204" s="49">
        <v>8.1038799942975788E-11</v>
      </c>
      <c r="L204" s="156">
        <v>7.1630433499975709E-10</v>
      </c>
      <c r="M204" s="33"/>
      <c r="R204" s="60">
        <v>1216.337388356575</v>
      </c>
      <c r="S204" s="57">
        <v>2.832417206568491E-6</v>
      </c>
      <c r="U204" s="127">
        <v>1.4832547513370234E-9</v>
      </c>
      <c r="V204" s="127">
        <v>7.1630433499975709E-10</v>
      </c>
      <c r="W204" s="127">
        <v>2.8431875266830668E-10</v>
      </c>
      <c r="X204" s="128">
        <f t="shared" si="6"/>
        <v>8.0004554350121103E-10</v>
      </c>
      <c r="Y204" s="139">
        <f t="shared" si="7"/>
        <v>6.7052716546539646</v>
      </c>
      <c r="AA204" s="73"/>
      <c r="AB204" s="182"/>
      <c r="AC204" s="182"/>
      <c r="AD204" s="182"/>
      <c r="AJ204" s="135"/>
    </row>
    <row r="205" spans="9:36" x14ac:dyDescent="0.35">
      <c r="I205" s="109">
        <v>6.1066198563099999E-2</v>
      </c>
      <c r="J205" s="49">
        <v>7.4549637181538684E-10</v>
      </c>
      <c r="K205" s="49">
        <v>6.8987539016946663E-11</v>
      </c>
      <c r="L205" s="156">
        <v>3.4933661206121192E-10</v>
      </c>
      <c r="M205" s="33"/>
      <c r="R205" s="60">
        <v>1216.337388356575</v>
      </c>
      <c r="S205" s="57">
        <v>2.773664481229139E-6</v>
      </c>
      <c r="U205" s="127">
        <v>1.4337322999836916E-9</v>
      </c>
      <c r="V205" s="127">
        <v>3.4933661206121192E-10</v>
      </c>
      <c r="W205" s="127">
        <v>6.2835402033992618E-10</v>
      </c>
      <c r="X205" s="128">
        <f t="shared" si="6"/>
        <v>6.9018988611151038E-10</v>
      </c>
      <c r="Y205" s="139">
        <f t="shared" si="7"/>
        <v>0.64270373125781333</v>
      </c>
      <c r="AA205" s="73"/>
      <c r="AB205" s="182"/>
      <c r="AC205" s="182"/>
      <c r="AD205" s="182"/>
      <c r="AJ205" s="135"/>
    </row>
    <row r="206" spans="9:36" x14ac:dyDescent="0.35">
      <c r="I206" s="109">
        <v>6.1676860548700002E-2</v>
      </c>
      <c r="J206" s="49">
        <v>8.3323546624227491E-10</v>
      </c>
      <c r="K206" s="49">
        <v>7.586110412367211E-11</v>
      </c>
      <c r="L206" s="156">
        <v>1.9259904834172618E-10</v>
      </c>
      <c r="M206" s="33"/>
      <c r="R206" s="60">
        <v>1216.6262838394448</v>
      </c>
      <c r="S206" s="57">
        <v>2.773664481229139E-6</v>
      </c>
      <c r="U206" s="127">
        <v>1.1372886188448795E-9</v>
      </c>
      <c r="V206" s="127">
        <v>1.9259904834172618E-10</v>
      </c>
      <c r="W206" s="127">
        <v>1.0770008438458492E-9</v>
      </c>
      <c r="X206" s="128">
        <f t="shared" si="6"/>
        <v>6.4987188984354529E-10</v>
      </c>
      <c r="Y206" s="139">
        <f t="shared" si="7"/>
        <v>5.8423533960314753</v>
      </c>
      <c r="AA206" s="73"/>
      <c r="AB206" s="182"/>
      <c r="AC206" s="182"/>
      <c r="AD206" s="182"/>
      <c r="AJ206" s="135"/>
    </row>
    <row r="207" spans="9:36" x14ac:dyDescent="0.35">
      <c r="I207" s="109">
        <v>6.2293629154200003E-2</v>
      </c>
      <c r="J207" s="49">
        <v>7.9586595369014113E-10</v>
      </c>
      <c r="K207" s="49">
        <v>7.3570756022613885E-11</v>
      </c>
      <c r="L207" s="156">
        <v>3.2743228268323494E-10</v>
      </c>
      <c r="M207" s="33"/>
      <c r="R207" s="60">
        <v>1216.6262838394448</v>
      </c>
      <c r="S207" s="57">
        <v>2.7148619043264312E-6</v>
      </c>
      <c r="U207" s="127">
        <v>7.1377993797228174E-10</v>
      </c>
      <c r="V207" s="127">
        <v>3.2743228268323494E-10</v>
      </c>
      <c r="W207" s="127">
        <v>1.42497980779911E-9</v>
      </c>
      <c r="X207" s="128">
        <f t="shared" si="6"/>
        <v>6.9840607778446537E-10</v>
      </c>
      <c r="Y207" s="139">
        <f t="shared" si="7"/>
        <v>1.7548551326406756</v>
      </c>
      <c r="AA207" s="73"/>
      <c r="AB207" s="182"/>
      <c r="AC207" s="182"/>
      <c r="AD207" s="182"/>
      <c r="AJ207" s="135"/>
    </row>
    <row r="208" spans="9:36" x14ac:dyDescent="0.35">
      <c r="I208" s="109">
        <v>6.2916565445699998E-2</v>
      </c>
      <c r="J208" s="49">
        <v>9.01713015289121E-10</v>
      </c>
      <c r="K208" s="49">
        <v>8.1148825876740027E-11</v>
      </c>
      <c r="L208" s="156">
        <v>7.0624744965301131E-10</v>
      </c>
      <c r="M208" s="33"/>
      <c r="R208" s="60">
        <v>1216.9053016650771</v>
      </c>
      <c r="S208" s="57">
        <v>2.7148619043264312E-6</v>
      </c>
      <c r="U208" s="127">
        <v>3.4480495791760792E-10</v>
      </c>
      <c r="V208" s="127">
        <v>7.0624744965301131E-10</v>
      </c>
      <c r="W208" s="127">
        <v>1.5046070342108178E-9</v>
      </c>
      <c r="X208" s="128">
        <f t="shared" si="6"/>
        <v>8.1547672285861215E-10</v>
      </c>
      <c r="Y208" s="139">
        <f t="shared" si="7"/>
        <v>1.1293164964034141</v>
      </c>
      <c r="AA208" s="73"/>
      <c r="AB208" s="182"/>
      <c r="AC208" s="182"/>
      <c r="AD208" s="182"/>
      <c r="AJ208" s="135"/>
    </row>
    <row r="209" spans="9:36" x14ac:dyDescent="0.35">
      <c r="I209" s="109">
        <v>6.3545731100199995E-2</v>
      </c>
      <c r="J209" s="49">
        <v>1.0787269235332515E-9</v>
      </c>
      <c r="K209" s="49">
        <v>9.3048752556818912E-11</v>
      </c>
      <c r="L209" s="156">
        <v>1.1651089148371022E-9</v>
      </c>
      <c r="M209" s="33"/>
      <c r="R209" s="60">
        <v>1216.9053016650771</v>
      </c>
      <c r="S209" s="57">
        <v>2.6560478239844319E-6</v>
      </c>
      <c r="U209" s="127">
        <v>1.9816106064066344E-10</v>
      </c>
      <c r="V209" s="127">
        <v>1.1651089148371022E-9</v>
      </c>
      <c r="W209" s="127">
        <v>1.2714201829435068E-9</v>
      </c>
      <c r="X209" s="128">
        <f t="shared" si="6"/>
        <v>9.4994976831459367E-10</v>
      </c>
      <c r="Y209" s="139">
        <f t="shared" si="7"/>
        <v>1.915387035594075</v>
      </c>
      <c r="AA209" s="73"/>
      <c r="AB209" s="182"/>
      <c r="AC209" s="182"/>
      <c r="AD209" s="182"/>
      <c r="AJ209" s="135"/>
    </row>
    <row r="210" spans="9:36" x14ac:dyDescent="0.35">
      <c r="I210" s="109">
        <v>6.4181188411200005E-2</v>
      </c>
      <c r="J210" s="49">
        <v>1.0821188571598128E-9</v>
      </c>
      <c r="K210" s="49">
        <v>9.5809341057992047E-11</v>
      </c>
      <c r="L210" s="157">
        <v>1.493142752063276E-9</v>
      </c>
      <c r="M210" s="18"/>
      <c r="R210" s="60">
        <v>1217.1796324638065</v>
      </c>
      <c r="S210" s="57">
        <v>2.6560478239844319E-6</v>
      </c>
      <c r="U210" s="127">
        <v>3.5125020274483329E-10</v>
      </c>
      <c r="V210" s="127">
        <v>1.493142752063276E-9</v>
      </c>
      <c r="W210" s="127">
        <v>8.3567422718809059E-10</v>
      </c>
      <c r="X210" s="128">
        <f t="shared" si="6"/>
        <v>1.0433024835148689E-9</v>
      </c>
      <c r="Y210" s="139">
        <f t="shared" si="7"/>
        <v>0.16413991829520982</v>
      </c>
      <c r="AA210" s="73"/>
      <c r="AB210" s="182"/>
      <c r="AC210" s="182"/>
      <c r="AD210" s="182"/>
      <c r="AJ210" s="135"/>
    </row>
    <row r="211" spans="9:36" x14ac:dyDescent="0.35">
      <c r="I211" s="49">
        <v>6.4823000295299998E-2</v>
      </c>
      <c r="J211" s="49">
        <v>9.9646561405189652E-10</v>
      </c>
      <c r="K211" s="49">
        <v>9.6760950265919932E-11</v>
      </c>
      <c r="L211" s="157">
        <v>1.53137432689943E-9</v>
      </c>
      <c r="M211" s="18"/>
      <c r="R211" s="60">
        <v>1217.1796324638065</v>
      </c>
      <c r="S211" s="57">
        <v>2.5972324618216061E-6</v>
      </c>
      <c r="U211" s="127">
        <v>7.4874768194234398E-10</v>
      </c>
      <c r="V211" s="127">
        <v>1.53137432689943E-9</v>
      </c>
      <c r="W211" s="127">
        <v>4.1723850961381029E-10</v>
      </c>
      <c r="X211" s="128">
        <f t="shared" si="6"/>
        <v>1.0571837113387536E-9</v>
      </c>
      <c r="Y211" s="139">
        <f t="shared" si="7"/>
        <v>0.39376404500869061</v>
      </c>
      <c r="AA211" s="73"/>
      <c r="AB211" s="182"/>
      <c r="AC211" s="182"/>
      <c r="AD211" s="182"/>
      <c r="AJ211" s="135"/>
    </row>
    <row r="212" spans="9:36" x14ac:dyDescent="0.35">
      <c r="I212" s="49">
        <v>6.5471230298199998E-2</v>
      </c>
      <c r="J212" s="49">
        <v>1.081852870110122E-9</v>
      </c>
      <c r="K212" s="49">
        <v>1.0172106942514972E-10</v>
      </c>
      <c r="L212" s="157">
        <v>1.2551704410786808E-9</v>
      </c>
      <c r="M212" s="18"/>
      <c r="R212" s="60">
        <v>1217.4539632625358</v>
      </c>
      <c r="S212" s="57">
        <v>2.5972324618216061E-6</v>
      </c>
      <c r="U212" s="127">
        <v>1.2184731902464361E-9</v>
      </c>
      <c r="V212" s="127">
        <v>1.2551704410786808E-9</v>
      </c>
      <c r="W212" s="127">
        <v>2.3881912691653016E-10</v>
      </c>
      <c r="X212" s="128">
        <f t="shared" si="6"/>
        <v>9.9190829983008182E-10</v>
      </c>
      <c r="Y212" s="139">
        <f t="shared" si="7"/>
        <v>0.78185833025640661</v>
      </c>
      <c r="AA212" s="73"/>
      <c r="AB212" s="182"/>
      <c r="AC212" s="182"/>
      <c r="AD212" s="182"/>
      <c r="AJ212" s="135"/>
    </row>
    <row r="213" spans="9:36" x14ac:dyDescent="0.35">
      <c r="I213" s="49">
        <v>6.61259426012E-2</v>
      </c>
      <c r="J213" s="49">
        <v>9.9389992969332067E-10</v>
      </c>
      <c r="K213" s="49">
        <v>9.5142534649902711E-11</v>
      </c>
      <c r="L213" s="157">
        <v>7.9660317521411549E-10</v>
      </c>
      <c r="M213" s="18"/>
      <c r="R213" s="60">
        <v>1217.4539632625358</v>
      </c>
      <c r="S213" s="57">
        <v>2.5384183814796068E-6</v>
      </c>
      <c r="U213" s="127">
        <v>1.5445906400785157E-9</v>
      </c>
      <c r="V213" s="127">
        <v>7.9660317521411549E-10</v>
      </c>
      <c r="W213" s="127">
        <v>4.0765930678102917E-10</v>
      </c>
      <c r="X213" s="128">
        <f t="shared" si="6"/>
        <v>8.8636407432194401E-10</v>
      </c>
      <c r="Y213" s="139">
        <f t="shared" si="7"/>
        <v>1.2774889543559482</v>
      </c>
      <c r="AA213" s="73"/>
      <c r="AB213" s="182"/>
      <c r="AC213" s="182"/>
      <c r="AD213" s="182"/>
      <c r="AJ213" s="135"/>
    </row>
    <row r="214" spans="9:36" x14ac:dyDescent="0.35">
      <c r="I214" s="49">
        <v>6.6787202027199996E-2</v>
      </c>
      <c r="J214" s="49">
        <v>9.1646474682401804E-10</v>
      </c>
      <c r="K214" s="49">
        <v>9.3906635145380681E-11</v>
      </c>
      <c r="L214" s="157">
        <v>3.882769010996637E-10</v>
      </c>
      <c r="M214" s="18"/>
      <c r="R214" s="60">
        <v>1217.7329810881681</v>
      </c>
      <c r="S214" s="57">
        <v>2.5384183814796068E-6</v>
      </c>
      <c r="U214" s="127">
        <v>1.5689900610889157E-9</v>
      </c>
      <c r="V214" s="127">
        <v>3.882769010996637E-10</v>
      </c>
      <c r="W214" s="127">
        <v>8.4899359526529354E-10</v>
      </c>
      <c r="X214" s="128">
        <f t="shared" si="6"/>
        <v>7.9863436463838421E-10</v>
      </c>
      <c r="Y214" s="139">
        <f t="shared" si="7"/>
        <v>1.5744251340901358</v>
      </c>
      <c r="AA214" s="73"/>
      <c r="AB214" s="182"/>
      <c r="AC214" s="182"/>
      <c r="AD214" s="182"/>
      <c r="AJ214" s="135"/>
    </row>
    <row r="215" spans="9:36" x14ac:dyDescent="0.35">
      <c r="I215" s="49">
        <v>6.7455074047499994E-2</v>
      </c>
      <c r="J215" s="49">
        <v>7.6764006331377881E-10</v>
      </c>
      <c r="K215" s="49">
        <v>8.7077934418235553E-11</v>
      </c>
      <c r="L215" s="157">
        <v>2.4915506945398077E-10</v>
      </c>
      <c r="M215" s="18"/>
      <c r="R215" s="60">
        <v>1217.7329810881681</v>
      </c>
      <c r="S215" s="57">
        <v>2.479615804576899E-6</v>
      </c>
      <c r="U215" s="127">
        <v>1.2736675950341497E-9</v>
      </c>
      <c r="V215" s="127">
        <v>2.4915506945398077E-10</v>
      </c>
      <c r="W215" s="127">
        <v>1.3341359819705396E-9</v>
      </c>
      <c r="X215" s="128">
        <f t="shared" si="6"/>
        <v>7.7652842897816274E-10</v>
      </c>
      <c r="Y215" s="139">
        <f t="shared" si="7"/>
        <v>1.0419037207286066E-2</v>
      </c>
      <c r="AA215" s="73"/>
      <c r="AB215" s="182"/>
      <c r="AC215" s="182"/>
      <c r="AD215" s="182"/>
      <c r="AJ215" s="135"/>
    </row>
    <row r="216" spans="9:36" x14ac:dyDescent="0.35">
      <c r="I216" s="49">
        <v>6.8129624787999998E-2</v>
      </c>
      <c r="J216" s="49">
        <v>1.0609402546496161E-9</v>
      </c>
      <c r="K216" s="49">
        <v>1.1004489714413776E-10</v>
      </c>
      <c r="L216" s="157">
        <v>4.6696548557986689E-10</v>
      </c>
      <c r="M216" s="18"/>
      <c r="R216" s="60">
        <v>1218.0218765710379</v>
      </c>
      <c r="S216" s="57">
        <v>2.479615804576899E-6</v>
      </c>
      <c r="U216" s="127">
        <v>8.0018444301299416E-10</v>
      </c>
      <c r="V216" s="127">
        <v>4.6696548557986689E-10</v>
      </c>
      <c r="W216" s="127">
        <v>1.5979752020375252E-9</v>
      </c>
      <c r="X216" s="128">
        <f t="shared" si="6"/>
        <v>8.3302265405256327E-10</v>
      </c>
      <c r="Y216" s="139">
        <f t="shared" si="7"/>
        <v>4.2895912502392548</v>
      </c>
      <c r="AA216" s="73"/>
      <c r="AB216" s="182"/>
      <c r="AC216" s="182"/>
      <c r="AD216" s="182"/>
      <c r="AJ216" s="135"/>
    </row>
    <row r="217" spans="9:36" x14ac:dyDescent="0.35">
      <c r="I217" s="49">
        <v>6.8810921035900002E-2</v>
      </c>
      <c r="J217" s="49">
        <v>1.0001838513597339E-9</v>
      </c>
      <c r="K217" s="49">
        <v>1.0596347665753334E-10</v>
      </c>
      <c r="L217" s="157">
        <v>9.4104438614171137E-10</v>
      </c>
      <c r="M217" s="18"/>
      <c r="R217" s="60">
        <v>1218.0218765710379</v>
      </c>
      <c r="S217" s="57">
        <v>2.420863079237547E-6</v>
      </c>
      <c r="U217" s="127">
        <v>3.8891905098894746E-10</v>
      </c>
      <c r="V217" s="127">
        <v>9.4104438614171137E-10</v>
      </c>
      <c r="W217" s="127">
        <v>1.48818846994023E-9</v>
      </c>
      <c r="X217" s="128">
        <f t="shared" si="6"/>
        <v>9.3979907330314994E-10</v>
      </c>
      <c r="Y217" s="139">
        <f t="shared" si="7"/>
        <v>0.32474505803143039</v>
      </c>
      <c r="AA217" s="73"/>
      <c r="AB217" s="182"/>
      <c r="AC217" s="182"/>
      <c r="AD217" s="182"/>
      <c r="AJ217" s="135"/>
    </row>
    <row r="218" spans="9:36" x14ac:dyDescent="0.35">
      <c r="I218" s="49">
        <v>6.9499030246199994E-2</v>
      </c>
      <c r="J218" s="49">
        <v>1.1515537063152038E-9</v>
      </c>
      <c r="K218" s="49">
        <v>1.071381291977496E-10</v>
      </c>
      <c r="L218" s="157">
        <v>1.4242878495299544E-9</v>
      </c>
      <c r="M218" s="18"/>
      <c r="R218" s="60">
        <v>1218.3269924307042</v>
      </c>
      <c r="S218" s="57">
        <v>2.420863079237547E-6</v>
      </c>
      <c r="U218" s="127">
        <v>2.6082923275186901E-10</v>
      </c>
      <c r="V218" s="127">
        <v>1.4242878495299544E-9</v>
      </c>
      <c r="W218" s="127">
        <v>1.0621527339003608E-9</v>
      </c>
      <c r="X218" s="128">
        <f t="shared" si="6"/>
        <v>1.0428894164280346E-9</v>
      </c>
      <c r="Y218" s="139">
        <f t="shared" si="7"/>
        <v>1.0286925042284076</v>
      </c>
      <c r="AA218" s="73"/>
      <c r="AB218" s="182"/>
      <c r="AC218" s="182"/>
      <c r="AD218" s="182"/>
      <c r="AJ218" s="135"/>
    </row>
    <row r="219" spans="9:36" x14ac:dyDescent="0.35">
      <c r="I219" s="49">
        <v>7.0194020548699998E-2</v>
      </c>
      <c r="J219" s="49">
        <v>1.0427481219407279E-9</v>
      </c>
      <c r="K219" s="49">
        <v>1.0324283793034332E-10</v>
      </c>
      <c r="L219" s="157">
        <v>1.6516309167841525E-9</v>
      </c>
      <c r="M219" s="18"/>
      <c r="R219" s="60">
        <v>1218.3269924307042</v>
      </c>
      <c r="S219" s="57">
        <v>2.3622542686518244E-6</v>
      </c>
      <c r="U219" s="127">
        <v>4.9848056625673225E-10</v>
      </c>
      <c r="V219" s="127">
        <v>1.6516309167841525E-9</v>
      </c>
      <c r="W219" s="127">
        <v>5.6778135432889101E-10</v>
      </c>
      <c r="X219" s="128">
        <f t="shared" si="6"/>
        <v>1.092380938538482E-9</v>
      </c>
      <c r="Y219" s="139">
        <f t="shared" si="7"/>
        <v>0.23110959436931239</v>
      </c>
      <c r="AA219" s="73"/>
      <c r="AB219" s="182"/>
      <c r="AC219" s="182"/>
      <c r="AD219" s="182"/>
      <c r="AJ219" s="135"/>
    </row>
    <row r="220" spans="9:36" x14ac:dyDescent="0.35">
      <c r="I220" s="49">
        <v>7.0895960754200002E-2</v>
      </c>
      <c r="J220" s="49">
        <v>9.3273698748949718E-10</v>
      </c>
      <c r="K220" s="49">
        <v>9.9643561696088187E-11</v>
      </c>
      <c r="L220" s="157">
        <v>1.4906675918760384E-9</v>
      </c>
      <c r="M220" s="18"/>
      <c r="R220" s="60">
        <v>1218.6568472803917</v>
      </c>
      <c r="S220" s="57">
        <v>2.3622542686518244E-6</v>
      </c>
      <c r="U220" s="127">
        <v>9.9120135049210512E-10</v>
      </c>
      <c r="V220" s="127">
        <v>1.4906675918760384E-9</v>
      </c>
      <c r="W220" s="127">
        <v>3.0698465591335398E-10</v>
      </c>
      <c r="X220" s="128">
        <f t="shared" si="6"/>
        <v>1.0698802975393839E-9</v>
      </c>
      <c r="Y220" s="139">
        <f t="shared" si="7"/>
        <v>1.8943087663551152</v>
      </c>
      <c r="AA220" s="73"/>
      <c r="AB220" s="182"/>
      <c r="AC220" s="182"/>
      <c r="AD220" s="182"/>
      <c r="AJ220" s="135"/>
    </row>
    <row r="221" spans="9:36" x14ac:dyDescent="0.35">
      <c r="I221" s="49">
        <v>7.1604920361700006E-2</v>
      </c>
      <c r="J221" s="49">
        <v>1.056905226020478E-9</v>
      </c>
      <c r="K221" s="49">
        <v>1.1307290590527749E-10</v>
      </c>
      <c r="L221" s="157">
        <v>1.0284277011600576E-9</v>
      </c>
      <c r="M221" s="18"/>
      <c r="R221" s="60">
        <v>1218.6568472803917</v>
      </c>
      <c r="S221" s="57">
        <v>2.3039849151533654E-6</v>
      </c>
      <c r="U221" s="127">
        <v>1.4821432859341779E-9</v>
      </c>
      <c r="V221" s="127">
        <v>1.0284277011600576E-9</v>
      </c>
      <c r="W221" s="127">
        <v>4.5335611024010165E-10</v>
      </c>
      <c r="X221" s="128">
        <f t="shared" si="6"/>
        <v>9.9808869962359871E-10</v>
      </c>
      <c r="Y221" s="139">
        <f t="shared" si="7"/>
        <v>0.27057124353255535</v>
      </c>
      <c r="AA221" s="73"/>
      <c r="AB221" s="182"/>
      <c r="AC221" s="182"/>
      <c r="AD221" s="182"/>
      <c r="AJ221" s="135"/>
    </row>
    <row r="222" spans="9:36" x14ac:dyDescent="0.35">
      <c r="I222" s="49">
        <v>7.23209695653E-2</v>
      </c>
      <c r="J222" s="49">
        <v>1.1771693231887921E-9</v>
      </c>
      <c r="K222" s="49">
        <v>1.2141015257280935E-10</v>
      </c>
      <c r="L222" s="157">
        <v>5.3525620905895988E-10</v>
      </c>
      <c r="M222" s="18"/>
      <c r="R222" s="60">
        <v>1219.0240286896483</v>
      </c>
      <c r="S222" s="57">
        <v>2.3039849151533654E-6</v>
      </c>
      <c r="U222" s="127">
        <v>1.7021237632086217E-9</v>
      </c>
      <c r="V222" s="127">
        <v>5.3525620905895988E-10</v>
      </c>
      <c r="W222" s="127">
        <v>9.3418980004821408E-10</v>
      </c>
      <c r="X222" s="128">
        <f t="shared" si="6"/>
        <v>9.2670649534368899E-10</v>
      </c>
      <c r="Y222" s="139">
        <f t="shared" si="7"/>
        <v>4.2557543288857644</v>
      </c>
      <c r="AA222" s="73"/>
      <c r="AB222" s="182"/>
      <c r="AC222" s="182"/>
      <c r="AD222" s="182"/>
      <c r="AJ222" s="135"/>
    </row>
    <row r="223" spans="9:36" x14ac:dyDescent="0.35">
      <c r="I223" s="49">
        <v>7.3044179261E-2</v>
      </c>
      <c r="J223" s="49">
        <v>9.167231477692194E-10</v>
      </c>
      <c r="K223" s="49">
        <v>1.0188167907090988E-10</v>
      </c>
      <c r="L223" s="157">
        <v>3.1406544530311631E-10</v>
      </c>
      <c r="M223" s="18"/>
      <c r="R223" s="60">
        <v>1219.0240286896483</v>
      </c>
      <c r="S223" s="57">
        <v>2.2464365959505125E-6</v>
      </c>
      <c r="U223" s="127">
        <v>1.5228730920601116E-9</v>
      </c>
      <c r="V223" s="127">
        <v>3.1406544530311631E-10</v>
      </c>
      <c r="W223" s="127">
        <v>1.4598454713071213E-9</v>
      </c>
      <c r="X223" s="128">
        <f t="shared" si="6"/>
        <v>9.0271236349336637E-10</v>
      </c>
      <c r="Y223" s="139">
        <f t="shared" si="7"/>
        <v>1.8911792972807918E-2</v>
      </c>
      <c r="AA223" s="73"/>
      <c r="AB223" s="182"/>
      <c r="AC223" s="182"/>
      <c r="AD223" s="182"/>
      <c r="AJ223" s="135"/>
    </row>
    <row r="224" spans="9:36" x14ac:dyDescent="0.35">
      <c r="I224" s="49">
        <v>7.3774621053599998E-2</v>
      </c>
      <c r="J224" s="49">
        <v>1.079594486480661E-9</v>
      </c>
      <c r="K224" s="49">
        <v>1.1466628627478959E-10</v>
      </c>
      <c r="L224" s="157">
        <v>5.1575398473182181E-10</v>
      </c>
      <c r="M224" s="18"/>
      <c r="R224" s="60">
        <v>1219.449250517667</v>
      </c>
      <c r="S224" s="57">
        <v>2.2464365959505125E-6</v>
      </c>
      <c r="U224" s="127">
        <v>1.0419279139512815E-9</v>
      </c>
      <c r="V224" s="127">
        <v>5.1575398473182181E-10</v>
      </c>
      <c r="W224" s="127">
        <v>1.69738461884836E-9</v>
      </c>
      <c r="X224" s="128">
        <f t="shared" si="6"/>
        <v>9.4270512556582136E-10</v>
      </c>
      <c r="Y224" s="139">
        <f t="shared" si="7"/>
        <v>1.4251740225157343</v>
      </c>
      <c r="AA224" s="73"/>
      <c r="AB224" s="182"/>
      <c r="AC224" s="182"/>
      <c r="AD224" s="182"/>
      <c r="AJ224" s="135"/>
    </row>
    <row r="225" spans="9:36" x14ac:dyDescent="0.35">
      <c r="I225" s="49">
        <v>7.4512367264100002E-2</v>
      </c>
      <c r="J225" s="49">
        <v>1.084100586261547E-9</v>
      </c>
      <c r="K225" s="49">
        <v>1.2212357718050353E-10</v>
      </c>
      <c r="L225" s="157">
        <v>1.0337459852289763E-9</v>
      </c>
      <c r="M225" s="18"/>
      <c r="R225" s="60">
        <v>1219.449250517667</v>
      </c>
      <c r="S225" s="57">
        <v>2.1903480584319492E-6</v>
      </c>
      <c r="U225" s="127">
        <v>5.4077301906728137E-10</v>
      </c>
      <c r="V225" s="127">
        <v>1.0337459852289763E-9</v>
      </c>
      <c r="W225" s="127">
        <v>1.488404249449682E-9</v>
      </c>
      <c r="X225" s="128">
        <f t="shared" si="6"/>
        <v>1.0241673097437289E-9</v>
      </c>
      <c r="Y225" s="139">
        <f t="shared" si="7"/>
        <v>0.24084465249868237</v>
      </c>
      <c r="AA225" s="73"/>
      <c r="AB225" s="182"/>
      <c r="AC225" s="182"/>
      <c r="AD225" s="182"/>
      <c r="AJ225" s="135"/>
    </row>
    <row r="226" spans="9:36" x14ac:dyDescent="0.35">
      <c r="I226" s="49">
        <v>7.5257490936799995E-2</v>
      </c>
      <c r="J226" s="49">
        <v>1.0850240706582314E-9</v>
      </c>
      <c r="K226" s="49">
        <v>1.1879168129444682E-10</v>
      </c>
      <c r="L226" s="157">
        <v>1.554291521051098E-9</v>
      </c>
      <c r="M226" s="18"/>
      <c r="R226" s="60">
        <v>1219.9717732275337</v>
      </c>
      <c r="S226" s="57">
        <v>2.1903480584319492E-6</v>
      </c>
      <c r="U226" s="127">
        <v>3.2754097158318163E-10</v>
      </c>
      <c r="V226" s="127">
        <v>1.554291521051098E-9</v>
      </c>
      <c r="W226" s="127">
        <v>9.6794777283170512E-10</v>
      </c>
      <c r="X226" s="128">
        <f t="shared" si="6"/>
        <v>1.1010179466292706E-9</v>
      </c>
      <c r="Y226" s="139">
        <f t="shared" si="7"/>
        <v>1.8127394636677906E-2</v>
      </c>
      <c r="AA226" s="73"/>
      <c r="AB226" s="182"/>
      <c r="AC226" s="182"/>
      <c r="AD226" s="182"/>
      <c r="AJ226" s="135"/>
    </row>
    <row r="227" spans="9:36" x14ac:dyDescent="0.35">
      <c r="I227" s="49">
        <v>7.6010065846099997E-2</v>
      </c>
      <c r="J227" s="49">
        <v>1.1513842893038867E-9</v>
      </c>
      <c r="K227" s="49">
        <v>1.2850504452960566E-10</v>
      </c>
      <c r="L227" s="157">
        <v>1.7466339855547996E-9</v>
      </c>
      <c r="M227" s="18"/>
      <c r="R227" s="60">
        <v>1219.9717732275337</v>
      </c>
      <c r="S227" s="57">
        <v>2.1372012088760173E-6</v>
      </c>
      <c r="U227" s="127">
        <v>5.4895745827102511E-10</v>
      </c>
      <c r="V227" s="127">
        <v>1.7466339855547996E-9</v>
      </c>
      <c r="W227" s="127">
        <v>4.9154786901749529E-10</v>
      </c>
      <c r="X227" s="128">
        <f t="shared" si="6"/>
        <v>1.13344332459953E-9</v>
      </c>
      <c r="Y227" s="139">
        <f t="shared" si="7"/>
        <v>1.9491767871691278E-2</v>
      </c>
      <c r="AA227" s="73"/>
      <c r="AB227" s="182"/>
      <c r="AC227" s="182"/>
      <c r="AD227" s="182"/>
      <c r="AJ227" s="135"/>
    </row>
    <row r="228" spans="9:36" x14ac:dyDescent="0.35">
      <c r="I228" s="49">
        <v>7.6770166504600001E-2</v>
      </c>
      <c r="J228" s="49">
        <v>1.1391830823095322E-9</v>
      </c>
      <c r="K228" s="49">
        <v>1.2668551573293507E-10</v>
      </c>
      <c r="L228" s="157">
        <v>1.4813703244745363E-9</v>
      </c>
      <c r="M228" s="18"/>
      <c r="R228" s="60">
        <v>1220.6849504155573</v>
      </c>
      <c r="S228" s="57">
        <v>2.1372012088760173E-6</v>
      </c>
      <c r="U228" s="127">
        <v>1.0869241407793372E-9</v>
      </c>
      <c r="V228" s="127">
        <v>1.4813703244745363E-9</v>
      </c>
      <c r="W228" s="127">
        <v>4.0104330187865953E-10</v>
      </c>
      <c r="X228" s="128">
        <f t="shared" si="6"/>
        <v>1.1126770229017675E-9</v>
      </c>
      <c r="Y228" s="139">
        <f t="shared" si="7"/>
        <v>4.3776033343546121E-2</v>
      </c>
      <c r="AA228" s="73"/>
      <c r="AB228" s="182"/>
      <c r="AC228" s="182"/>
      <c r="AD228" s="182"/>
      <c r="AJ228" s="135"/>
    </row>
    <row r="229" spans="9:36" x14ac:dyDescent="0.35">
      <c r="I229" s="49">
        <v>7.7537868169599997E-2</v>
      </c>
      <c r="J229" s="49">
        <v>1.0013598705877472E-9</v>
      </c>
      <c r="K229" s="49">
        <v>1.2802000820005331E-10</v>
      </c>
      <c r="L229" s="157">
        <v>9.3166894495573767E-10</v>
      </c>
      <c r="M229" s="18"/>
      <c r="R229" s="60">
        <v>1220.6849504155573</v>
      </c>
      <c r="S229" s="57">
        <v>2.0902331201823617E-6</v>
      </c>
      <c r="U229" s="127">
        <v>1.6156174402650531E-9</v>
      </c>
      <c r="V229" s="127">
        <v>9.3166894495573767E-10</v>
      </c>
      <c r="W229" s="127">
        <v>7.7977834374960002E-10</v>
      </c>
      <c r="X229" s="128">
        <f t="shared" si="6"/>
        <v>1.0646834184815322E-9</v>
      </c>
      <c r="Y229" s="139">
        <f t="shared" si="7"/>
        <v>0.24466665118700578</v>
      </c>
      <c r="AA229" s="73"/>
      <c r="AB229" s="182"/>
      <c r="AC229" s="182"/>
      <c r="AD229" s="182"/>
      <c r="AJ229" s="135"/>
    </row>
    <row r="230" spans="9:36" x14ac:dyDescent="0.35">
      <c r="I230" s="49">
        <v>7.8313246851300006E-2</v>
      </c>
      <c r="J230" s="49">
        <v>8.6269722915025927E-10</v>
      </c>
      <c r="K230" s="49">
        <v>1.1961813956844574E-10</v>
      </c>
      <c r="L230" s="157">
        <v>4.7460160006360976E-10</v>
      </c>
      <c r="M230" s="27"/>
      <c r="R230" s="60">
        <v>1221.9665392909312</v>
      </c>
      <c r="S230" s="57">
        <v>2.0902331201823617E-6</v>
      </c>
      <c r="U230" s="127">
        <v>1.7993083481214798E-9</v>
      </c>
      <c r="V230" s="127">
        <v>4.7460160006360976E-10</v>
      </c>
      <c r="W230" s="127">
        <v>1.3748542575369767E-9</v>
      </c>
      <c r="X230" s="128">
        <f t="shared" si="6"/>
        <v>1.030841451446419E-9</v>
      </c>
      <c r="Y230" s="139">
        <f t="shared" si="7"/>
        <v>1.975922063628343</v>
      </c>
      <c r="AA230" s="73"/>
      <c r="AB230" s="182"/>
      <c r="AC230" s="182"/>
      <c r="AD230" s="182"/>
      <c r="AJ230" s="135"/>
    </row>
    <row r="231" spans="9:36" x14ac:dyDescent="0.35">
      <c r="I231" s="49">
        <v>7.90963793198E-2</v>
      </c>
      <c r="J231" s="49">
        <v>1.1055260111093071E-9</v>
      </c>
      <c r="K231" s="49">
        <v>1.281684048991835E-10</v>
      </c>
      <c r="L231" s="157">
        <v>4.405341674405943E-10</v>
      </c>
      <c r="M231" s="27"/>
      <c r="R231" s="60">
        <v>1221.9665392909312</v>
      </c>
      <c r="S231" s="57">
        <v>2.0577663288966177E-6</v>
      </c>
      <c r="U231" s="127">
        <v>1.5143243448511454E-9</v>
      </c>
      <c r="V231" s="127">
        <v>4.405341674405943E-10</v>
      </c>
      <c r="W231" s="127">
        <v>1.7620254480348643E-9</v>
      </c>
      <c r="X231" s="128">
        <f t="shared" si="6"/>
        <v>1.0393545319417997E-9</v>
      </c>
      <c r="Y231" s="139">
        <f t="shared" si="7"/>
        <v>0.26655063823509501</v>
      </c>
      <c r="AA231" s="73"/>
      <c r="AB231" s="182"/>
      <c r="AC231" s="182"/>
      <c r="AD231" s="182"/>
      <c r="AJ231" s="135"/>
    </row>
    <row r="232" spans="9:36" x14ac:dyDescent="0.35">
      <c r="I232" s="49">
        <v>7.9887343112999998E-2</v>
      </c>
      <c r="J232" s="49">
        <v>1.0418978309972398E-9</v>
      </c>
      <c r="K232" s="49">
        <v>1.3388053878358098E-10</v>
      </c>
      <c r="L232" s="157">
        <v>8.7412055808797573E-10</v>
      </c>
      <c r="M232" s="27"/>
      <c r="R232" s="60">
        <v>1223.6876208790054</v>
      </c>
      <c r="S232" s="57">
        <v>2.0577663288966177E-6</v>
      </c>
      <c r="U232" s="127">
        <v>9.4704894624564871E-10</v>
      </c>
      <c r="V232" s="127">
        <v>8.7412055808797573E-10</v>
      </c>
      <c r="W232" s="127">
        <v>1.6540470152273445E-9</v>
      </c>
      <c r="X232" s="128">
        <f t="shared" si="6"/>
        <v>1.0873342694122361E-9</v>
      </c>
      <c r="Y232" s="139">
        <f t="shared" si="7"/>
        <v>0.11517909448816793</v>
      </c>
      <c r="AA232" s="73"/>
      <c r="AB232" s="182"/>
      <c r="AC232" s="182"/>
      <c r="AD232" s="182"/>
      <c r="AJ232" s="135"/>
    </row>
    <row r="233" spans="9:36" x14ac:dyDescent="0.35">
      <c r="I233" s="49">
        <v>8.0686216544199996E-2</v>
      </c>
      <c r="J233" s="49">
        <v>8.8542026543405286E-10</v>
      </c>
      <c r="K233" s="49">
        <v>1.3000805111971549E-10</v>
      </c>
      <c r="L233" s="157">
        <v>1.4828511466741479E-9</v>
      </c>
      <c r="M233" s="27"/>
      <c r="R233" s="60">
        <v>1223.6876208790054</v>
      </c>
      <c r="S233" s="57">
        <v>2.0532802858060381E-6</v>
      </c>
      <c r="U233" s="127">
        <v>4.8675706607415372E-10</v>
      </c>
      <c r="V233" s="127">
        <v>1.4828511466741479E-9</v>
      </c>
      <c r="W233" s="127">
        <v>1.1299079956493549E-9</v>
      </c>
      <c r="X233" s="128">
        <f t="shared" si="6"/>
        <v>1.1455918387679512E-9</v>
      </c>
      <c r="Y233" s="139">
        <f t="shared" si="7"/>
        <v>4.0047848598127258</v>
      </c>
      <c r="AA233" s="73"/>
      <c r="AB233" s="182"/>
      <c r="AC233" s="182"/>
      <c r="AD233" s="182"/>
      <c r="AJ233" s="135"/>
    </row>
    <row r="234" spans="9:36" x14ac:dyDescent="0.35">
      <c r="I234" s="49">
        <v>8.14930787096E-2</v>
      </c>
      <c r="J234" s="49">
        <v>9.8021790764406073E-10</v>
      </c>
      <c r="K234" s="49">
        <v>1.3451791981397138E-10</v>
      </c>
      <c r="L234" s="157">
        <v>1.8313856682088078E-9</v>
      </c>
      <c r="M234" s="27"/>
      <c r="R234" s="60">
        <v>1323.6876208790054</v>
      </c>
      <c r="S234" s="57">
        <v>2.0532802858060381E-6</v>
      </c>
      <c r="U234" s="127">
        <v>4.6659727401154345E-10</v>
      </c>
      <c r="V234" s="127">
        <v>1.8313856682088078E-9</v>
      </c>
      <c r="W234" s="127">
        <v>5.9680498499733671E-10</v>
      </c>
      <c r="X234" s="128">
        <f t="shared" si="6"/>
        <v>1.1815433988566239E-9</v>
      </c>
      <c r="Y234" s="139">
        <f t="shared" si="7"/>
        <v>2.2399444561201904</v>
      </c>
      <c r="AA234" s="73"/>
      <c r="AB234" s="182"/>
      <c r="AC234" s="182"/>
      <c r="AD234" s="182"/>
      <c r="AJ234" s="135"/>
    </row>
    <row r="235" spans="9:36" x14ac:dyDescent="0.35">
      <c r="I235" s="49">
        <v>8.2308009496700002E-2</v>
      </c>
      <c r="J235" s="49">
        <v>1.5549813319921049E-9</v>
      </c>
      <c r="K235" s="49">
        <v>1.7065697690072247E-10</v>
      </c>
      <c r="L235" s="157">
        <v>1.6603906055972968E-9</v>
      </c>
      <c r="M235" s="27"/>
      <c r="U235" s="127">
        <v>9.2216987519870201E-10</v>
      </c>
      <c r="V235" s="127">
        <v>1.6603906055972968E-9</v>
      </c>
      <c r="W235" s="127">
        <v>4.8737597210272761E-10</v>
      </c>
      <c r="X235" s="128">
        <f t="shared" si="6"/>
        <v>1.1825817646240058E-9</v>
      </c>
      <c r="Y235" s="139">
        <f t="shared" si="7"/>
        <v>4.761790008457484</v>
      </c>
      <c r="AA235" s="73"/>
      <c r="AB235" s="182"/>
      <c r="AC235" s="182"/>
      <c r="AD235" s="182"/>
      <c r="AJ235" s="135"/>
    </row>
    <row r="236" spans="9:36" x14ac:dyDescent="0.35">
      <c r="I236" s="49">
        <v>8.31310895917E-2</v>
      </c>
      <c r="J236" s="49">
        <v>1.140482860922175E-9</v>
      </c>
      <c r="K236" s="49">
        <v>1.483788175443917E-10</v>
      </c>
      <c r="L236" s="157">
        <v>1.0970361414255719E-9</v>
      </c>
      <c r="M236" s="27"/>
      <c r="U236" s="127">
        <v>1.5459145202617007E-9</v>
      </c>
      <c r="V236" s="127">
        <v>1.0970361414255719E-9</v>
      </c>
      <c r="W236" s="127">
        <v>9.1101554706080441E-10</v>
      </c>
      <c r="X236" s="128">
        <f t="shared" si="6"/>
        <v>1.1627505875434122E-9</v>
      </c>
      <c r="Y236" s="139">
        <f t="shared" si="7"/>
        <v>2.2522051652889043E-2</v>
      </c>
      <c r="AA236" s="73"/>
      <c r="AB236" s="182"/>
      <c r="AC236" s="182"/>
      <c r="AD236" s="182"/>
      <c r="AJ236" s="135"/>
    </row>
    <row r="237" spans="9:36" x14ac:dyDescent="0.35">
      <c r="I237" s="49">
        <v>8.3962400487599995E-2</v>
      </c>
      <c r="J237" s="49">
        <v>1.2110621484155777E-9</v>
      </c>
      <c r="K237" s="49">
        <v>1.5166900973701484E-10</v>
      </c>
      <c r="L237" s="157">
        <v>5.8052583692503687E-10</v>
      </c>
      <c r="M237" s="27"/>
      <c r="U237" s="127">
        <v>1.8920287246927584E-9</v>
      </c>
      <c r="V237" s="127">
        <v>5.8052583692503687E-10</v>
      </c>
      <c r="W237" s="127">
        <v>1.5433180008564163E-9</v>
      </c>
      <c r="X237" s="128">
        <f t="shared" si="6"/>
        <v>1.1490995998498121E-9</v>
      </c>
      <c r="Y237" s="139">
        <f t="shared" si="7"/>
        <v>0.16690326870756841</v>
      </c>
      <c r="AA237" s="73"/>
      <c r="AB237" s="182"/>
      <c r="AC237" s="182"/>
      <c r="AD237" s="182"/>
      <c r="AJ237" s="135"/>
    </row>
    <row r="238" spans="9:36" x14ac:dyDescent="0.35">
      <c r="I238" s="49">
        <v>8.4802024492500003E-2</v>
      </c>
      <c r="J238" s="49">
        <v>1.4412019560611568E-9</v>
      </c>
      <c r="K238" s="49">
        <v>1.6677037557253247E-10</v>
      </c>
      <c r="L238" s="157">
        <v>5.3252846747815196E-10</v>
      </c>
      <c r="M238" s="27"/>
      <c r="U238" s="127">
        <v>1.7032266180335503E-9</v>
      </c>
      <c r="V238" s="127">
        <v>5.3252846747815196E-10</v>
      </c>
      <c r="W238" s="127">
        <v>1.8712374528019249E-9</v>
      </c>
      <c r="X238" s="128">
        <f t="shared" si="6"/>
        <v>1.1598802514479447E-9</v>
      </c>
      <c r="Y238" s="139">
        <f t="shared" si="7"/>
        <v>2.8455660252435568</v>
      </c>
      <c r="AA238" s="73"/>
      <c r="AB238" s="182"/>
      <c r="AC238" s="182"/>
      <c r="AD238" s="182"/>
      <c r="AJ238" s="135"/>
    </row>
    <row r="239" spans="9:36" x14ac:dyDescent="0.35">
      <c r="I239" s="49">
        <v>8.5650044737399997E-2</v>
      </c>
      <c r="J239" s="49">
        <v>1.3655491668295546E-9</v>
      </c>
      <c r="K239" s="49">
        <v>1.6940233858215146E-10</v>
      </c>
      <c r="L239" s="157">
        <v>1.0143854785801182E-9</v>
      </c>
      <c r="M239" s="27"/>
      <c r="U239" s="127">
        <v>1.1202929840114067E-9</v>
      </c>
      <c r="V239" s="127">
        <v>1.0143854785801182E-9</v>
      </c>
      <c r="W239" s="127">
        <v>1.6197364578715964E-9</v>
      </c>
      <c r="X239" s="128">
        <f t="shared" si="6"/>
        <v>1.1922000997608099E-9</v>
      </c>
      <c r="Y239" s="139">
        <f t="shared" si="7"/>
        <v>1.0471387098466944</v>
      </c>
      <c r="AA239" s="73"/>
      <c r="AB239" s="182"/>
      <c r="AC239" s="182"/>
      <c r="AD239" s="182"/>
      <c r="AJ239" s="135"/>
    </row>
    <row r="240" spans="9:36" x14ac:dyDescent="0.35">
      <c r="I240" s="49">
        <v>8.6506545184799999E-2</v>
      </c>
      <c r="J240" s="49">
        <v>1.2355236560197174E-9</v>
      </c>
      <c r="K240" s="49">
        <v>1.6076513742393041E-10</v>
      </c>
      <c r="L240" s="157">
        <v>1.6538531787849405E-9</v>
      </c>
      <c r="M240" s="27"/>
      <c r="U240" s="127">
        <v>5.977588641353503E-10</v>
      </c>
      <c r="V240" s="127">
        <v>1.6538531787849405E-9</v>
      </c>
      <c r="W240" s="127">
        <v>1.0055924655272885E-9</v>
      </c>
      <c r="X240" s="128">
        <f t="shared" si="6"/>
        <v>1.2277644218081299E-9</v>
      </c>
      <c r="Y240" s="139">
        <f t="shared" si="7"/>
        <v>2.3294530956717739E-3</v>
      </c>
      <c r="AA240" s="73"/>
      <c r="AB240" s="182"/>
      <c r="AC240" s="182"/>
      <c r="AD240" s="182"/>
      <c r="AJ240" s="135"/>
    </row>
    <row r="241" spans="9:36" x14ac:dyDescent="0.35">
      <c r="I241" s="49">
        <v>8.7371610636599997E-2</v>
      </c>
      <c r="J241" s="49">
        <v>1.2562178873537408E-9</v>
      </c>
      <c r="K241" s="49">
        <v>8.1076510062718393E-11</v>
      </c>
      <c r="L241" s="157">
        <v>1.9307360500951711E-9</v>
      </c>
      <c r="M241" s="27"/>
      <c r="U241" s="127">
        <v>5.6250079222329892E-10</v>
      </c>
      <c r="V241" s="127">
        <v>1.9307360500951711E-9</v>
      </c>
      <c r="W241" s="127">
        <v>5.7535689917896525E-10</v>
      </c>
      <c r="X241" s="128">
        <f t="shared" si="6"/>
        <v>1.2498324478981516E-9</v>
      </c>
      <c r="Y241" s="139">
        <f t="shared" si="7"/>
        <v>6.2028530196129774E-3</v>
      </c>
      <c r="AA241" s="73"/>
      <c r="AB241" s="182"/>
      <c r="AC241" s="182"/>
      <c r="AD241" s="182"/>
      <c r="AJ241" s="135"/>
    </row>
    <row r="242" spans="9:36" x14ac:dyDescent="0.35">
      <c r="I242" s="49">
        <v>8.8245326742999994E-2</v>
      </c>
      <c r="J242" s="49">
        <v>1.2241305196202755E-9</v>
      </c>
      <c r="K242" s="49">
        <v>7.7838862425419236E-11</v>
      </c>
      <c r="L242" s="157">
        <v>1.6125223407103823E-9</v>
      </c>
      <c r="M242" s="27"/>
      <c r="U242" s="127">
        <v>1.0663787023061913E-9</v>
      </c>
      <c r="V242" s="127">
        <v>1.6125223407103823E-9</v>
      </c>
      <c r="W242" s="127">
        <v>7.3260463749483929E-10</v>
      </c>
      <c r="X242" s="128">
        <f t="shared" si="6"/>
        <v>1.2560070053054489E-9</v>
      </c>
      <c r="Y242" s="139">
        <f t="shared" si="7"/>
        <v>0.16770573332375188</v>
      </c>
      <c r="AA242" s="73"/>
      <c r="AB242" s="182"/>
      <c r="AC242" s="182"/>
      <c r="AD242" s="182"/>
      <c r="AJ242" s="135"/>
    </row>
    <row r="243" spans="9:36" x14ac:dyDescent="0.35">
      <c r="I243" s="49">
        <v>8.9127780010400004E-2</v>
      </c>
      <c r="J243" s="49">
        <v>1.4919750982424574E-9</v>
      </c>
      <c r="K243" s="49">
        <v>8.9963324337113075E-11</v>
      </c>
      <c r="L243" s="157">
        <v>9.7434142400901013E-10</v>
      </c>
      <c r="M243" s="27"/>
      <c r="U243" s="127">
        <v>1.7199741648017395E-9</v>
      </c>
      <c r="V243" s="127">
        <v>9.7434142400901013E-10</v>
      </c>
      <c r="W243" s="127">
        <v>1.359171388942341E-9</v>
      </c>
      <c r="X243" s="128">
        <f t="shared" si="6"/>
        <v>1.256957100440525E-9</v>
      </c>
      <c r="Y243" s="139">
        <f t="shared" si="7"/>
        <v>6.8245065315212248</v>
      </c>
      <c r="AA243" s="73"/>
      <c r="AB243" s="182"/>
      <c r="AC243" s="182"/>
      <c r="AD243" s="182"/>
      <c r="AJ243" s="135"/>
    </row>
    <row r="244" spans="9:36" x14ac:dyDescent="0.35">
      <c r="I244" s="49">
        <v>9.00190578105E-2</v>
      </c>
      <c r="J244" s="49">
        <v>1.3277426690151723E-9</v>
      </c>
      <c r="K244" s="49">
        <v>8.1428886501455189E-11</v>
      </c>
      <c r="L244" s="157">
        <v>5.8592215895278302E-10</v>
      </c>
      <c r="M244" s="27"/>
      <c r="U244" s="127">
        <v>1.9919739189878521E-9</v>
      </c>
      <c r="V244" s="127">
        <v>5.8592215895278302E-10</v>
      </c>
      <c r="W244" s="127">
        <v>1.8947701947865285E-9</v>
      </c>
      <c r="X244" s="128">
        <f t="shared" si="6"/>
        <v>1.2646471079199866E-9</v>
      </c>
      <c r="Y244" s="139">
        <f t="shared" si="7"/>
        <v>0.60039991409207283</v>
      </c>
      <c r="AA244" s="73"/>
      <c r="AB244" s="182"/>
      <c r="AC244" s="182"/>
      <c r="AD244" s="182"/>
      <c r="AJ244" s="135"/>
    </row>
    <row r="245" spans="9:36" x14ac:dyDescent="0.35">
      <c r="I245" s="49">
        <v>9.0919248388599994E-2</v>
      </c>
      <c r="J245" s="49">
        <v>1.3476946279158635E-9</v>
      </c>
      <c r="K245" s="49">
        <v>8.6810841326550714E-11</v>
      </c>
      <c r="L245" s="157">
        <v>8.1538206843104605E-10</v>
      </c>
      <c r="M245" s="27"/>
      <c r="U245" s="127">
        <v>1.6543324925722744E-9</v>
      </c>
      <c r="V245" s="127">
        <v>8.1538206843104605E-10</v>
      </c>
      <c r="W245" s="127">
        <v>1.8437422534489401E-9</v>
      </c>
      <c r="X245" s="128">
        <f t="shared" si="6"/>
        <v>1.2822097207208265E-9</v>
      </c>
      <c r="Y245" s="139">
        <f t="shared" si="7"/>
        <v>0.56902913362734708</v>
      </c>
      <c r="AA245" s="73"/>
      <c r="AB245" s="182"/>
      <c r="AC245" s="182"/>
      <c r="AD245" s="182"/>
      <c r="AJ245" s="135"/>
    </row>
    <row r="246" spans="9:36" x14ac:dyDescent="0.35">
      <c r="I246" s="49">
        <v>9.18284408725E-2</v>
      </c>
      <c r="J246" s="49">
        <v>1.4839907254853081E-9</v>
      </c>
      <c r="K246" s="49">
        <v>8.9869715546548196E-11</v>
      </c>
      <c r="L246" s="157">
        <v>1.4793082384233805E-9</v>
      </c>
      <c r="M246" s="27"/>
      <c r="U246" s="127">
        <v>9.9906451562098228E-10</v>
      </c>
      <c r="V246" s="127">
        <v>1.4793082384233805E-9</v>
      </c>
      <c r="W246" s="127">
        <v>1.258194700607084E-9</v>
      </c>
      <c r="X246" s="128">
        <f t="shared" si="6"/>
        <v>1.3039689232687069E-9</v>
      </c>
      <c r="Y246" s="139">
        <f t="shared" si="7"/>
        <v>4.0125778934395679</v>
      </c>
      <c r="AA246" s="73"/>
      <c r="AB246" s="182"/>
      <c r="AC246" s="182"/>
      <c r="AD246" s="182"/>
      <c r="AJ246" s="135"/>
    </row>
    <row r="247" spans="9:36" x14ac:dyDescent="0.35">
      <c r="I247" s="49">
        <v>9.2746725281199996E-2</v>
      </c>
      <c r="J247" s="49">
        <v>1.2626324303644339E-9</v>
      </c>
      <c r="K247" s="49">
        <v>8.2719100394061345E-11</v>
      </c>
      <c r="L247" s="157">
        <v>1.9818269679803102E-9</v>
      </c>
      <c r="M247" s="27"/>
      <c r="U247" s="127">
        <v>6.1109061804929654E-10</v>
      </c>
      <c r="V247" s="127">
        <v>1.9818269679803102E-9</v>
      </c>
      <c r="W247" s="127">
        <v>7.1783674962128339E-10</v>
      </c>
      <c r="X247" s="128">
        <f t="shared" si="6"/>
        <v>1.3231453259078E-9</v>
      </c>
      <c r="Y247" s="139">
        <f t="shared" si="7"/>
        <v>0.5351607621772847</v>
      </c>
      <c r="AA247" s="73"/>
      <c r="AB247" s="182"/>
      <c r="AC247" s="182"/>
      <c r="AD247" s="182"/>
      <c r="AJ247" s="135"/>
    </row>
    <row r="248" spans="9:36" x14ac:dyDescent="0.35">
      <c r="I248" s="49">
        <v>9.3674192534E-2</v>
      </c>
      <c r="J248" s="49">
        <v>1.3952825450724697E-9</v>
      </c>
      <c r="K248" s="49">
        <v>8.6880397706644478E-11</v>
      </c>
      <c r="L248" s="157">
        <v>1.8574337978622221E-9</v>
      </c>
      <c r="M248" s="27"/>
      <c r="U248" s="127">
        <v>8.5859324177864758E-10</v>
      </c>
      <c r="V248" s="127">
        <v>1.8574337978622221E-9</v>
      </c>
      <c r="W248" s="127">
        <v>7.7882814782822801E-10</v>
      </c>
      <c r="X248" s="128">
        <f t="shared" si="6"/>
        <v>1.33807224633283E-9</v>
      </c>
      <c r="Y248" s="139">
        <f t="shared" si="7"/>
        <v>0.43361553241410555</v>
      </c>
      <c r="AA248" s="73"/>
      <c r="AB248" s="182"/>
      <c r="AC248" s="182"/>
      <c r="AD248" s="182"/>
      <c r="AJ248" s="135"/>
    </row>
    <row r="249" spans="9:36" x14ac:dyDescent="0.35">
      <c r="I249" s="49">
        <v>9.4610934459399998E-2</v>
      </c>
      <c r="J249" s="49">
        <v>1.4971829290437923E-9</v>
      </c>
      <c r="K249" s="49">
        <v>8.9386520944669491E-11</v>
      </c>
      <c r="L249" s="157">
        <v>1.2290309890105854E-9</v>
      </c>
      <c r="M249" s="27"/>
      <c r="U249" s="127">
        <v>1.5424819403745755E-9</v>
      </c>
      <c r="V249" s="127">
        <v>1.2290309890105854E-9</v>
      </c>
      <c r="W249" s="127">
        <v>1.4054672726788239E-9</v>
      </c>
      <c r="X249" s="128">
        <f t="shared" si="6"/>
        <v>1.3515027977686427E-9</v>
      </c>
      <c r="Y249" s="139">
        <f t="shared" si="7"/>
        <v>2.6561743580491526</v>
      </c>
      <c r="AA249" s="73"/>
      <c r="AB249" s="182"/>
      <c r="AC249" s="182"/>
      <c r="AD249" s="182"/>
      <c r="AJ249" s="135"/>
    </row>
    <row r="250" spans="9:36" x14ac:dyDescent="0.35">
      <c r="I250" s="49">
        <v>9.5557043804E-2</v>
      </c>
      <c r="J250" s="49">
        <v>1.537835513757427E-9</v>
      </c>
      <c r="K250" s="49">
        <v>9.2150448140703629E-11</v>
      </c>
      <c r="L250" s="157">
        <v>7.2010119874321445E-10</v>
      </c>
      <c r="M250" s="27"/>
      <c r="U250" s="127">
        <v>2.0491892070507827E-9</v>
      </c>
      <c r="V250" s="127">
        <v>7.2010119874321445E-10</v>
      </c>
      <c r="W250" s="127">
        <v>1.97490722866926E-9</v>
      </c>
      <c r="X250" s="128">
        <f t="shared" si="6"/>
        <v>1.366074708301618E-9</v>
      </c>
      <c r="Y250" s="139">
        <f t="shared" si="7"/>
        <v>3.4741873356826445</v>
      </c>
      <c r="AA250" s="73"/>
      <c r="AB250" s="182"/>
      <c r="AC250" s="182"/>
      <c r="AD250" s="182"/>
      <c r="AJ250" s="135"/>
    </row>
    <row r="251" spans="9:36" x14ac:dyDescent="0.35">
      <c r="I251" s="49">
        <v>9.6512614242E-2</v>
      </c>
      <c r="J251" s="49">
        <v>1.2173831459312642E-9</v>
      </c>
      <c r="K251" s="49">
        <v>8.1590217712493341E-11</v>
      </c>
      <c r="L251" s="157">
        <v>8.5756247566548557E-10</v>
      </c>
      <c r="M251" s="27"/>
      <c r="U251" s="127">
        <v>1.9098394486677139E-9</v>
      </c>
      <c r="V251" s="127">
        <v>8.5756247566548557E-10</v>
      </c>
      <c r="W251" s="127">
        <v>1.903044078516263E-9</v>
      </c>
      <c r="X251" s="128">
        <f t="shared" si="6"/>
        <v>1.3820021196287371E-9</v>
      </c>
      <c r="Y251" s="139">
        <f t="shared" si="7"/>
        <v>4.0708358978938888</v>
      </c>
      <c r="AA251" s="73"/>
      <c r="AB251" s="182"/>
      <c r="AC251" s="182"/>
      <c r="AD251" s="182"/>
      <c r="AJ251" s="135"/>
    </row>
    <row r="252" spans="9:36" x14ac:dyDescent="0.35">
      <c r="I252" s="49">
        <v>9.7477740384400005E-2</v>
      </c>
      <c r="J252" s="49">
        <v>1.4369598950021873E-9</v>
      </c>
      <c r="K252" s="49">
        <v>9.3253754747334351E-11</v>
      </c>
      <c r="L252" s="157">
        <v>1.5288767128864315E-9</v>
      </c>
      <c r="M252" s="27"/>
      <c r="U252" s="127">
        <v>1.2619407128436118E-9</v>
      </c>
      <c r="V252" s="127">
        <v>1.5288767128864315E-9</v>
      </c>
      <c r="W252" s="127">
        <v>1.2739322217182474E-9</v>
      </c>
      <c r="X252" s="128">
        <f t="shared" si="6"/>
        <v>1.3984065900836805E-9</v>
      </c>
      <c r="Y252" s="139">
        <f t="shared" si="7"/>
        <v>0.17091909003737779</v>
      </c>
      <c r="AA252" s="73"/>
      <c r="AB252" s="182"/>
      <c r="AC252" s="182"/>
      <c r="AD252" s="182"/>
      <c r="AJ252" s="135"/>
    </row>
    <row r="253" spans="9:36" x14ac:dyDescent="0.35">
      <c r="I253" s="49">
        <v>9.8452517788299998E-2</v>
      </c>
      <c r="J253" s="49">
        <v>1.46474277836195E-9</v>
      </c>
      <c r="K253" s="49">
        <v>8.8549572203506289E-11</v>
      </c>
      <c r="L253" s="157">
        <v>2.0642045581538036E-9</v>
      </c>
      <c r="M253" s="27"/>
      <c r="U253" s="127">
        <v>7.4810161991797523E-10</v>
      </c>
      <c r="V253" s="127">
        <v>2.0642045581538036E-9</v>
      </c>
      <c r="W253" s="127">
        <v>7.8278293090224227E-10</v>
      </c>
      <c r="X253" s="128">
        <f t="shared" si="6"/>
        <v>1.4148234167819562E-9</v>
      </c>
      <c r="Y253" s="139">
        <f t="shared" si="7"/>
        <v>0.31780820854244918</v>
      </c>
      <c r="AA253" s="73"/>
      <c r="AB253" s="182"/>
      <c r="AC253" s="182"/>
      <c r="AD253" s="182"/>
      <c r="AJ253" s="135"/>
    </row>
    <row r="254" spans="9:36" x14ac:dyDescent="0.35">
      <c r="I254" s="49">
        <v>9.9437042966199998E-2</v>
      </c>
      <c r="J254" s="49">
        <v>1.4258251703121548E-9</v>
      </c>
      <c r="K254" s="49">
        <v>9.3315297440948491E-11</v>
      </c>
      <c r="L254" s="157">
        <v>1.9142203628194021E-9</v>
      </c>
      <c r="M254" s="27"/>
      <c r="U254" s="127">
        <v>9.003354043199251E-10</v>
      </c>
      <c r="V254" s="127">
        <v>1.9142203628194021E-9</v>
      </c>
      <c r="W254" s="127">
        <v>9.9434971736178641E-10</v>
      </c>
      <c r="X254" s="128">
        <f t="shared" si="6"/>
        <v>1.430781461830129E-9</v>
      </c>
      <c r="Y254" s="139">
        <f t="shared" si="7"/>
        <v>2.8210318922413983E-3</v>
      </c>
      <c r="AA254" s="73"/>
      <c r="AB254" s="182"/>
      <c r="AC254" s="182"/>
      <c r="AD254" s="182"/>
      <c r="AJ254" s="135"/>
    </row>
    <row r="255" spans="9:36" x14ac:dyDescent="0.35">
      <c r="I255" s="49">
        <v>0.10043141339599999</v>
      </c>
      <c r="J255" s="49">
        <v>1.4883606235428823E-9</v>
      </c>
      <c r="K255" s="49">
        <v>9.4869336094941499E-11</v>
      </c>
      <c r="L255" s="157">
        <v>1.2468672118375857E-9</v>
      </c>
      <c r="M255" s="27"/>
      <c r="U255" s="127">
        <v>1.5916982919102306E-9</v>
      </c>
      <c r="V255" s="127">
        <v>1.2468672118375857E-9</v>
      </c>
      <c r="W255" s="127">
        <v>1.6974991524107165E-9</v>
      </c>
      <c r="X255" s="128">
        <f t="shared" si="6"/>
        <v>1.4457329669990296E-9</v>
      </c>
      <c r="Y255" s="139">
        <f t="shared" si="7"/>
        <v>0.20189761709861787</v>
      </c>
      <c r="AA255" s="73"/>
      <c r="AB255" s="182"/>
      <c r="AC255" s="182"/>
      <c r="AD255" s="182"/>
      <c r="AJ255" s="135"/>
    </row>
    <row r="256" spans="9:36" x14ac:dyDescent="0.35">
      <c r="I256" s="49">
        <v>0.10143572753000001</v>
      </c>
      <c r="J256" s="49">
        <v>1.4987131267750924E-9</v>
      </c>
      <c r="K256" s="49">
        <v>1.0123655405609541E-10</v>
      </c>
      <c r="L256" s="157">
        <v>8.0080516264181904E-10</v>
      </c>
      <c r="M256" s="27"/>
      <c r="U256" s="127">
        <v>2.1324754018316168E-9</v>
      </c>
      <c r="V256" s="127">
        <v>8.0080516264181904E-10</v>
      </c>
      <c r="W256" s="127">
        <v>2.1097167210995186E-9</v>
      </c>
      <c r="X256" s="128">
        <f t="shared" ref="X256:X319" si="8">(U256+2*V256+W256)/4</f>
        <v>1.4609506120536935E-9</v>
      </c>
      <c r="Y256" s="139">
        <f t="shared" ref="Y256:Y319" si="9">(J256-X256)*(J256-X256)/(K256*K256)</f>
        <v>0.13913843275694135</v>
      </c>
      <c r="AA256" s="73"/>
      <c r="AB256" s="182"/>
      <c r="AC256" s="182"/>
      <c r="AD256" s="182"/>
      <c r="AJ256" s="135"/>
    </row>
    <row r="257" spans="9:36" x14ac:dyDescent="0.35">
      <c r="I257" s="49">
        <v>0.10245008480499999</v>
      </c>
      <c r="J257" s="49">
        <v>1.2502020534702395E-9</v>
      </c>
      <c r="K257" s="49">
        <v>9.3028900531892268E-11</v>
      </c>
      <c r="L257" s="157">
        <v>1.0925900007475534E-9</v>
      </c>
      <c r="M257" s="27"/>
      <c r="U257" s="127">
        <v>1.9682949187523238E-9</v>
      </c>
      <c r="V257" s="127">
        <v>1.0925900007475534E-9</v>
      </c>
      <c r="W257" s="127">
        <v>1.7653370932148954E-9</v>
      </c>
      <c r="X257" s="128">
        <f t="shared" si="8"/>
        <v>1.4797030033655815E-9</v>
      </c>
      <c r="Y257" s="139">
        <f t="shared" si="9"/>
        <v>6.0860175209724341</v>
      </c>
      <c r="AA257" s="73"/>
      <c r="AB257" s="182"/>
      <c r="AC257" s="182"/>
      <c r="AD257" s="182"/>
      <c r="AJ257" s="136"/>
    </row>
    <row r="258" spans="9:36" x14ac:dyDescent="0.35">
      <c r="I258" s="49">
        <v>0.103474585653</v>
      </c>
      <c r="J258" s="49">
        <v>1.479273244139109E-9</v>
      </c>
      <c r="K258" s="49">
        <v>1.0335066732348115E-10</v>
      </c>
      <c r="L258" s="157">
        <v>1.8208453598627742E-9</v>
      </c>
      <c r="M258" s="27"/>
      <c r="U258" s="127">
        <v>1.2825199644736062E-9</v>
      </c>
      <c r="V258" s="127">
        <v>1.8208453598627742E-9</v>
      </c>
      <c r="W258" s="127">
        <v>1.0851559563490411E-9</v>
      </c>
      <c r="X258" s="128">
        <f t="shared" si="8"/>
        <v>1.5023416601370489E-9</v>
      </c>
      <c r="Y258" s="139">
        <f t="shared" si="9"/>
        <v>4.9820602893435068E-2</v>
      </c>
      <c r="AA258" s="73"/>
      <c r="AB258" s="182"/>
      <c r="AC258" s="182"/>
      <c r="AD258" s="182"/>
      <c r="AJ258" s="136"/>
    </row>
    <row r="259" spans="9:36" x14ac:dyDescent="0.35">
      <c r="I259" s="49">
        <v>0.10450933151</v>
      </c>
      <c r="J259" s="49">
        <v>1.6189094543639001E-9</v>
      </c>
      <c r="K259" s="49">
        <v>1.1240585853646711E-10</v>
      </c>
      <c r="L259" s="157">
        <v>2.1731579115695367E-9</v>
      </c>
      <c r="M259" s="27"/>
      <c r="U259" s="127">
        <v>8.3374998415138556E-10</v>
      </c>
      <c r="V259" s="127">
        <v>2.1731579115695367E-9</v>
      </c>
      <c r="W259" s="127">
        <v>9.0820211969124663E-10</v>
      </c>
      <c r="X259" s="128">
        <f t="shared" si="8"/>
        <v>1.5220669817454265E-9</v>
      </c>
      <c r="Y259" s="139">
        <f t="shared" si="9"/>
        <v>0.74225621878898285</v>
      </c>
      <c r="AA259" s="73"/>
      <c r="AB259" s="182"/>
      <c r="AC259" s="182"/>
      <c r="AD259" s="182"/>
      <c r="AJ259" s="136"/>
    </row>
    <row r="260" spans="9:36" x14ac:dyDescent="0.35">
      <c r="I260" s="49">
        <v>0.10555442482500001</v>
      </c>
      <c r="J260" s="49">
        <v>1.6564128384246262E-9</v>
      </c>
      <c r="K260" s="49">
        <v>1.1302856805489978E-10</v>
      </c>
      <c r="L260" s="157">
        <v>1.7531251056079037E-9</v>
      </c>
      <c r="M260" s="27"/>
      <c r="U260" s="127">
        <v>1.1415170323470909E-9</v>
      </c>
      <c r="V260" s="127">
        <v>1.7531251056079037E-9</v>
      </c>
      <c r="W260" s="127">
        <v>1.4772246223984192E-9</v>
      </c>
      <c r="X260" s="128">
        <f t="shared" si="8"/>
        <v>1.5312479664903292E-9</v>
      </c>
      <c r="Y260" s="139">
        <f t="shared" si="9"/>
        <v>1.2262766745107567</v>
      </c>
      <c r="AA260" s="73"/>
      <c r="AB260" s="182"/>
      <c r="AC260" s="182"/>
      <c r="AD260" s="182"/>
      <c r="AJ260" s="136"/>
    </row>
    <row r="261" spans="9:36" x14ac:dyDescent="0.35">
      <c r="I261" s="49">
        <v>0.10660996907299999</v>
      </c>
      <c r="J261" s="49">
        <v>1.6969285464020766E-9</v>
      </c>
      <c r="K261" s="49">
        <v>1.1785462995239822E-10</v>
      </c>
      <c r="L261" s="157">
        <v>1.0723132306578647E-9</v>
      </c>
      <c r="M261" s="27"/>
      <c r="U261" s="127">
        <v>1.8868592971746968E-9</v>
      </c>
      <c r="V261" s="127">
        <v>1.0723132306578647E-9</v>
      </c>
      <c r="W261" s="127">
        <v>2.1077975892865016E-9</v>
      </c>
      <c r="X261" s="128">
        <f t="shared" si="8"/>
        <v>1.5348208369442322E-9</v>
      </c>
      <c r="Y261" s="139">
        <f t="shared" si="9"/>
        <v>1.8919691105058558</v>
      </c>
      <c r="AA261" s="73"/>
      <c r="AB261" s="182"/>
      <c r="AC261" s="182"/>
      <c r="AD261" s="182"/>
      <c r="AJ261" s="136"/>
    </row>
    <row r="262" spans="9:36" x14ac:dyDescent="0.35">
      <c r="I262" s="49">
        <v>0.107676068764</v>
      </c>
      <c r="J262" s="49">
        <v>1.5385698916689845E-9</v>
      </c>
      <c r="K262" s="49">
        <v>1.1404320126161919E-10</v>
      </c>
      <c r="L262" s="157">
        <v>9.7220263838473876E-10</v>
      </c>
      <c r="M262" s="27"/>
      <c r="U262" s="127">
        <v>2.2385329660246228E-9</v>
      </c>
      <c r="V262" s="127">
        <v>9.7220263838473876E-10</v>
      </c>
      <c r="W262" s="127">
        <v>2.0198655453938264E-9</v>
      </c>
      <c r="X262" s="128">
        <f t="shared" si="8"/>
        <v>1.5507009470469817E-9</v>
      </c>
      <c r="Y262" s="139">
        <f t="shared" si="9"/>
        <v>1.1315099338941453E-2</v>
      </c>
      <c r="AA262" s="73"/>
      <c r="AB262" s="182"/>
      <c r="AC262" s="182"/>
      <c r="AD262" s="182"/>
      <c r="AJ262" s="136"/>
    </row>
    <row r="263" spans="9:36" x14ac:dyDescent="0.35">
      <c r="I263" s="49">
        <v>0.108752829451</v>
      </c>
      <c r="J263" s="49">
        <v>1.5248132471741904E-9</v>
      </c>
      <c r="K263" s="49">
        <v>1.1152062006942324E-10</v>
      </c>
      <c r="L263" s="157">
        <v>1.6017666099814208E-9</v>
      </c>
      <c r="M263" s="27"/>
      <c r="U263" s="127">
        <v>1.8014526415945397E-9</v>
      </c>
      <c r="V263" s="127">
        <v>1.6017666099814208E-9</v>
      </c>
      <c r="W263" s="127">
        <v>1.3445101656185795E-9</v>
      </c>
      <c r="X263" s="128">
        <f t="shared" si="8"/>
        <v>1.5873740067939902E-9</v>
      </c>
      <c r="Y263" s="139">
        <f t="shared" si="9"/>
        <v>0.31469777741976951</v>
      </c>
      <c r="AA263" s="73"/>
      <c r="AB263" s="182"/>
      <c r="AC263" s="182"/>
      <c r="AD263" s="182"/>
      <c r="AJ263" s="136"/>
    </row>
    <row r="264" spans="9:36" x14ac:dyDescent="0.35">
      <c r="I264" s="49">
        <v>0.109840357746</v>
      </c>
      <c r="J264" s="49">
        <v>1.6302862763752356E-9</v>
      </c>
      <c r="K264" s="49">
        <v>1.2800586630332171E-10</v>
      </c>
      <c r="L264" s="157">
        <v>2.200045754769391E-9</v>
      </c>
      <c r="M264" s="27"/>
      <c r="U264" s="127">
        <v>1.1073882544023995E-9</v>
      </c>
      <c r="V264" s="127">
        <v>2.200045754769391E-9</v>
      </c>
      <c r="W264" s="127">
        <v>9.8921387422394446E-10</v>
      </c>
      <c r="X264" s="128">
        <f t="shared" si="8"/>
        <v>1.6241734095412815E-9</v>
      </c>
      <c r="Y264" s="139">
        <f t="shared" si="9"/>
        <v>2.2805002475582356E-3</v>
      </c>
      <c r="AA264" s="73"/>
      <c r="AB264" s="182"/>
      <c r="AC264" s="182"/>
      <c r="AD264" s="182"/>
      <c r="AJ264" s="136"/>
    </row>
    <row r="265" spans="9:36" x14ac:dyDescent="0.35">
      <c r="I265" s="49">
        <v>0.110938761323</v>
      </c>
      <c r="J265" s="49">
        <v>1.5340837836377288E-9</v>
      </c>
      <c r="K265" s="49">
        <v>1.2196755471583705E-10</v>
      </c>
      <c r="L265" s="157">
        <v>2.0271049083213924E-9</v>
      </c>
      <c r="M265" s="27"/>
      <c r="U265" s="127">
        <v>1.0133752227402844E-9</v>
      </c>
      <c r="V265" s="127">
        <v>2.0271049083213924E-9</v>
      </c>
      <c r="W265" s="127">
        <v>1.4534028104709188E-9</v>
      </c>
      <c r="X265" s="128">
        <f t="shared" si="8"/>
        <v>1.630246962463497E-9</v>
      </c>
      <c r="Y265" s="139">
        <f t="shared" si="9"/>
        <v>0.6216257390814196</v>
      </c>
      <c r="AA265" s="73"/>
      <c r="AB265" s="182"/>
      <c r="AC265" s="182"/>
      <c r="AD265" s="182"/>
      <c r="AJ265" s="136"/>
    </row>
    <row r="266" spans="9:36" x14ac:dyDescent="0.35">
      <c r="I266" s="49">
        <v>0.11204814893700001</v>
      </c>
      <c r="J266" s="49">
        <v>1.5096239755479538E-9</v>
      </c>
      <c r="K266" s="49">
        <v>1.246531443643778E-10</v>
      </c>
      <c r="L266" s="157">
        <v>1.3243516741408036E-9</v>
      </c>
      <c r="M266" s="27"/>
      <c r="U266" s="127">
        <v>1.6606760666694327E-9</v>
      </c>
      <c r="V266" s="127">
        <v>1.3243516741408036E-9</v>
      </c>
      <c r="W266" s="127">
        <v>2.1318364758673403E-9</v>
      </c>
      <c r="X266" s="128">
        <f t="shared" si="8"/>
        <v>1.610303972704595E-9</v>
      </c>
      <c r="Y266" s="139">
        <f t="shared" si="9"/>
        <v>0.65234886812519499</v>
      </c>
      <c r="AA266" s="73"/>
      <c r="AB266" s="182"/>
      <c r="AC266" s="182"/>
      <c r="AD266" s="182"/>
      <c r="AJ266" s="136"/>
    </row>
    <row r="267" spans="9:36" x14ac:dyDescent="0.35">
      <c r="I267" s="49">
        <v>0.11316863042600001</v>
      </c>
      <c r="J267" s="49">
        <v>1.625166161445436E-9</v>
      </c>
      <c r="K267" s="49">
        <v>1.2497328512384854E-10</v>
      </c>
      <c r="L267" s="156">
        <v>1.0365240143672933E-9</v>
      </c>
      <c r="M267" s="34"/>
      <c r="U267" s="127">
        <v>2.2665609906532491E-9</v>
      </c>
      <c r="V267" s="127">
        <v>1.0365240143672933E-9</v>
      </c>
      <c r="W267" s="127">
        <v>2.1105005592157866E-9</v>
      </c>
      <c r="X267" s="128">
        <f t="shared" si="8"/>
        <v>1.6125273946509055E-9</v>
      </c>
      <c r="Y267" s="139">
        <f t="shared" si="9"/>
        <v>1.0227630480488177E-2</v>
      </c>
      <c r="AA267" s="73"/>
      <c r="AB267" s="182"/>
      <c r="AC267" s="182"/>
      <c r="AD267" s="182"/>
      <c r="AJ267" s="136"/>
    </row>
    <row r="268" spans="9:36" x14ac:dyDescent="0.35">
      <c r="I268" s="49">
        <v>0.11430031673</v>
      </c>
      <c r="J268" s="49">
        <v>1.6294668155192555E-9</v>
      </c>
      <c r="K268" s="49">
        <v>1.2930125452640587E-10</v>
      </c>
      <c r="L268" s="156">
        <v>1.5731500200861196E-9</v>
      </c>
      <c r="M268" s="34"/>
      <c r="U268" s="127">
        <v>2.0820455902512965E-9</v>
      </c>
      <c r="V268" s="127">
        <v>1.5731500200861196E-9</v>
      </c>
      <c r="W268" s="127">
        <v>1.4422283088411214E-9</v>
      </c>
      <c r="X268" s="128">
        <f t="shared" si="8"/>
        <v>1.6676434848161642E-9</v>
      </c>
      <c r="Y268" s="139">
        <f t="shared" si="9"/>
        <v>8.7174726736529914E-2</v>
      </c>
      <c r="AA268" s="73"/>
      <c r="AB268" s="182"/>
      <c r="AC268" s="182"/>
      <c r="AD268" s="182"/>
      <c r="AJ268" s="136"/>
    </row>
    <row r="269" spans="9:36" x14ac:dyDescent="0.35">
      <c r="I269" s="49">
        <v>0.115443319898</v>
      </c>
      <c r="J269" s="49">
        <v>1.8131491590464622E-9</v>
      </c>
      <c r="K269" s="49">
        <v>1.3567169623040584E-10</v>
      </c>
      <c r="L269" s="156">
        <v>2.2294481322659527E-9</v>
      </c>
      <c r="M269" s="33"/>
      <c r="U269" s="127">
        <v>1.3635543713244139E-9</v>
      </c>
      <c r="V269" s="127">
        <v>2.2294481322659527E-9</v>
      </c>
      <c r="W269" s="127">
        <v>1.1059908915232424E-9</v>
      </c>
      <c r="X269" s="128">
        <f t="shared" si="8"/>
        <v>1.7321103818448905E-9</v>
      </c>
      <c r="Y269" s="139">
        <f t="shared" si="9"/>
        <v>0.35678554354213177</v>
      </c>
      <c r="AA269" s="73"/>
      <c r="AB269" s="182"/>
      <c r="AC269" s="182"/>
      <c r="AD269" s="182"/>
      <c r="AJ269" s="136"/>
    </row>
    <row r="270" spans="9:36" x14ac:dyDescent="0.35">
      <c r="I270" s="49">
        <v>0.116597753096</v>
      </c>
      <c r="J270" s="49">
        <v>1.5756006265827532E-9</v>
      </c>
      <c r="K270" s="49">
        <v>1.3122211509304701E-10</v>
      </c>
      <c r="L270" s="156">
        <v>2.1210531062320403E-9</v>
      </c>
      <c r="M270" s="34"/>
      <c r="U270" s="127">
        <v>1.0757656095813384E-9</v>
      </c>
      <c r="V270" s="127">
        <v>2.1210531062320403E-9</v>
      </c>
      <c r="W270" s="127">
        <v>1.6146358826114023E-9</v>
      </c>
      <c r="X270" s="128">
        <f t="shared" si="8"/>
        <v>1.7331269261642055E-9</v>
      </c>
      <c r="Y270" s="139">
        <f t="shared" si="9"/>
        <v>1.4410932207891236</v>
      </c>
      <c r="AA270" s="73"/>
      <c r="AB270" s="182"/>
      <c r="AC270" s="182"/>
      <c r="AD270" s="182"/>
      <c r="AJ270" s="136"/>
    </row>
    <row r="271" spans="9:36" x14ac:dyDescent="0.35">
      <c r="I271" s="49">
        <v>0.117763730627</v>
      </c>
      <c r="J271" s="49">
        <v>1.742977830078194E-9</v>
      </c>
      <c r="K271" s="49">
        <v>1.4609722350388761E-10</v>
      </c>
      <c r="L271" s="156">
        <v>1.4234801785461096E-9</v>
      </c>
      <c r="M271" s="35"/>
      <c r="U271" s="127">
        <v>1.6272859339670405E-9</v>
      </c>
      <c r="V271" s="127">
        <v>1.4234801785461096E-9</v>
      </c>
      <c r="W271" s="127">
        <v>2.2405632930796736E-9</v>
      </c>
      <c r="X271" s="128">
        <f t="shared" si="8"/>
        <v>1.6787023960347333E-9</v>
      </c>
      <c r="Y271" s="139">
        <f t="shared" si="9"/>
        <v>0.19355576498233523</v>
      </c>
      <c r="AA271" s="73"/>
      <c r="AB271" s="182"/>
      <c r="AC271" s="182"/>
      <c r="AD271" s="182"/>
      <c r="AJ271" s="136"/>
    </row>
    <row r="272" spans="9:36" x14ac:dyDescent="0.35">
      <c r="I272" s="49">
        <v>0.11894136793399999</v>
      </c>
      <c r="J272" s="49">
        <v>1.9748144701427056E-9</v>
      </c>
      <c r="K272" s="49">
        <v>1.475638836540453E-10</v>
      </c>
      <c r="L272" s="156">
        <v>1.1581989873832967E-9</v>
      </c>
      <c r="M272" s="34"/>
      <c r="U272" s="127">
        <v>2.2929113694710641E-9</v>
      </c>
      <c r="V272" s="127">
        <v>1.1581989873832967E-9</v>
      </c>
      <c r="W272" s="127">
        <v>2.0691938297593168E-9</v>
      </c>
      <c r="X272" s="128">
        <f t="shared" si="8"/>
        <v>1.6696257934992435E-9</v>
      </c>
      <c r="Y272" s="139">
        <f t="shared" si="9"/>
        <v>4.2773686174555863</v>
      </c>
      <c r="AA272" s="73"/>
      <c r="AB272" s="182"/>
      <c r="AC272" s="182"/>
      <c r="AD272" s="182"/>
      <c r="AJ272" s="136"/>
    </row>
    <row r="273" spans="9:36" x14ac:dyDescent="0.35">
      <c r="I273" s="49">
        <v>0.120130781613</v>
      </c>
      <c r="J273" s="49">
        <v>1.7119594144834993E-9</v>
      </c>
      <c r="K273" s="49">
        <v>1.3617860264545265E-10</v>
      </c>
      <c r="L273" s="156">
        <v>1.7343201408030984E-9</v>
      </c>
      <c r="M273" s="33"/>
      <c r="U273" s="127">
        <v>2.1757533150590566E-9</v>
      </c>
      <c r="V273" s="127">
        <v>1.7343201408030984E-9</v>
      </c>
      <c r="W273" s="127">
        <v>1.390370879508151E-9</v>
      </c>
      <c r="X273" s="128">
        <f t="shared" si="8"/>
        <v>1.758691119043351E-9</v>
      </c>
      <c r="Y273" s="139">
        <f t="shared" si="9"/>
        <v>0.11776208811739217</v>
      </c>
      <c r="AA273" s="73"/>
      <c r="AB273" s="182"/>
      <c r="AC273" s="182"/>
      <c r="AD273" s="182"/>
      <c r="AJ273" s="136"/>
    </row>
    <row r="274" spans="9:36" x14ac:dyDescent="0.35">
      <c r="I274" s="49">
        <v>0.12133208942900001</v>
      </c>
      <c r="J274" s="49">
        <v>1.5809934872499106E-9</v>
      </c>
      <c r="K274" s="49">
        <v>1.389033881816933E-10</v>
      </c>
      <c r="L274" s="156">
        <v>2.3229986586533605E-9</v>
      </c>
      <c r="M274" s="34"/>
      <c r="U274" s="127">
        <v>1.4635160414391171E-9</v>
      </c>
      <c r="V274" s="127">
        <v>2.3229986586533605E-9</v>
      </c>
      <c r="W274" s="127">
        <v>1.2843599403300567E-9</v>
      </c>
      <c r="X274" s="128">
        <f t="shared" si="8"/>
        <v>1.8484683247689736E-9</v>
      </c>
      <c r="Y274" s="139">
        <f t="shared" si="9"/>
        <v>3.7080039326400476</v>
      </c>
      <c r="AA274" s="73"/>
      <c r="AB274" s="182"/>
      <c r="AC274" s="182"/>
      <c r="AD274" s="182"/>
      <c r="AJ274" s="136"/>
    </row>
    <row r="275" spans="9:36" x14ac:dyDescent="0.35">
      <c r="I275" s="49">
        <v>0.122545410323</v>
      </c>
      <c r="J275" s="49">
        <v>1.838335523694993E-9</v>
      </c>
      <c r="K275" s="49">
        <v>1.5197100597086948E-10</v>
      </c>
      <c r="L275" s="156">
        <v>2.0648083900199782E-9</v>
      </c>
      <c r="M275" s="34"/>
      <c r="U275" s="127">
        <v>1.197412035968414E-9</v>
      </c>
      <c r="V275" s="127">
        <v>2.0648083900199782E-9</v>
      </c>
      <c r="W275" s="127">
        <v>1.9402064788992169E-9</v>
      </c>
      <c r="X275" s="128">
        <f t="shared" si="8"/>
        <v>1.8168088237268968E-9</v>
      </c>
      <c r="Y275" s="139">
        <f t="shared" si="9"/>
        <v>2.0064735497606373E-2</v>
      </c>
      <c r="AA275" s="73"/>
      <c r="AB275" s="182"/>
      <c r="AC275" s="182"/>
      <c r="AD275" s="182"/>
      <c r="AJ275" s="136"/>
    </row>
    <row r="276" spans="9:36" x14ac:dyDescent="0.35">
      <c r="I276" s="49">
        <v>0.123770864427</v>
      </c>
      <c r="J276" s="49">
        <v>1.8086528612403063E-9</v>
      </c>
      <c r="K276" s="49">
        <v>1.5679028826612824E-10</v>
      </c>
      <c r="L276" s="156">
        <v>1.382355228523761E-9</v>
      </c>
      <c r="M276" s="33"/>
      <c r="U276" s="127">
        <v>1.7862056148522523E-9</v>
      </c>
      <c r="V276" s="127">
        <v>1.382355228523761E-9</v>
      </c>
      <c r="W276" s="127">
        <v>2.3284398958259824E-9</v>
      </c>
      <c r="X276" s="128">
        <f t="shared" si="8"/>
        <v>1.719838991931439E-9</v>
      </c>
      <c r="Y276" s="139">
        <f t="shared" si="9"/>
        <v>0.32086567851680436</v>
      </c>
      <c r="AA276" s="73"/>
      <c r="AB276" s="182"/>
      <c r="AC276" s="182"/>
      <c r="AD276" s="182"/>
      <c r="AJ276" s="136"/>
    </row>
    <row r="277" spans="9:36" x14ac:dyDescent="0.35">
      <c r="I277" s="49">
        <v>0.125008573071</v>
      </c>
      <c r="J277" s="49">
        <v>1.7885172166437272E-9</v>
      </c>
      <c r="K277" s="49">
        <v>1.6736434127729418E-10</v>
      </c>
      <c r="L277" s="156">
        <v>1.361020815913136E-9</v>
      </c>
      <c r="M277" s="34"/>
      <c r="U277" s="127">
        <v>2.3816088044052186E-9</v>
      </c>
      <c r="V277" s="127">
        <v>1.361020815913136E-9</v>
      </c>
      <c r="W277" s="127">
        <v>1.8460542469536027E-9</v>
      </c>
      <c r="X277" s="128">
        <f t="shared" si="8"/>
        <v>1.7374261707962732E-9</v>
      </c>
      <c r="Y277" s="139">
        <f t="shared" si="9"/>
        <v>9.3188800301848479E-2</v>
      </c>
      <c r="AA277" s="73"/>
      <c r="AB277" s="182"/>
      <c r="AC277" s="182"/>
      <c r="AD277" s="182"/>
      <c r="AJ277" s="136"/>
    </row>
    <row r="278" spans="9:36" x14ac:dyDescent="0.35">
      <c r="I278" s="49">
        <v>0.12625865880199999</v>
      </c>
      <c r="J278" s="49">
        <v>1.8456021033239266E-9</v>
      </c>
      <c r="K278" s="49">
        <v>1.7218333495476171E-10</v>
      </c>
      <c r="L278" s="156">
        <v>2.0542873734026931E-9</v>
      </c>
      <c r="M278" s="34"/>
      <c r="U278" s="127">
        <v>2.1140500529186822E-9</v>
      </c>
      <c r="V278" s="127">
        <v>2.0542873734026931E-9</v>
      </c>
      <c r="W278" s="127">
        <v>1.3244095820310439E-9</v>
      </c>
      <c r="X278" s="128">
        <f t="shared" si="8"/>
        <v>1.8867585954387782E-9</v>
      </c>
      <c r="Y278" s="139">
        <f t="shared" si="9"/>
        <v>5.7133979223182953E-2</v>
      </c>
      <c r="AA278" s="73"/>
      <c r="AB278" s="182"/>
      <c r="AC278" s="182"/>
      <c r="AD278" s="182"/>
      <c r="AJ278" s="136"/>
    </row>
    <row r="279" spans="9:36" x14ac:dyDescent="0.35">
      <c r="I279" s="49">
        <v>0.12752124539000001</v>
      </c>
      <c r="J279" s="49">
        <v>1.5871787094176311E-9</v>
      </c>
      <c r="K279" s="49">
        <v>1.7371542029980054E-10</v>
      </c>
      <c r="L279" s="156">
        <v>2.3708876795975438E-9</v>
      </c>
      <c r="M279" s="35"/>
      <c r="U279" s="127">
        <v>1.4196949352493073E-9</v>
      </c>
      <c r="V279" s="127">
        <v>2.3708876795975438E-9</v>
      </c>
      <c r="W279" s="127">
        <v>1.6649402195005969E-9</v>
      </c>
      <c r="X279" s="128">
        <f t="shared" si="8"/>
        <v>1.9566026284862479E-9</v>
      </c>
      <c r="Y279" s="139">
        <f t="shared" si="9"/>
        <v>4.522444851866803</v>
      </c>
      <c r="AA279" s="73"/>
      <c r="AB279" s="182"/>
      <c r="AC279" s="182"/>
      <c r="AD279" s="182"/>
      <c r="AJ279" s="136"/>
    </row>
    <row r="280" spans="9:36" x14ac:dyDescent="0.35">
      <c r="I280" s="49">
        <v>0.12879645784400001</v>
      </c>
      <c r="J280" s="49">
        <v>1.9007325283318863E-9</v>
      </c>
      <c r="K280" s="49">
        <v>1.8163042128625632E-10</v>
      </c>
      <c r="L280" s="156">
        <v>1.8241187098409827E-9</v>
      </c>
      <c r="M280" s="33"/>
      <c r="U280" s="127">
        <v>1.4003258222429586E-9</v>
      </c>
      <c r="V280" s="127">
        <v>1.8241187098409827E-9</v>
      </c>
      <c r="W280" s="127">
        <v>2.3019871057021263E-9</v>
      </c>
      <c r="X280" s="128">
        <f t="shared" si="8"/>
        <v>1.8376375869067625E-9</v>
      </c>
      <c r="Y280" s="139">
        <f t="shared" si="9"/>
        <v>0.12067349814343749</v>
      </c>
      <c r="AA280" s="73"/>
      <c r="AB280" s="182"/>
      <c r="AC280" s="182"/>
      <c r="AD280" s="182"/>
      <c r="AJ280" s="136"/>
    </row>
    <row r="281" spans="9:36" x14ac:dyDescent="0.35">
      <c r="I281" s="49">
        <v>0.130084422422</v>
      </c>
      <c r="J281" s="49">
        <v>1.5577585036913875E-9</v>
      </c>
      <c r="K281" s="49">
        <v>1.6952404867585866E-10</v>
      </c>
      <c r="L281" s="156">
        <v>1.3513110715880542E-9</v>
      </c>
      <c r="M281" s="34"/>
      <c r="U281" s="127">
        <v>2.1040952442082695E-9</v>
      </c>
      <c r="V281" s="127">
        <v>1.3513110715880542E-9</v>
      </c>
      <c r="W281" s="127">
        <v>2.1542478061427055E-9</v>
      </c>
      <c r="X281" s="128">
        <f t="shared" si="8"/>
        <v>1.7402412983817708E-9</v>
      </c>
      <c r="Y281" s="139">
        <f t="shared" si="9"/>
        <v>1.1587272356764584</v>
      </c>
      <c r="AA281" s="73"/>
      <c r="AB281" s="182"/>
      <c r="AC281" s="182"/>
      <c r="AD281" s="182"/>
      <c r="AJ281" s="136"/>
    </row>
    <row r="282" spans="9:36" x14ac:dyDescent="0.35">
      <c r="I282" s="49">
        <v>0.131385266646</v>
      </c>
      <c r="J282" s="49">
        <v>1.9370354901052911E-9</v>
      </c>
      <c r="K282" s="49">
        <v>1.8159508444551537E-10</v>
      </c>
      <c r="L282" s="156">
        <v>1.7691733895590712E-9</v>
      </c>
      <c r="M282" s="34"/>
      <c r="U282" s="127">
        <v>2.4217737842767892E-9</v>
      </c>
      <c r="V282" s="127">
        <v>1.7691733895590712E-9</v>
      </c>
      <c r="W282" s="127">
        <v>1.5189018065167532E-9</v>
      </c>
      <c r="X282" s="128">
        <f t="shared" si="8"/>
        <v>1.8697555924779212E-9</v>
      </c>
      <c r="Y282" s="139">
        <f t="shared" si="9"/>
        <v>0.13726583835582759</v>
      </c>
      <c r="AA282" s="73"/>
      <c r="AB282" s="182"/>
      <c r="AC282" s="182"/>
      <c r="AD282" s="182"/>
      <c r="AJ282" s="136"/>
    </row>
    <row r="283" spans="9:36" x14ac:dyDescent="0.35">
      <c r="I283" s="49">
        <v>0.13269911931299999</v>
      </c>
      <c r="J283" s="49">
        <v>1.8798085493270579E-9</v>
      </c>
      <c r="K283" s="49">
        <v>1.8138261627725984E-10</v>
      </c>
      <c r="L283" s="156">
        <v>2.3768786378014059E-9</v>
      </c>
      <c r="M283" s="33"/>
      <c r="U283" s="127">
        <v>1.864189915583722E-9</v>
      </c>
      <c r="V283" s="127">
        <v>2.3768786378014059E-9</v>
      </c>
      <c r="W283" s="127">
        <v>1.5632373352631544E-9</v>
      </c>
      <c r="X283" s="128">
        <f t="shared" si="8"/>
        <v>2.0452961316124222E-9</v>
      </c>
      <c r="Y283" s="139">
        <f t="shared" si="9"/>
        <v>0.83241423503110012</v>
      </c>
      <c r="AA283" s="73"/>
      <c r="AB283" s="182"/>
      <c r="AC283" s="182"/>
      <c r="AD283" s="182"/>
      <c r="AJ283" s="136"/>
    </row>
    <row r="284" spans="9:36" x14ac:dyDescent="0.35">
      <c r="I284" s="49">
        <v>0.134026110506</v>
      </c>
      <c r="J284" s="49">
        <v>1.7217539890972477E-9</v>
      </c>
      <c r="K284" s="49">
        <v>1.8924433594708082E-10</v>
      </c>
      <c r="L284" s="156">
        <v>2.142906746226887E-9</v>
      </c>
      <c r="M284" s="34"/>
      <c r="U284" s="127">
        <v>1.3845804323038316E-9</v>
      </c>
      <c r="V284" s="127">
        <v>2.142906746226887E-9</v>
      </c>
      <c r="W284" s="127">
        <v>2.2188903600581143E-9</v>
      </c>
      <c r="X284" s="128">
        <f t="shared" si="8"/>
        <v>1.97232107120393E-9</v>
      </c>
      <c r="Y284" s="139">
        <f t="shared" si="9"/>
        <v>1.7530820830685854</v>
      </c>
      <c r="AA284" s="73"/>
      <c r="AB284" s="182"/>
      <c r="AC284" s="182"/>
      <c r="AD284" s="182"/>
      <c r="AJ284" s="136"/>
    </row>
    <row r="285" spans="9:36" x14ac:dyDescent="0.35">
      <c r="I285" s="49">
        <v>0.13536637161100001</v>
      </c>
      <c r="J285" s="49">
        <v>1.9804607955499621E-9</v>
      </c>
      <c r="K285" s="49">
        <v>2.0843097387149574E-10</v>
      </c>
      <c r="L285" s="156">
        <v>1.515754268364933E-9</v>
      </c>
      <c r="M285" s="34"/>
      <c r="U285" s="127">
        <v>1.8078460525442019E-9</v>
      </c>
      <c r="V285" s="127">
        <v>1.515754268364933E-9</v>
      </c>
      <c r="W285" s="127">
        <v>2.2913151987609157E-9</v>
      </c>
      <c r="X285" s="128">
        <f t="shared" si="8"/>
        <v>1.782667447008746E-9</v>
      </c>
      <c r="Y285" s="139">
        <f t="shared" si="9"/>
        <v>0.90053137892914881</v>
      </c>
      <c r="AA285" s="73"/>
      <c r="AB285" s="182"/>
      <c r="AC285" s="182"/>
      <c r="AD285" s="182"/>
      <c r="AJ285" s="136"/>
    </row>
    <row r="286" spans="9:36" x14ac:dyDescent="0.35">
      <c r="I286" s="49">
        <v>0.136720035327</v>
      </c>
      <c r="J286" s="49">
        <v>2.1066444584655325E-9</v>
      </c>
      <c r="K286" s="49">
        <v>2.0159302448168034E-10</v>
      </c>
      <c r="L286" s="156">
        <v>1.6447561183809219E-9</v>
      </c>
      <c r="M286" s="34"/>
      <c r="U286" s="127">
        <v>2.4212569016237942E-9</v>
      </c>
      <c r="V286" s="127">
        <v>1.6447561183809219E-9</v>
      </c>
      <c r="W286" s="127">
        <v>1.6813580035521562E-9</v>
      </c>
      <c r="X286" s="128">
        <f t="shared" si="8"/>
        <v>1.8480317854844485E-9</v>
      </c>
      <c r="Y286" s="139">
        <f t="shared" si="9"/>
        <v>1.6456921784282263</v>
      </c>
      <c r="AA286" s="73"/>
      <c r="AB286" s="182"/>
      <c r="AC286" s="182"/>
      <c r="AD286" s="182"/>
      <c r="AJ286" s="136"/>
    </row>
    <row r="287" spans="9:36" x14ac:dyDescent="0.35">
      <c r="I287" s="49">
        <v>0.13808723568</v>
      </c>
      <c r="J287" s="49">
        <v>1.6724713136337481E-9</v>
      </c>
      <c r="K287" s="49">
        <v>1.8536339224622718E-10</v>
      </c>
      <c r="L287" s="156">
        <v>2.3030578778493111E-9</v>
      </c>
      <c r="M287" s="33"/>
      <c r="U287" s="127">
        <v>2.1818858314308285E-9</v>
      </c>
      <c r="V287" s="127">
        <v>2.3030578778493111E-9</v>
      </c>
      <c r="W287" s="127">
        <v>1.5842715969300803E-9</v>
      </c>
      <c r="X287" s="128">
        <f t="shared" si="8"/>
        <v>2.0930682960148828E-9</v>
      </c>
      <c r="Y287" s="139">
        <f t="shared" si="9"/>
        <v>5.148543276596671</v>
      </c>
      <c r="AA287" s="73"/>
      <c r="AB287" s="182"/>
      <c r="AC287" s="182"/>
      <c r="AD287" s="182"/>
      <c r="AJ287" s="136"/>
    </row>
    <row r="288" spans="9:36" x14ac:dyDescent="0.35">
      <c r="I288" s="49">
        <v>0.13946810803699999</v>
      </c>
      <c r="J288" s="49">
        <v>1.8763437328524525E-9</v>
      </c>
      <c r="K288" s="49">
        <v>1.9941946440818176E-10</v>
      </c>
      <c r="L288" s="156">
        <v>2.2891270401121251E-9</v>
      </c>
      <c r="M288" s="35"/>
      <c r="U288" s="127">
        <v>1.5456240903779888E-9</v>
      </c>
      <c r="V288" s="127">
        <v>2.2891270401121251E-9</v>
      </c>
      <c r="W288" s="127">
        <v>2.1964153198527916E-9</v>
      </c>
      <c r="X288" s="128">
        <f t="shared" si="8"/>
        <v>2.0800733726137577E-9</v>
      </c>
      <c r="Y288" s="139">
        <f t="shared" si="9"/>
        <v>1.0436943765695486</v>
      </c>
      <c r="AA288" s="73"/>
      <c r="AB288" s="182"/>
      <c r="AC288" s="182"/>
      <c r="AD288" s="182"/>
      <c r="AJ288" s="136"/>
    </row>
    <row r="289" spans="9:36" x14ac:dyDescent="0.35">
      <c r="I289" s="49">
        <v>0.14086278911700001</v>
      </c>
      <c r="J289" s="49">
        <v>2.2065786740399668E-9</v>
      </c>
      <c r="K289" s="49">
        <v>2.2133380670932905E-10</v>
      </c>
      <c r="L289" s="156">
        <v>1.6647919592349053E-9</v>
      </c>
      <c r="M289" s="34"/>
      <c r="U289" s="127">
        <v>1.6742128563953151E-9</v>
      </c>
      <c r="V289" s="127">
        <v>1.6647919592349053E-9</v>
      </c>
      <c r="W289" s="127">
        <v>2.3248707148236249E-9</v>
      </c>
      <c r="X289" s="128">
        <f t="shared" si="8"/>
        <v>1.8321668724221877E-9</v>
      </c>
      <c r="Y289" s="139">
        <f t="shared" si="9"/>
        <v>2.8615645821233837</v>
      </c>
      <c r="AA289" s="73"/>
      <c r="AB289" s="182"/>
      <c r="AC289" s="182"/>
      <c r="AD289" s="182"/>
      <c r="AJ289" s="136"/>
    </row>
    <row r="290" spans="9:36" x14ac:dyDescent="0.35">
      <c r="I290" s="49">
        <v>0.14227141700900001</v>
      </c>
      <c r="J290" s="49">
        <v>1.4245986029735098E-9</v>
      </c>
      <c r="K290" s="49">
        <v>2.0179945881475065E-10</v>
      </c>
      <c r="L290" s="156">
        <v>1.6484729552308157E-9</v>
      </c>
      <c r="M290" s="34"/>
      <c r="U290" s="127">
        <v>2.3374467531162014E-9</v>
      </c>
      <c r="V290" s="127">
        <v>1.6484729552308157E-9</v>
      </c>
      <c r="W290" s="127">
        <v>1.7490421880939588E-9</v>
      </c>
      <c r="X290" s="128">
        <f t="shared" si="8"/>
        <v>1.8458587129179478E-9</v>
      </c>
      <c r="Y290" s="139">
        <f t="shared" si="9"/>
        <v>4.3577336198105581</v>
      </c>
      <c r="AA290" s="73"/>
      <c r="AB290" s="182"/>
      <c r="AC290" s="182"/>
      <c r="AD290" s="182"/>
      <c r="AJ290" s="136"/>
    </row>
    <row r="291" spans="9:36" x14ac:dyDescent="0.35">
      <c r="I291" s="49">
        <v>0.14369413117900001</v>
      </c>
      <c r="J291" s="49">
        <v>1.9730700123499981E-9</v>
      </c>
      <c r="K291" s="49">
        <v>2.1033301878450632E-10</v>
      </c>
      <c r="L291" s="156">
        <v>2.2742578028668898E-9</v>
      </c>
      <c r="M291" s="33"/>
      <c r="U291" s="127">
        <v>2.3219473949290634E-9</v>
      </c>
      <c r="V291" s="127">
        <v>2.2742578028668898E-9</v>
      </c>
      <c r="W291" s="127">
        <v>1.6672465895602022E-9</v>
      </c>
      <c r="X291" s="128">
        <f t="shared" si="8"/>
        <v>2.1344273975557612E-9</v>
      </c>
      <c r="Y291" s="139">
        <f t="shared" si="9"/>
        <v>0.58852211217008177</v>
      </c>
      <c r="AA291" s="73"/>
      <c r="AB291" s="182"/>
      <c r="AC291" s="182"/>
      <c r="AD291" s="182"/>
      <c r="AJ291" s="136"/>
    </row>
    <row r="292" spans="9:36" x14ac:dyDescent="0.35">
      <c r="I292" s="49">
        <v>0.14513107249099999</v>
      </c>
      <c r="J292" s="49">
        <v>2.0900210343641594E-9</v>
      </c>
      <c r="K292" s="49">
        <v>2.1336559898116562E-10</v>
      </c>
      <c r="L292" s="156">
        <v>2.319466929991221E-9</v>
      </c>
      <c r="M292" s="34"/>
      <c r="U292" s="127">
        <v>1.6897188626946049E-9</v>
      </c>
      <c r="V292" s="127">
        <v>2.319466929991221E-9</v>
      </c>
      <c r="W292" s="127">
        <v>2.2490309217055153E-9</v>
      </c>
      <c r="X292" s="128">
        <f t="shared" si="8"/>
        <v>2.1444209110956405E-9</v>
      </c>
      <c r="Y292" s="139">
        <f t="shared" si="9"/>
        <v>6.5005040420705831E-2</v>
      </c>
      <c r="AA292" s="73"/>
      <c r="AB292" s="182"/>
      <c r="AC292" s="182"/>
      <c r="AD292" s="182"/>
      <c r="AJ292" s="136"/>
    </row>
    <row r="293" spans="9:36" x14ac:dyDescent="0.35">
      <c r="I293" s="49">
        <v>0.146582383215</v>
      </c>
      <c r="J293" s="49">
        <v>2.3053148384395972E-9</v>
      </c>
      <c r="K293" s="49">
        <v>2.3828752365873248E-10</v>
      </c>
      <c r="L293" s="156">
        <v>1.7278626396567157E-9</v>
      </c>
      <c r="M293" s="34"/>
      <c r="U293" s="127">
        <v>1.6695390834327545E-9</v>
      </c>
      <c r="V293" s="127">
        <v>1.7278626396567157E-9</v>
      </c>
      <c r="W293" s="127">
        <v>2.2851924494835428E-9</v>
      </c>
      <c r="X293" s="128">
        <f t="shared" si="8"/>
        <v>1.8526142030574322E-9</v>
      </c>
      <c r="Y293" s="139">
        <f t="shared" si="9"/>
        <v>3.6092718980327687</v>
      </c>
      <c r="AA293" s="73"/>
      <c r="AB293" s="182"/>
      <c r="AC293" s="182"/>
      <c r="AD293" s="182"/>
      <c r="AJ293" s="136"/>
    </row>
    <row r="294" spans="9:36" x14ac:dyDescent="0.35">
      <c r="I294" s="49">
        <v>0.14804820704800001</v>
      </c>
      <c r="J294" s="49">
        <v>2.0864812016318784E-9</v>
      </c>
      <c r="K294" s="49">
        <v>2.396328552142259E-10</v>
      </c>
      <c r="L294" s="156">
        <v>1.7239233904160276E-9</v>
      </c>
      <c r="M294" s="33"/>
      <c r="U294" s="127">
        <v>2.297584929714485E-9</v>
      </c>
      <c r="V294" s="127">
        <v>1.7239233904160276E-9</v>
      </c>
      <c r="W294" s="127">
        <v>1.7345397542860918E-9</v>
      </c>
      <c r="X294" s="128">
        <f t="shared" si="8"/>
        <v>1.869992866208158E-9</v>
      </c>
      <c r="Y294" s="139">
        <f t="shared" si="9"/>
        <v>0.81616182548395777</v>
      </c>
      <c r="AA294" s="73"/>
      <c r="AB294" s="182"/>
      <c r="AC294" s="182"/>
      <c r="AD294" s="182"/>
      <c r="AJ294" s="136"/>
    </row>
    <row r="295" spans="9:36" x14ac:dyDescent="0.35">
      <c r="I295" s="49">
        <v>0.14952868911799999</v>
      </c>
      <c r="J295" s="49">
        <v>1.7559558527207308E-9</v>
      </c>
      <c r="K295" s="49">
        <v>2.240291906203847E-10</v>
      </c>
      <c r="L295" s="156">
        <v>2.3096834660045524E-9</v>
      </c>
      <c r="M295" s="34"/>
      <c r="U295" s="127">
        <v>2.3427070167653007E-9</v>
      </c>
      <c r="V295" s="127">
        <v>2.3096834660045524E-9</v>
      </c>
      <c r="W295" s="127">
        <v>1.805104310896571E-9</v>
      </c>
      <c r="X295" s="128">
        <f t="shared" si="8"/>
        <v>2.1917945649177442E-9</v>
      </c>
      <c r="Y295" s="139">
        <f t="shared" si="9"/>
        <v>3.7847952118837291</v>
      </c>
      <c r="AA295" s="73"/>
      <c r="AB295" s="182"/>
      <c r="AC295" s="182"/>
      <c r="AD295" s="182"/>
      <c r="AJ295" s="136"/>
    </row>
    <row r="296" spans="9:36" x14ac:dyDescent="0.35">
      <c r="I296" s="49">
        <v>0.151023976009</v>
      </c>
      <c r="J296" s="49">
        <v>2.1869018917104849E-9</v>
      </c>
      <c r="K296" s="49">
        <v>2.5207397200389967E-10</v>
      </c>
      <c r="L296" s="156">
        <v>2.2642182631807158E-9</v>
      </c>
      <c r="M296" s="35"/>
      <c r="U296" s="127">
        <v>1.7450007202137118E-9</v>
      </c>
      <c r="V296" s="127">
        <v>2.2642182631807158E-9</v>
      </c>
      <c r="W296" s="127">
        <v>2.3326891054816414E-9</v>
      </c>
      <c r="X296" s="128">
        <f t="shared" si="8"/>
        <v>2.1515315880141964E-9</v>
      </c>
      <c r="Y296" s="139">
        <f t="shared" si="9"/>
        <v>1.9688905206527996E-2</v>
      </c>
      <c r="AA296" s="73"/>
      <c r="AB296" s="182"/>
      <c r="AC296" s="182"/>
      <c r="AD296" s="182"/>
      <c r="AJ296" s="136"/>
    </row>
    <row r="297" spans="9:36" x14ac:dyDescent="0.35">
      <c r="I297" s="49">
        <v>0.152534215769</v>
      </c>
      <c r="J297" s="49">
        <v>1.9271311998094231E-9</v>
      </c>
      <c r="K297" s="49">
        <v>2.4359603091638461E-10</v>
      </c>
      <c r="L297" s="156">
        <v>1.716296049844698E-9</v>
      </c>
      <c r="M297" s="34"/>
      <c r="U297" s="127">
        <v>1.7354807725337301E-9</v>
      </c>
      <c r="V297" s="127">
        <v>1.716296049844698E-9</v>
      </c>
      <c r="W297" s="128">
        <v>2.1542986400594214E-9</v>
      </c>
      <c r="X297" s="128">
        <f t="shared" si="8"/>
        <v>1.830592878070637E-9</v>
      </c>
      <c r="Y297" s="139">
        <f t="shared" si="9"/>
        <v>0.1570576423085441</v>
      </c>
      <c r="AA297" s="73"/>
      <c r="AB297" s="182"/>
      <c r="AC297" s="182"/>
      <c r="AD297" s="182"/>
      <c r="AJ297" s="136"/>
    </row>
    <row r="298" spans="9:36" x14ac:dyDescent="0.35">
      <c r="I298" s="109">
        <v>0.15405955792699999</v>
      </c>
      <c r="J298" s="109">
        <v>1.5795391511872323E-9</v>
      </c>
      <c r="K298" s="109">
        <v>2.5602236425578343E-10</v>
      </c>
      <c r="L298" s="156">
        <v>1.8599154647458883E-9</v>
      </c>
      <c r="M298" s="33"/>
      <c r="U298" s="127">
        <v>2.3210502075778905E-9</v>
      </c>
      <c r="V298" s="127">
        <v>1.8599154647458883E-9</v>
      </c>
      <c r="W298" s="128">
        <v>1.7046960577979693E-9</v>
      </c>
      <c r="X298" s="128">
        <f t="shared" si="8"/>
        <v>1.9363942987169092E-9</v>
      </c>
      <c r="Y298" s="139">
        <f t="shared" si="9"/>
        <v>1.9428001299415141</v>
      </c>
      <c r="AA298" s="73"/>
      <c r="AB298" s="182"/>
      <c r="AC298" s="182"/>
      <c r="AD298" s="182"/>
      <c r="AJ298" s="136"/>
    </row>
    <row r="299" spans="9:36" x14ac:dyDescent="0.35">
      <c r="I299" s="109">
        <v>0.15560015350600001</v>
      </c>
      <c r="J299" s="109">
        <v>1.784318889725535E-9</v>
      </c>
      <c r="K299" s="109">
        <v>2.4559105477868413E-10</v>
      </c>
      <c r="L299" s="156">
        <v>2.3631660801506545E-9</v>
      </c>
      <c r="M299" s="34"/>
      <c r="U299" s="127">
        <v>2.2759447524186022E-9</v>
      </c>
      <c r="V299" s="127">
        <v>2.3631660801506545E-9</v>
      </c>
      <c r="W299" s="128">
        <v>2.0139176176093005E-9</v>
      </c>
      <c r="X299" s="128">
        <f t="shared" si="8"/>
        <v>2.2540486325823032E-9</v>
      </c>
      <c r="Y299" s="139">
        <f t="shared" si="9"/>
        <v>3.6582302083876632</v>
      </c>
      <c r="AA299" s="73"/>
      <c r="AB299" s="182"/>
      <c r="AC299" s="182"/>
      <c r="AD299" s="182"/>
      <c r="AJ299" s="136"/>
    </row>
    <row r="300" spans="9:36" x14ac:dyDescent="0.35">
      <c r="I300" s="109">
        <v>0.157156155041</v>
      </c>
      <c r="J300" s="109">
        <v>1.8420723421934606E-9</v>
      </c>
      <c r="K300" s="109">
        <v>2.4481904413299454E-10</v>
      </c>
      <c r="L300" s="156">
        <v>2.1134717357632976E-9</v>
      </c>
      <c r="M300" s="34"/>
      <c r="U300" s="127">
        <v>1.7229084449431487E-9</v>
      </c>
      <c r="V300" s="127">
        <v>2.1134717357632976E-9</v>
      </c>
      <c r="W300" s="128">
        <v>2.3454959069412532E-9</v>
      </c>
      <c r="X300" s="128">
        <f t="shared" si="8"/>
        <v>2.0738369558527493E-9</v>
      </c>
      <c r="Y300" s="139">
        <f t="shared" si="9"/>
        <v>0.89619777090370556</v>
      </c>
      <c r="AA300" s="73"/>
      <c r="AB300" s="182"/>
      <c r="AC300" s="182"/>
      <c r="AD300" s="182"/>
      <c r="AJ300" s="136"/>
    </row>
    <row r="301" spans="9:36" x14ac:dyDescent="0.35">
      <c r="I301" s="109">
        <v>0.158727716592</v>
      </c>
      <c r="J301" s="109">
        <v>1.8275873246053398E-9</v>
      </c>
      <c r="K301" s="109">
        <v>2.6983262283592605E-10</v>
      </c>
      <c r="L301" s="156">
        <v>1.7003088488724024E-9</v>
      </c>
      <c r="M301" s="33"/>
      <c r="U301" s="127">
        <v>1.8596092414046193E-9</v>
      </c>
      <c r="V301" s="127">
        <v>1.7003088488724024E-9</v>
      </c>
      <c r="W301" s="128">
        <v>1.9341252190355397E-9</v>
      </c>
      <c r="X301" s="128">
        <f t="shared" si="8"/>
        <v>1.798588039546241E-9</v>
      </c>
      <c r="Y301" s="139">
        <f t="shared" si="9"/>
        <v>1.1550098087783338E-2</v>
      </c>
      <c r="AA301" s="73"/>
      <c r="AB301" s="182"/>
      <c r="AC301" s="182"/>
      <c r="AD301" s="182"/>
      <c r="AJ301" s="136"/>
    </row>
    <row r="302" spans="9:36" x14ac:dyDescent="0.35">
      <c r="I302" s="109">
        <v>0.16031499375800001</v>
      </c>
      <c r="J302" s="109">
        <v>1.7429089619151488E-9</v>
      </c>
      <c r="K302" s="109">
        <v>2.6970605895056993E-10</v>
      </c>
      <c r="L302" s="156">
        <v>2.0597781186272855E-9</v>
      </c>
      <c r="M302" s="34"/>
      <c r="U302" s="127">
        <v>2.3615124894678608E-9</v>
      </c>
      <c r="V302" s="127">
        <v>2.0597781186272855E-9</v>
      </c>
      <c r="W302" s="128">
        <v>1.780386175838723E-9</v>
      </c>
      <c r="X302" s="128">
        <f t="shared" si="8"/>
        <v>2.0653637256402886E-9</v>
      </c>
      <c r="Y302" s="139">
        <f t="shared" si="9"/>
        <v>1.4294079348041262</v>
      </c>
      <c r="AA302" s="73"/>
      <c r="AB302" s="182"/>
      <c r="AC302" s="182"/>
      <c r="AD302" s="182"/>
      <c r="AJ302" s="136"/>
    </row>
    <row r="303" spans="9:36" x14ac:dyDescent="0.35">
      <c r="I303" s="109">
        <v>0.16191814369499999</v>
      </c>
      <c r="J303" s="109">
        <v>2.1032940042026025E-9</v>
      </c>
      <c r="K303" s="109">
        <v>3.1084312707484965E-10</v>
      </c>
      <c r="L303" s="156">
        <v>2.3314827410725899E-9</v>
      </c>
      <c r="M303" s="34"/>
      <c r="U303" s="127">
        <v>2.1126441579650085E-9</v>
      </c>
      <c r="V303" s="127">
        <v>2.3314827410725899E-9</v>
      </c>
      <c r="W303" s="128">
        <v>2.2317337764021601E-9</v>
      </c>
      <c r="X303" s="128">
        <f t="shared" si="8"/>
        <v>2.2518358541280869E-9</v>
      </c>
      <c r="Y303" s="139">
        <f t="shared" si="9"/>
        <v>0.22835741488515812</v>
      </c>
      <c r="AA303" s="73"/>
      <c r="AB303" s="182"/>
      <c r="AC303" s="182"/>
      <c r="AD303" s="182"/>
      <c r="AJ303" s="136"/>
    </row>
    <row r="304" spans="9:36" x14ac:dyDescent="0.35">
      <c r="I304" s="109">
        <v>0.16353732513200001</v>
      </c>
      <c r="J304" s="109">
        <v>2.4414849223338017E-9</v>
      </c>
      <c r="K304" s="109">
        <v>3.0211310131441647E-10</v>
      </c>
      <c r="L304" s="156">
        <v>1.8864623381778872E-9</v>
      </c>
      <c r="M304" s="35"/>
      <c r="U304" s="127">
        <v>1.6935648312242177E-9</v>
      </c>
      <c r="V304" s="127">
        <v>1.8864623381778872E-9</v>
      </c>
      <c r="W304" s="128">
        <v>2.1637803135824076E-9</v>
      </c>
      <c r="X304" s="128">
        <f t="shared" si="8"/>
        <v>1.9075674552905999E-9</v>
      </c>
      <c r="Y304" s="139">
        <f t="shared" si="9"/>
        <v>3.1232671955586233</v>
      </c>
      <c r="AA304" s="73"/>
      <c r="AB304" s="182"/>
      <c r="AC304" s="182"/>
      <c r="AD304" s="182"/>
      <c r="AJ304" s="136"/>
    </row>
    <row r="305" spans="9:36" x14ac:dyDescent="0.35">
      <c r="I305" s="109">
        <v>0.16517269838400001</v>
      </c>
      <c r="J305" s="109">
        <v>1.46884939488187E-9</v>
      </c>
      <c r="K305" s="109">
        <v>2.63320378929181E-10</v>
      </c>
      <c r="L305" s="156">
        <v>1.795562535646789E-9</v>
      </c>
      <c r="M305" s="33"/>
      <c r="U305" s="127">
        <v>2.0449015034688273E-9</v>
      </c>
      <c r="V305" s="127">
        <v>1.795562535646789E-9</v>
      </c>
      <c r="W305" s="128">
        <v>1.7629483429495272E-9</v>
      </c>
      <c r="X305" s="128">
        <f t="shared" si="8"/>
        <v>1.8497437294279832E-9</v>
      </c>
      <c r="Y305" s="139">
        <f t="shared" si="9"/>
        <v>2.092377701881114</v>
      </c>
      <c r="AA305" s="73"/>
      <c r="AB305" s="182"/>
      <c r="AC305" s="182"/>
      <c r="AD305" s="182"/>
      <c r="AJ305" s="136"/>
    </row>
    <row r="306" spans="9:36" x14ac:dyDescent="0.35">
      <c r="I306" s="109">
        <v>0.16682442536700001</v>
      </c>
      <c r="J306" s="109">
        <v>2.2415247434885639E-9</v>
      </c>
      <c r="K306" s="109">
        <v>2.9758603067166673E-10</v>
      </c>
      <c r="L306" s="156">
        <v>2.2426160244238764E-9</v>
      </c>
      <c r="M306" s="34"/>
      <c r="U306" s="127">
        <v>2.31650407559105E-9</v>
      </c>
      <c r="V306" s="127">
        <v>2.2426160244238764E-9</v>
      </c>
      <c r="W306" s="128">
        <v>2.0247625695401629E-9</v>
      </c>
      <c r="X306" s="128">
        <f t="shared" si="8"/>
        <v>2.2066246734947416E-9</v>
      </c>
      <c r="Y306" s="139">
        <f t="shared" si="9"/>
        <v>1.3753952325758668E-2</v>
      </c>
      <c r="AA306" s="73"/>
      <c r="AB306" s="182"/>
      <c r="AC306" s="182"/>
      <c r="AD306" s="182"/>
      <c r="AJ306" s="136"/>
    </row>
    <row r="307" spans="9:36" x14ac:dyDescent="0.35">
      <c r="I307" s="109">
        <v>0.16849266962100001</v>
      </c>
      <c r="J307" s="109">
        <v>1.5068960317527785E-9</v>
      </c>
      <c r="K307" s="109">
        <v>3.1340275892740686E-10</v>
      </c>
      <c r="L307" s="156">
        <v>2.1078149695837052E-9</v>
      </c>
      <c r="M307" s="34"/>
      <c r="U307" s="127">
        <v>1.8719611112663225E-9</v>
      </c>
      <c r="V307" s="127">
        <v>2.1078149695837052E-9</v>
      </c>
      <c r="W307" s="128">
        <v>2.2386116924953589E-9</v>
      </c>
      <c r="X307" s="128">
        <f t="shared" si="8"/>
        <v>2.081550685732273E-9</v>
      </c>
      <c r="Y307" s="139">
        <f t="shared" si="9"/>
        <v>3.362081415165898</v>
      </c>
      <c r="AA307" s="73"/>
      <c r="AB307" s="182"/>
      <c r="AC307" s="182"/>
      <c r="AD307" s="182"/>
      <c r="AJ307" s="136"/>
    </row>
    <row r="308" spans="9:36" x14ac:dyDescent="0.35">
      <c r="I308" s="109">
        <v>0.170177596317</v>
      </c>
      <c r="J308" s="109">
        <v>2.7434229871967762E-9</v>
      </c>
      <c r="K308" s="109">
        <v>3.171922051464706E-10</v>
      </c>
      <c r="L308" s="156">
        <v>1.7357777071359739E-9</v>
      </c>
      <c r="M308" s="33"/>
      <c r="U308" s="127">
        <v>1.7718009220738371E-9</v>
      </c>
      <c r="V308" s="127">
        <v>1.7357777071359739E-9</v>
      </c>
      <c r="W308" s="128">
        <v>1.848450078630269E-9</v>
      </c>
      <c r="X308" s="128">
        <f t="shared" si="8"/>
        <v>1.7729516037440135E-9</v>
      </c>
      <c r="Y308" s="139">
        <f t="shared" si="9"/>
        <v>9.3609614152378082</v>
      </c>
      <c r="AA308" s="73"/>
      <c r="AB308" s="182"/>
      <c r="AC308" s="182"/>
      <c r="AD308" s="182"/>
      <c r="AJ308" s="136"/>
    </row>
    <row r="309" spans="9:36" x14ac:dyDescent="0.35">
      <c r="I309" s="109">
        <v>0.17187937228</v>
      </c>
      <c r="J309" s="109">
        <v>1.7880250452952663E-9</v>
      </c>
      <c r="K309" s="109">
        <v>3.004287582247889E-10</v>
      </c>
      <c r="L309" s="156">
        <v>2.0356764508425486E-9</v>
      </c>
      <c r="M309" s="34"/>
      <c r="U309" s="127">
        <v>2.2119879470446653E-9</v>
      </c>
      <c r="V309" s="127">
        <v>2.0356764508425486E-9</v>
      </c>
      <c r="W309" s="128">
        <v>1.8700517582019299E-9</v>
      </c>
      <c r="X309" s="128">
        <f t="shared" si="8"/>
        <v>2.038348151732923E-9</v>
      </c>
      <c r="Y309" s="139">
        <f t="shared" si="9"/>
        <v>0.6942547724772723</v>
      </c>
      <c r="AA309" s="73"/>
      <c r="AB309" s="182"/>
      <c r="AC309" s="182"/>
      <c r="AD309" s="182"/>
      <c r="AJ309" s="136"/>
    </row>
    <row r="310" spans="9:36" x14ac:dyDescent="0.35">
      <c r="I310" s="109">
        <v>0.17359816600299999</v>
      </c>
      <c r="J310" s="109">
        <v>2.4744019568244914E-9</v>
      </c>
      <c r="K310" s="109">
        <v>3.5000431415572262E-10</v>
      </c>
      <c r="L310" s="156">
        <v>2.1903293187694192E-9</v>
      </c>
      <c r="M310" s="34"/>
      <c r="U310" s="127">
        <v>2.080316362728057E-9</v>
      </c>
      <c r="V310" s="127">
        <v>2.1903293187694192E-9</v>
      </c>
      <c r="W310" s="128">
        <v>2.1919177371704636E-9</v>
      </c>
      <c r="X310" s="128">
        <f t="shared" si="8"/>
        <v>2.1632231843593399E-9</v>
      </c>
      <c r="Y310" s="139">
        <f t="shared" si="9"/>
        <v>0.79044768439286561</v>
      </c>
      <c r="AA310" s="73"/>
      <c r="AB310" s="182"/>
      <c r="AC310" s="182"/>
      <c r="AD310" s="182"/>
      <c r="AJ310" s="136"/>
    </row>
    <row r="311" spans="9:36" x14ac:dyDescent="0.35">
      <c r="I311" s="109">
        <v>0.17533414766300001</v>
      </c>
      <c r="J311" s="109">
        <v>2.1291057566646523E-9</v>
      </c>
      <c r="K311" s="109">
        <v>3.586721444168873E-10</v>
      </c>
      <c r="L311" s="156">
        <v>1.7900296769128082E-9</v>
      </c>
      <c r="M311" s="34"/>
      <c r="U311" s="127">
        <v>1.7041261541694303E-9</v>
      </c>
      <c r="V311" s="127">
        <v>1.7900296769128082E-9</v>
      </c>
      <c r="W311" s="128">
        <v>1.9191621265649348E-9</v>
      </c>
      <c r="X311" s="128">
        <f t="shared" si="8"/>
        <v>1.8008369086399954E-9</v>
      </c>
      <c r="Y311" s="139">
        <f t="shared" si="9"/>
        <v>0.83765279810035265</v>
      </c>
      <c r="AA311" s="73"/>
      <c r="AB311" s="182"/>
      <c r="AC311" s="182"/>
      <c r="AD311" s="182"/>
      <c r="AJ311" s="136"/>
    </row>
    <row r="312" spans="9:36" x14ac:dyDescent="0.35">
      <c r="I312" s="109">
        <v>0.17708748914</v>
      </c>
      <c r="J312" s="109">
        <v>2.8046279786212795E-9</v>
      </c>
      <c r="K312" s="109">
        <v>3.8959999780549881E-10</v>
      </c>
      <c r="L312" s="156">
        <v>1.8632038187106719E-9</v>
      </c>
      <c r="M312" s="33"/>
      <c r="U312" s="127">
        <v>1.9919861780339673E-9</v>
      </c>
      <c r="V312" s="127">
        <v>1.8632038187106719E-9</v>
      </c>
      <c r="W312" s="128">
        <v>1.7848301272091494E-9</v>
      </c>
      <c r="X312" s="128">
        <f t="shared" si="8"/>
        <v>1.8758059856661151E-9</v>
      </c>
      <c r="Y312" s="139">
        <f t="shared" si="9"/>
        <v>5.6836468952254631</v>
      </c>
      <c r="AA312" s="73"/>
      <c r="AB312" s="182"/>
      <c r="AC312" s="182"/>
      <c r="AD312" s="182"/>
      <c r="AJ312" s="136"/>
    </row>
    <row r="313" spans="9:36" x14ac:dyDescent="0.35">
      <c r="I313" s="109">
        <v>0.178858364031</v>
      </c>
      <c r="J313" s="109">
        <v>1.4203340005684088E-9</v>
      </c>
      <c r="K313" s="109">
        <v>3.5059495135550506E-10</v>
      </c>
      <c r="L313" s="156">
        <v>2.1487383052213862E-9</v>
      </c>
      <c r="M313" s="34"/>
      <c r="U313" s="127">
        <v>2.1467029508109453E-9</v>
      </c>
      <c r="V313" s="127">
        <v>2.1487383052213862E-9</v>
      </c>
      <c r="W313" s="128">
        <v>2.0990871324538527E-9</v>
      </c>
      <c r="X313" s="128">
        <f t="shared" si="8"/>
        <v>2.1358166734268927E-9</v>
      </c>
      <c r="Y313" s="139">
        <f t="shared" si="9"/>
        <v>4.164730713914393</v>
      </c>
      <c r="AA313" s="73"/>
      <c r="AB313" s="182"/>
      <c r="AC313" s="182"/>
      <c r="AD313" s="182"/>
      <c r="AJ313" s="136"/>
    </row>
    <row r="314" spans="9:36" x14ac:dyDescent="0.35">
      <c r="I314" s="109">
        <v>0.18064694767200001</v>
      </c>
      <c r="J314" s="109">
        <v>1.1570299594801554E-9</v>
      </c>
      <c r="K314" s="109">
        <v>3.6222158797601557E-10</v>
      </c>
      <c r="L314" s="156">
        <v>1.8424023758108551E-9</v>
      </c>
      <c r="M314" s="34"/>
      <c r="U314" s="127">
        <v>1.7481381786038193E-9</v>
      </c>
      <c r="V314" s="127">
        <v>1.8424023758108551E-9</v>
      </c>
      <c r="W314" s="128">
        <v>1.9312086809946672E-9</v>
      </c>
      <c r="X314" s="128">
        <f t="shared" si="8"/>
        <v>1.8410379028050491E-9</v>
      </c>
      <c r="Y314" s="139">
        <f t="shared" si="9"/>
        <v>3.5659367029648328</v>
      </c>
      <c r="AA314" s="73"/>
      <c r="AB314" s="182"/>
      <c r="AC314" s="182"/>
      <c r="AD314" s="182"/>
      <c r="AJ314" s="136"/>
    </row>
    <row r="315" spans="9:36" x14ac:dyDescent="0.35">
      <c r="I315" s="109">
        <v>0.18245341714800001</v>
      </c>
      <c r="J315" s="109">
        <v>1.8004835816928793E-9</v>
      </c>
      <c r="K315" s="109">
        <v>3.6063919671677235E-10</v>
      </c>
      <c r="L315" s="156">
        <v>1.7555100227213659E-9</v>
      </c>
      <c r="M315" s="33"/>
      <c r="U315" s="127">
        <v>1.8086697189843183E-9</v>
      </c>
      <c r="V315" s="127">
        <v>1.7555100227213659E-9</v>
      </c>
      <c r="W315" s="128">
        <v>1.7344325110876395E-9</v>
      </c>
      <c r="X315" s="128">
        <f t="shared" si="8"/>
        <v>1.7635305688786724E-9</v>
      </c>
      <c r="Y315" s="139">
        <f t="shared" si="9"/>
        <v>1.0499143006286162E-2</v>
      </c>
      <c r="AA315" s="73"/>
      <c r="AB315" s="182"/>
      <c r="AC315" s="182"/>
      <c r="AD315" s="182"/>
      <c r="AJ315" s="136"/>
    </row>
    <row r="316" spans="9:36" x14ac:dyDescent="0.35">
      <c r="I316" s="109">
        <v>0.18427795131999999</v>
      </c>
      <c r="J316" s="109">
        <v>1.6991487867766565E-9</v>
      </c>
      <c r="K316" s="109">
        <v>3.8838356992440338E-10</v>
      </c>
      <c r="L316" s="156">
        <v>2.0524558052058757E-9</v>
      </c>
      <c r="M316" s="34"/>
      <c r="U316" s="127">
        <v>2.0890103112642098E-9</v>
      </c>
      <c r="V316" s="127">
        <v>2.0524558052058757E-9</v>
      </c>
      <c r="W316" s="128">
        <v>2.0040875645511648E-9</v>
      </c>
      <c r="X316" s="128">
        <f t="shared" si="8"/>
        <v>2.0495023715567812E-9</v>
      </c>
      <c r="Y316" s="139">
        <f t="shared" si="9"/>
        <v>0.81375080710010539</v>
      </c>
      <c r="AA316" s="73"/>
      <c r="AB316" s="182"/>
      <c r="AC316" s="182"/>
      <c r="AD316" s="182"/>
      <c r="AJ316" s="136"/>
    </row>
    <row r="317" spans="9:36" x14ac:dyDescent="0.35">
      <c r="I317" s="109">
        <v>0.18612073083299999</v>
      </c>
      <c r="J317" s="109">
        <v>1.2920136316052724E-9</v>
      </c>
      <c r="K317" s="109">
        <v>3.9275180862225129E-10</v>
      </c>
      <c r="L317" s="156">
        <v>1.8428661424197486E-9</v>
      </c>
      <c r="M317" s="34"/>
      <c r="U317" s="127">
        <v>1.7877783562784163E-9</v>
      </c>
      <c r="V317" s="127">
        <v>1.8428661424197486E-9</v>
      </c>
      <c r="W317" s="128">
        <v>1.8870106131582894E-9</v>
      </c>
      <c r="X317" s="128">
        <f t="shared" si="8"/>
        <v>1.8401303135690507E-9</v>
      </c>
      <c r="Y317" s="139">
        <f t="shared" si="9"/>
        <v>1.9476443386495887</v>
      </c>
      <c r="AA317" s="73"/>
      <c r="AB317" s="182"/>
      <c r="AC317" s="182"/>
      <c r="AD317" s="182"/>
      <c r="AJ317" s="136"/>
    </row>
    <row r="318" spans="9:36" x14ac:dyDescent="0.35">
      <c r="I318" s="109">
        <v>0.187981938141</v>
      </c>
      <c r="J318" s="109">
        <v>1.790310820859361E-9</v>
      </c>
      <c r="K318" s="109">
        <v>3.8562801915228531E-10</v>
      </c>
      <c r="L318" s="156">
        <v>1.685318562061297E-9</v>
      </c>
      <c r="M318" s="33"/>
      <c r="U318" s="127">
        <v>1.6905192618473363E-9</v>
      </c>
      <c r="V318" s="127">
        <v>1.685318562061297E-9</v>
      </c>
      <c r="W318" s="128">
        <v>1.6894222337640737E-9</v>
      </c>
      <c r="X318" s="128">
        <f t="shared" si="8"/>
        <v>1.6876446549335008E-9</v>
      </c>
      <c r="Y318" s="139">
        <f t="shared" si="9"/>
        <v>7.0878990593416416E-2</v>
      </c>
      <c r="AA318" s="73"/>
      <c r="AB318" s="182"/>
      <c r="AC318" s="182"/>
      <c r="AD318" s="182"/>
      <c r="AJ318" s="136"/>
    </row>
    <row r="319" spans="9:36" x14ac:dyDescent="0.35">
      <c r="I319" s="109">
        <v>0.189861757523</v>
      </c>
      <c r="J319" s="109">
        <v>1.5173144358817386E-9</v>
      </c>
      <c r="K319" s="109">
        <v>3.9824166467238244E-10</v>
      </c>
      <c r="L319" s="156">
        <v>1.9468854289445727E-9</v>
      </c>
      <c r="M319" s="34"/>
      <c r="U319" s="127">
        <v>1.97802636738945E-9</v>
      </c>
      <c r="V319" s="127">
        <v>1.9468854289445727E-9</v>
      </c>
      <c r="W319" s="128">
        <v>1.9175841813864179E-9</v>
      </c>
      <c r="X319" s="128">
        <f t="shared" si="8"/>
        <v>1.9473453516662537E-9</v>
      </c>
      <c r="Y319" s="139">
        <f t="shared" si="9"/>
        <v>1.1660199169156409</v>
      </c>
      <c r="AA319" s="73"/>
      <c r="AB319" s="182"/>
      <c r="AC319" s="182"/>
      <c r="AD319" s="182"/>
      <c r="AJ319" s="136"/>
    </row>
    <row r="320" spans="9:36" x14ac:dyDescent="0.35">
      <c r="I320" s="109">
        <v>0.19176037509800001</v>
      </c>
      <c r="J320" s="109">
        <v>2.3842188904077542E-9</v>
      </c>
      <c r="K320" s="109">
        <v>4.6623654945629436E-10</v>
      </c>
      <c r="L320" s="156">
        <v>1.7890820165803666E-9</v>
      </c>
      <c r="M320" s="34"/>
      <c r="U320" s="127">
        <v>1.7746114650116179E-9</v>
      </c>
      <c r="V320" s="127">
        <v>1.7890820165803666E-9</v>
      </c>
      <c r="W320" s="128">
        <v>1.8000898488625186E-9</v>
      </c>
      <c r="X320" s="128">
        <f t="shared" ref="X320:X322" si="10">(U320+2*V320+W320)/4</f>
        <v>1.7882163367587173E-9</v>
      </c>
      <c r="Y320" s="139">
        <f t="shared" ref="Y320:Y322" si="11">(J320-X320)*(J320-X320)/(K320*K320)</f>
        <v>1.6341187349776589</v>
      </c>
      <c r="AA320" s="73"/>
      <c r="AB320" s="182"/>
      <c r="AC320" s="182"/>
      <c r="AD320" s="182"/>
      <c r="AJ320" s="136"/>
    </row>
    <row r="321" spans="9:36" x14ac:dyDescent="0.35">
      <c r="I321" s="109">
        <v>0.19367797884900001</v>
      </c>
      <c r="J321" s="109">
        <v>2.3272606348724418E-9</v>
      </c>
      <c r="K321" s="109">
        <v>4.9194212260202565E-10</v>
      </c>
      <c r="L321" s="156">
        <v>1.6249057083684345E-9</v>
      </c>
      <c r="M321" s="33"/>
      <c r="U321" s="127">
        <v>1.6090800022089358E-9</v>
      </c>
      <c r="V321" s="127">
        <v>1.6249057083684345E-9</v>
      </c>
      <c r="W321" s="128">
        <v>1.6395155836138461E-9</v>
      </c>
      <c r="X321" s="128">
        <f t="shared" si="10"/>
        <v>1.6246017506399128E-9</v>
      </c>
      <c r="Y321" s="139">
        <f t="shared" si="11"/>
        <v>2.0401451260640275</v>
      </c>
      <c r="AA321" s="73"/>
      <c r="AB321" s="182"/>
      <c r="AC321" s="182"/>
      <c r="AD321" s="182"/>
      <c r="AJ321" s="136"/>
    </row>
    <row r="322" spans="9:36" x14ac:dyDescent="0.35">
      <c r="I322" s="109">
        <v>0.19561475863700001</v>
      </c>
      <c r="J322" s="109">
        <v>2.1786951556542982E-9</v>
      </c>
      <c r="K322" s="109">
        <v>4.6984956421948779E-10</v>
      </c>
      <c r="L322" s="156">
        <v>1.8434514698375517E-9</v>
      </c>
      <c r="M322" s="34"/>
      <c r="U322" s="127">
        <v>1.8571611838419E-9</v>
      </c>
      <c r="V322" s="127">
        <v>1.8434514698375517E-9</v>
      </c>
      <c r="W322" s="128">
        <v>1.8306073202323157E-9</v>
      </c>
      <c r="X322" s="128">
        <f t="shared" si="10"/>
        <v>1.8436678609373297E-9</v>
      </c>
      <c r="Y322" s="139">
        <f t="shared" si="11"/>
        <v>0.50844352880026655</v>
      </c>
      <c r="AA322" s="73"/>
      <c r="AB322" s="182"/>
      <c r="AC322" s="182"/>
      <c r="AD322" s="182"/>
      <c r="AJ322" s="136"/>
    </row>
    <row r="323" spans="9:36" x14ac:dyDescent="0.35">
      <c r="I323" s="109">
        <v>0.197570906224</v>
      </c>
      <c r="J323" s="109">
        <v>2.0705112962611706E-9</v>
      </c>
      <c r="K323" s="109">
        <v>4.9435162817785488E-10</v>
      </c>
      <c r="L323" s="156">
        <v>1.6890257467201474E-9</v>
      </c>
      <c r="M323" s="34"/>
      <c r="U323" s="127">
        <v>1.7032642547073931E-9</v>
      </c>
      <c r="V323" s="127">
        <v>1.6890257467201474E-9</v>
      </c>
      <c r="W323" s="128">
        <v>1.6783472330055694E-9</v>
      </c>
      <c r="X323" s="128"/>
      <c r="Y323" s="139"/>
      <c r="AA323" s="73"/>
      <c r="AB323" s="182"/>
      <c r="AC323" s="182"/>
      <c r="AD323" s="182"/>
      <c r="AJ323" s="136"/>
    </row>
    <row r="324" spans="9:36" x14ac:dyDescent="0.35">
      <c r="I324" s="109"/>
      <c r="J324" s="109"/>
      <c r="K324" s="109"/>
      <c r="L324" s="156">
        <v>1.3442144802959171E-6</v>
      </c>
      <c r="M324" s="33"/>
      <c r="U324" s="127">
        <v>1.900043568933097E-9</v>
      </c>
      <c r="V324" s="127">
        <v>1.8914268365248794E-9</v>
      </c>
      <c r="W324" s="128">
        <v>1.8802791191413512E-9</v>
      </c>
      <c r="X324" s="128"/>
      <c r="Y324" s="139"/>
      <c r="AA324" s="73"/>
      <c r="AB324" s="182"/>
      <c r="AC324" s="182"/>
      <c r="AD324" s="182"/>
      <c r="AJ324" s="136"/>
    </row>
    <row r="325" spans="9:36" x14ac:dyDescent="0.35">
      <c r="I325" s="109"/>
      <c r="J325" s="109"/>
      <c r="K325" s="109"/>
      <c r="L325" s="156">
        <v>1.0840537763210928E-6</v>
      </c>
      <c r="M325" s="34"/>
      <c r="U325" s="127">
        <v>1.5647491617435143E-9</v>
      </c>
      <c r="V325" s="129">
        <v>1.5872937238781466E-9</v>
      </c>
      <c r="W325" s="128">
        <v>1.6072756885998335E-9</v>
      </c>
      <c r="X325" s="128"/>
      <c r="Y325" s="139"/>
      <c r="AA325" s="73"/>
      <c r="AB325" s="182"/>
      <c r="AC325" s="182"/>
      <c r="AD325" s="182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82"/>
      <c r="AC326" s="182"/>
      <c r="AD326" s="182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82"/>
      <c r="AC327" s="182"/>
      <c r="AD327" s="182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82"/>
      <c r="AC328" s="182"/>
      <c r="AD328" s="182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82"/>
      <c r="AC329" s="182"/>
      <c r="AD329" s="182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82"/>
      <c r="AC330" s="182"/>
      <c r="AD330" s="182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82"/>
      <c r="AC331" s="182"/>
      <c r="AD331" s="182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82"/>
      <c r="AC332" s="182"/>
      <c r="AD332" s="182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82"/>
      <c r="AC333" s="182"/>
      <c r="AD333" s="182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82"/>
      <c r="AC334" s="182"/>
      <c r="AD334" s="182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60"/>
    </row>
    <row r="596" spans="9:35" x14ac:dyDescent="0.35">
      <c r="I596" s="109"/>
      <c r="J596" s="109"/>
      <c r="K596" s="109"/>
      <c r="L596" s="158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B30:G30"/>
    <mergeCell ref="U1:W1"/>
    <mergeCell ref="R1:S1"/>
    <mergeCell ref="B1:H1"/>
    <mergeCell ref="I1:K1"/>
    <mergeCell ref="M1:Q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71899-D9DA-4710-AB3B-80877DCE0C57}">
  <sheetPr codeName="Sheet6"/>
  <dimension ref="A1:D20"/>
  <sheetViews>
    <sheetView workbookViewId="0">
      <selection activeCell="A15" sqref="A15:C15"/>
    </sheetView>
  </sheetViews>
  <sheetFormatPr defaultRowHeight="15.5" x14ac:dyDescent="0.35"/>
  <cols>
    <col min="1" max="1" width="39.33203125" bestFit="1" customWidth="1"/>
    <col min="2" max="2" width="9.1640625" bestFit="1" customWidth="1"/>
  </cols>
  <sheetData>
    <row r="1" spans="1:4" x14ac:dyDescent="0.35">
      <c r="A1" s="168"/>
      <c r="B1" s="93" t="s">
        <v>535</v>
      </c>
      <c r="C1" s="93" t="s">
        <v>620</v>
      </c>
      <c r="D1" s="169"/>
    </row>
    <row r="2" spans="1:4" ht="18" x14ac:dyDescent="0.35">
      <c r="A2" s="93" t="s">
        <v>621</v>
      </c>
      <c r="B2" s="170">
        <f>Reflectivity!H10</f>
        <v>1078.6431702575555</v>
      </c>
      <c r="C2" s="170">
        <f>dTotal!D4</f>
        <v>12.43539009217427</v>
      </c>
      <c r="D2" s="171"/>
    </row>
    <row r="3" spans="1:4" ht="18" x14ac:dyDescent="0.35">
      <c r="A3" s="93" t="s">
        <v>622</v>
      </c>
      <c r="B3" s="170">
        <f>Reflectivity!F7</f>
        <v>22.028473791051074</v>
      </c>
      <c r="C3" s="170">
        <f>dSiOx!D4</f>
        <v>3.0734741526734743</v>
      </c>
      <c r="D3" s="171"/>
    </row>
    <row r="4" spans="1:4" x14ac:dyDescent="0.35">
      <c r="A4" s="94"/>
      <c r="B4" s="94"/>
      <c r="C4" s="94"/>
      <c r="D4" s="171"/>
    </row>
    <row r="5" spans="1:4" ht="18" x14ac:dyDescent="0.35">
      <c r="A5" s="93" t="s">
        <v>623</v>
      </c>
      <c r="B5" s="170">
        <f>Reflectivity!G4</f>
        <v>5</v>
      </c>
      <c r="C5" s="170">
        <f>sigDstack!D4</f>
        <v>14.256401901589157</v>
      </c>
      <c r="D5" s="171"/>
    </row>
    <row r="6" spans="1:4" x14ac:dyDescent="0.35">
      <c r="D6" s="171"/>
    </row>
    <row r="7" spans="1:4" ht="18" x14ac:dyDescent="0.35">
      <c r="A7" s="93" t="s">
        <v>612</v>
      </c>
      <c r="B7" s="172">
        <f>Reflectivity!H14</f>
        <v>1.210589058721542</v>
      </c>
      <c r="C7" s="172">
        <f>density!D4</f>
        <v>6.6859870604468394E-2</v>
      </c>
    </row>
    <row r="8" spans="1:4" ht="18" x14ac:dyDescent="0.35">
      <c r="A8" s="93" t="s">
        <v>613</v>
      </c>
      <c r="B8" s="172">
        <f>Reflectivity!H16</f>
        <v>0.24069629974121684</v>
      </c>
      <c r="C8" s="172">
        <f>f_PEO!D4</f>
        <v>6.9599422691088861E-2</v>
      </c>
    </row>
    <row r="9" spans="1:4" x14ac:dyDescent="0.35">
      <c r="D9" s="173"/>
    </row>
    <row r="10" spans="1:4" ht="18" x14ac:dyDescent="0.35">
      <c r="A10" s="93" t="s">
        <v>624</v>
      </c>
      <c r="B10" s="174">
        <f>Reflectivity!C5</f>
        <v>1.5802074511632338E-6</v>
      </c>
      <c r="C10" s="174">
        <f>SQRT(B11^2*C7^2+B12^2*C8^2)</f>
        <v>1.1985527144964703E-7</v>
      </c>
      <c r="D10" s="173"/>
    </row>
    <row r="11" spans="1:4" ht="18" x14ac:dyDescent="0.35">
      <c r="A11" s="93" t="s">
        <v>625</v>
      </c>
      <c r="B11" s="174">
        <f>B8*Reflectivity!D16+(1-B8)*Reflectivity!C16</f>
        <v>1.3053211077523135E-6</v>
      </c>
      <c r="C11" s="174"/>
    </row>
    <row r="12" spans="1:4" ht="18" x14ac:dyDescent="0.35">
      <c r="A12" s="93" t="s">
        <v>626</v>
      </c>
      <c r="B12" s="174">
        <f>B7*(Reflectivity!D16-Reflectivity!C16)</f>
        <v>-1.1803243322535033E-6</v>
      </c>
      <c r="C12" s="174"/>
    </row>
    <row r="13" spans="1:4" ht="18" x14ac:dyDescent="0.35">
      <c r="A13" s="93" t="s">
        <v>627</v>
      </c>
      <c r="B13" s="174">
        <f>Reflectivity!C6</f>
        <v>9.6774070930268282E-7</v>
      </c>
      <c r="C13" s="174">
        <f>NbBPEI!D4</f>
        <v>4.35098723359989E-7</v>
      </c>
    </row>
    <row r="15" spans="1:4" x14ac:dyDescent="0.35">
      <c r="A15" s="192"/>
      <c r="B15" s="75"/>
      <c r="C15" s="75"/>
    </row>
    <row r="16" spans="1:4" x14ac:dyDescent="0.35">
      <c r="A16" s="175"/>
      <c r="B16" s="1"/>
      <c r="C16" s="176"/>
    </row>
    <row r="17" spans="1:3" x14ac:dyDescent="0.35">
      <c r="A17" s="175"/>
      <c r="B17" s="1"/>
      <c r="C17" s="176"/>
    </row>
    <row r="18" spans="1:3" x14ac:dyDescent="0.35">
      <c r="A18" s="175"/>
      <c r="B18" s="1"/>
      <c r="C18" s="176"/>
    </row>
    <row r="19" spans="1:3" x14ac:dyDescent="0.35">
      <c r="A19" s="175"/>
      <c r="B19" s="1"/>
      <c r="C19" s="176"/>
    </row>
    <row r="20" spans="1:3" x14ac:dyDescent="0.35">
      <c r="A20" s="175"/>
      <c r="B20" s="1"/>
      <c r="C2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607</v>
      </c>
      <c r="B2" s="105">
        <v>1065</v>
      </c>
      <c r="C2" s="105">
        <v>1085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1065</v>
      </c>
      <c r="B4" s="94">
        <v>4.0204015277440899</v>
      </c>
      <c r="C4" s="106">
        <v>1078.6431702575555</v>
      </c>
      <c r="D4" s="106">
        <v>12.43539009217427</v>
      </c>
    </row>
    <row r="5" spans="1:5" x14ac:dyDescent="0.35">
      <c r="A5" s="106">
        <v>1069</v>
      </c>
      <c r="B5" s="94">
        <v>3.4161473720640263</v>
      </c>
      <c r="C5" s="94"/>
      <c r="D5" s="94"/>
    </row>
    <row r="6" spans="1:5" x14ac:dyDescent="0.35">
      <c r="A6" s="106">
        <v>1073</v>
      </c>
      <c r="B6" s="94">
        <v>3.0207050331535088</v>
      </c>
      <c r="C6" s="94"/>
      <c r="D6" s="94"/>
    </row>
    <row r="7" spans="1:5" x14ac:dyDescent="0.35">
      <c r="A7" s="106">
        <v>1077</v>
      </c>
      <c r="B7" s="94">
        <v>2.8340029486677589</v>
      </c>
      <c r="C7" s="94"/>
      <c r="D7" s="94"/>
    </row>
    <row r="8" spans="1:5" x14ac:dyDescent="0.35">
      <c r="A8" s="106">
        <v>1081</v>
      </c>
      <c r="B8" s="94">
        <v>2.8533649966999906</v>
      </c>
      <c r="C8" s="94"/>
      <c r="D8" s="94"/>
    </row>
    <row r="9" spans="1:5" x14ac:dyDescent="0.35">
      <c r="A9" s="106">
        <v>1085</v>
      </c>
      <c r="B9" s="94">
        <v>3.076095860381689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C0983-8C62-4B8D-8C2B-D110D4CD84E6}">
  <sheetPr codeName="Sheet26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615</v>
      </c>
      <c r="B2" s="166">
        <v>1.1499999999999999</v>
      </c>
      <c r="C2" s="166">
        <v>1.25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5">
        <v>1.1499999999999999</v>
      </c>
      <c r="B4" s="94">
        <v>3.6446098323244578</v>
      </c>
      <c r="C4" s="165">
        <v>1.210589058721542</v>
      </c>
      <c r="D4" s="165">
        <v>6.6859870604468394E-2</v>
      </c>
    </row>
    <row r="5" spans="1:5" x14ac:dyDescent="0.35">
      <c r="A5" s="165">
        <v>1.17</v>
      </c>
      <c r="B5" s="94">
        <v>3.2337778218104867</v>
      </c>
      <c r="C5" s="94"/>
      <c r="D5" s="94"/>
    </row>
    <row r="6" spans="1:5" x14ac:dyDescent="0.35">
      <c r="A6" s="165">
        <v>1.19</v>
      </c>
      <c r="B6" s="94">
        <v>2.9509918082689048</v>
      </c>
      <c r="C6" s="94"/>
      <c r="D6" s="94"/>
    </row>
    <row r="7" spans="1:5" x14ac:dyDescent="0.35">
      <c r="A7" s="165">
        <v>1.21</v>
      </c>
      <c r="B7" s="94">
        <v>2.827382932697196</v>
      </c>
      <c r="C7" s="94"/>
      <c r="D7" s="94"/>
    </row>
    <row r="8" spans="1:5" x14ac:dyDescent="0.35">
      <c r="A8" s="165">
        <v>1.23</v>
      </c>
      <c r="B8" s="94">
        <v>2.8991364636812502</v>
      </c>
      <c r="C8" s="94"/>
      <c r="D8" s="94"/>
    </row>
    <row r="9" spans="1:5" x14ac:dyDescent="0.35">
      <c r="A9" s="165">
        <v>1.25</v>
      </c>
      <c r="B9" s="94">
        <v>3.2068556312997507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122B2-0ECF-4E78-8677-3DF2BE891EE0}">
  <sheetPr codeName="Sheet27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616</v>
      </c>
      <c r="B2" s="166">
        <v>0.21</v>
      </c>
      <c r="C2" s="166">
        <v>0.27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5">
        <v>0.21</v>
      </c>
      <c r="B4" s="94">
        <v>3.0222602789493198</v>
      </c>
      <c r="C4" s="165">
        <v>0.24069629974121684</v>
      </c>
      <c r="D4" s="165">
        <v>6.9599422691088861E-2</v>
      </c>
    </row>
    <row r="5" spans="1:5" x14ac:dyDescent="0.35">
      <c r="A5" s="165">
        <v>0.222</v>
      </c>
      <c r="B5" s="94">
        <v>2.8922639887472186</v>
      </c>
      <c r="C5" s="94"/>
      <c r="D5" s="94"/>
    </row>
    <row r="6" spans="1:5" x14ac:dyDescent="0.35">
      <c r="A6" s="165">
        <v>0.23400000000000001</v>
      </c>
      <c r="B6" s="94">
        <v>2.8313755583696683</v>
      </c>
      <c r="C6" s="94"/>
      <c r="D6" s="94"/>
    </row>
    <row r="7" spans="1:5" x14ac:dyDescent="0.35">
      <c r="A7" s="165">
        <v>0.246</v>
      </c>
      <c r="B7" s="94">
        <v>2.8329494957115164</v>
      </c>
      <c r="C7" s="94"/>
      <c r="D7" s="94"/>
    </row>
    <row r="8" spans="1:5" x14ac:dyDescent="0.35">
      <c r="A8" s="165">
        <v>0.25800000000000001</v>
      </c>
      <c r="B8" s="94">
        <v>2.8907001158179941</v>
      </c>
      <c r="C8" s="94"/>
      <c r="D8" s="94"/>
    </row>
    <row r="9" spans="1:5" x14ac:dyDescent="0.35">
      <c r="A9" s="165">
        <v>0.27</v>
      </c>
      <c r="B9" s="94">
        <v>2.9987350882885049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1</v>
      </c>
      <c r="C2" s="105">
        <v>21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</v>
      </c>
      <c r="B4" s="94">
        <v>2.8307354998235845</v>
      </c>
      <c r="C4" s="106">
        <v>4.9211546440075855</v>
      </c>
      <c r="D4" s="106">
        <v>14.256401901589157</v>
      </c>
    </row>
    <row r="5" spans="1:5" x14ac:dyDescent="0.35">
      <c r="A5" s="106">
        <v>5</v>
      </c>
      <c r="B5" s="94">
        <v>2.8249624628039003</v>
      </c>
      <c r="C5" s="94"/>
      <c r="D5" s="94"/>
    </row>
    <row r="6" spans="1:5" x14ac:dyDescent="0.35">
      <c r="A6" s="106">
        <v>9</v>
      </c>
      <c r="B6" s="94">
        <v>2.8759730174002853</v>
      </c>
      <c r="C6" s="94"/>
      <c r="D6" s="94"/>
    </row>
    <row r="7" spans="1:5" x14ac:dyDescent="0.35">
      <c r="A7" s="106">
        <v>13</v>
      </c>
      <c r="B7" s="94">
        <v>3.0769116002580548</v>
      </c>
      <c r="C7" s="94"/>
      <c r="D7" s="94"/>
    </row>
    <row r="8" spans="1:5" x14ac:dyDescent="0.35">
      <c r="A8" s="106">
        <v>17</v>
      </c>
      <c r="B8" s="94">
        <v>3.4777093879067209</v>
      </c>
      <c r="C8" s="94"/>
      <c r="D8" s="94"/>
    </row>
    <row r="9" spans="1:5" x14ac:dyDescent="0.35">
      <c r="A9" s="106">
        <v>21</v>
      </c>
      <c r="B9" s="94">
        <v>4.0738010919863061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EB19A-E75C-4C2A-91AC-1273F17B00C3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05">
        <v>20</v>
      </c>
      <c r="C2" s="105">
        <v>25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20</v>
      </c>
      <c r="B4" s="94">
        <v>3.2628363245354075</v>
      </c>
      <c r="C4" s="106">
        <v>22.028473791051074</v>
      </c>
      <c r="D4" s="106">
        <v>3.0734741526734743</v>
      </c>
    </row>
    <row r="5" spans="1:5" x14ac:dyDescent="0.35">
      <c r="A5" s="106">
        <v>21</v>
      </c>
      <c r="B5" s="94">
        <v>2.936483075622716</v>
      </c>
      <c r="C5" s="94"/>
      <c r="D5" s="94"/>
    </row>
    <row r="6" spans="1:5" x14ac:dyDescent="0.35">
      <c r="A6" s="106">
        <v>22</v>
      </c>
      <c r="B6" s="94">
        <v>2.8249751356674255</v>
      </c>
      <c r="C6" s="94"/>
      <c r="D6" s="94"/>
    </row>
    <row r="7" spans="1:5" x14ac:dyDescent="0.35">
      <c r="A7" s="106">
        <v>23</v>
      </c>
      <c r="B7" s="94">
        <v>2.9268495850789185</v>
      </c>
      <c r="C7" s="94"/>
      <c r="D7" s="94"/>
    </row>
    <row r="8" spans="1:5" x14ac:dyDescent="0.35">
      <c r="A8" s="106">
        <v>24</v>
      </c>
      <c r="B8" s="94">
        <v>3.2395123118390496</v>
      </c>
      <c r="C8" s="94"/>
      <c r="D8" s="94"/>
    </row>
    <row r="9" spans="1:5" x14ac:dyDescent="0.35">
      <c r="A9" s="106">
        <v>25</v>
      </c>
      <c r="B9" s="94">
        <v>3.7594790455555533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F466F-D7FA-4609-80E8-F184FBED30D1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618</v>
      </c>
      <c r="B2" s="119">
        <v>5.9999999999999997E-7</v>
      </c>
      <c r="C2" s="119">
        <v>1.1999999999999999E-6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5.9999999999999997E-7</v>
      </c>
      <c r="B4" s="94">
        <v>3.5404370448559361</v>
      </c>
      <c r="C4" s="99">
        <v>9.6774070930268282E-7</v>
      </c>
      <c r="D4" s="99">
        <v>4.35098723359989E-7</v>
      </c>
    </row>
    <row r="5" spans="1:5" x14ac:dyDescent="0.35">
      <c r="A5" s="99">
        <v>7.1999999999999999E-7</v>
      </c>
      <c r="B5" s="94">
        <v>3.125868629990133</v>
      </c>
      <c r="C5" s="94"/>
      <c r="D5" s="94"/>
    </row>
    <row r="6" spans="1:5" x14ac:dyDescent="0.35">
      <c r="A6" s="99">
        <v>8.4E-7</v>
      </c>
      <c r="B6" s="94">
        <v>2.8946194861304422</v>
      </c>
      <c r="C6" s="94"/>
      <c r="D6" s="94"/>
    </row>
    <row r="7" spans="1:5" x14ac:dyDescent="0.35">
      <c r="A7" s="99">
        <v>9.5999999999999991E-7</v>
      </c>
      <c r="B7" s="94">
        <v>2.8245910252710478</v>
      </c>
      <c r="C7" s="94"/>
      <c r="D7" s="94"/>
    </row>
    <row r="8" spans="1:5" x14ac:dyDescent="0.35">
      <c r="A8" s="99">
        <v>1.0799999999999998E-6</v>
      </c>
      <c r="B8" s="94">
        <v>2.8959701607736332</v>
      </c>
      <c r="C8" s="94"/>
      <c r="D8" s="94"/>
    </row>
    <row r="9" spans="1:5" x14ac:dyDescent="0.35">
      <c r="A9" s="99">
        <v>1.1999999999999999E-6</v>
      </c>
      <c r="B9" s="94">
        <v>3.0912310544554447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9AF70-EF81-423F-A738-46E2A834322D}">
  <sheetPr codeName="Sheet31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634</v>
      </c>
      <c r="B2" s="119">
        <v>1.9999999999999999E-6</v>
      </c>
      <c r="C2" s="119">
        <v>2.0999999999999998E-6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1.9999999999999999E-6</v>
      </c>
      <c r="B4" s="94">
        <v>3.3547067106367607</v>
      </c>
      <c r="C4" s="99">
        <v>2.0532802858060381E-6</v>
      </c>
      <c r="D4" s="99">
        <v>7.2546661077037854E-8</v>
      </c>
    </row>
    <row r="5" spans="1:5" x14ac:dyDescent="0.35">
      <c r="A5" s="99">
        <v>2.0199999999999997E-6</v>
      </c>
      <c r="B5" s="94">
        <v>3.0315072811463217</v>
      </c>
      <c r="C5" s="94"/>
      <c r="D5" s="94"/>
    </row>
    <row r="6" spans="1:5" x14ac:dyDescent="0.35">
      <c r="A6" s="99">
        <v>2.04E-6</v>
      </c>
      <c r="B6" s="94">
        <v>2.8538909593332082</v>
      </c>
      <c r="C6" s="94"/>
      <c r="D6" s="94"/>
    </row>
    <row r="7" spans="1:5" x14ac:dyDescent="0.35">
      <c r="A7" s="99">
        <v>2.0599999999999998E-6</v>
      </c>
      <c r="B7" s="94">
        <v>2.824795089177222</v>
      </c>
      <c r="C7" s="94"/>
      <c r="D7" s="94"/>
    </row>
    <row r="8" spans="1:5" x14ac:dyDescent="0.35">
      <c r="A8" s="99">
        <v>2.08E-6</v>
      </c>
      <c r="B8" s="94">
        <v>2.9489352735545027</v>
      </c>
      <c r="C8" s="94"/>
      <c r="D8" s="94"/>
    </row>
    <row r="9" spans="1:5" x14ac:dyDescent="0.35">
      <c r="A9" s="99">
        <v>2.0999999999999998E-6</v>
      </c>
      <c r="B9" s="94">
        <v>3.235553246928168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AY495"/>
  <sheetViews>
    <sheetView workbookViewId="0"/>
  </sheetViews>
  <sheetFormatPr defaultRowHeight="15.5" x14ac:dyDescent="0.35"/>
  <cols>
    <col min="1" max="1" width="4.08203125" bestFit="1" customWidth="1"/>
    <col min="2" max="2" width="14.9140625" style="1" bestFit="1" customWidth="1"/>
    <col min="3" max="3" width="16.9140625" style="1" bestFit="1" customWidth="1"/>
    <col min="4" max="4" width="23.3320312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6640625" style="1" customWidth="1"/>
    <col min="17" max="17" width="5.5" style="1" customWidth="1"/>
    <col min="18" max="18" width="8.33203125" style="1" customWidth="1"/>
    <col min="19" max="19" width="1.16406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16406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6640625" customWidth="1"/>
    <col min="67" max="67" width="8.58203125" customWidth="1"/>
    <col min="68" max="68" width="13" customWidth="1"/>
    <col min="69" max="69" width="3.664062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664062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6640625" customWidth="1"/>
    <col min="90" max="90" width="8.58203125" customWidth="1"/>
    <col min="91" max="91" width="13" customWidth="1"/>
    <col min="92" max="92" width="3.664062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664062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628</v>
      </c>
      <c r="D1" s="86" t="s">
        <v>547</v>
      </c>
      <c r="E1" s="86">
        <v>161498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629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630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635</v>
      </c>
      <c r="E4" s="1" t="s">
        <v>636</v>
      </c>
      <c r="F4" s="1">
        <v>25</v>
      </c>
      <c r="G4" s="117">
        <v>0.68443287037037026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631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161498</v>
      </c>
      <c r="C8" s="1">
        <v>161423</v>
      </c>
      <c r="D8" s="1">
        <v>1.2243299999999999</v>
      </c>
      <c r="E8" s="1">
        <v>13.2996</v>
      </c>
      <c r="F8" s="1">
        <v>16.700600000000001</v>
      </c>
      <c r="G8" s="1">
        <v>8.0000000000000002E-3</v>
      </c>
      <c r="H8" s="1">
        <v>0.01</v>
      </c>
      <c r="I8" s="1">
        <v>1</v>
      </c>
      <c r="J8" s="1">
        <v>0</v>
      </c>
      <c r="K8" s="1">
        <v>0.9778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161499</v>
      </c>
      <c r="C9" s="1">
        <v>161424</v>
      </c>
      <c r="D9" s="1">
        <v>1.2228300000000001</v>
      </c>
      <c r="E9" s="1">
        <v>10.6861</v>
      </c>
      <c r="F9" s="1">
        <v>14.0861</v>
      </c>
      <c r="G9" s="1">
        <v>9.4999999999999998E-3</v>
      </c>
      <c r="H9" s="1">
        <v>1.2500000000000001E-2</v>
      </c>
      <c r="I9" s="1">
        <v>1</v>
      </c>
      <c r="J9" s="1">
        <v>0</v>
      </c>
      <c r="K9" s="1">
        <v>0.98019999999999996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161500</v>
      </c>
      <c r="C10" s="1">
        <v>161425</v>
      </c>
      <c r="D10" s="1">
        <v>1.22268</v>
      </c>
      <c r="E10" s="1">
        <v>8.0400399999999994</v>
      </c>
      <c r="F10" s="1">
        <v>11.440099999999999</v>
      </c>
      <c r="G10" s="1">
        <v>1.17E-2</v>
      </c>
      <c r="H10" s="1">
        <v>1.66E-2</v>
      </c>
      <c r="I10" s="1">
        <v>4.68</v>
      </c>
      <c r="J10" s="1">
        <v>-7.266</v>
      </c>
      <c r="K10" s="1">
        <v>0.96779999999999999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161501</v>
      </c>
      <c r="C11" s="1">
        <v>161426</v>
      </c>
      <c r="D11" s="1">
        <v>1.22268</v>
      </c>
      <c r="E11" s="1">
        <v>5.3430299999999997</v>
      </c>
      <c r="F11" s="1">
        <v>8.7430400000000006</v>
      </c>
      <c r="G11" s="1">
        <v>1.5299999999999999E-2</v>
      </c>
      <c r="H11" s="1">
        <v>2.5000000000000001E-2</v>
      </c>
      <c r="I11" s="1">
        <v>29.2</v>
      </c>
      <c r="J11" s="1">
        <v>-1.079</v>
      </c>
      <c r="K11" s="1">
        <v>0.95920000000000005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161502</v>
      </c>
      <c r="C12" s="1">
        <v>161427</v>
      </c>
      <c r="D12" s="1">
        <v>1.22268</v>
      </c>
      <c r="E12" s="1">
        <v>2.5500099999999999</v>
      </c>
      <c r="F12" s="1">
        <v>5.9500299999999999</v>
      </c>
      <c r="G12" s="1">
        <v>2.2499999999999999E-2</v>
      </c>
      <c r="H12" s="1">
        <v>5.2499999999999998E-2</v>
      </c>
      <c r="I12" s="1">
        <v>113</v>
      </c>
      <c r="J12" s="1">
        <v>8.0000000000000004E-4</v>
      </c>
      <c r="K12" s="1">
        <v>0.92579999999999996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161503</v>
      </c>
      <c r="C13" s="1">
        <v>161427</v>
      </c>
      <c r="D13" s="1">
        <v>2.3885000000000001</v>
      </c>
      <c r="E13" s="1">
        <v>2.5500099999999999</v>
      </c>
      <c r="F13" s="1">
        <v>5.9500299999999999</v>
      </c>
      <c r="G13" s="1">
        <v>4.3999999999999997E-2</v>
      </c>
      <c r="H13" s="1">
        <v>0.1027</v>
      </c>
      <c r="I13" s="1">
        <v>342</v>
      </c>
      <c r="J13" s="1">
        <v>4.3E-3</v>
      </c>
      <c r="K13" s="1">
        <v>0.83069999999999999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B14" s="1">
        <v>161504</v>
      </c>
      <c r="C14" s="1">
        <v>161427</v>
      </c>
      <c r="D14" s="1">
        <v>4.7104400000000002</v>
      </c>
      <c r="E14" s="1">
        <v>2.5500099999999999</v>
      </c>
      <c r="F14" s="1">
        <v>5.9500299999999999</v>
      </c>
      <c r="G14" s="1">
        <v>8.6699999999999999E-2</v>
      </c>
      <c r="H14" s="1">
        <v>0.20250000000000001</v>
      </c>
      <c r="I14" s="1">
        <v>1400</v>
      </c>
      <c r="J14" s="1">
        <v>1.43E-2</v>
      </c>
      <c r="K14" s="1">
        <v>0.73340000000000005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566</v>
      </c>
      <c r="D16" s="1" t="s">
        <v>637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567</v>
      </c>
      <c r="E17" s="1" t="s">
        <v>568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551</v>
      </c>
      <c r="D18" s="1" t="s">
        <v>569</v>
      </c>
      <c r="E18" s="1" t="s">
        <v>570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C19" s="1" t="s">
        <v>545</v>
      </c>
      <c r="D19" s="1" t="s">
        <v>566</v>
      </c>
      <c r="E19" s="1" t="s">
        <v>637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 t="s">
        <v>556</v>
      </c>
      <c r="D21" s="1" t="s">
        <v>557</v>
      </c>
      <c r="E21" s="1" t="s">
        <v>571</v>
      </c>
      <c r="F21" s="1" t="s">
        <v>559</v>
      </c>
      <c r="G21" s="1" t="s">
        <v>560</v>
      </c>
      <c r="H21" s="1" t="s">
        <v>561</v>
      </c>
      <c r="I21" s="1" t="s">
        <v>562</v>
      </c>
      <c r="J21" s="1" t="s">
        <v>572</v>
      </c>
      <c r="K21" s="1" t="s">
        <v>573</v>
      </c>
      <c r="L21" s="1" t="s">
        <v>574</v>
      </c>
      <c r="M21" s="1" t="s">
        <v>575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161498</v>
      </c>
      <c r="D22" s="1">
        <v>161423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1.1478495154799999</v>
      </c>
      <c r="K22" s="1">
        <v>6060</v>
      </c>
      <c r="L22" s="1">
        <v>64.783905000000004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161499</v>
      </c>
      <c r="D23" s="1">
        <v>161424</v>
      </c>
      <c r="E23" s="1">
        <v>1.2</v>
      </c>
      <c r="F23" s="1">
        <v>10.69</v>
      </c>
      <c r="G23" s="1">
        <v>14.09</v>
      </c>
      <c r="H23" s="1">
        <v>9.4000000000000004E-3</v>
      </c>
      <c r="I23" s="1">
        <v>1.23E-2</v>
      </c>
      <c r="J23" s="1">
        <v>1.1478495154799999</v>
      </c>
      <c r="K23" s="1">
        <v>6016</v>
      </c>
      <c r="L23" s="1">
        <v>74.587057999999999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161500</v>
      </c>
      <c r="D24" s="1">
        <v>161425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1.1478495154799999</v>
      </c>
      <c r="K24" s="1">
        <v>6007</v>
      </c>
      <c r="L24" s="1">
        <v>174.59471500000001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161501</v>
      </c>
      <c r="D25" s="1">
        <v>161426</v>
      </c>
      <c r="E25" s="1">
        <v>1.2</v>
      </c>
      <c r="F25" s="1">
        <v>5.34</v>
      </c>
      <c r="G25" s="1">
        <v>8.74</v>
      </c>
      <c r="H25" s="1">
        <v>1.5100000000000001E-2</v>
      </c>
      <c r="I25" s="1">
        <v>2.47E-2</v>
      </c>
      <c r="J25" s="1">
        <v>1.1478495154799999</v>
      </c>
      <c r="K25" s="1">
        <v>6014</v>
      </c>
      <c r="L25" s="1">
        <v>137.06418199999999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161502</v>
      </c>
      <c r="D26" s="1">
        <v>161427</v>
      </c>
      <c r="E26" s="1">
        <v>1.2</v>
      </c>
      <c r="F26" s="1">
        <v>2.5499999999999998</v>
      </c>
      <c r="G26" s="1">
        <v>5.95</v>
      </c>
      <c r="H26" s="1">
        <v>2.2200000000000001E-2</v>
      </c>
      <c r="I26" s="1">
        <v>5.1700000000000003E-2</v>
      </c>
      <c r="J26" s="1">
        <v>1.1478495154799999</v>
      </c>
      <c r="K26" s="1">
        <v>18025</v>
      </c>
      <c r="L26" s="1">
        <v>547.08710599999995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C27" s="1">
        <v>161503</v>
      </c>
      <c r="D27" s="1">
        <v>161427</v>
      </c>
      <c r="E27" s="1">
        <v>2.37</v>
      </c>
      <c r="F27" s="1">
        <v>2.5499999999999998</v>
      </c>
      <c r="G27" s="1">
        <v>5.95</v>
      </c>
      <c r="H27" s="1">
        <v>4.36E-2</v>
      </c>
      <c r="I27" s="1">
        <v>0.1018</v>
      </c>
      <c r="J27" s="1">
        <v>1.1478495154799999</v>
      </c>
      <c r="K27" s="1">
        <v>17998</v>
      </c>
      <c r="L27" s="1">
        <v>1277.6478950000001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>
        <v>161504</v>
      </c>
      <c r="D28" s="1">
        <v>161427</v>
      </c>
      <c r="E28" s="1">
        <v>4.6900000000000004</v>
      </c>
      <c r="F28" s="1">
        <v>2.5499999999999998</v>
      </c>
      <c r="G28" s="1">
        <v>5.95</v>
      </c>
      <c r="H28" s="1">
        <v>8.6400000000000005E-2</v>
      </c>
      <c r="I28" s="1">
        <v>0.20169999999999999</v>
      </c>
      <c r="J28" s="1">
        <v>1.1478495154799999</v>
      </c>
      <c r="K28" s="1">
        <v>36008</v>
      </c>
      <c r="L28" s="1">
        <v>2618.9520849999999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576</v>
      </c>
      <c r="D30" s="1" t="s">
        <v>577</v>
      </c>
      <c r="E30" s="1" t="s">
        <v>578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579</v>
      </c>
      <c r="D31" s="86">
        <v>123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580</v>
      </c>
      <c r="D32" s="86">
        <v>194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C33" s="1" t="s">
        <v>581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582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B35" s="1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545</v>
      </c>
      <c r="C36" s="1" t="s">
        <v>583</v>
      </c>
      <c r="D36" s="1" t="s">
        <v>0</v>
      </c>
      <c r="E36" s="1" t="s">
        <v>584</v>
      </c>
      <c r="F36" s="1" t="s">
        <v>585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586</v>
      </c>
      <c r="C38" s="1" t="s">
        <v>587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 t="s">
        <v>545</v>
      </c>
      <c r="B39" s="1" t="s">
        <v>588</v>
      </c>
      <c r="C39" s="1" t="s">
        <v>587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 t="s">
        <v>545</v>
      </c>
      <c r="B40" s="1" t="s">
        <v>589</v>
      </c>
      <c r="C40" s="1" t="s">
        <v>0</v>
      </c>
      <c r="D40" s="1" t="s">
        <v>584</v>
      </c>
      <c r="E40" s="1" t="s">
        <v>585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8.1014360403499994E-3</v>
      </c>
      <c r="B41" s="1">
        <v>0.84571258639299995</v>
      </c>
      <c r="C41" s="1">
        <v>0.111096981966</v>
      </c>
      <c r="D41" s="1">
        <v>5.8633302892800005E-4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8.1824504007600007E-3</v>
      </c>
      <c r="B42" s="1">
        <v>1.02047090742</v>
      </c>
      <c r="C42" s="1">
        <v>0.113185141222</v>
      </c>
      <c r="D42" s="1">
        <v>5.8819635921700004E-4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8.2642749047700005E-3</v>
      </c>
      <c r="B43" s="1">
        <v>1.0292204212</v>
      </c>
      <c r="C43" s="1">
        <v>0.1053868724</v>
      </c>
      <c r="D43" s="1">
        <v>5.9007832281000004E-4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8.3469176538099998E-3</v>
      </c>
      <c r="B44" s="1">
        <v>1.09103919502</v>
      </c>
      <c r="C44" s="1">
        <v>0.104921630076</v>
      </c>
      <c r="D44" s="1">
        <v>5.9197910603799996E-4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8.4303868303500003E-3</v>
      </c>
      <c r="B45" s="1">
        <v>0.95550276773099996</v>
      </c>
      <c r="C45" s="1">
        <v>9.5121400189999997E-2</v>
      </c>
      <c r="D45" s="1">
        <v>5.9389889709799998E-4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8.5146906986500008E-3</v>
      </c>
      <c r="B46" s="1">
        <v>0.967231127804</v>
      </c>
      <c r="C46" s="1">
        <v>9.0203035193400005E-2</v>
      </c>
      <c r="D46" s="1">
        <v>5.9583788606899996E-4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8.5998376056400008E-3</v>
      </c>
      <c r="B47" s="1">
        <v>1.1725075728900001</v>
      </c>
      <c r="C47" s="1">
        <v>9.5717329468400003E-2</v>
      </c>
      <c r="D47" s="1">
        <v>5.9779626492999997E-4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8.6858359817000002E-3</v>
      </c>
      <c r="B48" s="1">
        <v>1.1337369850500001</v>
      </c>
      <c r="C48" s="1">
        <v>9.1241201892600002E-2</v>
      </c>
      <c r="D48" s="1">
        <v>5.9977422757899999E-4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8.7726943415100001E-3</v>
      </c>
      <c r="B49" s="1">
        <v>1.0696105864800001</v>
      </c>
      <c r="C49" s="1">
        <v>8.4947658094699993E-2</v>
      </c>
      <c r="D49" s="1">
        <v>6.0177196985499999E-4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8.86042128493E-3</v>
      </c>
      <c r="B50" s="1">
        <v>0.89216566104200001</v>
      </c>
      <c r="C50" s="1">
        <v>7.64653335957E-2</v>
      </c>
      <c r="D50" s="1">
        <v>6.0378968955299996E-4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8.9490254977800006E-3</v>
      </c>
      <c r="B51" s="1">
        <v>1.0983455711300001</v>
      </c>
      <c r="C51" s="1">
        <v>8.1032972295999997E-2</v>
      </c>
      <c r="D51" s="1">
        <v>6.0582758644900001E-4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9.0385157527600006E-3</v>
      </c>
      <c r="B52" s="1">
        <v>1.05218255059</v>
      </c>
      <c r="C52" s="1">
        <v>7.6325658346200004E-2</v>
      </c>
      <c r="D52" s="1">
        <v>6.0788586231300004E-4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9.1289009102799995E-3</v>
      </c>
      <c r="B53" s="1">
        <v>1.0021503537200001</v>
      </c>
      <c r="C53" s="1">
        <v>7.0983862631700007E-2</v>
      </c>
      <c r="D53" s="1">
        <v>6.0996472093700004E-4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9.2201899193900001E-3</v>
      </c>
      <c r="B54" s="1">
        <v>1.0334510827500001</v>
      </c>
      <c r="C54" s="1">
        <v>7.1144494626400004E-2</v>
      </c>
      <c r="D54" s="1">
        <v>6.1206436814599996E-4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9.3123918185800004E-3</v>
      </c>
      <c r="B55" s="1">
        <v>0.99682716971300001</v>
      </c>
      <c r="C55" s="1">
        <v>6.7768184948800006E-2</v>
      </c>
      <c r="D55" s="1">
        <v>6.1418501182700005E-4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9.4055157367700006E-3</v>
      </c>
      <c r="B56" s="1">
        <v>0.95699338401099998</v>
      </c>
      <c r="C56" s="1">
        <v>6.3295646729600002E-2</v>
      </c>
      <c r="D56" s="1">
        <v>6.1632686194599997E-4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9.4995708941299998E-3</v>
      </c>
      <c r="B57" s="1">
        <v>1.0228545173900001</v>
      </c>
      <c r="C57" s="1">
        <v>6.3809348406600006E-2</v>
      </c>
      <c r="D57" s="1">
        <v>6.1849013056499997E-4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9.5945666030799997E-3</v>
      </c>
      <c r="B58" s="1">
        <v>0.97279171531700004</v>
      </c>
      <c r="C58" s="1">
        <v>4.2639195987700003E-2</v>
      </c>
      <c r="D58" s="1">
        <v>6.2067503187099998E-4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9.69051226911E-3</v>
      </c>
      <c r="B59" s="1">
        <v>1.0359909791799999</v>
      </c>
      <c r="C59" s="1">
        <v>4.2786732498699999E-2</v>
      </c>
      <c r="D59" s="1">
        <v>6.2288178218900003E-4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9.7874173918000001E-3</v>
      </c>
      <c r="B60" s="1">
        <v>0.96084870354700003</v>
      </c>
      <c r="C60" s="1">
        <v>3.9060454606200001E-2</v>
      </c>
      <c r="D60" s="1">
        <v>6.2511060001099999E-4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9.8852915657199995E-3</v>
      </c>
      <c r="B61" s="1">
        <v>1.0055512955300001</v>
      </c>
      <c r="C61" s="1">
        <v>3.9110133757699998E-2</v>
      </c>
      <c r="D61" s="1">
        <v>6.2736170601099999E-4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9.9841444813699998E-3</v>
      </c>
      <c r="B62" s="1">
        <v>0.83948282921499995</v>
      </c>
      <c r="C62" s="1">
        <v>3.3909814392399998E-2</v>
      </c>
      <c r="D62" s="1">
        <v>6.2963532307199995E-4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1.0083985926200001E-2</v>
      </c>
      <c r="B63" s="1">
        <v>0.87166653171700004</v>
      </c>
      <c r="C63" s="1">
        <v>4.6709848753299997E-2</v>
      </c>
      <c r="D63" s="1">
        <v>6.3193167630200004E-4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1.01848257854E-2</v>
      </c>
      <c r="B64" s="1">
        <v>0.752750461461</v>
      </c>
      <c r="C64" s="1">
        <v>4.1910342318599997E-2</v>
      </c>
      <c r="D64" s="1">
        <v>6.3425099306499996E-4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1.02866740433E-2</v>
      </c>
      <c r="B65" s="1">
        <v>0.58615031096199999</v>
      </c>
      <c r="C65" s="1">
        <v>3.5889323210399997E-2</v>
      </c>
      <c r="D65" s="1">
        <v>6.3659350299599996E-4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1.03895407837E-2</v>
      </c>
      <c r="B66" s="1">
        <v>0.51476699883099997</v>
      </c>
      <c r="C66" s="1">
        <v>3.2990164205799997E-2</v>
      </c>
      <c r="D66" s="1">
        <v>6.3895943802600005E-4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1.04934361916E-2</v>
      </c>
      <c r="B67" s="1">
        <v>0.327616775355</v>
      </c>
      <c r="C67" s="1">
        <v>2.48629331227E-2</v>
      </c>
      <c r="D67" s="1">
        <v>6.4134903240600002E-4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1.05983705535E-2</v>
      </c>
      <c r="B68" s="1">
        <v>0.32920040388999999</v>
      </c>
      <c r="C68" s="1">
        <v>2.43718563991E-2</v>
      </c>
      <c r="D68" s="1">
        <v>6.4376252273E-4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1.0704354259E-2</v>
      </c>
      <c r="B69" s="1">
        <v>0.25506052537200002</v>
      </c>
      <c r="C69" s="1">
        <v>2.1122007108799998E-2</v>
      </c>
      <c r="D69" s="1">
        <v>6.46200147958E-4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1.08113978016E-2</v>
      </c>
      <c r="B70" s="1">
        <v>0.29082469157800001</v>
      </c>
      <c r="C70" s="1">
        <v>2.2229213554699999E-2</v>
      </c>
      <c r="D70" s="1">
        <v>6.4866214943700004E-4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1.0919511779600001E-2</v>
      </c>
      <c r="B71" s="1">
        <v>0.229999941037</v>
      </c>
      <c r="C71" s="1">
        <v>1.89791031813E-2</v>
      </c>
      <c r="D71" s="1">
        <v>6.5114877093200004E-4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1.1028706897400001E-2</v>
      </c>
      <c r="B72" s="1">
        <v>0.175714704507</v>
      </c>
      <c r="C72" s="1">
        <v>1.6505414806399998E-2</v>
      </c>
      <c r="D72" s="1">
        <v>6.5366025864100003E-4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1.11389939664E-2</v>
      </c>
      <c r="B73" s="1">
        <v>0.13186648088299999</v>
      </c>
      <c r="C73" s="1">
        <v>1.3646728301199999E-2</v>
      </c>
      <c r="D73" s="1">
        <v>6.5619686122700004E-4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1.12503839061E-2</v>
      </c>
      <c r="B74" s="1">
        <v>0.14240959957400001</v>
      </c>
      <c r="C74" s="1">
        <v>1.3724954579499999E-2</v>
      </c>
      <c r="D74" s="1">
        <v>6.5875882983899999E-4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1.1362887745099999E-2</v>
      </c>
      <c r="B75" s="1">
        <v>0.109887378323</v>
      </c>
      <c r="C75" s="1">
        <v>1.2007249092000001E-2</v>
      </c>
      <c r="D75" s="1">
        <v>6.6134641813799997E-4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1.14765166226E-2</v>
      </c>
      <c r="B76" s="1">
        <v>9.8811512952700006E-2</v>
      </c>
      <c r="C76" s="1">
        <v>1.1108765165400001E-2</v>
      </c>
      <c r="D76" s="1">
        <v>6.6395988231899997E-4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1.1591281788799999E-2</v>
      </c>
      <c r="B77" s="1">
        <v>7.7546606778199995E-2</v>
      </c>
      <c r="C77" s="1">
        <v>9.5684134842700004E-3</v>
      </c>
      <c r="D77" s="1">
        <v>6.6659948114199997E-4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1.17071946067E-2</v>
      </c>
      <c r="B78" s="1">
        <v>6.8188835819600002E-2</v>
      </c>
      <c r="C78" s="1">
        <v>8.96239762584E-3</v>
      </c>
      <c r="D78" s="1">
        <v>6.69265475954E-4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1.18242665528E-2</v>
      </c>
      <c r="B79" s="1">
        <v>3.81746730283E-2</v>
      </c>
      <c r="C79" s="1">
        <v>3.6200009520299999E-3</v>
      </c>
      <c r="D79" s="1">
        <v>6.7195813071299995E-4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1.19425092183E-2</v>
      </c>
      <c r="B80" s="1">
        <v>2.9519583738699999E-2</v>
      </c>
      <c r="C80" s="1">
        <v>3.1439425786300001E-3</v>
      </c>
      <c r="D80" s="1">
        <v>6.7467771202100004E-4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1.2061934310500001E-2</v>
      </c>
      <c r="B81" s="1">
        <v>2.5608819209499999E-2</v>
      </c>
      <c r="C81" s="1">
        <v>2.7775582704099998E-3</v>
      </c>
      <c r="D81" s="1">
        <v>6.7742448914099999E-4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1.2182553653599999E-2</v>
      </c>
      <c r="B82" s="1">
        <v>1.5815638572299999E-2</v>
      </c>
      <c r="C82" s="1">
        <v>2.17949830355E-3</v>
      </c>
      <c r="D82" s="1">
        <v>6.8019873403200003E-4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1.2304379190100001E-2</v>
      </c>
      <c r="B83" s="1">
        <v>1.1486308221699999E-2</v>
      </c>
      <c r="C83" s="1">
        <v>2.0222802398399999E-3</v>
      </c>
      <c r="D83" s="1">
        <v>6.8300072137200002E-4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1.2427422981999999E-2</v>
      </c>
      <c r="B84" s="1">
        <v>1.06947543572E-2</v>
      </c>
      <c r="C84" s="1">
        <v>2.04558346349E-3</v>
      </c>
      <c r="D84" s="1">
        <v>6.8583072858600003E-4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1.25516972118E-2</v>
      </c>
      <c r="B85" s="1">
        <v>6.7683897030499998E-3</v>
      </c>
      <c r="C85" s="1">
        <v>1.82785265412E-3</v>
      </c>
      <c r="D85" s="1">
        <v>6.8868903587199996E-4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1.26772141839E-2</v>
      </c>
      <c r="B86" s="1">
        <v>4.35298448133E-3</v>
      </c>
      <c r="C86" s="1">
        <v>1.6873777300300001E-3</v>
      </c>
      <c r="D86" s="1">
        <v>6.9157592623100004E-4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1.28039863258E-2</v>
      </c>
      <c r="B87" s="1">
        <v>8.4950842016099995E-3</v>
      </c>
      <c r="C87" s="1">
        <v>1.80404462437E-3</v>
      </c>
      <c r="D87" s="1">
        <v>6.9449168549300003E-4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1.2932026189000001E-2</v>
      </c>
      <c r="B88" s="1">
        <v>9.2946089143699992E-3</v>
      </c>
      <c r="C88" s="1">
        <v>1.70626761929E-3</v>
      </c>
      <c r="D88" s="1">
        <v>6.9743660234799999E-4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1.3061346450899999E-2</v>
      </c>
      <c r="B89" s="1">
        <v>1.41958583157E-2</v>
      </c>
      <c r="C89" s="1">
        <v>1.91466553232E-3</v>
      </c>
      <c r="D89" s="1">
        <v>7.0041096837200004E-4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1.31919599154E-2</v>
      </c>
      <c r="B90" s="1">
        <v>1.6839672961900001E-2</v>
      </c>
      <c r="C90" s="1">
        <v>2.0871755406300001E-3</v>
      </c>
      <c r="D90" s="1">
        <v>7.0341507805499995E-4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1.33238795146E-2</v>
      </c>
      <c r="B91" s="1">
        <v>1.5928018158999999E-2</v>
      </c>
      <c r="C91" s="1">
        <v>1.9697747755100001E-3</v>
      </c>
      <c r="D91" s="1">
        <v>7.0644922883600001E-4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1.3457118309700001E-2</v>
      </c>
      <c r="B92" s="1">
        <v>1.6965501890200001E-2</v>
      </c>
      <c r="C92" s="1">
        <v>1.95033937302E-3</v>
      </c>
      <c r="D92" s="86">
        <v>7.0951372112399997E-4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1.3591689492799999E-2</v>
      </c>
      <c r="B93" s="1">
        <v>1.5172472222300001E-2</v>
      </c>
      <c r="C93" s="1">
        <v>1.8749833749799999E-3</v>
      </c>
      <c r="D93" s="1">
        <v>7.1260885833499996E-4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1.37276063878E-2</v>
      </c>
      <c r="B94" s="1">
        <v>2.3372869363099999E-2</v>
      </c>
      <c r="C94" s="1">
        <v>2.1104242386200001E-3</v>
      </c>
      <c r="D94" s="1">
        <v>7.1573494691900001E-4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1.3864882451600001E-2</v>
      </c>
      <c r="B95" s="1">
        <v>2.2917344993200001E-2</v>
      </c>
      <c r="C95" s="1">
        <v>2.0021607501000001E-3</v>
      </c>
      <c r="D95" s="1">
        <v>7.1889229638800003E-4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1.40035312762E-2</v>
      </c>
      <c r="B96" s="1">
        <v>2.7789416746500002E-2</v>
      </c>
      <c r="C96" s="1">
        <v>2.1570459234600001E-3</v>
      </c>
      <c r="D96" s="1">
        <v>7.2208121935199996E-4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1.41435665889E-2</v>
      </c>
      <c r="B97" s="1">
        <v>2.5583826525099999E-2</v>
      </c>
      <c r="C97" s="1">
        <v>1.9388149924500001E-3</v>
      </c>
      <c r="D97" s="1">
        <v>7.2530203154500005E-4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1.42850022548E-2</v>
      </c>
      <c r="B98" s="1">
        <v>2.6590842083499999E-2</v>
      </c>
      <c r="C98" s="1">
        <v>1.9540864492499999E-3</v>
      </c>
      <c r="D98" s="1">
        <v>7.2855505186099996E-4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1.44278522774E-2</v>
      </c>
      <c r="B99" s="1">
        <v>2.6457812395700001E-2</v>
      </c>
      <c r="C99" s="1">
        <v>1.87164776375E-3</v>
      </c>
      <c r="D99" s="1">
        <v>7.3184060237899997E-4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1.4572130800099999E-2</v>
      </c>
      <c r="B100" s="1">
        <v>2.6126850303799999E-2</v>
      </c>
      <c r="C100" s="1">
        <v>1.7864113813699999E-3</v>
      </c>
      <c r="D100" s="1">
        <v>7.3515900840299996E-4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1.4717852108099999E-2</v>
      </c>
      <c r="B101" s="1">
        <v>2.6109250502100001E-2</v>
      </c>
      <c r="C101" s="1">
        <v>1.79388596769E-3</v>
      </c>
      <c r="D101" s="1">
        <v>7.3851059848700003E-4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1.4865030629200001E-2</v>
      </c>
      <c r="B102" s="1">
        <v>2.1141845405300001E-2</v>
      </c>
      <c r="C102" s="1">
        <v>1.5761605762199999E-3</v>
      </c>
      <c r="D102" s="1">
        <v>7.4189570447199995E-4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1.50136809355E-2</v>
      </c>
      <c r="B103" s="1">
        <v>2.0424523695700001E-2</v>
      </c>
      <c r="C103" s="1">
        <v>1.4742775135899999E-3</v>
      </c>
      <c r="D103" s="1">
        <v>7.4531466151699999E-4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1.5163817744900001E-2</v>
      </c>
      <c r="B104" s="1">
        <v>1.90533785446E-2</v>
      </c>
      <c r="C104" s="1">
        <v>1.4384062244800001E-3</v>
      </c>
      <c r="D104" s="1">
        <v>7.4876780813200002E-4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1.5315455922300001E-2</v>
      </c>
      <c r="B105" s="1">
        <v>2.0034739168099999E-2</v>
      </c>
      <c r="C105" s="1">
        <v>1.38916398827E-3</v>
      </c>
      <c r="D105" s="1">
        <v>7.5225548621300005E-4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1.54686104815E-2</v>
      </c>
      <c r="B106" s="1">
        <v>1.9189919215799999E-2</v>
      </c>
      <c r="C106" s="1">
        <v>1.0523315496599999E-3</v>
      </c>
      <c r="D106" s="1">
        <v>7.5577804107499998E-4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1.56232965864E-2</v>
      </c>
      <c r="B107" s="1">
        <v>1.5766811823999999E-2</v>
      </c>
      <c r="C107" s="1">
        <v>9.2537255271799999E-4</v>
      </c>
      <c r="D107" s="1">
        <v>7.5933582148599997E-4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1.5779529552200001E-2</v>
      </c>
      <c r="B108" s="1">
        <v>1.3529645982699999E-2</v>
      </c>
      <c r="C108" s="1">
        <v>8.4209743050700004E-4</v>
      </c>
      <c r="D108" s="1">
        <v>7.6292917970100004E-4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1.59373248477E-2</v>
      </c>
      <c r="B109" s="1">
        <v>1.11854389699E-2</v>
      </c>
      <c r="C109" s="1">
        <v>7.4812815844100004E-4</v>
      </c>
      <c r="D109" s="1">
        <v>7.6655847149800001E-4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1.6096698096199999E-2</v>
      </c>
      <c r="B110" s="1">
        <v>9.8008851082300001E-3</v>
      </c>
      <c r="C110" s="1">
        <v>6.8110564922399996E-4</v>
      </c>
      <c r="D110" s="1">
        <v>7.7022405621299998E-4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1.6257665077200001E-2</v>
      </c>
      <c r="B111" s="1">
        <v>7.8528227246399997E-3</v>
      </c>
      <c r="C111" s="1">
        <v>5.98412515911E-4</v>
      </c>
      <c r="D111" s="1">
        <v>7.7392629677499995E-4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1.6420241727999999E-2</v>
      </c>
      <c r="B112" s="1">
        <v>7.0435313781200002E-3</v>
      </c>
      <c r="C112" s="1">
        <v>9.2398238396199995E-4</v>
      </c>
      <c r="D112" s="1">
        <v>7.7766555974299997E-4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1.6584444145200002E-2</v>
      </c>
      <c r="B113" s="1">
        <v>5.2601447841600004E-3</v>
      </c>
      <c r="C113" s="1">
        <v>7.2380804320300004E-4</v>
      </c>
      <c r="D113" s="1">
        <v>7.8144221533999999E-4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1.67502885867E-2</v>
      </c>
      <c r="B114" s="1">
        <v>3.9704857174399999E-3</v>
      </c>
      <c r="C114" s="1">
        <v>6.4853487801499999E-4</v>
      </c>
      <c r="D114" s="1">
        <v>7.8525663749399999E-4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1.6917791472599999E-2</v>
      </c>
      <c r="B115" s="1">
        <v>3.8499277150399998E-3</v>
      </c>
      <c r="C115" s="1">
        <v>6.4183970272599995E-4</v>
      </c>
      <c r="D115" s="1">
        <v>7.8910920386899999E-4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1.7086969387300002E-2</v>
      </c>
      <c r="B116" s="1">
        <v>2.69492592387E-3</v>
      </c>
      <c r="C116" s="1">
        <v>5.4708056226499999E-4</v>
      </c>
      <c r="D116" s="1">
        <v>7.9300029590700005E-4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1.7257839081199999E-2</v>
      </c>
      <c r="B117" s="1">
        <v>2.2382638335500002E-3</v>
      </c>
      <c r="C117" s="1">
        <v>4.7435995803600002E-4</v>
      </c>
      <c r="D117" s="1">
        <v>7.9693029886600004E-4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1.7430417472000002E-2</v>
      </c>
      <c r="B118" s="1">
        <v>3.2177943493100001E-3</v>
      </c>
      <c r="C118" s="1">
        <v>5.3577582729200004E-4</v>
      </c>
      <c r="D118" s="1">
        <v>8.0089960185499996E-4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1.7604721646699999E-2</v>
      </c>
      <c r="B119" s="1">
        <v>1.6270843600700001E-3</v>
      </c>
      <c r="C119" s="1">
        <v>4.2526638521599999E-4</v>
      </c>
      <c r="D119" s="1">
        <v>8.0490859787399999E-4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1.77807688631E-2</v>
      </c>
      <c r="B120" s="1">
        <v>3.4753859935500002E-3</v>
      </c>
      <c r="C120" s="1">
        <v>5.1560070185300004E-4</v>
      </c>
      <c r="D120" s="1">
        <v>8.08957683852E-4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1.7958576551799998E-2</v>
      </c>
      <c r="B121" s="1">
        <v>3.5117087650900001E-3</v>
      </c>
      <c r="C121" s="1">
        <v>5.1850012052899995E-4</v>
      </c>
      <c r="D121" s="1">
        <v>8.1304726069100005E-4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1.8138162317300002E-2</v>
      </c>
      <c r="B122" s="1">
        <v>3.5094488922700002E-3</v>
      </c>
      <c r="C122" s="1">
        <v>4.9293574321199998E-4</v>
      </c>
      <c r="D122" s="1">
        <v>8.17177733298E-4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1.8319543940500001E-2</v>
      </c>
      <c r="B123" s="1">
        <v>3.2132646816600001E-3</v>
      </c>
      <c r="C123" s="1">
        <v>4.7079131926700002E-4</v>
      </c>
      <c r="D123" s="1">
        <v>8.2134951063100002E-4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1.8502739379900001E-2</v>
      </c>
      <c r="B124" s="1">
        <v>4.0938294291399998E-3</v>
      </c>
      <c r="C124" s="1">
        <v>5.0168409314800002E-4</v>
      </c>
      <c r="D124" s="1">
        <v>8.2556300573700004E-4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1.8687766773700001E-2</v>
      </c>
      <c r="B125" s="1">
        <v>5.8068981372400002E-3</v>
      </c>
      <c r="C125" s="1">
        <v>5.6034804358700001E-4</v>
      </c>
      <c r="D125" s="1">
        <v>8.2981863579399998E-4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1.8874644441399999E-2</v>
      </c>
      <c r="B126" s="1">
        <v>5.5678917806499997E-3</v>
      </c>
      <c r="C126" s="1">
        <v>5.5465897131900003E-4</v>
      </c>
      <c r="D126" s="1">
        <v>8.34116822152E-4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1.9063390885799999E-2</v>
      </c>
      <c r="B127" s="1">
        <v>5.6036137253199997E-3</v>
      </c>
      <c r="C127" s="1">
        <v>5.4307290365700005E-4</v>
      </c>
      <c r="D127" s="1">
        <v>8.3845799037399996E-4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1.9254024794699998E-2</v>
      </c>
      <c r="B128" s="1">
        <v>7.0824175610499996E-3</v>
      </c>
      <c r="C128" s="1">
        <v>6.0761845972899997E-4</v>
      </c>
      <c r="D128" s="1">
        <v>8.4284257027799996E-4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1.9446565042599999E-2</v>
      </c>
      <c r="B129" s="1">
        <v>6.4359055041800003E-3</v>
      </c>
      <c r="C129" s="1">
        <v>5.6485520728599995E-4</v>
      </c>
      <c r="D129" s="1">
        <v>8.4727099597999998E-4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1.9641030693100001E-2</v>
      </c>
      <c r="B130" s="1">
        <v>5.6341828450000003E-3</v>
      </c>
      <c r="C130" s="1">
        <v>5.1427956960100002E-4</v>
      </c>
      <c r="D130" s="1">
        <v>8.5174370594E-4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1.9837441000000001E-2</v>
      </c>
      <c r="B131" s="1">
        <v>5.7992187351E-3</v>
      </c>
      <c r="C131" s="1">
        <v>5.0441364442400005E-4</v>
      </c>
      <c r="D131" s="1">
        <v>8.5626114299999995E-4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2.0035815410000001E-2</v>
      </c>
      <c r="B132" s="1">
        <v>6.44477933706E-3</v>
      </c>
      <c r="C132" s="1">
        <v>5.1902249205400004E-4</v>
      </c>
      <c r="D132" s="1">
        <v>8.6082375442999995E-4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2.0236173564099999E-2</v>
      </c>
      <c r="B133" s="1">
        <v>5.9125146678499999E-3</v>
      </c>
      <c r="C133" s="1">
        <v>4.8934992057300002E-4</v>
      </c>
      <c r="D133" s="1">
        <v>8.6543199197399996E-4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2.0438535299700002E-2</v>
      </c>
      <c r="B134" s="1">
        <v>5.2222659718000001E-3</v>
      </c>
      <c r="C134" s="1">
        <v>4.6133995985100001E-4</v>
      </c>
      <c r="D134" s="1">
        <v>8.7008631189400005E-4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2.06429206527E-2</v>
      </c>
      <c r="B135" s="1">
        <v>4.5340387215599999E-3</v>
      </c>
      <c r="C135" s="1">
        <v>4.1059661049099998E-4</v>
      </c>
      <c r="D135" s="1">
        <v>8.7478717501299999E-4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2.0849349859299999E-2</v>
      </c>
      <c r="B136" s="1">
        <v>3.7588419904099999E-3</v>
      </c>
      <c r="C136" s="1">
        <v>3.6713125341200002E-4</v>
      </c>
      <c r="D136" s="1">
        <v>8.7953504676300002E-4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2.1057843357800001E-2</v>
      </c>
      <c r="B137" s="1">
        <v>4.1432116470899996E-3</v>
      </c>
      <c r="C137" s="1">
        <v>3.7529344194199999E-4</v>
      </c>
      <c r="D137" s="1">
        <v>8.8433039722999999E-4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2.12684217914E-2</v>
      </c>
      <c r="B138" s="1">
        <v>3.1949415829500001E-3</v>
      </c>
      <c r="C138" s="1">
        <v>3.3759563407299999E-4</v>
      </c>
      <c r="D138" s="1">
        <v>8.8917370120300001E-4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2.1481106009300002E-2</v>
      </c>
      <c r="B139" s="1">
        <v>2.2456527160299999E-3</v>
      </c>
      <c r="C139" s="1">
        <v>2.7890603855299997E-4</v>
      </c>
      <c r="D139" s="1">
        <v>8.9406543821499997E-4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2.1695917069400002E-2</v>
      </c>
      <c r="B140" s="1">
        <v>1.4865005702E-3</v>
      </c>
      <c r="C140" s="1">
        <v>2.38007886424E-4</v>
      </c>
      <c r="D140" s="1">
        <v>8.9900609259699999E-4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2.19128762401E-2</v>
      </c>
      <c r="B141" s="1">
        <v>1.3524570743300001E-3</v>
      </c>
      <c r="C141" s="1">
        <v>2.13044031451E-4</v>
      </c>
      <c r="D141" s="1">
        <v>9.0399615352299999E-4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2.21320050025E-2</v>
      </c>
      <c r="B142" s="1">
        <v>1.09054167154E-3</v>
      </c>
      <c r="C142" s="1">
        <v>1.91356015641E-4</v>
      </c>
      <c r="D142" s="1">
        <v>9.0903611505800002E-4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2.2353325052600001E-2</v>
      </c>
      <c r="B143" s="1">
        <v>1.0013295451199999E-3</v>
      </c>
      <c r="C143" s="1">
        <v>1.79442851024E-4</v>
      </c>
      <c r="D143" s="1">
        <v>9.1412647620899999E-4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2.2576858303100002E-2</v>
      </c>
      <c r="B144" s="1">
        <v>7.9728234731100002E-4</v>
      </c>
      <c r="C144" s="1">
        <v>1.65326499528E-4</v>
      </c>
      <c r="D144" s="1">
        <v>9.1926774097100003E-4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2.2802626886099998E-2</v>
      </c>
      <c r="B145" s="1">
        <v>8.4800416360800005E-4</v>
      </c>
      <c r="C145" s="1">
        <v>7.7086478407999997E-5</v>
      </c>
      <c r="D145" s="1">
        <v>9.2446041838000002E-4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2.3030653155000001E-2</v>
      </c>
      <c r="B146" s="1">
        <v>9.4983647628000005E-4</v>
      </c>
      <c r="C146" s="1">
        <v>7.7664451464500001E-5</v>
      </c>
      <c r="D146" s="1">
        <v>9.29705022564E-4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2.32609596865E-2</v>
      </c>
      <c r="B147" s="1">
        <v>1.2074860081899999E-3</v>
      </c>
      <c r="C147" s="1">
        <v>8.3265351571899993E-5</v>
      </c>
      <c r="D147" s="1">
        <v>9.3500207279000004E-4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2.34935692834E-2</v>
      </c>
      <c r="B148" s="1">
        <v>1.4164717675999999E-3</v>
      </c>
      <c r="C148" s="1">
        <v>9.0120773126500006E-5</v>
      </c>
      <c r="D148" s="1">
        <v>9.4035209351799997E-4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2.37285049762E-2</v>
      </c>
      <c r="B149" s="1">
        <v>1.6003560097499999E-3</v>
      </c>
      <c r="C149" s="1">
        <v>9.6847051436900003E-5</v>
      </c>
      <c r="D149" s="1">
        <v>9.4575561445300004E-4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2.3965790026000001E-2</v>
      </c>
      <c r="B150" s="1">
        <v>1.8254242384900001E-3</v>
      </c>
      <c r="C150" s="1">
        <v>1.00520036888E-4</v>
      </c>
      <c r="D150" s="1">
        <v>9.5121317059800004E-4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2.42054479262E-2</v>
      </c>
      <c r="B151" s="1">
        <v>1.8837148169200001E-3</v>
      </c>
      <c r="C151" s="1">
        <v>9.6330842832700002E-5</v>
      </c>
      <c r="D151" s="1">
        <v>9.5672530230299997E-4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2.4447502405500001E-2</v>
      </c>
      <c r="B152" s="1">
        <v>2.0002591137800001E-3</v>
      </c>
      <c r="C152" s="1">
        <v>9.9561572560299998E-5</v>
      </c>
      <c r="D152" s="1">
        <v>9.62292555327E-4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2.4691977429599998E-2</v>
      </c>
      <c r="B153" s="1">
        <v>2.34765890838E-3</v>
      </c>
      <c r="C153" s="1">
        <v>1.20466504595E-4</v>
      </c>
      <c r="D153" s="86">
        <v>9.6791548087999996E-4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2.4938897203899999E-2</v>
      </c>
      <c r="B154" s="1">
        <v>2.3914545906199998E-3</v>
      </c>
      <c r="C154" s="1">
        <v>1.18624993674E-4</v>
      </c>
      <c r="D154" s="1">
        <v>9.7359463568899996E-4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2.51882861759E-2</v>
      </c>
      <c r="B155" s="1">
        <v>2.1481513009800001E-3</v>
      </c>
      <c r="C155" s="1">
        <v>1.08251098326E-4</v>
      </c>
      <c r="D155" s="1">
        <v>9.7933058204499992E-4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2.5440169037600002E-2</v>
      </c>
      <c r="B156" s="1">
        <v>2.1777961207299999E-3</v>
      </c>
      <c r="C156" s="1">
        <v>1.1277744471099999E-4</v>
      </c>
      <c r="D156" s="1">
        <v>9.8512388786599998E-4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2.5694570728E-2</v>
      </c>
      <c r="B157" s="1">
        <v>2.0848554319399999E-3</v>
      </c>
      <c r="C157" s="1">
        <v>1.07625592702E-4</v>
      </c>
      <c r="D157" s="1">
        <v>9.9097512674499997E-4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2.5951516435299998E-2</v>
      </c>
      <c r="B158" s="1">
        <v>1.71248785165E-3</v>
      </c>
      <c r="C158" s="1">
        <v>9.0047160906399994E-5</v>
      </c>
      <c r="D158" s="1">
        <v>9.9688487801200009E-4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2.6211031599700001E-2</v>
      </c>
      <c r="B159" s="1">
        <v>1.5916154116300001E-3</v>
      </c>
      <c r="C159" s="1">
        <v>8.9978364469999996E-5</v>
      </c>
      <c r="D159" s="1">
        <v>1.0028537267900001E-3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2.6473141915700001E-2</v>
      </c>
      <c r="B160" s="1">
        <v>1.4574900243800001E-3</v>
      </c>
      <c r="C160" s="1">
        <v>8.2224334662600005E-5</v>
      </c>
      <c r="D160" s="1">
        <v>1.00888226406E-3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2.6737873334799999E-2</v>
      </c>
      <c r="B161" s="1">
        <v>1.10877514291E-3</v>
      </c>
      <c r="C161" s="1">
        <v>7.1014636475900001E-5</v>
      </c>
      <c r="D161" s="1">
        <v>1.0149710867E-3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2.7005252068200002E-2</v>
      </c>
      <c r="B162" s="1">
        <v>9.5409454325999998E-4</v>
      </c>
      <c r="C162" s="1">
        <v>6.7397532832400006E-5</v>
      </c>
      <c r="D162" s="1">
        <v>1.02112079757E-3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2.7275304588799999E-2</v>
      </c>
      <c r="B163" s="1">
        <v>8.0931587648500004E-4</v>
      </c>
      <c r="C163" s="1">
        <v>6.0688457715200003E-5</v>
      </c>
      <c r="D163" s="1">
        <v>1.02733200554E-3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2.7548057634700002E-2</v>
      </c>
      <c r="B164" s="1">
        <v>6.8635970535100004E-4</v>
      </c>
      <c r="C164" s="1">
        <v>5.5546590208099997E-5</v>
      </c>
      <c r="D164" s="1">
        <v>1.0336053256E-3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2.78235382111E-2</v>
      </c>
      <c r="B165" s="1">
        <v>5.8268004389300005E-4</v>
      </c>
      <c r="C165" s="1">
        <v>5.2387226765799997E-5</v>
      </c>
      <c r="D165" s="1">
        <v>1.0399413788499999E-3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2.81017735932E-2</v>
      </c>
      <c r="B166" s="1">
        <v>5.5564593593100003E-4</v>
      </c>
      <c r="C166" s="1">
        <v>4.74982587981E-5</v>
      </c>
      <c r="D166" s="1">
        <v>1.0463407926400001E-3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2.8382791329100002E-2</v>
      </c>
      <c r="B167" s="1">
        <v>5.0142339437799996E-4</v>
      </c>
      <c r="C167" s="1">
        <v>4.7844958176700002E-5</v>
      </c>
      <c r="D167" s="1">
        <v>1.0528042005699999E-3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2.86666192424E-2</v>
      </c>
      <c r="B168" s="1">
        <v>5.4613097412299996E-4</v>
      </c>
      <c r="C168" s="1">
        <v>5.0708327957799999E-5</v>
      </c>
      <c r="D168" s="1">
        <v>1.05933224258E-3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2.89532854348E-2</v>
      </c>
      <c r="B169" s="1">
        <v>6.3760110593999995E-4</v>
      </c>
      <c r="C169" s="1">
        <v>5.4550460319499997E-5</v>
      </c>
      <c r="D169" s="1">
        <v>1.065925565E-3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2.9242818289200001E-2</v>
      </c>
      <c r="B170" s="1">
        <v>6.8940323827900005E-4</v>
      </c>
      <c r="C170" s="1">
        <v>5.3302586077799998E-5</v>
      </c>
      <c r="D170" s="1">
        <v>1.0725848206499999E-3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2.9535246472099999E-2</v>
      </c>
      <c r="B171" s="1">
        <v>7.7347289549499997E-4</v>
      </c>
      <c r="C171" s="1">
        <v>5.6753544154700002E-5</v>
      </c>
      <c r="D171" s="1">
        <v>1.0793106688599999E-3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2.9830598936799999E-2</v>
      </c>
      <c r="B172" s="1">
        <v>9.3640638457199998E-4</v>
      </c>
      <c r="C172" s="1">
        <v>6.1880505470199995E-5</v>
      </c>
      <c r="D172" s="1">
        <v>1.08610377555E-3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3.01289049262E-2</v>
      </c>
      <c r="B173" s="1">
        <v>1.0069603746300001E-3</v>
      </c>
      <c r="C173" s="1">
        <v>6.3994076485800004E-5</v>
      </c>
      <c r="D173" s="1">
        <v>1.0929648132999999E-3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3.0430193975400002E-2</v>
      </c>
      <c r="B174" s="1">
        <v>9.3595051405700005E-4</v>
      </c>
      <c r="C174" s="1">
        <v>6.2086205938899995E-5</v>
      </c>
      <c r="D174" s="1">
        <v>1.09989446143E-3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3.07344959152E-2</v>
      </c>
      <c r="B175" s="1">
        <v>1.0431819278299999E-3</v>
      </c>
      <c r="C175" s="1">
        <v>6.4985688871199994E-5</v>
      </c>
      <c r="D175" s="1">
        <v>1.1068934060499999E-3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3.1041840874300002E-2</v>
      </c>
      <c r="B176" s="1">
        <v>9.868654482959999E-4</v>
      </c>
      <c r="C176" s="1">
        <v>6.16013135158E-5</v>
      </c>
      <c r="D176" s="1">
        <v>1.1139623401100001E-3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3.1352259283100002E-2</v>
      </c>
      <c r="B177" s="1">
        <v>8.5663970138600003E-4</v>
      </c>
      <c r="C177" s="1">
        <v>5.6594006560500001E-5</v>
      </c>
      <c r="D177" s="1">
        <v>1.1211019635100001E-3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3.1665781875900002E-2</v>
      </c>
      <c r="B178" s="1">
        <v>7.7226127479299998E-4</v>
      </c>
      <c r="C178" s="1">
        <v>5.5198897405999998E-5</v>
      </c>
      <c r="D178" s="1">
        <v>1.12831298315E-3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3.19824396947E-2</v>
      </c>
      <c r="B179" s="1">
        <v>5.6685666140800001E-4</v>
      </c>
      <c r="C179" s="1">
        <v>4.5410937530100002E-5</v>
      </c>
      <c r="D179" s="1">
        <v>1.1355961129799999E-3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3.2302264091600003E-2</v>
      </c>
      <c r="B180" s="1">
        <v>6.1882200485699999E-4</v>
      </c>
      <c r="C180" s="1">
        <v>4.9063147285900003E-5</v>
      </c>
      <c r="D180" s="1">
        <v>1.1429520741100001E-3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3.2625286732500001E-2</v>
      </c>
      <c r="B181" s="1">
        <v>3.4097708536800001E-4</v>
      </c>
      <c r="C181" s="1">
        <v>3.9516638887799997E-5</v>
      </c>
      <c r="D181" s="1">
        <v>1.15038159485E-3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3.29515395999E-2</v>
      </c>
      <c r="B182" s="1">
        <v>3.97934655797E-4</v>
      </c>
      <c r="C182" s="1">
        <v>4.1739669190499998E-5</v>
      </c>
      <c r="D182" s="1">
        <v>1.1578854107999999E-3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3.3281054995899999E-2</v>
      </c>
      <c r="B183" s="1">
        <v>3.2278466283200001E-4</v>
      </c>
      <c r="C183" s="1">
        <v>3.7771134205299998E-5</v>
      </c>
      <c r="D183" s="1">
        <v>1.1654642648999999E-3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3.3613865545800002E-2</v>
      </c>
      <c r="B184" s="1">
        <v>3.4557443660299998E-4</v>
      </c>
      <c r="C184" s="1">
        <v>3.82274792799E-5</v>
      </c>
      <c r="D184" s="1">
        <v>1.1731189075499999E-3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3.3950004201300003E-2</v>
      </c>
      <c r="B185" s="1">
        <v>2.6701651977800001E-4</v>
      </c>
      <c r="C185" s="1">
        <v>3.3290694187700001E-5</v>
      </c>
      <c r="D185" s="1">
        <v>1.18085009663E-3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3.4289504243299997E-2</v>
      </c>
      <c r="B186" s="1">
        <v>3.1806375312999998E-4</v>
      </c>
      <c r="C186" s="1">
        <v>3.5335436617500001E-5</v>
      </c>
      <c r="D186" s="1">
        <v>1.1886585976000001E-3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3.46323992857E-2</v>
      </c>
      <c r="B187" s="1">
        <v>3.6337189882500003E-4</v>
      </c>
      <c r="C187" s="1">
        <v>3.73821563396E-5</v>
      </c>
      <c r="D187" s="1">
        <v>1.1965451835699999E-3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3.49787232786E-2</v>
      </c>
      <c r="B188" s="1">
        <v>4.6237481222499997E-4</v>
      </c>
      <c r="C188" s="1">
        <v>4.3019282906700002E-5</v>
      </c>
      <c r="D188" s="1">
        <v>1.20451063541E-3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3.5328510511399999E-2</v>
      </c>
      <c r="B189" s="1">
        <v>5.65834256646E-4</v>
      </c>
      <c r="C189" s="1">
        <v>4.7683733918100003E-5</v>
      </c>
      <c r="D189" s="1">
        <v>1.2125557417599999E-3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3.5681795616499999E-2</v>
      </c>
      <c r="B190" s="1">
        <v>5.1000178337899996E-4</v>
      </c>
      <c r="C190" s="1">
        <v>4.3123551132300001E-5</v>
      </c>
      <c r="D190" s="1">
        <v>1.2206812991799999E-3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3.6038613572599999E-2</v>
      </c>
      <c r="B191" s="1">
        <v>4.3604321651899999E-4</v>
      </c>
      <c r="C191" s="1">
        <v>3.9603425006499998E-5</v>
      </c>
      <c r="D191" s="1">
        <v>1.2288881121700001E-3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3.63989997084E-2</v>
      </c>
      <c r="B192" s="1">
        <v>4.8146900739400001E-4</v>
      </c>
      <c r="C192" s="1">
        <v>4.1096779453500002E-5</v>
      </c>
      <c r="D192" s="1">
        <v>1.2371769932899999E-3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3.6762989705399998E-2</v>
      </c>
      <c r="B193" s="1">
        <v>3.53783173883E-4</v>
      </c>
      <c r="C193" s="1">
        <v>3.5397758298700003E-5</v>
      </c>
      <c r="D193" s="1">
        <v>1.24554876323E-3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3.7130619602499998E-2</v>
      </c>
      <c r="B194" s="1">
        <v>3.8375422528200002E-4</v>
      </c>
      <c r="C194" s="1">
        <v>3.7106364762399999E-5</v>
      </c>
      <c r="D194" s="1">
        <v>1.2540042508600001E-3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3.7501925798500001E-2</v>
      </c>
      <c r="B195" s="1">
        <v>2.9721467304E-4</v>
      </c>
      <c r="C195" s="1">
        <v>3.15465212504E-5</v>
      </c>
      <c r="D195" s="1">
        <v>1.2625442933699999E-3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3.7876945056500001E-2</v>
      </c>
      <c r="B196" s="1">
        <v>2.9596084940699998E-4</v>
      </c>
      <c r="C196" s="1">
        <v>3.21998834411E-5</v>
      </c>
      <c r="D196" s="1">
        <v>1.2711697363000001E-3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3.8255714507099997E-2</v>
      </c>
      <c r="B197" s="1">
        <v>2.71114573233E-4</v>
      </c>
      <c r="C197" s="1">
        <v>3.02973236031E-5</v>
      </c>
      <c r="D197" s="1">
        <v>1.2798814336599999E-3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3.8638271652100001E-2</v>
      </c>
      <c r="B198" s="1">
        <v>2.1539018582700001E-4</v>
      </c>
      <c r="C198" s="1">
        <v>2.71112356447E-5</v>
      </c>
      <c r="D198" s="1">
        <v>1.288680248E-3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3.90246543687E-2</v>
      </c>
      <c r="B199" s="1">
        <v>2.1581670611299999E-4</v>
      </c>
      <c r="C199" s="1">
        <v>2.71864184181E-5</v>
      </c>
      <c r="D199" s="1">
        <v>1.2975670504800001E-3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3.9414900912399999E-2</v>
      </c>
      <c r="B200" s="1">
        <v>2.1976173889800001E-4</v>
      </c>
      <c r="C200" s="1">
        <v>2.7429795163100001E-5</v>
      </c>
      <c r="D200" s="1">
        <v>1.30654272098E-3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3.98090499215E-2</v>
      </c>
      <c r="B201" s="1">
        <v>2.1641500582900001E-4</v>
      </c>
      <c r="C201" s="1">
        <v>2.7385365533200001E-5</v>
      </c>
      <c r="D201" s="1">
        <v>1.31560814819E-3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4.0207140420699998E-2</v>
      </c>
      <c r="B202" s="1">
        <v>1.88727078843E-4</v>
      </c>
      <c r="C202" s="1">
        <v>2.5340144368400001E-5</v>
      </c>
      <c r="D202" s="1">
        <v>1.32476422968E-3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4.0609211824900002E-2</v>
      </c>
      <c r="B203" s="1">
        <v>2.44147244906E-4</v>
      </c>
      <c r="C203" s="1">
        <v>2.7952980370299999E-5</v>
      </c>
      <c r="D203" s="1">
        <v>1.3340118719700001E-3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4.1015303943099997E-2</v>
      </c>
      <c r="B204" s="1">
        <v>2.50637295737E-4</v>
      </c>
      <c r="C204" s="1">
        <v>2.8148746160700002E-5</v>
      </c>
      <c r="D204" s="1">
        <v>1.3433519906900001E-3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4.1425456982600001E-2</v>
      </c>
      <c r="B205" s="1">
        <v>2.9334129025999998E-4</v>
      </c>
      <c r="C205" s="1">
        <v>2.99059266704E-5</v>
      </c>
      <c r="D205" s="1">
        <v>1.3527855106E-3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4.1839711552400002E-2</v>
      </c>
      <c r="B206" s="1">
        <v>2.69289874894E-4</v>
      </c>
      <c r="C206" s="1">
        <v>2.9015219313199999E-5</v>
      </c>
      <c r="D206" s="1">
        <v>1.36231336571E-3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4.2258108667900002E-2</v>
      </c>
      <c r="B207" s="1">
        <v>3.0494922778900001E-4</v>
      </c>
      <c r="C207" s="1">
        <v>3.24780854861E-5</v>
      </c>
      <c r="D207" s="1">
        <v>1.37193649936E-3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4.2680689754600001E-2</v>
      </c>
      <c r="B208" s="1">
        <v>2.3282940901200001E-4</v>
      </c>
      <c r="C208" s="1">
        <v>2.6499085670800001E-5</v>
      </c>
      <c r="D208" s="1">
        <v>1.3816558643600001E-3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4.3107496652199997E-2</v>
      </c>
      <c r="B209" s="1">
        <v>1.85266801724E-4</v>
      </c>
      <c r="C209" s="1">
        <v>2.37485861169E-5</v>
      </c>
      <c r="D209" s="1">
        <v>1.391472423E-3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4.3538571618699999E-2</v>
      </c>
      <c r="B210" s="1">
        <v>1.9969881406999999E-4</v>
      </c>
      <c r="C210" s="1">
        <v>2.4959028021200001E-5</v>
      </c>
      <c r="D210" s="1">
        <v>1.4013871472299999E-3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4.3973957334899998E-2</v>
      </c>
      <c r="B211" s="1">
        <v>1.78582012266E-4</v>
      </c>
      <c r="C211" s="1">
        <v>2.3383258193899999E-5</v>
      </c>
      <c r="D211" s="1">
        <v>1.4114010186999999E-3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4.4413696908199997E-2</v>
      </c>
      <c r="B212" s="1">
        <v>1.09819593279E-4</v>
      </c>
      <c r="C212" s="1">
        <v>9.3924423309300008E-6</v>
      </c>
      <c r="D212" s="1">
        <v>1.4215150288899999E-3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4.4857833877300003E-2</v>
      </c>
      <c r="B213" s="1">
        <v>1.2146317285100001E-4</v>
      </c>
      <c r="C213" s="1">
        <v>9.27485384379E-6</v>
      </c>
      <c r="D213" s="1">
        <v>1.43173017918E-3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4.5306412216100003E-2</v>
      </c>
      <c r="B214" s="1">
        <v>1.3549306858099999E-4</v>
      </c>
      <c r="C214" s="1">
        <v>9.7934303779799998E-6</v>
      </c>
      <c r="D214" s="1">
        <v>1.4420474809700001E-3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4.5759476338200003E-2</v>
      </c>
      <c r="B215" s="1">
        <v>1.5450295402600001E-4</v>
      </c>
      <c r="C215" s="1">
        <v>1.00816083666E-5</v>
      </c>
      <c r="D215" s="1">
        <v>1.4524679557800001E-3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4.6217071101599998E-2</v>
      </c>
      <c r="B216" s="1">
        <v>1.6732218083299999E-4</v>
      </c>
      <c r="C216" s="1">
        <v>1.05886167157E-5</v>
      </c>
      <c r="D216" s="1">
        <v>1.46299263534E-3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4.6679241812599997E-2</v>
      </c>
      <c r="B217" s="1">
        <v>1.72337695534E-4</v>
      </c>
      <c r="C217" s="1">
        <v>1.07831514712E-5</v>
      </c>
      <c r="D217" s="1">
        <v>1.47362256169E-3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4.71460342308E-2</v>
      </c>
      <c r="B218" s="1">
        <v>1.5982155732499999E-4</v>
      </c>
      <c r="C218" s="1">
        <v>9.8087672539499997E-6</v>
      </c>
      <c r="D218" s="1">
        <v>1.48435878731E-3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4.7617494573100001E-2</v>
      </c>
      <c r="B219" s="1">
        <v>1.81966471922E-4</v>
      </c>
      <c r="C219" s="1">
        <v>1.0331690541399999E-5</v>
      </c>
      <c r="D219" s="1">
        <v>1.4952023751800001E-3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4.8093669518800002E-2</v>
      </c>
      <c r="B220" s="1">
        <v>1.67526857649E-4</v>
      </c>
      <c r="C220" s="1">
        <v>9.6993071195000007E-6</v>
      </c>
      <c r="D220" s="1">
        <v>1.5061543989299999E-3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4.8574606213999998E-2</v>
      </c>
      <c r="B221" s="1">
        <v>1.4248434917E-4</v>
      </c>
      <c r="C221" s="1">
        <v>8.9897429174799994E-6</v>
      </c>
      <c r="D221" s="1">
        <v>1.51721594292E-3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4.9060352276099999E-2</v>
      </c>
      <c r="B222" s="1">
        <v>1.24577406163E-4</v>
      </c>
      <c r="C222" s="1">
        <v>8.1563454064099994E-6</v>
      </c>
      <c r="D222" s="1">
        <v>1.5283881023500001E-3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4.9550955798900002E-2</v>
      </c>
      <c r="B223" s="1">
        <v>1.2361635459100001E-4</v>
      </c>
      <c r="C223" s="1">
        <v>8.1910120286399995E-6</v>
      </c>
      <c r="D223" s="1">
        <v>1.5396719833700001E-3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5.0046465356900001E-2</v>
      </c>
      <c r="B224" s="1">
        <v>9.93801625585E-5</v>
      </c>
      <c r="C224" s="1">
        <v>7.1398154339899996E-6</v>
      </c>
      <c r="D224" s="1">
        <v>1.5510687032100001E-3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5.0546930010399997E-2</v>
      </c>
      <c r="B225" s="1">
        <v>1.02999489281E-4</v>
      </c>
      <c r="C225" s="1">
        <v>7.2094237610699997E-6</v>
      </c>
      <c r="D225" s="1">
        <v>1.56257939024E-3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5.1052399310499999E-2</v>
      </c>
      <c r="B226" s="1">
        <v>1.06307421652E-4</v>
      </c>
      <c r="C226" s="1">
        <v>7.1800253994600001E-6</v>
      </c>
      <c r="D226" s="1">
        <v>1.5742051841400001E-3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5.1562923303600003E-2</v>
      </c>
      <c r="B227" s="1">
        <v>1.03770906274E-4</v>
      </c>
      <c r="C227" s="1">
        <v>6.9775554763699998E-6</v>
      </c>
      <c r="D227" s="1">
        <v>1.58594723598E-3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5.2078552536699997E-2</v>
      </c>
      <c r="B228" s="1">
        <v>1.00539756472E-4</v>
      </c>
      <c r="C228" s="1">
        <v>7.2270176900300002E-6</v>
      </c>
      <c r="D228" s="1">
        <v>1.5978067083399999E-3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5.2599338062100001E-2</v>
      </c>
      <c r="B229" s="1">
        <v>1.1970049537099999E-4</v>
      </c>
      <c r="C229" s="1">
        <v>8.3601097270899998E-6</v>
      </c>
      <c r="D229" s="1">
        <v>1.6097847754299999E-3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5.31253314427E-2</v>
      </c>
      <c r="B230" s="1">
        <v>1.09743253454E-4</v>
      </c>
      <c r="C230" s="1">
        <v>7.8658643387200004E-6</v>
      </c>
      <c r="D230" s="1">
        <v>1.6218826231800001E-3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5.3656584757100001E-2</v>
      </c>
      <c r="B231" s="1">
        <v>1.10818050187E-4</v>
      </c>
      <c r="C231" s="1">
        <v>7.7072335286099994E-6</v>
      </c>
      <c r="D231" s="1">
        <v>1.6341014494100001E-3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5.4193150604700001E-2</v>
      </c>
      <c r="B232" s="1">
        <v>1.0380944149700001E-4</v>
      </c>
      <c r="C232" s="1">
        <v>7.5147602549699997E-6</v>
      </c>
      <c r="D232" s="1">
        <v>1.64644246391E-3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5.4735082110700002E-2</v>
      </c>
      <c r="B233" s="1">
        <v>7.5008578363299999E-5</v>
      </c>
      <c r="C233" s="1">
        <v>6.1271349106799997E-6</v>
      </c>
      <c r="D233" s="1">
        <v>1.65890688855E-3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5.5282432931799998E-2</v>
      </c>
      <c r="B234" s="1">
        <v>8.3629647499900006E-5</v>
      </c>
      <c r="C234" s="1">
        <v>6.7058563912799998E-6</v>
      </c>
      <c r="D234" s="1">
        <v>1.6714959574299999E-3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5.5835257261100002E-2</v>
      </c>
      <c r="B235" s="1">
        <v>7.2476536750500005E-5</v>
      </c>
      <c r="C235" s="1">
        <v>6.3641675326399998E-6</v>
      </c>
      <c r="D235" s="1">
        <v>1.6842109170100001E-3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5.6393609833799999E-2</v>
      </c>
      <c r="B236" s="1">
        <v>8.3511009018199999E-5</v>
      </c>
      <c r="C236" s="1">
        <v>6.6522091475E-6</v>
      </c>
      <c r="D236" s="1">
        <v>1.69705302618E-3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5.69575459321E-2</v>
      </c>
      <c r="B237" s="1">
        <v>8.0041407603699994E-5</v>
      </c>
      <c r="C237" s="1">
        <v>6.3896643441100002E-6</v>
      </c>
      <c r="D237" s="1">
        <v>1.7100235564399999E-3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5.7527121391400003E-2</v>
      </c>
      <c r="B238" s="1">
        <v>6.7691063802900002E-5</v>
      </c>
      <c r="C238" s="1">
        <v>5.71866960098E-6</v>
      </c>
      <c r="D238" s="1">
        <v>1.7231237920000001E-3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5.81023926053E-2</v>
      </c>
      <c r="B239" s="1">
        <v>8.5874222753400006E-5</v>
      </c>
      <c r="C239" s="1">
        <v>6.3660899848099998E-6</v>
      </c>
      <c r="D239" s="1">
        <v>1.73635502992E-3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5.8683416531400003E-2</v>
      </c>
      <c r="B240" s="1">
        <v>7.6128903584099999E-5</v>
      </c>
      <c r="C240" s="1">
        <v>6.0589623912899999E-6</v>
      </c>
      <c r="D240" s="1">
        <v>1.74971858022E-3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5.92702506967E-2</v>
      </c>
      <c r="B241" s="1">
        <v>8.0293192630899999E-5</v>
      </c>
      <c r="C241" s="1">
        <v>6.1875930266199999E-6</v>
      </c>
      <c r="D241" s="1">
        <v>1.7632157660200001E-3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5.9862953203699998E-2</v>
      </c>
      <c r="B242" s="1">
        <v>7.7970976780200005E-5</v>
      </c>
      <c r="C242" s="1">
        <v>6.2154359033299999E-6</v>
      </c>
      <c r="D242" s="1">
        <v>1.7768479236799999E-3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6.0461582735700001E-2</v>
      </c>
      <c r="B243" s="1">
        <v>7.5571282284099997E-5</v>
      </c>
      <c r="C243" s="1">
        <v>6.0642200804999996E-6</v>
      </c>
      <c r="D243" s="1">
        <v>1.79061640292E-3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6.1066198563099999E-2</v>
      </c>
      <c r="B244" s="1">
        <v>5.3609529047500003E-5</v>
      </c>
      <c r="C244" s="1">
        <v>4.9609758231800001E-6</v>
      </c>
      <c r="D244" s="1">
        <v>1.80452256695E-3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6.1676860548700002E-2</v>
      </c>
      <c r="B245" s="1">
        <v>5.7580934633899999E-5</v>
      </c>
      <c r="C245" s="1">
        <v>5.2423996034400001E-6</v>
      </c>
      <c r="D245" s="1">
        <v>1.8185677926199999E-3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6.2293629154200003E-2</v>
      </c>
      <c r="B246" s="1">
        <v>5.2852482858100002E-5</v>
      </c>
      <c r="C246" s="1">
        <v>4.8857437656600004E-6</v>
      </c>
      <c r="D246" s="1">
        <v>1.8327534705499999E-3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6.2916565445699998E-2</v>
      </c>
      <c r="B247" s="1">
        <v>5.7545094921400003E-5</v>
      </c>
      <c r="C247" s="1">
        <v>5.1787174063800001E-6</v>
      </c>
      <c r="D247" s="1">
        <v>1.8470810052500001E-3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6.3545731100199995E-2</v>
      </c>
      <c r="B248" s="1">
        <v>6.6155506006099996E-5</v>
      </c>
      <c r="C248" s="1">
        <v>5.7064370735000004E-6</v>
      </c>
      <c r="D248" s="1">
        <v>1.8615518153E-3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6.4181188411200005E-2</v>
      </c>
      <c r="B249" s="1">
        <v>6.3774042577600004E-5</v>
      </c>
      <c r="C249" s="1">
        <v>5.6464675349999997E-6</v>
      </c>
      <c r="D249" s="1">
        <v>1.87616733346E-3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6.4823000295299998E-2</v>
      </c>
      <c r="B250" s="1">
        <v>5.6434645818100002E-5</v>
      </c>
      <c r="C250" s="1">
        <v>5.4800385284499999E-6</v>
      </c>
      <c r="D250" s="1">
        <v>1.8909290067899999E-3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6.5471230298199998E-2</v>
      </c>
      <c r="B251" s="1">
        <v>5.8879782020199997E-5</v>
      </c>
      <c r="C251" s="1">
        <v>5.5361635210199999E-6</v>
      </c>
      <c r="D251" s="1">
        <v>1.9058382968600001E-3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6.61259426012E-2</v>
      </c>
      <c r="B252" s="1">
        <v>5.19822599485E-5</v>
      </c>
      <c r="C252" s="1">
        <v>4.9760783964E-6</v>
      </c>
      <c r="D252" s="1">
        <v>1.9208966798300001E-3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6.6787202027199996E-2</v>
      </c>
      <c r="B253" s="1">
        <v>4.6061997298599997E-5</v>
      </c>
      <c r="C253" s="1">
        <v>4.7197965763300002E-6</v>
      </c>
      <c r="D253" s="1">
        <v>1.93610564663E-3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6.7455074047499994E-2</v>
      </c>
      <c r="B254" s="1">
        <v>3.7076534906399999E-5</v>
      </c>
      <c r="C254" s="1">
        <v>4.2058097659700003E-6</v>
      </c>
      <c r="D254" s="1">
        <v>1.9514667030900001E-3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6.8129624787999998E-2</v>
      </c>
      <c r="B255" s="1">
        <v>4.9243276211600002E-5</v>
      </c>
      <c r="C255" s="1">
        <v>5.1077063406699996E-6</v>
      </c>
      <c r="D255" s="1">
        <v>1.9669813701200002E-3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6.8810921035900002E-2</v>
      </c>
      <c r="B256" s="1">
        <v>4.4611862459599998E-5</v>
      </c>
      <c r="C256" s="1">
        <v>4.7263590988399999E-6</v>
      </c>
      <c r="D256" s="1">
        <v>1.9826511838199998E-3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6.9499030246199994E-2</v>
      </c>
      <c r="B257" s="1">
        <v>4.9359325753099997E-5</v>
      </c>
      <c r="C257" s="1">
        <v>4.5922876116399996E-6</v>
      </c>
      <c r="D257" s="1">
        <v>1.9984776956599999E-3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7.0194020548699998E-2</v>
      </c>
      <c r="B258" s="1">
        <v>4.2951560032699999E-5</v>
      </c>
      <c r="C258" s="1">
        <v>4.25264822636E-6</v>
      </c>
      <c r="D258" s="1">
        <v>2.0144624726199998E-3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7.0895960754200002E-2</v>
      </c>
      <c r="B259" s="1">
        <v>3.6920980832899999E-5</v>
      </c>
      <c r="C259" s="1">
        <v>3.9442394596199997E-6</v>
      </c>
      <c r="D259" s="1">
        <v>2.0306070973499998E-3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7.1604920361700006E-2</v>
      </c>
      <c r="B260" s="1">
        <v>4.0203566462899998E-5</v>
      </c>
      <c r="C260" s="1">
        <v>4.3011747655299998E-6</v>
      </c>
      <c r="D260" s="1">
        <v>2.0469131683199999E-3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7.23209695653E-2</v>
      </c>
      <c r="B261" s="1">
        <v>4.3031053285100001E-5</v>
      </c>
      <c r="C261" s="1">
        <v>4.4381098299100004E-6</v>
      </c>
      <c r="D261" s="1">
        <v>2.0633823E-3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7.3044179261E-2</v>
      </c>
      <c r="B262" s="1">
        <v>3.22029563361E-5</v>
      </c>
      <c r="C262" s="1">
        <v>3.5789335859499999E-6</v>
      </c>
      <c r="D262" s="1">
        <v>2.080016123E-3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7.3774621053599998E-2</v>
      </c>
      <c r="B263" s="1">
        <v>3.6444559749100002E-5</v>
      </c>
      <c r="C263" s="1">
        <v>3.8708629709399997E-6</v>
      </c>
      <c r="D263" s="1">
        <v>2.0968162842299998E-3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7.4512367264100002E-2</v>
      </c>
      <c r="B264" s="1">
        <v>3.5168685381E-5</v>
      </c>
      <c r="C264" s="1">
        <v>3.9617409287400001E-6</v>
      </c>
      <c r="D264" s="1">
        <v>2.11378444707E-3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7.5257490936799995E-2</v>
      </c>
      <c r="B265" s="1">
        <v>3.3825204660300001E-5</v>
      </c>
      <c r="C265" s="1">
        <v>3.70328460021E-6</v>
      </c>
      <c r="D265" s="1">
        <v>2.1309222915499998E-3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7.6010065846099997E-2</v>
      </c>
      <c r="B266" s="1">
        <v>3.4493388838699998E-5</v>
      </c>
      <c r="C266" s="1">
        <v>3.8497784882700001E-6</v>
      </c>
      <c r="D266" s="1">
        <v>2.1482315144599998E-3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7.6770166504600001E-2</v>
      </c>
      <c r="B267" s="1">
        <v>3.2796205317499997E-5</v>
      </c>
      <c r="C267" s="1">
        <v>3.64717862234E-6</v>
      </c>
      <c r="D267" s="1">
        <v>2.1657138296100002E-3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7.7537868169599997E-2</v>
      </c>
      <c r="B268" s="1">
        <v>2.77035074933E-5</v>
      </c>
      <c r="C268" s="1">
        <v>3.5417868846499999E-6</v>
      </c>
      <c r="D268" s="1">
        <v>2.1833709679000002E-3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7.8313246851300006E-2</v>
      </c>
      <c r="B269" s="1">
        <v>2.29359895859E-5</v>
      </c>
      <c r="C269" s="1">
        <v>3.1802123743099999E-6</v>
      </c>
      <c r="D269" s="1">
        <v>2.2012046775799999E-3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7.90963793198E-2</v>
      </c>
      <c r="B270" s="1">
        <v>2.82450631259E-5</v>
      </c>
      <c r="C270" s="1">
        <v>3.2745721500399998E-6</v>
      </c>
      <c r="D270" s="1">
        <v>2.2192167243599999E-3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7.9887343112999998E-2</v>
      </c>
      <c r="B271" s="1">
        <v>2.5580747048000001E-5</v>
      </c>
      <c r="C271" s="1">
        <v>3.28704417591E-6</v>
      </c>
      <c r="D271" s="1">
        <v>2.2374088916000002E-3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8.0686216544199996E-2</v>
      </c>
      <c r="B272" s="1">
        <v>2.0890654764800001E-5</v>
      </c>
      <c r="C272" s="1">
        <v>3.0674171561400002E-6</v>
      </c>
      <c r="D272" s="1">
        <v>2.2557829805199998E-3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8.14930787096E-2</v>
      </c>
      <c r="B273" s="1">
        <v>2.2224895696599998E-5</v>
      </c>
      <c r="C273" s="1">
        <v>3.0499817580100002E-6</v>
      </c>
      <c r="D273" s="1">
        <v>2.27434081032E-3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8.2308009496700002E-2</v>
      </c>
      <c r="B274" s="1">
        <v>3.3881043954800001E-5</v>
      </c>
      <c r="C274" s="1">
        <v>3.71839610972E-6</v>
      </c>
      <c r="D274" s="1">
        <v>2.2930842184199999E-3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8.31310895917E-2</v>
      </c>
      <c r="B275" s="1">
        <v>2.3880030213199999E-5</v>
      </c>
      <c r="C275" s="1">
        <v>3.1068337520600001E-6</v>
      </c>
      <c r="D275" s="1">
        <v>2.3120150606099998E-3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8.3962400487599995E-2</v>
      </c>
      <c r="B276" s="1">
        <v>2.4368401646300001E-5</v>
      </c>
      <c r="C276" s="1">
        <v>3.0518098112499999E-6</v>
      </c>
      <c r="D276" s="1">
        <v>2.3311352112099998E-3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8.4802024492500003E-2</v>
      </c>
      <c r="B277" s="1">
        <v>2.7867625231800001E-5</v>
      </c>
      <c r="C277" s="1">
        <v>3.2247349559000001E-6</v>
      </c>
      <c r="D277" s="1">
        <v>2.3504465633299998E-3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8.5650044737399997E-2</v>
      </c>
      <c r="B278" s="1">
        <v>2.5374469133700001E-5</v>
      </c>
      <c r="C278" s="1">
        <v>3.1478137264799998E-6</v>
      </c>
      <c r="D278" s="1">
        <v>2.3699510289600001E-3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A279">
        <v>8.6506545184799999E-2</v>
      </c>
      <c r="B279" s="1">
        <v>2.2062523907600001E-5</v>
      </c>
      <c r="C279" s="1">
        <v>2.87075417022E-6</v>
      </c>
      <c r="D279" s="1">
        <v>2.3896505392499998E-3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A280">
        <v>8.7371610636599997E-2</v>
      </c>
      <c r="B280" s="1">
        <v>2.1556765938199999E-5</v>
      </c>
      <c r="C280" s="1">
        <v>1.3912772362999999E-6</v>
      </c>
      <c r="D280" s="1">
        <v>2.4095470446400002E-3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A281">
        <v>8.8245326742999994E-2</v>
      </c>
      <c r="B281" s="1">
        <v>2.0186492455200001E-5</v>
      </c>
      <c r="C281" s="1">
        <v>1.28359973376E-6</v>
      </c>
      <c r="D281" s="1">
        <v>2.4296425150899998E-3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A282">
        <v>8.9127780010400004E-2</v>
      </c>
      <c r="B282" s="1">
        <v>2.3643361228100001E-5</v>
      </c>
      <c r="C282" s="1">
        <v>1.4256507210400001E-6</v>
      </c>
      <c r="D282" s="1">
        <v>2.44993894024E-3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A283">
        <v>9.00190578105E-2</v>
      </c>
      <c r="B283" s="1">
        <v>2.02197629592E-5</v>
      </c>
      <c r="C283" s="1">
        <v>1.24005413211E-6</v>
      </c>
      <c r="D283" s="1">
        <v>2.4704383296399999E-3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A284">
        <v>9.0919248388599994E-2</v>
      </c>
      <c r="B284" s="1">
        <v>1.97227808852E-5</v>
      </c>
      <c r="C284" s="1">
        <v>1.2704296407199999E-6</v>
      </c>
      <c r="D284" s="1">
        <v>2.49114271294E-3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A285">
        <v>9.18284408725E-2</v>
      </c>
      <c r="B285" s="1">
        <v>2.08699949626E-5</v>
      </c>
      <c r="C285" s="1">
        <v>1.2638761675099999E-6</v>
      </c>
      <c r="D285" s="1">
        <v>2.51205414007E-3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A286">
        <v>9.2746725281199996E-2</v>
      </c>
      <c r="B286" s="1">
        <v>1.7064069144999999E-5</v>
      </c>
      <c r="C286" s="1">
        <v>1.11792190252E-6</v>
      </c>
      <c r="D286" s="1">
        <v>2.5331746814699998E-3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A287">
        <v>9.3674192534E-2</v>
      </c>
      <c r="B287" s="1">
        <v>1.8121007015499999E-5</v>
      </c>
      <c r="C287" s="1">
        <v>1.1283451526799999E-6</v>
      </c>
      <c r="D287" s="1">
        <v>2.5545064282799998E-3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A288">
        <v>9.4610934459399998E-2</v>
      </c>
      <c r="B288" s="1">
        <v>1.8685707176199999E-5</v>
      </c>
      <c r="C288" s="1">
        <v>1.1155953781400001E-6</v>
      </c>
      <c r="D288" s="1">
        <v>2.5760514925700002E-3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35">
      <c r="A289">
        <v>9.5557043804E-2</v>
      </c>
      <c r="B289" s="1">
        <v>1.8444167728499999E-5</v>
      </c>
      <c r="C289" s="1">
        <v>1.1052146387300001E-6</v>
      </c>
      <c r="D289" s="1">
        <v>2.5978120074900001E-3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35">
      <c r="A290">
        <v>9.6512614242E-2</v>
      </c>
      <c r="B290" s="1">
        <v>1.40310756674E-5</v>
      </c>
      <c r="C290" s="1">
        <v>9.4037651356500005E-7</v>
      </c>
      <c r="D290" s="1">
        <v>2.61979012757E-3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35">
      <c r="A291">
        <v>9.7477740384400005E-2</v>
      </c>
      <c r="B291" s="1">
        <v>1.5915593343399999E-5</v>
      </c>
      <c r="C291" s="1">
        <v>1.0328672661400001E-6</v>
      </c>
      <c r="D291" s="1">
        <v>2.6419880288399999E-3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35">
      <c r="A292">
        <v>9.8452517788299998E-2</v>
      </c>
      <c r="B292" s="1">
        <v>1.5590285094600002E-5</v>
      </c>
      <c r="C292" s="1">
        <v>9.4249522581799996E-7</v>
      </c>
      <c r="D292" s="1">
        <v>2.6644079091300002E-3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35">
      <c r="A293">
        <v>9.9437042966199998E-2</v>
      </c>
      <c r="B293" s="1">
        <v>1.45838931434E-5</v>
      </c>
      <c r="C293" s="1">
        <v>9.5446507388099999E-7</v>
      </c>
      <c r="D293" s="1">
        <v>2.68705198822E-3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35">
      <c r="A294">
        <v>0.10043141339599999</v>
      </c>
      <c r="B294" s="1">
        <v>1.46295131289E-5</v>
      </c>
      <c r="C294" s="1">
        <v>9.3249725636200004E-7</v>
      </c>
      <c r="D294" s="1">
        <v>2.7099225081E-3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35">
      <c r="A295">
        <v>0.10143572753000001</v>
      </c>
      <c r="B295" s="1">
        <v>1.41564616694E-5</v>
      </c>
      <c r="C295" s="1">
        <v>9.5625465036199995E-7</v>
      </c>
      <c r="D295" s="1">
        <v>2.73302173319E-3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35">
      <c r="A296">
        <v>0.10245008480499999</v>
      </c>
      <c r="B296" s="1">
        <v>1.1348302895900001E-5</v>
      </c>
      <c r="C296" s="1">
        <v>8.4443961548300004E-7</v>
      </c>
      <c r="D296" s="1">
        <v>2.7563519505200001E-3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35">
      <c r="A297">
        <v>0.103474585653</v>
      </c>
      <c r="B297" s="1">
        <v>1.29036810017E-5</v>
      </c>
      <c r="C297" s="1">
        <v>9.0152650819499999E-7</v>
      </c>
      <c r="D297" s="1">
        <v>2.7799154700199999E-3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35">
      <c r="A298">
        <v>0.10450933151</v>
      </c>
      <c r="B298" s="1">
        <v>1.3570700945000001E-5</v>
      </c>
      <c r="C298" s="1">
        <v>9.42255471146E-7</v>
      </c>
      <c r="D298" s="1">
        <v>2.8037146247199998E-3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35">
      <c r="A299">
        <v>0.10555442482500001</v>
      </c>
      <c r="B299" s="1">
        <v>1.33432865784E-5</v>
      </c>
      <c r="C299" s="1">
        <v>9.1050524369100002E-7</v>
      </c>
      <c r="D299" s="1">
        <v>2.82775177097E-3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35">
      <c r="A300">
        <v>0.10660996907299999</v>
      </c>
      <c r="B300" s="1">
        <v>1.3136276651E-5</v>
      </c>
      <c r="C300" s="1">
        <v>9.1233719117900004E-7</v>
      </c>
      <c r="D300" s="1">
        <v>2.8520292886799999E-3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35">
      <c r="A301">
        <v>0.107676068764</v>
      </c>
      <c r="B301" s="1">
        <v>1.14456500927E-5</v>
      </c>
      <c r="C301" s="1">
        <v>8.4838432375400003E-7</v>
      </c>
      <c r="D301" s="1">
        <v>2.87654958157E-3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35">
      <c r="A302">
        <v>0.108752829451</v>
      </c>
      <c r="B302" s="1">
        <v>1.0900700228900001E-5</v>
      </c>
      <c r="C302" s="1">
        <v>7.9724704056100001E-7</v>
      </c>
      <c r="D302" s="1">
        <v>2.9013150773800002E-3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35">
      <c r="A303">
        <v>0.109840357746</v>
      </c>
      <c r="B303" s="1">
        <v>1.1199950877E-5</v>
      </c>
      <c r="C303" s="1">
        <v>8.7939120591300005E-7</v>
      </c>
      <c r="D303" s="1">
        <v>2.9263282281600002E-3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35">
      <c r="A304">
        <v>0.110938761323</v>
      </c>
      <c r="B304" s="1">
        <v>1.01278166205E-5</v>
      </c>
      <c r="C304" s="1">
        <v>8.0521353591500004E-7</v>
      </c>
      <c r="D304" s="1">
        <v>2.9515915104400001E-3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35">
      <c r="A305">
        <v>0.11204814893700001</v>
      </c>
      <c r="B305" s="1">
        <v>9.5774532217300008E-6</v>
      </c>
      <c r="C305" s="1">
        <v>7.9083247115099999E-7</v>
      </c>
      <c r="D305" s="1">
        <v>2.97710742554E-3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35">
      <c r="A306">
        <v>0.11316863042600001</v>
      </c>
      <c r="B306" s="1">
        <v>9.9081718569600007E-6</v>
      </c>
      <c r="C306" s="1">
        <v>7.6192626693299996E-7</v>
      </c>
      <c r="D306" s="1">
        <v>3.0028784998000001E-3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35">
      <c r="A307">
        <v>0.11430031673</v>
      </c>
      <c r="B307" s="1">
        <v>9.5467551688200005E-6</v>
      </c>
      <c r="C307" s="1">
        <v>7.57552966546E-7</v>
      </c>
      <c r="D307" s="1">
        <v>3.0289072847900001E-3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35">
      <c r="A308">
        <v>0.115443319898</v>
      </c>
      <c r="B308" s="1">
        <v>1.02084146563E-5</v>
      </c>
      <c r="C308" s="1">
        <v>7.6386044983300005E-7</v>
      </c>
      <c r="D308" s="1">
        <v>3.0551963576400001E-3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35">
      <c r="A309">
        <v>0.116597753096</v>
      </c>
      <c r="B309" s="1">
        <v>8.5248239554699998E-6</v>
      </c>
      <c r="C309" s="1">
        <v>7.0998031567099995E-7</v>
      </c>
      <c r="D309" s="1">
        <v>3.0817483212199999E-3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35">
      <c r="A310">
        <v>0.117763730627</v>
      </c>
      <c r="B310" s="1">
        <v>9.0624503941500005E-6</v>
      </c>
      <c r="C310" s="1">
        <v>7.5961886484099999E-7</v>
      </c>
      <c r="D310" s="1">
        <v>3.1085658044299998E-3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35">
      <c r="A311">
        <v>0.11894136793399999</v>
      </c>
      <c r="B311" s="1">
        <v>9.8672148545299996E-6</v>
      </c>
      <c r="C311" s="1">
        <v>7.3730700620099999E-7</v>
      </c>
      <c r="D311" s="1">
        <v>3.1356514624800002E-3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35">
      <c r="A312">
        <v>0.120130781613</v>
      </c>
      <c r="B312" s="1">
        <v>8.2200839628199994E-6</v>
      </c>
      <c r="C312" s="1">
        <v>6.5387037695799999E-7</v>
      </c>
      <c r="D312" s="1">
        <v>3.1630079771000001E-3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35">
      <c r="A313">
        <v>0.12133208942900001</v>
      </c>
      <c r="B313" s="1">
        <v>7.2950349137699999E-6</v>
      </c>
      <c r="C313" s="1">
        <v>6.4092931096700002E-7</v>
      </c>
      <c r="D313" s="1">
        <v>3.19063805687E-3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35">
      <c r="A314">
        <v>0.122545410323</v>
      </c>
      <c r="B314" s="1">
        <v>8.1514820817699999E-6</v>
      </c>
      <c r="C314" s="1">
        <v>6.7386443668899997E-7</v>
      </c>
      <c r="D314" s="1">
        <v>3.2185444374399999E-3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35">
      <c r="A315">
        <v>0.123770864427</v>
      </c>
      <c r="B315" s="1">
        <v>7.7069319327700004E-6</v>
      </c>
      <c r="C315" s="1">
        <v>6.6810613870800004E-7</v>
      </c>
      <c r="D315" s="1">
        <v>3.2467298818099999E-3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35">
      <c r="A316">
        <v>0.125008573071</v>
      </c>
      <c r="B316" s="1">
        <v>7.32375712579E-6</v>
      </c>
      <c r="C316" s="1">
        <v>6.8533630855000001E-7</v>
      </c>
      <c r="D316" s="1">
        <v>3.2751971806300002E-3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35">
      <c r="A317">
        <v>0.12625865880199999</v>
      </c>
      <c r="B317" s="1">
        <v>7.2626211452599998E-6</v>
      </c>
      <c r="C317" s="1">
        <v>6.77557923808E-7</v>
      </c>
      <c r="D317" s="1">
        <v>3.3039491524399999E-3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35">
      <c r="A318">
        <v>0.12752124539000001</v>
      </c>
      <c r="B318" s="1">
        <v>6.0019952497399996E-6</v>
      </c>
      <c r="C318" s="1">
        <v>6.5691350398000005E-7</v>
      </c>
      <c r="D318" s="1">
        <v>3.3329886439600002E-3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35">
      <c r="A319">
        <v>0.12879645784400001</v>
      </c>
      <c r="B319" s="1">
        <v>6.9072524666100002E-6</v>
      </c>
      <c r="C319" s="1">
        <v>6.6004403920099998E-7</v>
      </c>
      <c r="D319" s="1">
        <v>3.3623185304E-3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35">
      <c r="A320">
        <v>0.130084422422</v>
      </c>
      <c r="B320" s="1">
        <v>5.44000073843E-6</v>
      </c>
      <c r="C320" s="1">
        <v>5.9201150100800002E-7</v>
      </c>
      <c r="D320" s="1">
        <v>3.3919417157099998E-3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:51" x14ac:dyDescent="0.35">
      <c r="A321">
        <v>0.131385266646</v>
      </c>
      <c r="B321" s="1">
        <v>6.5005620882399998E-6</v>
      </c>
      <c r="C321" s="1">
        <v>6.0942100822999996E-7</v>
      </c>
      <c r="D321" s="1">
        <v>3.4218611328599999E-3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:51" x14ac:dyDescent="0.35">
      <c r="A322">
        <v>0.13269911931299999</v>
      </c>
      <c r="B322" s="1">
        <v>6.06235631025E-6</v>
      </c>
      <c r="C322" s="1">
        <v>5.8495640353999996E-7</v>
      </c>
      <c r="D322" s="1">
        <v>3.4520797441899998E-3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:51" x14ac:dyDescent="0.35">
      <c r="A323">
        <v>0.134026110506</v>
      </c>
      <c r="B323" s="1">
        <v>5.3359707518199996E-6</v>
      </c>
      <c r="C323" s="1">
        <v>5.8649624043599998E-7</v>
      </c>
      <c r="D323" s="1">
        <v>3.4826005416300002E-3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:51" x14ac:dyDescent="0.35">
      <c r="A324">
        <v>0.13536637161100001</v>
      </c>
      <c r="B324" s="1">
        <v>5.8982489234500001E-6</v>
      </c>
      <c r="C324" s="1">
        <v>6.2075339739800001E-7</v>
      </c>
      <c r="D324" s="1">
        <v>3.51342654705E-3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:51" x14ac:dyDescent="0.35">
      <c r="A325">
        <v>0.136720035327</v>
      </c>
      <c r="B325" s="1">
        <v>6.0292403582299998E-6</v>
      </c>
      <c r="C325" s="1">
        <v>5.76961524883E-7</v>
      </c>
      <c r="D325" s="1">
        <v>3.5445608125200001E-3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:51" x14ac:dyDescent="0.35">
      <c r="A326">
        <v>0.13808723568</v>
      </c>
      <c r="B326" s="1">
        <v>4.5998591609399998E-6</v>
      </c>
      <c r="C326" s="1">
        <v>5.0981173247999999E-7</v>
      </c>
      <c r="D326" s="1">
        <v>3.5760064206500001E-3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:51" x14ac:dyDescent="0.35">
      <c r="A327">
        <v>0.13946810803699999</v>
      </c>
      <c r="B327" s="1">
        <v>4.9592130139400003E-6</v>
      </c>
      <c r="C327" s="1">
        <v>5.2706952666000002E-7</v>
      </c>
      <c r="D327" s="1">
        <v>3.6077664848500001E-3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:51" x14ac:dyDescent="0.35">
      <c r="A328">
        <v>0.14086278911700001</v>
      </c>
      <c r="B328" s="1">
        <v>5.6044665755799997E-6</v>
      </c>
      <c r="C328" s="1">
        <v>5.6216346887700005E-7</v>
      </c>
      <c r="D328" s="1">
        <v>3.6398441496999999E-3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:51" x14ac:dyDescent="0.35">
      <c r="A329">
        <v>0.14227141700900001</v>
      </c>
      <c r="B329" s="1">
        <v>3.4771376689399999E-6</v>
      </c>
      <c r="C329" s="1">
        <v>4.9254891753500003E-7</v>
      </c>
      <c r="D329" s="1">
        <v>3.6722425912E-3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:51" x14ac:dyDescent="0.35">
      <c r="A330">
        <v>0.14369413117900001</v>
      </c>
      <c r="B330" s="1">
        <v>4.6279256443400003E-6</v>
      </c>
      <c r="C330" s="1">
        <v>4.9334568230800004E-7</v>
      </c>
      <c r="D330" s="1">
        <v>3.7049650171100002E-3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:51" x14ac:dyDescent="0.35">
      <c r="A331">
        <v>0.14513107249099999</v>
      </c>
      <c r="B331" s="1">
        <v>4.7109558966099996E-6</v>
      </c>
      <c r="C331" s="1">
        <v>4.8093100984500003E-7</v>
      </c>
      <c r="D331" s="1">
        <v>3.7380146672799999E-3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:51" x14ac:dyDescent="0.35">
      <c r="A332">
        <v>0.146582383215</v>
      </c>
      <c r="B332" s="1">
        <v>4.9934778990499996E-6</v>
      </c>
      <c r="C332" s="1">
        <v>5.1614793049899996E-7</v>
      </c>
      <c r="D332" s="1">
        <v>3.7713948139499998E-3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:51" x14ac:dyDescent="0.35">
      <c r="A333">
        <v>0.14804820704800001</v>
      </c>
      <c r="B333" s="1">
        <v>4.34312038433E-6</v>
      </c>
      <c r="C333" s="1">
        <v>4.9880839444999997E-7</v>
      </c>
      <c r="D333" s="1">
        <v>3.8051087620899998E-3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:51" x14ac:dyDescent="0.35">
      <c r="A334">
        <v>0.14952868911799999</v>
      </c>
      <c r="B334" s="1">
        <v>3.51249317474E-6</v>
      </c>
      <c r="C334" s="1">
        <v>4.4813256653199997E-7</v>
      </c>
      <c r="D334" s="1">
        <v>3.8391598497200001E-3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:51" x14ac:dyDescent="0.35">
      <c r="A335">
        <v>0.151023976009</v>
      </c>
      <c r="B335" s="1">
        <v>4.2038353827999999E-6</v>
      </c>
      <c r="C335" s="1">
        <v>4.8455647992700004E-7</v>
      </c>
      <c r="D335" s="1">
        <v>3.8735514482100002E-3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:51" x14ac:dyDescent="0.35">
      <c r="A336">
        <v>0.152534215769</v>
      </c>
      <c r="B336" s="1">
        <v>3.5599359842500002E-6</v>
      </c>
      <c r="C336" s="1">
        <v>4.4998818770899999E-7</v>
      </c>
      <c r="D336" s="1">
        <v>3.9082869626900002E-3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:51" x14ac:dyDescent="0.35">
      <c r="A337">
        <v>0.15405955792699999</v>
      </c>
      <c r="B337" s="1">
        <v>2.8039857727199998E-6</v>
      </c>
      <c r="C337" s="1">
        <v>4.5448893516299999E-7</v>
      </c>
      <c r="D337" s="1">
        <v>3.9433698323199998E-3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:51" x14ac:dyDescent="0.35">
      <c r="A338">
        <v>0.15560015350600001</v>
      </c>
      <c r="B338" s="1">
        <v>3.0439140746699999E-6</v>
      </c>
      <c r="C338" s="1">
        <v>4.1895990260399998E-7</v>
      </c>
      <c r="D338" s="1">
        <v>3.9788035306400002E-3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:51" x14ac:dyDescent="0.35">
      <c r="A339">
        <v>0.157156155041</v>
      </c>
      <c r="B339" s="1">
        <v>3.0198203147E-6</v>
      </c>
      <c r="C339" s="1">
        <v>4.0134662790600002E-7</v>
      </c>
      <c r="D339" s="1">
        <v>4.0145915659500001E-3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:51" x14ac:dyDescent="0.35">
      <c r="A340">
        <v>0.158727716592</v>
      </c>
      <c r="B340" s="1">
        <v>2.8791683702099999E-6</v>
      </c>
      <c r="C340" s="1">
        <v>4.2509243879099998E-7</v>
      </c>
      <c r="D340" s="1">
        <v>4.0507374816099997E-3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:51" x14ac:dyDescent="0.35">
      <c r="A341">
        <v>0.16031499375800001</v>
      </c>
      <c r="B341" s="1">
        <v>2.6386277966600001E-6</v>
      </c>
      <c r="C341" s="1">
        <v>4.08313870446E-7</v>
      </c>
      <c r="D341" s="1">
        <v>4.0872448564300001E-3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:51" x14ac:dyDescent="0.35">
      <c r="A342">
        <v>0.16191814369499999</v>
      </c>
      <c r="B342" s="1">
        <v>3.0599752857599998E-6</v>
      </c>
      <c r="C342" s="1">
        <v>4.5222982840099999E-7</v>
      </c>
      <c r="D342" s="1">
        <v>4.1241173049900003E-3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51" x14ac:dyDescent="0.35">
      <c r="A343">
        <v>0.16353732513200001</v>
      </c>
      <c r="B343" s="1">
        <v>3.41339451692E-6</v>
      </c>
      <c r="C343" s="1">
        <v>4.2237869015000002E-7</v>
      </c>
      <c r="D343" s="1">
        <v>4.1613584780400004E-3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51" x14ac:dyDescent="0.35">
      <c r="A344">
        <v>0.16517269838400001</v>
      </c>
      <c r="B344" s="1">
        <v>1.9734413029000002E-6</v>
      </c>
      <c r="C344" s="1">
        <v>3.5377848367900002E-7</v>
      </c>
      <c r="D344" s="1">
        <v>4.1989720628199997E-3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51" x14ac:dyDescent="0.35">
      <c r="A345">
        <v>0.16682442536700001</v>
      </c>
      <c r="B345" s="1">
        <v>2.8940430487599999E-6</v>
      </c>
      <c r="C345" s="1">
        <v>3.84214711872E-7</v>
      </c>
      <c r="D345" s="1">
        <v>4.2369617834500002E-3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51" x14ac:dyDescent="0.35">
      <c r="A346">
        <v>0.16849266962100001</v>
      </c>
      <c r="B346" s="1">
        <v>1.86964539314E-6</v>
      </c>
      <c r="C346" s="1">
        <v>3.88847015374E-7</v>
      </c>
      <c r="D346" s="1">
        <v>4.27533140128E-3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51" x14ac:dyDescent="0.35">
      <c r="A347">
        <v>0.170177596317</v>
      </c>
      <c r="B347" s="1">
        <v>3.2710202496699999E-6</v>
      </c>
      <c r="C347" s="1">
        <v>3.7819254665200001E-7</v>
      </c>
      <c r="D347" s="1">
        <v>4.3140847152999999E-3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51" x14ac:dyDescent="0.35">
      <c r="A348">
        <v>0.17187937228</v>
      </c>
      <c r="B348" s="1">
        <v>2.0487009180500001E-6</v>
      </c>
      <c r="C348" s="1">
        <v>3.4422821671499999E-7</v>
      </c>
      <c r="D348" s="1">
        <v>4.3532255624500003E-3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51" x14ac:dyDescent="0.35">
      <c r="A349">
        <v>0.17359816600299999</v>
      </c>
      <c r="B349" s="1">
        <v>2.72451823905E-6</v>
      </c>
      <c r="C349" s="1">
        <v>3.8538327818299999E-7</v>
      </c>
      <c r="D349" s="1">
        <v>4.3927578180700004E-3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51" x14ac:dyDescent="0.35">
      <c r="A350">
        <v>0.17533414766300001</v>
      </c>
      <c r="B350" s="1">
        <v>2.2528444591799999E-6</v>
      </c>
      <c r="C350" s="1">
        <v>3.7951733993599998E-7</v>
      </c>
      <c r="D350" s="1">
        <v>4.4326853962600001E-3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51" x14ac:dyDescent="0.35">
      <c r="A351">
        <v>0.17708748914</v>
      </c>
      <c r="B351" s="1">
        <v>2.85183070777E-6</v>
      </c>
      <c r="C351" s="1">
        <v>3.9615708249299999E-7</v>
      </c>
      <c r="D351" s="1">
        <v>4.4730122502200003E-3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51" x14ac:dyDescent="0.35">
      <c r="A352">
        <v>0.178858364031</v>
      </c>
      <c r="B352" s="1">
        <v>1.38788495284E-6</v>
      </c>
      <c r="C352" s="1">
        <v>3.4258523511600002E-7</v>
      </c>
      <c r="D352" s="1">
        <v>4.5137423727200001E-3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 x14ac:dyDescent="0.35">
      <c r="A353">
        <v>0.18064694767200001</v>
      </c>
      <c r="B353" s="1">
        <v>1.08648089283E-6</v>
      </c>
      <c r="C353" s="1">
        <v>3.4013538809599999E-7</v>
      </c>
      <c r="D353" s="1">
        <v>4.5548797964500001E-3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 x14ac:dyDescent="0.35">
      <c r="A354">
        <v>0.18245341714800001</v>
      </c>
      <c r="B354" s="1">
        <v>1.6247298479000001E-6</v>
      </c>
      <c r="C354" s="1">
        <v>3.2543549587799999E-7</v>
      </c>
      <c r="D354" s="1">
        <v>4.59642859441E-3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 x14ac:dyDescent="0.35">
      <c r="A355">
        <v>0.18427795131999999</v>
      </c>
      <c r="B355" s="1">
        <v>1.47345849884E-6</v>
      </c>
      <c r="C355" s="1">
        <v>3.3679632788400002E-7</v>
      </c>
      <c r="D355" s="1">
        <v>4.63839288036E-3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x14ac:dyDescent="0.35">
      <c r="A356">
        <v>0.18612073083299999</v>
      </c>
      <c r="B356" s="1">
        <v>1.0766836026399999E-6</v>
      </c>
      <c r="C356" s="1">
        <v>3.2729486895999998E-7</v>
      </c>
      <c r="D356" s="1">
        <v>4.6807768091599996E-3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 x14ac:dyDescent="0.35">
      <c r="A357">
        <v>0.187981938141</v>
      </c>
      <c r="B357" s="1">
        <v>1.4337186832499999E-6</v>
      </c>
      <c r="C357" s="1">
        <v>3.0881905499399998E-7</v>
      </c>
      <c r="D357" s="1">
        <v>4.7235845772499998E-3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x14ac:dyDescent="0.35">
      <c r="A358">
        <v>0.189861757523</v>
      </c>
      <c r="B358" s="1">
        <v>1.1676847349100001E-6</v>
      </c>
      <c r="C358" s="1">
        <v>3.0647616713200002E-7</v>
      </c>
      <c r="D358" s="1">
        <v>4.7668204230199998E-3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 x14ac:dyDescent="0.35">
      <c r="A359">
        <v>0.19176037509800001</v>
      </c>
      <c r="B359" s="1">
        <v>1.76323680469E-6</v>
      </c>
      <c r="C359" s="1">
        <v>3.44802839622E-7</v>
      </c>
      <c r="D359" s="1">
        <v>4.8104886272500001E-3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 x14ac:dyDescent="0.35">
      <c r="A360">
        <v>0.19367797884900001</v>
      </c>
      <c r="B360" s="1">
        <v>1.65395635951E-6</v>
      </c>
      <c r="C360" s="1">
        <v>3.49617395661E-7</v>
      </c>
      <c r="D360" s="1">
        <v>4.8545935135299997E-3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 x14ac:dyDescent="0.35">
      <c r="A361">
        <v>0.19561475863700001</v>
      </c>
      <c r="B361" s="1">
        <v>1.4879556791599999E-6</v>
      </c>
      <c r="C361" s="1">
        <v>3.2088717212999999E-7</v>
      </c>
      <c r="D361" s="1">
        <v>4.89913944866E-3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 x14ac:dyDescent="0.35">
      <c r="A362">
        <v>0.197570906224</v>
      </c>
      <c r="B362" s="1">
        <v>1.3588941740600001E-6</v>
      </c>
      <c r="C362" s="1">
        <v>3.2444717818299999E-7</v>
      </c>
      <c r="D362" s="1">
        <v>4.94413084315E-3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honeticPr fontId="27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91" t="s">
        <v>1</v>
      </c>
      <c r="B1" s="191"/>
      <c r="C1" s="191"/>
      <c r="D1" s="191"/>
      <c r="E1" s="191"/>
      <c r="F1" s="191"/>
      <c r="G1" s="191"/>
      <c r="H1" s="191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Reflectivity</vt:lpstr>
      <vt:lpstr>Uncertainties</vt:lpstr>
      <vt:lpstr>dTotal</vt:lpstr>
      <vt:lpstr>density</vt:lpstr>
      <vt:lpstr>f_PEO</vt:lpstr>
      <vt:lpstr>sigDstack</vt:lpstr>
      <vt:lpstr>dSiOx</vt:lpstr>
      <vt:lpstr>NbBPEI</vt:lpstr>
      <vt:lpstr>NbSi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2021-06-28T15:45:48Z</dcterms:modified>
</cp:coreProperties>
</file>