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0B2EF5D8-FB5D-4E73-87A1-F201A5670BFF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73" r:id="rId2"/>
    <sheet name="dTotal" sheetId="45" r:id="rId3"/>
    <sheet name="density" sheetId="66" r:id="rId4"/>
    <sheet name="f_PEO" sheetId="67" r:id="rId5"/>
    <sheet name="sigDstack" sheetId="52" r:id="rId6"/>
    <sheet name="dSiOx" sheetId="70" r:id="rId7"/>
    <sheet name="NbBPEI" sheetId="72" r:id="rId8"/>
    <sheet name="NbSi" sheetId="74" r:id="rId9"/>
    <sheet name="ScaledCombined" sheetId="18" r:id="rId10"/>
    <sheet name="ScatteringParameters" sheetId="7" r:id="rId11"/>
    <sheet name="AtomicParameters" sheetId="6" r:id="rId12"/>
  </sheets>
  <functionGroups builtInGroupCount="19"/>
  <definedNames>
    <definedName name="REF_L_2790_2008_01_10T13_3A40_3A12_04_3A00_CE_scaling" localSheetId="9">ScaledCombined!$A$1:$M$361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73" l="1"/>
  <c r="B13" i="73"/>
  <c r="B8" i="73"/>
  <c r="B11" i="73" s="1"/>
  <c r="C8" i="73"/>
  <c r="C7" i="73"/>
  <c r="B7" i="73"/>
  <c r="B12" i="73" s="1"/>
  <c r="C5" i="73"/>
  <c r="B5" i="73"/>
  <c r="C3" i="73"/>
  <c r="B3" i="73"/>
  <c r="C2" i="73"/>
  <c r="B2" i="73"/>
  <c r="C5" i="1"/>
  <c r="B10" i="73" s="1"/>
  <c r="C10" i="73" l="1"/>
  <c r="G6" i="1"/>
  <c r="X128" i="1"/>
  <c r="Y128" i="1" s="1"/>
  <c r="X129" i="1"/>
  <c r="Y129" i="1" s="1"/>
  <c r="X130" i="1"/>
  <c r="Y130" i="1" s="1"/>
  <c r="X131" i="1"/>
  <c r="Y131" i="1" s="1"/>
  <c r="X132" i="1"/>
  <c r="Y132" i="1" s="1"/>
  <c r="X133" i="1"/>
  <c r="Y133" i="1" s="1"/>
  <c r="X134" i="1"/>
  <c r="Y134" i="1" s="1"/>
  <c r="X135" i="1"/>
  <c r="Y135" i="1" s="1"/>
  <c r="X136" i="1"/>
  <c r="Y136" i="1" s="1"/>
  <c r="X137" i="1"/>
  <c r="Y137" i="1" s="1"/>
  <c r="X138" i="1"/>
  <c r="Y138" i="1" s="1"/>
  <c r="X139" i="1"/>
  <c r="Y139" i="1" s="1"/>
  <c r="X140" i="1"/>
  <c r="Y140" i="1" s="1"/>
  <c r="X141" i="1"/>
  <c r="Y141" i="1" s="1"/>
  <c r="X142" i="1"/>
  <c r="Y142" i="1" s="1"/>
  <c r="X143" i="1"/>
  <c r="Y143" i="1" s="1"/>
  <c r="X144" i="1"/>
  <c r="Y144" i="1" s="1"/>
  <c r="X145" i="1"/>
  <c r="Y145" i="1" s="1"/>
  <c r="X146" i="1"/>
  <c r="Y146" i="1" s="1"/>
  <c r="X147" i="1"/>
  <c r="Y147" i="1" s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Y153" i="1" s="1"/>
  <c r="X154" i="1"/>
  <c r="Y154" i="1" s="1"/>
  <c r="X155" i="1"/>
  <c r="Y155" i="1" s="1"/>
  <c r="X156" i="1"/>
  <c r="Y156" i="1" s="1"/>
  <c r="X157" i="1"/>
  <c r="Y157" i="1" s="1"/>
  <c r="X158" i="1"/>
  <c r="Y158" i="1" s="1"/>
  <c r="X159" i="1"/>
  <c r="Y159" i="1" s="1"/>
  <c r="X160" i="1"/>
  <c r="Y160" i="1" s="1"/>
  <c r="X161" i="1"/>
  <c r="Y161" i="1" s="1"/>
  <c r="X162" i="1"/>
  <c r="Y162" i="1" s="1"/>
  <c r="X163" i="1"/>
  <c r="Y163" i="1" s="1"/>
  <c r="X164" i="1"/>
  <c r="Y164" i="1" s="1"/>
  <c r="X165" i="1"/>
  <c r="Y165" i="1" s="1"/>
  <c r="X166" i="1"/>
  <c r="Y166" i="1" s="1"/>
  <c r="X167" i="1"/>
  <c r="Y167" i="1" s="1"/>
  <c r="X168" i="1"/>
  <c r="Y168" i="1" s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Y174" i="1" s="1"/>
  <c r="X175" i="1"/>
  <c r="Y175" i="1" s="1"/>
  <c r="X176" i="1"/>
  <c r="Y176" i="1" s="1"/>
  <c r="X177" i="1"/>
  <c r="Y177" i="1" s="1"/>
  <c r="X178" i="1"/>
  <c r="Y178" i="1" s="1"/>
  <c r="X179" i="1"/>
  <c r="Y179" i="1" s="1"/>
  <c r="X180" i="1"/>
  <c r="Y180" i="1" s="1"/>
  <c r="X181" i="1"/>
  <c r="Y181" i="1" s="1"/>
  <c r="X182" i="1"/>
  <c r="Y182" i="1" s="1"/>
  <c r="X183" i="1"/>
  <c r="Y183" i="1" s="1"/>
  <c r="X184" i="1"/>
  <c r="Y184" i="1" s="1"/>
  <c r="X185" i="1"/>
  <c r="Y185" i="1" s="1"/>
  <c r="X186" i="1"/>
  <c r="Y186" i="1" s="1"/>
  <c r="X187" i="1"/>
  <c r="Y187" i="1" s="1"/>
  <c r="X188" i="1"/>
  <c r="Y188" i="1" s="1"/>
  <c r="X189" i="1"/>
  <c r="Y189" i="1" s="1"/>
  <c r="X190" i="1"/>
  <c r="Y190" i="1" s="1"/>
  <c r="X191" i="1"/>
  <c r="Y191" i="1" s="1"/>
  <c r="X192" i="1"/>
  <c r="Y192" i="1" s="1"/>
  <c r="X193" i="1"/>
  <c r="Y193" i="1" s="1"/>
  <c r="X194" i="1"/>
  <c r="Y194" i="1" s="1"/>
  <c r="X195" i="1"/>
  <c r="Y195" i="1" s="1"/>
  <c r="X196" i="1"/>
  <c r="Y196" i="1" s="1"/>
  <c r="X197" i="1"/>
  <c r="Y197" i="1" s="1"/>
  <c r="X198" i="1"/>
  <c r="Y198" i="1" s="1"/>
  <c r="X199" i="1"/>
  <c r="Y199" i="1" s="1"/>
  <c r="X200" i="1"/>
  <c r="Y200" i="1" s="1"/>
  <c r="X201" i="1"/>
  <c r="Y201" i="1" s="1"/>
  <c r="X202" i="1"/>
  <c r="Y202" i="1" s="1"/>
  <c r="X203" i="1"/>
  <c r="Y203" i="1" s="1"/>
  <c r="X204" i="1"/>
  <c r="Y204" i="1" s="1"/>
  <c r="X205" i="1"/>
  <c r="Y205" i="1" s="1"/>
  <c r="X206" i="1"/>
  <c r="Y206" i="1" s="1"/>
  <c r="X207" i="1"/>
  <c r="Y207" i="1" s="1"/>
  <c r="X208" i="1"/>
  <c r="Y208" i="1" s="1"/>
  <c r="X209" i="1"/>
  <c r="Y209" i="1" s="1"/>
  <c r="X210" i="1"/>
  <c r="Y210" i="1" s="1"/>
  <c r="X211" i="1"/>
  <c r="Y211" i="1" s="1"/>
  <c r="X212" i="1"/>
  <c r="Y212" i="1" s="1"/>
  <c r="X213" i="1"/>
  <c r="Y213" i="1" s="1"/>
  <c r="X214" i="1"/>
  <c r="Y214" i="1" s="1"/>
  <c r="X215" i="1"/>
  <c r="Y215" i="1" s="1"/>
  <c r="X216" i="1"/>
  <c r="Y216" i="1" s="1"/>
  <c r="X217" i="1"/>
  <c r="Y217" i="1" s="1"/>
  <c r="X218" i="1"/>
  <c r="Y218" i="1" s="1"/>
  <c r="X219" i="1"/>
  <c r="Y219" i="1" s="1"/>
  <c r="X220" i="1"/>
  <c r="Y220" i="1" s="1"/>
  <c r="X221" i="1"/>
  <c r="Y221" i="1" s="1"/>
  <c r="X222" i="1"/>
  <c r="Y222" i="1" s="1"/>
  <c r="X223" i="1"/>
  <c r="Y223" i="1" s="1"/>
  <c r="X224" i="1"/>
  <c r="Y224" i="1" s="1"/>
  <c r="X225" i="1"/>
  <c r="Y225" i="1" s="1"/>
  <c r="X226" i="1"/>
  <c r="Y226" i="1" s="1"/>
  <c r="X227" i="1"/>
  <c r="Y227" i="1" s="1"/>
  <c r="X228" i="1"/>
  <c r="Y228" i="1" s="1"/>
  <c r="X229" i="1"/>
  <c r="Y229" i="1" s="1"/>
  <c r="X230" i="1"/>
  <c r="Y230" i="1" s="1"/>
  <c r="X231" i="1"/>
  <c r="Y231" i="1" s="1"/>
  <c r="X232" i="1"/>
  <c r="Y232" i="1" s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Y241" i="1" s="1"/>
  <c r="X242" i="1"/>
  <c r="Y242" i="1" s="1"/>
  <c r="X243" i="1"/>
  <c r="Y243" i="1" s="1"/>
  <c r="X244" i="1"/>
  <c r="Y244" i="1" s="1"/>
  <c r="X245" i="1"/>
  <c r="Y245" i="1" s="1"/>
  <c r="X246" i="1"/>
  <c r="Y246" i="1" s="1"/>
  <c r="X247" i="1"/>
  <c r="Y247" i="1" s="1"/>
  <c r="X248" i="1"/>
  <c r="Y248" i="1" s="1"/>
  <c r="X249" i="1"/>
  <c r="Y249" i="1" s="1"/>
  <c r="X250" i="1"/>
  <c r="Y250" i="1" s="1"/>
  <c r="X251" i="1"/>
  <c r="Y251" i="1" s="1"/>
  <c r="X252" i="1"/>
  <c r="Y252" i="1" s="1"/>
  <c r="X253" i="1"/>
  <c r="Y253" i="1" s="1"/>
  <c r="X254" i="1"/>
  <c r="Y254" i="1" s="1"/>
  <c r="X255" i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Y279" i="1" s="1"/>
  <c r="X280" i="1"/>
  <c r="Y280" i="1" s="1"/>
  <c r="X281" i="1"/>
  <c r="Y281" i="1" s="1"/>
  <c r="X282" i="1"/>
  <c r="Y282" i="1" s="1"/>
  <c r="X283" i="1"/>
  <c r="Y283" i="1" s="1"/>
  <c r="X284" i="1"/>
  <c r="Y284" i="1" s="1"/>
  <c r="X285" i="1"/>
  <c r="Y285" i="1" s="1"/>
  <c r="X286" i="1"/>
  <c r="Y286" i="1" s="1"/>
  <c r="X287" i="1"/>
  <c r="Y287" i="1" s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Y295" i="1" s="1"/>
  <c r="X296" i="1"/>
  <c r="Y296" i="1" s="1"/>
  <c r="X297" i="1"/>
  <c r="Y297" i="1" s="1"/>
  <c r="X298" i="1"/>
  <c r="Y298" i="1" s="1"/>
  <c r="X299" i="1"/>
  <c r="Y299" i="1" s="1"/>
  <c r="X300" i="1"/>
  <c r="Y300" i="1" s="1"/>
  <c r="X301" i="1"/>
  <c r="Y301" i="1" s="1"/>
  <c r="X302" i="1"/>
  <c r="Y302" i="1" s="1"/>
  <c r="X303" i="1"/>
  <c r="Y303" i="1" s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Y311" i="1" s="1"/>
  <c r="X312" i="1"/>
  <c r="Y312" i="1" s="1"/>
  <c r="X313" i="1"/>
  <c r="Y313" i="1" s="1"/>
  <c r="X314" i="1"/>
  <c r="Y314" i="1" s="1"/>
  <c r="X315" i="1"/>
  <c r="Y315" i="1" s="1"/>
  <c r="X316" i="1"/>
  <c r="Y316" i="1" s="1"/>
  <c r="X317" i="1"/>
  <c r="Y317" i="1" s="1"/>
  <c r="X318" i="1"/>
  <c r="Y318" i="1" s="1"/>
  <c r="X319" i="1"/>
  <c r="Y319" i="1" s="1"/>
  <c r="X320" i="1"/>
  <c r="Y320" i="1" s="1"/>
  <c r="X321" i="1"/>
  <c r="Y321" i="1" s="1"/>
  <c r="X322" i="1"/>
  <c r="Y322" i="1" s="1"/>
  <c r="C4" i="1" l="1"/>
  <c r="F5" i="1"/>
  <c r="F4" i="1"/>
  <c r="X3" i="1" l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 s="1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83" i="1" l="1"/>
  <c r="Y104" i="1"/>
  <c r="Y67" i="1"/>
  <c r="Y111" i="1"/>
  <c r="Y99" i="1"/>
  <c r="Y92" i="1"/>
  <c r="Y51" i="1"/>
  <c r="Y123" i="1"/>
  <c r="Y121" i="1"/>
  <c r="Y72" i="1"/>
  <c r="Y87" i="1"/>
  <c r="Y29" i="1"/>
  <c r="Y56" i="1"/>
  <c r="Y85" i="1"/>
  <c r="Y25" i="1"/>
  <c r="Y52" i="1"/>
  <c r="Y5" i="1"/>
  <c r="Y124" i="1"/>
  <c r="Y109" i="1"/>
  <c r="Y37" i="1"/>
  <c r="Y53" i="1"/>
  <c r="Y126" i="1"/>
  <c r="Y34" i="1"/>
  <c r="Y93" i="1"/>
  <c r="Y36" i="1"/>
  <c r="Y122" i="1"/>
  <c r="Y62" i="1"/>
  <c r="Y110" i="1"/>
  <c r="Y21" i="1"/>
  <c r="Y22" i="1"/>
  <c r="Y17" i="1"/>
  <c r="Y10" i="1"/>
  <c r="Y115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48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<sst xmlns="http://schemas.openxmlformats.org/spreadsheetml/2006/main" count="1111" uniqueCount="638">
  <si>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</si>
  <si>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</si>
  <si>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</si>
  <si>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</si>
  <si>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</si>
  <si>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</si>
  <si>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</si>
  <si>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</si>
  <si>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</si>
  <si>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</si>
  <si>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</si>
  <si>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</si>
  <si>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</si>
  <si>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</si>
  <si>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</si>
  <si>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</si>
  <si>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</si>
  <si>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</si>
  <si>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</si>
  <si>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</si>
  <si>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</si>
  <si>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</si>
  <si>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</si>
  <si>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</si>
  <si>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</si>
  <si>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</si>
  <si>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</si>
  <si>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</si>
  <si>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</si>
  <si>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</si>
  <si>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</si>
  <si>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</si>
  <si>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</si>
  <si>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</si>
  <si>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</si>
  <si>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</si>
  <si>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</si>
  <si>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</si>
  <si>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</si>
  <si>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</si>
  <si>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</si>
  <si>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</si>
  <si>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</si>
  <si>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</si>
  <si>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</si>
  <si>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</si>
  <si>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</si>
  <si>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</si>
  <si>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</si>
  <si>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</si>
  <si>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</si>
  <si>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</si>
  <si>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</si>
  <si>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</si>
  <si>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</si>
  <si>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</si>
  <si>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</si>
  <si>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</si>
  <si>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</si>
  <si>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</si>
  <si>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</si>
  <si>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</si>
  <si>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</si>
  <si>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</si>
  <si>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</si>
  <si>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</si>
  <si>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</si>
  <si>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</si>
  <si>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</si>
  <si>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</si>
  <si>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</si>
  <si>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</si>
  <si>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</si>
  <si>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</si>
  <si>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</si>
  <si>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</si>
  <si>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</si>
  <si>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</si>
  <si>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</si>
  <si>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</si>
  <si>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</si>
  <si>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</si>
  <si>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</si>
  <si>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</si>
  <si>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</si>
  <si>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</si>
  <si>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</si>
  <si>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</si>
  <si>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</si>
  <si>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</si>
  <si>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</si>
  <si>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</si>
  <si>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</si>
  <si>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</si>
  <si>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</si>
  <si>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</si>
  <si>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</si>
  <si>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</si>
  <si>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</si>
  <si>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</si>
  <si>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</si>
  <si>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</si>
  <si>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</si>
  <si>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</si>
  <si>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</si>
  <si>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</si>
  <si>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</si>
  <si>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</si>
  <si>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</si>
  <si>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</si>
  <si>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</si>
  <si>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</si>
  <si>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</si>
  <si>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</si>
  <si>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</si>
  <si>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</si>
  <si>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</si>
  <si>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</si>
  <si>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</si>
  <si>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</si>
  <si>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</si>
  <si>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</si>
  <si>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</si>
  <si>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</si>
  <si>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</si>
  <si>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</si>
  <si>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</si>
  <si>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</si>
  <si>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</si>
  <si>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</si>
  <si>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</si>
  <si>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</si>
  <si>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</si>
  <si>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</si>
  <si>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</si>
  <si>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</si>
  <si>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</si>
  <si>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</si>
  <si>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</si>
  <si>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</si>
  <si>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</si>
  <si>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</si>
  <si>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</si>
  <si>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</si>
  <si>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</si>
  <si>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</si>
  <si>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</si>
  <si>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</si>
  <si>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</si>
  <si>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</si>
  <si>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</si>
  <si>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</si>
  <si>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</si>
  <si>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</si>
  <si>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</si>
  <si>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</si>
  <si>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</si>
  <si>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</si>
  <si>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</si>
  <si>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</si>
  <si>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</si>
  <si>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</si>
  <si>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</si>
  <si>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</si>
  <si>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</si>
  <si>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</si>
  <si>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</si>
  <si>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</si>
  <si>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</si>
  <si>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</si>
  <si>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</si>
  <si>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</si>
  <si>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</si>
  <si>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</si>
  <si>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</si>
  <si>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</si>
  <si>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</si>
  <si>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</si>
  <si>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</si>
  <si>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</si>
  <si>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</si>
  <si>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</si>
  <si>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</si>
  <si>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</si>
  <si>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</si>
  <si>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</si>
  <si>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</si>
  <si>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</si>
  <si>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</si>
  <si>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</si>
  <si>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</si>
  <si>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</si>
  <si>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</si>
  <si>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</si>
  <si>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</si>
  <si>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</si>
  <si>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</si>
  <si>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</si>
  <si>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</si>
  <si>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</si>
  <si>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</si>
  <si>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</si>
  <si>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</si>
  <si>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</si>
  <si>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</si>
  <si>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</si>
  <si>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</si>
  <si>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</si>
  <si>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</si>
  <si>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</si>
  <si>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</si>
  <si>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</si>
  <si>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</si>
  <si>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</si>
  <si>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</si>
  <si>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</si>
  <si>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</si>
  <si>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</si>
  <si>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</si>
  <si>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</si>
  <si>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</si>
  <si>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</si>
  <si>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</si>
  <si>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</si>
  <si>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</si>
  <si>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</si>
  <si>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</si>
  <si>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</si>
  <si>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</si>
  <si>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</si>
  <si>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</si>
  <si>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</si>
  <si>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</si>
  <si>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</si>
  <si>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</si>
  <si>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</si>
  <si>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</si>
  <si>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</si>
  <si>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</si>
  <si>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</si>
  <si>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</si>
  <si>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</si>
  <si>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</si>
  <si>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</si>
  <si>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</si>
  <si>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</si>
  <si>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</si>
  <si>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</si>
  <si>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</si>
  <si>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</si>
  <si>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</si>
  <si>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</si>
  <si>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</si>
  <si>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</si>
  <si>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</si>
  <si>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</si>
  <si>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</si>
  <si>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</si>
  <si>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</si>
  <si>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</si>
  <si>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</si>
  <si>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</si>
  <si>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</si>
  <si>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</si>
  <si>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</si>
  <si>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</si>
  <si>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</si>
  <si>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</si>
  <si>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</si>
  <si>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</si>
  <si>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</si>
  <si>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</si>
  <si>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</si>
  <si>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</si>
  <si>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</si>
  <si>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</si>
  <si>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</si>
  <si>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</si>
  <si>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</si>
  <si>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</si>
  <si>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</si>
  <si>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</si>
  <si>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</si>
  <si>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</si>
  <si>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</si>
  <si>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</si>
  <si>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</si>
  <si>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</si>
  <si>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</si>
  <si>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</si>
  <si>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</si>
  <si>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</si>
  <si>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</si>
  <si>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</si>
  <si>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</si>
  <si>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</si>
  <si>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</si>
  <si>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</si>
  <si>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</si>
  <si>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</si>
  <si>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</si>
  <si>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</si>
  <si>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</si>
  <si>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</si>
  <si>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</si>
  <si>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</si>
  <si>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</si>
  <si>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</si>
  <si>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</si>
  <si>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</si>
  <si>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</si>
  <si>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</si>
  <si>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</si>
  <si>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</si>
  <si>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</si>
  <si>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</si>
  <si>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</si>
  <si>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</si>
  <si>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</si>
  <si>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</si>
  <si>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</si>
  <si>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</si>
  <si>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</si>
  <si>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</si>
  <si>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</si>
  <si>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</si>
  <si>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</si>
  <si>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</si>
  <si>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</si>
  <si>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</si>
  <si>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</si>
  <si>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</si>
  <si>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</si>
  <si>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</si>
  <si>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</si>
  <si>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</si>
  <si>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</si>
  <si>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</si>
  <si>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</si>
  <si>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</si>
  <si>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</si>
  <si>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</si>
  <si>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</si>
  <si>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</si>
  <si>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</si>
  <si>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</si>
  <si>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</si>
  <si>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</si>
  <si>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</si>
  <si>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</si>
  <si>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</si>
  <si>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</si>
  <si>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</si>
  <si>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</si>
  <si>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</si>
  <si>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</si>
  <si>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</si>
  <si>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</si>
  <si>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</si>
  <si>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</si>
  <si>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</si>
  <si>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</si>
  <si>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</si>
  <si>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</si>
  <si>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</si>
  <si>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</si>
  <si>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</si>
  <si>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</si>
  <si>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</si>
  <si>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</si>
  <si>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</si>
  <si>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</si>
  <si>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</si>
  <si>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</si>
  <si>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</si>
  <si>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</si>
  <si>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</si>
  <si>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</si>
  <si>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</si>
  <si>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</si>
  <si>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</si>
  <si>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</si>
  <si>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</si>
  <si>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</si>
  <si>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</si>
  <si>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</si>
  <si>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</si>
  <si>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</si>
  <si>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</si>
  <si>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</si>
  <si>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</si>
  <si>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</si>
  <si>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</si>
  <si>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</si>
  <si>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</si>
  <si>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</si>
  <si>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</si>
  <si>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</si>
  <si>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</si>
  <si>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</si>
  <si>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</si>
  <si>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</si>
  <si>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</si>
  <si>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</si>
  <si>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</si>
  <si>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</si>
  <si>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</si>
  <si>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</si>
  <si>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</si>
  <si>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</si>
  <si>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</si>
  <si>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</si>
  <si>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</si>
  <si>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</si>
  <si>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</si>
  <si>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</si>
  <si>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</si>
  <si>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</si>
  <si>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</si>
  <si>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</si>
  <si>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</si>
  <si>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</si>
  <si>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</si>
  <si>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</si>
  <si>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</si>
  <si>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</si>
  <si>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</si>
  <si>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</si>
  <si>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</si>
  <si>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</si>
  <si>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</si>
  <si>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</si>
  <si>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</si>
  <si>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</si>
  <si>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</si>
  <si>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</si>
  <si>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</si>
  <si>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</si>
  <si>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</si>
  <si>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</si>
  <si>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</si>
  <si>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</si>
  <si>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</si>
  <si>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</si>
  <si>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</si>
  <si>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</si>
  <si>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</si>
  <si>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</si>
  <si>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</si>
  <si>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</si>
  <si>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</si>
  <si>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</si>
  <si>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</si>
  <si>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</si>
  <si>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</si>
  <si>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</si>
  <si>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</si>
  <si>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</si>
  <si>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</si>
  <si>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</si>
  <si>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</si>
  <si>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</si>
  <si>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</si>
  <si>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</si>
  <si>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</si>
  <si>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</si>
  <si>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</si>
  <si>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</si>
  <si>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</si>
  <si>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</si>
  <si>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</si>
  <si>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</si>
  <si>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</si>
  <si>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</si>
  <si>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</si>
  <si>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</si>
  <si>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</si>
  <si>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</si>
  <si>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</si>
  <si>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</si>
  <si>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</si>
  <si>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</si>
  <si>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</si>
  <si>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</si>
  <si>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</si>
  <si>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</si>
  <si>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</si>
  <si>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</si>
  <si>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</si>
  <si>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</si>
  <si>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</si>
  <si>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</si>
  <si>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</si>
  <si>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</si>
  <si>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</si>
  <si>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</si>
  <si>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</si>
  <si>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</si>
  <si>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</si>
  <si>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</si>
  <si>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</si>
  <si>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</si>
  <si>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</si>
  <si>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</si>
  <si>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</si>
  <si>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</si>
  <si>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</si>
  <si>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</si>
  <si>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</si>
  <si>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</si>
  <si>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</si>
  <si>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</si>
  <si>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</si>
  <si>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</si>
  <si>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</si>
  <si>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</si>
  <si>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</si>
  <si>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</si>
  <si>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</si>
  <si>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</si>
  <si>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</si>
  <si>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</si>
  <si>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</si>
  <si>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</si>
  <si>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</si>
  <si>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</si>
  <si>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</si>
  <si>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</si>
  <si>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</si>
  <si>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</si>
  <si>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</si>
  <si>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</si>
  <si>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</si>
  <si>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</si>
  <si>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</si>
  <si>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</si>
  <si>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</si>
  <si>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</si>
  <si>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</si>
  <si>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</si>
  <si>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</si>
  <si>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</si>
  <si>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</si>
  <si>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</si>
  <si>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</si>
  <si>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</si>
  <si>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</si>
  <si>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</si>
  <si>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</si>
  <si>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</si>
  <si>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</si>
  <si>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</si>
  <si>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</si>
  <si>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</si>
  <si>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</si>
  <si>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</si>
  <si>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</si>
  <si>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</si>
  <si>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</si>
  <si>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</si>
  <si>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</si>
  <si>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</si>
  <si>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</si>
  <si>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</si>
  <si>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</si>
  <si>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</si>
  <si>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</si>
  <si>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</si>
  <si>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</si>
  <si>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</si>
  <si>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</si>
  <si>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</si>
  <si>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</si>
  <si>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</si>
  <si>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</si>
  <si>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</si>
  <si>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</si>
  <si>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</si>
  <si>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</si>
  <si>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</si>
  <si>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</si>
  <si>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</si>
  <si>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</si>
  <si>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</si>
  <si>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</si>
  <si>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</si>
  <si>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</si>
  <si>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</si>
  <si>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</si>
  <si>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</si>
  <si>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</si>
  <si>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</si>
  <si>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</si>
  <si>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</si>
  <si>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</si>
  <si>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</si>
  <si>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</si>
  <si>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</si>
  <si>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</si>
  <si>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</si>
  <si>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</si>
  <si>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</si>
  <si>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</si>
  <si>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</si>
  <si>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</si>
  <si>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G4</t>
  </si>
  <si>
    <t>D-stack</t>
  </si>
  <si>
    <t>H10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</si>
  <si>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</si>
  <si>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</si>
  <si>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</si>
  <si>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</si>
  <si>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</si>
  <si>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</si>
  <si>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</si>
  <si>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</si>
  <si>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P2HAA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</si>
  <si>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H14</t>
  </si>
  <si>
    <t>H16</t>
  </si>
  <si>
    <t>F7</t>
  </si>
  <si>
    <t>IPTS-23087</t>
  </si>
  <si>
    <t>11_p2hma_58h62d_22h110h0m-174481-1.</t>
  </si>
  <si>
    <t>2019-11-18T21:30:45.043564667</t>
  </si>
  <si>
    <t>Mon</t>
  </si>
  <si>
    <t>Feb</t>
  </si>
  <si>
    <t>4.1.0</t>
  </si>
  <si>
    <t>10_02_2020</t>
  </si>
  <si>
    <t>C6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</si>
  <si>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</si>
  <si>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</si>
  <si>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</si>
  <si>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SiOx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</si>
  <si>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</si>
  <si>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×[(1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</si>
  <si>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</si>
  <si>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</si>
  <si>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BPEI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</si>
  <si>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C8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</si>
</sst>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4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2" fontId="0" fillId="36" borderId="0" xfId="0" applyFill="1" applyAlignment="1">
      <alignment horizontal="right" vertical="center"/>
    </xf>
    <xf numFmtId="11" fontId="17" fillId="36" borderId="0" xfId="0" applyNumberFormat="1" applyFont="1" applyFill="1" applyAlignment="1">
      <alignment horizontal="center" vertical="center"/>
    </xf>
    <xf numFmtId="164" fontId="0" fillId="36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37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66" fontId="0" fillId="0" borderId="0" xfId="0" applyNumberFormat="1"/>
    <xf numFmtId="11" fontId="0" fillId="41" borderId="0" xfId="0" applyNumberFormat="1" applyFill="1"/>
    <xf numFmtId="2" fontId="17" fillId="0" borderId="0" xfId="0" applyFont="1" applyAlignment="1">
      <alignment horizontal="center" vertical="center"/>
    </xf>
    <xf numFmtId="164" fontId="0" fillId="0" borderId="0" xfId="0" applyNumberFormat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11" fontId="10" fillId="37" borderId="0" xfId="0" applyNumberFormat="1" applyFont="1" applyFill="1"/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  <xf numFmtId="2" fontId="17" fillId="0" borderId="0" xfId="0" applyFont="1" applyFill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107.48951518039271</c:v>
                </c:pt>
                <c:pt idx="4">
                  <c:v>107.48951518039271</c:v>
                </c:pt>
                <c:pt idx="5">
                  <c:v>113.06651943379117</c:v>
                </c:pt>
                <c:pt idx="6">
                  <c:v>113.06651943379117</c:v>
                </c:pt>
                <c:pt idx="7">
                  <c:v>116.17000471480486</c:v>
                </c:pt>
                <c:pt idx="8">
                  <c:v>116.17000471480486</c:v>
                </c:pt>
                <c:pt idx="9">
                  <c:v>118.44383170520639</c:v>
                </c:pt>
                <c:pt idx="10">
                  <c:v>118.44383170520639</c:v>
                </c:pt>
                <c:pt idx="11">
                  <c:v>120.29424098158675</c:v>
                </c:pt>
                <c:pt idx="12">
                  <c:v>120.29424098158675</c:v>
                </c:pt>
                <c:pt idx="13">
                  <c:v>121.89207966491226</c:v>
                </c:pt>
                <c:pt idx="14">
                  <c:v>121.89207966491226</c:v>
                </c:pt>
                <c:pt idx="15">
                  <c:v>123.32748686534931</c:v>
                </c:pt>
                <c:pt idx="16">
                  <c:v>123.32748686534931</c:v>
                </c:pt>
                <c:pt idx="17">
                  <c:v>124.65523906407357</c:v>
                </c:pt>
                <c:pt idx="18">
                  <c:v>124.65523906407357</c:v>
                </c:pt>
                <c:pt idx="19">
                  <c:v>125.91240613825104</c:v>
                </c:pt>
                <c:pt idx="20">
                  <c:v>125.91240613825104</c:v>
                </c:pt>
                <c:pt idx="21">
                  <c:v>127.12658927468942</c:v>
                </c:pt>
                <c:pt idx="22">
                  <c:v>127.12658927468942</c:v>
                </c:pt>
                <c:pt idx="23">
                  <c:v>128.32037619087612</c:v>
                </c:pt>
                <c:pt idx="24">
                  <c:v>128.32037619087612</c:v>
                </c:pt>
                <c:pt idx="25">
                  <c:v>129.51416310706281</c:v>
                </c:pt>
                <c:pt idx="26">
                  <c:v>129.51416310706281</c:v>
                </c:pt>
                <c:pt idx="27">
                  <c:v>130.72834624350119</c:v>
                </c:pt>
                <c:pt idx="28">
                  <c:v>130.72834624350119</c:v>
                </c:pt>
                <c:pt idx="29">
                  <c:v>131.98551331767865</c:v>
                </c:pt>
                <c:pt idx="30">
                  <c:v>131.98551331767865</c:v>
                </c:pt>
                <c:pt idx="31">
                  <c:v>133.31326551640291</c:v>
                </c:pt>
                <c:pt idx="32">
                  <c:v>133.31326551640291</c:v>
                </c:pt>
                <c:pt idx="33">
                  <c:v>134.74867271683996</c:v>
                </c:pt>
                <c:pt idx="34">
                  <c:v>134.74867271683996</c:v>
                </c:pt>
                <c:pt idx="35">
                  <c:v>136.34651140016547</c:v>
                </c:pt>
                <c:pt idx="36">
                  <c:v>136.34651140016547</c:v>
                </c:pt>
                <c:pt idx="37">
                  <c:v>138.19692067654583</c:v>
                </c:pt>
                <c:pt idx="38">
                  <c:v>138.19692067654583</c:v>
                </c:pt>
                <c:pt idx="39">
                  <c:v>140.47074766694737</c:v>
                </c:pt>
                <c:pt idx="40">
                  <c:v>140.47074766694737</c:v>
                </c:pt>
                <c:pt idx="41">
                  <c:v>143.57423294796106</c:v>
                </c:pt>
                <c:pt idx="42">
                  <c:v>143.57423294796106</c:v>
                </c:pt>
                <c:pt idx="43">
                  <c:v>149.15123720135952</c:v>
                </c:pt>
                <c:pt idx="44">
                  <c:v>149.15123720135952</c:v>
                </c:pt>
                <c:pt idx="45">
                  <c:v>156.64075238175224</c:v>
                </c:pt>
                <c:pt idx="46">
                  <c:v>156.64075238175224</c:v>
                </c:pt>
                <c:pt idx="47">
                  <c:v>256.17697035503039</c:v>
                </c:pt>
                <c:pt idx="48">
                  <c:v>256.17697035503039</c:v>
                </c:pt>
                <c:pt idx="49">
                  <c:v>275.25578235707127</c:v>
                </c:pt>
                <c:pt idx="50">
                  <c:v>275.25578235707127</c:v>
                </c:pt>
                <c:pt idx="51">
                  <c:v>289.46265865311375</c:v>
                </c:pt>
                <c:pt idx="52">
                  <c:v>289.46265865311375</c:v>
                </c:pt>
                <c:pt idx="53">
                  <c:v>297.3684857729483</c:v>
                </c:pt>
                <c:pt idx="54">
                  <c:v>297.3684857729483</c:v>
                </c:pt>
                <c:pt idx="55">
                  <c:v>303.1608390334917</c:v>
                </c:pt>
                <c:pt idx="56">
                  <c:v>303.1608390334917</c:v>
                </c:pt>
                <c:pt idx="57">
                  <c:v>307.87457682032692</c:v>
                </c:pt>
                <c:pt idx="58">
                  <c:v>307.87457682032692</c:v>
                </c:pt>
                <c:pt idx="59">
                  <c:v>311.94491556916398</c:v>
                </c:pt>
                <c:pt idx="60">
                  <c:v>311.94491556916398</c:v>
                </c:pt>
                <c:pt idx="61">
                  <c:v>315.60147590236278</c:v>
                </c:pt>
                <c:pt idx="62">
                  <c:v>315.60147590236278</c:v>
                </c:pt>
                <c:pt idx="63">
                  <c:v>318.98379558188947</c:v>
                </c:pt>
                <c:pt idx="64">
                  <c:v>318.98379558188947</c:v>
                </c:pt>
                <c:pt idx="65">
                  <c:v>322.18630651693371</c:v>
                </c:pt>
                <c:pt idx="66">
                  <c:v>322.18630651693371</c:v>
                </c:pt>
                <c:pt idx="67">
                  <c:v>325.2793200482771</c:v>
                </c:pt>
                <c:pt idx="68">
                  <c:v>325.2793200482771</c:v>
                </c:pt>
                <c:pt idx="69">
                  <c:v>328.32037619087612</c:v>
                </c:pt>
                <c:pt idx="70">
                  <c:v>328.32037619087612</c:v>
                </c:pt>
                <c:pt idx="71">
                  <c:v>331.36143233347514</c:v>
                </c:pt>
                <c:pt idx="72">
                  <c:v>331.36143233347514</c:v>
                </c:pt>
                <c:pt idx="73">
                  <c:v>334.45444586481852</c:v>
                </c:pt>
                <c:pt idx="74">
                  <c:v>334.45444586481852</c:v>
                </c:pt>
                <c:pt idx="75">
                  <c:v>337.65695679986277</c:v>
                </c:pt>
                <c:pt idx="76">
                  <c:v>337.65695679986277</c:v>
                </c:pt>
                <c:pt idx="77">
                  <c:v>341.03927647938946</c:v>
                </c:pt>
                <c:pt idx="78">
                  <c:v>341.03927647938946</c:v>
                </c:pt>
                <c:pt idx="79">
                  <c:v>344.69583681258825</c:v>
                </c:pt>
                <c:pt idx="80">
                  <c:v>344.69583681258825</c:v>
                </c:pt>
                <c:pt idx="81">
                  <c:v>348.76617556142531</c:v>
                </c:pt>
                <c:pt idx="82">
                  <c:v>348.76617556142531</c:v>
                </c:pt>
                <c:pt idx="83">
                  <c:v>353.47991334826054</c:v>
                </c:pt>
                <c:pt idx="84">
                  <c:v>353.47991334826054</c:v>
                </c:pt>
                <c:pt idx="85">
                  <c:v>359.27226660880393</c:v>
                </c:pt>
                <c:pt idx="86">
                  <c:v>359.27226660880393</c:v>
                </c:pt>
                <c:pt idx="87">
                  <c:v>367.17809372863849</c:v>
                </c:pt>
                <c:pt idx="88">
                  <c:v>367.17809372863849</c:v>
                </c:pt>
                <c:pt idx="89">
                  <c:v>381.38497002468097</c:v>
                </c:pt>
                <c:pt idx="90">
                  <c:v>381.38497002468097</c:v>
                </c:pt>
                <c:pt idx="91">
                  <c:v>400.46378202672184</c:v>
                </c:pt>
                <c:pt idx="92">
                  <c:v>400.46378202672184</c:v>
                </c:pt>
                <c:pt idx="93">
                  <c:v>1180.1679777268344</c:v>
                </c:pt>
                <c:pt idx="94">
                  <c:v>1180.1679777268344</c:v>
                </c:pt>
                <c:pt idx="95">
                  <c:v>1183.6101409029825</c:v>
                </c:pt>
                <c:pt idx="96">
                  <c:v>1183.6101409029825</c:v>
                </c:pt>
                <c:pt idx="97">
                  <c:v>1186.1733186537303</c:v>
                </c:pt>
                <c:pt idx="98">
                  <c:v>1186.1733186537303</c:v>
                </c:pt>
                <c:pt idx="99">
                  <c:v>1187.5996730297773</c:v>
                </c:pt>
                <c:pt idx="100">
                  <c:v>1187.5996730297773</c:v>
                </c:pt>
                <c:pt idx="101">
                  <c:v>1188.6447184495105</c:v>
                </c:pt>
                <c:pt idx="102">
                  <c:v>1188.6447184495105</c:v>
                </c:pt>
                <c:pt idx="103">
                  <c:v>1189.4951621055477</c:v>
                </c:pt>
                <c:pt idx="104">
                  <c:v>1189.4951621055477</c:v>
                </c:pt>
                <c:pt idx="105">
                  <c:v>1190.2295249240606</c:v>
                </c:pt>
                <c:pt idx="106">
                  <c:v>1190.2295249240606</c:v>
                </c:pt>
                <c:pt idx="107">
                  <c:v>1190.8892346234356</c:v>
                </c:pt>
                <c:pt idx="108">
                  <c:v>1190.8892346234356</c:v>
                </c:pt>
                <c:pt idx="109">
                  <c:v>1191.4994663427683</c:v>
                </c:pt>
                <c:pt idx="110">
                  <c:v>1191.4994663427683</c:v>
                </c:pt>
                <c:pt idx="111">
                  <c:v>1192.0772573085078</c:v>
                </c:pt>
                <c:pt idx="112">
                  <c:v>1192.0772573085078</c:v>
                </c:pt>
                <c:pt idx="113">
                  <c:v>1192.6352929597726</c:v>
                </c:pt>
                <c:pt idx="114">
                  <c:v>1192.6352929597726</c:v>
                </c:pt>
                <c:pt idx="115">
                  <c:v>1193.1839545572313</c:v>
                </c:pt>
                <c:pt idx="116">
                  <c:v>1193.1839545572313</c:v>
                </c:pt>
                <c:pt idx="117">
                  <c:v>1193.4112272845041</c:v>
                </c:pt>
                <c:pt idx="118">
                  <c:v>1193.4112272845041</c:v>
                </c:pt>
                <c:pt idx="119">
                  <c:v>1193.8657727390496</c:v>
                </c:pt>
                <c:pt idx="120">
                  <c:v>1193.8657727390496</c:v>
                </c:pt>
                <c:pt idx="121">
                  <c:v>1194.3203181935951</c:v>
                </c:pt>
                <c:pt idx="122">
                  <c:v>1194.3203181935951</c:v>
                </c:pt>
                <c:pt idx="123">
                  <c:v>1194.7748636481406</c:v>
                </c:pt>
                <c:pt idx="124">
                  <c:v>1194.7748636481406</c:v>
                </c:pt>
                <c:pt idx="125">
                  <c:v>1195.2294091026861</c:v>
                </c:pt>
                <c:pt idx="126">
                  <c:v>1195.2294091026861</c:v>
                </c:pt>
                <c:pt idx="127">
                  <c:v>1195.6839545572316</c:v>
                </c:pt>
                <c:pt idx="128">
                  <c:v>1195.6839545572316</c:v>
                </c:pt>
                <c:pt idx="129">
                  <c:v>1196.1385000117771</c:v>
                </c:pt>
                <c:pt idx="130">
                  <c:v>1196.1385000117771</c:v>
                </c:pt>
                <c:pt idx="131">
                  <c:v>1196.5930454663226</c:v>
                </c:pt>
                <c:pt idx="132">
                  <c:v>1196.5930454663226</c:v>
                </c:pt>
                <c:pt idx="133">
                  <c:v>1197.0475909208681</c:v>
                </c:pt>
                <c:pt idx="134">
                  <c:v>1197.0475909208681</c:v>
                </c:pt>
                <c:pt idx="135">
                  <c:v>1197.5021363754136</c:v>
                </c:pt>
                <c:pt idx="136">
                  <c:v>1197.5021363754136</c:v>
                </c:pt>
                <c:pt idx="137">
                  <c:v>1197.9566818299591</c:v>
                </c:pt>
                <c:pt idx="138">
                  <c:v>1197.9566818299591</c:v>
                </c:pt>
                <c:pt idx="139">
                  <c:v>1198.4112272845045</c:v>
                </c:pt>
                <c:pt idx="140">
                  <c:v>1198.4112272845045</c:v>
                </c:pt>
                <c:pt idx="141">
                  <c:v>1198.86577273905</c:v>
                </c:pt>
                <c:pt idx="142">
                  <c:v>1198.86577273905</c:v>
                </c:pt>
                <c:pt idx="143">
                  <c:v>1199.3203181935955</c:v>
                </c:pt>
                <c:pt idx="144">
                  <c:v>1199.3203181935955</c:v>
                </c:pt>
                <c:pt idx="145">
                  <c:v>1199.774863648141</c:v>
                </c:pt>
                <c:pt idx="146">
                  <c:v>1199.774863648141</c:v>
                </c:pt>
                <c:pt idx="147">
                  <c:v>1200.2294091026865</c:v>
                </c:pt>
                <c:pt idx="148">
                  <c:v>1200.2294091026865</c:v>
                </c:pt>
                <c:pt idx="149">
                  <c:v>1200.683954557232</c:v>
                </c:pt>
                <c:pt idx="150">
                  <c:v>1200.683954557232</c:v>
                </c:pt>
                <c:pt idx="151">
                  <c:v>1201.1385000117775</c:v>
                </c:pt>
                <c:pt idx="152">
                  <c:v>1201.1385000117775</c:v>
                </c:pt>
                <c:pt idx="153">
                  <c:v>1201.593045466323</c:v>
                </c:pt>
                <c:pt idx="154">
                  <c:v>1201.593045466323</c:v>
                </c:pt>
                <c:pt idx="155">
                  <c:v>1202.0475909208685</c:v>
                </c:pt>
                <c:pt idx="156">
                  <c:v>1202.0475909208685</c:v>
                </c:pt>
                <c:pt idx="157">
                  <c:v>1202.502136375414</c:v>
                </c:pt>
                <c:pt idx="158">
                  <c:v>1202.502136375414</c:v>
                </c:pt>
                <c:pt idx="159">
                  <c:v>1202.9566818299595</c:v>
                </c:pt>
                <c:pt idx="160">
                  <c:v>1202.9566818299595</c:v>
                </c:pt>
                <c:pt idx="161">
                  <c:v>1203.1839545572323</c:v>
                </c:pt>
                <c:pt idx="162">
                  <c:v>1203.1839545572323</c:v>
                </c:pt>
                <c:pt idx="163">
                  <c:v>1203.4582853559616</c:v>
                </c:pt>
                <c:pt idx="164">
                  <c:v>1203.4582853559616</c:v>
                </c:pt>
                <c:pt idx="165">
                  <c:v>1203.7373031815939</c:v>
                </c:pt>
                <c:pt idx="166">
                  <c:v>1203.7373031815939</c:v>
                </c:pt>
                <c:pt idx="167">
                  <c:v>1204.0261986644637</c:v>
                </c:pt>
                <c:pt idx="168">
                  <c:v>1204.0261986644637</c:v>
                </c:pt>
                <c:pt idx="169">
                  <c:v>1204.33131452413</c:v>
                </c:pt>
                <c:pt idx="170">
                  <c:v>1204.33131452413</c:v>
                </c:pt>
                <c:pt idx="171">
                  <c:v>1204.6611693738175</c:v>
                </c:pt>
                <c:pt idx="172">
                  <c:v>1204.6611693738175</c:v>
                </c:pt>
                <c:pt idx="173">
                  <c:v>1205.0283507830741</c:v>
                </c:pt>
                <c:pt idx="174">
                  <c:v>1205.0283507830741</c:v>
                </c:pt>
                <c:pt idx="175">
                  <c:v>1205.4535726110928</c:v>
                </c:pt>
                <c:pt idx="176">
                  <c:v>1205.4535726110928</c:v>
                </c:pt>
                <c:pt idx="177">
                  <c:v>1205.9760953209595</c:v>
                </c:pt>
                <c:pt idx="178">
                  <c:v>1205.9760953209595</c:v>
                </c:pt>
                <c:pt idx="179">
                  <c:v>1206.6892725089831</c:v>
                </c:pt>
                <c:pt idx="180">
                  <c:v>1206.6892725089831</c:v>
                </c:pt>
                <c:pt idx="181">
                  <c:v>1207.970861384357</c:v>
                </c:pt>
                <c:pt idx="182">
                  <c:v>1207.970861384357</c:v>
                </c:pt>
                <c:pt idx="183">
                  <c:v>1209.6919429724312</c:v>
                </c:pt>
                <c:pt idx="184">
                  <c:v>1209.6919429724312</c:v>
                </c:pt>
                <c:pt idx="185">
                  <c:v>1219.9897457570921</c:v>
                </c:pt>
                <c:pt idx="186">
                  <c:v>1219.9897457570921</c:v>
                </c:pt>
                <c:pt idx="187">
                  <c:v>1221.7108273451663</c:v>
                </c:pt>
                <c:pt idx="188">
                  <c:v>1221.7108273451663</c:v>
                </c:pt>
                <c:pt idx="189">
                  <c:v>1222.9924162205402</c:v>
                </c:pt>
                <c:pt idx="190">
                  <c:v>1222.9924162205402</c:v>
                </c:pt>
                <c:pt idx="191">
                  <c:v>1223.7055934085638</c:v>
                </c:pt>
                <c:pt idx="192">
                  <c:v>1223.7055934085638</c:v>
                </c:pt>
                <c:pt idx="193">
                  <c:v>1224.2281161184305</c:v>
                </c:pt>
                <c:pt idx="194">
                  <c:v>1224.2281161184305</c:v>
                </c:pt>
                <c:pt idx="195">
                  <c:v>1224.6533379464493</c:v>
                </c:pt>
                <c:pt idx="196">
                  <c:v>1224.6533379464493</c:v>
                </c:pt>
                <c:pt idx="197">
                  <c:v>1225.0205193557058</c:v>
                </c:pt>
                <c:pt idx="198">
                  <c:v>1225.0205193557058</c:v>
                </c:pt>
                <c:pt idx="199">
                  <c:v>1225.3503742053933</c:v>
                </c:pt>
                <c:pt idx="200">
                  <c:v>1225.3503742053933</c:v>
                </c:pt>
                <c:pt idx="201">
                  <c:v>1225.6554900650597</c:v>
                </c:pt>
                <c:pt idx="202">
                  <c:v>1225.6554900650597</c:v>
                </c:pt>
                <c:pt idx="203">
                  <c:v>1225.9443855479294</c:v>
                </c:pt>
                <c:pt idx="204">
                  <c:v>1225.9443855479294</c:v>
                </c:pt>
                <c:pt idx="205">
                  <c:v>1226.2234033735617</c:v>
                </c:pt>
                <c:pt idx="206">
                  <c:v>1226.2234033735617</c:v>
                </c:pt>
                <c:pt idx="207">
                  <c:v>1226.4977341722911</c:v>
                </c:pt>
                <c:pt idx="208">
                  <c:v>1226.4977341722911</c:v>
                </c:pt>
                <c:pt idx="209">
                  <c:v>1226.7720649710204</c:v>
                </c:pt>
                <c:pt idx="210">
                  <c:v>1226.7720649710204</c:v>
                </c:pt>
                <c:pt idx="211">
                  <c:v>1227.0510827966527</c:v>
                </c:pt>
                <c:pt idx="212">
                  <c:v>1227.0510827966527</c:v>
                </c:pt>
                <c:pt idx="213">
                  <c:v>1227.3399782795225</c:v>
                </c:pt>
                <c:pt idx="214">
                  <c:v>1227.3399782795225</c:v>
                </c:pt>
                <c:pt idx="215">
                  <c:v>1227.6450941391888</c:v>
                </c:pt>
                <c:pt idx="216">
                  <c:v>1227.6450941391888</c:v>
                </c:pt>
                <c:pt idx="217">
                  <c:v>1227.9749489888763</c:v>
                </c:pt>
                <c:pt idx="218">
                  <c:v>1227.9749489888763</c:v>
                </c:pt>
                <c:pt idx="219">
                  <c:v>1228.3421303981329</c:v>
                </c:pt>
                <c:pt idx="220">
                  <c:v>1228.3421303981329</c:v>
                </c:pt>
                <c:pt idx="221">
                  <c:v>1228.7673522261516</c:v>
                </c:pt>
                <c:pt idx="222">
                  <c:v>1228.7673522261516</c:v>
                </c:pt>
                <c:pt idx="223">
                  <c:v>1229.2898749360184</c:v>
                </c:pt>
                <c:pt idx="224">
                  <c:v>1229.2898749360184</c:v>
                </c:pt>
                <c:pt idx="225">
                  <c:v>1230.0030521240419</c:v>
                </c:pt>
                <c:pt idx="226">
                  <c:v>1230.0030521240419</c:v>
                </c:pt>
                <c:pt idx="227">
                  <c:v>1231.2846409994158</c:v>
                </c:pt>
                <c:pt idx="228">
                  <c:v>1231.2846409994158</c:v>
                </c:pt>
                <c:pt idx="229">
                  <c:v>1233.00572258749</c:v>
                </c:pt>
                <c:pt idx="230">
                  <c:v>1233.00572258749</c:v>
                </c:pt>
                <c:pt idx="231">
                  <c:v>1333.00572258749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6.9870875897282264E-9</c:v>
                </c:pt>
                <c:pt idx="3">
                  <c:v>6.9870875897282264E-9</c:v>
                </c:pt>
                <c:pt idx="4">
                  <c:v>5.7554661260007387E-8</c:v>
                </c:pt>
                <c:pt idx="5">
                  <c:v>5.7554661260007387E-8</c:v>
                </c:pt>
                <c:pt idx="6">
                  <c:v>1.3070824962250988E-7</c:v>
                </c:pt>
                <c:pt idx="7">
                  <c:v>1.3070824962250988E-7</c:v>
                </c:pt>
                <c:pt idx="8">
                  <c:v>2.1348536198356004E-7</c:v>
                </c:pt>
                <c:pt idx="9">
                  <c:v>2.1348536198356004E-7</c:v>
                </c:pt>
                <c:pt idx="10">
                  <c:v>3.0084420283930921E-7</c:v>
                </c:pt>
                <c:pt idx="11">
                  <c:v>3.0084420283930921E-7</c:v>
                </c:pt>
                <c:pt idx="12">
                  <c:v>3.9047667822867047E-7</c:v>
                </c:pt>
                <c:pt idx="13">
                  <c:v>3.9047667822867047E-7</c:v>
                </c:pt>
                <c:pt idx="14">
                  <c:v>4.8123217666459527E-7</c:v>
                </c:pt>
                <c:pt idx="15">
                  <c:v>4.8123217666459527E-7</c:v>
                </c:pt>
                <c:pt idx="16">
                  <c:v>5.7251638522518324E-7</c:v>
                </c:pt>
                <c:pt idx="17">
                  <c:v>5.7251638522518324E-7</c:v>
                </c:pt>
                <c:pt idx="18">
                  <c:v>6.6402474343586525E-7</c:v>
                </c:pt>
                <c:pt idx="19">
                  <c:v>6.6402474343586525E-7</c:v>
                </c:pt>
                <c:pt idx="20">
                  <c:v>7.5561074629521007E-7</c:v>
                </c:pt>
                <c:pt idx="21">
                  <c:v>7.5561074629521007E-7</c:v>
                </c:pt>
                <c:pt idx="22">
                  <c:v>8.4721466595479265E-7</c:v>
                </c:pt>
                <c:pt idx="23">
                  <c:v>8.4721466595479265E-7</c:v>
                </c:pt>
                <c:pt idx="24">
                  <c:v>9.3882058207187904E-7</c:v>
                </c:pt>
                <c:pt idx="25">
                  <c:v>9.3882058207187904E-7</c:v>
                </c:pt>
                <c:pt idx="26">
                  <c:v>1.0304245017314616E-6</c:v>
                </c:pt>
                <c:pt idx="27">
                  <c:v>1.0304245017314616E-6</c:v>
                </c:pt>
                <c:pt idx="28">
                  <c:v>1.1220105045908063E-6</c:v>
                </c:pt>
                <c:pt idx="29">
                  <c:v>1.1220105045908063E-6</c:v>
                </c:pt>
                <c:pt idx="30">
                  <c:v>1.2135188628014885E-6</c:v>
                </c:pt>
                <c:pt idx="31">
                  <c:v>1.2135188628014885E-6</c:v>
                </c:pt>
                <c:pt idx="32">
                  <c:v>1.3048030713620765E-6</c:v>
                </c:pt>
                <c:pt idx="33">
                  <c:v>1.3048030713620765E-6</c:v>
                </c:pt>
                <c:pt idx="34">
                  <c:v>1.3955585697980012E-6</c:v>
                </c:pt>
                <c:pt idx="35">
                  <c:v>1.3955585697980012E-6</c:v>
                </c:pt>
                <c:pt idx="36">
                  <c:v>1.4851910451873624E-6</c:v>
                </c:pt>
                <c:pt idx="37">
                  <c:v>1.4851910451873624E-6</c:v>
                </c:pt>
                <c:pt idx="38">
                  <c:v>1.5725498860431115E-6</c:v>
                </c:pt>
                <c:pt idx="39">
                  <c:v>1.5725498860431115E-6</c:v>
                </c:pt>
                <c:pt idx="40">
                  <c:v>1.6553269984041617E-6</c:v>
                </c:pt>
                <c:pt idx="41">
                  <c:v>1.6553269984041617E-6</c:v>
                </c:pt>
                <c:pt idx="42">
                  <c:v>1.7284805867666643E-6</c:v>
                </c:pt>
                <c:pt idx="43">
                  <c:v>1.7284805867666643E-6</c:v>
                </c:pt>
                <c:pt idx="44">
                  <c:v>1.7790481604369435E-6</c:v>
                </c:pt>
                <c:pt idx="45">
                  <c:v>1.7790481604369435E-6</c:v>
                </c:pt>
                <c:pt idx="46">
                  <c:v>1.7860352480266717E-6</c:v>
                </c:pt>
                <c:pt idx="47">
                  <c:v>1.7860352480266717E-6</c:v>
                </c:pt>
                <c:pt idx="48">
                  <c:v>1.7860352480266717E-6</c:v>
                </c:pt>
                <c:pt idx="49">
                  <c:v>1.7860352480266717E-6</c:v>
                </c:pt>
                <c:pt idx="50">
                  <c:v>1.7860352480266717E-6</c:v>
                </c:pt>
                <c:pt idx="51">
                  <c:v>1.7860352480266717E-6</c:v>
                </c:pt>
                <c:pt idx="52">
                  <c:v>1.7860352480266717E-6</c:v>
                </c:pt>
                <c:pt idx="53">
                  <c:v>1.7860352480266717E-6</c:v>
                </c:pt>
                <c:pt idx="54">
                  <c:v>1.7860352480266717E-6</c:v>
                </c:pt>
                <c:pt idx="55">
                  <c:v>1.7860352480266717E-6</c:v>
                </c:pt>
                <c:pt idx="56">
                  <c:v>1.7860352480266717E-6</c:v>
                </c:pt>
                <c:pt idx="57">
                  <c:v>1.7860352480266717E-6</c:v>
                </c:pt>
                <c:pt idx="58">
                  <c:v>1.7860352480266717E-6</c:v>
                </c:pt>
                <c:pt idx="59">
                  <c:v>1.7860352480266717E-6</c:v>
                </c:pt>
                <c:pt idx="60">
                  <c:v>1.7860352480266717E-6</c:v>
                </c:pt>
                <c:pt idx="61">
                  <c:v>1.7860352480266717E-6</c:v>
                </c:pt>
                <c:pt idx="62">
                  <c:v>1.7860352480266717E-6</c:v>
                </c:pt>
                <c:pt idx="63">
                  <c:v>1.7860352480266717E-6</c:v>
                </c:pt>
                <c:pt idx="64">
                  <c:v>1.7860352480266717E-6</c:v>
                </c:pt>
                <c:pt idx="65">
                  <c:v>1.7860352480266717E-6</c:v>
                </c:pt>
                <c:pt idx="66">
                  <c:v>1.7860352480266717E-6</c:v>
                </c:pt>
                <c:pt idx="67">
                  <c:v>1.7860352480266717E-6</c:v>
                </c:pt>
                <c:pt idx="68">
                  <c:v>1.7860352480266717E-6</c:v>
                </c:pt>
                <c:pt idx="69">
                  <c:v>1.7860352480266717E-6</c:v>
                </c:pt>
                <c:pt idx="70">
                  <c:v>1.7860352480266717E-6</c:v>
                </c:pt>
                <c:pt idx="71">
                  <c:v>1.7860352480266717E-6</c:v>
                </c:pt>
                <c:pt idx="72">
                  <c:v>1.7860352480266717E-6</c:v>
                </c:pt>
                <c:pt idx="73">
                  <c:v>1.7860352480266717E-6</c:v>
                </c:pt>
                <c:pt idx="74">
                  <c:v>1.7860352480266717E-6</c:v>
                </c:pt>
                <c:pt idx="75">
                  <c:v>1.7860352480266717E-6</c:v>
                </c:pt>
                <c:pt idx="76">
                  <c:v>1.7860352480266717E-6</c:v>
                </c:pt>
                <c:pt idx="77">
                  <c:v>1.7860352480266717E-6</c:v>
                </c:pt>
                <c:pt idx="78">
                  <c:v>1.7860352480266717E-6</c:v>
                </c:pt>
                <c:pt idx="79">
                  <c:v>1.7860352480266717E-6</c:v>
                </c:pt>
                <c:pt idx="80">
                  <c:v>1.7860352480266717E-6</c:v>
                </c:pt>
                <c:pt idx="81">
                  <c:v>1.7860352480266717E-6</c:v>
                </c:pt>
                <c:pt idx="82">
                  <c:v>1.7860352480266717E-6</c:v>
                </c:pt>
                <c:pt idx="83">
                  <c:v>1.7860352480266717E-6</c:v>
                </c:pt>
                <c:pt idx="84">
                  <c:v>1.7860352480266717E-6</c:v>
                </c:pt>
                <c:pt idx="85">
                  <c:v>1.7860352480266717E-6</c:v>
                </c:pt>
                <c:pt idx="86">
                  <c:v>1.7860352480266717E-6</c:v>
                </c:pt>
                <c:pt idx="87">
                  <c:v>1.7860352480266717E-6</c:v>
                </c:pt>
                <c:pt idx="88">
                  <c:v>1.7860352480266717E-6</c:v>
                </c:pt>
                <c:pt idx="89">
                  <c:v>1.7860352480266717E-6</c:v>
                </c:pt>
                <c:pt idx="90">
                  <c:v>1.7860352480266717E-6</c:v>
                </c:pt>
                <c:pt idx="91">
                  <c:v>1.7860352480266717E-6</c:v>
                </c:pt>
                <c:pt idx="92">
                  <c:v>1.7860352480266717E-6</c:v>
                </c:pt>
                <c:pt idx="93">
                  <c:v>1.7860352480266717E-6</c:v>
                </c:pt>
                <c:pt idx="94">
                  <c:v>1.7823492820038304E-6</c:v>
                </c:pt>
                <c:pt idx="95">
                  <c:v>1.7823492820038304E-6</c:v>
                </c:pt>
                <c:pt idx="96">
                  <c:v>1.7556728798530699E-6</c:v>
                </c:pt>
                <c:pt idx="97">
                  <c:v>1.7556728798530699E-6</c:v>
                </c:pt>
                <c:pt idx="98">
                  <c:v>1.7170814585075711E-6</c:v>
                </c:pt>
                <c:pt idx="99">
                  <c:v>1.7170814585075711E-6</c:v>
                </c:pt>
                <c:pt idx="100">
                  <c:v>1.6734132462927559E-6</c:v>
                </c:pt>
                <c:pt idx="101">
                  <c:v>1.6734132462927559E-6</c:v>
                </c:pt>
                <c:pt idx="102">
                  <c:v>1.6273279904470335E-6</c:v>
                </c:pt>
                <c:pt idx="103">
                  <c:v>1.6273279904470335E-6</c:v>
                </c:pt>
                <c:pt idx="104">
                  <c:v>1.5800433021437054E-6</c:v>
                </c:pt>
                <c:pt idx="105">
                  <c:v>1.5800433021437054E-6</c:v>
                </c:pt>
                <c:pt idx="106">
                  <c:v>1.5321661746102485E-6</c:v>
                </c:pt>
                <c:pt idx="107">
                  <c:v>1.5321661746102485E-6</c:v>
                </c:pt>
                <c:pt idx="108">
                  <c:v>1.4840101315013943E-6</c:v>
                </c:pt>
                <c:pt idx="109">
                  <c:v>1.4840101315013943E-6</c:v>
                </c:pt>
                <c:pt idx="110">
                  <c:v>1.4357358405555597E-6</c:v>
                </c:pt>
                <c:pt idx="111">
                  <c:v>1.4357358405555597E-6</c:v>
                </c:pt>
                <c:pt idx="112">
                  <c:v>1.3874205889758196E-6</c:v>
                </c:pt>
                <c:pt idx="113">
                  <c:v>1.3874205889758196E-6</c:v>
                </c:pt>
                <c:pt idx="114">
                  <c:v>1.3390958855728321E-6</c:v>
                </c:pt>
                <c:pt idx="115">
                  <c:v>1.3390958855728321E-6</c:v>
                </c:pt>
                <c:pt idx="116">
                  <c:v>1.3048801943180231E-6</c:v>
                </c:pt>
                <c:pt idx="117">
                  <c:v>1.3048801943180231E-6</c:v>
                </c:pt>
                <c:pt idx="118">
                  <c:v>1.2747867412471768E-6</c:v>
                </c:pt>
                <c:pt idx="119">
                  <c:v>1.2747867412471768E-6</c:v>
                </c:pt>
                <c:pt idx="120">
                  <c:v>1.2351030637209187E-6</c:v>
                </c:pt>
                <c:pt idx="121">
                  <c:v>1.2351030637209187E-6</c:v>
                </c:pt>
                <c:pt idx="122">
                  <c:v>1.1963381169359111E-6</c:v>
                </c:pt>
                <c:pt idx="123">
                  <c:v>1.1963381169359111E-6</c:v>
                </c:pt>
                <c:pt idx="124">
                  <c:v>1.158929795454588E-6</c:v>
                </c:pt>
                <c:pt idx="125">
                  <c:v>1.158929795454588E-6</c:v>
                </c:pt>
                <c:pt idx="126">
                  <c:v>1.1233026335459727E-6</c:v>
                </c:pt>
                <c:pt idx="127">
                  <c:v>1.1233026335459727E-6</c:v>
                </c:pt>
                <c:pt idx="128">
                  <c:v>1.0898841998595611E-6</c:v>
                </c:pt>
                <c:pt idx="129">
                  <c:v>1.0898841998595611E-6</c:v>
                </c:pt>
                <c:pt idx="130">
                  <c:v>1.059142670671897E-6</c:v>
                </c:pt>
                <c:pt idx="131">
                  <c:v>1.059142670671897E-6</c:v>
                </c:pt>
                <c:pt idx="132">
                  <c:v>1.031652525498408E-6</c:v>
                </c:pt>
                <c:pt idx="133">
                  <c:v>1.031652525498408E-6</c:v>
                </c:pt>
                <c:pt idx="134">
                  <c:v>1.008192924655697E-6</c:v>
                </c:pt>
                <c:pt idx="135">
                  <c:v>1.008192924655697E-6</c:v>
                </c:pt>
                <c:pt idx="136">
                  <c:v>9.8987659242335347E-7</c:v>
                </c:pt>
                <c:pt idx="137">
                  <c:v>9.8987659242335347E-7</c:v>
                </c:pt>
                <c:pt idx="138">
                  <c:v>9.7829472131052888E-7</c:v>
                </c:pt>
                <c:pt idx="139">
                  <c:v>9.7829472131052888E-7</c:v>
                </c:pt>
                <c:pt idx="140">
                  <c:v>9.7564617105585453E-7</c:v>
                </c:pt>
                <c:pt idx="141">
                  <c:v>9.7564617105585453E-7</c:v>
                </c:pt>
                <c:pt idx="142">
                  <c:v>9.8480092294591434E-7</c:v>
                </c:pt>
                <c:pt idx="143">
                  <c:v>9.8480092294591434E-7</c:v>
                </c:pt>
                <c:pt idx="144">
                  <c:v>1.0092359472319173E-6</c:v>
                </c:pt>
                <c:pt idx="145">
                  <c:v>1.0092359472319173E-6</c:v>
                </c:pt>
                <c:pt idx="146">
                  <c:v>1.0527861971414068E-6</c:v>
                </c:pt>
                <c:pt idx="147">
                  <c:v>1.0527861971414068E-6</c:v>
                </c:pt>
                <c:pt idx="148">
                  <c:v>1.1191825644569877E-6</c:v>
                </c:pt>
                <c:pt idx="149">
                  <c:v>1.1191825644569877E-6</c:v>
                </c:pt>
                <c:pt idx="150">
                  <c:v>1.2114034040902831E-6</c:v>
                </c:pt>
                <c:pt idx="151">
                  <c:v>1.2114034040902831E-6</c:v>
                </c:pt>
                <c:pt idx="152">
                  <c:v>1.330936127744966E-6</c:v>
                </c:pt>
                <c:pt idx="153">
                  <c:v>1.330936127744966E-6</c:v>
                </c:pt>
                <c:pt idx="154">
                  <c:v>1.4771080970211596E-6</c:v>
                </c:pt>
                <c:pt idx="155">
                  <c:v>1.4771080970211596E-6</c:v>
                </c:pt>
                <c:pt idx="156">
                  <c:v>1.6466739863734163E-6</c:v>
                </c:pt>
                <c:pt idx="157">
                  <c:v>1.6466739863734163E-6</c:v>
                </c:pt>
                <c:pt idx="158">
                  <c:v>1.8338187930522342E-6</c:v>
                </c:pt>
                <c:pt idx="159">
                  <c:v>1.8338187930522342E-6</c:v>
                </c:pt>
                <c:pt idx="160">
                  <c:v>1.9810192291171429E-6</c:v>
                </c:pt>
                <c:pt idx="161">
                  <c:v>1.9810192291171429E-6</c:v>
                </c:pt>
                <c:pt idx="162">
                  <c:v>2.0823394542220977E-6</c:v>
                </c:pt>
                <c:pt idx="163">
                  <c:v>2.0823394542220977E-6</c:v>
                </c:pt>
                <c:pt idx="164">
                  <c:v>2.2031849623988735E-6</c:v>
                </c:pt>
                <c:pt idx="165">
                  <c:v>2.2031849623988735E-6</c:v>
                </c:pt>
                <c:pt idx="166">
                  <c:v>2.3240068344164358E-6</c:v>
                </c:pt>
                <c:pt idx="167">
                  <c:v>2.3240068344164358E-6</c:v>
                </c:pt>
                <c:pt idx="168">
                  <c:v>2.4447262762425861E-6</c:v>
                </c:pt>
                <c:pt idx="169">
                  <c:v>2.4447262762425861E-6</c:v>
                </c:pt>
                <c:pt idx="170">
                  <c:v>2.5651500158927381E-6</c:v>
                </c:pt>
                <c:pt idx="171">
                  <c:v>2.5651500158927381E-6</c:v>
                </c:pt>
                <c:pt idx="172">
                  <c:v>2.6848762718115108E-6</c:v>
                </c:pt>
                <c:pt idx="173">
                  <c:v>2.6848762718115108E-6</c:v>
                </c:pt>
                <c:pt idx="174">
                  <c:v>2.803121015899125E-6</c:v>
                </c:pt>
                <c:pt idx="175">
                  <c:v>2.803121015899125E-6</c:v>
                </c:pt>
                <c:pt idx="176">
                  <c:v>2.9183663411666309E-6</c:v>
                </c:pt>
                <c:pt idx="177">
                  <c:v>2.9183663411666309E-6</c:v>
                </c:pt>
                <c:pt idx="178">
                  <c:v>3.0275673693087792E-6</c:v>
                </c:pt>
                <c:pt idx="179">
                  <c:v>3.0275673693087792E-6</c:v>
                </c:pt>
                <c:pt idx="180">
                  <c:v>3.1240728746787833E-6</c:v>
                </c:pt>
                <c:pt idx="181">
                  <c:v>3.1240728746787833E-6</c:v>
                </c:pt>
                <c:pt idx="182">
                  <c:v>3.1907825106873794E-6</c:v>
                </c:pt>
                <c:pt idx="183">
                  <c:v>3.1907825106873794E-6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3.1955803682416796E-6</c:v>
                </c:pt>
                <c:pt idx="187">
                  <c:v>3.1955803682416796E-6</c:v>
                </c:pt>
                <c:pt idx="188">
                  <c:v>3.1635942149747698E-6</c:v>
                </c:pt>
                <c:pt idx="189">
                  <c:v>3.1635942149747698E-6</c:v>
                </c:pt>
                <c:pt idx="190">
                  <c:v>3.1173214413462679E-6</c:v>
                </c:pt>
                <c:pt idx="191">
                  <c:v>3.1173214413462679E-6</c:v>
                </c:pt>
                <c:pt idx="192">
                  <c:v>3.0649613771629046E-6</c:v>
                </c:pt>
                <c:pt idx="193">
                  <c:v>3.0649613771629046E-6</c:v>
                </c:pt>
                <c:pt idx="194">
                  <c:v>3.0097031737329488E-6</c:v>
                </c:pt>
                <c:pt idx="195">
                  <c:v>3.0097031737329488E-6</c:v>
                </c:pt>
                <c:pt idx="196">
                  <c:v>2.9530067992105996E-6</c:v>
                </c:pt>
                <c:pt idx="197">
                  <c:v>2.9530067992105996E-6</c:v>
                </c:pt>
                <c:pt idx="198">
                  <c:v>2.8956000645763755E-6</c:v>
                </c:pt>
                <c:pt idx="199">
                  <c:v>2.8956000645763755E-6</c:v>
                </c:pt>
                <c:pt idx="200">
                  <c:v>2.8378588981738511E-6</c:v>
                </c:pt>
                <c:pt idx="201">
                  <c:v>2.8378588981738511E-6</c:v>
                </c:pt>
                <c:pt idx="202">
                  <c:v>2.779975947530117E-6</c:v>
                </c:pt>
                <c:pt idx="203">
                  <c:v>2.779975947530117E-6</c:v>
                </c:pt>
                <c:pt idx="204">
                  <c:v>2.7220438833250188E-6</c:v>
                </c:pt>
                <c:pt idx="205">
                  <c:v>2.7220438833250188E-6</c:v>
                </c:pt>
                <c:pt idx="206">
                  <c:v>2.6641004859774172E-6</c:v>
                </c:pt>
                <c:pt idx="207">
                  <c:v>2.6641004859774172E-6</c:v>
                </c:pt>
                <c:pt idx="208">
                  <c:v>2.6061558257850508E-6</c:v>
                </c:pt>
                <c:pt idx="209">
                  <c:v>2.6061558257850508E-6</c:v>
                </c:pt>
                <c:pt idx="210">
                  <c:v>2.5482124284374491E-6</c:v>
                </c:pt>
                <c:pt idx="211">
                  <c:v>2.5482124284374491E-6</c:v>
                </c:pt>
                <c:pt idx="212">
                  <c:v>2.4902803642323509E-6</c:v>
                </c:pt>
                <c:pt idx="213">
                  <c:v>2.4902803642323509E-6</c:v>
                </c:pt>
                <c:pt idx="214">
                  <c:v>2.4323974135886168E-6</c:v>
                </c:pt>
                <c:pt idx="215">
                  <c:v>2.4323974135886168E-6</c:v>
                </c:pt>
                <c:pt idx="216">
                  <c:v>2.374656247186092E-6</c:v>
                </c:pt>
                <c:pt idx="217">
                  <c:v>2.374656247186092E-6</c:v>
                </c:pt>
                <c:pt idx="218">
                  <c:v>2.3172495125518683E-6</c:v>
                </c:pt>
                <c:pt idx="219">
                  <c:v>2.3172495125518683E-6</c:v>
                </c:pt>
                <c:pt idx="220">
                  <c:v>2.2605531380295192E-6</c:v>
                </c:pt>
                <c:pt idx="221">
                  <c:v>2.2605531380295192E-6</c:v>
                </c:pt>
                <c:pt idx="222">
                  <c:v>2.2052949345995633E-6</c:v>
                </c:pt>
                <c:pt idx="223">
                  <c:v>2.2052949345995633E-6</c:v>
                </c:pt>
                <c:pt idx="224">
                  <c:v>2.1529348704162E-6</c:v>
                </c:pt>
                <c:pt idx="225">
                  <c:v>2.1529348704162E-6</c:v>
                </c:pt>
                <c:pt idx="226">
                  <c:v>2.1066620967876981E-6</c:v>
                </c:pt>
                <c:pt idx="227">
                  <c:v>2.1066620967876981E-6</c:v>
                </c:pt>
                <c:pt idx="228">
                  <c:v>2.0746759435207884E-6</c:v>
                </c:pt>
                <c:pt idx="229">
                  <c:v>2.0746759435207884E-6</c:v>
                </c:pt>
                <c:pt idx="230">
                  <c:v>2.0702563117624681E-6</c:v>
                </c:pt>
                <c:pt idx="231">
                  <c:v>2.0702563117624681E-6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  <c:pt idx="279">
                  <c:v>0.13269911931299999</c:v>
                </c:pt>
                <c:pt idx="280">
                  <c:v>0.134026110506</c:v>
                </c:pt>
                <c:pt idx="281">
                  <c:v>0.13536637161100001</c:v>
                </c:pt>
                <c:pt idx="282">
                  <c:v>0.136720035327</c:v>
                </c:pt>
                <c:pt idx="283">
                  <c:v>0.13808723568</c:v>
                </c:pt>
                <c:pt idx="284">
                  <c:v>0.13946810803699999</c:v>
                </c:pt>
                <c:pt idx="285">
                  <c:v>0.14086278911700001</c:v>
                </c:pt>
                <c:pt idx="286">
                  <c:v>0.14227141700900001</c:v>
                </c:pt>
                <c:pt idx="287">
                  <c:v>0.14369413117900001</c:v>
                </c:pt>
                <c:pt idx="288">
                  <c:v>0.14513107249099999</c:v>
                </c:pt>
                <c:pt idx="289">
                  <c:v>0.146582383215</c:v>
                </c:pt>
                <c:pt idx="290">
                  <c:v>0.14804820704800001</c:v>
                </c:pt>
                <c:pt idx="291">
                  <c:v>0.14952868911799999</c:v>
                </c:pt>
                <c:pt idx="292">
                  <c:v>0.151023976009</c:v>
                </c:pt>
                <c:pt idx="293">
                  <c:v>0.152534215769</c:v>
                </c:pt>
                <c:pt idx="294">
                  <c:v>0.15405955792699999</c:v>
                </c:pt>
                <c:pt idx="295">
                  <c:v>0.15560015350600001</c:v>
                </c:pt>
                <c:pt idx="296">
                  <c:v>0.157156155041</c:v>
                </c:pt>
                <c:pt idx="297">
                  <c:v>0.158727716592</c:v>
                </c:pt>
                <c:pt idx="298">
                  <c:v>0.16031499375800001</c:v>
                </c:pt>
                <c:pt idx="299">
                  <c:v>0.16191814369499999</c:v>
                </c:pt>
                <c:pt idx="300">
                  <c:v>0.16353732513200001</c:v>
                </c:pt>
                <c:pt idx="301">
                  <c:v>0.16517269838400001</c:v>
                </c:pt>
                <c:pt idx="302">
                  <c:v>0.16682442536700001</c:v>
                </c:pt>
                <c:pt idx="303">
                  <c:v>0.16849266962100001</c:v>
                </c:pt>
                <c:pt idx="304">
                  <c:v>0.170177596317</c:v>
                </c:pt>
                <c:pt idx="305">
                  <c:v>0.17187937228</c:v>
                </c:pt>
                <c:pt idx="306">
                  <c:v>0.17359816600299999</c:v>
                </c:pt>
                <c:pt idx="307">
                  <c:v>0.17533414766300001</c:v>
                </c:pt>
                <c:pt idx="308">
                  <c:v>0.17708748914</c:v>
                </c:pt>
                <c:pt idx="309">
                  <c:v>0.178858364031</c:v>
                </c:pt>
                <c:pt idx="310">
                  <c:v>0.18064694767200001</c:v>
                </c:pt>
                <c:pt idx="311">
                  <c:v>0.18245341714800001</c:v>
                </c:pt>
                <c:pt idx="312">
                  <c:v>0.18427795131999999</c:v>
                </c:pt>
                <c:pt idx="313">
                  <c:v>0.18612073083299999</c:v>
                </c:pt>
                <c:pt idx="314">
                  <c:v>0.187981938141</c:v>
                </c:pt>
                <c:pt idx="315">
                  <c:v>0.189861757523</c:v>
                </c:pt>
                <c:pt idx="316">
                  <c:v>0.19176037509800001</c:v>
                </c:pt>
                <c:pt idx="317">
                  <c:v>0.19367797884900001</c:v>
                </c:pt>
                <c:pt idx="318">
                  <c:v>0.19561475863700001</c:v>
                </c:pt>
                <c:pt idx="319">
                  <c:v>0.197570906224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4.6397209023274861E-9</c:v>
                </c:pt>
                <c:pt idx="1">
                  <c:v>4.8264686790332629E-9</c:v>
                </c:pt>
                <c:pt idx="2">
                  <c:v>5.020514420692755E-9</c:v>
                </c:pt>
                <c:pt idx="3">
                  <c:v>5.2220867166373185E-9</c:v>
                </c:pt>
                <c:pt idx="4">
                  <c:v>5.4314074390109858E-9</c:v>
                </c:pt>
                <c:pt idx="5">
                  <c:v>5.6486817195820304E-9</c:v>
                </c:pt>
                <c:pt idx="6">
                  <c:v>5.8740843433818749E-9</c:v>
                </c:pt>
                <c:pt idx="7">
                  <c:v>6.1077417611787855E-9</c:v>
                </c:pt>
                <c:pt idx="8">
                  <c:v>6.3497040738303254E-9</c:v>
                </c:pt>
                <c:pt idx="9">
                  <c:v>6.599899243761899E-9</c:v>
                </c:pt>
                <c:pt idx="10">
                  <c:v>6.85805549295085E-9</c:v>
                </c:pt>
                <c:pt idx="11">
                  <c:v>7.1235641755770249E-9</c:v>
                </c:pt>
                <c:pt idx="12">
                  <c:v>7.3952228359578532E-9</c:v>
                </c:pt>
                <c:pt idx="13">
                  <c:v>7.6707169075159322E-9</c:v>
                </c:pt>
                <c:pt idx="14">
                  <c:v>7.9454743193902187E-9</c:v>
                </c:pt>
                <c:pt idx="15">
                  <c:v>8.2099235169645123E-9</c:v>
                </c:pt>
                <c:pt idx="16">
                  <c:v>8.4436743958973345E-9</c:v>
                </c:pt>
                <c:pt idx="17">
                  <c:v>8.6059298968865421E-9</c:v>
                </c:pt>
                <c:pt idx="18">
                  <c:v>8.6331298311683345E-9</c:v>
                </c:pt>
                <c:pt idx="19">
                  <c:v>8.4305028575301153E-9</c:v>
                </c:pt>
                <c:pt idx="20">
                  <c:v>7.8071706026385256E-9</c:v>
                </c:pt>
                <c:pt idx="21">
                  <c:v>6.5480221390610622E-9</c:v>
                </c:pt>
                <c:pt idx="22">
                  <c:v>4.8883831221098233E-9</c:v>
                </c:pt>
                <c:pt idx="23">
                  <c:v>3.5608931169708467E-9</c:v>
                </c:pt>
                <c:pt idx="24">
                  <c:v>2.9602009253998228E-9</c:v>
                </c:pt>
                <c:pt idx="25">
                  <c:v>2.8514337753191477E-9</c:v>
                </c:pt>
                <c:pt idx="26">
                  <c:v>2.8940644761164333E-9</c:v>
                </c:pt>
                <c:pt idx="27">
                  <c:v>2.9340703125853128E-9</c:v>
                </c:pt>
                <c:pt idx="28">
                  <c:v>2.9367443800851388E-9</c:v>
                </c:pt>
                <c:pt idx="29">
                  <c:v>2.9000191914297333E-9</c:v>
                </c:pt>
                <c:pt idx="30">
                  <c:v>2.8278238575564668E-9</c:v>
                </c:pt>
                <c:pt idx="31">
                  <c:v>2.7244097029275936E-9</c:v>
                </c:pt>
                <c:pt idx="32">
                  <c:v>2.594085377999037E-9</c:v>
                </c:pt>
                <c:pt idx="33">
                  <c:v>2.4412816339066509E-9</c:v>
                </c:pt>
                <c:pt idx="34">
                  <c:v>2.2706183854884348E-9</c:v>
                </c:pt>
                <c:pt idx="35">
                  <c:v>2.086921602614745E-9</c:v>
                </c:pt>
                <c:pt idx="36">
                  <c:v>1.895185477937357E-9</c:v>
                </c:pt>
                <c:pt idx="37">
                  <c:v>1.7004869572907803E-9</c:v>
                </c:pt>
                <c:pt idx="38">
                  <c:v>1.5078637394319045E-9</c:v>
                </c:pt>
                <c:pt idx="39">
                  <c:v>1.3221688586324596E-9</c:v>
                </c:pt>
                <c:pt idx="40">
                  <c:v>1.1479159042176697E-9</c:v>
                </c:pt>
                <c:pt idx="41">
                  <c:v>9.8912878484363365E-10</c:v>
                </c:pt>
                <c:pt idx="42">
                  <c:v>8.4920860155155299E-10</c:v>
                </c:pt>
                <c:pt idx="43">
                  <c:v>7.308277419407415E-10</c:v>
                </c:pt>
                <c:pt idx="44">
                  <c:v>6.3585804588223506E-10</c:v>
                </c:pt>
                <c:pt idx="45">
                  <c:v>5.6509611610307647E-10</c:v>
                </c:pt>
                <c:pt idx="46">
                  <c:v>5.1927743540675215E-10</c:v>
                </c:pt>
                <c:pt idx="47">
                  <c:v>4.9751532344090249E-10</c:v>
                </c:pt>
                <c:pt idx="48">
                  <c:v>4.9848424513330058E-10</c:v>
                </c:pt>
                <c:pt idx="49">
                  <c:v>5.2021310009439492E-10</c:v>
                </c:pt>
                <c:pt idx="50">
                  <c:v>5.6018634316222012E-10</c:v>
                </c:pt>
                <c:pt idx="51">
                  <c:v>6.1545364159110213E-10</c:v>
                </c:pt>
                <c:pt idx="52">
                  <c:v>6.8274271641949069E-10</c:v>
                </c:pt>
                <c:pt idx="53">
                  <c:v>7.5857127237703374E-10</c:v>
                </c:pt>
                <c:pt idx="54">
                  <c:v>8.3935520845650843E-10</c:v>
                </c:pt>
                <c:pt idx="55">
                  <c:v>9.2151145485843633E-10</c:v>
                </c:pt>
                <c:pt idx="56">
                  <c:v>1.0015546735872925E-9</c:v>
                </c:pt>
                <c:pt idx="57">
                  <c:v>1.076187648488982E-9</c:v>
                </c:pt>
                <c:pt idx="58">
                  <c:v>1.1423854511916145E-9</c:v>
                </c:pt>
                <c:pt idx="59">
                  <c:v>1.1974734333153161E-9</c:v>
                </c:pt>
                <c:pt idx="60">
                  <c:v>1.239198811832128E-9</c:v>
                </c:pt>
                <c:pt idx="61">
                  <c:v>1.2657951411930905E-9</c:v>
                </c:pt>
                <c:pt idx="62">
                  <c:v>1.2760383840172683E-9</c:v>
                </c:pt>
                <c:pt idx="63">
                  <c:v>1.269292680948011E-9</c:v>
                </c:pt>
                <c:pt idx="64">
                  <c:v>1.24554336736093E-9</c:v>
                </c:pt>
                <c:pt idx="65">
                  <c:v>1.2054143802666577E-9</c:v>
                </c:pt>
                <c:pt idx="66">
                  <c:v>1.1501670270948989E-9</c:v>
                </c:pt>
                <c:pt idx="67">
                  <c:v>1.0816772278115283E-9</c:v>
                </c:pt>
                <c:pt idx="68">
                  <c:v>1.0023888440998761E-9</c:v>
                </c:pt>
                <c:pt idx="69">
                  <c:v>9.1524160276609158E-10</c:v>
                </c:pt>
                <c:pt idx="70">
                  <c:v>8.2357338761975065E-10</c:v>
                </c:pt>
                <c:pt idx="71">
                  <c:v>7.3099825190358208E-10</c:v>
                </c:pt>
                <c:pt idx="72">
                  <c:v>6.4126328292815252E-10</c:v>
                </c:pt>
                <c:pt idx="73">
                  <c:v>5.5808927476772061E-10</c:v>
                </c:pt>
                <c:pt idx="74">
                  <c:v>4.8500186405820102E-10</c:v>
                </c:pt>
                <c:pt idx="75">
                  <c:v>4.2516116595473112E-10</c:v>
                </c:pt>
                <c:pt idx="76">
                  <c:v>3.811988533500599E-10</c:v>
                </c:pt>
                <c:pt idx="77">
                  <c:v>3.5507193600948463E-10</c:v>
                </c:pt>
                <c:pt idx="78">
                  <c:v>3.4794215787422135E-10</c:v>
                </c:pt>
                <c:pt idx="79">
                  <c:v>3.6008895949549367E-10</c:v>
                </c:pt>
                <c:pt idx="80">
                  <c:v>3.9086242869590515E-10</c:v>
                </c:pt>
                <c:pt idx="81">
                  <c:v>4.3868072067820273E-10</c:v>
                </c:pt>
                <c:pt idx="82">
                  <c:v>5.0107422763121222E-10</c:v>
                </c:pt>
                <c:pt idx="83">
                  <c:v>5.7477647769956862E-10</c:v>
                </c:pt>
                <c:pt idx="84">
                  <c:v>6.5585947911398845E-10</c:v>
                </c:pt>
                <c:pt idx="85">
                  <c:v>7.3990909019490884E-10</c:v>
                </c:pt>
                <c:pt idx="86">
                  <c:v>8.2223403910455793E-10</c:v>
                </c:pt>
                <c:pt idx="87">
                  <c:v>8.9810044600633299E-10</c:v>
                </c:pt>
                <c:pt idx="88">
                  <c:v>9.6298209955509012E-10</c:v>
                </c:pt>
                <c:pt idx="89">
                  <c:v>1.0128153017150905E-9</c:v>
                </c:pt>
                <c:pt idx="90">
                  <c:v>1.0442458266071605E-9</c:v>
                </c:pt>
                <c:pt idx="91">
                  <c:v>1.0548545138004046E-9</c:v>
                </c:pt>
                <c:pt idx="92">
                  <c:v>1.0433473538627766E-9</c:v>
                </c:pt>
                <c:pt idx="93">
                  <c:v>1.0096958191906093E-9</c:v>
                </c:pt>
                <c:pt idx="94">
                  <c:v>9.5521388105284703E-10</c:v>
                </c:pt>
                <c:pt idx="95">
                  <c:v>8.8255988354607974E-10</c:v>
                </c:pt>
                <c:pt idx="96">
                  <c:v>7.9565443034549362E-10</c:v>
                </c:pt>
                <c:pt idx="97">
                  <c:v>6.9950978957123102E-10</c:v>
                </c:pt>
                <c:pt idx="98">
                  <c:v>5.999719988713328E-10</c:v>
                </c:pt>
                <c:pt idx="99">
                  <c:v>5.0338360405232575E-10</c:v>
                </c:pt>
                <c:pt idx="100">
                  <c:v>4.161823264044264E-10</c:v>
                </c:pt>
                <c:pt idx="101">
                  <c:v>3.4445825529109442E-10</c:v>
                </c:pt>
                <c:pt idx="102">
                  <c:v>2.9349859781402793E-10</c:v>
                </c:pt>
                <c:pt idx="103">
                  <c:v>2.6735374872778853E-10</c:v>
                </c:pt>
                <c:pt idx="104">
                  <c:v>2.6846071409102798E-10</c:v>
                </c:pt>
                <c:pt idx="105">
                  <c:v>2.9735919255678653E-10</c:v>
                </c:pt>
                <c:pt idx="106">
                  <c:v>3.5253164050252389E-10</c:v>
                </c:pt>
                <c:pt idx="107">
                  <c:v>4.3039151527470087E-10</c:v>
                </c:pt>
                <c:pt idx="108">
                  <c:v>5.2543401899995904E-10</c:v>
                </c:pt>
                <c:pt idx="109">
                  <c:v>6.3055172298703829E-10</c:v>
                </c:pt>
                <c:pt idx="110">
                  <c:v>7.3750426422358849E-10</c:v>
                </c:pt>
                <c:pt idx="111">
                  <c:v>8.3751777351092366E-10</c:v>
                </c:pt>
                <c:pt idx="112">
                  <c:v>9.2197671802155274E-10</c:v>
                </c:pt>
                <c:pt idx="113">
                  <c:v>9.8315932168836912E-10</c:v>
                </c:pt>
                <c:pt idx="114">
                  <c:v>1.0149585742253813E-9</c:v>
                </c:pt>
                <c:pt idx="115">
                  <c:v>1.013525018955497E-9</c:v>
                </c:pt>
                <c:pt idx="116">
                  <c:v>9.7776605410064636E-10</c:v>
                </c:pt>
                <c:pt idx="117">
                  <c:v>9.0964044171456019E-10</c:v>
                </c:pt>
                <c:pt idx="118">
                  <c:v>8.1419701635147155E-10</c:v>
                </c:pt>
                <c:pt idx="119">
                  <c:v>6.9932376978468991E-10</c:v>
                </c:pt>
                <c:pt idx="120">
                  <c:v>5.7519742214239202E-10</c:v>
                </c:pt>
                <c:pt idx="121">
                  <c:v>4.5345314344370731E-10</c:v>
                </c:pt>
                <c:pt idx="122">
                  <c:v>3.4612695297327154E-10</c:v>
                </c:pt>
                <c:pt idx="123">
                  <c:v>2.6445599878706738E-10</c:v>
                </c:pt>
                <c:pt idx="124">
                  <c:v>2.176500534047762E-10</c:v>
                </c:pt>
                <c:pt idx="125">
                  <c:v>2.1176649050569556E-10</c:v>
                </c:pt>
                <c:pt idx="126">
                  <c:v>2.4882655897780844E-10</c:v>
                </c:pt>
                <c:pt idx="127">
                  <c:v>3.2630006590349902E-10</c:v>
                </c:pt>
                <c:pt idx="128">
                  <c:v>4.3705767957306328E-10</c:v>
                </c:pt>
                <c:pt idx="129">
                  <c:v>5.6984630514808501E-10</c:v>
                </c:pt>
                <c:pt idx="130">
                  <c:v>7.1028692720937304E-10</c:v>
                </c:pt>
                <c:pt idx="131">
                  <c:v>8.4233135663282978E-10</c:v>
                </c:pt>
                <c:pt idx="132">
                  <c:v>9.5005113378314477E-10</c:v>
                </c:pt>
                <c:pt idx="133">
                  <c:v>1.0195757630294326E-9</c:v>
                </c:pt>
                <c:pt idx="134">
                  <c:v>1.0409559673420562E-9</c:v>
                </c:pt>
                <c:pt idx="135">
                  <c:v>1.0097078638598206E-9</c:v>
                </c:pt>
                <c:pt idx="136">
                  <c:v>9.2780203994162424E-10</c:v>
                </c:pt>
                <c:pt idx="137">
                  <c:v>8.0390177747124802E-10</c:v>
                </c:pt>
                <c:pt idx="138">
                  <c:v>6.5272840653888982E-10</c:v>
                </c:pt>
                <c:pt idx="139">
                  <c:v>4.9353573646815083E-10</c:v>
                </c:pt>
                <c:pt idx="140">
                  <c:v>3.4780073016162336E-10</c:v>
                </c:pt>
                <c:pt idx="141">
                  <c:v>2.3636890664269561E-10</c:v>
                </c:pt>
                <c:pt idx="142">
                  <c:v>1.7641006189641366E-10</c:v>
                </c:pt>
                <c:pt idx="143">
                  <c:v>1.7862005574286892E-10</c:v>
                </c:pt>
                <c:pt idx="144">
                  <c:v>2.4512671992978398E-10</c:v>
                </c:pt>
                <c:pt idx="145">
                  <c:v>3.6850816734422665E-10</c:v>
                </c:pt>
                <c:pt idx="146">
                  <c:v>5.3220656486508794E-10</c:v>
                </c:pt>
                <c:pt idx="147">
                  <c:v>7.1242964852950498E-10</c:v>
                </c:pt>
                <c:pt idx="148">
                  <c:v>8.8139883313360804E-10</c:v>
                </c:pt>
                <c:pt idx="149">
                  <c:v>1.0115600900686524E-9</c:v>
                </c:pt>
                <c:pt idx="150">
                  <c:v>1.0803549137747774E-9</c:v>
                </c:pt>
                <c:pt idx="151">
                  <c:v>1.0737146360770153E-9</c:v>
                </c:pt>
                <c:pt idx="152">
                  <c:v>9.9005683612334276E-10</c:v>
                </c:pt>
                <c:pt idx="153">
                  <c:v>8.4100956859270731E-10</c:v>
                </c:pt>
                <c:pt idx="154">
                  <c:v>6.504912589828945E-10</c:v>
                </c:pt>
                <c:pt idx="155">
                  <c:v>4.5133459520105905E-10</c:v>
                </c:pt>
                <c:pt idx="156">
                  <c:v>2.7990817838623378E-10</c:v>
                </c:pt>
                <c:pt idx="157">
                  <c:v>1.6952716370540588E-10</c:v>
                </c:pt>
                <c:pt idx="158">
                  <c:v>1.4380047277541286E-10</c:v>
                </c:pt>
                <c:pt idx="159">
                  <c:v>2.1123931423846567E-10</c:v>
                </c:pt>
                <c:pt idx="160">
                  <c:v>3.6237660724809499E-10</c:v>
                </c:pt>
                <c:pt idx="161">
                  <c:v>5.7029061679660605E-10</c:v>
                </c:pt>
                <c:pt idx="162">
                  <c:v>7.9482021053633704E-10</c:v>
                </c:pt>
                <c:pt idx="163">
                  <c:v>9.8999845454932112E-10</c:v>
                </c:pt>
                <c:pt idx="164">
                  <c:v>1.113461565194605E-9</c:v>
                </c:pt>
                <c:pt idx="165">
                  <c:v>1.1359830972438919E-9</c:v>
                </c:pt>
                <c:pt idx="166">
                  <c:v>1.049002909375923E-9</c:v>
                </c:pt>
                <c:pt idx="167">
                  <c:v>8.681875010062493E-10</c:v>
                </c:pt>
                <c:pt idx="168">
                  <c:v>6.31714610213813E-10</c:v>
                </c:pt>
                <c:pt idx="169">
                  <c:v>3.9305498919845413E-10</c:v>
                </c:pt>
                <c:pt idx="170">
                  <c:v>2.0934209685158691E-10</c:v>
                </c:pt>
                <c:pt idx="171">
                  <c:v>1.2768434548820788E-10</c:v>
                </c:pt>
                <c:pt idx="172">
                  <c:v>1.7263890789219898E-10</c:v>
                </c:pt>
                <c:pt idx="173">
                  <c:v>3.3821884124699116E-10</c:v>
                </c:pt>
                <c:pt idx="174">
                  <c:v>5.8707109038519642E-10</c:v>
                </c:pt>
                <c:pt idx="175">
                  <c:v>8.5788835106790693E-10</c:v>
                </c:pt>
                <c:pt idx="176">
                  <c:v>1.0800027838043899E-9</c:v>
                </c:pt>
                <c:pt idx="177">
                  <c:v>1.191965418758786E-9</c:v>
                </c:pt>
                <c:pt idx="178">
                  <c:v>1.1593522719222978E-9</c:v>
                </c:pt>
                <c:pt idx="179">
                  <c:v>9.8660893243774341E-10</c:v>
                </c:pt>
                <c:pt idx="180">
                  <c:v>7.1877482603533666E-10</c:v>
                </c:pt>
                <c:pt idx="181">
                  <c:v>4.3137211854024735E-10</c:v>
                </c:pt>
                <c:pt idx="182">
                  <c:v>2.1011445797895669E-10</c:v>
                </c:pt>
                <c:pt idx="183">
                  <c:v>1.2549755597017248E-10</c:v>
                </c:pt>
                <c:pt idx="184">
                  <c:v>2.0967608349789535E-10</c:v>
                </c:pt>
                <c:pt idx="185">
                  <c:v>4.4332722626399526E-10</c:v>
                </c:pt>
                <c:pt idx="186">
                  <c:v>7.5797070929537982E-10</c:v>
                </c:pt>
                <c:pt idx="187">
                  <c:v>1.0547733837855288E-9</c:v>
                </c:pt>
                <c:pt idx="188">
                  <c:v>1.2353781709952425E-9</c:v>
                </c:pt>
                <c:pt idx="189">
                  <c:v>1.2355201622929707E-9</c:v>
                </c:pt>
                <c:pt idx="190">
                  <c:v>1.0499552500345878E-9</c:v>
                </c:pt>
                <c:pt idx="191">
                  <c:v>7.3878092887878172E-10</c:v>
                </c:pt>
                <c:pt idx="192">
                  <c:v>4.1067636496713142E-10</c:v>
                </c:pt>
                <c:pt idx="193">
                  <c:v>1.8658687182935864E-10</c:v>
                </c:pt>
                <c:pt idx="194">
                  <c:v>1.5531439383003948E-10</c:v>
                </c:pt>
                <c:pt idx="195">
                  <c:v>3.3720395750464843E-10</c:v>
                </c:pt>
                <c:pt idx="196">
                  <c:v>6.7113419716222966E-10</c:v>
                </c:pt>
                <c:pt idx="197">
                  <c:v>1.033060659329322E-9</c:v>
                </c:pt>
                <c:pt idx="198">
                  <c:v>1.2801893632722776E-9</c:v>
                </c:pt>
                <c:pt idx="199">
                  <c:v>1.3097750108262584E-9</c:v>
                </c:pt>
                <c:pt idx="200">
                  <c:v>1.1043125912522713E-9</c:v>
                </c:pt>
                <c:pt idx="201">
                  <c:v>7.4535725512841976E-10</c:v>
                </c:pt>
                <c:pt idx="202">
                  <c:v>3.8533232618091465E-10</c:v>
                </c:pt>
                <c:pt idx="203">
                  <c:v>1.8523945871477438E-10</c:v>
                </c:pt>
                <c:pt idx="204">
                  <c:v>2.4270876896547724E-10</c:v>
                </c:pt>
                <c:pt idx="205">
                  <c:v>5.4261584862662526E-10</c:v>
                </c:pt>
                <c:pt idx="206">
                  <c:v>9.5609533854788191E-10</c:v>
                </c:pt>
                <c:pt idx="207">
                  <c:v>1.2938307459350408E-9</c:v>
                </c:pt>
                <c:pt idx="208">
                  <c:v>1.3935993512872496E-9</c:v>
                </c:pt>
                <c:pt idx="209">
                  <c:v>1.2023005789758468E-9</c:v>
                </c:pt>
                <c:pt idx="210">
                  <c:v>8.1030220254803451E-10</c:v>
                </c:pt>
                <c:pt idx="211">
                  <c:v>4.1512597236265244E-10</c:v>
                </c:pt>
                <c:pt idx="212">
                  <c:v>2.2578090387257725E-10</c:v>
                </c:pt>
                <c:pt idx="213">
                  <c:v>3.5245470809106386E-10</c:v>
                </c:pt>
                <c:pt idx="214">
                  <c:v>7.4012496265017511E-10</c:v>
                </c:pt>
                <c:pt idx="215">
                  <c:v>1.1877205039173291E-9</c:v>
                </c:pt>
                <c:pt idx="216">
                  <c:v>1.4512047908115731E-9</c:v>
                </c:pt>
                <c:pt idx="217">
                  <c:v>1.3802244811552679E-9</c:v>
                </c:pt>
                <c:pt idx="218">
                  <c:v>1.011830568451719E-9</c:v>
                </c:pt>
                <c:pt idx="219">
                  <c:v>5.6081056171259625E-10</c:v>
                </c:pt>
                <c:pt idx="220">
                  <c:v>3.015816714695469E-10</c:v>
                </c:pt>
                <c:pt idx="221">
                  <c:v>4.0331503448141516E-10</c:v>
                </c:pt>
                <c:pt idx="222">
                  <c:v>8.1729241401896894E-10</c:v>
                </c:pt>
                <c:pt idx="223">
                  <c:v>1.2941881475241087E-9</c:v>
                </c:pt>
                <c:pt idx="224">
                  <c:v>1.5333630343130382E-9</c:v>
                </c:pt>
                <c:pt idx="225">
                  <c:v>1.3783950892895041E-9</c:v>
                </c:pt>
                <c:pt idx="226">
                  <c:v>9.3120333615265273E-10</c:v>
                </c:pt>
                <c:pt idx="227">
                  <c:v>4.979111842800863E-10</c:v>
                </c:pt>
                <c:pt idx="228">
                  <c:v>3.8753778112396813E-10</c:v>
                </c:pt>
                <c:pt idx="229">
                  <c:v>6.926410125055962E-10</c:v>
                </c:pt>
                <c:pt idx="230">
                  <c:v>1.2096616761181687E-9</c:v>
                </c:pt>
                <c:pt idx="231">
                  <c:v>1.5716440559420095E-9</c:v>
                </c:pt>
                <c:pt idx="232">
                  <c:v>1.5139580516238999E-9</c:v>
                </c:pt>
                <c:pt idx="233">
                  <c:v>1.0820317984722979E-9</c:v>
                </c:pt>
                <c:pt idx="234">
                  <c:v>6.1337427888619537E-10</c:v>
                </c:pt>
                <c:pt idx="235">
                  <c:v>4.8675286804384654E-10</c:v>
                </c:pt>
                <c:pt idx="236">
                  <c:v>8.1951154140139847E-10</c:v>
                </c:pt>
                <c:pt idx="237">
                  <c:v>1.3574287538498313E-9</c:v>
                </c:pt>
                <c:pt idx="238">
                  <c:v>1.6671879461888179E-9</c:v>
                </c:pt>
                <c:pt idx="239">
                  <c:v>1.494938359785329E-9</c:v>
                </c:pt>
                <c:pt idx="240">
                  <c:v>9.9476195314129653E-10</c:v>
                </c:pt>
                <c:pt idx="241">
                  <c:v>6.1362724225411731E-10</c:v>
                </c:pt>
                <c:pt idx="242">
                  <c:v>7.0581647797973014E-10</c:v>
                </c:pt>
                <c:pt idx="243">
                  <c:v>1.2058050738426605E-9</c:v>
                </c:pt>
                <c:pt idx="244">
                  <c:v>1.6691171514739927E-9</c:v>
                </c:pt>
                <c:pt idx="245">
                  <c:v>1.6738978692769802E-9</c:v>
                </c:pt>
                <c:pt idx="246">
                  <c:v>1.2266983886425482E-9</c:v>
                </c:pt>
                <c:pt idx="247">
                  <c:v>7.7505553154850243E-10</c:v>
                </c:pt>
                <c:pt idx="248">
                  <c:v>7.8203003611365227E-10</c:v>
                </c:pt>
                <c:pt idx="249">
                  <c:v>1.2589028543706957E-9</c:v>
                </c:pt>
                <c:pt idx="250">
                  <c:v>1.7350280719255754E-9</c:v>
                </c:pt>
                <c:pt idx="251">
                  <c:v>1.7308253035133087E-9</c:v>
                </c:pt>
                <c:pt idx="252">
                  <c:v>1.2676385588278917E-9</c:v>
                </c:pt>
                <c:pt idx="253">
                  <c:v>8.6342704523194398E-10</c:v>
                </c:pt>
                <c:pt idx="254">
                  <c:v>9.8064534373471513E-10</c:v>
                </c:pt>
                <c:pt idx="255">
                  <c:v>1.5065337585176253E-9</c:v>
                </c:pt>
                <c:pt idx="256">
                  <c:v>1.8620808630767384E-9</c:v>
                </c:pt>
                <c:pt idx="257">
                  <c:v>1.6573862309492133E-9</c:v>
                </c:pt>
                <c:pt idx="258">
                  <c:v>1.1566947914464904E-9</c:v>
                </c:pt>
                <c:pt idx="259">
                  <c:v>9.8140464250897149E-10</c:v>
                </c:pt>
                <c:pt idx="260">
                  <c:v>1.3634914922161236E-9</c:v>
                </c:pt>
                <c:pt idx="261">
                  <c:v>1.8477609317103827E-9</c:v>
                </c:pt>
                <c:pt idx="262">
                  <c:v>1.8473247775440393E-9</c:v>
                </c:pt>
                <c:pt idx="263">
                  <c:v>1.3915479845246636E-9</c:v>
                </c:pt>
                <c:pt idx="264">
                  <c:v>1.1017249291259476E-9</c:v>
                </c:pt>
                <c:pt idx="265">
                  <c:v>1.3817559091042963E-9</c:v>
                </c:pt>
                <c:pt idx="266">
                  <c:v>1.8708526863085603E-9</c:v>
                </c:pt>
                <c:pt idx="267">
                  <c:v>1.9228226596125205E-9</c:v>
                </c:pt>
                <c:pt idx="268">
                  <c:v>1.4988312232281552E-9</c:v>
                </c:pt>
                <c:pt idx="269">
                  <c:v>1.2310797821236931E-9</c:v>
                </c:pt>
                <c:pt idx="270">
                  <c:v>1.5247270565846886E-9</c:v>
                </c:pt>
                <c:pt idx="271">
                  <c:v>1.9648163842600391E-9</c:v>
                </c:pt>
                <c:pt idx="272">
                  <c:v>1.9228809960727919E-9</c:v>
                </c:pt>
                <c:pt idx="273">
                  <c:v>1.5006957883934927E-9</c:v>
                </c:pt>
                <c:pt idx="274">
                  <c:v>1.3789748798796918E-9</c:v>
                </c:pt>
                <c:pt idx="275">
                  <c:v>1.7628992869772001E-9</c:v>
                </c:pt>
                <c:pt idx="276">
                  <c:v>2.0575501057157533E-9</c:v>
                </c:pt>
                <c:pt idx="277">
                  <c:v>1.8204618210038877E-9</c:v>
                </c:pt>
                <c:pt idx="278">
                  <c:v>1.4808412294855746E-9</c:v>
                </c:pt>
                <c:pt idx="279">
                  <c:v>1.6272719135786072E-9</c:v>
                </c:pt>
                <c:pt idx="280">
                  <c:v>2.0197627157902622E-9</c:v>
                </c:pt>
                <c:pt idx="281">
                  <c:v>2.0049915383956679E-9</c:v>
                </c:pt>
                <c:pt idx="282">
                  <c:v>1.6495849752283795E-9</c:v>
                </c:pt>
                <c:pt idx="283">
                  <c:v>1.6141296237410278E-9</c:v>
                </c:pt>
                <c:pt idx="284">
                  <c:v>1.9680689574717892E-9</c:v>
                </c:pt>
                <c:pt idx="285">
                  <c:v>2.0742241297042477E-9</c:v>
                </c:pt>
                <c:pt idx="286">
                  <c:v>1.7709093315968568E-9</c:v>
                </c:pt>
                <c:pt idx="287">
                  <c:v>1.6623399819793201E-9</c:v>
                </c:pt>
                <c:pt idx="288">
                  <c:v>1.9593001900848024E-9</c:v>
                </c:pt>
                <c:pt idx="289">
                  <c:v>2.085848866392676E-9</c:v>
                </c:pt>
                <c:pt idx="290">
                  <c:v>1.8210662971121589E-9</c:v>
                </c:pt>
                <c:pt idx="291">
                  <c:v>1.7229643882980067E-9</c:v>
                </c:pt>
                <c:pt idx="292">
                  <c:v>1.9866120322415124E-9</c:v>
                </c:pt>
                <c:pt idx="293">
                  <c:v>2.0622554252963669E-9</c:v>
                </c:pt>
                <c:pt idx="294">
                  <c:v>1.8141567025640397E-9</c:v>
                </c:pt>
                <c:pt idx="295">
                  <c:v>1.7855243052743244E-9</c:v>
                </c:pt>
                <c:pt idx="296">
                  <c:v>2.0209832268150303E-9</c:v>
                </c:pt>
                <c:pt idx="297">
                  <c:v>1.995107867862753E-9</c:v>
                </c:pt>
                <c:pt idx="298">
                  <c:v>1.780570173575516E-9</c:v>
                </c:pt>
                <c:pt idx="299">
                  <c:v>1.8559566295889334E-9</c:v>
                </c:pt>
                <c:pt idx="300">
                  <c:v>2.01744968968411E-9</c:v>
                </c:pt>
                <c:pt idx="301">
                  <c:v>1.8793869134649394E-9</c:v>
                </c:pt>
                <c:pt idx="302">
                  <c:v>1.7661651480304869E-9</c:v>
                </c:pt>
                <c:pt idx="303">
                  <c:v>1.9148106745592758E-9</c:v>
                </c:pt>
                <c:pt idx="304">
                  <c:v>1.9262072931981324E-9</c:v>
                </c:pt>
                <c:pt idx="305">
                  <c:v>1.7574193816671917E-9</c:v>
                </c:pt>
                <c:pt idx="306">
                  <c:v>1.7973116197504229E-9</c:v>
                </c:pt>
                <c:pt idx="307">
                  <c:v>1.8880232559825429E-9</c:v>
                </c:pt>
                <c:pt idx="308">
                  <c:v>1.758331781654546E-9</c:v>
                </c:pt>
                <c:pt idx="309">
                  <c:v>1.707399306652602E-9</c:v>
                </c:pt>
                <c:pt idx="310">
                  <c:v>1.8011291876081809E-9</c:v>
                </c:pt>
                <c:pt idx="311">
                  <c:v>1.72672552209378E-9</c:v>
                </c:pt>
                <c:pt idx="312">
                  <c:v>1.6337479102408021E-9</c:v>
                </c:pt>
                <c:pt idx="313">
                  <c:v>1.6983551453045618E-9</c:v>
                </c:pt>
                <c:pt idx="314">
                  <c:v>1.6580056744038882E-9</c:v>
                </c:pt>
                <c:pt idx="315">
                  <c:v>1.5564816721941272E-9</c:v>
                </c:pt>
                <c:pt idx="316">
                  <c:v>1.5916133366303328E-9</c:v>
                </c:pt>
                <c:pt idx="317">
                  <c:v>1.561415490579278E-9</c:v>
                </c:pt>
                <c:pt idx="318">
                  <c:v>1.4657515614270236E-9</c:v>
                </c:pt>
                <c:pt idx="319">
                  <c:v>1.480993680390296E-9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1.4057464941439891E-9</c:v>
                  </c:pt>
                  <c:pt idx="1">
                    <c:v>7.0917640032256365E-10</c:v>
                  </c:pt>
                  <c:pt idx="2">
                    <c:v>5.6047543210932031E-10</c:v>
                  </c:pt>
                  <c:pt idx="3">
                    <c:v>4.3597835635204847E-10</c:v>
                  </c:pt>
                  <c:pt idx="4">
                    <c:v>4.1146392662222387E-10</c:v>
                  </c:pt>
                  <c:pt idx="5">
                    <c:v>4.3589315264018867E-10</c:v>
                  </c:pt>
                  <c:pt idx="6">
                    <c:v>4.3043446843704631E-10</c:v>
                  </c:pt>
                  <c:pt idx="7">
                    <c:v>4.0642192784330139E-10</c:v>
                  </c:pt>
                  <c:pt idx="8">
                    <c:v>4.2519118877051899E-10</c:v>
                  </c:pt>
                  <c:pt idx="9">
                    <c:v>4.1914249655458123E-10</c:v>
                  </c:pt>
                  <c:pt idx="10">
                    <c:v>4.2197064199680252E-10</c:v>
                  </c:pt>
                  <c:pt idx="11">
                    <c:v>4.3382749406580682E-10</c:v>
                  </c:pt>
                  <c:pt idx="12">
                    <c:v>4.3870183876149666E-10</c:v>
                  </c:pt>
                  <c:pt idx="13">
                    <c:v>3.4612452553026923E-10</c:v>
                  </c:pt>
                  <c:pt idx="14">
                    <c:v>3.3303756453956545E-10</c:v>
                  </c:pt>
                  <c:pt idx="15">
                    <c:v>3.3189917899244963E-10</c:v>
                  </c:pt>
                  <c:pt idx="16">
                    <c:v>3.4141356418747902E-10</c:v>
                  </c:pt>
                  <c:pt idx="17">
                    <c:v>3.3704903467305886E-10</c:v>
                  </c:pt>
                  <c:pt idx="18">
                    <c:v>5.2884715666454313E-10</c:v>
                  </c:pt>
                  <c:pt idx="19">
                    <c:v>4.5665439403110934E-10</c:v>
                  </c:pt>
                  <c:pt idx="20">
                    <c:v>4.767696268202104E-10</c:v>
                  </c:pt>
                  <c:pt idx="21">
                    <c:v>4.1283589132044318E-10</c:v>
                  </c:pt>
                  <c:pt idx="22">
                    <c:v>3.3231703552884078E-10</c:v>
                  </c:pt>
                  <c:pt idx="23">
                    <c:v>3.1822082073622884E-10</c:v>
                  </c:pt>
                  <c:pt idx="24">
                    <c:v>3.0284992708238994E-10</c:v>
                  </c:pt>
                  <c:pt idx="25">
                    <c:v>2.8488587836458161E-10</c:v>
                  </c:pt>
                  <c:pt idx="26">
                    <c:v>2.6730520061201765E-10</c:v>
                  </c:pt>
                  <c:pt idx="27">
                    <c:v>2.4468095580717012E-10</c:v>
                  </c:pt>
                  <c:pt idx="28">
                    <c:v>2.6553491566617915E-10</c:v>
                  </c:pt>
                  <c:pt idx="29">
                    <c:v>2.7384690554880849E-10</c:v>
                  </c:pt>
                  <c:pt idx="30">
                    <c:v>2.6328433762700824E-10</c:v>
                  </c:pt>
                  <c:pt idx="31">
                    <c:v>2.6006914362231578E-10</c:v>
                  </c:pt>
                  <c:pt idx="32">
                    <c:v>2.5366070554368019E-10</c:v>
                  </c:pt>
                  <c:pt idx="33">
                    <c:v>2.5206645383820163E-10</c:v>
                  </c:pt>
                  <c:pt idx="34">
                    <c:v>1.3048710753166687E-10</c:v>
                  </c:pt>
                  <c:pt idx="35">
                    <c:v>1.2374313472096764E-10</c:v>
                  </c:pt>
                  <c:pt idx="36">
                    <c:v>1.1900027635860697E-10</c:v>
                  </c:pt>
                  <c:pt idx="37">
                    <c:v>1.1504489682037499E-10</c:v>
                  </c:pt>
                  <c:pt idx="38">
                    <c:v>9.8139320864588129E-11</c:v>
                  </c:pt>
                  <c:pt idx="39">
                    <c:v>1.2589391677266024E-10</c:v>
                  </c:pt>
                  <c:pt idx="40">
                    <c:v>1.1106013314472181E-10</c:v>
                  </c:pt>
                  <c:pt idx="41">
                    <c:v>9.209271565380552E-11</c:v>
                  </c:pt>
                  <c:pt idx="42">
                    <c:v>9.3073482393618885E-11</c:v>
                  </c:pt>
                  <c:pt idx="43">
                    <c:v>8.9312637642188406E-11</c:v>
                  </c:pt>
                  <c:pt idx="44">
                    <c:v>7.9685402945563852E-11</c:v>
                  </c:pt>
                  <c:pt idx="45">
                    <c:v>8.228541038969114E-11</c:v>
                  </c:pt>
                  <c:pt idx="46">
                    <c:v>7.241997140878543E-11</c:v>
                  </c:pt>
                  <c:pt idx="47">
                    <c:v>7.0335415145866175E-11</c:v>
                  </c:pt>
                  <c:pt idx="48">
                    <c:v>7.078652288837633E-11</c:v>
                  </c:pt>
                  <c:pt idx="49">
                    <c:v>7.3653003831507175E-11</c:v>
                  </c:pt>
                  <c:pt idx="50">
                    <c:v>7.1346815461107639E-11</c:v>
                  </c:pt>
                  <c:pt idx="51">
                    <c:v>7.2555386933453874E-11</c:v>
                  </c:pt>
                  <c:pt idx="52">
                    <c:v>7.9276086882445285E-11</c:v>
                  </c:pt>
                  <c:pt idx="53">
                    <c:v>8.1250852893520554E-11</c:v>
                  </c:pt>
                  <c:pt idx="54">
                    <c:v>9.2704475445011995E-11</c:v>
                  </c:pt>
                  <c:pt idx="55">
                    <c:v>8.7479635483243613E-11</c:v>
                  </c:pt>
                  <c:pt idx="56">
                    <c:v>9.2388950606605462E-11</c:v>
                  </c:pt>
                  <c:pt idx="57">
                    <c:v>9.8830593908250939E-11</c:v>
                  </c:pt>
                  <c:pt idx="58">
                    <c:v>1.0541204720148746E-10</c:v>
                  </c:pt>
                  <c:pt idx="59">
                    <c:v>1.0863549483350585E-10</c:v>
                  </c:pt>
                  <c:pt idx="60">
                    <c:v>1.0618948852410536E-10</c:v>
                  </c:pt>
                  <c:pt idx="61">
                    <c:v>7.4865443461807655E-11</c:v>
                  </c:pt>
                  <c:pt idx="62">
                    <c:v>7.7668216472882709E-11</c:v>
                  </c:pt>
                  <c:pt idx="63">
                    <c:v>7.7186820337473075E-11</c:v>
                  </c:pt>
                  <c:pt idx="64">
                    <c:v>6.9646352365061352E-11</c:v>
                  </c:pt>
                  <c:pt idx="65">
                    <c:v>7.1469123257891138E-11</c:v>
                  </c:pt>
                  <c:pt idx="66">
                    <c:v>7.0956749295115344E-11</c:v>
                  </c:pt>
                  <c:pt idx="67">
                    <c:v>7.0563943469634011E-11</c:v>
                  </c:pt>
                  <c:pt idx="68">
                    <c:v>9.08775559575342E-11</c:v>
                  </c:pt>
                  <c:pt idx="69">
                    <c:v>8.8937859265003068E-11</c:v>
                  </c:pt>
                  <c:pt idx="70">
                    <c:v>7.6908559867299478E-11</c:v>
                  </c:pt>
                  <c:pt idx="71">
                    <c:v>7.6836515950158835E-11</c:v>
                  </c:pt>
                  <c:pt idx="72">
                    <c:v>8.0742121933818941E-11</c:v>
                  </c:pt>
                  <c:pt idx="73">
                    <c:v>7.3214086848461312E-11</c:v>
                  </c:pt>
                  <c:pt idx="74">
                    <c:v>6.2886610762032653E-11</c:v>
                  </c:pt>
                  <c:pt idx="75">
                    <c:v>6.4894646400944099E-11</c:v>
                  </c:pt>
                  <c:pt idx="76">
                    <c:v>6.1812729205725876E-11</c:v>
                  </c:pt>
                  <c:pt idx="77">
                    <c:v>5.4285985374802595E-11</c:v>
                  </c:pt>
                  <c:pt idx="78">
                    <c:v>5.0920294580467047E-11</c:v>
                  </c:pt>
                  <c:pt idx="79">
                    <c:v>5.8095715695126294E-11</c:v>
                  </c:pt>
                  <c:pt idx="80">
                    <c:v>6.0600800566960926E-11</c:v>
                  </c:pt>
                  <c:pt idx="81">
                    <c:v>5.1460477718283668E-11</c:v>
                  </c:pt>
                  <c:pt idx="82">
                    <c:v>6.0623492569830616E-11</c:v>
                  </c:pt>
                  <c:pt idx="83">
                    <c:v>7.6123090133976923E-11</c:v>
                  </c:pt>
                  <c:pt idx="84">
                    <c:v>7.8977808840087987E-11</c:v>
                  </c:pt>
                  <c:pt idx="85">
                    <c:v>7.6470121981706217E-11</c:v>
                  </c:pt>
                  <c:pt idx="86">
                    <c:v>9.0357468259550287E-11</c:v>
                  </c:pt>
                  <c:pt idx="87">
                    <c:v>8.6441105980892431E-11</c:v>
                  </c:pt>
                  <c:pt idx="88">
                    <c:v>9.6182752353832152E-11</c:v>
                  </c:pt>
                  <c:pt idx="89">
                    <c:v>9.73888848574429E-11</c:v>
                  </c:pt>
                  <c:pt idx="90">
                    <c:v>9.5154178671794977E-11</c:v>
                  </c:pt>
                  <c:pt idx="91">
                    <c:v>9.7773712455632368E-11</c:v>
                  </c:pt>
                  <c:pt idx="92">
                    <c:v>8.9359840813603438E-11</c:v>
                  </c:pt>
                  <c:pt idx="93">
                    <c:v>1.0272200470213921E-10</c:v>
                  </c:pt>
                  <c:pt idx="94">
                    <c:v>9.5851818945846379E-11</c:v>
                  </c:pt>
                  <c:pt idx="95">
                    <c:v>8.8169455927107268E-11</c:v>
                  </c:pt>
                  <c:pt idx="96">
                    <c:v>8.9874328277501001E-11</c:v>
                  </c:pt>
                  <c:pt idx="97">
                    <c:v>7.8825031676203796E-11</c:v>
                  </c:pt>
                  <c:pt idx="98">
                    <c:v>8.5033261432351207E-11</c:v>
                  </c:pt>
                  <c:pt idx="99">
                    <c:v>7.7493657816782183E-11</c:v>
                  </c:pt>
                  <c:pt idx="100">
                    <c:v>2.7667461980678358E-11</c:v>
                  </c:pt>
                  <c:pt idx="101">
                    <c:v>2.6449153372407322E-11</c:v>
                  </c:pt>
                  <c:pt idx="102">
                    <c:v>2.2482805369451593E-11</c:v>
                  </c:pt>
                  <c:pt idx="103">
                    <c:v>2.096253072160268E-11</c:v>
                  </c:pt>
                  <c:pt idx="104">
                    <c:v>2.1071712517739416E-11</c:v>
                  </c:pt>
                  <c:pt idx="105">
                    <c:v>2.1977809062750383E-11</c:v>
                  </c:pt>
                  <c:pt idx="106">
                    <c:v>2.5640083646706244E-11</c:v>
                  </c:pt>
                  <c:pt idx="107">
                    <c:v>3.0392614175161907E-11</c:v>
                  </c:pt>
                  <c:pt idx="108">
                    <c:v>3.2497589582857976E-11</c:v>
                  </c:pt>
                  <c:pt idx="109">
                    <c:v>3.6699717562609948E-11</c:v>
                  </c:pt>
                  <c:pt idx="110">
                    <c:v>4.0651028717392712E-11</c:v>
                  </c:pt>
                  <c:pt idx="111">
                    <c:v>4.4863301681166161E-11</c:v>
                  </c:pt>
                  <c:pt idx="112">
                    <c:v>4.478327012763245E-11</c:v>
                  </c:pt>
                  <c:pt idx="113">
                    <c:v>4.655148123967615E-11</c:v>
                  </c:pt>
                  <c:pt idx="114">
                    <c:v>4.6326773474429784E-11</c:v>
                  </c:pt>
                  <c:pt idx="115">
                    <c:v>4.7989113016231971E-11</c:v>
                  </c:pt>
                  <c:pt idx="116">
                    <c:v>4.9061481243911909E-11</c:v>
                  </c:pt>
                  <c:pt idx="117">
                    <c:v>4.4562211294547096E-11</c:v>
                  </c:pt>
                  <c:pt idx="118">
                    <c:v>4.2218005619793659E-11</c:v>
                  </c:pt>
                  <c:pt idx="119">
                    <c:v>4.4315577850205432E-11</c:v>
                  </c:pt>
                  <c:pt idx="120">
                    <c:v>4.19377146195371E-11</c:v>
                  </c:pt>
                  <c:pt idx="121">
                    <c:v>3.4230679976010088E-11</c:v>
                  </c:pt>
                  <c:pt idx="122">
                    <c:v>3.3543950874545905E-11</c:v>
                  </c:pt>
                  <c:pt idx="123">
                    <c:v>3.3549964545265267E-11</c:v>
                  </c:pt>
                  <c:pt idx="124">
                    <c:v>3.1504816699265767E-11</c:v>
                  </c:pt>
                  <c:pt idx="125">
                    <c:v>2.9729480814399865E-11</c:v>
                  </c:pt>
                  <c:pt idx="126">
                    <c:v>3.4040635276906236E-11</c:v>
                  </c:pt>
                  <c:pt idx="127">
                    <c:v>3.6393626273352214E-11</c:v>
                  </c:pt>
                  <c:pt idx="128">
                    <c:v>4.3140742688275676E-11</c:v>
                  </c:pt>
                  <c:pt idx="129">
                    <c:v>4.6758061615671881E-11</c:v>
                  </c:pt>
                  <c:pt idx="130">
                    <c:v>5.3554019407969386E-11</c:v>
                  </c:pt>
                  <c:pt idx="131">
                    <c:v>6.2329340375510051E-11</c:v>
                  </c:pt>
                  <c:pt idx="132">
                    <c:v>6.3127343378735905E-11</c:v>
                  </c:pt>
                  <c:pt idx="133">
                    <c:v>6.3692950023711596E-11</c:v>
                  </c:pt>
                  <c:pt idx="134">
                    <c:v>6.3645798733494601E-11</c:v>
                  </c:pt>
                  <c:pt idx="135">
                    <c:v>6.641430152795489E-11</c:v>
                  </c:pt>
                  <c:pt idx="136">
                    <c:v>6.1670577319285651E-11</c:v>
                  </c:pt>
                  <c:pt idx="137">
                    <c:v>6.6270813737817608E-11</c:v>
                  </c:pt>
                  <c:pt idx="138">
                    <c:v>5.12321094842212E-11</c:v>
                  </c:pt>
                  <c:pt idx="139">
                    <c:v>5.1989583364679076E-11</c:v>
                  </c:pt>
                  <c:pt idx="140">
                    <c:v>4.6541875418594709E-11</c:v>
                  </c:pt>
                  <c:pt idx="141">
                    <c:v>4.3623483175341844E-11</c:v>
                  </c:pt>
                  <c:pt idx="142">
                    <c:v>4.2841559297479273E-11</c:v>
                  </c:pt>
                  <c:pt idx="143">
                    <c:v>4.5637496359227911E-11</c:v>
                  </c:pt>
                  <c:pt idx="144">
                    <c:v>5.7597773681627373E-11</c:v>
                  </c:pt>
                  <c:pt idx="145">
                    <c:v>5.4197796157438564E-11</c:v>
                  </c:pt>
                  <c:pt idx="146">
                    <c:v>6.7118962583854067E-11</c:v>
                  </c:pt>
                  <c:pt idx="147">
                    <c:v>7.2083839471343447E-11</c:v>
                  </c:pt>
                  <c:pt idx="148">
                    <c:v>8.4892246118152948E-11</c:v>
                  </c:pt>
                  <c:pt idx="149">
                    <c:v>8.4126248341731359E-11</c:v>
                  </c:pt>
                  <c:pt idx="150">
                    <c:v>7.5417254183577823E-11</c:v>
                  </c:pt>
                  <c:pt idx="151">
                    <c:v>8.0676457407721398E-11</c:v>
                  </c:pt>
                  <c:pt idx="152">
                    <c:v>8.6702203631933037E-11</c:v>
                  </c:pt>
                  <c:pt idx="153">
                    <c:v>8.1558611172512478E-11</c:v>
                  </c:pt>
                  <c:pt idx="154">
                    <c:v>7.6998695058857476E-11</c:v>
                  </c:pt>
                  <c:pt idx="155">
                    <c:v>6.6282253557341751E-11</c:v>
                  </c:pt>
                  <c:pt idx="156">
                    <c:v>6.1719331416182073E-11</c:v>
                  </c:pt>
                  <c:pt idx="157">
                    <c:v>7.1081776849351178E-11</c:v>
                  </c:pt>
                  <c:pt idx="158">
                    <c:v>6.8239999688890278E-11</c:v>
                  </c:pt>
                  <c:pt idx="159">
                    <c:v>5.6607503336515515E-11</c:v>
                  </c:pt>
                  <c:pt idx="160">
                    <c:v>6.8218757863241963E-11</c:v>
                  </c:pt>
                  <c:pt idx="161">
                    <c:v>8.0245298674736816E-11</c:v>
                  </c:pt>
                  <c:pt idx="162">
                    <c:v>9.4241868453680631E-11</c:v>
                  </c:pt>
                  <c:pt idx="163">
                    <c:v>1.0048645742682306E-10</c:v>
                  </c:pt>
                  <c:pt idx="164">
                    <c:v>1.0569568886318327E-10</c:v>
                  </c:pt>
                  <c:pt idx="165">
                    <c:v>1.1548145107875331E-10</c:v>
                  </c:pt>
                  <c:pt idx="166">
                    <c:v>1.1749884779953688E-10</c:v>
                  </c:pt>
                  <c:pt idx="167">
                    <c:v>1.0169397133525294E-10</c:v>
                  </c:pt>
                  <c:pt idx="168">
                    <c:v>4.9350838377868055E-11</c:v>
                  </c:pt>
                  <c:pt idx="169">
                    <c:v>4.7317460533882574E-11</c:v>
                  </c:pt>
                  <c:pt idx="170">
                    <c:v>3.8790828560036284E-11</c:v>
                  </c:pt>
                  <c:pt idx="171">
                    <c:v>3.8268812499119825E-11</c:v>
                  </c:pt>
                  <c:pt idx="172">
                    <c:v>3.8015158842689782E-11</c:v>
                  </c:pt>
                  <c:pt idx="173">
                    <c:v>4.3711248590649732E-11</c:v>
                  </c:pt>
                  <c:pt idx="174">
                    <c:v>5.2462911047669274E-11</c:v>
                  </c:pt>
                  <c:pt idx="175">
                    <c:v>5.6641461381815062E-11</c:v>
                  </c:pt>
                  <c:pt idx="176">
                    <c:v>6.321982321880726E-11</c:v>
                  </c:pt>
                  <c:pt idx="177">
                    <c:v>6.1596866025342836E-11</c:v>
                  </c:pt>
                  <c:pt idx="178">
                    <c:v>6.2854152831703094E-11</c:v>
                  </c:pt>
                  <c:pt idx="179">
                    <c:v>6.4004102597749573E-11</c:v>
                  </c:pt>
                  <c:pt idx="180">
                    <c:v>5.4167517026565991E-11</c:v>
                  </c:pt>
                  <c:pt idx="181">
                    <c:v>5.3059930750420688E-11</c:v>
                  </c:pt>
                  <c:pt idx="182">
                    <c:v>4.6392775897964131E-11</c:v>
                  </c:pt>
                  <c:pt idx="183">
                    <c:v>4.7243630332415342E-11</c:v>
                  </c:pt>
                  <c:pt idx="184">
                    <c:v>5.0615877625499872E-11</c:v>
                  </c:pt>
                  <c:pt idx="185">
                    <c:v>5.5285768286343998E-11</c:v>
                  </c:pt>
                  <c:pt idx="186">
                    <c:v>6.3078619111442465E-11</c:v>
                  </c:pt>
                  <c:pt idx="187">
                    <c:v>7.2568392351633112E-11</c:v>
                  </c:pt>
                  <c:pt idx="188">
                    <c:v>7.4218544611846994E-11</c:v>
                  </c:pt>
                  <c:pt idx="189">
                    <c:v>7.6668848600980189E-11</c:v>
                  </c:pt>
                  <c:pt idx="190">
                    <c:v>7.5269376393489498E-11</c:v>
                  </c:pt>
                  <c:pt idx="191">
                    <c:v>7.5136844901825093E-11</c:v>
                  </c:pt>
                  <c:pt idx="192">
                    <c:v>7.5626438230376302E-11</c:v>
                  </c:pt>
                  <c:pt idx="193">
                    <c:v>6.0771013725971249E-11</c:v>
                  </c:pt>
                  <c:pt idx="194">
                    <c:v>6.0434060477946234E-11</c:v>
                  </c:pt>
                  <c:pt idx="195">
                    <c:v>7.2334629547472319E-11</c:v>
                  </c:pt>
                  <c:pt idx="196">
                    <c:v>7.7038115654470616E-11</c:v>
                  </c:pt>
                  <c:pt idx="197">
                    <c:v>8.8498957363920957E-11</c:v>
                  </c:pt>
                  <c:pt idx="198">
                    <c:v>9.1512996732032883E-11</c:v>
                  </c:pt>
                  <c:pt idx="199">
                    <c:v>9.6326184842142009E-11</c:v>
                  </c:pt>
                  <c:pt idx="200">
                    <c:v>1.0935535456065323E-10</c:v>
                  </c:pt>
                  <c:pt idx="201">
                    <c:v>9.454188867440769E-11</c:v>
                  </c:pt>
                  <c:pt idx="202">
                    <c:v>7.9614426089964118E-11</c:v>
                  </c:pt>
                  <c:pt idx="203">
                    <c:v>7.3818785671096646E-11</c:v>
                  </c:pt>
                  <c:pt idx="204">
                    <c:v>8.257607694569349E-11</c:v>
                  </c:pt>
                  <c:pt idx="205">
                    <c:v>8.0725916139220672E-11</c:v>
                  </c:pt>
                  <c:pt idx="206">
                    <c:v>9.4084593632365434E-11</c:v>
                  </c:pt>
                  <c:pt idx="207">
                    <c:v>1.067267145964961E-10</c:v>
                  </c:pt>
                  <c:pt idx="208">
                    <c:v>1.059907586370493E-10</c:v>
                  </c:pt>
                  <c:pt idx="209">
                    <c:v>1.1952831923483458E-10</c:v>
                  </c:pt>
                  <c:pt idx="210">
                    <c:v>1.083716804538973E-10</c:v>
                  </c:pt>
                  <c:pt idx="211">
                    <c:v>1.1183955239110637E-10</c:v>
                  </c:pt>
                  <c:pt idx="212">
                    <c:v>1.0371587258532687E-10</c:v>
                  </c:pt>
                  <c:pt idx="213">
                    <c:v>1.1619268246017598E-10</c:v>
                  </c:pt>
                  <c:pt idx="214">
                    <c:v>1.2588294015652997E-10</c:v>
                  </c:pt>
                  <c:pt idx="215">
                    <c:v>1.2191253894373804E-10</c:v>
                  </c:pt>
                  <c:pt idx="216">
                    <c:v>1.415316207768039E-10</c:v>
                  </c:pt>
                  <c:pt idx="217">
                    <c:v>1.3064113374621305E-10</c:v>
                  </c:pt>
                  <c:pt idx="218">
                    <c:v>1.3249169297412676E-10</c:v>
                  </c:pt>
                  <c:pt idx="219">
                    <c:v>1.377321901779589E-10</c:v>
                  </c:pt>
                  <c:pt idx="220">
                    <c:v>1.2510549285956277E-10</c:v>
                  </c:pt>
                  <c:pt idx="221">
                    <c:v>1.3814120681191325E-10</c:v>
                  </c:pt>
                  <c:pt idx="222">
                    <c:v>1.3893172030367836E-10</c:v>
                  </c:pt>
                  <c:pt idx="223">
                    <c:v>1.3414355454368724E-10</c:v>
                  </c:pt>
                  <c:pt idx="224">
                    <c:v>1.505885512931953E-10</c:v>
                  </c:pt>
                  <c:pt idx="225">
                    <c:v>1.6266418307315766E-10</c:v>
                  </c:pt>
                  <c:pt idx="226">
                    <c:v>1.6951072000580546E-10</c:v>
                  </c:pt>
                  <c:pt idx="227">
                    <c:v>1.4900884683119978E-10</c:v>
                  </c:pt>
                  <c:pt idx="228">
                    <c:v>1.651739790916661E-10</c:v>
                  </c:pt>
                  <c:pt idx="229">
                    <c:v>1.5113695873765242E-10</c:v>
                  </c:pt>
                  <c:pt idx="230">
                    <c:v>1.4650871124866624E-10</c:v>
                  </c:pt>
                  <c:pt idx="231">
                    <c:v>1.7219728768673008E-10</c:v>
                  </c:pt>
                  <c:pt idx="232">
                    <c:v>1.8951153093492041E-10</c:v>
                  </c:pt>
                  <c:pt idx="233">
                    <c:v>1.8509216992497521E-10</c:v>
                  </c:pt>
                  <c:pt idx="234">
                    <c:v>1.9497147483810184E-10</c:v>
                  </c:pt>
                  <c:pt idx="235">
                    <c:v>1.9072335179014333E-10</c:v>
                  </c:pt>
                  <c:pt idx="236">
                    <c:v>2.1554979903466333E-10</c:v>
                  </c:pt>
                  <c:pt idx="237">
                    <c:v>1.1636680721013354E-10</c:v>
                  </c:pt>
                  <c:pt idx="238">
                    <c:v>1.2873672508170353E-10</c:v>
                  </c:pt>
                  <c:pt idx="239">
                    <c:v>1.2330608999229697E-10</c:v>
                  </c:pt>
                  <c:pt idx="240">
                    <c:v>1.161926982344141E-10</c:v>
                  </c:pt>
                  <c:pt idx="241">
                    <c:v>1.1887537168547923E-10</c:v>
                  </c:pt>
                  <c:pt idx="242">
                    <c:v>1.2487295545752294E-10</c:v>
                  </c:pt>
                  <c:pt idx="243">
                    <c:v>1.2595117252233769E-10</c:v>
                  </c:pt>
                  <c:pt idx="244">
                    <c:v>1.4110448816371599E-10</c:v>
                  </c:pt>
                  <c:pt idx="245">
                    <c:v>1.3769668050758901E-10</c:v>
                  </c:pt>
                  <c:pt idx="246">
                    <c:v>1.3658698105472208E-10</c:v>
                  </c:pt>
                  <c:pt idx="247">
                    <c:v>1.3503046416602622E-10</c:v>
                  </c:pt>
                  <c:pt idx="248">
                    <c:v>1.3448321548127644E-10</c:v>
                  </c:pt>
                  <c:pt idx="249">
                    <c:v>1.4410232952794194E-10</c:v>
                  </c:pt>
                  <c:pt idx="250">
                    <c:v>1.4314476120477914E-10</c:v>
                  </c:pt>
                  <c:pt idx="251">
                    <c:v>1.6041911552885096E-10</c:v>
                  </c:pt>
                  <c:pt idx="252">
                    <c:v>1.6517389811542548E-10</c:v>
                  </c:pt>
                  <c:pt idx="253">
                    <c:v>1.6226243405466541E-10</c:v>
                  </c:pt>
                  <c:pt idx="254">
                    <c:v>1.5718682836249609E-10</c:v>
                  </c:pt>
                  <c:pt idx="255">
                    <c:v>1.7741934314360513E-10</c:v>
                  </c:pt>
                  <c:pt idx="256">
                    <c:v>1.9867997329739628E-10</c:v>
                  </c:pt>
                  <c:pt idx="257">
                    <c:v>2.0492489666257667E-10</c:v>
                  </c:pt>
                  <c:pt idx="258">
                    <c:v>1.829622980322694E-10</c:v>
                  </c:pt>
                  <c:pt idx="259">
                    <c:v>1.9323345744154323E-10</c:v>
                  </c:pt>
                  <c:pt idx="260">
                    <c:v>1.9854691963598305E-10</c:v>
                  </c:pt>
                  <c:pt idx="261">
                    <c:v>2.0019803065925067E-10</c:v>
                  </c:pt>
                  <c:pt idx="262">
                    <c:v>2.1713387841240129E-10</c:v>
                  </c:pt>
                  <c:pt idx="263">
                    <c:v>2.3311860085430556E-10</c:v>
                  </c:pt>
                  <c:pt idx="264">
                    <c:v>2.2502541645185567E-10</c:v>
                  </c:pt>
                  <c:pt idx="265">
                    <c:v>2.0768118716973136E-10</c:v>
                  </c:pt>
                  <c:pt idx="266">
                    <c:v>2.355799095936929E-10</c:v>
                  </c:pt>
                  <c:pt idx="267">
                    <c:v>2.330963448663605E-10</c:v>
                  </c:pt>
                  <c:pt idx="268">
                    <c:v>2.4484502124621964E-10</c:v>
                  </c:pt>
                  <c:pt idx="269">
                    <c:v>2.8401476935634201E-10</c:v>
                  </c:pt>
                  <c:pt idx="270">
                    <c:v>2.6300820168520178E-10</c:v>
                  </c:pt>
                  <c:pt idx="271">
                    <c:v>2.5194979030901864E-10</c:v>
                  </c:pt>
                  <c:pt idx="272">
                    <c:v>2.5270304959666519E-10</c:v>
                  </c:pt>
                  <c:pt idx="273">
                    <c:v>2.9295432103689702E-10</c:v>
                  </c:pt>
                  <c:pt idx="274">
                    <c:v>3.2895398527934298E-10</c:v>
                  </c:pt>
                  <c:pt idx="275">
                    <c:v>2.8846047931143601E-10</c:v>
                  </c:pt>
                  <c:pt idx="276">
                    <c:v>2.8475777571676179E-10</c:v>
                  </c:pt>
                  <c:pt idx="277">
                    <c:v>3.455030471171704E-10</c:v>
                  </c:pt>
                  <c:pt idx="278">
                    <c:v>3.0167237762101905E-10</c:v>
                  </c:pt>
                  <c:pt idx="279">
                    <c:v>3.2420211301496173E-10</c:v>
                  </c:pt>
                  <c:pt idx="280">
                    <c:v>3.0218980387122166E-10</c:v>
                  </c:pt>
                  <c:pt idx="281">
                    <c:v>3.2435621137551334E-10</c:v>
                  </c:pt>
                  <c:pt idx="282">
                    <c:v>3.7738352394128205E-10</c:v>
                  </c:pt>
                  <c:pt idx="283">
                    <c:v>3.1823244336138424E-10</c:v>
                  </c:pt>
                  <c:pt idx="284">
                    <c:v>3.4301048607774006E-10</c:v>
                  </c:pt>
                  <c:pt idx="285">
                    <c:v>3.3645222698221343E-10</c:v>
                  </c:pt>
                  <c:pt idx="286">
                    <c:v>3.5244924431155407E-10</c:v>
                  </c:pt>
                  <c:pt idx="287">
                    <c:v>3.6603828965044515E-10</c:v>
                  </c:pt>
                  <c:pt idx="288">
                    <c:v>4.0723654523865675E-10</c:v>
                  </c:pt>
                  <c:pt idx="289">
                    <c:v>4.5194965708993136E-10</c:v>
                  </c:pt>
                  <c:pt idx="290">
                    <c:v>3.7140966250978618E-10</c:v>
                  </c:pt>
                  <c:pt idx="291">
                    <c:v>3.8331007026991864E-10</c:v>
                  </c:pt>
                  <c:pt idx="292">
                    <c:v>3.8381775689716681E-10</c:v>
                  </c:pt>
                  <c:pt idx="293">
                    <c:v>4.13025867563496E-10</c:v>
                  </c:pt>
                  <c:pt idx="294">
                    <c:v>4.4002636069782626E-10</c:v>
                  </c:pt>
                  <c:pt idx="295">
                    <c:v>4.3335252177285574E-10</c:v>
                  </c:pt>
                  <c:pt idx="296">
                    <c:v>4.9052270918327159E-10</c:v>
                  </c:pt>
                  <c:pt idx="297">
                    <c:v>4.2183333978964292E-10</c:v>
                  </c:pt>
                  <c:pt idx="298">
                    <c:v>5.1201353233559335E-10</c:v>
                  </c:pt>
                  <c:pt idx="299">
                    <c:v>5.1534833555175502E-10</c:v>
                  </c:pt>
                  <c:pt idx="300">
                    <c:v>4.4534457346395351E-10</c:v>
                  </c:pt>
                  <c:pt idx="301">
                    <c:v>4.8379062952723842E-10</c:v>
                  </c:pt>
                  <c:pt idx="302">
                    <c:v>5.6837292199310642E-10</c:v>
                  </c:pt>
                  <c:pt idx="303">
                    <c:v>5.3119986999093888E-10</c:v>
                  </c:pt>
                  <c:pt idx="304">
                    <c:v>5.083834723667694E-10</c:v>
                  </c:pt>
                  <c:pt idx="305">
                    <c:v>4.4160489679931914E-10</c:v>
                  </c:pt>
                  <c:pt idx="306">
                    <c:v>6.0326015286827482E-10</c:v>
                  </c:pt>
                  <c:pt idx="307">
                    <c:v>5.3045053064459036E-10</c:v>
                  </c:pt>
                  <c:pt idx="308">
                    <c:v>6.7083916672414428E-10</c:v>
                  </c:pt>
                  <c:pt idx="309">
                    <c:v>5.5049049608329254E-10</c:v>
                  </c:pt>
                  <c:pt idx="310">
                    <c:v>6.4408836694380873E-10</c:v>
                  </c:pt>
                  <c:pt idx="311">
                    <c:v>6.8946788148367516E-10</c:v>
                  </c:pt>
                  <c:pt idx="312">
                    <c:v>7.0131179189785791E-10</c:v>
                  </c:pt>
                  <c:pt idx="313">
                    <c:v>7.4762576115329023E-10</c:v>
                  </c:pt>
                  <c:pt idx="314">
                    <c:v>7.1492633543193287E-10</c:v>
                  </c:pt>
                  <c:pt idx="315">
                    <c:v>7.5365685587529565E-10</c:v>
                  </c:pt>
                  <c:pt idx="316">
                    <c:v>7.4802558120536811E-10</c:v>
                  </c:pt>
                  <c:pt idx="317">
                    <c:v>7.5669172855758587E-10</c:v>
                  </c:pt>
                  <c:pt idx="318">
                    <c:v>7.1504649126859459E-10</c:v>
                  </c:pt>
                  <c:pt idx="319">
                    <c:v>9.4750808750206131E-10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1.4057464941439891E-9</c:v>
                  </c:pt>
                  <c:pt idx="1">
                    <c:v>7.0917640032256365E-10</c:v>
                  </c:pt>
                  <c:pt idx="2">
                    <c:v>5.6047543210932031E-10</c:v>
                  </c:pt>
                  <c:pt idx="3">
                    <c:v>4.3597835635204847E-10</c:v>
                  </c:pt>
                  <c:pt idx="4">
                    <c:v>4.1146392662222387E-10</c:v>
                  </c:pt>
                  <c:pt idx="5">
                    <c:v>4.3589315264018867E-10</c:v>
                  </c:pt>
                  <c:pt idx="6">
                    <c:v>4.3043446843704631E-10</c:v>
                  </c:pt>
                  <c:pt idx="7">
                    <c:v>4.0642192784330139E-10</c:v>
                  </c:pt>
                  <c:pt idx="8">
                    <c:v>4.2519118877051899E-10</c:v>
                  </c:pt>
                  <c:pt idx="9">
                    <c:v>4.1914249655458123E-10</c:v>
                  </c:pt>
                  <c:pt idx="10">
                    <c:v>4.2197064199680252E-10</c:v>
                  </c:pt>
                  <c:pt idx="11">
                    <c:v>4.3382749406580682E-10</c:v>
                  </c:pt>
                  <c:pt idx="12">
                    <c:v>4.3870183876149666E-10</c:v>
                  </c:pt>
                  <c:pt idx="13">
                    <c:v>3.4612452553026923E-10</c:v>
                  </c:pt>
                  <c:pt idx="14">
                    <c:v>3.3303756453956545E-10</c:v>
                  </c:pt>
                  <c:pt idx="15">
                    <c:v>3.3189917899244963E-10</c:v>
                  </c:pt>
                  <c:pt idx="16">
                    <c:v>3.4141356418747902E-10</c:v>
                  </c:pt>
                  <c:pt idx="17">
                    <c:v>3.3704903467305886E-10</c:v>
                  </c:pt>
                  <c:pt idx="18">
                    <c:v>5.2884715666454313E-10</c:v>
                  </c:pt>
                  <c:pt idx="19">
                    <c:v>4.5665439403110934E-10</c:v>
                  </c:pt>
                  <c:pt idx="20">
                    <c:v>4.767696268202104E-10</c:v>
                  </c:pt>
                  <c:pt idx="21">
                    <c:v>4.1283589132044318E-10</c:v>
                  </c:pt>
                  <c:pt idx="22">
                    <c:v>3.3231703552884078E-10</c:v>
                  </c:pt>
                  <c:pt idx="23">
                    <c:v>3.1822082073622884E-10</c:v>
                  </c:pt>
                  <c:pt idx="24">
                    <c:v>3.0284992708238994E-10</c:v>
                  </c:pt>
                  <c:pt idx="25">
                    <c:v>2.8488587836458161E-10</c:v>
                  </c:pt>
                  <c:pt idx="26">
                    <c:v>2.6730520061201765E-10</c:v>
                  </c:pt>
                  <c:pt idx="27">
                    <c:v>2.4468095580717012E-10</c:v>
                  </c:pt>
                  <c:pt idx="28">
                    <c:v>2.6553491566617915E-10</c:v>
                  </c:pt>
                  <c:pt idx="29">
                    <c:v>2.7384690554880849E-10</c:v>
                  </c:pt>
                  <c:pt idx="30">
                    <c:v>2.6328433762700824E-10</c:v>
                  </c:pt>
                  <c:pt idx="31">
                    <c:v>2.6006914362231578E-10</c:v>
                  </c:pt>
                  <c:pt idx="32">
                    <c:v>2.5366070554368019E-10</c:v>
                  </c:pt>
                  <c:pt idx="33">
                    <c:v>2.5206645383820163E-10</c:v>
                  </c:pt>
                  <c:pt idx="34">
                    <c:v>1.3048710753166687E-10</c:v>
                  </c:pt>
                  <c:pt idx="35">
                    <c:v>1.2374313472096764E-10</c:v>
                  </c:pt>
                  <c:pt idx="36">
                    <c:v>1.1900027635860697E-10</c:v>
                  </c:pt>
                  <c:pt idx="37">
                    <c:v>1.1504489682037499E-10</c:v>
                  </c:pt>
                  <c:pt idx="38">
                    <c:v>9.8139320864588129E-11</c:v>
                  </c:pt>
                  <c:pt idx="39">
                    <c:v>1.2589391677266024E-10</c:v>
                  </c:pt>
                  <c:pt idx="40">
                    <c:v>1.1106013314472181E-10</c:v>
                  </c:pt>
                  <c:pt idx="41">
                    <c:v>9.209271565380552E-11</c:v>
                  </c:pt>
                  <c:pt idx="42">
                    <c:v>9.3073482393618885E-11</c:v>
                  </c:pt>
                  <c:pt idx="43">
                    <c:v>8.9312637642188406E-11</c:v>
                  </c:pt>
                  <c:pt idx="44">
                    <c:v>7.9685402945563852E-11</c:v>
                  </c:pt>
                  <c:pt idx="45">
                    <c:v>8.228541038969114E-11</c:v>
                  </c:pt>
                  <c:pt idx="46">
                    <c:v>7.241997140878543E-11</c:v>
                  </c:pt>
                  <c:pt idx="47">
                    <c:v>7.0335415145866175E-11</c:v>
                  </c:pt>
                  <c:pt idx="48">
                    <c:v>7.078652288837633E-11</c:v>
                  </c:pt>
                  <c:pt idx="49">
                    <c:v>7.3653003831507175E-11</c:v>
                  </c:pt>
                  <c:pt idx="50">
                    <c:v>7.1346815461107639E-11</c:v>
                  </c:pt>
                  <c:pt idx="51">
                    <c:v>7.2555386933453874E-11</c:v>
                  </c:pt>
                  <c:pt idx="52">
                    <c:v>7.9276086882445285E-11</c:v>
                  </c:pt>
                  <c:pt idx="53">
                    <c:v>8.1250852893520554E-11</c:v>
                  </c:pt>
                  <c:pt idx="54">
                    <c:v>9.2704475445011995E-11</c:v>
                  </c:pt>
                  <c:pt idx="55">
                    <c:v>8.7479635483243613E-11</c:v>
                  </c:pt>
                  <c:pt idx="56">
                    <c:v>9.2388950606605462E-11</c:v>
                  </c:pt>
                  <c:pt idx="57">
                    <c:v>9.8830593908250939E-11</c:v>
                  </c:pt>
                  <c:pt idx="58">
                    <c:v>1.0541204720148746E-10</c:v>
                  </c:pt>
                  <c:pt idx="59">
                    <c:v>1.0863549483350585E-10</c:v>
                  </c:pt>
                  <c:pt idx="60">
                    <c:v>1.0618948852410536E-10</c:v>
                  </c:pt>
                  <c:pt idx="61">
                    <c:v>7.4865443461807655E-11</c:v>
                  </c:pt>
                  <c:pt idx="62">
                    <c:v>7.7668216472882709E-11</c:v>
                  </c:pt>
                  <c:pt idx="63">
                    <c:v>7.7186820337473075E-11</c:v>
                  </c:pt>
                  <c:pt idx="64">
                    <c:v>6.9646352365061352E-11</c:v>
                  </c:pt>
                  <c:pt idx="65">
                    <c:v>7.1469123257891138E-11</c:v>
                  </c:pt>
                  <c:pt idx="66">
                    <c:v>7.0956749295115344E-11</c:v>
                  </c:pt>
                  <c:pt idx="67">
                    <c:v>7.0563943469634011E-11</c:v>
                  </c:pt>
                  <c:pt idx="68">
                    <c:v>9.08775559575342E-11</c:v>
                  </c:pt>
                  <c:pt idx="69">
                    <c:v>8.8937859265003068E-11</c:v>
                  </c:pt>
                  <c:pt idx="70">
                    <c:v>7.6908559867299478E-11</c:v>
                  </c:pt>
                  <c:pt idx="71">
                    <c:v>7.6836515950158835E-11</c:v>
                  </c:pt>
                  <c:pt idx="72">
                    <c:v>8.0742121933818941E-11</c:v>
                  </c:pt>
                  <c:pt idx="73">
                    <c:v>7.3214086848461312E-11</c:v>
                  </c:pt>
                  <c:pt idx="74">
                    <c:v>6.2886610762032653E-11</c:v>
                  </c:pt>
                  <c:pt idx="75">
                    <c:v>6.4894646400944099E-11</c:v>
                  </c:pt>
                  <c:pt idx="76">
                    <c:v>6.1812729205725876E-11</c:v>
                  </c:pt>
                  <c:pt idx="77">
                    <c:v>5.4285985374802595E-11</c:v>
                  </c:pt>
                  <c:pt idx="78">
                    <c:v>5.0920294580467047E-11</c:v>
                  </c:pt>
                  <c:pt idx="79">
                    <c:v>5.8095715695126294E-11</c:v>
                  </c:pt>
                  <c:pt idx="80">
                    <c:v>6.0600800566960926E-11</c:v>
                  </c:pt>
                  <c:pt idx="81">
                    <c:v>5.1460477718283668E-11</c:v>
                  </c:pt>
                  <c:pt idx="82">
                    <c:v>6.0623492569830616E-11</c:v>
                  </c:pt>
                  <c:pt idx="83">
                    <c:v>7.6123090133976923E-11</c:v>
                  </c:pt>
                  <c:pt idx="84">
                    <c:v>7.8977808840087987E-11</c:v>
                  </c:pt>
                  <c:pt idx="85">
                    <c:v>7.6470121981706217E-11</c:v>
                  </c:pt>
                  <c:pt idx="86">
                    <c:v>9.0357468259550287E-11</c:v>
                  </c:pt>
                  <c:pt idx="87">
                    <c:v>8.6441105980892431E-11</c:v>
                  </c:pt>
                  <c:pt idx="88">
                    <c:v>9.6182752353832152E-11</c:v>
                  </c:pt>
                  <c:pt idx="89">
                    <c:v>9.73888848574429E-11</c:v>
                  </c:pt>
                  <c:pt idx="90">
                    <c:v>9.5154178671794977E-11</c:v>
                  </c:pt>
                  <c:pt idx="91">
                    <c:v>9.7773712455632368E-11</c:v>
                  </c:pt>
                  <c:pt idx="92">
                    <c:v>8.9359840813603438E-11</c:v>
                  </c:pt>
                  <c:pt idx="93">
                    <c:v>1.0272200470213921E-10</c:v>
                  </c:pt>
                  <c:pt idx="94">
                    <c:v>9.5851818945846379E-11</c:v>
                  </c:pt>
                  <c:pt idx="95">
                    <c:v>8.8169455927107268E-11</c:v>
                  </c:pt>
                  <c:pt idx="96">
                    <c:v>8.9874328277501001E-11</c:v>
                  </c:pt>
                  <c:pt idx="97">
                    <c:v>7.8825031676203796E-11</c:v>
                  </c:pt>
                  <c:pt idx="98">
                    <c:v>8.5033261432351207E-11</c:v>
                  </c:pt>
                  <c:pt idx="99">
                    <c:v>7.7493657816782183E-11</c:v>
                  </c:pt>
                  <c:pt idx="100">
                    <c:v>2.7667461980678358E-11</c:v>
                  </c:pt>
                  <c:pt idx="101">
                    <c:v>2.6449153372407322E-11</c:v>
                  </c:pt>
                  <c:pt idx="102">
                    <c:v>2.2482805369451593E-11</c:v>
                  </c:pt>
                  <c:pt idx="103">
                    <c:v>2.096253072160268E-11</c:v>
                  </c:pt>
                  <c:pt idx="104">
                    <c:v>2.1071712517739416E-11</c:v>
                  </c:pt>
                  <c:pt idx="105">
                    <c:v>2.1977809062750383E-11</c:v>
                  </c:pt>
                  <c:pt idx="106">
                    <c:v>2.5640083646706244E-11</c:v>
                  </c:pt>
                  <c:pt idx="107">
                    <c:v>3.0392614175161907E-11</c:v>
                  </c:pt>
                  <c:pt idx="108">
                    <c:v>3.2497589582857976E-11</c:v>
                  </c:pt>
                  <c:pt idx="109">
                    <c:v>3.6699717562609948E-11</c:v>
                  </c:pt>
                  <c:pt idx="110">
                    <c:v>4.0651028717392712E-11</c:v>
                  </c:pt>
                  <c:pt idx="111">
                    <c:v>4.4863301681166161E-11</c:v>
                  </c:pt>
                  <c:pt idx="112">
                    <c:v>4.478327012763245E-11</c:v>
                  </c:pt>
                  <c:pt idx="113">
                    <c:v>4.655148123967615E-11</c:v>
                  </c:pt>
                  <c:pt idx="114">
                    <c:v>4.6326773474429784E-11</c:v>
                  </c:pt>
                  <c:pt idx="115">
                    <c:v>4.7989113016231971E-11</c:v>
                  </c:pt>
                  <c:pt idx="116">
                    <c:v>4.9061481243911909E-11</c:v>
                  </c:pt>
                  <c:pt idx="117">
                    <c:v>4.4562211294547096E-11</c:v>
                  </c:pt>
                  <c:pt idx="118">
                    <c:v>4.2218005619793659E-11</c:v>
                  </c:pt>
                  <c:pt idx="119">
                    <c:v>4.4315577850205432E-11</c:v>
                  </c:pt>
                  <c:pt idx="120">
                    <c:v>4.19377146195371E-11</c:v>
                  </c:pt>
                  <c:pt idx="121">
                    <c:v>3.4230679976010088E-11</c:v>
                  </c:pt>
                  <c:pt idx="122">
                    <c:v>3.3543950874545905E-11</c:v>
                  </c:pt>
                  <c:pt idx="123">
                    <c:v>3.3549964545265267E-11</c:v>
                  </c:pt>
                  <c:pt idx="124">
                    <c:v>3.1504816699265767E-11</c:v>
                  </c:pt>
                  <c:pt idx="125">
                    <c:v>2.9729480814399865E-11</c:v>
                  </c:pt>
                  <c:pt idx="126">
                    <c:v>3.4040635276906236E-11</c:v>
                  </c:pt>
                  <c:pt idx="127">
                    <c:v>3.6393626273352214E-11</c:v>
                  </c:pt>
                  <c:pt idx="128">
                    <c:v>4.3140742688275676E-11</c:v>
                  </c:pt>
                  <c:pt idx="129">
                    <c:v>4.6758061615671881E-11</c:v>
                  </c:pt>
                  <c:pt idx="130">
                    <c:v>5.3554019407969386E-11</c:v>
                  </c:pt>
                  <c:pt idx="131">
                    <c:v>6.2329340375510051E-11</c:v>
                  </c:pt>
                  <c:pt idx="132">
                    <c:v>6.3127343378735905E-11</c:v>
                  </c:pt>
                  <c:pt idx="133">
                    <c:v>6.3692950023711596E-11</c:v>
                  </c:pt>
                  <c:pt idx="134">
                    <c:v>6.3645798733494601E-11</c:v>
                  </c:pt>
                  <c:pt idx="135">
                    <c:v>6.641430152795489E-11</c:v>
                  </c:pt>
                  <c:pt idx="136">
                    <c:v>6.1670577319285651E-11</c:v>
                  </c:pt>
                  <c:pt idx="137">
                    <c:v>6.6270813737817608E-11</c:v>
                  </c:pt>
                  <c:pt idx="138">
                    <c:v>5.12321094842212E-11</c:v>
                  </c:pt>
                  <c:pt idx="139">
                    <c:v>5.1989583364679076E-11</c:v>
                  </c:pt>
                  <c:pt idx="140">
                    <c:v>4.6541875418594709E-11</c:v>
                  </c:pt>
                  <c:pt idx="141">
                    <c:v>4.3623483175341844E-11</c:v>
                  </c:pt>
                  <c:pt idx="142">
                    <c:v>4.2841559297479273E-11</c:v>
                  </c:pt>
                  <c:pt idx="143">
                    <c:v>4.5637496359227911E-11</c:v>
                  </c:pt>
                  <c:pt idx="144">
                    <c:v>5.7597773681627373E-11</c:v>
                  </c:pt>
                  <c:pt idx="145">
                    <c:v>5.4197796157438564E-11</c:v>
                  </c:pt>
                  <c:pt idx="146">
                    <c:v>6.7118962583854067E-11</c:v>
                  </c:pt>
                  <c:pt idx="147">
                    <c:v>7.2083839471343447E-11</c:v>
                  </c:pt>
                  <c:pt idx="148">
                    <c:v>8.4892246118152948E-11</c:v>
                  </c:pt>
                  <c:pt idx="149">
                    <c:v>8.4126248341731359E-11</c:v>
                  </c:pt>
                  <c:pt idx="150">
                    <c:v>7.5417254183577823E-11</c:v>
                  </c:pt>
                  <c:pt idx="151">
                    <c:v>8.0676457407721398E-11</c:v>
                  </c:pt>
                  <c:pt idx="152">
                    <c:v>8.6702203631933037E-11</c:v>
                  </c:pt>
                  <c:pt idx="153">
                    <c:v>8.1558611172512478E-11</c:v>
                  </c:pt>
                  <c:pt idx="154">
                    <c:v>7.6998695058857476E-11</c:v>
                  </c:pt>
                  <c:pt idx="155">
                    <c:v>6.6282253557341751E-11</c:v>
                  </c:pt>
                  <c:pt idx="156">
                    <c:v>6.1719331416182073E-11</c:v>
                  </c:pt>
                  <c:pt idx="157">
                    <c:v>7.1081776849351178E-11</c:v>
                  </c:pt>
                  <c:pt idx="158">
                    <c:v>6.8239999688890278E-11</c:v>
                  </c:pt>
                  <c:pt idx="159">
                    <c:v>5.6607503336515515E-11</c:v>
                  </c:pt>
                  <c:pt idx="160">
                    <c:v>6.8218757863241963E-11</c:v>
                  </c:pt>
                  <c:pt idx="161">
                    <c:v>8.0245298674736816E-11</c:v>
                  </c:pt>
                  <c:pt idx="162">
                    <c:v>9.4241868453680631E-11</c:v>
                  </c:pt>
                  <c:pt idx="163">
                    <c:v>1.0048645742682306E-10</c:v>
                  </c:pt>
                  <c:pt idx="164">
                    <c:v>1.0569568886318327E-10</c:v>
                  </c:pt>
                  <c:pt idx="165">
                    <c:v>1.1548145107875331E-10</c:v>
                  </c:pt>
                  <c:pt idx="166">
                    <c:v>1.1749884779953688E-10</c:v>
                  </c:pt>
                  <c:pt idx="167">
                    <c:v>1.0169397133525294E-10</c:v>
                  </c:pt>
                  <c:pt idx="168">
                    <c:v>4.9350838377868055E-11</c:v>
                  </c:pt>
                  <c:pt idx="169">
                    <c:v>4.7317460533882574E-11</c:v>
                  </c:pt>
                  <c:pt idx="170">
                    <c:v>3.8790828560036284E-11</c:v>
                  </c:pt>
                  <c:pt idx="171">
                    <c:v>3.8268812499119825E-11</c:v>
                  </c:pt>
                  <c:pt idx="172">
                    <c:v>3.8015158842689782E-11</c:v>
                  </c:pt>
                  <c:pt idx="173">
                    <c:v>4.3711248590649732E-11</c:v>
                  </c:pt>
                  <c:pt idx="174">
                    <c:v>5.2462911047669274E-11</c:v>
                  </c:pt>
                  <c:pt idx="175">
                    <c:v>5.6641461381815062E-11</c:v>
                  </c:pt>
                  <c:pt idx="176">
                    <c:v>6.321982321880726E-11</c:v>
                  </c:pt>
                  <c:pt idx="177">
                    <c:v>6.1596866025342836E-11</c:v>
                  </c:pt>
                  <c:pt idx="178">
                    <c:v>6.2854152831703094E-11</c:v>
                  </c:pt>
                  <c:pt idx="179">
                    <c:v>6.4004102597749573E-11</c:v>
                  </c:pt>
                  <c:pt idx="180">
                    <c:v>5.4167517026565991E-11</c:v>
                  </c:pt>
                  <c:pt idx="181">
                    <c:v>5.3059930750420688E-11</c:v>
                  </c:pt>
                  <c:pt idx="182">
                    <c:v>4.6392775897964131E-11</c:v>
                  </c:pt>
                  <c:pt idx="183">
                    <c:v>4.7243630332415342E-11</c:v>
                  </c:pt>
                  <c:pt idx="184">
                    <c:v>5.0615877625499872E-11</c:v>
                  </c:pt>
                  <c:pt idx="185">
                    <c:v>5.5285768286343998E-11</c:v>
                  </c:pt>
                  <c:pt idx="186">
                    <c:v>6.3078619111442465E-11</c:v>
                  </c:pt>
                  <c:pt idx="187">
                    <c:v>7.2568392351633112E-11</c:v>
                  </c:pt>
                  <c:pt idx="188">
                    <c:v>7.4218544611846994E-11</c:v>
                  </c:pt>
                  <c:pt idx="189">
                    <c:v>7.6668848600980189E-11</c:v>
                  </c:pt>
                  <c:pt idx="190">
                    <c:v>7.5269376393489498E-11</c:v>
                  </c:pt>
                  <c:pt idx="191">
                    <c:v>7.5136844901825093E-11</c:v>
                  </c:pt>
                  <c:pt idx="192">
                    <c:v>7.5626438230376302E-11</c:v>
                  </c:pt>
                  <c:pt idx="193">
                    <c:v>6.0771013725971249E-11</c:v>
                  </c:pt>
                  <c:pt idx="194">
                    <c:v>6.0434060477946234E-11</c:v>
                  </c:pt>
                  <c:pt idx="195">
                    <c:v>7.2334629547472319E-11</c:v>
                  </c:pt>
                  <c:pt idx="196">
                    <c:v>7.7038115654470616E-11</c:v>
                  </c:pt>
                  <c:pt idx="197">
                    <c:v>8.8498957363920957E-11</c:v>
                  </c:pt>
                  <c:pt idx="198">
                    <c:v>9.1512996732032883E-11</c:v>
                  </c:pt>
                  <c:pt idx="199">
                    <c:v>9.6326184842142009E-11</c:v>
                  </c:pt>
                  <c:pt idx="200">
                    <c:v>1.0935535456065323E-10</c:v>
                  </c:pt>
                  <c:pt idx="201">
                    <c:v>9.454188867440769E-11</c:v>
                  </c:pt>
                  <c:pt idx="202">
                    <c:v>7.9614426089964118E-11</c:v>
                  </c:pt>
                  <c:pt idx="203">
                    <c:v>7.3818785671096646E-11</c:v>
                  </c:pt>
                  <c:pt idx="204">
                    <c:v>8.257607694569349E-11</c:v>
                  </c:pt>
                  <c:pt idx="205">
                    <c:v>8.0725916139220672E-11</c:v>
                  </c:pt>
                  <c:pt idx="206">
                    <c:v>9.4084593632365434E-11</c:v>
                  </c:pt>
                  <c:pt idx="207">
                    <c:v>1.067267145964961E-10</c:v>
                  </c:pt>
                  <c:pt idx="208">
                    <c:v>1.059907586370493E-10</c:v>
                  </c:pt>
                  <c:pt idx="209">
                    <c:v>1.1952831923483458E-10</c:v>
                  </c:pt>
                  <c:pt idx="210">
                    <c:v>1.083716804538973E-10</c:v>
                  </c:pt>
                  <c:pt idx="211">
                    <c:v>1.1183955239110637E-10</c:v>
                  </c:pt>
                  <c:pt idx="212">
                    <c:v>1.0371587258532687E-10</c:v>
                  </c:pt>
                  <c:pt idx="213">
                    <c:v>1.1619268246017598E-10</c:v>
                  </c:pt>
                  <c:pt idx="214">
                    <c:v>1.2588294015652997E-10</c:v>
                  </c:pt>
                  <c:pt idx="215">
                    <c:v>1.2191253894373804E-10</c:v>
                  </c:pt>
                  <c:pt idx="216">
                    <c:v>1.415316207768039E-10</c:v>
                  </c:pt>
                  <c:pt idx="217">
                    <c:v>1.3064113374621305E-10</c:v>
                  </c:pt>
                  <c:pt idx="218">
                    <c:v>1.3249169297412676E-10</c:v>
                  </c:pt>
                  <c:pt idx="219">
                    <c:v>1.377321901779589E-10</c:v>
                  </c:pt>
                  <c:pt idx="220">
                    <c:v>1.2510549285956277E-10</c:v>
                  </c:pt>
                  <c:pt idx="221">
                    <c:v>1.3814120681191325E-10</c:v>
                  </c:pt>
                  <c:pt idx="222">
                    <c:v>1.3893172030367836E-10</c:v>
                  </c:pt>
                  <c:pt idx="223">
                    <c:v>1.3414355454368724E-10</c:v>
                  </c:pt>
                  <c:pt idx="224">
                    <c:v>1.505885512931953E-10</c:v>
                  </c:pt>
                  <c:pt idx="225">
                    <c:v>1.6266418307315766E-10</c:v>
                  </c:pt>
                  <c:pt idx="226">
                    <c:v>1.6951072000580546E-10</c:v>
                  </c:pt>
                  <c:pt idx="227">
                    <c:v>1.4900884683119978E-10</c:v>
                  </c:pt>
                  <c:pt idx="228">
                    <c:v>1.651739790916661E-10</c:v>
                  </c:pt>
                  <c:pt idx="229">
                    <c:v>1.5113695873765242E-10</c:v>
                  </c:pt>
                  <c:pt idx="230">
                    <c:v>1.4650871124866624E-10</c:v>
                  </c:pt>
                  <c:pt idx="231">
                    <c:v>1.7219728768673008E-10</c:v>
                  </c:pt>
                  <c:pt idx="232">
                    <c:v>1.8951153093492041E-10</c:v>
                  </c:pt>
                  <c:pt idx="233">
                    <c:v>1.8509216992497521E-10</c:v>
                  </c:pt>
                  <c:pt idx="234">
                    <c:v>1.9497147483810184E-10</c:v>
                  </c:pt>
                  <c:pt idx="235">
                    <c:v>1.9072335179014333E-10</c:v>
                  </c:pt>
                  <c:pt idx="236">
                    <c:v>2.1554979903466333E-10</c:v>
                  </c:pt>
                  <c:pt idx="237">
                    <c:v>1.1636680721013354E-10</c:v>
                  </c:pt>
                  <c:pt idx="238">
                    <c:v>1.2873672508170353E-10</c:v>
                  </c:pt>
                  <c:pt idx="239">
                    <c:v>1.2330608999229697E-10</c:v>
                  </c:pt>
                  <c:pt idx="240">
                    <c:v>1.161926982344141E-10</c:v>
                  </c:pt>
                  <c:pt idx="241">
                    <c:v>1.1887537168547923E-10</c:v>
                  </c:pt>
                  <c:pt idx="242">
                    <c:v>1.2487295545752294E-10</c:v>
                  </c:pt>
                  <c:pt idx="243">
                    <c:v>1.2595117252233769E-10</c:v>
                  </c:pt>
                  <c:pt idx="244">
                    <c:v>1.4110448816371599E-10</c:v>
                  </c:pt>
                  <c:pt idx="245">
                    <c:v>1.3769668050758901E-10</c:v>
                  </c:pt>
                  <c:pt idx="246">
                    <c:v>1.3658698105472208E-10</c:v>
                  </c:pt>
                  <c:pt idx="247">
                    <c:v>1.3503046416602622E-10</c:v>
                  </c:pt>
                  <c:pt idx="248">
                    <c:v>1.3448321548127644E-10</c:v>
                  </c:pt>
                  <c:pt idx="249">
                    <c:v>1.4410232952794194E-10</c:v>
                  </c:pt>
                  <c:pt idx="250">
                    <c:v>1.4314476120477914E-10</c:v>
                  </c:pt>
                  <c:pt idx="251">
                    <c:v>1.6041911552885096E-10</c:v>
                  </c:pt>
                  <c:pt idx="252">
                    <c:v>1.6517389811542548E-10</c:v>
                  </c:pt>
                  <c:pt idx="253">
                    <c:v>1.6226243405466541E-10</c:v>
                  </c:pt>
                  <c:pt idx="254">
                    <c:v>1.5718682836249609E-10</c:v>
                  </c:pt>
                  <c:pt idx="255">
                    <c:v>1.7741934314360513E-10</c:v>
                  </c:pt>
                  <c:pt idx="256">
                    <c:v>1.9867997329739628E-10</c:v>
                  </c:pt>
                  <c:pt idx="257">
                    <c:v>2.0492489666257667E-10</c:v>
                  </c:pt>
                  <c:pt idx="258">
                    <c:v>1.829622980322694E-10</c:v>
                  </c:pt>
                  <c:pt idx="259">
                    <c:v>1.9323345744154323E-10</c:v>
                  </c:pt>
                  <c:pt idx="260">
                    <c:v>1.9854691963598305E-10</c:v>
                  </c:pt>
                  <c:pt idx="261">
                    <c:v>2.0019803065925067E-10</c:v>
                  </c:pt>
                  <c:pt idx="262">
                    <c:v>2.1713387841240129E-10</c:v>
                  </c:pt>
                  <c:pt idx="263">
                    <c:v>2.3311860085430556E-10</c:v>
                  </c:pt>
                  <c:pt idx="264">
                    <c:v>2.2502541645185567E-10</c:v>
                  </c:pt>
                  <c:pt idx="265">
                    <c:v>2.0768118716973136E-10</c:v>
                  </c:pt>
                  <c:pt idx="266">
                    <c:v>2.355799095936929E-10</c:v>
                  </c:pt>
                  <c:pt idx="267">
                    <c:v>2.330963448663605E-10</c:v>
                  </c:pt>
                  <c:pt idx="268">
                    <c:v>2.4484502124621964E-10</c:v>
                  </c:pt>
                  <c:pt idx="269">
                    <c:v>2.8401476935634201E-10</c:v>
                  </c:pt>
                  <c:pt idx="270">
                    <c:v>2.6300820168520178E-10</c:v>
                  </c:pt>
                  <c:pt idx="271">
                    <c:v>2.5194979030901864E-10</c:v>
                  </c:pt>
                  <c:pt idx="272">
                    <c:v>2.5270304959666519E-10</c:v>
                  </c:pt>
                  <c:pt idx="273">
                    <c:v>2.9295432103689702E-10</c:v>
                  </c:pt>
                  <c:pt idx="274">
                    <c:v>3.2895398527934298E-10</c:v>
                  </c:pt>
                  <c:pt idx="275">
                    <c:v>2.8846047931143601E-10</c:v>
                  </c:pt>
                  <c:pt idx="276">
                    <c:v>2.8475777571676179E-10</c:v>
                  </c:pt>
                  <c:pt idx="277">
                    <c:v>3.455030471171704E-10</c:v>
                  </c:pt>
                  <c:pt idx="278">
                    <c:v>3.0167237762101905E-10</c:v>
                  </c:pt>
                  <c:pt idx="279">
                    <c:v>3.2420211301496173E-10</c:v>
                  </c:pt>
                  <c:pt idx="280">
                    <c:v>3.0218980387122166E-10</c:v>
                  </c:pt>
                  <c:pt idx="281">
                    <c:v>3.2435621137551334E-10</c:v>
                  </c:pt>
                  <c:pt idx="282">
                    <c:v>3.7738352394128205E-10</c:v>
                  </c:pt>
                  <c:pt idx="283">
                    <c:v>3.1823244336138424E-10</c:v>
                  </c:pt>
                  <c:pt idx="284">
                    <c:v>3.4301048607774006E-10</c:v>
                  </c:pt>
                  <c:pt idx="285">
                    <c:v>3.3645222698221343E-10</c:v>
                  </c:pt>
                  <c:pt idx="286">
                    <c:v>3.5244924431155407E-10</c:v>
                  </c:pt>
                  <c:pt idx="287">
                    <c:v>3.6603828965044515E-10</c:v>
                  </c:pt>
                  <c:pt idx="288">
                    <c:v>4.0723654523865675E-10</c:v>
                  </c:pt>
                  <c:pt idx="289">
                    <c:v>4.5194965708993136E-10</c:v>
                  </c:pt>
                  <c:pt idx="290">
                    <c:v>3.7140966250978618E-10</c:v>
                  </c:pt>
                  <c:pt idx="291">
                    <c:v>3.8331007026991864E-10</c:v>
                  </c:pt>
                  <c:pt idx="292">
                    <c:v>3.8381775689716681E-10</c:v>
                  </c:pt>
                  <c:pt idx="293">
                    <c:v>4.13025867563496E-10</c:v>
                  </c:pt>
                  <c:pt idx="294">
                    <c:v>4.4002636069782626E-10</c:v>
                  </c:pt>
                  <c:pt idx="295">
                    <c:v>4.3335252177285574E-10</c:v>
                  </c:pt>
                  <c:pt idx="296">
                    <c:v>4.9052270918327159E-10</c:v>
                  </c:pt>
                  <c:pt idx="297">
                    <c:v>4.2183333978964292E-10</c:v>
                  </c:pt>
                  <c:pt idx="298">
                    <c:v>5.1201353233559335E-10</c:v>
                  </c:pt>
                  <c:pt idx="299">
                    <c:v>5.1534833555175502E-10</c:v>
                  </c:pt>
                  <c:pt idx="300">
                    <c:v>4.4534457346395351E-10</c:v>
                  </c:pt>
                  <c:pt idx="301">
                    <c:v>4.8379062952723842E-10</c:v>
                  </c:pt>
                  <c:pt idx="302">
                    <c:v>5.6837292199310642E-10</c:v>
                  </c:pt>
                  <c:pt idx="303">
                    <c:v>5.3119986999093888E-10</c:v>
                  </c:pt>
                  <c:pt idx="304">
                    <c:v>5.083834723667694E-10</c:v>
                  </c:pt>
                  <c:pt idx="305">
                    <c:v>4.4160489679931914E-10</c:v>
                  </c:pt>
                  <c:pt idx="306">
                    <c:v>6.0326015286827482E-10</c:v>
                  </c:pt>
                  <c:pt idx="307">
                    <c:v>5.3045053064459036E-10</c:v>
                  </c:pt>
                  <c:pt idx="308">
                    <c:v>6.7083916672414428E-10</c:v>
                  </c:pt>
                  <c:pt idx="309">
                    <c:v>5.5049049608329254E-10</c:v>
                  </c:pt>
                  <c:pt idx="310">
                    <c:v>6.4408836694380873E-10</c:v>
                  </c:pt>
                  <c:pt idx="311">
                    <c:v>6.8946788148367516E-10</c:v>
                  </c:pt>
                  <c:pt idx="312">
                    <c:v>7.0131179189785791E-10</c:v>
                  </c:pt>
                  <c:pt idx="313">
                    <c:v>7.4762576115329023E-10</c:v>
                  </c:pt>
                  <c:pt idx="314">
                    <c:v>7.1492633543193287E-10</c:v>
                  </c:pt>
                  <c:pt idx="315">
                    <c:v>7.5365685587529565E-10</c:v>
                  </c:pt>
                  <c:pt idx="316">
                    <c:v>7.4802558120536811E-10</c:v>
                  </c:pt>
                  <c:pt idx="317">
                    <c:v>7.5669172855758587E-10</c:v>
                  </c:pt>
                  <c:pt idx="318">
                    <c:v>7.1504649126859459E-10</c:v>
                  </c:pt>
                  <c:pt idx="319">
                    <c:v>9.4750808750206131E-10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  <c:pt idx="279">
                  <c:v>0.13269911931299999</c:v>
                </c:pt>
                <c:pt idx="280">
                  <c:v>0.134026110506</c:v>
                </c:pt>
                <c:pt idx="281">
                  <c:v>0.13536637161100001</c:v>
                </c:pt>
                <c:pt idx="282">
                  <c:v>0.136720035327</c:v>
                </c:pt>
                <c:pt idx="283">
                  <c:v>0.13808723568</c:v>
                </c:pt>
                <c:pt idx="284">
                  <c:v>0.13946810803699999</c:v>
                </c:pt>
                <c:pt idx="285">
                  <c:v>0.14086278911700001</c:v>
                </c:pt>
                <c:pt idx="286">
                  <c:v>0.14227141700900001</c:v>
                </c:pt>
                <c:pt idx="287">
                  <c:v>0.14369413117900001</c:v>
                </c:pt>
                <c:pt idx="288">
                  <c:v>0.14513107249099999</c:v>
                </c:pt>
                <c:pt idx="289">
                  <c:v>0.146582383215</c:v>
                </c:pt>
                <c:pt idx="290">
                  <c:v>0.14804820704800001</c:v>
                </c:pt>
                <c:pt idx="291">
                  <c:v>0.14952868911799999</c:v>
                </c:pt>
                <c:pt idx="292">
                  <c:v>0.151023976009</c:v>
                </c:pt>
                <c:pt idx="293">
                  <c:v>0.152534215769</c:v>
                </c:pt>
                <c:pt idx="294">
                  <c:v>0.15405955792699999</c:v>
                </c:pt>
                <c:pt idx="295">
                  <c:v>0.15560015350600001</c:v>
                </c:pt>
                <c:pt idx="296">
                  <c:v>0.157156155041</c:v>
                </c:pt>
                <c:pt idx="297">
                  <c:v>0.158727716592</c:v>
                </c:pt>
                <c:pt idx="298">
                  <c:v>0.16031499375800001</c:v>
                </c:pt>
                <c:pt idx="299">
                  <c:v>0.16191814369499999</c:v>
                </c:pt>
                <c:pt idx="300">
                  <c:v>0.16353732513200001</c:v>
                </c:pt>
                <c:pt idx="301">
                  <c:v>0.16517269838400001</c:v>
                </c:pt>
                <c:pt idx="302">
                  <c:v>0.16682442536700001</c:v>
                </c:pt>
                <c:pt idx="303">
                  <c:v>0.16849266962100001</c:v>
                </c:pt>
                <c:pt idx="304">
                  <c:v>0.170177596317</c:v>
                </c:pt>
                <c:pt idx="305">
                  <c:v>0.17187937228</c:v>
                </c:pt>
                <c:pt idx="306">
                  <c:v>0.17359816600299999</c:v>
                </c:pt>
                <c:pt idx="307">
                  <c:v>0.17533414766300001</c:v>
                </c:pt>
                <c:pt idx="308">
                  <c:v>0.17708748914</c:v>
                </c:pt>
                <c:pt idx="309">
                  <c:v>0.178858364031</c:v>
                </c:pt>
                <c:pt idx="310">
                  <c:v>0.18064694767200001</c:v>
                </c:pt>
                <c:pt idx="311">
                  <c:v>0.18245341714800001</c:v>
                </c:pt>
                <c:pt idx="312">
                  <c:v>0.18427795131999999</c:v>
                </c:pt>
                <c:pt idx="313">
                  <c:v>0.18612073083299999</c:v>
                </c:pt>
                <c:pt idx="314">
                  <c:v>0.187981938141</c:v>
                </c:pt>
                <c:pt idx="315">
                  <c:v>0.189861757523</c:v>
                </c:pt>
                <c:pt idx="316">
                  <c:v>0.19176037509800001</c:v>
                </c:pt>
                <c:pt idx="317">
                  <c:v>0.19367797884900001</c:v>
                </c:pt>
                <c:pt idx="318">
                  <c:v>0.19561475863700001</c:v>
                </c:pt>
                <c:pt idx="319">
                  <c:v>0.197570906224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5.6562441463912711E-9</c:v>
                </c:pt>
                <c:pt idx="1">
                  <c:v>4.9027660197753225E-9</c:v>
                </c:pt>
                <c:pt idx="2">
                  <c:v>5.4712749890303209E-9</c:v>
                </c:pt>
                <c:pt idx="3">
                  <c:v>4.5616740453771614E-9</c:v>
                </c:pt>
                <c:pt idx="4">
                  <c:v>4.9959442503782301E-9</c:v>
                </c:pt>
                <c:pt idx="5">
                  <c:v>6.2439167348202997E-9</c:v>
                </c:pt>
                <c:pt idx="6">
                  <c:v>6.0975676549779114E-9</c:v>
                </c:pt>
                <c:pt idx="7">
                  <c:v>5.6032951623047413E-9</c:v>
                </c:pt>
                <c:pt idx="8">
                  <c:v>6.6296985277537677E-9</c:v>
                </c:pt>
                <c:pt idx="9">
                  <c:v>6.8246052411373452E-9</c:v>
                </c:pt>
                <c:pt idx="10">
                  <c:v>6.7304716366016969E-9</c:v>
                </c:pt>
                <c:pt idx="11">
                  <c:v>7.230407827747907E-9</c:v>
                </c:pt>
                <c:pt idx="12">
                  <c:v>7.5004308143490915E-9</c:v>
                </c:pt>
                <c:pt idx="13">
                  <c:v>8.1643680493514674E-9</c:v>
                </c:pt>
                <c:pt idx="14">
                  <c:v>8.1974905383156675E-9</c:v>
                </c:pt>
                <c:pt idx="15">
                  <c:v>8.4217170432122114E-9</c:v>
                </c:pt>
                <c:pt idx="16">
                  <c:v>9.0289985267422948E-9</c:v>
                </c:pt>
                <c:pt idx="17">
                  <c:v>8.7115426462227504E-9</c:v>
                </c:pt>
                <c:pt idx="18">
                  <c:v>9.5542122906528282E-9</c:v>
                </c:pt>
                <c:pt idx="19">
                  <c:v>7.7284956904964895E-9</c:v>
                </c:pt>
                <c:pt idx="20">
                  <c:v>8.2199286077733212E-9</c:v>
                </c:pt>
                <c:pt idx="21">
                  <c:v>6.199092697116065E-9</c:v>
                </c:pt>
                <c:pt idx="22">
                  <c:v>4.2631189263036302E-9</c:v>
                </c:pt>
                <c:pt idx="23">
                  <c:v>3.8750814080882931E-9</c:v>
                </c:pt>
                <c:pt idx="24">
                  <c:v>3.4392609966571819E-9</c:v>
                </c:pt>
                <c:pt idx="25">
                  <c:v>3.1307489276116464E-9</c:v>
                </c:pt>
                <c:pt idx="26">
                  <c:v>2.7801430599911163E-9</c:v>
                </c:pt>
                <c:pt idx="27">
                  <c:v>2.3383502389256753E-9</c:v>
                </c:pt>
                <c:pt idx="28">
                  <c:v>2.8281413801658944E-9</c:v>
                </c:pt>
                <c:pt idx="29">
                  <c:v>3.0675073326630891E-9</c:v>
                </c:pt>
                <c:pt idx="30">
                  <c:v>2.9169732147166382E-9</c:v>
                </c:pt>
                <c:pt idx="31">
                  <c:v>2.6906091145679511E-9</c:v>
                </c:pt>
                <c:pt idx="32">
                  <c:v>2.6649650222909018E-9</c:v>
                </c:pt>
                <c:pt idx="33">
                  <c:v>2.5986331611334568E-9</c:v>
                </c:pt>
                <c:pt idx="34">
                  <c:v>2.0003028748682854E-9</c:v>
                </c:pt>
                <c:pt idx="35">
                  <c:v>2.0460170004023508E-9</c:v>
                </c:pt>
                <c:pt idx="36">
                  <c:v>1.825237978990105E-9</c:v>
                </c:pt>
                <c:pt idx="37">
                  <c:v>1.7278208902249325E-9</c:v>
                </c:pt>
                <c:pt idx="38">
                  <c:v>1.3220621387851528E-9</c:v>
                </c:pt>
                <c:pt idx="39">
                  <c:v>1.5203187269374098E-9</c:v>
                </c:pt>
                <c:pt idx="40">
                  <c:v>1.1967600917372161E-9</c:v>
                </c:pt>
                <c:pt idx="41">
                  <c:v>7.8658103920642171E-10</c:v>
                </c:pt>
                <c:pt idx="42">
                  <c:v>8.6191042553441969E-10</c:v>
                </c:pt>
                <c:pt idx="43">
                  <c:v>7.399229412637613E-10</c:v>
                </c:pt>
                <c:pt idx="44">
                  <c:v>5.8489715384677422E-10</c:v>
                </c:pt>
                <c:pt idx="45">
                  <c:v>6.5711166033831508E-10</c:v>
                </c:pt>
                <c:pt idx="46">
                  <c:v>5.1415137724789098E-10</c:v>
                </c:pt>
                <c:pt idx="47">
                  <c:v>4.8920288200769022E-10</c:v>
                </c:pt>
                <c:pt idx="48">
                  <c:v>5.0827698001216567E-10</c:v>
                </c:pt>
                <c:pt idx="49">
                  <c:v>5.3940492420383022E-10</c:v>
                </c:pt>
                <c:pt idx="50">
                  <c:v>5.2316848403904457E-10</c:v>
                </c:pt>
                <c:pt idx="51">
                  <c:v>5.5774982938321922E-10</c:v>
                </c:pt>
                <c:pt idx="52">
                  <c:v>6.9138909138141324E-10</c:v>
                </c:pt>
                <c:pt idx="53">
                  <c:v>7.291501944736459E-10</c:v>
                </c:pt>
                <c:pt idx="54">
                  <c:v>8.8984445592500629E-10</c:v>
                </c:pt>
                <c:pt idx="55">
                  <c:v>8.3070517026394559E-10</c:v>
                </c:pt>
                <c:pt idx="56">
                  <c:v>9.7609161690225789E-10</c:v>
                </c:pt>
                <c:pt idx="57">
                  <c:v>1.0716501137051874E-9</c:v>
                </c:pt>
                <c:pt idx="58">
                  <c:v>1.2320901837588599E-9</c:v>
                </c:pt>
                <c:pt idx="59">
                  <c:v>1.3561197070451483E-9</c:v>
                </c:pt>
                <c:pt idx="60">
                  <c:v>1.3122450900428218E-9</c:v>
                </c:pt>
                <c:pt idx="61">
                  <c:v>1.2387632915507324E-9</c:v>
                </c:pt>
                <c:pt idx="62">
                  <c:v>1.3907366677024762E-9</c:v>
                </c:pt>
                <c:pt idx="63">
                  <c:v>1.3507127146916938E-9</c:v>
                </c:pt>
                <c:pt idx="64">
                  <c:v>1.1749167875362617E-9</c:v>
                </c:pt>
                <c:pt idx="65">
                  <c:v>1.2526979334032571E-9</c:v>
                </c:pt>
                <c:pt idx="66">
                  <c:v>1.2185535005162248E-9</c:v>
                </c:pt>
                <c:pt idx="67">
                  <c:v>1.1280577888737094E-9</c:v>
                </c:pt>
                <c:pt idx="68">
                  <c:v>9.6985868978177006E-10</c:v>
                </c:pt>
                <c:pt idx="69">
                  <c:v>9.5758756480127462E-10</c:v>
                </c:pt>
                <c:pt idx="70">
                  <c:v>7.2797428526441292E-10</c:v>
                </c:pt>
                <c:pt idx="71">
                  <c:v>6.5258088929845031E-10</c:v>
                </c:pt>
                <c:pt idx="72">
                  <c:v>7.8154309958028797E-10</c:v>
                </c:pt>
                <c:pt idx="73">
                  <c:v>6.0736338524314534E-10</c:v>
                </c:pt>
                <c:pt idx="74">
                  <c:v>4.6660179061993199E-10</c:v>
                </c:pt>
                <c:pt idx="75">
                  <c:v>4.6265137243699465E-10</c:v>
                </c:pt>
                <c:pt idx="76">
                  <c:v>4.0895398048785708E-10</c:v>
                </c:pt>
                <c:pt idx="77">
                  <c:v>3.5741774901670414E-10</c:v>
                </c:pt>
                <c:pt idx="78">
                  <c:v>3.1429018098089438E-10</c:v>
                </c:pt>
                <c:pt idx="79">
                  <c:v>3.5379908466278904E-10</c:v>
                </c:pt>
                <c:pt idx="80">
                  <c:v>3.9816379488693366E-10</c:v>
                </c:pt>
                <c:pt idx="81">
                  <c:v>2.9034926312547656E-10</c:v>
                </c:pt>
                <c:pt idx="82">
                  <c:v>3.6052860637216249E-10</c:v>
                </c:pt>
                <c:pt idx="83">
                  <c:v>6.7678792045557172E-10</c:v>
                </c:pt>
                <c:pt idx="84">
                  <c:v>7.2479388216915083E-10</c:v>
                </c:pt>
                <c:pt idx="85">
                  <c:v>6.9006185557435036E-10</c:v>
                </c:pt>
                <c:pt idx="86">
                  <c:v>9.4612698623886016E-10</c:v>
                </c:pt>
                <c:pt idx="87">
                  <c:v>8.7086515666084533E-10</c:v>
                </c:pt>
                <c:pt idx="88">
                  <c:v>1.0672706976405498E-9</c:v>
                </c:pt>
                <c:pt idx="89">
                  <c:v>1.0526387216269653E-9</c:v>
                </c:pt>
                <c:pt idx="90">
                  <c:v>1.0178877814537525E-9</c:v>
                </c:pt>
                <c:pt idx="91">
                  <c:v>1.0438653323754141E-9</c:v>
                </c:pt>
                <c:pt idx="92">
                  <c:v>8.8497804522425741E-10</c:v>
                </c:pt>
                <c:pt idx="93">
                  <c:v>1.1693583179375703E-9</c:v>
                </c:pt>
                <c:pt idx="94">
                  <c:v>9.9788955135124318E-10</c:v>
                </c:pt>
                <c:pt idx="95">
                  <c:v>8.1743071368890913E-10</c:v>
                </c:pt>
                <c:pt idx="96">
                  <c:v>8.43496983386768E-10</c:v>
                </c:pt>
                <c:pt idx="97">
                  <c:v>6.3345905967890746E-10</c:v>
                </c:pt>
                <c:pt idx="98">
                  <c:v>7.6208368828529907E-10</c:v>
                </c:pt>
                <c:pt idx="99">
                  <c:v>6.2553355172006646E-10</c:v>
                </c:pt>
                <c:pt idx="100">
                  <c:v>4.1143031993341307E-10</c:v>
                </c:pt>
                <c:pt idx="101">
                  <c:v>3.8443270013687752E-10</c:v>
                </c:pt>
                <c:pt idx="102">
                  <c:v>2.920433416387805E-10</c:v>
                </c:pt>
                <c:pt idx="103">
                  <c:v>2.8244180459035393E-10</c:v>
                </c:pt>
                <c:pt idx="104">
                  <c:v>2.5569580707425298E-10</c:v>
                </c:pt>
                <c:pt idx="105">
                  <c:v>2.8806945247852526E-10</c:v>
                </c:pt>
                <c:pt idx="106">
                  <c:v>3.7584033840807326E-10</c:v>
                </c:pt>
                <c:pt idx="107">
                  <c:v>5.0447827101528649E-10</c:v>
                </c:pt>
                <c:pt idx="108">
                  <c:v>5.6713870561050478E-10</c:v>
                </c:pt>
                <c:pt idx="109">
                  <c:v>6.0876015470257381E-10</c:v>
                </c:pt>
                <c:pt idx="110">
                  <c:v>7.2802640031110977E-10</c:v>
                </c:pt>
                <c:pt idx="111">
                  <c:v>8.3068482744259586E-10</c:v>
                </c:pt>
                <c:pt idx="112">
                  <c:v>8.5663697600174655E-10</c:v>
                </c:pt>
                <c:pt idx="113">
                  <c:v>9.1900907009845652E-10</c:v>
                </c:pt>
                <c:pt idx="114">
                  <c:v>9.1639839585463582E-10</c:v>
                </c:pt>
                <c:pt idx="115">
                  <c:v>9.5988156020371734E-10</c:v>
                </c:pt>
                <c:pt idx="116">
                  <c:v>9.3601339362960231E-10</c:v>
                </c:pt>
                <c:pt idx="117">
                  <c:v>8.2087937069910767E-10</c:v>
                </c:pt>
                <c:pt idx="118">
                  <c:v>7.253640097791999E-10</c:v>
                </c:pt>
                <c:pt idx="119">
                  <c:v>7.1229694434898151E-10</c:v>
                </c:pt>
                <c:pt idx="120">
                  <c:v>6.313828597920876E-10</c:v>
                </c:pt>
                <c:pt idx="121">
                  <c:v>4.4334285961054808E-10</c:v>
                </c:pt>
                <c:pt idx="122">
                  <c:v>3.6611535241476436E-10</c:v>
                </c:pt>
                <c:pt idx="123">
                  <c:v>3.8064667056652879E-10</c:v>
                </c:pt>
                <c:pt idx="124">
                  <c:v>3.1035805992670662E-10</c:v>
                </c:pt>
                <c:pt idx="125">
                  <c:v>2.8138931686933528E-10</c:v>
                </c:pt>
                <c:pt idx="126">
                  <c:v>3.4523349790482087E-10</c:v>
                </c:pt>
                <c:pt idx="127">
                  <c:v>3.5744761040645845E-10</c:v>
                </c:pt>
                <c:pt idx="128">
                  <c:v>5.3971227054069443E-10</c:v>
                </c:pt>
                <c:pt idx="129">
                  <c:v>5.8784367225409676E-10</c:v>
                </c:pt>
                <c:pt idx="130">
                  <c:v>7.3969021075857204E-10</c:v>
                </c:pt>
                <c:pt idx="131">
                  <c:v>9.0846523024383777E-10</c:v>
                </c:pt>
                <c:pt idx="132">
                  <c:v>8.9181095208985407E-10</c:v>
                </c:pt>
                <c:pt idx="133">
                  <c:v>9.4869464193757479E-10</c:v>
                </c:pt>
                <c:pt idx="134">
                  <c:v>9.2839842978318795E-10</c:v>
                </c:pt>
                <c:pt idx="135">
                  <c:v>9.5241845566762445E-10</c:v>
                </c:pt>
                <c:pt idx="136">
                  <c:v>7.6268567237746372E-10</c:v>
                </c:pt>
                <c:pt idx="137">
                  <c:v>7.7127595930290702E-10</c:v>
                </c:pt>
                <c:pt idx="138">
                  <c:v>4.7435492449316704E-10</c:v>
                </c:pt>
                <c:pt idx="139">
                  <c:v>4.713645917247821E-10</c:v>
                </c:pt>
                <c:pt idx="140">
                  <c:v>3.1942340933156425E-10</c:v>
                </c:pt>
                <c:pt idx="141">
                  <c:v>2.8689291574748133E-10</c:v>
                </c:pt>
                <c:pt idx="142">
                  <c:v>2.6818917186709352E-10</c:v>
                </c:pt>
                <c:pt idx="143">
                  <c:v>3.2380717144646282E-10</c:v>
                </c:pt>
                <c:pt idx="144">
                  <c:v>4.875797388687946E-10</c:v>
                </c:pt>
                <c:pt idx="145">
                  <c:v>3.7722100534761417E-10</c:v>
                </c:pt>
                <c:pt idx="146">
                  <c:v>6.2455883992370041E-10</c:v>
                </c:pt>
                <c:pt idx="147">
                  <c:v>7.3220911908749664E-10</c:v>
                </c:pt>
                <c:pt idx="148">
                  <c:v>9.2456724548651783E-10</c:v>
                </c:pt>
                <c:pt idx="149">
                  <c:v>9.4715288816668242E-10</c:v>
                </c:pt>
                <c:pt idx="150">
                  <c:v>7.358403509185538E-10</c:v>
                </c:pt>
                <c:pt idx="151">
                  <c:v>7.7118780834107498E-10</c:v>
                </c:pt>
                <c:pt idx="152">
                  <c:v>8.4812873826704816E-10</c:v>
                </c:pt>
                <c:pt idx="153">
                  <c:v>7.32558301293225E-10</c:v>
                </c:pt>
                <c:pt idx="154">
                  <c:v>6.5651648878616653E-10</c:v>
                </c:pt>
                <c:pt idx="155">
                  <c:v>4.5130985559079932E-10</c:v>
                </c:pt>
                <c:pt idx="156">
                  <c:v>3.4322265090130437E-10</c:v>
                </c:pt>
                <c:pt idx="157">
                  <c:v>4.5724270680285826E-10</c:v>
                </c:pt>
                <c:pt idx="158">
                  <c:v>3.8746126738568869E-10</c:v>
                </c:pt>
                <c:pt idx="159">
                  <c:v>2.5334241117629845E-10</c:v>
                </c:pt>
                <c:pt idx="160">
                  <c:v>3.5485865930403865E-10</c:v>
                </c:pt>
                <c:pt idx="161">
                  <c:v>5.4978761441707574E-10</c:v>
                </c:pt>
                <c:pt idx="162">
                  <c:v>7.6727492223917531E-10</c:v>
                </c:pt>
                <c:pt idx="163">
                  <c:v>8.0873126751415479E-10</c:v>
                </c:pt>
                <c:pt idx="164">
                  <c:v>8.5008707888540517E-10</c:v>
                </c:pt>
                <c:pt idx="165">
                  <c:v>9.23862321009836E-10</c:v>
                </c:pt>
                <c:pt idx="166">
                  <c:v>9.4717824535717159E-10</c:v>
                </c:pt>
                <c:pt idx="167">
                  <c:v>6.4072408748045558E-10</c:v>
                </c:pt>
                <c:pt idx="168">
                  <c:v>6.3395554327547717E-10</c:v>
                </c:pt>
                <c:pt idx="169">
                  <c:v>5.702723196569795E-10</c:v>
                </c:pt>
                <c:pt idx="170">
                  <c:v>4.2756509846840943E-10</c:v>
                </c:pt>
                <c:pt idx="171">
                  <c:v>4.0795218013361259E-10</c:v>
                </c:pt>
                <c:pt idx="172">
                  <c:v>4.1111631356814772E-10</c:v>
                </c:pt>
                <c:pt idx="173">
                  <c:v>4.881634734288619E-10</c:v>
                </c:pt>
                <c:pt idx="174">
                  <c:v>7.5454156409936472E-10</c:v>
                </c:pt>
                <c:pt idx="175">
                  <c:v>8.3341396904127216E-10</c:v>
                </c:pt>
                <c:pt idx="176">
                  <c:v>1.0007053466058773E-9</c:v>
                </c:pt>
                <c:pt idx="177">
                  <c:v>9.7771915957316859E-10</c:v>
                </c:pt>
                <c:pt idx="178">
                  <c:v>9.585058831778789E-10</c:v>
                </c:pt>
                <c:pt idx="179">
                  <c:v>9.5703560091381814E-10</c:v>
                </c:pt>
                <c:pt idx="180">
                  <c:v>6.9019642520328455E-10</c:v>
                </c:pt>
                <c:pt idx="181">
                  <c:v>6.8254934493094103E-10</c:v>
                </c:pt>
                <c:pt idx="182">
                  <c:v>4.8600451820356042E-10</c:v>
                </c:pt>
                <c:pt idx="183">
                  <c:v>4.3773204902205908E-10</c:v>
                </c:pt>
                <c:pt idx="184">
                  <c:v>4.4939331377078088E-10</c:v>
                </c:pt>
                <c:pt idx="185">
                  <c:v>5.9770098944131299E-10</c:v>
                </c:pt>
                <c:pt idx="186">
                  <c:v>7.5870464427246455E-10</c:v>
                </c:pt>
                <c:pt idx="187">
                  <c:v>9.0308861309472084E-10</c:v>
                </c:pt>
                <c:pt idx="188">
                  <c:v>8.973430516417624E-10</c:v>
                </c:pt>
                <c:pt idx="189">
                  <c:v>9.9318101428115332E-10</c:v>
                </c:pt>
                <c:pt idx="190">
                  <c:v>9.1888726292378818E-10</c:v>
                </c:pt>
                <c:pt idx="191">
                  <c:v>8.7396649780687759E-10</c:v>
                </c:pt>
                <c:pt idx="192">
                  <c:v>7.787334106232064E-10</c:v>
                </c:pt>
                <c:pt idx="193">
                  <c:v>5.7045773017159007E-10</c:v>
                </c:pt>
                <c:pt idx="194">
                  <c:v>4.8507183516994867E-10</c:v>
                </c:pt>
                <c:pt idx="195">
                  <c:v>7.2139657913039792E-10</c:v>
                </c:pt>
                <c:pt idx="196">
                  <c:v>7.8297387715773519E-10</c:v>
                </c:pt>
                <c:pt idx="197">
                  <c:v>9.8486748434561183E-10</c:v>
                </c:pt>
                <c:pt idx="198">
                  <c:v>1.0262475910656813E-9</c:v>
                </c:pt>
                <c:pt idx="199">
                  <c:v>1.1040828160856886E-9</c:v>
                </c:pt>
                <c:pt idx="200">
                  <c:v>1.2686833726122142E-9</c:v>
                </c:pt>
                <c:pt idx="201">
                  <c:v>8.8685188225030742E-10</c:v>
                </c:pt>
                <c:pt idx="202">
                  <c:v>6.299094089860965E-10</c:v>
                </c:pt>
                <c:pt idx="203">
                  <c:v>5.1744159948991217E-10</c:v>
                </c:pt>
                <c:pt idx="204">
                  <c:v>5.9667477671208979E-10</c:v>
                </c:pt>
                <c:pt idx="205">
                  <c:v>4.4468411997286187E-10</c:v>
                </c:pt>
                <c:pt idx="206">
                  <c:v>6.5119721190204615E-10</c:v>
                </c:pt>
                <c:pt idx="207">
                  <c:v>8.8755616302404146E-10</c:v>
                </c:pt>
                <c:pt idx="208">
                  <c:v>8.7178425263722371E-10</c:v>
                </c:pt>
                <c:pt idx="209">
                  <c:v>1.0132237580045626E-9</c:v>
                </c:pt>
                <c:pt idx="210">
                  <c:v>8.7419672580157041E-10</c:v>
                </c:pt>
                <c:pt idx="211">
                  <c:v>8.3954552412311481E-10</c:v>
                </c:pt>
                <c:pt idx="212">
                  <c:v>6.8847664313129294E-10</c:v>
                </c:pt>
                <c:pt idx="213">
                  <c:v>8.1612464013370864E-10</c:v>
                </c:pt>
                <c:pt idx="214">
                  <c:v>9.9058523436299355E-10</c:v>
                </c:pt>
                <c:pt idx="215">
                  <c:v>9.3382943013043937E-10</c:v>
                </c:pt>
                <c:pt idx="216">
                  <c:v>1.1799339179361841E-9</c:v>
                </c:pt>
                <c:pt idx="217">
                  <c:v>9.9101261999306157E-10</c:v>
                </c:pt>
                <c:pt idx="218">
                  <c:v>1.0612475960452959E-9</c:v>
                </c:pt>
                <c:pt idx="219">
                  <c:v>1.0588823154543242E-9</c:v>
                </c:pt>
                <c:pt idx="220">
                  <c:v>7.6500032082762618E-10</c:v>
                </c:pt>
                <c:pt idx="221">
                  <c:v>8.7492771954535204E-10</c:v>
                </c:pt>
                <c:pt idx="222">
                  <c:v>9.7195249427506738E-10</c:v>
                </c:pt>
                <c:pt idx="223">
                  <c:v>8.8246531226940863E-10</c:v>
                </c:pt>
                <c:pt idx="224">
                  <c:v>1.0468807825846019E-9</c:v>
                </c:pt>
                <c:pt idx="225">
                  <c:v>1.1794324047835183E-9</c:v>
                </c:pt>
                <c:pt idx="226">
                  <c:v>1.2403300159750366E-9</c:v>
                </c:pt>
                <c:pt idx="227">
                  <c:v>9.0373585025850846E-10</c:v>
                </c:pt>
                <c:pt idx="228">
                  <c:v>1.1590846670320936E-9</c:v>
                </c:pt>
                <c:pt idx="229">
                  <c:v>8.512482352216042E-10</c:v>
                </c:pt>
                <c:pt idx="230">
                  <c:v>7.4137919690262202E-10</c:v>
                </c:pt>
                <c:pt idx="231">
                  <c:v>1.0045433379452487E-9</c:v>
                </c:pt>
                <c:pt idx="232">
                  <c:v>1.2061732963182462E-9</c:v>
                </c:pt>
                <c:pt idx="233">
                  <c:v>1.0664072211294424E-9</c:v>
                </c:pt>
                <c:pt idx="234">
                  <c:v>1.1806342244394354E-9</c:v>
                </c:pt>
                <c:pt idx="235">
                  <c:v>9.6646498416945169E-10</c:v>
                </c:pt>
                <c:pt idx="236">
                  <c:v>1.3597373939118596E-9</c:v>
                </c:pt>
                <c:pt idx="237">
                  <c:v>1.0744600767841532E-9</c:v>
                </c:pt>
                <c:pt idx="238">
                  <c:v>1.3120463546276542E-9</c:v>
                </c:pt>
                <c:pt idx="239">
                  <c:v>1.2747840253043465E-9</c:v>
                </c:pt>
                <c:pt idx="240">
                  <c:v>1.1560217146363046E-9</c:v>
                </c:pt>
                <c:pt idx="241">
                  <c:v>1.0995566254756361E-9</c:v>
                </c:pt>
                <c:pt idx="242">
                  <c:v>1.2212743280455831E-9</c:v>
                </c:pt>
                <c:pt idx="243">
                  <c:v>1.2007336064679026E-9</c:v>
                </c:pt>
                <c:pt idx="244">
                  <c:v>1.42662763266464E-9</c:v>
                </c:pt>
                <c:pt idx="245">
                  <c:v>1.2730674288285693E-9</c:v>
                </c:pt>
                <c:pt idx="246">
                  <c:v>1.2821745824731111E-9</c:v>
                </c:pt>
                <c:pt idx="247">
                  <c:v>1.2215506744643687E-9</c:v>
                </c:pt>
                <c:pt idx="248">
                  <c:v>1.2006646632538104E-9</c:v>
                </c:pt>
                <c:pt idx="249">
                  <c:v>1.332201431243239E-9</c:v>
                </c:pt>
                <c:pt idx="250">
                  <c:v>1.2521049065230977E-9</c:v>
                </c:pt>
                <c:pt idx="251">
                  <c:v>1.2867673552466043E-9</c:v>
                </c:pt>
                <c:pt idx="252">
                  <c:v>1.3026407448456455E-9</c:v>
                </c:pt>
                <c:pt idx="253">
                  <c:v>1.2290110668259031E-9</c:v>
                </c:pt>
                <c:pt idx="254">
                  <c:v>1.2111806599832624E-9</c:v>
                </c:pt>
                <c:pt idx="255">
                  <c:v>1.4050148258266682E-9</c:v>
                </c:pt>
                <c:pt idx="256">
                  <c:v>1.6231319512729004E-9</c:v>
                </c:pt>
                <c:pt idx="257">
                  <c:v>1.7855244173703855E-9</c:v>
                </c:pt>
                <c:pt idx="258">
                  <c:v>1.4303034782396107E-9</c:v>
                </c:pt>
                <c:pt idx="259">
                  <c:v>1.4556729146059296E-9</c:v>
                </c:pt>
                <c:pt idx="260">
                  <c:v>1.3384407580275215E-9</c:v>
                </c:pt>
                <c:pt idx="261">
                  <c:v>1.4862610353608809E-9</c:v>
                </c:pt>
                <c:pt idx="262">
                  <c:v>1.7946328064325952E-9</c:v>
                </c:pt>
                <c:pt idx="263">
                  <c:v>1.8825805157573817E-9</c:v>
                </c:pt>
                <c:pt idx="264">
                  <c:v>1.6589176771670916E-9</c:v>
                </c:pt>
                <c:pt idx="265">
                  <c:v>1.3431247865001209E-9</c:v>
                </c:pt>
                <c:pt idx="266">
                  <c:v>1.5728376039458176E-9</c:v>
                </c:pt>
                <c:pt idx="267">
                  <c:v>1.5276123578308157E-9</c:v>
                </c:pt>
                <c:pt idx="268">
                  <c:v>1.5078298959838E-9</c:v>
                </c:pt>
                <c:pt idx="269">
                  <c:v>2.0508114913127254E-9</c:v>
                </c:pt>
                <c:pt idx="270">
                  <c:v>1.8018718439155447E-9</c:v>
                </c:pt>
                <c:pt idx="271">
                  <c:v>1.4745679244730762E-9</c:v>
                </c:pt>
                <c:pt idx="272">
                  <c:v>1.4009591344751924E-9</c:v>
                </c:pt>
                <c:pt idx="273">
                  <c:v>2.0289350388074248E-9</c:v>
                </c:pt>
                <c:pt idx="274">
                  <c:v>2.0940411830112549E-9</c:v>
                </c:pt>
                <c:pt idx="275">
                  <c:v>1.6483376857578249E-9</c:v>
                </c:pt>
                <c:pt idx="276">
                  <c:v>1.4080438801998892E-9</c:v>
                </c:pt>
                <c:pt idx="277">
                  <c:v>2.1801421067992846E-9</c:v>
                </c:pt>
                <c:pt idx="278">
                  <c:v>1.4483143786969296E-9</c:v>
                </c:pt>
                <c:pt idx="279">
                  <c:v>1.6914177667751964E-9</c:v>
                </c:pt>
                <c:pt idx="280">
                  <c:v>1.3615377717214741E-9</c:v>
                </c:pt>
                <c:pt idx="281">
                  <c:v>1.5733214608609556E-9</c:v>
                </c:pt>
                <c:pt idx="282">
                  <c:v>2.0523366632983914E-9</c:v>
                </c:pt>
                <c:pt idx="283">
                  <c:v>1.3634294556156766E-9</c:v>
                </c:pt>
                <c:pt idx="284">
                  <c:v>1.6465443711969512E-9</c:v>
                </c:pt>
                <c:pt idx="285">
                  <c:v>1.2862397473950137E-9</c:v>
                </c:pt>
                <c:pt idx="286">
                  <c:v>1.6669205228715793E-9</c:v>
                </c:pt>
                <c:pt idx="287">
                  <c:v>1.7504397658580467E-9</c:v>
                </c:pt>
                <c:pt idx="288">
                  <c:v>1.9151596581196708E-9</c:v>
                </c:pt>
                <c:pt idx="289">
                  <c:v>2.3717470068958372E-9</c:v>
                </c:pt>
                <c:pt idx="290">
                  <c:v>1.1547640839961505E-9</c:v>
                </c:pt>
                <c:pt idx="291">
                  <c:v>1.6378370908740026E-9</c:v>
                </c:pt>
                <c:pt idx="292">
                  <c:v>1.5065772769265478E-9</c:v>
                </c:pt>
                <c:pt idx="293">
                  <c:v>1.7657990527891266E-9</c:v>
                </c:pt>
                <c:pt idx="294">
                  <c:v>1.8786951121463013E-9</c:v>
                </c:pt>
                <c:pt idx="295">
                  <c:v>1.6536179355724511E-9</c:v>
                </c:pt>
                <c:pt idx="296">
                  <c:v>2.4223115969922002E-9</c:v>
                </c:pt>
                <c:pt idx="297">
                  <c:v>1.4814398114013744E-9</c:v>
                </c:pt>
                <c:pt idx="298">
                  <c:v>2.3328331784110458E-9</c:v>
                </c:pt>
                <c:pt idx="299">
                  <c:v>2.2584006289013769E-9</c:v>
                </c:pt>
                <c:pt idx="300">
                  <c:v>1.4234254462108716E-9</c:v>
                </c:pt>
                <c:pt idx="301">
                  <c:v>1.3323349717634638E-9</c:v>
                </c:pt>
                <c:pt idx="302">
                  <c:v>2.2635778247714979E-9</c:v>
                </c:pt>
                <c:pt idx="303">
                  <c:v>1.5904825406412741E-9</c:v>
                </c:pt>
                <c:pt idx="304">
                  <c:v>9.3730446281366093E-10</c:v>
                </c:pt>
                <c:pt idx="305">
                  <c:v>4.8892628709739935E-10</c:v>
                </c:pt>
                <c:pt idx="306">
                  <c:v>1.9180925669495287E-9</c:v>
                </c:pt>
                <c:pt idx="307">
                  <c:v>7.493457425573137E-10</c:v>
                </c:pt>
                <c:pt idx="308">
                  <c:v>2.0156173898877941E-9</c:v>
                </c:pt>
                <c:pt idx="309">
                  <c:v>8.3884877132734132E-10</c:v>
                </c:pt>
                <c:pt idx="310">
                  <c:v>1.7734829943964063E-9</c:v>
                </c:pt>
                <c:pt idx="311">
                  <c:v>1.5250985781577287E-9</c:v>
                </c:pt>
                <c:pt idx="312">
                  <c:v>1.9786054450902652E-9</c:v>
                </c:pt>
                <c:pt idx="313">
                  <c:v>1.6730725144992145E-9</c:v>
                </c:pt>
                <c:pt idx="314">
                  <c:v>1.5004095650234777E-9</c:v>
                </c:pt>
                <c:pt idx="315">
                  <c:v>1.7567822477440916E-9</c:v>
                </c:pt>
                <c:pt idx="316">
                  <c:v>1.3395336061246063E-9</c:v>
                </c:pt>
                <c:pt idx="317">
                  <c:v>1.6294492911125167E-9</c:v>
                </c:pt>
                <c:pt idx="318">
                  <c:v>1.03088580984866E-9</c:v>
                </c:pt>
                <c:pt idx="319">
                  <c:v>2.0344573080546443E-9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8.26E-03</c:v>
                </c:pt>
                <c:pt idx="1">
                  <c:v>8.35E-03</c:v>
                </c:pt>
                <c:pt idx="2">
                  <c:v>8.43E-03</c:v>
                </c:pt>
                <c:pt idx="3">
                  <c:v>8.51E-03</c:v>
                </c:pt>
                <c:pt idx="4">
                  <c:v>8.60E-03</c:v>
                </c:pt>
                <c:pt idx="5">
                  <c:v>8.69E-03</c:v>
                </c:pt>
                <c:pt idx="6">
                  <c:v>8.77E-03</c:v>
                </c:pt>
                <c:pt idx="7">
                  <c:v>8.86E-03</c:v>
                </c:pt>
                <c:pt idx="8">
                  <c:v>8.95E-03</c:v>
                </c:pt>
                <c:pt idx="9">
                  <c:v>9.04E-03</c:v>
                </c:pt>
                <c:pt idx="10">
                  <c:v>9.13E-03</c:v>
                </c:pt>
                <c:pt idx="11">
                  <c:v>9.22E-03</c:v>
                </c:pt>
                <c:pt idx="12">
                  <c:v>9.31E-03</c:v>
                </c:pt>
                <c:pt idx="13">
                  <c:v>9.41E-03</c:v>
                </c:pt>
                <c:pt idx="14">
                  <c:v>9.50E-03</c:v>
                </c:pt>
                <c:pt idx="15">
                  <c:v>9.59E-03</c:v>
                </c:pt>
                <c:pt idx="16">
                  <c:v>9.69E-03</c:v>
                </c:pt>
                <c:pt idx="17">
                  <c:v>9.79E-03</c:v>
                </c:pt>
                <c:pt idx="18">
                  <c:v>9.89E-03</c:v>
                </c:pt>
                <c:pt idx="19">
                  <c:v>9.98E-03</c:v>
                </c:pt>
                <c:pt idx="20">
                  <c:v>1.01E-02</c:v>
                </c:pt>
                <c:pt idx="21">
                  <c:v>1.02E-02</c:v>
                </c:pt>
                <c:pt idx="22">
                  <c:v>1.03E-02</c:v>
                </c:pt>
                <c:pt idx="23">
                  <c:v>1.04E-02</c:v>
                </c:pt>
                <c:pt idx="24">
                  <c:v>1.05E-02</c:v>
                </c:pt>
                <c:pt idx="25">
                  <c:v>1.06E-02</c:v>
                </c:pt>
                <c:pt idx="26">
                  <c:v>1.07E-02</c:v>
                </c:pt>
                <c:pt idx="27">
                  <c:v>1.08E-02</c:v>
                </c:pt>
                <c:pt idx="28">
                  <c:v>1.09E-02</c:v>
                </c:pt>
                <c:pt idx="29">
                  <c:v>1.10E-02</c:v>
                </c:pt>
                <c:pt idx="30">
                  <c:v>1.11E-02</c:v>
                </c:pt>
                <c:pt idx="31">
                  <c:v>1.13E-02</c:v>
                </c:pt>
                <c:pt idx="32">
                  <c:v>1.14E-02</c:v>
                </c:pt>
                <c:pt idx="33">
                  <c:v>1.15E-02</c:v>
                </c:pt>
                <c:pt idx="34">
                  <c:v>1.16E-02</c:v>
                </c:pt>
                <c:pt idx="35">
                  <c:v>1.17E-02</c:v>
                </c:pt>
                <c:pt idx="36">
                  <c:v>1.18E-02</c:v>
                </c:pt>
                <c:pt idx="37">
                  <c:v>1.19E-02</c:v>
                </c:pt>
                <c:pt idx="38">
                  <c:v>1.21E-02</c:v>
                </c:pt>
                <c:pt idx="39">
                  <c:v>1.22E-02</c:v>
                </c:pt>
                <c:pt idx="40">
                  <c:v>1.23E-02</c:v>
                </c:pt>
                <c:pt idx="41">
                  <c:v>1.24E-02</c:v>
                </c:pt>
                <c:pt idx="42">
                  <c:v>1.26E-02</c:v>
                </c:pt>
                <c:pt idx="43">
                  <c:v>1.27E-02</c:v>
                </c:pt>
                <c:pt idx="44">
                  <c:v>1.28E-02</c:v>
                </c:pt>
                <c:pt idx="45">
                  <c:v>1.29E-02</c:v>
                </c:pt>
                <c:pt idx="46">
                  <c:v>1.31E-02</c:v>
                </c:pt>
                <c:pt idx="47">
                  <c:v>1.32E-02</c:v>
                </c:pt>
                <c:pt idx="48">
                  <c:v>1.33E-02</c:v>
                </c:pt>
                <c:pt idx="49">
                  <c:v>1.35E-02</c:v>
                </c:pt>
                <c:pt idx="50">
                  <c:v>1.36E-02</c:v>
                </c:pt>
                <c:pt idx="51">
                  <c:v>1.37E-02</c:v>
                </c:pt>
                <c:pt idx="52">
                  <c:v>1.39E-02</c:v>
                </c:pt>
                <c:pt idx="53">
                  <c:v>1.40E-02</c:v>
                </c:pt>
                <c:pt idx="54">
                  <c:v>1.41E-02</c:v>
                </c:pt>
                <c:pt idx="55">
                  <c:v>1.43E-02</c:v>
                </c:pt>
                <c:pt idx="56">
                  <c:v>1.44E-02</c:v>
                </c:pt>
                <c:pt idx="57">
                  <c:v>1.46E-02</c:v>
                </c:pt>
                <c:pt idx="58">
                  <c:v>1.47E-02</c:v>
                </c:pt>
                <c:pt idx="59">
                  <c:v>1.49E-02</c:v>
                </c:pt>
                <c:pt idx="60">
                  <c:v>1.50E-02</c:v>
                </c:pt>
                <c:pt idx="61">
                  <c:v>1.52E-02</c:v>
                </c:pt>
                <c:pt idx="62">
                  <c:v>1.53E-02</c:v>
                </c:pt>
                <c:pt idx="63">
                  <c:v>1.55E-02</c:v>
                </c:pt>
                <c:pt idx="64">
                  <c:v>1.56E-02</c:v>
                </c:pt>
                <c:pt idx="65">
                  <c:v>1.58E-02</c:v>
                </c:pt>
                <c:pt idx="66">
                  <c:v>1.59E-02</c:v>
                </c:pt>
                <c:pt idx="67">
                  <c:v>1.61E-02</c:v>
                </c:pt>
                <c:pt idx="68">
                  <c:v>1.63E-02</c:v>
                </c:pt>
                <c:pt idx="69">
                  <c:v>1.64E-02</c:v>
                </c:pt>
                <c:pt idx="70">
                  <c:v>1.66E-02</c:v>
                </c:pt>
                <c:pt idx="71">
                  <c:v>1.68E-02</c:v>
                </c:pt>
                <c:pt idx="72">
                  <c:v>1.69E-02</c:v>
                </c:pt>
                <c:pt idx="73">
                  <c:v>1.71E-02</c:v>
                </c:pt>
                <c:pt idx="74">
                  <c:v>1.73E-02</c:v>
                </c:pt>
                <c:pt idx="75">
                  <c:v>1.74E-02</c:v>
                </c:pt>
                <c:pt idx="76">
                  <c:v>1.76E-02</c:v>
                </c:pt>
                <c:pt idx="77">
                  <c:v>1.78E-02</c:v>
                </c:pt>
                <c:pt idx="78">
                  <c:v>1.80E-02</c:v>
                </c:pt>
                <c:pt idx="79">
                  <c:v>1.81E-02</c:v>
                </c:pt>
                <c:pt idx="80">
                  <c:v>1.83E-02</c:v>
                </c:pt>
                <c:pt idx="81">
                  <c:v>1.85E-02</c:v>
                </c:pt>
                <c:pt idx="82">
                  <c:v>1.87E-02</c:v>
                </c:pt>
                <c:pt idx="83">
                  <c:v>1.89E-02</c:v>
                </c:pt>
                <c:pt idx="84">
                  <c:v>1.91E-02</c:v>
                </c:pt>
                <c:pt idx="85">
                  <c:v>1.93E-02</c:v>
                </c:pt>
                <c:pt idx="86">
                  <c:v>1.94E-02</c:v>
                </c:pt>
                <c:pt idx="87">
                  <c:v>1.96E-02</c:v>
                </c:pt>
                <c:pt idx="88">
                  <c:v>1.98E-02</c:v>
                </c:pt>
                <c:pt idx="89">
                  <c:v>2.00E-02</c:v>
                </c:pt>
                <c:pt idx="90">
                  <c:v>2.02E-02</c:v>
                </c:pt>
                <c:pt idx="91">
                  <c:v>2.04E-02</c:v>
                </c:pt>
                <c:pt idx="92">
                  <c:v>2.06E-02</c:v>
                </c:pt>
                <c:pt idx="93">
                  <c:v>2.08E-02</c:v>
                </c:pt>
                <c:pt idx="94">
                  <c:v>2.11E-02</c:v>
                </c:pt>
                <c:pt idx="95">
                  <c:v>2.13E-02</c:v>
                </c:pt>
                <c:pt idx="96">
                  <c:v>2.15E-02</c:v>
                </c:pt>
                <c:pt idx="97">
                  <c:v>2.17E-02</c:v>
                </c:pt>
                <c:pt idx="98">
                  <c:v>2.19E-02</c:v>
                </c:pt>
                <c:pt idx="99">
                  <c:v>2.21E-02</c:v>
                </c:pt>
                <c:pt idx="100">
                  <c:v>2.24E-02</c:v>
                </c:pt>
                <c:pt idx="101">
                  <c:v>2.26E-02</c:v>
                </c:pt>
                <c:pt idx="102">
                  <c:v>2.28E-02</c:v>
                </c:pt>
                <c:pt idx="103">
                  <c:v>2.30E-02</c:v>
                </c:pt>
                <c:pt idx="104">
                  <c:v>2.33E-02</c:v>
                </c:pt>
                <c:pt idx="105">
                  <c:v>2.35E-02</c:v>
                </c:pt>
                <c:pt idx="106">
                  <c:v>2.37E-02</c:v>
                </c:pt>
                <c:pt idx="107">
                  <c:v>2.40E-02</c:v>
                </c:pt>
                <c:pt idx="108">
                  <c:v>2.42E-02</c:v>
                </c:pt>
                <c:pt idx="109">
                  <c:v>2.44E-02</c:v>
                </c:pt>
                <c:pt idx="110">
                  <c:v>2.47E-02</c:v>
                </c:pt>
                <c:pt idx="111">
                  <c:v>2.49E-02</c:v>
                </c:pt>
                <c:pt idx="112">
                  <c:v>2.52E-02</c:v>
                </c:pt>
                <c:pt idx="113">
                  <c:v>2.54E-02</c:v>
                </c:pt>
                <c:pt idx="114">
                  <c:v>2.57E-02</c:v>
                </c:pt>
                <c:pt idx="115">
                  <c:v>2.60E-02</c:v>
                </c:pt>
                <c:pt idx="116">
                  <c:v>2.62E-02</c:v>
                </c:pt>
                <c:pt idx="117">
                  <c:v>2.65E-02</c:v>
                </c:pt>
                <c:pt idx="118">
                  <c:v>2.67E-02</c:v>
                </c:pt>
                <c:pt idx="119">
                  <c:v>2.70E-02</c:v>
                </c:pt>
                <c:pt idx="120">
                  <c:v>2.73E-02</c:v>
                </c:pt>
                <c:pt idx="121">
                  <c:v>2.75E-02</c:v>
                </c:pt>
                <c:pt idx="122">
                  <c:v>2.78E-02</c:v>
                </c:pt>
                <c:pt idx="123">
                  <c:v>2.81E-02</c:v>
                </c:pt>
                <c:pt idx="124">
                  <c:v>2.84E-02</c:v>
                </c:pt>
                <c:pt idx="125">
                  <c:v>2.87E-02</c:v>
                </c:pt>
                <c:pt idx="126">
                  <c:v>2.90E-02</c:v>
                </c:pt>
                <c:pt idx="127">
                  <c:v>2.92E-02</c:v>
                </c:pt>
                <c:pt idx="128">
                  <c:v>2.95E-02</c:v>
                </c:pt>
                <c:pt idx="129">
                  <c:v>2.98E-02</c:v>
                </c:pt>
                <c:pt idx="130">
                  <c:v>3.01E-02</c:v>
                </c:pt>
                <c:pt idx="131">
                  <c:v>3.04E-02</c:v>
                </c:pt>
                <c:pt idx="132">
                  <c:v>3.07E-02</c:v>
                </c:pt>
                <c:pt idx="133">
                  <c:v>3.10E-02</c:v>
                </c:pt>
                <c:pt idx="134">
                  <c:v>3.14E-02</c:v>
                </c:pt>
                <c:pt idx="135">
                  <c:v>3.17E-02</c:v>
                </c:pt>
                <c:pt idx="136">
                  <c:v>3.20E-02</c:v>
                </c:pt>
                <c:pt idx="137">
                  <c:v>3.23E-02</c:v>
                </c:pt>
                <c:pt idx="138">
                  <c:v>3.26E-02</c:v>
                </c:pt>
                <c:pt idx="139">
                  <c:v>3.30E-02</c:v>
                </c:pt>
                <c:pt idx="140">
                  <c:v>3.33E-02</c:v>
                </c:pt>
                <c:pt idx="141">
                  <c:v>3.36E-02</c:v>
                </c:pt>
                <c:pt idx="142">
                  <c:v>3.40E-02</c:v>
                </c:pt>
                <c:pt idx="143">
                  <c:v>3.43E-02</c:v>
                </c:pt>
                <c:pt idx="144">
                  <c:v>3.46E-02</c:v>
                </c:pt>
                <c:pt idx="145">
                  <c:v>3.50E-02</c:v>
                </c:pt>
                <c:pt idx="146">
                  <c:v>3.53E-02</c:v>
                </c:pt>
                <c:pt idx="147">
                  <c:v>3.57E-02</c:v>
                </c:pt>
                <c:pt idx="148">
                  <c:v>3.60E-02</c:v>
                </c:pt>
                <c:pt idx="149">
                  <c:v>3.64E-02</c:v>
                </c:pt>
                <c:pt idx="150">
                  <c:v>3.68E-02</c:v>
                </c:pt>
                <c:pt idx="151">
                  <c:v>3.71E-02</c:v>
                </c:pt>
                <c:pt idx="152">
                  <c:v>3.75E-02</c:v>
                </c:pt>
                <c:pt idx="153">
                  <c:v>3.79E-02</c:v>
                </c:pt>
                <c:pt idx="154">
                  <c:v>3.83E-02</c:v>
                </c:pt>
                <c:pt idx="155">
                  <c:v>3.86E-02</c:v>
                </c:pt>
                <c:pt idx="156">
                  <c:v>3.90E-02</c:v>
                </c:pt>
                <c:pt idx="157">
                  <c:v>3.94E-02</c:v>
                </c:pt>
                <c:pt idx="158">
                  <c:v>3.98E-02</c:v>
                </c:pt>
                <c:pt idx="159">
                  <c:v>4.02E-02</c:v>
                </c:pt>
                <c:pt idx="160">
                  <c:v>4.06E-02</c:v>
                </c:pt>
                <c:pt idx="161">
                  <c:v>4.10E-02</c:v>
                </c:pt>
                <c:pt idx="162">
                  <c:v>4.14E-02</c:v>
                </c:pt>
                <c:pt idx="163">
                  <c:v>4.18E-02</c:v>
                </c:pt>
                <c:pt idx="164">
                  <c:v>4.23E-02</c:v>
                </c:pt>
                <c:pt idx="165">
                  <c:v>4.27E-02</c:v>
                </c:pt>
                <c:pt idx="166">
                  <c:v>4.31E-02</c:v>
                </c:pt>
                <c:pt idx="167">
                  <c:v>4.35E-02</c:v>
                </c:pt>
                <c:pt idx="168">
                  <c:v>4.40E-02</c:v>
                </c:pt>
                <c:pt idx="169">
                  <c:v>4.44E-02</c:v>
                </c:pt>
                <c:pt idx="170">
                  <c:v>4.49E-02</c:v>
                </c:pt>
                <c:pt idx="171">
                  <c:v>4.53E-02</c:v>
                </c:pt>
                <c:pt idx="172">
                  <c:v>4.58E-02</c:v>
                </c:pt>
                <c:pt idx="173">
                  <c:v>4.62E-02</c:v>
                </c:pt>
                <c:pt idx="174">
                  <c:v>4.67E-02</c:v>
                </c:pt>
                <c:pt idx="175">
                  <c:v>4.71E-02</c:v>
                </c:pt>
                <c:pt idx="176">
                  <c:v>4.76E-02</c:v>
                </c:pt>
                <c:pt idx="177">
                  <c:v>4.81E-02</c:v>
                </c:pt>
                <c:pt idx="178">
                  <c:v>4.86E-02</c:v>
                </c:pt>
                <c:pt idx="179">
                  <c:v>4.91E-02</c:v>
                </c:pt>
                <c:pt idx="180">
                  <c:v>4.96E-02</c:v>
                </c:pt>
                <c:pt idx="181">
                  <c:v>5.00E-02</c:v>
                </c:pt>
                <c:pt idx="182">
                  <c:v>5.05E-02</c:v>
                </c:pt>
                <c:pt idx="183">
                  <c:v>5.11E-02</c:v>
                </c:pt>
                <c:pt idx="184">
                  <c:v>5.16E-02</c:v>
                </c:pt>
                <c:pt idx="185">
                  <c:v>5.21E-02</c:v>
                </c:pt>
                <c:pt idx="186">
                  <c:v>5.26E-02</c:v>
                </c:pt>
                <c:pt idx="187">
                  <c:v>5.31E-02</c:v>
                </c:pt>
                <c:pt idx="188">
                  <c:v>5.37E-02</c:v>
                </c:pt>
                <c:pt idx="189">
                  <c:v>5.42E-02</c:v>
                </c:pt>
                <c:pt idx="190">
                  <c:v>5.47E-02</c:v>
                </c:pt>
                <c:pt idx="191">
                  <c:v>5.53E-02</c:v>
                </c:pt>
                <c:pt idx="192">
                  <c:v>5.58E-02</c:v>
                </c:pt>
                <c:pt idx="193">
                  <c:v>5.64E-02</c:v>
                </c:pt>
                <c:pt idx="194">
                  <c:v>5.70E-02</c:v>
                </c:pt>
                <c:pt idx="195">
                  <c:v>5.75E-02</c:v>
                </c:pt>
                <c:pt idx="196">
                  <c:v>5.81E-02</c:v>
                </c:pt>
                <c:pt idx="197">
                  <c:v>5.87E-02</c:v>
                </c:pt>
                <c:pt idx="198">
                  <c:v>5.93E-02</c:v>
                </c:pt>
                <c:pt idx="199">
                  <c:v>5.99E-02</c:v>
                </c:pt>
                <c:pt idx="200">
                  <c:v>6.05E-02</c:v>
                </c:pt>
                <c:pt idx="201">
                  <c:v>6.11E-02</c:v>
                </c:pt>
                <c:pt idx="202">
                  <c:v>6.17E-02</c:v>
                </c:pt>
                <c:pt idx="203">
                  <c:v>6.23E-02</c:v>
                </c:pt>
                <c:pt idx="204">
                  <c:v>6.29E-02</c:v>
                </c:pt>
                <c:pt idx="205">
                  <c:v>6.35E-02</c:v>
                </c:pt>
                <c:pt idx="206">
                  <c:v>6.42E-02</c:v>
                </c:pt>
                <c:pt idx="207">
                  <c:v>6.48E-02</c:v>
                </c:pt>
                <c:pt idx="208">
                  <c:v>6.55E-02</c:v>
                </c:pt>
                <c:pt idx="209">
                  <c:v>6.61E-02</c:v>
                </c:pt>
                <c:pt idx="210">
                  <c:v>6.68E-02</c:v>
                </c:pt>
                <c:pt idx="211">
                  <c:v>6.75E-02</c:v>
                </c:pt>
                <c:pt idx="212">
                  <c:v>6.81E-02</c:v>
                </c:pt>
                <c:pt idx="213">
                  <c:v>6.88E-02</c:v>
                </c:pt>
                <c:pt idx="214">
                  <c:v>6.95E-02</c:v>
                </c:pt>
                <c:pt idx="215">
                  <c:v>7.02E-02</c:v>
                </c:pt>
                <c:pt idx="216">
                  <c:v>7.09E-02</c:v>
                </c:pt>
                <c:pt idx="217">
                  <c:v>7.16E-02</c:v>
                </c:pt>
                <c:pt idx="218">
                  <c:v>7.23E-02</c:v>
                </c:pt>
                <c:pt idx="219">
                  <c:v>7.30E-02</c:v>
                </c:pt>
                <c:pt idx="220">
                  <c:v>7.38E-02</c:v>
                </c:pt>
                <c:pt idx="221">
                  <c:v>7.45E-02</c:v>
                </c:pt>
                <c:pt idx="222">
                  <c:v>7.53E-02</c:v>
                </c:pt>
                <c:pt idx="223">
                  <c:v>7.60E-02</c:v>
                </c:pt>
                <c:pt idx="224">
                  <c:v>7.68E-02</c:v>
                </c:pt>
                <c:pt idx="225">
                  <c:v>7.75E-02</c:v>
                </c:pt>
                <c:pt idx="226">
                  <c:v>7.83E-02</c:v>
                </c:pt>
                <c:pt idx="227">
                  <c:v>7.91E-02</c:v>
                </c:pt>
                <c:pt idx="228">
                  <c:v>7.99E-02</c:v>
                </c:pt>
                <c:pt idx="229">
                  <c:v>8.07E-02</c:v>
                </c:pt>
                <c:pt idx="230">
                  <c:v>8.15E-02</c:v>
                </c:pt>
                <c:pt idx="231">
                  <c:v>8.23E-02</c:v>
                </c:pt>
                <c:pt idx="232">
                  <c:v>8.31E-02</c:v>
                </c:pt>
                <c:pt idx="233">
                  <c:v>8.40E-02</c:v>
                </c:pt>
                <c:pt idx="234">
                  <c:v>8.48E-02</c:v>
                </c:pt>
                <c:pt idx="235">
                  <c:v>8.57E-02</c:v>
                </c:pt>
                <c:pt idx="236">
                  <c:v>8.65E-02</c:v>
                </c:pt>
                <c:pt idx="237">
                  <c:v>8.74E-02</c:v>
                </c:pt>
                <c:pt idx="238">
                  <c:v>8.82E-02</c:v>
                </c:pt>
                <c:pt idx="239">
                  <c:v>8.91E-02</c:v>
                </c:pt>
                <c:pt idx="240">
                  <c:v>9.00E-02</c:v>
                </c:pt>
                <c:pt idx="241">
                  <c:v>9.09E-02</c:v>
                </c:pt>
                <c:pt idx="242">
                  <c:v>9.18E-02</c:v>
                </c:pt>
                <c:pt idx="243">
                  <c:v>9.27E-02</c:v>
                </c:pt>
                <c:pt idx="244">
                  <c:v>9.37E-02</c:v>
                </c:pt>
                <c:pt idx="245">
                  <c:v>9.46E-02</c:v>
                </c:pt>
                <c:pt idx="246">
                  <c:v>9.56E-02</c:v>
                </c:pt>
                <c:pt idx="247">
                  <c:v>9.65E-02</c:v>
                </c:pt>
                <c:pt idx="248">
                  <c:v>9.75E-02</c:v>
                </c:pt>
                <c:pt idx="249">
                  <c:v>9.85E-02</c:v>
                </c:pt>
                <c:pt idx="250">
                  <c:v>9.94E-02</c:v>
                </c:pt>
                <c:pt idx="251">
                  <c:v>1.00E-01</c:v>
                </c:pt>
                <c:pt idx="252">
                  <c:v>1.01E-01</c:v>
                </c:pt>
                <c:pt idx="253">
                  <c:v>1.02E-01</c:v>
                </c:pt>
                <c:pt idx="254">
                  <c:v>1.03E-01</c:v>
                </c:pt>
                <c:pt idx="255">
                  <c:v>1.05E-01</c:v>
                </c:pt>
                <c:pt idx="256">
                  <c:v>1.06E-01</c:v>
                </c:pt>
                <c:pt idx="257">
                  <c:v>1.07E-01</c:v>
                </c:pt>
                <c:pt idx="258">
                  <c:v>1.08E-01</c:v>
                </c:pt>
                <c:pt idx="259">
                  <c:v>1.09E-01</c:v>
                </c:pt>
                <c:pt idx="260">
                  <c:v>1.10E-01</c:v>
                </c:pt>
                <c:pt idx="261">
                  <c:v>1.11E-01</c:v>
                </c:pt>
                <c:pt idx="262">
                  <c:v>1.12E-01</c:v>
                </c:pt>
                <c:pt idx="263">
                  <c:v>1.13E-01</c:v>
                </c:pt>
                <c:pt idx="264">
                  <c:v>1.14E-01</c:v>
                </c:pt>
                <c:pt idx="265">
                  <c:v>1.15E-01</c:v>
                </c:pt>
                <c:pt idx="266">
                  <c:v>1.17E-01</c:v>
                </c:pt>
                <c:pt idx="267">
                  <c:v>1.18E-01</c:v>
                </c:pt>
                <c:pt idx="268">
                  <c:v>1.19E-01</c:v>
                </c:pt>
                <c:pt idx="269">
                  <c:v>1.20E-01</c:v>
                </c:pt>
                <c:pt idx="270">
                  <c:v>1.21E-01</c:v>
                </c:pt>
                <c:pt idx="271">
                  <c:v>1.23E-01</c:v>
                </c:pt>
                <c:pt idx="272">
                  <c:v>1.24E-01</c:v>
                </c:pt>
                <c:pt idx="273">
                  <c:v>1.25E-01</c:v>
                </c:pt>
                <c:pt idx="274">
                  <c:v>1.26E-01</c:v>
                </c:pt>
                <c:pt idx="275">
                  <c:v>1.28E-01</c:v>
                </c:pt>
                <c:pt idx="276">
                  <c:v>1.29E-01</c:v>
                </c:pt>
                <c:pt idx="277">
                  <c:v>1.30E-01</c:v>
                </c:pt>
                <c:pt idx="278">
                  <c:v>1.31E-01</c:v>
                </c:pt>
                <c:pt idx="279">
                  <c:v>1.33E-01</c:v>
                </c:pt>
                <c:pt idx="280">
                  <c:v>1.34E-01</c:v>
                </c:pt>
                <c:pt idx="281">
                  <c:v>1.35E-01</c:v>
                </c:pt>
                <c:pt idx="282">
                  <c:v>1.37E-01</c:v>
                </c:pt>
                <c:pt idx="283">
                  <c:v>1.38E-01</c:v>
                </c:pt>
                <c:pt idx="284">
                  <c:v>1.39E-01</c:v>
                </c:pt>
                <c:pt idx="285">
                  <c:v>1.41E-01</c:v>
                </c:pt>
                <c:pt idx="286">
                  <c:v>1.42E-01</c:v>
                </c:pt>
                <c:pt idx="287">
                  <c:v>1.44E-01</c:v>
                </c:pt>
                <c:pt idx="288">
                  <c:v>1.45E-01</c:v>
                </c:pt>
                <c:pt idx="289">
                  <c:v>1.47E-01</c:v>
                </c:pt>
                <c:pt idx="290">
                  <c:v>1.48E-01</c:v>
                </c:pt>
                <c:pt idx="291">
                  <c:v>1.50E-01</c:v>
                </c:pt>
                <c:pt idx="292">
                  <c:v>1.51E-01</c:v>
                </c:pt>
                <c:pt idx="293">
                  <c:v>1.53E-01</c:v>
                </c:pt>
                <c:pt idx="294">
                  <c:v>1.54E-01</c:v>
                </c:pt>
                <c:pt idx="295">
                  <c:v>1.56E-01</c:v>
                </c:pt>
                <c:pt idx="296">
                  <c:v>1.57E-01</c:v>
                </c:pt>
                <c:pt idx="297">
                  <c:v>1.59E-01</c:v>
                </c:pt>
                <c:pt idx="298">
                  <c:v>1.60E-01</c:v>
                </c:pt>
                <c:pt idx="299">
                  <c:v>1.62E-01</c:v>
                </c:pt>
                <c:pt idx="300">
                  <c:v>1.64E-01</c:v>
                </c:pt>
                <c:pt idx="301">
                  <c:v>1.65E-01</c:v>
                </c:pt>
                <c:pt idx="302">
                  <c:v>1.67E-01</c:v>
                </c:pt>
                <c:pt idx="303">
                  <c:v>1.68E-01</c:v>
                </c:pt>
                <c:pt idx="304">
                  <c:v>1.70E-01</c:v>
                </c:pt>
                <c:pt idx="305">
                  <c:v>1.72E-01</c:v>
                </c:pt>
                <c:pt idx="306">
                  <c:v>1.74E-01</c:v>
                </c:pt>
                <c:pt idx="307">
                  <c:v>1.75E-01</c:v>
                </c:pt>
                <c:pt idx="308">
                  <c:v>1.77E-01</c:v>
                </c:pt>
                <c:pt idx="309">
                  <c:v>1.79E-01</c:v>
                </c:pt>
                <c:pt idx="310">
                  <c:v>1.81E-01</c:v>
                </c:pt>
                <c:pt idx="311">
                  <c:v>1.82E-01</c:v>
                </c:pt>
                <c:pt idx="312">
                  <c:v>1.84E-01</c:v>
                </c:pt>
                <c:pt idx="313">
                  <c:v>1.86E-01</c:v>
                </c:pt>
                <c:pt idx="314">
                  <c:v>1.88E-01</c:v>
                </c:pt>
                <c:pt idx="315">
                  <c:v>1.90E-01</c:v>
                </c:pt>
                <c:pt idx="316">
                  <c:v>1.92E-01</c:v>
                </c:pt>
                <c:pt idx="317">
                  <c:v>1.94E-01</c:v>
                </c:pt>
                <c:pt idx="318">
                  <c:v>1.96E-01</c:v>
                </c:pt>
                <c:pt idx="319">
                  <c:v>1.98E-01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8.2642749047700005E-3</c:v>
                </c:pt>
                <c:pt idx="1">
                  <c:v>8.3469176538099998E-3</c:v>
                </c:pt>
                <c:pt idx="2">
                  <c:v>8.4303868303500003E-3</c:v>
                </c:pt>
                <c:pt idx="3">
                  <c:v>8.5146906986500008E-3</c:v>
                </c:pt>
                <c:pt idx="4">
                  <c:v>8.5998376056400008E-3</c:v>
                </c:pt>
                <c:pt idx="5">
                  <c:v>8.6858359817000002E-3</c:v>
                </c:pt>
                <c:pt idx="6">
                  <c:v>8.7726943415100001E-3</c:v>
                </c:pt>
                <c:pt idx="7">
                  <c:v>8.86042128493E-3</c:v>
                </c:pt>
                <c:pt idx="8">
                  <c:v>8.9490254977800006E-3</c:v>
                </c:pt>
                <c:pt idx="9">
                  <c:v>9.0385157527600006E-3</c:v>
                </c:pt>
                <c:pt idx="10">
                  <c:v>9.1289009102799995E-3</c:v>
                </c:pt>
                <c:pt idx="11">
                  <c:v>9.2201899193900001E-3</c:v>
                </c:pt>
                <c:pt idx="12">
                  <c:v>9.3123918185800004E-3</c:v>
                </c:pt>
                <c:pt idx="13">
                  <c:v>9.4055157367700006E-3</c:v>
                </c:pt>
                <c:pt idx="14">
                  <c:v>9.4995708941299998E-3</c:v>
                </c:pt>
                <c:pt idx="15">
                  <c:v>9.5945666030799997E-3</c:v>
                </c:pt>
                <c:pt idx="16">
                  <c:v>9.69051226911E-3</c:v>
                </c:pt>
                <c:pt idx="17">
                  <c:v>9.7874173918000001E-3</c:v>
                </c:pt>
                <c:pt idx="18">
                  <c:v>9.8852915657199995E-3</c:v>
                </c:pt>
                <c:pt idx="19">
                  <c:v>9.9841444813699998E-3</c:v>
                </c:pt>
                <c:pt idx="20">
                  <c:v>1.0083985926200001E-2</c:v>
                </c:pt>
                <c:pt idx="21">
                  <c:v>1.01848257854E-2</c:v>
                </c:pt>
                <c:pt idx="22">
                  <c:v>1.02866740433E-2</c:v>
                </c:pt>
                <c:pt idx="23">
                  <c:v>1.03895407837E-2</c:v>
                </c:pt>
                <c:pt idx="24">
                  <c:v>1.04934361916E-2</c:v>
                </c:pt>
                <c:pt idx="25">
                  <c:v>1.05983705535E-2</c:v>
                </c:pt>
                <c:pt idx="26">
                  <c:v>1.0704354259E-2</c:v>
                </c:pt>
                <c:pt idx="27">
                  <c:v>1.08113978016E-2</c:v>
                </c:pt>
                <c:pt idx="28">
                  <c:v>1.0919511779600001E-2</c:v>
                </c:pt>
                <c:pt idx="29">
                  <c:v>1.1028706897400001E-2</c:v>
                </c:pt>
                <c:pt idx="30">
                  <c:v>1.11389939664E-2</c:v>
                </c:pt>
                <c:pt idx="31">
                  <c:v>1.12503839061E-2</c:v>
                </c:pt>
                <c:pt idx="32">
                  <c:v>1.1362887745099999E-2</c:v>
                </c:pt>
                <c:pt idx="33">
                  <c:v>1.14765166226E-2</c:v>
                </c:pt>
                <c:pt idx="34">
                  <c:v>1.1591281788799999E-2</c:v>
                </c:pt>
                <c:pt idx="35">
                  <c:v>1.17071946067E-2</c:v>
                </c:pt>
                <c:pt idx="36">
                  <c:v>1.18242665528E-2</c:v>
                </c:pt>
                <c:pt idx="37">
                  <c:v>1.19425092183E-2</c:v>
                </c:pt>
                <c:pt idx="38">
                  <c:v>1.2061934310500001E-2</c:v>
                </c:pt>
                <c:pt idx="39">
                  <c:v>1.2182553653599999E-2</c:v>
                </c:pt>
                <c:pt idx="40">
                  <c:v>1.2304379190100001E-2</c:v>
                </c:pt>
                <c:pt idx="41">
                  <c:v>1.2427422981999999E-2</c:v>
                </c:pt>
                <c:pt idx="42">
                  <c:v>1.25516972118E-2</c:v>
                </c:pt>
                <c:pt idx="43">
                  <c:v>1.26772141839E-2</c:v>
                </c:pt>
                <c:pt idx="44">
                  <c:v>1.28039863258E-2</c:v>
                </c:pt>
                <c:pt idx="45">
                  <c:v>1.2932026189000001E-2</c:v>
                </c:pt>
                <c:pt idx="46">
                  <c:v>1.3061346450899999E-2</c:v>
                </c:pt>
                <c:pt idx="47">
                  <c:v>1.31919599154E-2</c:v>
                </c:pt>
                <c:pt idx="48">
                  <c:v>1.33238795146E-2</c:v>
                </c:pt>
                <c:pt idx="49">
                  <c:v>1.3457118309700001E-2</c:v>
                </c:pt>
                <c:pt idx="50">
                  <c:v>1.3591689492799999E-2</c:v>
                </c:pt>
                <c:pt idx="51">
                  <c:v>1.37276063878E-2</c:v>
                </c:pt>
                <c:pt idx="52">
                  <c:v>1.3864882451600001E-2</c:v>
                </c:pt>
                <c:pt idx="53">
                  <c:v>1.40035312762E-2</c:v>
                </c:pt>
                <c:pt idx="54">
                  <c:v>1.41435665889E-2</c:v>
                </c:pt>
                <c:pt idx="55">
                  <c:v>1.42850022548E-2</c:v>
                </c:pt>
                <c:pt idx="56">
                  <c:v>1.44278522774E-2</c:v>
                </c:pt>
                <c:pt idx="57">
                  <c:v>1.4572130800099999E-2</c:v>
                </c:pt>
                <c:pt idx="58">
                  <c:v>1.4717852108099999E-2</c:v>
                </c:pt>
                <c:pt idx="59">
                  <c:v>1.4865030629200001E-2</c:v>
                </c:pt>
                <c:pt idx="60">
                  <c:v>1.50136809355E-2</c:v>
                </c:pt>
                <c:pt idx="61">
                  <c:v>1.5163817744900001E-2</c:v>
                </c:pt>
                <c:pt idx="62">
                  <c:v>1.5315455922300001E-2</c:v>
                </c:pt>
                <c:pt idx="63">
                  <c:v>1.54686104815E-2</c:v>
                </c:pt>
                <c:pt idx="64">
                  <c:v>1.56232965864E-2</c:v>
                </c:pt>
                <c:pt idx="65">
                  <c:v>1.5779529552200001E-2</c:v>
                </c:pt>
                <c:pt idx="66">
                  <c:v>1.59373248477E-2</c:v>
                </c:pt>
                <c:pt idx="67">
                  <c:v>1.6096698096199999E-2</c:v>
                </c:pt>
                <c:pt idx="68">
                  <c:v>1.6257665077200001E-2</c:v>
                </c:pt>
                <c:pt idx="69">
                  <c:v>1.6420241727999999E-2</c:v>
                </c:pt>
                <c:pt idx="70">
                  <c:v>1.6584444145200002E-2</c:v>
                </c:pt>
                <c:pt idx="71">
                  <c:v>1.67502885867E-2</c:v>
                </c:pt>
                <c:pt idx="72">
                  <c:v>1.6917791472599999E-2</c:v>
                </c:pt>
                <c:pt idx="73">
                  <c:v>1.7086969387300002E-2</c:v>
                </c:pt>
                <c:pt idx="74">
                  <c:v>1.7257839081199999E-2</c:v>
                </c:pt>
                <c:pt idx="75">
                  <c:v>1.7430417472000002E-2</c:v>
                </c:pt>
                <c:pt idx="76">
                  <c:v>1.7604721646699999E-2</c:v>
                </c:pt>
                <c:pt idx="77">
                  <c:v>1.77807688631E-2</c:v>
                </c:pt>
                <c:pt idx="78">
                  <c:v>1.7958576551799998E-2</c:v>
                </c:pt>
                <c:pt idx="79">
                  <c:v>1.8138162317300002E-2</c:v>
                </c:pt>
                <c:pt idx="80">
                  <c:v>1.8319543940500001E-2</c:v>
                </c:pt>
                <c:pt idx="81">
                  <c:v>1.8502739379900001E-2</c:v>
                </c:pt>
                <c:pt idx="82">
                  <c:v>1.8687766773700001E-2</c:v>
                </c:pt>
                <c:pt idx="83">
                  <c:v>1.8874644441399999E-2</c:v>
                </c:pt>
                <c:pt idx="84">
                  <c:v>1.9063390885799999E-2</c:v>
                </c:pt>
                <c:pt idx="85">
                  <c:v>1.9254024794699998E-2</c:v>
                </c:pt>
                <c:pt idx="86">
                  <c:v>1.9446565042599999E-2</c:v>
                </c:pt>
                <c:pt idx="87">
                  <c:v>1.9641030693100001E-2</c:v>
                </c:pt>
                <c:pt idx="88">
                  <c:v>1.9837441000000001E-2</c:v>
                </c:pt>
                <c:pt idx="89">
                  <c:v>2.0035815410000001E-2</c:v>
                </c:pt>
                <c:pt idx="90">
                  <c:v>2.0236173564099999E-2</c:v>
                </c:pt>
                <c:pt idx="91">
                  <c:v>2.0438535299700002E-2</c:v>
                </c:pt>
                <c:pt idx="92">
                  <c:v>2.06429206527E-2</c:v>
                </c:pt>
                <c:pt idx="93">
                  <c:v>2.0849349859299999E-2</c:v>
                </c:pt>
                <c:pt idx="94">
                  <c:v>2.1057843357800001E-2</c:v>
                </c:pt>
                <c:pt idx="95">
                  <c:v>2.12684217914E-2</c:v>
                </c:pt>
                <c:pt idx="96">
                  <c:v>2.1481106009300002E-2</c:v>
                </c:pt>
                <c:pt idx="97">
                  <c:v>2.1695917069400002E-2</c:v>
                </c:pt>
                <c:pt idx="98">
                  <c:v>2.19128762401E-2</c:v>
                </c:pt>
                <c:pt idx="99">
                  <c:v>2.21320050025E-2</c:v>
                </c:pt>
                <c:pt idx="100">
                  <c:v>2.2353325052600001E-2</c:v>
                </c:pt>
                <c:pt idx="101">
                  <c:v>2.2576858303100002E-2</c:v>
                </c:pt>
                <c:pt idx="102">
                  <c:v>2.2802626886099998E-2</c:v>
                </c:pt>
                <c:pt idx="103">
                  <c:v>2.3030653155000001E-2</c:v>
                </c:pt>
                <c:pt idx="104">
                  <c:v>2.32609596865E-2</c:v>
                </c:pt>
                <c:pt idx="105">
                  <c:v>2.34935692834E-2</c:v>
                </c:pt>
                <c:pt idx="106">
                  <c:v>2.37285049762E-2</c:v>
                </c:pt>
                <c:pt idx="107">
                  <c:v>2.3965790026000001E-2</c:v>
                </c:pt>
                <c:pt idx="108">
                  <c:v>2.42054479262E-2</c:v>
                </c:pt>
                <c:pt idx="109">
                  <c:v>2.4447502405500001E-2</c:v>
                </c:pt>
                <c:pt idx="110">
                  <c:v>2.4691977429599998E-2</c:v>
                </c:pt>
                <c:pt idx="111">
                  <c:v>2.4938897203899999E-2</c:v>
                </c:pt>
                <c:pt idx="112">
                  <c:v>2.51882861759E-2</c:v>
                </c:pt>
                <c:pt idx="113">
                  <c:v>2.5440169037600002E-2</c:v>
                </c:pt>
                <c:pt idx="114">
                  <c:v>2.5694570728E-2</c:v>
                </c:pt>
                <c:pt idx="115">
                  <c:v>2.5951516435299998E-2</c:v>
                </c:pt>
                <c:pt idx="116">
                  <c:v>2.6211031599700001E-2</c:v>
                </c:pt>
                <c:pt idx="117">
                  <c:v>2.6473141915700001E-2</c:v>
                </c:pt>
                <c:pt idx="118">
                  <c:v>2.6737873334799999E-2</c:v>
                </c:pt>
                <c:pt idx="119">
                  <c:v>2.7005252068200002E-2</c:v>
                </c:pt>
                <c:pt idx="120">
                  <c:v>2.7275304588799999E-2</c:v>
                </c:pt>
                <c:pt idx="121">
                  <c:v>2.7548057634700002E-2</c:v>
                </c:pt>
                <c:pt idx="122">
                  <c:v>2.78235382111E-2</c:v>
                </c:pt>
                <c:pt idx="123">
                  <c:v>2.81017735932E-2</c:v>
                </c:pt>
                <c:pt idx="124">
                  <c:v>2.8382791329100002E-2</c:v>
                </c:pt>
                <c:pt idx="125">
                  <c:v>2.86666192424E-2</c:v>
                </c:pt>
                <c:pt idx="126">
                  <c:v>2.89532854348E-2</c:v>
                </c:pt>
                <c:pt idx="127">
                  <c:v>2.9242818289200001E-2</c:v>
                </c:pt>
                <c:pt idx="128">
                  <c:v>2.9535246472099999E-2</c:v>
                </c:pt>
                <c:pt idx="129">
                  <c:v>2.9830598936799999E-2</c:v>
                </c:pt>
                <c:pt idx="130">
                  <c:v>3.01289049262E-2</c:v>
                </c:pt>
                <c:pt idx="131">
                  <c:v>3.0430193975400002E-2</c:v>
                </c:pt>
                <c:pt idx="132">
                  <c:v>3.07344959152E-2</c:v>
                </c:pt>
                <c:pt idx="133">
                  <c:v>3.1041840874300002E-2</c:v>
                </c:pt>
                <c:pt idx="134">
                  <c:v>3.1352259283100002E-2</c:v>
                </c:pt>
                <c:pt idx="135">
                  <c:v>3.1665781875900002E-2</c:v>
                </c:pt>
                <c:pt idx="136">
                  <c:v>3.19824396947E-2</c:v>
                </c:pt>
                <c:pt idx="137">
                  <c:v>3.2302264091600003E-2</c:v>
                </c:pt>
                <c:pt idx="138">
                  <c:v>3.2625286732500001E-2</c:v>
                </c:pt>
                <c:pt idx="139">
                  <c:v>3.29515395999E-2</c:v>
                </c:pt>
                <c:pt idx="140">
                  <c:v>3.3281054995899999E-2</c:v>
                </c:pt>
                <c:pt idx="141">
                  <c:v>3.3613865545800002E-2</c:v>
                </c:pt>
                <c:pt idx="142">
                  <c:v>3.3950004201300003E-2</c:v>
                </c:pt>
                <c:pt idx="143">
                  <c:v>3.4289504243299997E-2</c:v>
                </c:pt>
                <c:pt idx="144">
                  <c:v>3.46323992857E-2</c:v>
                </c:pt>
                <c:pt idx="145">
                  <c:v>3.49787232786E-2</c:v>
                </c:pt>
                <c:pt idx="146">
                  <c:v>3.5328510511399999E-2</c:v>
                </c:pt>
                <c:pt idx="147">
                  <c:v>3.5681795616499999E-2</c:v>
                </c:pt>
                <c:pt idx="148">
                  <c:v>3.6038613572599999E-2</c:v>
                </c:pt>
                <c:pt idx="149">
                  <c:v>3.63989997084E-2</c:v>
                </c:pt>
                <c:pt idx="150">
                  <c:v>3.6762989705399998E-2</c:v>
                </c:pt>
                <c:pt idx="151">
                  <c:v>3.7130619602499998E-2</c:v>
                </c:pt>
                <c:pt idx="152">
                  <c:v>3.7501925798500001E-2</c:v>
                </c:pt>
                <c:pt idx="153">
                  <c:v>3.7876945056500001E-2</c:v>
                </c:pt>
                <c:pt idx="154">
                  <c:v>3.8255714507099997E-2</c:v>
                </c:pt>
                <c:pt idx="155">
                  <c:v>3.8638271652100001E-2</c:v>
                </c:pt>
                <c:pt idx="156">
                  <c:v>3.90246543687E-2</c:v>
                </c:pt>
                <c:pt idx="157">
                  <c:v>3.9414900912399999E-2</c:v>
                </c:pt>
                <c:pt idx="158">
                  <c:v>3.98090499215E-2</c:v>
                </c:pt>
                <c:pt idx="159">
                  <c:v>4.0207140420699998E-2</c:v>
                </c:pt>
                <c:pt idx="160">
                  <c:v>4.0609211824900002E-2</c:v>
                </c:pt>
                <c:pt idx="161">
                  <c:v>4.1015303943099997E-2</c:v>
                </c:pt>
                <c:pt idx="162">
                  <c:v>4.1425456982600001E-2</c:v>
                </c:pt>
                <c:pt idx="163">
                  <c:v>4.1839711552400002E-2</c:v>
                </c:pt>
                <c:pt idx="164">
                  <c:v>4.2258108667900002E-2</c:v>
                </c:pt>
                <c:pt idx="165">
                  <c:v>4.2680689754600001E-2</c:v>
                </c:pt>
                <c:pt idx="166">
                  <c:v>4.3107496652199997E-2</c:v>
                </c:pt>
                <c:pt idx="167">
                  <c:v>4.3538571618699999E-2</c:v>
                </c:pt>
                <c:pt idx="168">
                  <c:v>4.3973957334899998E-2</c:v>
                </c:pt>
                <c:pt idx="169">
                  <c:v>4.4413696908199997E-2</c:v>
                </c:pt>
                <c:pt idx="170">
                  <c:v>4.4857833877300003E-2</c:v>
                </c:pt>
                <c:pt idx="171">
                  <c:v>4.5306412216100003E-2</c:v>
                </c:pt>
                <c:pt idx="172">
                  <c:v>4.5759476338200003E-2</c:v>
                </c:pt>
                <c:pt idx="173">
                  <c:v>4.6217071101599998E-2</c:v>
                </c:pt>
                <c:pt idx="174">
                  <c:v>4.6679241812599997E-2</c:v>
                </c:pt>
                <c:pt idx="175">
                  <c:v>4.71460342308E-2</c:v>
                </c:pt>
                <c:pt idx="176">
                  <c:v>4.7617494573100001E-2</c:v>
                </c:pt>
                <c:pt idx="177">
                  <c:v>4.8093669518800002E-2</c:v>
                </c:pt>
                <c:pt idx="178">
                  <c:v>4.8574606213999998E-2</c:v>
                </c:pt>
                <c:pt idx="179">
                  <c:v>4.9060352276099999E-2</c:v>
                </c:pt>
                <c:pt idx="180">
                  <c:v>4.9550955798900002E-2</c:v>
                </c:pt>
                <c:pt idx="181">
                  <c:v>5.0046465356900001E-2</c:v>
                </c:pt>
                <c:pt idx="182">
                  <c:v>5.0546930010399997E-2</c:v>
                </c:pt>
                <c:pt idx="183">
                  <c:v>5.1052399310499999E-2</c:v>
                </c:pt>
                <c:pt idx="184">
                  <c:v>5.1562923303600003E-2</c:v>
                </c:pt>
                <c:pt idx="185">
                  <c:v>5.2078552536699997E-2</c:v>
                </c:pt>
                <c:pt idx="186">
                  <c:v>5.2599338062100001E-2</c:v>
                </c:pt>
                <c:pt idx="187">
                  <c:v>5.31253314427E-2</c:v>
                </c:pt>
                <c:pt idx="188">
                  <c:v>5.3656584757100001E-2</c:v>
                </c:pt>
                <c:pt idx="189">
                  <c:v>5.4193150604700001E-2</c:v>
                </c:pt>
                <c:pt idx="190">
                  <c:v>5.4735082110700002E-2</c:v>
                </c:pt>
                <c:pt idx="191">
                  <c:v>5.5282432931799998E-2</c:v>
                </c:pt>
                <c:pt idx="192">
                  <c:v>5.5835257261100002E-2</c:v>
                </c:pt>
                <c:pt idx="193">
                  <c:v>5.6393609833799999E-2</c:v>
                </c:pt>
                <c:pt idx="194">
                  <c:v>5.69575459321E-2</c:v>
                </c:pt>
                <c:pt idx="195">
                  <c:v>5.7527121391400003E-2</c:v>
                </c:pt>
                <c:pt idx="196">
                  <c:v>5.81023926053E-2</c:v>
                </c:pt>
                <c:pt idx="197">
                  <c:v>5.8683416531400003E-2</c:v>
                </c:pt>
                <c:pt idx="198">
                  <c:v>5.92702506967E-2</c:v>
                </c:pt>
                <c:pt idx="199">
                  <c:v>5.9862953203699998E-2</c:v>
                </c:pt>
                <c:pt idx="200">
                  <c:v>6.0461582735700001E-2</c:v>
                </c:pt>
                <c:pt idx="201">
                  <c:v>6.1066198563099999E-2</c:v>
                </c:pt>
                <c:pt idx="202">
                  <c:v>6.1676860548700002E-2</c:v>
                </c:pt>
                <c:pt idx="203">
                  <c:v>6.2293629154200003E-2</c:v>
                </c:pt>
                <c:pt idx="204">
                  <c:v>6.2916565445699998E-2</c:v>
                </c:pt>
                <c:pt idx="205">
                  <c:v>6.3545731100199995E-2</c:v>
                </c:pt>
                <c:pt idx="206">
                  <c:v>6.4181188411200005E-2</c:v>
                </c:pt>
                <c:pt idx="207">
                  <c:v>6.4823000295299998E-2</c:v>
                </c:pt>
                <c:pt idx="208">
                  <c:v>6.5471230298199998E-2</c:v>
                </c:pt>
                <c:pt idx="209">
                  <c:v>6.61259426012E-2</c:v>
                </c:pt>
                <c:pt idx="210">
                  <c:v>6.6787202027199996E-2</c:v>
                </c:pt>
                <c:pt idx="211">
                  <c:v>6.7455074047499994E-2</c:v>
                </c:pt>
                <c:pt idx="212">
                  <c:v>6.8129624787999998E-2</c:v>
                </c:pt>
                <c:pt idx="213">
                  <c:v>6.8810921035900002E-2</c:v>
                </c:pt>
                <c:pt idx="214">
                  <c:v>6.9499030246199994E-2</c:v>
                </c:pt>
                <c:pt idx="215">
                  <c:v>7.0194020548699998E-2</c:v>
                </c:pt>
                <c:pt idx="216">
                  <c:v>7.0895960754200002E-2</c:v>
                </c:pt>
                <c:pt idx="217">
                  <c:v>7.1604920361700006E-2</c:v>
                </c:pt>
                <c:pt idx="218">
                  <c:v>7.23209695653E-2</c:v>
                </c:pt>
                <c:pt idx="219">
                  <c:v>7.3044179261E-2</c:v>
                </c:pt>
                <c:pt idx="220">
                  <c:v>7.3774621053599998E-2</c:v>
                </c:pt>
                <c:pt idx="221">
                  <c:v>7.4512367264100002E-2</c:v>
                </c:pt>
                <c:pt idx="222">
                  <c:v>7.5257490936799995E-2</c:v>
                </c:pt>
                <c:pt idx="223">
                  <c:v>7.6010065846099997E-2</c:v>
                </c:pt>
                <c:pt idx="224">
                  <c:v>7.6770166504600001E-2</c:v>
                </c:pt>
                <c:pt idx="225">
                  <c:v>7.7537868169599997E-2</c:v>
                </c:pt>
                <c:pt idx="226">
                  <c:v>7.8313246851300006E-2</c:v>
                </c:pt>
                <c:pt idx="227">
                  <c:v>7.90963793198E-2</c:v>
                </c:pt>
                <c:pt idx="228">
                  <c:v>7.9887343112999998E-2</c:v>
                </c:pt>
                <c:pt idx="229">
                  <c:v>8.0686216544199996E-2</c:v>
                </c:pt>
                <c:pt idx="230">
                  <c:v>8.14930787096E-2</c:v>
                </c:pt>
                <c:pt idx="231">
                  <c:v>8.2308009496700002E-2</c:v>
                </c:pt>
                <c:pt idx="232">
                  <c:v>8.31310895917E-2</c:v>
                </c:pt>
                <c:pt idx="233">
                  <c:v>8.3962400487599995E-2</c:v>
                </c:pt>
                <c:pt idx="234">
                  <c:v>8.4802024492500003E-2</c:v>
                </c:pt>
                <c:pt idx="235">
                  <c:v>8.5650044737399997E-2</c:v>
                </c:pt>
                <c:pt idx="236">
                  <c:v>8.6506545184799999E-2</c:v>
                </c:pt>
                <c:pt idx="237">
                  <c:v>8.7371610636599997E-2</c:v>
                </c:pt>
                <c:pt idx="238">
                  <c:v>8.8245326742999994E-2</c:v>
                </c:pt>
                <c:pt idx="239">
                  <c:v>8.9127780010400004E-2</c:v>
                </c:pt>
                <c:pt idx="240">
                  <c:v>9.00190578105E-2</c:v>
                </c:pt>
                <c:pt idx="241">
                  <c:v>9.0919248388599994E-2</c:v>
                </c:pt>
                <c:pt idx="242">
                  <c:v>9.18284408725E-2</c:v>
                </c:pt>
                <c:pt idx="243">
                  <c:v>9.2746725281199996E-2</c:v>
                </c:pt>
                <c:pt idx="244">
                  <c:v>9.3674192534E-2</c:v>
                </c:pt>
                <c:pt idx="245">
                  <c:v>9.4610934459399998E-2</c:v>
                </c:pt>
                <c:pt idx="246">
                  <c:v>9.5557043804E-2</c:v>
                </c:pt>
                <c:pt idx="247">
                  <c:v>9.6512614242E-2</c:v>
                </c:pt>
                <c:pt idx="248">
                  <c:v>9.7477740384400005E-2</c:v>
                </c:pt>
                <c:pt idx="249">
                  <c:v>9.8452517788299998E-2</c:v>
                </c:pt>
                <c:pt idx="250">
                  <c:v>9.9437042966199998E-2</c:v>
                </c:pt>
                <c:pt idx="251">
                  <c:v>0.10043141339599999</c:v>
                </c:pt>
                <c:pt idx="252">
                  <c:v>0.10143572753000001</c:v>
                </c:pt>
                <c:pt idx="253">
                  <c:v>0.10245008480499999</c:v>
                </c:pt>
                <c:pt idx="254">
                  <c:v>0.103474585653</c:v>
                </c:pt>
                <c:pt idx="255">
                  <c:v>0.10450933151</c:v>
                </c:pt>
                <c:pt idx="256">
                  <c:v>0.10555442482500001</c:v>
                </c:pt>
                <c:pt idx="257">
                  <c:v>0.10660996907299999</c:v>
                </c:pt>
                <c:pt idx="258">
                  <c:v>0.107676068764</c:v>
                </c:pt>
                <c:pt idx="259">
                  <c:v>0.108752829451</c:v>
                </c:pt>
                <c:pt idx="260">
                  <c:v>0.109840357746</c:v>
                </c:pt>
                <c:pt idx="261">
                  <c:v>0.110938761323</c:v>
                </c:pt>
                <c:pt idx="262">
                  <c:v>0.11204814893700001</c:v>
                </c:pt>
                <c:pt idx="263">
                  <c:v>0.11316863042600001</c:v>
                </c:pt>
                <c:pt idx="264">
                  <c:v>0.11430031673</c:v>
                </c:pt>
                <c:pt idx="265">
                  <c:v>0.115443319898</c:v>
                </c:pt>
                <c:pt idx="266">
                  <c:v>0.116597753096</c:v>
                </c:pt>
                <c:pt idx="267">
                  <c:v>0.117763730627</c:v>
                </c:pt>
                <c:pt idx="268">
                  <c:v>0.11894136793399999</c:v>
                </c:pt>
                <c:pt idx="269">
                  <c:v>0.120130781613</c:v>
                </c:pt>
                <c:pt idx="270">
                  <c:v>0.12133208942900001</c:v>
                </c:pt>
                <c:pt idx="271">
                  <c:v>0.122545410323</c:v>
                </c:pt>
                <c:pt idx="272">
                  <c:v>0.123770864427</c:v>
                </c:pt>
                <c:pt idx="273">
                  <c:v>0.125008573071</c:v>
                </c:pt>
                <c:pt idx="274">
                  <c:v>0.12625865880199999</c:v>
                </c:pt>
                <c:pt idx="275">
                  <c:v>0.12752124539000001</c:v>
                </c:pt>
                <c:pt idx="276">
                  <c:v>0.12879645784400001</c:v>
                </c:pt>
                <c:pt idx="277">
                  <c:v>0.130084422422</c:v>
                </c:pt>
                <c:pt idx="278">
                  <c:v>0.131385266646</c:v>
                </c:pt>
                <c:pt idx="279">
                  <c:v>0.13269911931299999</c:v>
                </c:pt>
                <c:pt idx="280">
                  <c:v>0.134026110506</c:v>
                </c:pt>
                <c:pt idx="281">
                  <c:v>0.13536637161100001</c:v>
                </c:pt>
                <c:pt idx="282">
                  <c:v>0.136720035327</c:v>
                </c:pt>
                <c:pt idx="283">
                  <c:v>0.13808723568</c:v>
                </c:pt>
                <c:pt idx="284">
                  <c:v>0.13946810803699999</c:v>
                </c:pt>
                <c:pt idx="285">
                  <c:v>0.14086278911700001</c:v>
                </c:pt>
                <c:pt idx="286">
                  <c:v>0.14227141700900001</c:v>
                </c:pt>
                <c:pt idx="287">
                  <c:v>0.14369413117900001</c:v>
                </c:pt>
                <c:pt idx="288">
                  <c:v>0.14513107249099999</c:v>
                </c:pt>
                <c:pt idx="289">
                  <c:v>0.146582383215</c:v>
                </c:pt>
                <c:pt idx="290">
                  <c:v>0.14804820704800001</c:v>
                </c:pt>
                <c:pt idx="291">
                  <c:v>0.14952868911799999</c:v>
                </c:pt>
                <c:pt idx="292">
                  <c:v>0.151023976009</c:v>
                </c:pt>
                <c:pt idx="293">
                  <c:v>0.152534215769</c:v>
                </c:pt>
                <c:pt idx="294">
                  <c:v>0.15405955792699999</c:v>
                </c:pt>
                <c:pt idx="295">
                  <c:v>0.15560015350600001</c:v>
                </c:pt>
                <c:pt idx="296">
                  <c:v>0.157156155041</c:v>
                </c:pt>
                <c:pt idx="297">
                  <c:v>0.158727716592</c:v>
                </c:pt>
                <c:pt idx="298">
                  <c:v>0.16031499375800001</c:v>
                </c:pt>
                <c:pt idx="299">
                  <c:v>0.16191814369499999</c:v>
                </c:pt>
                <c:pt idx="300">
                  <c:v>0.16353732513200001</c:v>
                </c:pt>
                <c:pt idx="301">
                  <c:v>0.16517269838400001</c:v>
                </c:pt>
                <c:pt idx="302">
                  <c:v>0.16682442536700001</c:v>
                </c:pt>
                <c:pt idx="303">
                  <c:v>0.16849266962100001</c:v>
                </c:pt>
                <c:pt idx="304">
                  <c:v>0.170177596317</c:v>
                </c:pt>
                <c:pt idx="305">
                  <c:v>0.17187937228</c:v>
                </c:pt>
                <c:pt idx="306">
                  <c:v>0.17359816600299999</c:v>
                </c:pt>
                <c:pt idx="307">
                  <c:v>0.17533414766300001</c:v>
                </c:pt>
                <c:pt idx="308">
                  <c:v>0.17708748914</c:v>
                </c:pt>
                <c:pt idx="309">
                  <c:v>0.178858364031</c:v>
                </c:pt>
                <c:pt idx="310">
                  <c:v>0.18064694767200001</c:v>
                </c:pt>
                <c:pt idx="311">
                  <c:v>0.18245341714800001</c:v>
                </c:pt>
                <c:pt idx="312">
                  <c:v>0.18427795131999999</c:v>
                </c:pt>
                <c:pt idx="313">
                  <c:v>0.18612073083299999</c:v>
                </c:pt>
                <c:pt idx="314">
                  <c:v>0.187981938141</c:v>
                </c:pt>
                <c:pt idx="315">
                  <c:v>0.189861757523</c:v>
                </c:pt>
                <c:pt idx="316">
                  <c:v>0.19176037509800001</c:v>
                </c:pt>
                <c:pt idx="317">
                  <c:v>0.19367797884900001</c:v>
                </c:pt>
                <c:pt idx="318">
                  <c:v>0.19561475863700001</c:v>
                </c:pt>
                <c:pt idx="319">
                  <c:v>0.197570906224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4.639720768285945E-9</c:v>
                </c:pt>
                <c:pt idx="1">
                  <c:v>4.8264687490711227E-9</c:v>
                </c:pt>
                <c:pt idx="2">
                  <c:v>5.0205147525648397E-9</c:v>
                </c:pt>
                <c:pt idx="3">
                  <c:v>5.2220873821434115E-9</c:v>
                </c:pt>
                <c:pt idx="4">
                  <c:v>5.4314085261183737E-9</c:v>
                </c:pt>
                <c:pt idx="5">
                  <c:v>5.6486833344143272E-9</c:v>
                </c:pt>
                <c:pt idx="6">
                  <c:v>5.8740866108123719E-9</c:v>
                </c:pt>
                <c:pt idx="7">
                  <c:v>6.1077448208031388E-9</c:v>
                </c:pt>
                <c:pt idx="8">
                  <c:v>6.3497080642926431E-9</c:v>
                </c:pt>
                <c:pt idx="9">
                  <c:v>6.5999042588798513E-9</c:v>
                </c:pt>
                <c:pt idx="10">
                  <c:v>6.858061468990093E-9</c:v>
                </c:pt>
                <c:pt idx="11">
                  <c:v>7.1235706044048238E-9</c:v>
                </c:pt>
                <c:pt idx="12">
                  <c:v>7.3952280116950692E-9</c:v>
                </c:pt>
                <c:pt idx="13">
                  <c:v>7.670715821210069E-9</c:v>
                </c:pt>
                <c:pt idx="14">
                  <c:v>7.9454523615103824E-9</c:v>
                </c:pt>
                <c:pt idx="15">
                  <c:v>8.2098397778249229E-9</c:v>
                </c:pt>
                <c:pt idx="16">
                  <c:v>8.4434308750128225E-9</c:v>
                </c:pt>
                <c:pt idx="17">
                  <c:v>8.6053770600756275E-9</c:v>
                </c:pt>
                <c:pt idx="18">
                  <c:v>8.6322428092992261E-9</c:v>
                </c:pt>
                <c:pt idx="19">
                  <c:v>8.4296312592755244E-9</c:v>
                </c:pt>
                <c:pt idx="20">
                  <c:v>7.8067837427517221E-9</c:v>
                </c:pt>
                <c:pt idx="21">
                  <c:v>6.5479997048811614E-9</c:v>
                </c:pt>
                <c:pt idx="22">
                  <c:v>4.8880527708965749E-9</c:v>
                </c:pt>
                <c:pt idx="23">
                  <c:v>3.5598343004416204E-9</c:v>
                </c:pt>
                <c:pt idx="24">
                  <c:v>2.9584770276919263E-9</c:v>
                </c:pt>
                <c:pt idx="25">
                  <c:v>2.8492237452726386E-9</c:v>
                </c:pt>
                <c:pt idx="26">
                  <c:v>2.8914655407741986E-9</c:v>
                </c:pt>
                <c:pt idx="27">
                  <c:v>2.9311268108533361E-9</c:v>
                </c:pt>
                <c:pt idx="28">
                  <c:v>2.9334907481144982E-9</c:v>
                </c:pt>
                <c:pt idx="29">
                  <c:v>2.8964963147208984E-9</c:v>
                </c:pt>
                <c:pt idx="30">
                  <c:v>2.8240870007960561E-9</c:v>
                </c:pt>
                <c:pt idx="31">
                  <c:v>2.7205330064248558E-9</c:v>
                </c:pt>
                <c:pt idx="32">
                  <c:v>2.590164273187133E-9</c:v>
                </c:pt>
                <c:pt idx="33">
                  <c:v>2.4374328133052597E-9</c:v>
                </c:pt>
                <c:pt idx="34">
                  <c:v>2.266977126890467E-9</c:v>
                </c:pt>
                <c:pt idx="35">
                  <c:v>2.0836363970614125E-9</c:v>
                </c:pt>
                <c:pt idx="36">
                  <c:v>1.8924101685089393E-9</c:v>
                </c:pt>
                <c:pt idx="37">
                  <c:v>1.6983709148855311E-9</c:v>
                </c:pt>
                <c:pt idx="38">
                  <c:v>1.5065409134728787E-9</c:v>
                </c:pt>
                <c:pt idx="39">
                  <c:v>1.3217467730783603E-9</c:v>
                </c:pt>
                <c:pt idx="40">
                  <c:v>1.1484657631073619E-9</c:v>
                </c:pt>
                <c:pt idx="41">
                  <c:v>9.9067777512887748E-10</c:v>
                </c:pt>
                <c:pt idx="42">
                  <c:v>8.517352392401495E-10</c:v>
                </c:pt>
                <c:pt idx="43">
                  <c:v>7.3426074203354546E-10</c:v>
                </c:pt>
                <c:pt idx="44">
                  <c:v>6.4007877456380755E-10</c:v>
                </c:pt>
                <c:pt idx="45">
                  <c:v>5.6994551625233631E-10</c:v>
                </c:pt>
                <c:pt idx="46">
                  <c:v>5.2456030442800441E-10</c:v>
                </c:pt>
                <c:pt idx="47">
                  <c:v>5.0301454309716146E-10</c:v>
                </c:pt>
                <c:pt idx="48">
                  <c:v>5.0397013310611999E-10</c:v>
                </c:pt>
                <c:pt idx="49">
                  <c:v>5.2545422041857227E-10</c:v>
                </c:pt>
                <c:pt idx="50">
                  <c:v>5.6495964167581894E-10</c:v>
                </c:pt>
                <c:pt idx="51">
                  <c:v>6.1955344543990865E-10</c:v>
                </c:pt>
                <c:pt idx="52">
                  <c:v>6.859883477728888E-10</c:v>
                </c:pt>
                <c:pt idx="53">
                  <c:v>7.6081320982172915E-10</c:v>
                </c:pt>
                <c:pt idx="54">
                  <c:v>8.4047986496371592E-10</c:v>
                </c:pt>
                <c:pt idx="55">
                  <c:v>9.2144472042441294E-10</c:v>
                </c:pt>
                <c:pt idx="56">
                  <c:v>1.0002643950632452E-9</c:v>
                </c:pt>
                <c:pt idx="57">
                  <c:v>1.073685196544625E-9</c:v>
                </c:pt>
                <c:pt idx="58">
                  <c:v>1.1387264665418108E-9</c:v>
                </c:pt>
                <c:pt idx="59">
                  <c:v>1.1927577645956789E-9</c:v>
                </c:pt>
                <c:pt idx="60">
                  <c:v>1.2335695695030136E-9</c:v>
                </c:pt>
                <c:pt idx="61">
                  <c:v>1.2594367091439063E-9</c:v>
                </c:pt>
                <c:pt idx="62">
                  <c:v>1.269173166107594E-9</c:v>
                </c:pt>
                <c:pt idx="63">
                  <c:v>1.2621763258013895E-9</c:v>
                </c:pt>
                <c:pt idx="64">
                  <c:v>1.2384582221994209E-9</c:v>
                </c:pt>
                <c:pt idx="65">
                  <c:v>1.1986609818233192E-9</c:v>
                </c:pt>
                <c:pt idx="66">
                  <c:v>1.1440535491094907E-9</c:v>
                </c:pt>
                <c:pt idx="67">
                  <c:v>1.0765069689182241E-9</c:v>
                </c:pt>
                <c:pt idx="68">
                  <c:v>9.9844604830718871E-10</c:v>
                </c:pt>
                <c:pt idx="69">
                  <c:v>9.1277614014326458E-10</c:v>
                </c:pt>
                <c:pt idx="70">
                  <c:v>8.22785060241827E-10</c:v>
                </c:pt>
                <c:pt idx="71">
                  <c:v>7.3202169871269143E-10</c:v>
                </c:pt>
                <c:pt idx="72">
                  <c:v>6.441546040022949E-10</c:v>
                </c:pt>
                <c:pt idx="73">
                  <c:v>5.6281555084955332E-10</c:v>
                </c:pt>
                <c:pt idx="74">
                  <c:v>4.9143469002890814E-10</c:v>
                </c:pt>
                <c:pt idx="75">
                  <c:v>4.3307514003759162E-10</c:v>
                </c:pt>
                <c:pt idx="76">
                  <c:v>3.902756764459757E-10</c:v>
                </c:pt>
                <c:pt idx="77">
                  <c:v>3.6491040320425177E-10</c:v>
                </c:pt>
                <c:pt idx="78">
                  <c:v>3.5807390513964971E-10</c:v>
                </c:pt>
                <c:pt idx="79">
                  <c:v>3.6999940755674755E-10</c:v>
                </c:pt>
                <c:pt idx="80">
                  <c:v>4.0001598619863241E-10</c:v>
                </c:pt>
                <c:pt idx="81">
                  <c:v>4.4654900443525881E-10</c:v>
                </c:pt>
                <c:pt idx="82">
                  <c:v>5.0716584881011324E-10</c:v>
                </c:pt>
                <c:pt idx="83">
                  <c:v>5.7866683275762699E-10</c:v>
                </c:pt>
                <c:pt idx="84">
                  <c:v>6.5721896162403746E-10</c:v>
                </c:pt>
                <c:pt idx="85">
                  <c:v>7.38528182945482E-10</c:v>
                </c:pt>
                <c:pt idx="86">
                  <c:v>8.1804383043195806E-10</c:v>
                </c:pt>
                <c:pt idx="87">
                  <c:v>8.9118722020124449E-10</c:v>
                </c:pt>
                <c:pt idx="88">
                  <c:v>9.5359476949322445E-10</c:v>
                </c:pt>
                <c:pt idx="89">
                  <c:v>1.0013645888086435E-9</c:v>
                </c:pt>
                <c:pt idx="90">
                  <c:v>1.0312942713630384E-9</c:v>
                </c:pt>
                <c:pt idx="91">
                  <c:v>1.0410966549840693E-9</c:v>
                </c:pt>
                <c:pt idx="92">
                  <c:v>1.0295797869948092E-9</c:v>
                </c:pt>
                <c:pt idx="93">
                  <c:v>9.9677737256717573E-10</c:v>
                </c:pt>
                <c:pt idx="94">
                  <c:v>9.4401684908471208E-10</c:v>
                </c:pt>
                <c:pt idx="95">
                  <c:v>8.7391412205199065E-10</c:v>
                </c:pt>
                <c:pt idx="96">
                  <c:v>7.9028709494686425E-10</c:v>
                </c:pt>
                <c:pt idx="97">
                  <c:v>6.9798449028360709E-10</c:v>
                </c:pt>
                <c:pt idx="98">
                  <c:v>6.0263201496539242E-10</c:v>
                </c:pt>
                <c:pt idx="99">
                  <c:v>5.1030439270006538E-10</c:v>
                </c:pt>
                <c:pt idx="100">
                  <c:v>4.2713870720417996E-10</c:v>
                </c:pt>
                <c:pt idx="101">
                  <c:v>3.5891123451985296E-10</c:v>
                </c:pt>
                <c:pt idx="102">
                  <c:v>3.1060574995174959E-10</c:v>
                </c:pt>
                <c:pt idx="103">
                  <c:v>2.8600542439078269E-10</c:v>
                </c:pt>
                <c:pt idx="104">
                  <c:v>2.8734221300109014E-10</c:v>
                </c:pt>
                <c:pt idx="105">
                  <c:v>3.1503662783730874E-10</c:v>
                </c:pt>
                <c:pt idx="106">
                  <c:v>3.6755677600699321E-10</c:v>
                </c:pt>
                <c:pt idx="107">
                  <c:v>4.4141863779335846E-10</c:v>
                </c:pt>
                <c:pt idx="108">
                  <c:v>5.3134013558333049E-10</c:v>
                </c:pt>
                <c:pt idx="109">
                  <c:v>6.3055021195225933E-10</c:v>
                </c:pt>
                <c:pt idx="110">
                  <c:v>7.312416486356921E-10</c:v>
                </c:pt>
                <c:pt idx="111">
                  <c:v>8.2514356300932385E-10</c:v>
                </c:pt>
                <c:pt idx="112">
                  <c:v>9.0417728513022395E-10</c:v>
                </c:pt>
                <c:pt idx="113">
                  <c:v>9.6114854893339391E-10</c:v>
                </c:pt>
                <c:pt idx="114">
                  <c:v>9.9042055246718172E-10</c:v>
                </c:pt>
                <c:pt idx="115">
                  <c:v>9.8850742711602596E-10</c:v>
                </c:pt>
                <c:pt idx="116">
                  <c:v>9.5452700496976883E-10</c:v>
                </c:pt>
                <c:pt idx="117">
                  <c:v>8.9045643764408529E-10</c:v>
                </c:pt>
                <c:pt idx="118">
                  <c:v>8.0114494799388137E-10</c:v>
                </c:pt>
                <c:pt idx="119">
                  <c:v>6.9405510605770819E-10</c:v>
                </c:pt>
                <c:pt idx="120">
                  <c:v>5.7872713983825879E-10</c:v>
                </c:pt>
                <c:pt idx="121">
                  <c:v>4.6598862408086196E-10</c:v>
                </c:pt>
                <c:pt idx="122">
                  <c:v>3.6696211220234975E-10</c:v>
                </c:pt>
                <c:pt idx="123">
                  <c:v>2.9195259035436311E-10</c:v>
                </c:pt>
                <c:pt idx="124">
                  <c:v>2.4932111116551677E-10</c:v>
                </c:pt>
                <c:pt idx="125">
                  <c:v>2.4446654105542154E-10</c:v>
                </c:pt>
                <c:pt idx="126">
                  <c:v>2.7904050521206117E-10</c:v>
                </c:pt>
                <c:pt idx="127">
                  <c:v>3.505090086377515E-10</c:v>
                </c:pt>
                <c:pt idx="128">
                  <c:v>4.5214722732550102E-10</c:v>
                </c:pt>
                <c:pt idx="129">
                  <c:v>5.735129529372246E-10</c:v>
                </c:pt>
                <c:pt idx="130">
                  <c:v>7.0139242888729294E-10</c:v>
                </c:pt>
                <c:pt idx="131">
                  <c:v>8.2115478581169364E-10</c:v>
                </c:pt>
                <c:pt idx="132">
                  <c:v>9.1839412758511916E-10</c:v>
                </c:pt>
                <c:pt idx="133">
                  <c:v>9.8068838524884094E-10</c:v>
                </c:pt>
                <c:pt idx="134">
                  <c:v>9.9926836467596033E-10</c:v>
                </c:pt>
                <c:pt idx="135">
                  <c:v>9.7037554767237822E-10</c:v>
                </c:pt>
                <c:pt idx="136">
                  <c:v>8.9609862174795867E-10</c:v>
                </c:pt>
                <c:pt idx="137">
                  <c:v>7.845197762529243E-10</c:v>
                </c:pt>
                <c:pt idx="138">
                  <c:v>6.4907268021901846E-10</c:v>
                </c:pt>
                <c:pt idx="139">
                  <c:v>5.0711057454495305E-10</c:v>
                </c:pt>
                <c:pt idx="140">
                  <c:v>3.7779578091162195E-10</c:v>
                </c:pt>
                <c:pt idx="141">
                  <c:v>2.7953681696275492E-10</c:v>
                </c:pt>
                <c:pt idx="142">
                  <c:v>2.2729808847727925E-10</c:v>
                </c:pt>
                <c:pt idx="143">
                  <c:v>2.3017046231205589E-10</c:v>
                </c:pt>
                <c:pt idx="144">
                  <c:v>2.8960192918506882E-10</c:v>
                </c:pt>
                <c:pt idx="145">
                  <c:v>3.986352660728614E-10</c:v>
                </c:pt>
                <c:pt idx="146">
                  <c:v>5.4238274674948603E-10</c:v>
                </c:pt>
                <c:pt idx="147">
                  <c:v>6.9979635147794529E-10</c:v>
                </c:pt>
                <c:pt idx="148">
                  <c:v>8.4658641632019507E-10</c:v>
                </c:pt>
                <c:pt idx="149">
                  <c:v>9.5893198157787933E-10</c:v>
                </c:pt>
                <c:pt idx="150">
                  <c:v>1.0176188996153582E-9</c:v>
                </c:pt>
                <c:pt idx="151">
                  <c:v>1.0109802520170767E-9</c:v>
                </c:pt>
                <c:pt idx="152">
                  <c:v>9.3825350033988088E-10</c:v>
                </c:pt>
                <c:pt idx="153">
                  <c:v>8.1001334954478773E-10</c:v>
                </c:pt>
                <c:pt idx="154">
                  <c:v>6.4720376896726691E-10</c:v>
                </c:pt>
                <c:pt idx="155">
                  <c:v>4.7808423884746323E-10</c:v>
                </c:pt>
                <c:pt idx="156">
                  <c:v>3.3353437511177499E-10</c:v>
                </c:pt>
                <c:pt idx="157">
                  <c:v>2.4143152505179715E-10</c:v>
                </c:pt>
                <c:pt idx="158">
                  <c:v>2.2109565167245022E-10</c:v>
                </c:pt>
                <c:pt idx="159">
                  <c:v>2.7891459885372629E-10</c:v>
                </c:pt>
                <c:pt idx="160">
                  <c:v>4.0616666118751131E-10</c:v>
                </c:pt>
                <c:pt idx="161">
                  <c:v>5.7973051866830287E-10</c:v>
                </c:pt>
                <c:pt idx="162">
                  <c:v>7.6584871488638567E-10</c:v>
                </c:pt>
                <c:pt idx="163">
                  <c:v>9.2647417726736213E-10</c:v>
                </c:pt>
                <c:pt idx="164">
                  <c:v>1.0271039816589947E-9</c:v>
                </c:pt>
                <c:pt idx="165">
                  <c:v>1.0445336070867473E-9</c:v>
                </c:pt>
                <c:pt idx="166">
                  <c:v>9.7278133369244777E-10</c:v>
                </c:pt>
                <c:pt idx="167">
                  <c:v>8.2562722963603592E-10</c:v>
                </c:pt>
                <c:pt idx="168">
                  <c:v>6.3480341122842588E-10</c:v>
                </c:pt>
                <c:pt idx="169">
                  <c:v>4.4378802327979206E-10</c:v>
                </c:pt>
                <c:pt idx="170">
                  <c:v>2.982241033462126E-10</c:v>
                </c:pt>
                <c:pt idx="171">
                  <c:v>2.3496031231104396E-10</c:v>
                </c:pt>
                <c:pt idx="172">
                  <c:v>2.7232151821075539E-10</c:v>
                </c:pt>
                <c:pt idx="173">
                  <c:v>4.0423624615357529E-10</c:v>
                </c:pt>
                <c:pt idx="174">
                  <c:v>6.0016811856110124E-10</c:v>
                </c:pt>
                <c:pt idx="175">
                  <c:v>8.1148944193739104E-10</c:v>
                </c:pt>
                <c:pt idx="176">
                  <c:v>9.832586850072306E-10</c:v>
                </c:pt>
                <c:pt idx="177">
                  <c:v>1.068733944659664E-9</c:v>
                </c:pt>
                <c:pt idx="178">
                  <c:v>1.0428467354546607E-9</c:v>
                </c:pt>
                <c:pt idx="179">
                  <c:v>9.1068329899041853E-10</c:v>
                </c:pt>
                <c:pt idx="180">
                  <c:v>7.0798194192232042E-10</c:v>
                </c:pt>
                <c:pt idx="181">
                  <c:v>4.9265654574081267E-10</c:v>
                </c:pt>
                <c:pt idx="182">
                  <c:v>3.289579462109276E-10</c:v>
                </c:pt>
                <c:pt idx="183">
                  <c:v>2.6836847105124035E-10</c:v>
                </c:pt>
                <c:pt idx="184">
                  <c:v>3.328703370481524E-10</c:v>
                </c:pt>
                <c:pt idx="185">
                  <c:v>5.0616931009423195E-10</c:v>
                </c:pt>
                <c:pt idx="186">
                  <c:v>7.3654259912588715E-10</c:v>
                </c:pt>
                <c:pt idx="187">
                  <c:v>9.5155897849913679E-10</c:v>
                </c:pt>
                <c:pt idx="188">
                  <c:v>1.0809249633645145E-9</c:v>
                </c:pt>
                <c:pt idx="189">
                  <c:v>1.0804514812602549E-9</c:v>
                </c:pt>
                <c:pt idx="190">
                  <c:v>9.4889152371565992E-10</c:v>
                </c:pt>
                <c:pt idx="191">
                  <c:v>7.3094892229125069E-10</c:v>
                </c:pt>
                <c:pt idx="192">
                  <c:v>5.0398495983870383E-10</c:v>
                </c:pt>
                <c:pt idx="193">
                  <c:v>3.5170001622487788E-10</c:v>
                </c:pt>
                <c:pt idx="194">
                  <c:v>3.3338401041356292E-10</c:v>
                </c:pt>
                <c:pt idx="195">
                  <c:v>4.6006092360389407E-10</c:v>
                </c:pt>
                <c:pt idx="196">
                  <c:v>6.8749193561278316E-10</c:v>
                </c:pt>
                <c:pt idx="197">
                  <c:v>9.3067985456694232E-10</c:v>
                </c:pt>
                <c:pt idx="198">
                  <c:v>1.0948111616662524E-9</c:v>
                </c:pt>
                <c:pt idx="199">
                  <c:v>1.1142957071334361E-9</c:v>
                </c:pt>
                <c:pt idx="200">
                  <c:v>9.8110017059197345E-10</c:v>
                </c:pt>
                <c:pt idx="201">
                  <c:v>7.5129116892645423E-10</c:v>
                </c:pt>
                <c:pt idx="202">
                  <c:v>5.2429509464256162E-10</c:v>
                </c:pt>
                <c:pt idx="203">
                  <c:v>4.0158652548877894E-10</c:v>
                </c:pt>
                <c:pt idx="204">
                  <c:v>4.4151264802279367E-10</c:v>
                </c:pt>
                <c:pt idx="205">
                  <c:v>6.306081356565463E-10</c:v>
                </c:pt>
                <c:pt idx="206">
                  <c:v>8.862708091307595E-10</c:v>
                </c:pt>
                <c:pt idx="207">
                  <c:v>1.0923195188643668E-9</c:v>
                </c:pt>
                <c:pt idx="208">
                  <c:v>1.1531313838558179E-9</c:v>
                </c:pt>
                <c:pt idx="209">
                  <c:v>1.0413166437162698E-9</c:v>
                </c:pt>
                <c:pt idx="210">
                  <c:v>8.1447043355560602E-10</c:v>
                </c:pt>
                <c:pt idx="211">
                  <c:v>5.8981548156722298E-10</c:v>
                </c:pt>
                <c:pt idx="212">
                  <c:v>4.8636985015871642E-10</c:v>
                </c:pt>
                <c:pt idx="213">
                  <c:v>5.6254023700374734E-10</c:v>
                </c:pt>
                <c:pt idx="214">
                  <c:v>7.8238009608787656E-10</c:v>
                </c:pt>
                <c:pt idx="215">
                  <c:v>1.0313299206010208E-9</c:v>
                </c:pt>
                <c:pt idx="216">
                  <c:v>1.1765928846225408E-9</c:v>
                </c:pt>
                <c:pt idx="217">
                  <c:v>1.141339985058683E-9</c:v>
                </c:pt>
                <c:pt idx="218">
                  <c:v>9.5089318803882131E-10</c:v>
                </c:pt>
                <c:pt idx="219">
                  <c:v>7.2157155700768214E-10</c:v>
                </c:pt>
                <c:pt idx="220">
                  <c:v>5.946111298727746E-10</c:v>
                </c:pt>
                <c:pt idx="221">
                  <c:v>6.5144604590082711E-10</c:v>
                </c:pt>
                <c:pt idx="222">
                  <c:v>8.6160950616272338E-10</c:v>
                </c:pt>
                <c:pt idx="223">
                  <c:v>1.0984686796019522E-9</c:v>
                </c:pt>
                <c:pt idx="224">
                  <c:v>1.2173440164103806E-9</c:v>
                </c:pt>
                <c:pt idx="225">
                  <c:v>1.1490825691849152E-9</c:v>
                </c:pt>
                <c:pt idx="226">
                  <c:v>9.4777226167220999E-10</c:v>
                </c:pt>
                <c:pt idx="227">
                  <c:v>7.573109241538592E-10</c:v>
                </c:pt>
                <c:pt idx="228">
                  <c:v>7.1481935660843537E-10</c:v>
                </c:pt>
                <c:pt idx="229">
                  <c:v>8.5485806828471524E-10</c:v>
                </c:pt>
                <c:pt idx="230">
                  <c:v>1.0829126569448462E-9</c:v>
                </c:pt>
                <c:pt idx="231">
                  <c:v>1.2413877700465142E-9</c:v>
                </c:pt>
                <c:pt idx="232">
                  <c:v>1.2244364499125609E-9</c:v>
                </c:pt>
                <c:pt idx="233">
                  <c:v>1.0578430165441512E-9</c:v>
                </c:pt>
                <c:pt idx="234">
                  <c:v>8.810065798793278E-10</c:v>
                </c:pt>
                <c:pt idx="235">
                  <c:v>8.4019557874438989E-10</c:v>
                </c:pt>
                <c:pt idx="236">
                  <c:v>9.7341533715950526E-10</c:v>
                </c:pt>
                <c:pt idx="237">
                  <c:v>1.179289433623143E-9</c:v>
                </c:pt>
                <c:pt idx="238">
                  <c:v>1.2991017342817142E-9</c:v>
                </c:pt>
                <c:pt idx="239">
                  <c:v>1.2482422185714543E-9</c:v>
                </c:pt>
                <c:pt idx="240">
                  <c:v>1.0875101262844923E-9</c:v>
                </c:pt>
                <c:pt idx="241">
                  <c:v>9.7059986498540859E-10</c:v>
                </c:pt>
                <c:pt idx="242">
                  <c:v>1.0096244483407299E-9</c:v>
                </c:pt>
                <c:pt idx="243">
                  <c:v>1.1760248851370144E-9</c:v>
                </c:pt>
                <c:pt idx="244">
                  <c:v>1.3277311362522515E-9</c:v>
                </c:pt>
                <c:pt idx="245">
                  <c:v>1.3408175732046293E-9</c:v>
                </c:pt>
                <c:pt idx="246">
                  <c:v>1.2246856097637282E-9</c:v>
                </c:pt>
                <c:pt idx="247">
                  <c:v>1.1107053143182155E-9</c:v>
                </c:pt>
                <c:pt idx="248">
                  <c:v>1.1231323437590713E-9</c:v>
                </c:pt>
                <c:pt idx="249">
                  <c:v>1.2576901267100734E-9</c:v>
                </c:pt>
                <c:pt idx="250">
                  <c:v>1.3893625953968014E-9</c:v>
                </c:pt>
                <c:pt idx="251">
                  <c:v>1.4024468068896443E-9</c:v>
                </c:pt>
                <c:pt idx="252">
                  <c:v>1.3090172071703254E-9</c:v>
                </c:pt>
                <c:pt idx="253">
                  <c:v>1.2314722450343665E-9</c:v>
                </c:pt>
                <c:pt idx="254">
                  <c:v>1.2682291141145496E-9</c:v>
                </c:pt>
                <c:pt idx="255">
                  <c:v>1.3888766805891341E-9</c:v>
                </c:pt>
                <c:pt idx="256">
                  <c:v>1.4737967200868288E-9</c:v>
                </c:pt>
                <c:pt idx="257">
                  <c:v>1.451733953951263E-9</c:v>
                </c:pt>
                <c:pt idx="258">
                  <c:v>1.3772780225280134E-9</c:v>
                </c:pt>
                <c:pt idx="259">
                  <c:v>1.3604845056069805E-9</c:v>
                </c:pt>
                <c:pt idx="260">
                  <c:v>1.4352815855992191E-9</c:v>
                </c:pt>
                <c:pt idx="261">
                  <c:v>1.524979071381481E-9</c:v>
                </c:pt>
                <c:pt idx="262">
                  <c:v>1.5425887345067708E-9</c:v>
                </c:pt>
                <c:pt idx="263">
                  <c:v>1.4972250542553238E-9</c:v>
                </c:pt>
                <c:pt idx="264">
                  <c:v>1.4743028617831126E-9</c:v>
                </c:pt>
                <c:pt idx="265">
                  <c:v>1.5216244437144542E-9</c:v>
                </c:pt>
                <c:pt idx="266">
                  <c:v>1.5926649136475062E-9</c:v>
                </c:pt>
                <c:pt idx="267">
                  <c:v>1.6164447616199511E-9</c:v>
                </c:pt>
                <c:pt idx="268">
                  <c:v>1.5925957267956999E-9</c:v>
                </c:pt>
                <c:pt idx="269">
                  <c:v>1.5831186515010782E-9</c:v>
                </c:pt>
                <c:pt idx="270">
                  <c:v>1.6214749473797827E-9</c:v>
                </c:pt>
                <c:pt idx="271">
                  <c:v>1.6713627216367971E-9</c:v>
                </c:pt>
                <c:pt idx="272">
                  <c:v>1.6866706122644772E-9</c:v>
                </c:pt>
                <c:pt idx="273">
                  <c:v>1.676698333052867E-9</c:v>
                </c:pt>
                <c:pt idx="274">
                  <c:v>1.6837003164660192E-9</c:v>
                </c:pt>
                <c:pt idx="275">
                  <c:v>1.7172351979484327E-9</c:v>
                </c:pt>
                <c:pt idx="276">
                  <c:v>1.7468615674637526E-9</c:v>
                </c:pt>
                <c:pt idx="277">
                  <c:v>1.7541550650257389E-9</c:v>
                </c:pt>
                <c:pt idx="278">
                  <c:v>1.756628833909021E-9</c:v>
                </c:pt>
                <c:pt idx="279">
                  <c:v>1.7734905410710489E-9</c:v>
                </c:pt>
                <c:pt idx="280">
                  <c:v>1.7970059734998978E-9</c:v>
                </c:pt>
                <c:pt idx="281">
                  <c:v>1.8113939225890583E-9</c:v>
                </c:pt>
                <c:pt idx="282">
                  <c:v>1.8184601084956408E-9</c:v>
                </c:pt>
                <c:pt idx="283">
                  <c:v>1.8290070584366892E-9</c:v>
                </c:pt>
                <c:pt idx="284">
                  <c:v>1.8436478484839027E-9</c:v>
                </c:pt>
                <c:pt idx="285">
                  <c:v>1.855949822838255E-9</c:v>
                </c:pt>
                <c:pt idx="286">
                  <c:v>1.8647384252077595E-9</c:v>
                </c:pt>
                <c:pt idx="287">
                  <c:v>1.8730630458787735E-9</c:v>
                </c:pt>
                <c:pt idx="288">
                  <c:v>1.8816071134613925E-9</c:v>
                </c:pt>
                <c:pt idx="289">
                  <c:v>1.8892002090983946E-9</c:v>
                </c:pt>
                <c:pt idx="290">
                  <c:v>1.8955145141443794E-9</c:v>
                </c:pt>
                <c:pt idx="291">
                  <c:v>1.9008528757542586E-9</c:v>
                </c:pt>
                <c:pt idx="292">
                  <c:v>1.9052680696544439E-9</c:v>
                </c:pt>
                <c:pt idx="293">
                  <c:v>1.9079948561427194E-9</c:v>
                </c:pt>
                <c:pt idx="294">
                  <c:v>1.9088619134935622E-9</c:v>
                </c:pt>
                <c:pt idx="295">
                  <c:v>1.9099893074053892E-9</c:v>
                </c:pt>
                <c:pt idx="296">
                  <c:v>1.9111622435423831E-9</c:v>
                </c:pt>
                <c:pt idx="297">
                  <c:v>1.9077751145389532E-9</c:v>
                </c:pt>
                <c:pt idx="298">
                  <c:v>1.9013970831223118E-9</c:v>
                </c:pt>
                <c:pt idx="299">
                  <c:v>1.8992822658221395E-9</c:v>
                </c:pt>
                <c:pt idx="300">
                  <c:v>1.8962557098215953E-9</c:v>
                </c:pt>
                <c:pt idx="301">
                  <c:v>1.8833061302419926E-9</c:v>
                </c:pt>
                <c:pt idx="302">
                  <c:v>1.8714897443548332E-9</c:v>
                </c:pt>
                <c:pt idx="303">
                  <c:v>1.8681036767048897E-9</c:v>
                </c:pt>
                <c:pt idx="304">
                  <c:v>1.8548735431966025E-9</c:v>
                </c:pt>
                <c:pt idx="305">
                  <c:v>1.8317412468482666E-9</c:v>
                </c:pt>
                <c:pt idx="306">
                  <c:v>1.8215662023949236E-9</c:v>
                </c:pt>
                <c:pt idx="307">
                  <c:v>1.811108536334386E-9</c:v>
                </c:pt>
                <c:pt idx="308">
                  <c:v>1.7810444801092881E-9</c:v>
                </c:pt>
                <c:pt idx="309">
                  <c:v>1.7593428738782698E-9</c:v>
                </c:pt>
                <c:pt idx="310">
                  <c:v>1.74936677879572E-9</c:v>
                </c:pt>
                <c:pt idx="311">
                  <c:v>1.716991883893202E-9</c:v>
                </c:pt>
                <c:pt idx="312">
                  <c:v>1.6837395005186132E-9</c:v>
                </c:pt>
                <c:pt idx="313">
                  <c:v>1.6706106796801669E-9</c:v>
                </c:pt>
                <c:pt idx="314">
                  <c:v>1.6374058686857891E-9</c:v>
                </c:pt>
                <c:pt idx="315">
                  <c:v>1.5952581265216922E-9</c:v>
                </c:pt>
                <c:pt idx="316">
                  <c:v>1.5771807948887037E-9</c:v>
                </c:pt>
                <c:pt idx="317">
                  <c:v>1.5420058209156918E-9</c:v>
                </c:pt>
                <c:pt idx="318">
                  <c:v>1.4938441697117994E-9</c:v>
                </c:pt>
                <c:pt idx="319">
                  <c:v>1.4707730701618347E-9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1055</c:v>
                </c:pt>
                <c:pt idx="1">
                  <c:v>1059</c:v>
                </c:pt>
                <c:pt idx="2">
                  <c:v>1063</c:v>
                </c:pt>
                <c:pt idx="3">
                  <c:v>1067</c:v>
                </c:pt>
                <c:pt idx="4">
                  <c:v>1071</c:v>
                </c:pt>
                <c:pt idx="5">
                  <c:v>1075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2.8195678692791257</c:v>
                </c:pt>
                <c:pt idx="1">
                  <c:v>2.2228622887319194</c:v>
                </c:pt>
                <c:pt idx="2">
                  <c:v>1.9372118844251283</c:v>
                </c:pt>
                <c:pt idx="3">
                  <c:v>1.9562783207990133</c:v>
                </c:pt>
                <c:pt idx="4">
                  <c:v>2.2686420915690677</c:v>
                </c:pt>
                <c:pt idx="5">
                  <c:v>2.8593016857506766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</c:formatCode>
                <c:ptCount val="20"/>
                <c:pt idx="0">
                  <c:v>1.34</c:v>
                </c:pt>
                <c:pt idx="1">
                  <c:v>1.3560000000000001</c:v>
                </c:pt>
                <c:pt idx="2">
                  <c:v>1.3720000000000001</c:v>
                </c:pt>
                <c:pt idx="3">
                  <c:v>1.3879999999999999</c:v>
                </c:pt>
                <c:pt idx="4">
                  <c:v>1.4039999999999999</c:v>
                </c:pt>
                <c:pt idx="5">
                  <c:v>1.42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2.1919399596711848</c:v>
                </c:pt>
                <c:pt idx="1">
                  <c:v>1.9776071261665709</c:v>
                </c:pt>
                <c:pt idx="2">
                  <c:v>1.9087016535109596</c:v>
                </c:pt>
                <c:pt idx="3">
                  <c:v>2.0018060513509264</c:v>
                </c:pt>
                <c:pt idx="4">
                  <c:v>2.2690015394353815</c:v>
                </c:pt>
                <c:pt idx="5">
                  <c:v>2.7113240294105143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C4-4134-887F-ACC8836AA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f_PEO!$B$3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f_PEO!$A$4:$A$23</c:f>
              <c:numCache>
                <c:formatCode>0.00</c:formatCode>
                <c:ptCount val="20"/>
                <c:pt idx="0">
                  <c:v>0.27</c:v>
                </c:pt>
                <c:pt idx="1">
                  <c:v>0.28200000000000003</c:v>
                </c:pt>
                <c:pt idx="2">
                  <c:v>0.29400000000000004</c:v>
                </c:pt>
                <c:pt idx="3">
                  <c:v>0.30599999999999999</c:v>
                </c:pt>
                <c:pt idx="4">
                  <c:v>0.318</c:v>
                </c:pt>
                <c:pt idx="5">
                  <c:v>0.33</c:v>
                </c:pt>
              </c:numCache>
            </c:numRef>
          </c:xVal>
          <c:yVal>
            <c:numRef>
              <c:f>f_PEO!$B$4:$B$23</c:f>
              <c:numCache>
                <c:formatCode>0.00</c:formatCode>
                <c:ptCount val="20"/>
                <c:pt idx="0">
                  <c:v>2.2559978641326399</c:v>
                </c:pt>
                <c:pt idx="1">
                  <c:v>2.0268241832551515</c:v>
                </c:pt>
                <c:pt idx="2">
                  <c:v>1.9189085169696032</c:v>
                </c:pt>
                <c:pt idx="3">
                  <c:v>1.9262087553232814</c:v>
                </c:pt>
                <c:pt idx="4">
                  <c:v>2.0396438060692845</c:v>
                </c:pt>
                <c:pt idx="5">
                  <c:v>2.2493213183934384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9-4338-9736-E89776945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14</c:v>
                </c:pt>
                <c:pt idx="1">
                  <c:v>18</c:v>
                </c:pt>
                <c:pt idx="2">
                  <c:v>22</c:v>
                </c:pt>
                <c:pt idx="3">
                  <c:v>26</c:v>
                </c:pt>
                <c:pt idx="4">
                  <c:v>30</c:v>
                </c:pt>
                <c:pt idx="5">
                  <c:v>34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2.231975774879031</c:v>
                </c:pt>
                <c:pt idx="1">
                  <c:v>1.9735870318968829</c:v>
                </c:pt>
                <c:pt idx="2">
                  <c:v>1.8826964518436693</c:v>
                </c:pt>
                <c:pt idx="3">
                  <c:v>1.9845559181256647</c:v>
                </c:pt>
                <c:pt idx="4">
                  <c:v>2.2812450155506068</c:v>
                </c:pt>
                <c:pt idx="5">
                  <c:v>2.7621877484730173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21</c:v>
                </c:pt>
                <c:pt idx="1">
                  <c:v>22.2</c:v>
                </c:pt>
                <c:pt idx="2">
                  <c:v>23.4</c:v>
                </c:pt>
                <c:pt idx="3">
                  <c:v>24.6</c:v>
                </c:pt>
                <c:pt idx="4">
                  <c:v>25.8</c:v>
                </c:pt>
                <c:pt idx="5">
                  <c:v>27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2.2017280689243135</c:v>
                </c:pt>
                <c:pt idx="1">
                  <c:v>1.9403286575126555</c:v>
                </c:pt>
                <c:pt idx="2">
                  <c:v>1.8590040709227469</c:v>
                </c:pt>
                <c:pt idx="3">
                  <c:v>1.9627262594112731</c:v>
                </c:pt>
                <c:pt idx="4">
                  <c:v>2.2549984802002969</c:v>
                </c:pt>
                <c:pt idx="5">
                  <c:v>2.7377565839738334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D-4B3E-9196-574E9C927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NbBPEI!$B$3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NbBPEI!$A$4:$A$23</c:f>
              <c:numCache>
                <c:formatCode>0.00E+00</c:formatCode>
                <c:ptCount val="20"/>
                <c:pt idx="0">
                  <c:v>4.9999999999999998E-7</c:v>
                </c:pt>
                <c:pt idx="1">
                  <c:v>5.9999999999999997E-7</c:v>
                </c:pt>
                <c:pt idx="2">
                  <c:v>6.9999999999999997E-7</c:v>
                </c:pt>
                <c:pt idx="3">
                  <c:v>7.9999999999999996E-7</c:v>
                </c:pt>
                <c:pt idx="4">
                  <c:v>8.9999999999999996E-7</c:v>
                </c:pt>
                <c:pt idx="5">
                  <c:v>9.9999999999999995E-7</c:v>
                </c:pt>
              </c:numCache>
            </c:numRef>
          </c:xVal>
          <c:yVal>
            <c:numRef>
              <c:f>NbBPEI!$B$4:$B$23</c:f>
              <c:numCache>
                <c:formatCode>0.00</c:formatCode>
                <c:ptCount val="20"/>
                <c:pt idx="0">
                  <c:v>2.3043060031280285</c:v>
                </c:pt>
                <c:pt idx="1">
                  <c:v>2.0754843422270355</c:v>
                </c:pt>
                <c:pt idx="2">
                  <c:v>1.9307815220750522</c:v>
                </c:pt>
                <c:pt idx="3">
                  <c:v>1.8641919436365684</c:v>
                </c:pt>
                <c:pt idx="4">
                  <c:v>1.8702817613540657</c:v>
                </c:pt>
                <c:pt idx="5">
                  <c:v>1.9441892396789815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64-42E6-8969-6C0A31741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2.0279999999999999E-6</c:v>
                </c:pt>
                <c:pt idx="2">
                  <c:v>2.0559999999999999E-6</c:v>
                </c:pt>
                <c:pt idx="3">
                  <c:v>2.0839999999999999E-6</c:v>
                </c:pt>
                <c:pt idx="4">
                  <c:v>2.1119999999999999E-6</c:v>
                </c:pt>
                <c:pt idx="5">
                  <c:v>2.1399999999999998E-6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3.255917759452609</c:v>
                </c:pt>
                <c:pt idx="1">
                  <c:v>2.3322424224559901</c:v>
                </c:pt>
                <c:pt idx="2">
                  <c:v>2.0090686952657237</c:v>
                </c:pt>
                <c:pt idx="3">
                  <c:v>1.8744776916496524</c:v>
                </c:pt>
                <c:pt idx="4">
                  <c:v>2.4697064396281689</c:v>
                </c:pt>
                <c:pt idx="5">
                  <c:v>3.1733301493415569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0-4A17-96A9-94CEEFA7E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64155</xdr:colOff>
      <xdr:row>4</xdr:row>
      <xdr:rowOff>183651</xdr:rowOff>
    </xdr:from>
    <xdr:to>
      <xdr:col>16</xdr:col>
      <xdr:colOff>321656</xdr:colOff>
      <xdr:row>26</xdr:row>
      <xdr:rowOff>12761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336024</xdr:colOff>
      <xdr:row>21</xdr:row>
      <xdr:rowOff>36859</xdr:rowOff>
    </xdr:from>
    <xdr:to>
      <xdr:col>8</xdr:col>
      <xdr:colOff>135966</xdr:colOff>
      <xdr:row>41</xdr:row>
      <xdr:rowOff>80682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E46" sqref="E46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9.83203125" style="50" customWidth="1"/>
    <col min="10" max="10" width="9.83203125" style="51" customWidth="1"/>
    <col min="11" max="11" width="9.83203125" style="52" customWidth="1"/>
    <col min="12" max="12" width="8.58203125" style="156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83203125" style="28" bestFit="1" customWidth="1"/>
    <col min="18" max="18" width="7.33203125" style="60" bestFit="1" customWidth="1"/>
    <col min="19" max="19" width="10.164062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9" bestFit="1" customWidth="1"/>
  </cols>
  <sheetData>
    <row r="1" spans="1:36" ht="18" x14ac:dyDescent="0.35">
      <c r="A1" s="87" t="s">
        <v>525</v>
      </c>
      <c r="B1" s="189" t="s">
        <v>491</v>
      </c>
      <c r="C1" s="189"/>
      <c r="D1" s="189"/>
      <c r="E1" s="189"/>
      <c r="F1" s="189"/>
      <c r="G1" s="189"/>
      <c r="H1" s="189"/>
      <c r="I1" s="190" t="s">
        <v>507</v>
      </c>
      <c r="J1" s="190"/>
      <c r="K1" s="190"/>
      <c r="L1" s="66" t="s">
        <v>505</v>
      </c>
      <c r="M1" s="191" t="s">
        <v>489</v>
      </c>
      <c r="N1" s="191"/>
      <c r="O1" s="191"/>
      <c r="P1" s="191"/>
      <c r="Q1" s="191"/>
      <c r="R1" s="188" t="s">
        <v>490</v>
      </c>
      <c r="S1" s="188"/>
      <c r="T1" s="70"/>
      <c r="U1" s="187" t="s">
        <v>593</v>
      </c>
      <c r="V1" s="187"/>
      <c r="W1" s="187"/>
      <c r="X1" s="124" t="s">
        <v>594</v>
      </c>
      <c r="Y1" s="137" t="s">
        <v>536</v>
      </c>
      <c r="AA1" s="186"/>
      <c r="AB1" s="186"/>
      <c r="AC1" s="186"/>
      <c r="AD1" s="186"/>
      <c r="AE1" s="186"/>
      <c r="AF1" s="186"/>
      <c r="AG1" s="70"/>
      <c r="AH1" s="184"/>
      <c r="AI1" s="184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SUM(Y3:Y322)/319</f>
        <v>1.8580743631429593</v>
      </c>
      <c r="AA2" s="177"/>
      <c r="AB2" s="178"/>
      <c r="AC2" s="179"/>
      <c r="AD2" s="180"/>
      <c r="AE2" s="180"/>
      <c r="AF2" s="180"/>
      <c r="AG2" s="72"/>
      <c r="AH2" s="181"/>
      <c r="AI2" s="180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614</v>
      </c>
      <c r="I3" s="109">
        <v>8.2642749047700005E-3</v>
      </c>
      <c r="J3" s="109">
        <v>5.6562441463912711E-9</v>
      </c>
      <c r="K3" s="109">
        <v>1.4057464941439891E-9</v>
      </c>
      <c r="L3" s="156">
        <v>4.6397209023274861E-9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4.6394237843389932E-9</v>
      </c>
      <c r="V3" s="127">
        <v>4.6397209023274861E-9</v>
      </c>
      <c r="W3" s="128">
        <v>4.6400174841498144E-9</v>
      </c>
      <c r="X3" s="128">
        <f t="shared" ref="X3:X66" si="0">(U3+2*V3+W3)/4</f>
        <v>4.639720768285945E-9</v>
      </c>
      <c r="Y3" s="139">
        <f t="shared" ref="Y3:Y66" si="1">(J3-X3)*(J3-X3)/(K3*K3)</f>
        <v>0.52290250688965867</v>
      </c>
      <c r="AA3" s="73"/>
      <c r="AB3" s="182"/>
      <c r="AC3" s="182"/>
      <c r="AD3" s="182"/>
      <c r="AJ3" s="135"/>
    </row>
    <row r="4" spans="1:36" ht="18.5" x14ac:dyDescent="0.35">
      <c r="A4" s="88" t="s">
        <v>528</v>
      </c>
      <c r="B4" s="21" t="s">
        <v>606</v>
      </c>
      <c r="C4" s="161">
        <f>C5</f>
        <v>1.7860352480266717E-6</v>
      </c>
      <c r="D4" s="19">
        <v>9.9999999999999994E-12</v>
      </c>
      <c r="E4" s="19">
        <v>5.0000000000000001E-9</v>
      </c>
      <c r="F4" s="153">
        <f>H4*H8</f>
        <v>200</v>
      </c>
      <c r="G4" s="107">
        <v>21.758164262199287</v>
      </c>
      <c r="H4" s="153">
        <v>200</v>
      </c>
      <c r="I4" s="109">
        <v>8.3469176538099998E-3</v>
      </c>
      <c r="J4" s="109">
        <v>4.9027660197753225E-9</v>
      </c>
      <c r="K4" s="109">
        <v>7.0917640032256365E-10</v>
      </c>
      <c r="L4" s="156">
        <v>4.8264686790332629E-9</v>
      </c>
      <c r="M4" s="27"/>
      <c r="N4" s="18">
        <v>6.9870875897282264E-9</v>
      </c>
      <c r="O4" s="18">
        <v>3.9120658998460512E-14</v>
      </c>
      <c r="P4" s="18">
        <v>1.9560329499230255E-11</v>
      </c>
      <c r="Q4" s="28">
        <v>7.4895151803927185</v>
      </c>
      <c r="R4" s="60">
        <v>100</v>
      </c>
      <c r="S4" s="57">
        <v>0</v>
      </c>
      <c r="U4" s="127">
        <v>4.8261588388989961E-9</v>
      </c>
      <c r="V4" s="127">
        <v>4.8264686790332629E-9</v>
      </c>
      <c r="W4" s="128">
        <v>4.8267787993189687E-9</v>
      </c>
      <c r="X4" s="128">
        <f t="shared" si="0"/>
        <v>4.8264687490711227E-9</v>
      </c>
      <c r="Y4" s="139">
        <f t="shared" si="1"/>
        <v>1.1574692326674595E-2</v>
      </c>
      <c r="AA4" s="73"/>
      <c r="AB4" s="182"/>
      <c r="AC4" s="182"/>
      <c r="AD4" s="182"/>
      <c r="AJ4" s="135"/>
    </row>
    <row r="5" spans="1:36" x14ac:dyDescent="0.35">
      <c r="A5" s="89"/>
      <c r="B5" s="100" t="s">
        <v>603</v>
      </c>
      <c r="C5" s="161">
        <f>H14*(H16*D16+(1-H16)*C16)</f>
        <v>1.7860352480266717E-6</v>
      </c>
      <c r="D5" s="101">
        <v>1.5392483148537927E-10</v>
      </c>
      <c r="E5" s="101">
        <v>5.0509225500401457E-8</v>
      </c>
      <c r="F5" s="153">
        <f>(H10-H4)*H8</f>
        <v>864.86357836635534</v>
      </c>
      <c r="G5" s="153">
        <v>55.42680874121109</v>
      </c>
      <c r="H5" s="111" t="s">
        <v>599</v>
      </c>
      <c r="I5" s="109">
        <v>8.4303868303500003E-3</v>
      </c>
      <c r="J5" s="109">
        <v>5.4712749890303209E-9</v>
      </c>
      <c r="K5" s="109">
        <v>5.6047543210932031E-10</v>
      </c>
      <c r="L5" s="156">
        <v>5.020514420692755E-9</v>
      </c>
      <c r="M5" s="27"/>
      <c r="N5" s="18">
        <v>5.7554661260007387E-8</v>
      </c>
      <c r="O5" s="18">
        <v>3.2224818252381934E-13</v>
      </c>
      <c r="P5" s="18">
        <v>1.6112409126190968E-10</v>
      </c>
      <c r="Q5" s="28">
        <v>5.577004253398461</v>
      </c>
      <c r="R5" s="60">
        <v>100</v>
      </c>
      <c r="S5" s="57">
        <v>6.9870875897282264E-9</v>
      </c>
      <c r="U5" s="127">
        <v>5.0201937383804287E-9</v>
      </c>
      <c r="V5" s="127">
        <v>5.020514420692755E-9</v>
      </c>
      <c r="W5" s="128">
        <v>5.0208364304934193E-9</v>
      </c>
      <c r="X5" s="128">
        <f t="shared" si="0"/>
        <v>5.0205147525648397E-9</v>
      </c>
      <c r="Y5" s="139">
        <f t="shared" si="1"/>
        <v>0.64681195020928117</v>
      </c>
      <c r="AA5" s="73"/>
      <c r="AB5" s="182"/>
      <c r="AC5" s="182"/>
      <c r="AD5" s="182"/>
      <c r="AJ5" s="135"/>
    </row>
    <row r="6" spans="1:36" x14ac:dyDescent="0.35">
      <c r="B6" s="100" t="s">
        <v>604</v>
      </c>
      <c r="C6" s="152">
        <v>8.4383076650543174E-7</v>
      </c>
      <c r="D6" s="101">
        <v>1.5392483148537927E-10</v>
      </c>
      <c r="E6" s="101">
        <v>5.0509225500401457E-8</v>
      </c>
      <c r="F6" s="153">
        <v>10</v>
      </c>
      <c r="G6" s="102">
        <f>F6</f>
        <v>10</v>
      </c>
      <c r="H6" s="154">
        <v>0.02</v>
      </c>
      <c r="I6" s="109">
        <v>8.5146906986500008E-3</v>
      </c>
      <c r="J6" s="109">
        <v>4.5616740453771614E-9</v>
      </c>
      <c r="K6" s="109">
        <v>4.3597835635204847E-10</v>
      </c>
      <c r="L6" s="156">
        <v>5.2220867166373185E-9</v>
      </c>
      <c r="M6" s="27"/>
      <c r="N6" s="18">
        <v>1.3070824962250988E-7</v>
      </c>
      <c r="O6" s="18">
        <v>7.318346587332186E-13</v>
      </c>
      <c r="P6" s="18">
        <v>3.6591732936660931E-10</v>
      </c>
      <c r="Q6" s="28">
        <v>3.1034852810136937</v>
      </c>
      <c r="R6" s="60">
        <v>107.48951518039271</v>
      </c>
      <c r="S6" s="57">
        <v>6.9870875897282264E-9</v>
      </c>
      <c r="U6" s="127">
        <v>5.2217583720417787E-9</v>
      </c>
      <c r="V6" s="127">
        <v>5.2220867166373185E-9</v>
      </c>
      <c r="W6" s="128">
        <v>5.2224177232572288E-9</v>
      </c>
      <c r="X6" s="128">
        <f t="shared" si="0"/>
        <v>5.2220873821434115E-9</v>
      </c>
      <c r="Y6" s="139">
        <f t="shared" si="1"/>
        <v>2.2945726389412471</v>
      </c>
      <c r="AA6" s="73"/>
      <c r="AB6" s="182"/>
      <c r="AC6" s="182"/>
      <c r="AD6" s="182"/>
      <c r="AJ6" s="135"/>
    </row>
    <row r="7" spans="1:36" ht="18.5" x14ac:dyDescent="0.35">
      <c r="A7" s="68" t="s">
        <v>529</v>
      </c>
      <c r="B7" s="141" t="s">
        <v>504</v>
      </c>
      <c r="C7" s="155">
        <v>3.1999999999999999E-6</v>
      </c>
      <c r="D7" s="142">
        <v>2.5307649463664093E-11</v>
      </c>
      <c r="E7" s="142">
        <v>1.486857631694136E-12</v>
      </c>
      <c r="F7" s="167">
        <v>23.313779615057957</v>
      </c>
      <c r="G7" s="102">
        <v>5</v>
      </c>
      <c r="H7" s="134" t="s">
        <v>600</v>
      </c>
      <c r="I7" s="109">
        <v>8.5998376056400008E-3</v>
      </c>
      <c r="J7" s="109">
        <v>4.9959442503782301E-9</v>
      </c>
      <c r="K7" s="109">
        <v>4.1146392662222387E-10</v>
      </c>
      <c r="L7" s="156">
        <v>5.4314074390109858E-9</v>
      </c>
      <c r="M7" s="27"/>
      <c r="N7" s="18">
        <v>2.1348536198356004E-7</v>
      </c>
      <c r="O7" s="18">
        <v>1.1953031846344163E-12</v>
      </c>
      <c r="P7" s="18">
        <v>5.9765159231720819E-10</v>
      </c>
      <c r="Q7" s="28">
        <v>2.2738269904015311</v>
      </c>
      <c r="R7" s="60">
        <v>107.48951518039271</v>
      </c>
      <c r="S7" s="57">
        <v>5.7554661260007387E-8</v>
      </c>
      <c r="U7" s="127">
        <v>5.4310765554049077E-9</v>
      </c>
      <c r="V7" s="127">
        <v>5.4314074390109858E-9</v>
      </c>
      <c r="W7" s="128">
        <v>5.4317426710466149E-9</v>
      </c>
      <c r="X7" s="128">
        <f t="shared" si="0"/>
        <v>5.4314085261183737E-9</v>
      </c>
      <c r="Y7" s="139">
        <f t="shared" si="1"/>
        <v>1.1200606310085746</v>
      </c>
      <c r="AA7" s="73"/>
      <c r="AB7" s="182"/>
      <c r="AC7" s="182"/>
      <c r="AD7" s="182"/>
      <c r="AJ7" s="135"/>
    </row>
    <row r="8" spans="1:36" x14ac:dyDescent="0.35">
      <c r="A8" s="90" t="b">
        <v>1</v>
      </c>
      <c r="B8" s="141" t="s">
        <v>52</v>
      </c>
      <c r="C8" s="183">
        <v>2.0702563117624681E-6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4">
        <v>1</v>
      </c>
      <c r="I8" s="109">
        <v>8.6858359817000002E-3</v>
      </c>
      <c r="J8" s="109">
        <v>6.2439167348202997E-9</v>
      </c>
      <c r="K8" s="109">
        <v>4.3589315264018867E-10</v>
      </c>
      <c r="L8" s="156">
        <v>5.6486817195820304E-9</v>
      </c>
      <c r="M8" s="27"/>
      <c r="N8" s="18">
        <v>3.0084420283930921E-7</v>
      </c>
      <c r="O8" s="18">
        <v>1.6844247792517059E-12</v>
      </c>
      <c r="P8" s="18">
        <v>8.422123896258529E-10</v>
      </c>
      <c r="Q8" s="28">
        <v>1.8504092763803572</v>
      </c>
      <c r="R8" s="60">
        <v>113.06651943379117</v>
      </c>
      <c r="S8" s="57">
        <v>5.7554661260007387E-8</v>
      </c>
      <c r="U8" s="127">
        <v>5.6483563424079823E-9</v>
      </c>
      <c r="V8" s="127">
        <v>5.6486817195820304E-9</v>
      </c>
      <c r="W8" s="128">
        <v>5.6490135560852675E-9</v>
      </c>
      <c r="X8" s="128">
        <f t="shared" si="0"/>
        <v>5.6486833344143272E-9</v>
      </c>
      <c r="Y8" s="139">
        <f t="shared" si="1"/>
        <v>1.864723706192001</v>
      </c>
      <c r="AA8" s="73"/>
      <c r="AB8" s="182"/>
      <c r="AC8" s="182"/>
      <c r="AD8" s="182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628</v>
      </c>
      <c r="I9" s="109">
        <v>8.7726943415100001E-3</v>
      </c>
      <c r="J9" s="109">
        <v>6.0975676549779114E-9</v>
      </c>
      <c r="K9" s="109">
        <v>4.3043446843704631E-10</v>
      </c>
      <c r="L9" s="156">
        <v>5.8740843433818749E-9</v>
      </c>
      <c r="M9" s="27"/>
      <c r="N9" s="18">
        <v>3.9047667822867047E-7</v>
      </c>
      <c r="O9" s="18">
        <v>2.1862764391693533E-12</v>
      </c>
      <c r="P9" s="18">
        <v>1.0931382195846767E-9</v>
      </c>
      <c r="Q9" s="28">
        <v>1.5978386833255116</v>
      </c>
      <c r="R9" s="60">
        <v>113.06651943379117</v>
      </c>
      <c r="S9" s="57">
        <v>1.3070824962250988E-7</v>
      </c>
      <c r="U9" s="127">
        <v>5.8737769768081521E-9</v>
      </c>
      <c r="V9" s="127">
        <v>5.8740843433818749E-9</v>
      </c>
      <c r="W9" s="128">
        <v>5.8744007796775882E-9</v>
      </c>
      <c r="X9" s="128">
        <f t="shared" si="0"/>
        <v>5.8740866108123719E-9</v>
      </c>
      <c r="Y9" s="139">
        <f t="shared" si="1"/>
        <v>0.26956735694931028</v>
      </c>
      <c r="AA9" s="73"/>
      <c r="AB9" s="182"/>
      <c r="AC9" s="182"/>
      <c r="AD9" s="182"/>
      <c r="AJ9" s="135"/>
    </row>
    <row r="10" spans="1:36" x14ac:dyDescent="0.35">
      <c r="A10" s="69">
        <v>4.2746120662881353</v>
      </c>
      <c r="B10" s="100"/>
      <c r="C10" s="101"/>
      <c r="D10" s="101"/>
      <c r="E10" s="101"/>
      <c r="F10" s="102"/>
      <c r="G10" s="102"/>
      <c r="H10" s="107">
        <v>1064.8635783663553</v>
      </c>
      <c r="I10" s="109">
        <v>8.86042128493E-3</v>
      </c>
      <c r="J10" s="109">
        <v>5.6032951623047413E-9</v>
      </c>
      <c r="K10" s="109">
        <v>4.0642192784330139E-10</v>
      </c>
      <c r="L10" s="156">
        <v>6.1077417611787855E-9</v>
      </c>
      <c r="M10" s="27"/>
      <c r="N10" s="18">
        <v>4.8123217666459527E-7</v>
      </c>
      <c r="O10" s="18">
        <v>2.694415897985731E-12</v>
      </c>
      <c r="P10" s="18">
        <v>1.3472079489928657E-9</v>
      </c>
      <c r="Q10" s="28">
        <v>1.4354072004370491</v>
      </c>
      <c r="R10" s="60">
        <v>116.17000471480486</v>
      </c>
      <c r="S10" s="57">
        <v>1.3070824962250988E-7</v>
      </c>
      <c r="U10" s="127">
        <v>6.1074718376674943E-9</v>
      </c>
      <c r="V10" s="127">
        <v>6.1077417611787855E-9</v>
      </c>
      <c r="W10" s="128">
        <v>6.1080239231874915E-9</v>
      </c>
      <c r="X10" s="128">
        <f t="shared" si="0"/>
        <v>6.1077448208031388E-9</v>
      </c>
      <c r="Y10" s="139">
        <f t="shared" si="1"/>
        <v>1.5405698763008235</v>
      </c>
      <c r="AA10" s="73"/>
      <c r="AB10" s="182"/>
      <c r="AC10" s="182"/>
      <c r="AD10" s="182"/>
      <c r="AJ10" s="135"/>
    </row>
    <row r="11" spans="1:36" x14ac:dyDescent="0.35">
      <c r="B11" s="100"/>
      <c r="C11" s="142"/>
      <c r="D11" s="101"/>
      <c r="E11" s="101"/>
      <c r="F11" s="143"/>
      <c r="G11" s="147"/>
      <c r="H11" s="147"/>
      <c r="I11" s="109">
        <v>8.9490254977800006E-3</v>
      </c>
      <c r="J11" s="109">
        <v>6.6296985277537677E-9</v>
      </c>
      <c r="K11" s="109">
        <v>4.2519118877051899E-10</v>
      </c>
      <c r="L11" s="156">
        <v>6.3497040738303254E-9</v>
      </c>
      <c r="M11" s="27"/>
      <c r="N11" s="18">
        <v>5.7251638522518324E-7</v>
      </c>
      <c r="O11" s="18">
        <v>3.2055156014291243E-12</v>
      </c>
      <c r="P11" s="18">
        <v>1.6027578007145623E-9</v>
      </c>
      <c r="Q11" s="28">
        <v>1.3277521987242504</v>
      </c>
      <c r="R11" s="60">
        <v>116.17000471480486</v>
      </c>
      <c r="S11" s="57">
        <v>2.1348536198356004E-7</v>
      </c>
      <c r="U11" s="127">
        <v>6.3495020307236823E-9</v>
      </c>
      <c r="V11" s="127">
        <v>6.3497040738303254E-9</v>
      </c>
      <c r="W11" s="128">
        <v>6.3499220787862383E-9</v>
      </c>
      <c r="X11" s="128">
        <f t="shared" si="0"/>
        <v>6.3497080642926431E-9</v>
      </c>
      <c r="Y11" s="139">
        <f t="shared" si="1"/>
        <v>0.43362864824792696</v>
      </c>
      <c r="AA11" s="73"/>
      <c r="AB11" s="182"/>
      <c r="AC11" s="182"/>
      <c r="AD11" s="182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9.0385157527600006E-3</v>
      </c>
      <c r="J12" s="109">
        <v>6.8246052411373452E-9</v>
      </c>
      <c r="K12" s="109">
        <v>4.1914249655458123E-10</v>
      </c>
      <c r="L12" s="156">
        <v>6.599899243761899E-9</v>
      </c>
      <c r="M12" s="27"/>
      <c r="N12" s="18">
        <v>6.6402474343586525E-7</v>
      </c>
      <c r="O12" s="18">
        <v>3.7178703173384912E-12</v>
      </c>
      <c r="P12" s="18">
        <v>1.8589351586692456E-9</v>
      </c>
      <c r="Q12" s="28">
        <v>1.2571670741774688</v>
      </c>
      <c r="R12" s="60">
        <v>118.44383170520639</v>
      </c>
      <c r="S12" s="57">
        <v>2.1348536198356004E-7</v>
      </c>
      <c r="U12" s="127">
        <v>6.5998134781422971E-9</v>
      </c>
      <c r="V12" s="127">
        <v>6.599899243761899E-9</v>
      </c>
      <c r="W12" s="128">
        <v>6.6000050698533094E-9</v>
      </c>
      <c r="X12" s="128">
        <f t="shared" si="0"/>
        <v>6.5999042588798513E-9</v>
      </c>
      <c r="Y12" s="139">
        <f t="shared" si="1"/>
        <v>0.2873998585530993</v>
      </c>
      <c r="AA12" s="73"/>
      <c r="AB12" s="182"/>
      <c r="AC12" s="182"/>
      <c r="AD12" s="182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612</v>
      </c>
      <c r="I13" s="109">
        <v>9.1289009102799995E-3</v>
      </c>
      <c r="J13" s="109">
        <v>6.7304716366016969E-9</v>
      </c>
      <c r="K13" s="109">
        <v>4.2197064199680252E-10</v>
      </c>
      <c r="L13" s="156">
        <v>6.85805549295085E-9</v>
      </c>
      <c r="M13" s="27"/>
      <c r="N13" s="18">
        <v>7.5561074629521007E-7</v>
      </c>
      <c r="O13" s="18">
        <v>4.2306597651421388E-12</v>
      </c>
      <c r="P13" s="18">
        <v>2.1153298825710695E-9</v>
      </c>
      <c r="Q13" s="28">
        <v>1.2141831364383837</v>
      </c>
      <c r="R13" s="60">
        <v>118.44383170520639</v>
      </c>
      <c r="S13" s="57">
        <v>3.0084420283930921E-7</v>
      </c>
      <c r="U13" s="127">
        <v>6.8581647152862213E-9</v>
      </c>
      <c r="V13" s="127">
        <v>6.85805549295085E-9</v>
      </c>
      <c r="W13" s="128">
        <v>6.8579701747724535E-9</v>
      </c>
      <c r="X13" s="128">
        <f t="shared" si="0"/>
        <v>6.858061468990093E-9</v>
      </c>
      <c r="Y13" s="139">
        <f t="shared" si="1"/>
        <v>9.142556662548737E-2</v>
      </c>
      <c r="AA13" s="73"/>
      <c r="AB13" s="182"/>
      <c r="AC13" s="182"/>
      <c r="AD13" s="182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64">
        <v>1.3701415271707418</v>
      </c>
      <c r="I14" s="109">
        <v>9.2201899193900001E-3</v>
      </c>
      <c r="J14" s="109">
        <v>7.230407827747907E-9</v>
      </c>
      <c r="K14" s="109">
        <v>4.3382749406580682E-10</v>
      </c>
      <c r="L14" s="156">
        <v>7.1235641755770249E-9</v>
      </c>
      <c r="M14" s="27"/>
      <c r="N14" s="18">
        <v>8.4721466595479265E-7</v>
      </c>
      <c r="O14" s="18">
        <v>4.7435495289964222E-12</v>
      </c>
      <c r="P14" s="18">
        <v>2.3717747644982111E-9</v>
      </c>
      <c r="Q14" s="28">
        <v>1.1937869161866825</v>
      </c>
      <c r="R14" s="60">
        <v>120.29424098158675</v>
      </c>
      <c r="S14" s="57">
        <v>3.0084420283930921E-7</v>
      </c>
      <c r="U14" s="127">
        <v>7.1240004587814436E-9</v>
      </c>
      <c r="V14" s="127">
        <v>7.1235641755770249E-9</v>
      </c>
      <c r="W14" s="128">
        <v>7.1231536076838036E-9</v>
      </c>
      <c r="X14" s="128">
        <f t="shared" si="0"/>
        <v>7.1235706044048238E-9</v>
      </c>
      <c r="Y14" s="139">
        <f t="shared" si="1"/>
        <v>6.06472398570349E-2</v>
      </c>
      <c r="AA14" s="73"/>
      <c r="AB14" s="182"/>
      <c r="AC14" s="182"/>
      <c r="AD14" s="182"/>
      <c r="AJ14" s="135"/>
    </row>
    <row r="15" spans="1:36" ht="18" x14ac:dyDescent="0.45">
      <c r="A15" s="118">
        <v>2.3E-2</v>
      </c>
      <c r="B15" s="100"/>
      <c r="C15" s="111" t="s">
        <v>615</v>
      </c>
      <c r="D15" s="111" t="s">
        <v>608</v>
      </c>
      <c r="E15" s="111" t="s">
        <v>610</v>
      </c>
      <c r="F15" s="102"/>
      <c r="G15" s="102"/>
      <c r="H15" s="120" t="s">
        <v>613</v>
      </c>
      <c r="I15" s="109">
        <v>9.3123918185800004E-3</v>
      </c>
      <c r="J15" s="109">
        <v>7.5004308143490915E-9</v>
      </c>
      <c r="K15" s="109">
        <v>4.3870183876149666E-10</v>
      </c>
      <c r="L15" s="156">
        <v>7.3952228359578532E-9</v>
      </c>
      <c r="M15" s="27"/>
      <c r="N15" s="18">
        <v>9.3882058207187904E-7</v>
      </c>
      <c r="O15" s="18">
        <v>5.2564504710035772E-12</v>
      </c>
      <c r="P15" s="18">
        <v>2.628225235501789E-9</v>
      </c>
      <c r="Q15" s="28">
        <v>1.1937869161866825</v>
      </c>
      <c r="R15" s="60">
        <v>120.29424098158675</v>
      </c>
      <c r="S15" s="57">
        <v>3.9047667822867047E-7</v>
      </c>
      <c r="U15" s="127">
        <v>7.3962173308423129E-9</v>
      </c>
      <c r="V15" s="127">
        <v>7.3952228359578532E-9</v>
      </c>
      <c r="W15" s="128">
        <v>7.3942490440222584E-9</v>
      </c>
      <c r="X15" s="128">
        <f t="shared" si="0"/>
        <v>7.3952280116950692E-9</v>
      </c>
      <c r="Y15" s="139">
        <f t="shared" si="1"/>
        <v>5.7506337675595535E-2</v>
      </c>
      <c r="AA15" s="73"/>
      <c r="AB15" s="182"/>
      <c r="AC15" s="182"/>
      <c r="AD15" s="182"/>
      <c r="AJ15" s="135"/>
    </row>
    <row r="16" spans="1:36" x14ac:dyDescent="0.35">
      <c r="A16" s="83" t="s">
        <v>516</v>
      </c>
      <c r="B16" s="100"/>
      <c r="C16" s="161">
        <v>1.6199999999999999E-6</v>
      </c>
      <c r="D16" s="161">
        <v>5.6499999999999999E-7</v>
      </c>
      <c r="E16" s="161">
        <v>5.7300000000000002E-6</v>
      </c>
      <c r="F16" s="102"/>
      <c r="G16" s="102"/>
      <c r="H16" s="164">
        <v>0.29996142000263898</v>
      </c>
      <c r="I16" s="109">
        <v>9.4055157367700006E-3</v>
      </c>
      <c r="J16" s="109">
        <v>8.1643680493514674E-9</v>
      </c>
      <c r="K16" s="109">
        <v>3.4612452553026923E-10</v>
      </c>
      <c r="L16" s="156">
        <v>7.6707169075159322E-9</v>
      </c>
      <c r="M16" s="27"/>
      <c r="N16" s="18">
        <v>1.0304245017314616E-6</v>
      </c>
      <c r="O16" s="18">
        <v>5.7693402348578606E-12</v>
      </c>
      <c r="P16" s="18">
        <v>2.8846701174289306E-9</v>
      </c>
      <c r="Q16" s="28">
        <v>1.2141831364383837</v>
      </c>
      <c r="R16" s="60">
        <v>121.89207966491226</v>
      </c>
      <c r="S16" s="57">
        <v>3.9047667822867047E-7</v>
      </c>
      <c r="U16" s="127">
        <v>7.6726977695980618E-9</v>
      </c>
      <c r="V16" s="127">
        <v>7.6707169075159322E-9</v>
      </c>
      <c r="W16" s="128">
        <v>7.6687317002103499E-9</v>
      </c>
      <c r="X16" s="128">
        <f t="shared" si="0"/>
        <v>7.670715821210069E-9</v>
      </c>
      <c r="Y16" s="139">
        <f t="shared" si="1"/>
        <v>2.034124151639543</v>
      </c>
      <c r="AA16" s="73"/>
      <c r="AB16" s="182"/>
      <c r="AC16" s="182"/>
      <c r="AD16" s="182"/>
      <c r="AJ16" s="135"/>
    </row>
    <row r="17" spans="1:36" ht="19.5" x14ac:dyDescent="0.45">
      <c r="A17" s="84">
        <v>4.25</v>
      </c>
      <c r="B17" s="103"/>
      <c r="C17" s="162" t="s">
        <v>616</v>
      </c>
      <c r="D17" s="162" t="s">
        <v>609</v>
      </c>
      <c r="E17" s="162" t="s">
        <v>611</v>
      </c>
      <c r="F17" s="104"/>
      <c r="G17" s="104"/>
      <c r="H17" s="144"/>
      <c r="I17" s="109">
        <v>9.4995708941299998E-3</v>
      </c>
      <c r="J17" s="109">
        <v>8.1974905383156675E-9</v>
      </c>
      <c r="K17" s="109">
        <v>3.3303756453956545E-10</v>
      </c>
      <c r="L17" s="156">
        <v>7.9454743193902187E-9</v>
      </c>
      <c r="M17" s="27"/>
      <c r="N17" s="18">
        <v>1.1220105045908063E-6</v>
      </c>
      <c r="O17" s="18">
        <v>6.2821296826615082E-12</v>
      </c>
      <c r="P17" s="18">
        <v>3.1410648413307545E-9</v>
      </c>
      <c r="Q17" s="28">
        <v>1.2571670741774688</v>
      </c>
      <c r="R17" s="60">
        <v>121.89207966491226</v>
      </c>
      <c r="S17" s="57">
        <v>4.8123217666459527E-7</v>
      </c>
      <c r="U17" s="127">
        <v>7.9492968514878184E-9</v>
      </c>
      <c r="V17" s="127">
        <v>7.9454743193902187E-9</v>
      </c>
      <c r="W17" s="128">
        <v>7.9415639557732724E-9</v>
      </c>
      <c r="X17" s="128">
        <f t="shared" si="0"/>
        <v>7.9454523615103824E-9</v>
      </c>
      <c r="Y17" s="139">
        <f t="shared" si="1"/>
        <v>0.57272509745971267</v>
      </c>
      <c r="AA17" s="73"/>
      <c r="AB17" s="182"/>
      <c r="AC17" s="182"/>
      <c r="AD17" s="182"/>
      <c r="AJ17" s="135"/>
    </row>
    <row r="18" spans="1:36" x14ac:dyDescent="0.35">
      <c r="B18" s="103"/>
      <c r="C18" s="163">
        <v>193.24</v>
      </c>
      <c r="D18" s="163">
        <v>44.06</v>
      </c>
      <c r="E18" s="163">
        <v>48.06</v>
      </c>
      <c r="F18" s="104"/>
      <c r="G18" s="104"/>
      <c r="H18" s="108"/>
      <c r="I18" s="109">
        <v>9.5945666030799997E-3</v>
      </c>
      <c r="J18" s="109">
        <v>8.4217170432122114E-9</v>
      </c>
      <c r="K18" s="109">
        <v>3.3189917899244963E-10</v>
      </c>
      <c r="L18" s="156">
        <v>8.2099235169645123E-9</v>
      </c>
      <c r="N18" s="18">
        <v>1.2135188628014885E-6</v>
      </c>
      <c r="O18" s="18">
        <v>6.7944843985708755E-12</v>
      </c>
      <c r="P18" s="18">
        <v>3.397242199285438E-9</v>
      </c>
      <c r="Q18" s="28">
        <v>1.3277521987242504</v>
      </c>
      <c r="R18" s="60">
        <v>123.32748686534931</v>
      </c>
      <c r="S18" s="57">
        <v>4.8123217666459527E-7</v>
      </c>
      <c r="U18" s="127">
        <v>8.2174416059542994E-9</v>
      </c>
      <c r="V18" s="127">
        <v>8.2099235169645123E-9</v>
      </c>
      <c r="W18" s="128">
        <v>8.2020704714163675E-9</v>
      </c>
      <c r="X18" s="128">
        <f t="shared" si="0"/>
        <v>8.2098397778249229E-9</v>
      </c>
      <c r="Y18" s="139">
        <f t="shared" si="1"/>
        <v>0.40752697597318183</v>
      </c>
      <c r="AA18" s="73"/>
      <c r="AB18" s="182"/>
      <c r="AC18" s="182"/>
      <c r="AD18" s="182"/>
      <c r="AJ18" s="135"/>
    </row>
    <row r="19" spans="1:36" x14ac:dyDescent="0.35">
      <c r="B19" s="108"/>
      <c r="C19" s="104"/>
      <c r="D19" s="104"/>
      <c r="E19" s="104"/>
      <c r="F19" s="104"/>
      <c r="G19" s="104"/>
      <c r="H19" s="144"/>
      <c r="I19" s="109">
        <v>9.69051226911E-3</v>
      </c>
      <c r="J19" s="109">
        <v>9.0289985267422948E-9</v>
      </c>
      <c r="K19" s="109">
        <v>3.4141356418747902E-10</v>
      </c>
      <c r="L19" s="156">
        <v>8.4436743958973345E-9</v>
      </c>
      <c r="N19" s="18">
        <v>1.3048030713620765E-6</v>
      </c>
      <c r="O19" s="18">
        <v>7.3055841020142692E-12</v>
      </c>
      <c r="P19" s="18">
        <v>3.6527920510071346E-9</v>
      </c>
      <c r="Q19" s="28">
        <v>1.4354072004370491</v>
      </c>
      <c r="R19" s="60">
        <v>123.32748686534931</v>
      </c>
      <c r="S19" s="57">
        <v>5.7251638522518324E-7</v>
      </c>
      <c r="U19" s="127">
        <v>8.4589423264791297E-9</v>
      </c>
      <c r="V19" s="127">
        <v>8.4436743958973345E-9</v>
      </c>
      <c r="W19" s="128">
        <v>8.4274323817774912E-9</v>
      </c>
      <c r="X19" s="128">
        <f t="shared" si="0"/>
        <v>8.4434308750128225E-9</v>
      </c>
      <c r="Y19" s="139">
        <f t="shared" si="1"/>
        <v>2.9416609237805766</v>
      </c>
      <c r="AA19" s="73"/>
      <c r="AB19" s="182"/>
      <c r="AC19" s="182"/>
      <c r="AD19" s="182"/>
      <c r="AJ19" s="135"/>
    </row>
    <row r="20" spans="1:36" x14ac:dyDescent="0.35">
      <c r="B20" s="100"/>
      <c r="C20" s="100"/>
      <c r="D20" s="101"/>
      <c r="E20" s="101"/>
      <c r="F20" s="102"/>
      <c r="G20" s="102"/>
      <c r="H20" s="108"/>
      <c r="I20" s="109">
        <v>9.7874173918000001E-3</v>
      </c>
      <c r="J20" s="109">
        <v>8.7115426462227504E-9</v>
      </c>
      <c r="K20" s="109">
        <v>3.3704903467305886E-10</v>
      </c>
      <c r="L20" s="156">
        <v>8.6059298968865421E-9</v>
      </c>
      <c r="N20" s="18">
        <v>1.3955585697980012E-6</v>
      </c>
      <c r="O20" s="18">
        <v>7.8137235608306465E-12</v>
      </c>
      <c r="P20" s="18">
        <v>3.9068617804153232E-9</v>
      </c>
      <c r="Q20" s="28">
        <v>1.5978386833255116</v>
      </c>
      <c r="R20" s="60">
        <v>124.65523906407357</v>
      </c>
      <c r="S20" s="57">
        <v>5.7251638522518324E-7</v>
      </c>
      <c r="U20" s="127">
        <v>8.6363896771493512E-9</v>
      </c>
      <c r="V20" s="127">
        <v>8.6059298968865421E-9</v>
      </c>
      <c r="W20" s="128">
        <v>8.5732587693800715E-9</v>
      </c>
      <c r="X20" s="128">
        <f t="shared" si="0"/>
        <v>8.6053770600756275E-9</v>
      </c>
      <c r="Y20" s="139">
        <f t="shared" si="1"/>
        <v>9.9215916490495312E-2</v>
      </c>
      <c r="AA20" s="73"/>
      <c r="AB20" s="182"/>
      <c r="AC20" s="182"/>
      <c r="AD20" s="182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9.8852915657199995E-3</v>
      </c>
      <c r="J21" s="109">
        <v>9.5542122906528282E-9</v>
      </c>
      <c r="K21" s="109">
        <v>5.2884715666454313E-10</v>
      </c>
      <c r="L21" s="156">
        <v>8.6331298311683345E-9</v>
      </c>
      <c r="M21" s="31"/>
      <c r="N21" s="18">
        <v>1.4851910451873624E-6</v>
      </c>
      <c r="O21" s="18">
        <v>8.3155752207482941E-12</v>
      </c>
      <c r="P21" s="30">
        <v>4.1577876103741469E-9</v>
      </c>
      <c r="Q21" s="65">
        <v>1.8504092763803572</v>
      </c>
      <c r="R21" s="62">
        <v>124.65523906407357</v>
      </c>
      <c r="S21" s="61">
        <v>6.6402474343586525E-7</v>
      </c>
      <c r="T21" s="75"/>
      <c r="U21" s="127">
        <v>8.6851667617483973E-9</v>
      </c>
      <c r="V21" s="127">
        <v>8.6331298311683345E-9</v>
      </c>
      <c r="W21" s="128">
        <v>8.5775448131118364E-9</v>
      </c>
      <c r="X21" s="128">
        <f t="shared" si="0"/>
        <v>8.6322428092992261E-9</v>
      </c>
      <c r="Y21" s="139">
        <f t="shared" si="1"/>
        <v>3.0392942152568803</v>
      </c>
      <c r="AA21" s="73"/>
      <c r="AB21" s="182"/>
      <c r="AC21" s="182"/>
      <c r="AD21" s="182"/>
      <c r="AE21" s="75"/>
      <c r="AF21" s="75"/>
      <c r="AG21" s="75"/>
      <c r="AH21" s="75"/>
      <c r="AI21" s="159"/>
      <c r="AJ21" s="135"/>
    </row>
    <row r="22" spans="1:36" x14ac:dyDescent="0.35">
      <c r="B22" s="100"/>
      <c r="C22" s="100"/>
      <c r="D22" s="101"/>
      <c r="E22" s="101"/>
      <c r="F22" s="102"/>
      <c r="G22" s="102"/>
      <c r="H22" s="108"/>
      <c r="I22" s="109">
        <v>9.9841444813699998E-3</v>
      </c>
      <c r="J22" s="109">
        <v>7.7284956904964895E-9</v>
      </c>
      <c r="K22" s="109">
        <v>4.5665439403110934E-10</v>
      </c>
      <c r="L22" s="156">
        <v>8.4305028575301153E-9</v>
      </c>
      <c r="N22" s="18">
        <v>1.5725498860431115E-6</v>
      </c>
      <c r="O22" s="18">
        <v>8.8046968153655827E-12</v>
      </c>
      <c r="P22" s="18">
        <v>4.402348407682792E-9</v>
      </c>
      <c r="Q22" s="28">
        <v>2.2738269904015311</v>
      </c>
      <c r="R22" s="60">
        <v>125.91240613825104</v>
      </c>
      <c r="S22" s="57">
        <v>6.6402474343586525E-7</v>
      </c>
      <c r="U22" s="127">
        <v>8.4909234175093457E-9</v>
      </c>
      <c r="V22" s="127">
        <v>8.4305028575301153E-9</v>
      </c>
      <c r="W22" s="128">
        <v>8.3665959045325179E-9</v>
      </c>
      <c r="X22" s="128">
        <f t="shared" si="0"/>
        <v>8.4296312592755244E-9</v>
      </c>
      <c r="Y22" s="139">
        <f t="shared" si="1"/>
        <v>2.3573752376744816</v>
      </c>
      <c r="AA22" s="73"/>
      <c r="AB22" s="182"/>
      <c r="AC22" s="182"/>
      <c r="AD22" s="182"/>
      <c r="AJ22" s="135"/>
    </row>
    <row r="23" spans="1:36" x14ac:dyDescent="0.35">
      <c r="B23" s="100"/>
      <c r="C23" s="100"/>
      <c r="D23" s="101"/>
      <c r="E23" s="101"/>
      <c r="F23" s="102"/>
      <c r="G23" s="102"/>
      <c r="H23" s="121"/>
      <c r="I23" s="109">
        <v>1.0083985926200001E-2</v>
      </c>
      <c r="J23" s="109">
        <v>8.2199286077733212E-9</v>
      </c>
      <c r="K23" s="109">
        <v>4.767696268202104E-10</v>
      </c>
      <c r="L23" s="156">
        <v>7.8071706026385256E-9</v>
      </c>
      <c r="N23" s="18">
        <v>1.6553269984041617E-6</v>
      </c>
      <c r="O23" s="18">
        <v>9.2681653412667804E-12</v>
      </c>
      <c r="P23" s="18">
        <v>4.6340826706333911E-9</v>
      </c>
      <c r="Q23" s="28">
        <v>3.1034852810136937</v>
      </c>
      <c r="R23" s="60">
        <v>125.91240613825104</v>
      </c>
      <c r="S23" s="57">
        <v>7.5561074629521007E-7</v>
      </c>
      <c r="U23" s="127">
        <v>7.8266114759489443E-9</v>
      </c>
      <c r="V23" s="127">
        <v>7.8071706026385256E-9</v>
      </c>
      <c r="W23" s="128">
        <v>7.7861822897808945E-9</v>
      </c>
      <c r="X23" s="128">
        <f t="shared" si="0"/>
        <v>7.8067837427517221E-9</v>
      </c>
      <c r="Y23" s="139">
        <f t="shared" si="1"/>
        <v>0.75090942922646442</v>
      </c>
      <c r="AA23" s="73"/>
      <c r="AB23" s="182"/>
      <c r="AC23" s="182"/>
      <c r="AD23" s="182"/>
      <c r="AJ23" s="135"/>
    </row>
    <row r="24" spans="1:36" x14ac:dyDescent="0.35">
      <c r="B24" s="100"/>
      <c r="C24" s="100"/>
      <c r="D24" s="101"/>
      <c r="E24" s="101"/>
      <c r="F24" s="102"/>
      <c r="G24" s="102"/>
      <c r="H24" s="146"/>
      <c r="I24" s="109">
        <v>1.01848257854E-2</v>
      </c>
      <c r="J24" s="109">
        <v>6.199092697116065E-9</v>
      </c>
      <c r="K24" s="109">
        <v>4.1283589132044318E-10</v>
      </c>
      <c r="L24" s="156">
        <v>6.5480221390610622E-9</v>
      </c>
      <c r="N24" s="18">
        <v>1.7284805867666643E-6</v>
      </c>
      <c r="O24" s="18">
        <v>9.6777518174761795E-12</v>
      </c>
      <c r="P24" s="18">
        <v>4.8388759087380908E-9</v>
      </c>
      <c r="Q24" s="28">
        <v>5.577004253398461</v>
      </c>
      <c r="R24" s="60">
        <v>127.12658927468942</v>
      </c>
      <c r="S24" s="57">
        <v>7.5561074629521007E-7</v>
      </c>
      <c r="U24" s="127">
        <v>6.4708148820450417E-9</v>
      </c>
      <c r="V24" s="127">
        <v>6.5480221390610622E-9</v>
      </c>
      <c r="W24" s="128">
        <v>6.6251396593574795E-9</v>
      </c>
      <c r="X24" s="128">
        <f t="shared" si="0"/>
        <v>6.5479997048811614E-9</v>
      </c>
      <c r="Y24" s="139">
        <f t="shared" si="1"/>
        <v>0.7142734218156459</v>
      </c>
      <c r="AA24" s="73"/>
      <c r="AB24" s="182"/>
      <c r="AC24" s="182"/>
      <c r="AD24" s="182"/>
      <c r="AJ24" s="135"/>
    </row>
    <row r="25" spans="1:36" x14ac:dyDescent="0.35">
      <c r="B25" s="100"/>
      <c r="C25" s="100"/>
      <c r="D25" s="101"/>
      <c r="E25" s="101"/>
      <c r="F25" s="102"/>
      <c r="G25" s="102"/>
      <c r="H25" s="147"/>
      <c r="I25" s="109">
        <v>1.02866740433E-2</v>
      </c>
      <c r="J25" s="109">
        <v>4.2631189263036302E-9</v>
      </c>
      <c r="K25" s="109">
        <v>3.3231703552884078E-10</v>
      </c>
      <c r="L25" s="156">
        <v>4.8883831221098233E-9</v>
      </c>
      <c r="N25" s="18">
        <v>1.7790481604369435E-6</v>
      </c>
      <c r="O25" s="18">
        <v>9.960879341001539E-12</v>
      </c>
      <c r="P25" s="18">
        <v>4.98043967050077E-9</v>
      </c>
      <c r="Q25" s="28">
        <v>7.4895151803927185</v>
      </c>
      <c r="R25" s="60">
        <v>127.12658927468942</v>
      </c>
      <c r="S25" s="57">
        <v>8.4721466595479265E-7</v>
      </c>
      <c r="U25" s="127">
        <v>4.7117422925936531E-9</v>
      </c>
      <c r="V25" s="127">
        <v>4.8883831221098233E-9</v>
      </c>
      <c r="W25" s="128">
        <v>5.0637025467730007E-9</v>
      </c>
      <c r="X25" s="128">
        <f t="shared" si="0"/>
        <v>4.8880527708965749E-9</v>
      </c>
      <c r="Y25" s="139">
        <f t="shared" si="1"/>
        <v>3.5364122052116342</v>
      </c>
      <c r="AA25" s="73"/>
      <c r="AB25" s="182"/>
      <c r="AC25" s="182"/>
      <c r="AD25" s="182"/>
      <c r="AJ25" s="135"/>
    </row>
    <row r="26" spans="1:36" x14ac:dyDescent="0.35">
      <c r="B26" s="100"/>
      <c r="C26" s="100"/>
      <c r="D26" s="101"/>
      <c r="E26" s="101"/>
      <c r="F26" s="102"/>
      <c r="G26" s="102"/>
      <c r="H26" s="148"/>
      <c r="I26" s="109">
        <v>1.03895407837E-2</v>
      </c>
      <c r="J26" s="109">
        <v>3.8750814080882931E-9</v>
      </c>
      <c r="K26" s="109">
        <v>3.1822082073622884E-10</v>
      </c>
      <c r="L26" s="156">
        <v>3.5608931169708467E-9</v>
      </c>
      <c r="N26" s="18">
        <v>1.7860352480266717E-6</v>
      </c>
      <c r="O26" s="18">
        <v>9.9999999999999994E-12</v>
      </c>
      <c r="P26" s="18">
        <v>5.0000000000000001E-9</v>
      </c>
      <c r="Q26" s="28">
        <v>99.536217973278156</v>
      </c>
      <c r="R26" s="60">
        <v>128.32037619087612</v>
      </c>
      <c r="S26" s="57">
        <v>8.4721466595479265E-7</v>
      </c>
      <c r="U26" s="127">
        <v>3.336976167287132E-9</v>
      </c>
      <c r="V26" s="127">
        <v>3.5608931169708467E-9</v>
      </c>
      <c r="W26" s="128">
        <v>3.7805748005376568E-9</v>
      </c>
      <c r="X26" s="128">
        <f t="shared" si="0"/>
        <v>3.5598343004416204E-9</v>
      </c>
      <c r="Y26" s="139">
        <f t="shared" si="1"/>
        <v>0.98139770558767636</v>
      </c>
      <c r="AA26" s="73"/>
      <c r="AB26" s="182"/>
      <c r="AC26" s="182"/>
      <c r="AD26" s="182"/>
      <c r="AJ26" s="135"/>
    </row>
    <row r="27" spans="1:36" x14ac:dyDescent="0.35">
      <c r="B27" s="100"/>
      <c r="C27" s="100"/>
      <c r="D27" s="101"/>
      <c r="E27" s="101"/>
      <c r="F27" s="102"/>
      <c r="G27" s="102"/>
      <c r="H27" s="149"/>
      <c r="I27" s="109">
        <v>1.04934361916E-2</v>
      </c>
      <c r="J27" s="109">
        <v>3.4392609966571819E-9</v>
      </c>
      <c r="K27" s="109">
        <v>3.0284992708238994E-10</v>
      </c>
      <c r="L27" s="156">
        <v>2.9602009253998228E-9</v>
      </c>
      <c r="N27" s="18">
        <v>1.7860352480266717E-6</v>
      </c>
      <c r="O27" s="18">
        <v>1.056304342539504E-11</v>
      </c>
      <c r="P27" s="18">
        <v>5.1780350892085253E-9</v>
      </c>
      <c r="Q27" s="28">
        <v>19.078812002040859</v>
      </c>
      <c r="R27" s="60">
        <v>128.32037619087612</v>
      </c>
      <c r="S27" s="57">
        <v>9.3882058207187904E-7</v>
      </c>
      <c r="U27" s="127">
        <v>2.7416461907709689E-9</v>
      </c>
      <c r="V27" s="127">
        <v>2.9602009253998228E-9</v>
      </c>
      <c r="W27" s="128">
        <v>3.1718600691970905E-9</v>
      </c>
      <c r="X27" s="128">
        <f t="shared" si="0"/>
        <v>2.9584770276919263E-9</v>
      </c>
      <c r="Y27" s="139">
        <f t="shared" si="1"/>
        <v>2.5202580452318162</v>
      </c>
      <c r="AA27" s="73"/>
      <c r="AB27" s="182"/>
      <c r="AC27" s="182"/>
      <c r="AD27" s="182"/>
      <c r="AJ27" s="135"/>
    </row>
    <row r="28" spans="1:36" x14ac:dyDescent="0.35">
      <c r="B28" s="100"/>
      <c r="C28" s="100"/>
      <c r="D28" s="101"/>
      <c r="E28" s="101"/>
      <c r="F28" s="102"/>
      <c r="G28" s="102"/>
      <c r="H28" s="148"/>
      <c r="I28" s="109">
        <v>1.05983705535E-2</v>
      </c>
      <c r="J28" s="109">
        <v>3.1307489276116464E-9</v>
      </c>
      <c r="K28" s="109">
        <v>2.8488587836458161E-10</v>
      </c>
      <c r="L28" s="156">
        <v>2.8514337753191477E-9</v>
      </c>
      <c r="N28" s="18">
        <v>1.7860352480266717E-6</v>
      </c>
      <c r="O28" s="18">
        <v>1.4637951536621044E-11</v>
      </c>
      <c r="P28" s="18">
        <v>6.4665265205571022E-9</v>
      </c>
      <c r="Q28" s="28">
        <v>14.206876296042461</v>
      </c>
      <c r="R28" s="60">
        <v>129.51416310706281</v>
      </c>
      <c r="S28" s="57">
        <v>9.3882058207187904E-7</v>
      </c>
      <c r="U28" s="127">
        <v>2.6610426587790682E-9</v>
      </c>
      <c r="V28" s="127">
        <v>2.8514337753191477E-9</v>
      </c>
      <c r="W28" s="128">
        <v>3.0329847716731891E-9</v>
      </c>
      <c r="X28" s="128">
        <f t="shared" si="0"/>
        <v>2.8492237452726386E-9</v>
      </c>
      <c r="Y28" s="139">
        <f t="shared" si="1"/>
        <v>0.97654588156567235</v>
      </c>
      <c r="AA28" s="73"/>
      <c r="AB28" s="182"/>
      <c r="AC28" s="182"/>
      <c r="AD28" s="182"/>
      <c r="AJ28" s="135"/>
    </row>
    <row r="29" spans="1:36" x14ac:dyDescent="0.35">
      <c r="B29" s="100"/>
      <c r="C29" s="100"/>
      <c r="D29" s="101"/>
      <c r="E29" s="101"/>
      <c r="F29" s="102"/>
      <c r="G29" s="102"/>
      <c r="H29" s="150"/>
      <c r="I29" s="109">
        <v>1.0704354259E-2</v>
      </c>
      <c r="J29" s="109">
        <v>2.7801430599911163E-9</v>
      </c>
      <c r="K29" s="109">
        <v>2.6730520061201765E-10</v>
      </c>
      <c r="L29" s="156">
        <v>2.8940644761164333E-9</v>
      </c>
      <c r="N29" s="18">
        <v>1.7860352480266717E-6</v>
      </c>
      <c r="O29" s="18">
        <v>2.0532917993333852E-11</v>
      </c>
      <c r="P29" s="18">
        <v>8.3305228513299389E-9</v>
      </c>
      <c r="Q29" s="28">
        <v>7.9058271198345373</v>
      </c>
      <c r="R29" s="60">
        <v>129.51416310706281</v>
      </c>
      <c r="S29" s="57">
        <v>1.0304245017314616E-6</v>
      </c>
      <c r="U29" s="127">
        <v>2.7349355691768965E-9</v>
      </c>
      <c r="V29" s="127">
        <v>2.8940644761164333E-9</v>
      </c>
      <c r="W29" s="128">
        <v>3.0427976416870329E-9</v>
      </c>
      <c r="X29" s="128">
        <f t="shared" si="0"/>
        <v>2.8914655407741986E-9</v>
      </c>
      <c r="Y29" s="139">
        <f t="shared" si="1"/>
        <v>0.1734406670112833</v>
      </c>
      <c r="AA29" s="73"/>
      <c r="AB29" s="182"/>
      <c r="AC29" s="182"/>
      <c r="AD29" s="182"/>
      <c r="AJ29" s="135"/>
    </row>
    <row r="30" spans="1:36" x14ac:dyDescent="0.35">
      <c r="B30" s="185"/>
      <c r="C30" s="185"/>
      <c r="D30" s="185"/>
      <c r="E30" s="185"/>
      <c r="F30" s="185"/>
      <c r="G30" s="185"/>
      <c r="H30" s="145"/>
      <c r="I30" s="109">
        <v>1.08113978016E-2</v>
      </c>
      <c r="J30" s="109">
        <v>2.3383502389256753E-9</v>
      </c>
      <c r="K30" s="109">
        <v>2.4468095580717012E-10</v>
      </c>
      <c r="L30" s="156">
        <v>2.9340703125853128E-9</v>
      </c>
      <c r="N30" s="18">
        <v>1.7860352480266717E-6</v>
      </c>
      <c r="O30" s="18">
        <v>2.7203380942244557E-11</v>
      </c>
      <c r="P30" s="18">
        <v>1.0439732217087566E-8</v>
      </c>
      <c r="Q30" s="28">
        <v>5.7923532605434165</v>
      </c>
      <c r="R30" s="60">
        <v>130.72834624350119</v>
      </c>
      <c r="S30" s="57">
        <v>1.0304245017314616E-6</v>
      </c>
      <c r="U30" s="127">
        <v>2.8044364997956306E-9</v>
      </c>
      <c r="V30" s="127">
        <v>2.9340703125853128E-9</v>
      </c>
      <c r="W30" s="128">
        <v>3.0519301184470879E-9</v>
      </c>
      <c r="X30" s="128">
        <f t="shared" si="0"/>
        <v>2.9311268108533361E-9</v>
      </c>
      <c r="Y30" s="139">
        <f t="shared" si="1"/>
        <v>5.8692380591026376</v>
      </c>
      <c r="AA30" s="73"/>
      <c r="AB30" s="182"/>
      <c r="AC30" s="182"/>
      <c r="AD30" s="182"/>
      <c r="AJ30" s="135"/>
    </row>
    <row r="31" spans="1:36" x14ac:dyDescent="0.35">
      <c r="B31" s="141"/>
      <c r="C31" s="103"/>
      <c r="D31" s="103"/>
      <c r="E31" s="103"/>
      <c r="F31" s="143"/>
      <c r="G31" s="143"/>
      <c r="H31" s="144"/>
      <c r="I31" s="109">
        <v>1.0919511779600001E-2</v>
      </c>
      <c r="J31" s="109">
        <v>2.8281413801658944E-9</v>
      </c>
      <c r="K31" s="109">
        <v>2.6553491566617915E-10</v>
      </c>
      <c r="L31" s="156">
        <v>2.9367443800851388E-9</v>
      </c>
      <c r="N31" s="18">
        <v>1.7860352480266717E-6</v>
      </c>
      <c r="O31" s="18">
        <v>3.4243055250359895E-11</v>
      </c>
      <c r="P31" s="18">
        <v>1.2665686711742984E-8</v>
      </c>
      <c r="Q31" s="28">
        <v>4.7137377868352397</v>
      </c>
      <c r="R31" s="60">
        <v>130.72834624350119</v>
      </c>
      <c r="S31" s="57">
        <v>1.1220105045908063E-6</v>
      </c>
      <c r="U31" s="127">
        <v>2.8352132105591979E-9</v>
      </c>
      <c r="V31" s="127">
        <v>2.9367443800851388E-9</v>
      </c>
      <c r="W31" s="128">
        <v>3.0252610217285171E-9</v>
      </c>
      <c r="X31" s="128">
        <f t="shared" si="0"/>
        <v>2.9334907481144982E-9</v>
      </c>
      <c r="Y31" s="139">
        <f t="shared" si="1"/>
        <v>0.15740575183385305</v>
      </c>
      <c r="AA31" s="73"/>
      <c r="AB31" s="182"/>
      <c r="AC31" s="182"/>
      <c r="AD31" s="182"/>
      <c r="AJ31" s="135"/>
    </row>
    <row r="32" spans="1:36" x14ac:dyDescent="0.35">
      <c r="B32" s="100"/>
      <c r="C32" s="101"/>
      <c r="D32" s="101"/>
      <c r="E32" s="101"/>
      <c r="F32" s="102"/>
      <c r="G32" s="102"/>
      <c r="H32" s="101"/>
      <c r="I32" s="109">
        <v>1.1028706897400001E-2</v>
      </c>
      <c r="J32" s="109">
        <v>3.0675073326630891E-9</v>
      </c>
      <c r="K32" s="109">
        <v>2.7384690554880849E-10</v>
      </c>
      <c r="L32" s="156">
        <v>2.9000191914297333E-9</v>
      </c>
      <c r="N32" s="18">
        <v>1.7860352480266717E-6</v>
      </c>
      <c r="O32" s="18">
        <v>4.1465946808790422E-11</v>
      </c>
      <c r="P32" s="18">
        <v>1.4949574747637285E-8</v>
      </c>
      <c r="Q32" s="28">
        <v>4.0703387488370701</v>
      </c>
      <c r="R32" s="60">
        <v>131.98551331767865</v>
      </c>
      <c r="S32" s="57">
        <v>1.1220105045908063E-6</v>
      </c>
      <c r="U32" s="127">
        <v>2.8258211245267998E-9</v>
      </c>
      <c r="V32" s="127">
        <v>2.9000191914297333E-9</v>
      </c>
      <c r="W32" s="128">
        <v>2.9601257514973277E-9</v>
      </c>
      <c r="X32" s="128">
        <f t="shared" si="0"/>
        <v>2.8964963147208984E-9</v>
      </c>
      <c r="Y32" s="139">
        <f t="shared" si="1"/>
        <v>0.38997117648052859</v>
      </c>
      <c r="AA32" s="73"/>
      <c r="AB32" s="182"/>
      <c r="AC32" s="182"/>
      <c r="AD32" s="182"/>
      <c r="AJ32" s="135"/>
    </row>
    <row r="33" spans="2:36" x14ac:dyDescent="0.35">
      <c r="B33" s="100"/>
      <c r="C33" s="142"/>
      <c r="D33" s="101"/>
      <c r="E33" s="101"/>
      <c r="F33" s="143"/>
      <c r="G33" s="102"/>
      <c r="H33" s="121"/>
      <c r="I33" s="109">
        <v>1.11389939664E-2</v>
      </c>
      <c r="J33" s="109">
        <v>2.9169732147166382E-9</v>
      </c>
      <c r="K33" s="109">
        <v>2.6328433762700824E-10</v>
      </c>
      <c r="L33" s="156">
        <v>2.8278238575564668E-9</v>
      </c>
      <c r="N33" s="18">
        <v>1.7860352480266717E-6</v>
      </c>
      <c r="O33" s="18">
        <v>4.8779335406912324E-11</v>
      </c>
      <c r="P33" s="18">
        <v>1.7262078069329932E-8</v>
      </c>
      <c r="Q33" s="28">
        <v>3.6565603331987968</v>
      </c>
      <c r="R33" s="60">
        <v>131.98551331767865</v>
      </c>
      <c r="S33" s="57">
        <v>1.2135188628014885E-6</v>
      </c>
      <c r="U33" s="127">
        <v>2.7804540457503396E-9</v>
      </c>
      <c r="V33" s="127">
        <v>2.8278238575564668E-9</v>
      </c>
      <c r="W33" s="128">
        <v>2.8602462423209527E-9</v>
      </c>
      <c r="X33" s="128">
        <f t="shared" si="0"/>
        <v>2.8240870007960561E-9</v>
      </c>
      <c r="Y33" s="139">
        <f t="shared" si="1"/>
        <v>0.12446649895093385</v>
      </c>
      <c r="AA33" s="73"/>
      <c r="AB33" s="182"/>
      <c r="AC33" s="182"/>
      <c r="AD33" s="182"/>
      <c r="AJ33" s="135"/>
    </row>
    <row r="34" spans="2:36" x14ac:dyDescent="0.35">
      <c r="B34" s="100"/>
      <c r="C34" s="101"/>
      <c r="D34" s="101"/>
      <c r="E34" s="101"/>
      <c r="F34" s="102"/>
      <c r="G34" s="102"/>
      <c r="H34" s="101"/>
      <c r="I34" s="109">
        <v>1.12503839061E-2</v>
      </c>
      <c r="J34" s="109">
        <v>2.6906091145679511E-9</v>
      </c>
      <c r="K34" s="109">
        <v>2.6006914362231578E-10</v>
      </c>
      <c r="L34" s="156">
        <v>2.7244097029275936E-9</v>
      </c>
      <c r="N34" s="18">
        <v>1.7860352480266717E-6</v>
      </c>
      <c r="O34" s="18">
        <v>5.613532927594409E-11</v>
      </c>
      <c r="P34" s="18">
        <v>1.9588053235049304E-8</v>
      </c>
      <c r="Q34" s="28">
        <v>3.3823196795267156</v>
      </c>
      <c r="R34" s="60">
        <v>133.31326551640291</v>
      </c>
      <c r="S34" s="57">
        <v>1.2135188628014885E-6</v>
      </c>
      <c r="U34" s="127">
        <v>2.7032890586957839E-9</v>
      </c>
      <c r="V34" s="127">
        <v>2.7244097029275936E-9</v>
      </c>
      <c r="W34" s="128">
        <v>2.7300235611484503E-9</v>
      </c>
      <c r="X34" s="128">
        <f t="shared" si="0"/>
        <v>2.7205330064248558E-9</v>
      </c>
      <c r="Y34" s="139">
        <f t="shared" si="1"/>
        <v>1.3239101078095084E-2</v>
      </c>
      <c r="AA34" s="73"/>
      <c r="AB34" s="182"/>
      <c r="AC34" s="182"/>
      <c r="AD34" s="182"/>
      <c r="AJ34" s="135"/>
    </row>
    <row r="35" spans="2:36" x14ac:dyDescent="0.35">
      <c r="B35" s="100"/>
      <c r="C35" s="142"/>
      <c r="D35" s="101"/>
      <c r="E35" s="101"/>
      <c r="F35" s="143"/>
      <c r="G35" s="102"/>
      <c r="H35" s="116"/>
      <c r="I35" s="109">
        <v>1.1362887745099999E-2</v>
      </c>
      <c r="J35" s="109">
        <v>2.6649650222909018E-9</v>
      </c>
      <c r="K35" s="109">
        <v>2.5366070554368019E-10</v>
      </c>
      <c r="L35" s="156">
        <v>2.594085377999037E-9</v>
      </c>
      <c r="N35" s="18">
        <v>1.7860352480266717E-6</v>
      </c>
      <c r="O35" s="18">
        <v>6.3509385890743584E-11</v>
      </c>
      <c r="P35" s="18">
        <v>2.1919739865300652E-8</v>
      </c>
      <c r="Q35" s="28">
        <v>3.2025109350442627</v>
      </c>
      <c r="R35" s="60">
        <v>133.31326551640291</v>
      </c>
      <c r="S35" s="57">
        <v>1.3048030713620765E-6</v>
      </c>
      <c r="U35" s="127">
        <v>2.598345272329126E-9</v>
      </c>
      <c r="V35" s="127">
        <v>2.594085377999037E-9</v>
      </c>
      <c r="W35" s="128">
        <v>2.5741410644213322E-9</v>
      </c>
      <c r="X35" s="128">
        <f t="shared" si="0"/>
        <v>2.590164273187133E-9</v>
      </c>
      <c r="Y35" s="139">
        <f t="shared" si="1"/>
        <v>8.695719100805524E-2</v>
      </c>
      <c r="AA35" s="73"/>
      <c r="AB35" s="182"/>
      <c r="AC35" s="182"/>
      <c r="AD35" s="182"/>
      <c r="AJ35" s="135"/>
    </row>
    <row r="36" spans="2:36" x14ac:dyDescent="0.35">
      <c r="B36" s="100"/>
      <c r="C36" s="101"/>
      <c r="D36" s="101"/>
      <c r="E36" s="101"/>
      <c r="F36" s="102"/>
      <c r="G36" s="102"/>
      <c r="H36" s="102"/>
      <c r="I36" s="109">
        <v>1.14765166226E-2</v>
      </c>
      <c r="J36" s="109">
        <v>2.5986331611334568E-9</v>
      </c>
      <c r="K36" s="109">
        <v>2.5206645383820163E-10</v>
      </c>
      <c r="L36" s="156">
        <v>2.4412816339066509E-9</v>
      </c>
      <c r="N36" s="18">
        <v>1.7860352480266717E-6</v>
      </c>
      <c r="O36" s="18">
        <v>7.088969937700566E-11</v>
      </c>
      <c r="P36" s="18">
        <v>2.4253404926732906E-8</v>
      </c>
      <c r="Q36" s="28">
        <v>3.0930135313433689</v>
      </c>
      <c r="R36" s="60">
        <v>134.74867271683996</v>
      </c>
      <c r="S36" s="57">
        <v>1.3048030713620765E-6</v>
      </c>
      <c r="U36" s="127">
        <v>2.4696173199189885E-9</v>
      </c>
      <c r="V36" s="127">
        <v>2.4412816339066509E-9</v>
      </c>
      <c r="W36" s="128">
        <v>2.397550665488749E-9</v>
      </c>
      <c r="X36" s="128">
        <f t="shared" si="0"/>
        <v>2.4374328133052597E-9</v>
      </c>
      <c r="Y36" s="139">
        <f t="shared" si="1"/>
        <v>0.40897978839728588</v>
      </c>
      <c r="AA36" s="73"/>
      <c r="AB36" s="182"/>
      <c r="AC36" s="182"/>
      <c r="AD36" s="182"/>
      <c r="AJ36" s="135"/>
    </row>
    <row r="37" spans="2:36" x14ac:dyDescent="0.35">
      <c r="B37" s="100"/>
      <c r="C37" s="142"/>
      <c r="D37" s="101"/>
      <c r="E37" s="101"/>
      <c r="F37" s="143"/>
      <c r="G37" s="102"/>
      <c r="H37" s="116"/>
      <c r="I37" s="109">
        <v>1.1591281788799999E-2</v>
      </c>
      <c r="J37" s="109">
        <v>2.0003028748682854E-9</v>
      </c>
      <c r="K37" s="109">
        <v>1.3048710753166687E-10</v>
      </c>
      <c r="L37" s="156">
        <v>2.2706183854884348E-9</v>
      </c>
      <c r="N37" s="18">
        <v>1.7860352480266717E-6</v>
      </c>
      <c r="O37" s="18">
        <v>7.8271456660336026E-11</v>
      </c>
      <c r="P37" s="18">
        <v>2.6587526518742132E-8</v>
      </c>
      <c r="Q37" s="28">
        <v>3.0410561425990124</v>
      </c>
      <c r="R37" s="60">
        <v>134.74867271683996</v>
      </c>
      <c r="S37" s="57">
        <v>1.3955585697980012E-6</v>
      </c>
      <c r="U37" s="127">
        <v>2.3211933897250091E-9</v>
      </c>
      <c r="V37" s="127">
        <v>2.2706183854884348E-9</v>
      </c>
      <c r="W37" s="128">
        <v>2.2054783468599897E-9</v>
      </c>
      <c r="X37" s="128">
        <f t="shared" si="0"/>
        <v>2.266977126890467E-9</v>
      </c>
      <c r="Y37" s="139">
        <f t="shared" si="1"/>
        <v>4.1766392221883164</v>
      </c>
      <c r="AA37" s="73"/>
      <c r="AB37" s="182"/>
      <c r="AC37" s="182"/>
      <c r="AD37" s="182"/>
      <c r="AJ37" s="135"/>
    </row>
    <row r="38" spans="2:36" x14ac:dyDescent="0.35">
      <c r="B38" s="100"/>
      <c r="C38" s="101"/>
      <c r="D38" s="101"/>
      <c r="E38" s="101"/>
      <c r="F38" s="102"/>
      <c r="G38" s="102"/>
      <c r="H38" s="102"/>
      <c r="I38" s="109">
        <v>1.17071946067E-2</v>
      </c>
      <c r="J38" s="109">
        <v>2.0460170004023508E-9</v>
      </c>
      <c r="K38" s="109">
        <v>1.2374313472096764E-10</v>
      </c>
      <c r="L38" s="156">
        <v>2.086921602614745E-9</v>
      </c>
      <c r="N38" s="18">
        <v>1.7860352480266717E-6</v>
      </c>
      <c r="O38" s="18">
        <v>8.5653374825043235E-11</v>
      </c>
      <c r="P38" s="18">
        <v>2.8921698981659327E-8</v>
      </c>
      <c r="Q38" s="28">
        <v>3.0410561425990124</v>
      </c>
      <c r="R38" s="60">
        <v>136.34651140016547</v>
      </c>
      <c r="S38" s="57">
        <v>1.3955585697980012E-6</v>
      </c>
      <c r="U38" s="127">
        <v>2.1573184298157558E-9</v>
      </c>
      <c r="V38" s="127">
        <v>2.086921602614745E-9</v>
      </c>
      <c r="W38" s="128">
        <v>2.0033839532004037E-9</v>
      </c>
      <c r="X38" s="128">
        <f t="shared" si="0"/>
        <v>2.0836363970614125E-9</v>
      </c>
      <c r="Y38" s="139">
        <f t="shared" si="1"/>
        <v>9.24232901802233E-2</v>
      </c>
      <c r="AA38" s="73"/>
      <c r="AB38" s="182"/>
      <c r="AC38" s="182"/>
      <c r="AD38" s="182"/>
      <c r="AJ38" s="135"/>
    </row>
    <row r="39" spans="2:36" x14ac:dyDescent="0.35">
      <c r="B39" s="100"/>
      <c r="C39" s="101"/>
      <c r="D39" s="101"/>
      <c r="E39" s="101"/>
      <c r="F39" s="102"/>
      <c r="G39" s="102"/>
      <c r="H39" s="116"/>
      <c r="I39" s="109">
        <v>1.18242665528E-2</v>
      </c>
      <c r="J39" s="109">
        <v>1.825237978990105E-9</v>
      </c>
      <c r="K39" s="109">
        <v>1.1900027635860697E-10</v>
      </c>
      <c r="L39" s="156">
        <v>1.895185477937357E-9</v>
      </c>
      <c r="N39" s="18">
        <v>1.7860352480266717E-6</v>
      </c>
      <c r="O39" s="18">
        <v>9.3035132108373614E-11</v>
      </c>
      <c r="P39" s="18">
        <v>3.1255820573668549E-8</v>
      </c>
      <c r="Q39" s="28">
        <v>3.0930135313433689</v>
      </c>
      <c r="R39" s="60">
        <v>136.34651140016547</v>
      </c>
      <c r="S39" s="57">
        <v>1.4851910451873624E-6</v>
      </c>
      <c r="U39" s="127">
        <v>1.9824022836231809E-9</v>
      </c>
      <c r="V39" s="127">
        <v>1.895185477937357E-9</v>
      </c>
      <c r="W39" s="128">
        <v>1.7968674345378627E-9</v>
      </c>
      <c r="X39" s="128">
        <f t="shared" si="0"/>
        <v>1.8924101685089393E-9</v>
      </c>
      <c r="Y39" s="139">
        <f t="shared" si="1"/>
        <v>0.31862736300694067</v>
      </c>
      <c r="AA39" s="73"/>
      <c r="AB39" s="182"/>
      <c r="AC39" s="182"/>
      <c r="AD39" s="182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1.19425092183E-2</v>
      </c>
      <c r="J40" s="109">
        <v>1.7278208902249325E-9</v>
      </c>
      <c r="K40" s="109">
        <v>1.1504489682037499E-10</v>
      </c>
      <c r="L40" s="156">
        <v>1.7004869572907803E-9</v>
      </c>
      <c r="N40" s="18">
        <v>1.7860352480266717E-6</v>
      </c>
      <c r="O40" s="18">
        <v>1.0041544559463568E-10</v>
      </c>
      <c r="P40" s="18">
        <v>3.3589485635100807E-8</v>
      </c>
      <c r="Q40" s="28">
        <v>3.2025109350442627</v>
      </c>
      <c r="R40" s="60">
        <v>138.19692067654583</v>
      </c>
      <c r="S40" s="57">
        <v>1.4851910451873624E-6</v>
      </c>
      <c r="U40" s="127">
        <v>1.8009800981919049E-9</v>
      </c>
      <c r="V40" s="127">
        <v>1.7004869572907803E-9</v>
      </c>
      <c r="W40" s="128">
        <v>1.5915296467686585E-9</v>
      </c>
      <c r="X40" s="128">
        <f t="shared" si="0"/>
        <v>1.6983709148855311E-9</v>
      </c>
      <c r="Y40" s="139">
        <f t="shared" si="1"/>
        <v>6.5529243314116054E-2</v>
      </c>
      <c r="AA40" s="73"/>
      <c r="AB40" s="182"/>
      <c r="AC40" s="182"/>
      <c r="AD40" s="182"/>
      <c r="AJ40" s="135"/>
    </row>
    <row r="41" spans="2:36" x14ac:dyDescent="0.35">
      <c r="B41" s="141"/>
      <c r="C41" s="142"/>
      <c r="D41" s="142"/>
      <c r="E41" s="142"/>
      <c r="F41" s="143"/>
      <c r="G41" s="143"/>
      <c r="H41" s="151"/>
      <c r="I41" s="109">
        <v>1.2061934310500001E-2</v>
      </c>
      <c r="J41" s="109">
        <v>1.3220621387851528E-9</v>
      </c>
      <c r="K41" s="109">
        <v>9.8139320864588129E-11</v>
      </c>
      <c r="L41" s="156">
        <v>1.5078637394319045E-9</v>
      </c>
      <c r="N41" s="18">
        <v>1.7860352480266717E-6</v>
      </c>
      <c r="O41" s="18">
        <v>1.0778950220943518E-10</v>
      </c>
      <c r="P41" s="18">
        <v>3.5921172265352152E-8</v>
      </c>
      <c r="Q41" s="28">
        <v>3.3823196795267156</v>
      </c>
      <c r="R41" s="60">
        <v>138.19692067654583</v>
      </c>
      <c r="S41" s="57">
        <v>1.5725498860431115E-6</v>
      </c>
      <c r="U41" s="127">
        <v>1.6176342328332139E-9</v>
      </c>
      <c r="V41" s="127">
        <v>1.5078637394319045E-9</v>
      </c>
      <c r="W41" s="128">
        <v>1.3928019421944923E-9</v>
      </c>
      <c r="X41" s="128">
        <f t="shared" si="0"/>
        <v>1.5065409134728787E-9</v>
      </c>
      <c r="Y41" s="139">
        <f t="shared" si="1"/>
        <v>3.5335131684951473</v>
      </c>
      <c r="AA41" s="73"/>
      <c r="AB41" s="182"/>
      <c r="AC41" s="182"/>
      <c r="AD41" s="182"/>
      <c r="AJ41" s="135"/>
    </row>
    <row r="42" spans="2:36" x14ac:dyDescent="0.35">
      <c r="B42" s="103"/>
      <c r="C42" s="104"/>
      <c r="D42" s="104"/>
      <c r="E42" s="104"/>
      <c r="F42" s="104"/>
      <c r="G42" s="104"/>
      <c r="H42" s="150"/>
      <c r="I42" s="109">
        <v>1.2182553653599999E-2</v>
      </c>
      <c r="J42" s="109">
        <v>1.5203187269374098E-9</v>
      </c>
      <c r="K42" s="109">
        <v>1.2589391677266024E-10</v>
      </c>
      <c r="L42" s="156">
        <v>1.3221688586324596E-9</v>
      </c>
      <c r="N42" s="18">
        <v>1.7860352480266717E-6</v>
      </c>
      <c r="O42" s="18">
        <v>1.1514549607846696E-10</v>
      </c>
      <c r="P42" s="18">
        <v>3.8247147431071527E-8</v>
      </c>
      <c r="Q42" s="28">
        <v>3.6565603331987968</v>
      </c>
      <c r="R42" s="60">
        <v>140.47074766694737</v>
      </c>
      <c r="S42" s="57">
        <v>1.5725498860431115E-6</v>
      </c>
      <c r="U42" s="127">
        <v>1.4368878553573762E-9</v>
      </c>
      <c r="V42" s="127">
        <v>1.3221688586324596E-9</v>
      </c>
      <c r="W42" s="128">
        <v>1.2057615196911458E-9</v>
      </c>
      <c r="X42" s="128">
        <f t="shared" si="0"/>
        <v>1.3217467730783603E-9</v>
      </c>
      <c r="Y42" s="139">
        <f t="shared" si="1"/>
        <v>2.4878622333395688</v>
      </c>
      <c r="AA42" s="73"/>
      <c r="AB42" s="182"/>
      <c r="AC42" s="182"/>
      <c r="AD42" s="182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1.2304379190100001E-2</v>
      </c>
      <c r="J43" s="109">
        <v>1.1967600917372161E-9</v>
      </c>
      <c r="K43" s="109">
        <v>1.1106013314472181E-10</v>
      </c>
      <c r="L43" s="156">
        <v>1.1479159042176697E-9</v>
      </c>
      <c r="N43" s="18">
        <v>1.7860352480266717E-6</v>
      </c>
      <c r="O43" s="18">
        <v>1.2245888467658885E-10</v>
      </c>
      <c r="P43" s="18">
        <v>4.055965075276417E-8</v>
      </c>
      <c r="Q43" s="28">
        <v>4.0703387488370701</v>
      </c>
      <c r="R43" s="60">
        <v>140.47074766694737</v>
      </c>
      <c r="S43" s="57">
        <v>1.6553269984041617E-6</v>
      </c>
      <c r="U43" s="127">
        <v>1.2630811257400904E-9</v>
      </c>
      <c r="V43" s="127">
        <v>1.1479159042176697E-9</v>
      </c>
      <c r="W43" s="128">
        <v>1.0349501182540179E-9</v>
      </c>
      <c r="X43" s="128">
        <f t="shared" si="0"/>
        <v>1.1484657631073619E-9</v>
      </c>
      <c r="Y43" s="139">
        <f t="shared" si="1"/>
        <v>0.18909318915088769</v>
      </c>
      <c r="AA43" s="73"/>
      <c r="AB43" s="182"/>
      <c r="AC43" s="182"/>
      <c r="AD43" s="182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1.2427422981999999E-2</v>
      </c>
      <c r="J44" s="109">
        <v>7.8658103920642171E-10</v>
      </c>
      <c r="K44" s="109">
        <v>9.209271565380552E-11</v>
      </c>
      <c r="L44" s="156">
        <v>9.8912878484363365E-10</v>
      </c>
      <c r="N44" s="18">
        <v>1.7860352480266717E-6</v>
      </c>
      <c r="O44" s="18">
        <v>1.2968177623501939E-10</v>
      </c>
      <c r="P44" s="18">
        <v>4.2843538788658475E-8</v>
      </c>
      <c r="Q44" s="28">
        <v>4.7137377868352397</v>
      </c>
      <c r="R44" s="60">
        <v>143.57423294796106</v>
      </c>
      <c r="S44" s="57">
        <v>1.6553269984041617E-6</v>
      </c>
      <c r="U44" s="127">
        <v>1.1002411739208685E-9</v>
      </c>
      <c r="V44" s="127">
        <v>9.8912878484363365E-10</v>
      </c>
      <c r="W44" s="128">
        <v>8.842123569073743E-10</v>
      </c>
      <c r="X44" s="128">
        <f t="shared" si="0"/>
        <v>9.9067777512887748E-10</v>
      </c>
      <c r="Y44" s="139">
        <f t="shared" si="1"/>
        <v>4.9115838071553846</v>
      </c>
      <c r="AA44" s="73"/>
      <c r="AB44" s="182"/>
      <c r="AC44" s="182"/>
      <c r="AD44" s="182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1.25516972118E-2</v>
      </c>
      <c r="J45" s="109">
        <v>8.6191042553441969E-10</v>
      </c>
      <c r="K45" s="109">
        <v>9.3073482393618885E-11</v>
      </c>
      <c r="L45" s="156">
        <v>8.4920860155155299E-10</v>
      </c>
      <c r="N45" s="18">
        <v>1.7860352480266717E-6</v>
      </c>
      <c r="O45" s="18">
        <v>1.3672145054313472E-10</v>
      </c>
      <c r="P45" s="18">
        <v>4.5069493283313893E-8</v>
      </c>
      <c r="Q45" s="28">
        <v>5.7923532605434165</v>
      </c>
      <c r="R45" s="60">
        <v>143.57423294796106</v>
      </c>
      <c r="S45" s="57">
        <v>1.7284805867666643E-6</v>
      </c>
      <c r="U45" s="127">
        <v>9.5195671297597366E-10</v>
      </c>
      <c r="V45" s="127">
        <v>8.4920860155155299E-10</v>
      </c>
      <c r="W45" s="128">
        <v>7.5656704088151816E-10</v>
      </c>
      <c r="X45" s="128">
        <f t="shared" si="0"/>
        <v>8.517352392401495E-10</v>
      </c>
      <c r="Y45" s="139">
        <f t="shared" si="1"/>
        <v>1.195178608619085E-2</v>
      </c>
      <c r="AA45" s="73"/>
      <c r="AB45" s="182"/>
      <c r="AC45" s="182"/>
      <c r="AD45" s="182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1.26772141839E-2</v>
      </c>
      <c r="J46" s="109">
        <v>7.399229412637613E-10</v>
      </c>
      <c r="K46" s="109">
        <v>8.9312637642188406E-11</v>
      </c>
      <c r="L46" s="156">
        <v>7.308277419407415E-10</v>
      </c>
      <c r="N46" s="18">
        <v>1.7860352480266717E-6</v>
      </c>
      <c r="O46" s="18">
        <v>1.4339191349204541E-10</v>
      </c>
      <c r="P46" s="18">
        <v>4.717870264907152E-8</v>
      </c>
      <c r="Q46" s="28">
        <v>7.9058271198345373</v>
      </c>
      <c r="R46" s="60">
        <v>149.15123720135952</v>
      </c>
      <c r="S46" s="57">
        <v>1.7284805867666643E-6</v>
      </c>
      <c r="U46" s="127">
        <v>8.2126696734399362E-10</v>
      </c>
      <c r="V46" s="127">
        <v>7.308277419407415E-10</v>
      </c>
      <c r="W46" s="128">
        <v>6.5412051690870554E-10</v>
      </c>
      <c r="X46" s="128">
        <f t="shared" si="0"/>
        <v>7.3426074203354546E-10</v>
      </c>
      <c r="Y46" s="139">
        <f t="shared" si="1"/>
        <v>4.0192448309528308E-3</v>
      </c>
      <c r="AA46" s="73"/>
      <c r="AB46" s="182"/>
      <c r="AC46" s="182"/>
      <c r="AD46" s="182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1.28039863258E-2</v>
      </c>
      <c r="J47" s="109">
        <v>5.8489715384677422E-10</v>
      </c>
      <c r="K47" s="109">
        <v>7.9685402945563852E-11</v>
      </c>
      <c r="L47" s="156">
        <v>6.3585804588223506E-10</v>
      </c>
      <c r="N47" s="18">
        <v>1.7860352480266717E-6</v>
      </c>
      <c r="O47" s="18">
        <v>1.4928687994875822E-10</v>
      </c>
      <c r="P47" s="18">
        <v>4.9042698979844353E-8</v>
      </c>
      <c r="Q47" s="28">
        <v>14.206876296042461</v>
      </c>
      <c r="R47" s="60">
        <v>149.15123720135952</v>
      </c>
      <c r="S47" s="57">
        <v>1.7790481604369435E-6</v>
      </c>
      <c r="U47" s="127">
        <v>7.1057268659375352E-10</v>
      </c>
      <c r="V47" s="127">
        <v>6.3585804588223506E-10</v>
      </c>
      <c r="W47" s="128">
        <v>5.7802631989700667E-10</v>
      </c>
      <c r="X47" s="128">
        <f t="shared" si="0"/>
        <v>6.4007877456380755E-10</v>
      </c>
      <c r="Y47" s="139">
        <f t="shared" si="1"/>
        <v>0.47954719770051751</v>
      </c>
      <c r="AA47" s="73"/>
      <c r="AB47" s="182"/>
      <c r="AC47" s="182"/>
      <c r="AD47" s="182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1.2932026189000001E-2</v>
      </c>
      <c r="J48" s="109">
        <v>6.5711166033831508E-10</v>
      </c>
      <c r="K48" s="109">
        <v>8.228541038969114E-11</v>
      </c>
      <c r="L48" s="156">
        <v>5.6509611610307647E-10</v>
      </c>
      <c r="N48" s="18">
        <v>1.7860352480266717E-6</v>
      </c>
      <c r="O48" s="18">
        <v>1.5336178805998422E-10</v>
      </c>
      <c r="P48" s="18">
        <v>5.0331190411192935E-8</v>
      </c>
      <c r="Q48" s="28">
        <v>19.078812002040859</v>
      </c>
      <c r="R48" s="60">
        <v>156.64075238175224</v>
      </c>
      <c r="S48" s="57">
        <v>1.7790481604369435E-6</v>
      </c>
      <c r="U48" s="127">
        <v>6.2130763856980279E-10</v>
      </c>
      <c r="V48" s="127">
        <v>5.6509611610307647E-10</v>
      </c>
      <c r="W48" s="128">
        <v>5.282821942333895E-10</v>
      </c>
      <c r="X48" s="128">
        <f t="shared" si="0"/>
        <v>5.6994551625233631E-10</v>
      </c>
      <c r="Y48" s="139">
        <f t="shared" si="1"/>
        <v>1.1221476147026954</v>
      </c>
      <c r="AA48" s="73"/>
      <c r="AB48" s="182"/>
      <c r="AC48" s="182"/>
      <c r="AD48" s="182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1.3061346450899999E-2</v>
      </c>
      <c r="J49" s="109">
        <v>5.1415137724789098E-10</v>
      </c>
      <c r="K49" s="109">
        <v>7.241997140878543E-11</v>
      </c>
      <c r="L49" s="156">
        <v>5.1927743540675215E-10</v>
      </c>
      <c r="N49" s="18">
        <v>1.7860352480266717E-6</v>
      </c>
      <c r="O49" s="18">
        <v>1.5392483148537927E-10</v>
      </c>
      <c r="P49" s="18">
        <v>5.0509225500401457E-8</v>
      </c>
      <c r="Q49" s="28">
        <v>779.70419570011245</v>
      </c>
      <c r="R49" s="60">
        <v>156.64075238175224</v>
      </c>
      <c r="S49" s="57">
        <v>1.7860352480266717E-6</v>
      </c>
      <c r="U49" s="127">
        <v>5.5502231454048637E-10</v>
      </c>
      <c r="V49" s="127">
        <v>5.1927743540675215E-10</v>
      </c>
      <c r="W49" s="128">
        <v>5.0466403235802698E-10</v>
      </c>
      <c r="X49" s="128">
        <f t="shared" si="0"/>
        <v>5.2456030442800441E-10</v>
      </c>
      <c r="Y49" s="139">
        <f t="shared" si="1"/>
        <v>2.0658331514371131E-2</v>
      </c>
      <c r="AA49" s="73"/>
      <c r="AB49" s="182"/>
      <c r="AC49" s="182"/>
      <c r="AD49" s="182"/>
      <c r="AJ49" s="135"/>
    </row>
    <row r="50" spans="2:36" x14ac:dyDescent="0.35">
      <c r="B50" s="150"/>
      <c r="C50" s="150"/>
      <c r="D50" s="150"/>
      <c r="E50" s="150"/>
      <c r="F50" s="102"/>
      <c r="G50" s="102"/>
      <c r="H50" s="101"/>
      <c r="I50" s="109">
        <v>1.31919599154E-2</v>
      </c>
      <c r="J50" s="109">
        <v>4.8920288200769022E-10</v>
      </c>
      <c r="K50" s="109">
        <v>7.0335415145866175E-11</v>
      </c>
      <c r="L50" s="156">
        <v>4.9751532344090249E-10</v>
      </c>
      <c r="N50" s="18">
        <v>1.7823492820038304E-6</v>
      </c>
      <c r="O50" s="18">
        <v>1.5392483148537927E-10</v>
      </c>
      <c r="P50" s="18">
        <v>5.0509225500401457E-8</v>
      </c>
      <c r="Q50" s="28">
        <v>3.4421631761482474</v>
      </c>
      <c r="R50" s="60">
        <v>256.17697035503039</v>
      </c>
      <c r="S50" s="57">
        <v>1.7860352480266717E-6</v>
      </c>
      <c r="U50" s="127">
        <v>5.1163634954299634E-10</v>
      </c>
      <c r="V50" s="127">
        <v>4.9751532344090249E-10</v>
      </c>
      <c r="W50" s="128">
        <v>5.0539117596384451E-10</v>
      </c>
      <c r="X50" s="128">
        <f t="shared" si="0"/>
        <v>5.0301454309716146E-10</v>
      </c>
      <c r="Y50" s="139">
        <f t="shared" si="1"/>
        <v>3.8560594048310866E-2</v>
      </c>
      <c r="AA50" s="73"/>
      <c r="AB50" s="182"/>
      <c r="AC50" s="182"/>
      <c r="AD50" s="182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1.33238795146E-2</v>
      </c>
      <c r="J51" s="109">
        <v>5.0827698001216567E-10</v>
      </c>
      <c r="K51" s="109">
        <v>7.078652288837633E-11</v>
      </c>
      <c r="L51" s="156">
        <v>4.9848424513330058E-10</v>
      </c>
      <c r="N51" s="18">
        <v>1.7556728798530699E-6</v>
      </c>
      <c r="O51" s="18">
        <v>1.5392483148537927E-10</v>
      </c>
      <c r="P51" s="18">
        <v>5.0509225500401457E-8</v>
      </c>
      <c r="Q51" s="28">
        <v>2.563177750747776</v>
      </c>
      <c r="R51" s="60">
        <v>256.17697035503039</v>
      </c>
      <c r="S51" s="57">
        <v>1.7860352480266717E-6</v>
      </c>
      <c r="U51" s="127">
        <v>4.9067723619674774E-10</v>
      </c>
      <c r="V51" s="127">
        <v>4.9848424513330058E-10</v>
      </c>
      <c r="W51" s="128">
        <v>5.2823480596113108E-10</v>
      </c>
      <c r="X51" s="128">
        <f t="shared" si="0"/>
        <v>5.0397013310611999E-10</v>
      </c>
      <c r="Y51" s="139">
        <f t="shared" si="1"/>
        <v>3.7018405551770021E-3</v>
      </c>
      <c r="AA51" s="73"/>
      <c r="AB51" s="182"/>
      <c r="AC51" s="182"/>
      <c r="AD51" s="182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1.3457118309700001E-2</v>
      </c>
      <c r="J52" s="109">
        <v>5.3940492420383022E-10</v>
      </c>
      <c r="K52" s="109">
        <v>7.3653003831507175E-11</v>
      </c>
      <c r="L52" s="156">
        <v>5.2021310009439492E-10</v>
      </c>
      <c r="N52" s="18">
        <v>1.7170814585075711E-6</v>
      </c>
      <c r="O52" s="18">
        <v>1.5392483148537927E-10</v>
      </c>
      <c r="P52" s="18">
        <v>5.0509225500401457E-8</v>
      </c>
      <c r="Q52" s="28">
        <v>1.4263543760469788</v>
      </c>
      <c r="R52" s="60">
        <v>275.25578235707127</v>
      </c>
      <c r="S52" s="57">
        <v>1.7860352480266717E-6</v>
      </c>
      <c r="U52" s="127">
        <v>4.9101547020692048E-10</v>
      </c>
      <c r="V52" s="127">
        <v>5.2021310009439492E-10</v>
      </c>
      <c r="W52" s="128">
        <v>5.7037521127857888E-10</v>
      </c>
      <c r="X52" s="128">
        <f t="shared" si="0"/>
        <v>5.2545422041857227E-10</v>
      </c>
      <c r="Y52" s="139">
        <f t="shared" si="1"/>
        <v>3.5876602407327179E-2</v>
      </c>
      <c r="AA52" s="73"/>
      <c r="AB52" s="182"/>
      <c r="AC52" s="182"/>
      <c r="AD52" s="182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1.3591689492799999E-2</v>
      </c>
      <c r="J53" s="109">
        <v>5.2316848403904457E-10</v>
      </c>
      <c r="K53" s="109">
        <v>7.1346815461107639E-11</v>
      </c>
      <c r="L53" s="156">
        <v>5.6018634316222012E-10</v>
      </c>
      <c r="N53" s="18">
        <v>1.6734132462927559E-6</v>
      </c>
      <c r="O53" s="18">
        <v>1.5392483148537927E-10</v>
      </c>
      <c r="P53" s="18">
        <v>5.0509225500401457E-8</v>
      </c>
      <c r="Q53" s="28">
        <v>1.0450454197332617</v>
      </c>
      <c r="R53" s="60">
        <v>275.25578235707127</v>
      </c>
      <c r="S53" s="57">
        <v>1.7860352480266717E-6</v>
      </c>
      <c r="U53" s="127">
        <v>5.1093347968565131E-10</v>
      </c>
      <c r="V53" s="127">
        <v>5.6018634316222012E-10</v>
      </c>
      <c r="W53" s="128">
        <v>6.2853240069318412E-10</v>
      </c>
      <c r="X53" s="128">
        <f t="shared" si="0"/>
        <v>5.6495964167581894E-10</v>
      </c>
      <c r="Y53" s="139">
        <f t="shared" si="1"/>
        <v>0.34309912964932293</v>
      </c>
      <c r="AA53" s="73"/>
      <c r="AB53" s="182"/>
      <c r="AC53" s="182"/>
      <c r="AD53" s="182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1.37276063878E-2</v>
      </c>
      <c r="J54" s="109">
        <v>5.5774982938321922E-10</v>
      </c>
      <c r="K54" s="109">
        <v>7.2555386933453874E-11</v>
      </c>
      <c r="L54" s="156">
        <v>6.1545364159110213E-10</v>
      </c>
      <c r="N54" s="18">
        <v>1.6273279904470335E-6</v>
      </c>
      <c r="O54" s="18">
        <v>1.5392483148537927E-10</v>
      </c>
      <c r="P54" s="18">
        <v>5.0509225500401457E-8</v>
      </c>
      <c r="Q54" s="28">
        <v>0.8504436560372397</v>
      </c>
      <c r="R54" s="60">
        <v>289.46265865311375</v>
      </c>
      <c r="S54" s="57">
        <v>1.7860352480266717E-6</v>
      </c>
      <c r="U54" s="127">
        <v>5.4820831243363229E-10</v>
      </c>
      <c r="V54" s="127">
        <v>6.1545364159110213E-10</v>
      </c>
      <c r="W54" s="128">
        <v>6.9909818614379813E-10</v>
      </c>
      <c r="X54" s="128">
        <f t="shared" si="0"/>
        <v>6.1955344543990865E-10</v>
      </c>
      <c r="Y54" s="139">
        <f t="shared" si="1"/>
        <v>0.72558525188051537</v>
      </c>
      <c r="AA54" s="73"/>
      <c r="AB54" s="182"/>
      <c r="AC54" s="182"/>
      <c r="AD54" s="182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1.3864882451600001E-2</v>
      </c>
      <c r="J55" s="109">
        <v>6.9138909138141324E-10</v>
      </c>
      <c r="K55" s="109">
        <v>7.9276086882445285E-11</v>
      </c>
      <c r="L55" s="156">
        <v>6.8274271641949069E-10</v>
      </c>
      <c r="N55" s="18">
        <v>1.5800433021437054E-6</v>
      </c>
      <c r="O55" s="18">
        <v>1.5392483148537927E-10</v>
      </c>
      <c r="P55" s="18">
        <v>5.0509225500401457E-8</v>
      </c>
      <c r="Q55" s="28">
        <v>0.73436281851289054</v>
      </c>
      <c r="R55" s="60">
        <v>289.46265865311375</v>
      </c>
      <c r="S55" s="57">
        <v>1.7860352480266717E-6</v>
      </c>
      <c r="U55" s="127">
        <v>6.0020314146174683E-10</v>
      </c>
      <c r="V55" s="127">
        <v>6.8274271641949069E-10</v>
      </c>
      <c r="W55" s="128">
        <v>7.7826481679082669E-10</v>
      </c>
      <c r="X55" s="128">
        <f t="shared" si="0"/>
        <v>6.859883477728888E-10</v>
      </c>
      <c r="Y55" s="139">
        <f t="shared" si="1"/>
        <v>4.6411190721667717E-3</v>
      </c>
      <c r="AA55" s="73"/>
      <c r="AB55" s="182"/>
      <c r="AC55" s="182"/>
      <c r="AD55" s="182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1.40035312762E-2</v>
      </c>
      <c r="J56" s="109">
        <v>7.291501944736459E-10</v>
      </c>
      <c r="K56" s="109">
        <v>8.1250852893520554E-11</v>
      </c>
      <c r="L56" s="156">
        <v>7.5857127237703374E-10</v>
      </c>
      <c r="N56" s="18">
        <v>1.5321661746102485E-6</v>
      </c>
      <c r="O56" s="18">
        <v>1.5392483148537927E-10</v>
      </c>
      <c r="P56" s="18">
        <v>5.0509225500401457E-8</v>
      </c>
      <c r="Q56" s="28">
        <v>0.6597096993751439</v>
      </c>
      <c r="R56" s="60">
        <v>297.3684857729483</v>
      </c>
      <c r="S56" s="57">
        <v>1.7860352480266717E-6</v>
      </c>
      <c r="U56" s="127">
        <v>6.6396329657660309E-10</v>
      </c>
      <c r="V56" s="127">
        <v>7.5857127237703374E-10</v>
      </c>
      <c r="W56" s="128">
        <v>8.6214699795624634E-10</v>
      </c>
      <c r="X56" s="128">
        <f t="shared" si="0"/>
        <v>7.6081320982172915E-10</v>
      </c>
      <c r="Y56" s="139">
        <f t="shared" si="1"/>
        <v>0.15186184990287818</v>
      </c>
      <c r="AA56" s="73"/>
      <c r="AB56" s="182"/>
      <c r="AC56" s="182"/>
      <c r="AD56" s="182"/>
      <c r="AJ56" s="135"/>
    </row>
    <row r="57" spans="2:36" x14ac:dyDescent="0.35">
      <c r="B57" s="100"/>
      <c r="C57" s="100"/>
      <c r="D57" s="101"/>
      <c r="E57" s="101"/>
      <c r="F57" s="102"/>
      <c r="G57" s="102"/>
      <c r="H57" s="150"/>
      <c r="I57" s="109">
        <v>1.41435665889E-2</v>
      </c>
      <c r="J57" s="109">
        <v>8.8984445592500629E-10</v>
      </c>
      <c r="K57" s="109">
        <v>9.2704475445011995E-11</v>
      </c>
      <c r="L57" s="156">
        <v>8.3935520845650843E-10</v>
      </c>
      <c r="N57" s="18">
        <v>1.4840101315013943E-6</v>
      </c>
      <c r="O57" s="18">
        <v>1.5392483148537927E-10</v>
      </c>
      <c r="P57" s="18">
        <v>5.0509225500401457E-8</v>
      </c>
      <c r="Q57" s="28">
        <v>0.61023171933257703</v>
      </c>
      <c r="R57" s="60">
        <v>297.3684857729483</v>
      </c>
      <c r="S57" s="57">
        <v>1.7860352480266717E-6</v>
      </c>
      <c r="U57" s="127">
        <v>7.3631340035695001E-10</v>
      </c>
      <c r="V57" s="127">
        <v>8.3935520845650843E-10</v>
      </c>
      <c r="W57" s="128">
        <v>9.4689564258489694E-10</v>
      </c>
      <c r="X57" s="128">
        <f t="shared" si="0"/>
        <v>8.4047986496371592E-10</v>
      </c>
      <c r="Y57" s="139">
        <f t="shared" si="1"/>
        <v>0.28355002102495824</v>
      </c>
      <c r="AA57" s="73"/>
      <c r="AB57" s="182"/>
      <c r="AC57" s="182"/>
      <c r="AD57" s="182"/>
      <c r="AJ57" s="135"/>
    </row>
    <row r="58" spans="2:36" x14ac:dyDescent="0.35">
      <c r="B58" s="100"/>
      <c r="C58" s="100"/>
      <c r="D58" s="101"/>
      <c r="E58" s="101"/>
      <c r="F58" s="102"/>
      <c r="G58" s="102"/>
      <c r="H58" s="150"/>
      <c r="I58" s="109">
        <v>1.42850022548E-2</v>
      </c>
      <c r="J58" s="109">
        <v>8.3070517026394559E-10</v>
      </c>
      <c r="K58" s="109">
        <v>8.7479635483243613E-11</v>
      </c>
      <c r="L58" s="156">
        <v>9.2151145485843633E-10</v>
      </c>
      <c r="N58" s="18">
        <v>1.4357358405555597E-6</v>
      </c>
      <c r="O58" s="18">
        <v>1.5392483148537927E-10</v>
      </c>
      <c r="P58" s="18">
        <v>5.0509225500401457E-8</v>
      </c>
      <c r="Q58" s="28">
        <v>0.57779096573949484</v>
      </c>
      <c r="R58" s="60">
        <v>303.1608390334917</v>
      </c>
      <c r="S58" s="57">
        <v>1.7860352480266717E-6</v>
      </c>
      <c r="U58" s="127">
        <v>8.1395312479741595E-10</v>
      </c>
      <c r="V58" s="127">
        <v>9.2151145485843633E-10</v>
      </c>
      <c r="W58" s="128">
        <v>1.028802847183363E-9</v>
      </c>
      <c r="X58" s="128">
        <f t="shared" si="0"/>
        <v>9.2144472042441294E-10</v>
      </c>
      <c r="Y58" s="139">
        <f t="shared" si="1"/>
        <v>1.0759183496681295</v>
      </c>
      <c r="AA58" s="73"/>
      <c r="AB58" s="182"/>
      <c r="AC58" s="182"/>
      <c r="AD58" s="182"/>
      <c r="AJ58" s="135"/>
    </row>
    <row r="59" spans="2:36" x14ac:dyDescent="0.35">
      <c r="B59" s="100"/>
      <c r="C59" s="100"/>
      <c r="D59" s="101"/>
      <c r="E59" s="101"/>
      <c r="F59" s="102"/>
      <c r="G59" s="102"/>
      <c r="H59" s="150"/>
      <c r="I59" s="109">
        <v>1.44278522774E-2</v>
      </c>
      <c r="J59" s="109">
        <v>9.7609161690225789E-10</v>
      </c>
      <c r="K59" s="109">
        <v>9.2388950606605462E-11</v>
      </c>
      <c r="L59" s="156">
        <v>1.0015546735872925E-9</v>
      </c>
      <c r="N59" s="18">
        <v>1.3874205889758196E-6</v>
      </c>
      <c r="O59" s="18">
        <v>1.5392483148537927E-10</v>
      </c>
      <c r="P59" s="18">
        <v>5.0509225500401457E-8</v>
      </c>
      <c r="Q59" s="28">
        <v>0.55803565126484422</v>
      </c>
      <c r="R59" s="60">
        <v>303.1608390334917</v>
      </c>
      <c r="S59" s="57">
        <v>1.7860352480266717E-6</v>
      </c>
      <c r="U59" s="127">
        <v>8.9354994627798168E-10</v>
      </c>
      <c r="V59" s="127">
        <v>1.0015546735872925E-9</v>
      </c>
      <c r="W59" s="128">
        <v>1.104398286800414E-9</v>
      </c>
      <c r="X59" s="128">
        <f t="shared" si="0"/>
        <v>1.0002643950632452E-9</v>
      </c>
      <c r="Y59" s="139">
        <f t="shared" si="1"/>
        <v>6.8456243602096997E-2</v>
      </c>
      <c r="AA59" s="73"/>
      <c r="AB59" s="182"/>
      <c r="AC59" s="182"/>
      <c r="AD59" s="182"/>
      <c r="AJ59" s="135"/>
    </row>
    <row r="60" spans="2:36" x14ac:dyDescent="0.35">
      <c r="B60" s="100"/>
      <c r="C60" s="100"/>
      <c r="D60" s="101"/>
      <c r="E60" s="101"/>
      <c r="F60" s="102"/>
      <c r="G60" s="102"/>
      <c r="H60" s="150"/>
      <c r="I60" s="109">
        <v>1.4572130800099999E-2</v>
      </c>
      <c r="J60" s="109">
        <v>1.0716501137051874E-9</v>
      </c>
      <c r="K60" s="109">
        <v>9.8830593908250939E-11</v>
      </c>
      <c r="L60" s="156">
        <v>1.076187648488982E-9</v>
      </c>
      <c r="N60" s="18">
        <v>1.3390958855728321E-6</v>
      </c>
      <c r="O60" s="18">
        <v>1.5392483148537927E-10</v>
      </c>
      <c r="P60" s="18">
        <v>5.0509225500401457E-8</v>
      </c>
      <c r="Q60" s="28">
        <v>0.54866159745868937</v>
      </c>
      <c r="R60" s="60">
        <v>307.87457682032692</v>
      </c>
      <c r="S60" s="57">
        <v>1.7860352480266717E-6</v>
      </c>
      <c r="U60" s="127">
        <v>9.7182798025268263E-10</v>
      </c>
      <c r="V60" s="127">
        <v>1.076187648488982E-9</v>
      </c>
      <c r="W60" s="128">
        <v>1.1705375089478532E-9</v>
      </c>
      <c r="X60" s="128">
        <f t="shared" si="0"/>
        <v>1.073685196544625E-9</v>
      </c>
      <c r="Y60" s="139">
        <f t="shared" si="1"/>
        <v>4.240151497992106E-4</v>
      </c>
      <c r="AA60" s="73"/>
      <c r="AB60" s="182"/>
      <c r="AC60" s="182"/>
      <c r="AD60" s="182"/>
      <c r="AJ60" s="135"/>
    </row>
    <row r="61" spans="2:36" x14ac:dyDescent="0.35">
      <c r="B61" s="185"/>
      <c r="C61" s="185"/>
      <c r="D61" s="185"/>
      <c r="E61" s="185"/>
      <c r="F61" s="185"/>
      <c r="G61" s="185"/>
      <c r="H61" s="185"/>
      <c r="I61" s="109">
        <v>1.4717852108099999E-2</v>
      </c>
      <c r="J61" s="109">
        <v>1.2320901837588599E-9</v>
      </c>
      <c r="K61" s="109">
        <v>1.0541204720148746E-10</v>
      </c>
      <c r="L61" s="156">
        <v>1.1423854511916145E-9</v>
      </c>
      <c r="N61" s="18">
        <v>1.3048801943180231E-6</v>
      </c>
      <c r="O61" s="18">
        <v>1.5392462373247677E-10</v>
      </c>
      <c r="P61" s="18">
        <v>5.050914391620612E-8</v>
      </c>
      <c r="Q61" s="28">
        <v>0.22727272727272727</v>
      </c>
      <c r="R61" s="60">
        <v>307.87457682032692</v>
      </c>
      <c r="S61" s="57">
        <v>1.7860352480266717E-6</v>
      </c>
      <c r="U61" s="127">
        <v>1.0456524565132195E-9</v>
      </c>
      <c r="V61" s="127">
        <v>1.1423854511916145E-9</v>
      </c>
      <c r="W61" s="128">
        <v>1.2244825072707952E-9</v>
      </c>
      <c r="X61" s="128">
        <f t="shared" si="0"/>
        <v>1.1387264665418108E-9</v>
      </c>
      <c r="Y61" s="139">
        <f t="shared" si="1"/>
        <v>0.78446897699582285</v>
      </c>
      <c r="AA61" s="73"/>
      <c r="AB61" s="182"/>
      <c r="AC61" s="182"/>
      <c r="AD61" s="182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1.4865030629200001E-2</v>
      </c>
      <c r="J62" s="109">
        <v>1.3561197070451483E-9</v>
      </c>
      <c r="K62" s="109">
        <v>1.0863549483350585E-10</v>
      </c>
      <c r="L62" s="156">
        <v>1.1974734333153161E-9</v>
      </c>
      <c r="N62" s="18">
        <v>1.2747867412471768E-6</v>
      </c>
      <c r="O62" s="18">
        <v>1.5392438425026633E-10</v>
      </c>
      <c r="P62" s="18">
        <v>5.0509049871967987E-8</v>
      </c>
      <c r="Q62" s="28">
        <v>0.45454545454545453</v>
      </c>
      <c r="R62" s="60">
        <v>311.94491556916398</v>
      </c>
      <c r="S62" s="57">
        <v>1.7860352480266717E-6</v>
      </c>
      <c r="U62" s="127">
        <v>1.1121096357521373E-9</v>
      </c>
      <c r="V62" s="127">
        <v>1.1974734333153161E-9</v>
      </c>
      <c r="W62" s="128">
        <v>1.2639745559999466E-9</v>
      </c>
      <c r="X62" s="128">
        <f t="shared" si="0"/>
        <v>1.1927577645956789E-9</v>
      </c>
      <c r="Y62" s="139">
        <f t="shared" si="1"/>
        <v>2.2613005254896654</v>
      </c>
      <c r="AA62" s="73"/>
      <c r="AB62" s="182"/>
      <c r="AC62" s="182"/>
      <c r="AD62" s="182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1.50136809355E-2</v>
      </c>
      <c r="J63" s="109">
        <v>1.3122450900428218E-9</v>
      </c>
      <c r="K63" s="109">
        <v>1.0618948852410536E-10</v>
      </c>
      <c r="L63" s="156">
        <v>1.239198811832128E-9</v>
      </c>
      <c r="N63" s="18">
        <v>1.2351030637209187E-6</v>
      </c>
      <c r="O63" s="18">
        <v>1.5392363528405696E-10</v>
      </c>
      <c r="P63" s="18">
        <v>5.0508755754269556E-8</v>
      </c>
      <c r="Q63" s="28">
        <v>0.45454545454545453</v>
      </c>
      <c r="R63" s="60">
        <v>311.94491556916398</v>
      </c>
      <c r="S63" s="57">
        <v>1.7860352480266717E-6</v>
      </c>
      <c r="U63" s="127">
        <v>1.1685819777301077E-9</v>
      </c>
      <c r="V63" s="127">
        <v>1.239198811832128E-9</v>
      </c>
      <c r="W63" s="128">
        <v>1.2872986766176905E-9</v>
      </c>
      <c r="X63" s="128">
        <f t="shared" si="0"/>
        <v>1.2335695695030136E-9</v>
      </c>
      <c r="Y63" s="139">
        <f t="shared" si="1"/>
        <v>0.54892902130656729</v>
      </c>
      <c r="AA63" s="73"/>
      <c r="AB63" s="182"/>
      <c r="AC63" s="182"/>
      <c r="AD63" s="182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1.5163817744900001E-2</v>
      </c>
      <c r="J64" s="109">
        <v>1.2387632915507324E-9</v>
      </c>
      <c r="K64" s="109">
        <v>7.4865443461807655E-11</v>
      </c>
      <c r="L64" s="156">
        <v>1.2657951411930905E-9</v>
      </c>
      <c r="N64" s="18">
        <v>1.1963381169359111E-6</v>
      </c>
      <c r="O64" s="18">
        <v>1.5392176934880552E-10</v>
      </c>
      <c r="P64" s="18">
        <v>5.0508023004814749E-8</v>
      </c>
      <c r="Q64" s="28">
        <v>0.45454545454545453</v>
      </c>
      <c r="R64" s="60">
        <v>315.60147590236278</v>
      </c>
      <c r="S64" s="57">
        <v>1.7860352480266717E-6</v>
      </c>
      <c r="U64" s="127">
        <v>1.2128181717088644E-9</v>
      </c>
      <c r="V64" s="127">
        <v>1.2657951411930905E-9</v>
      </c>
      <c r="W64" s="128">
        <v>1.2933383824805792E-9</v>
      </c>
      <c r="X64" s="128">
        <f t="shared" si="0"/>
        <v>1.2594367091439063E-9</v>
      </c>
      <c r="Y64" s="139">
        <f t="shared" si="1"/>
        <v>7.6253845759472846E-2</v>
      </c>
      <c r="AA64" s="73"/>
      <c r="AB64" s="182"/>
      <c r="AC64" s="182"/>
      <c r="AD64" s="182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1.5315455922300001E-2</v>
      </c>
      <c r="J65" s="109">
        <v>1.3907366677024762E-9</v>
      </c>
      <c r="K65" s="109">
        <v>7.7668216472882709E-11</v>
      </c>
      <c r="L65" s="156">
        <v>1.2760383840172683E-9</v>
      </c>
      <c r="N65" s="18">
        <v>1.158929795454588E-6</v>
      </c>
      <c r="O65" s="18">
        <v>1.5391732796236246E-10</v>
      </c>
      <c r="P65" s="18">
        <v>5.0506278880257284E-8</v>
      </c>
      <c r="Q65" s="28">
        <v>0.45454545454545453</v>
      </c>
      <c r="R65" s="60">
        <v>315.60147590236278</v>
      </c>
      <c r="S65" s="57">
        <v>1.7860352480266717E-6</v>
      </c>
      <c r="U65" s="127">
        <v>1.2429972808814822E-9</v>
      </c>
      <c r="V65" s="127">
        <v>1.2760383840172683E-9</v>
      </c>
      <c r="W65" s="128">
        <v>1.2816186155143578E-9</v>
      </c>
      <c r="X65" s="128">
        <f t="shared" si="0"/>
        <v>1.269173166107594E-9</v>
      </c>
      <c r="Y65" s="139">
        <f t="shared" si="1"/>
        <v>2.449738557577084</v>
      </c>
      <c r="AA65" s="73"/>
      <c r="AB65" s="182"/>
      <c r="AC65" s="182"/>
      <c r="AD65" s="182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1.54686104815E-2</v>
      </c>
      <c r="J66" s="109">
        <v>1.3507127146916938E-9</v>
      </c>
      <c r="K66" s="109">
        <v>7.7186820337473075E-11</v>
      </c>
      <c r="L66" s="156">
        <v>1.269292680948011E-9</v>
      </c>
      <c r="N66" s="18">
        <v>1.1233026335459727E-6</v>
      </c>
      <c r="O66" s="18">
        <v>1.5390722782781785E-10</v>
      </c>
      <c r="P66" s="18">
        <v>5.0502312575384026E-8</v>
      </c>
      <c r="Q66" s="28">
        <v>0.45454545454545453</v>
      </c>
      <c r="R66" s="60">
        <v>318.98379558188947</v>
      </c>
      <c r="S66" s="57">
        <v>1.7860352480266717E-6</v>
      </c>
      <c r="U66" s="127">
        <v>1.2577857863616816E-9</v>
      </c>
      <c r="V66" s="127">
        <v>1.269292680948011E-9</v>
      </c>
      <c r="W66" s="128">
        <v>1.2523341549478541E-9</v>
      </c>
      <c r="X66" s="128">
        <f t="shared" si="0"/>
        <v>1.2621763258013895E-9</v>
      </c>
      <c r="Y66" s="139">
        <f t="shared" si="1"/>
        <v>1.3157013111560287</v>
      </c>
      <c r="AA66" s="73"/>
      <c r="AB66" s="182"/>
      <c r="AC66" s="182"/>
      <c r="AD66" s="182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1.56232965864E-2</v>
      </c>
      <c r="J67" s="109">
        <v>1.1749167875362617E-9</v>
      </c>
      <c r="K67" s="109">
        <v>6.9646352365061352E-11</v>
      </c>
      <c r="L67" s="156">
        <v>1.24554336736093E-9</v>
      </c>
      <c r="N67" s="18">
        <v>1.0898841998595611E-6</v>
      </c>
      <c r="O67" s="18">
        <v>1.5388528355918637E-10</v>
      </c>
      <c r="P67" s="18">
        <v>5.0493695100118872E-8</v>
      </c>
      <c r="Q67" s="28">
        <v>0.45454545454545453</v>
      </c>
      <c r="R67" s="60">
        <v>318.98379558188947</v>
      </c>
      <c r="S67" s="57">
        <v>1.7860352480266717E-6</v>
      </c>
      <c r="U67" s="127">
        <v>1.256385806213589E-9</v>
      </c>
      <c r="V67" s="127">
        <v>1.24554336736093E-9</v>
      </c>
      <c r="W67" s="128">
        <v>1.2063603478622343E-9</v>
      </c>
      <c r="X67" s="128">
        <f t="shared" ref="X67:X127" si="2">(U67+2*V67+W67)/4</f>
        <v>1.2384582221994209E-9</v>
      </c>
      <c r="Y67" s="139">
        <f t="shared" ref="Y67:Y127" si="3">(J67-X67)*(J67-X67)/(K67*K67)</f>
        <v>0.8323716519124833</v>
      </c>
      <c r="AA67" s="73"/>
      <c r="AB67" s="182"/>
      <c r="AC67" s="182"/>
      <c r="AD67" s="182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1.5779529552200001E-2</v>
      </c>
      <c r="J68" s="109">
        <v>1.2526979334032571E-9</v>
      </c>
      <c r="K68" s="109">
        <v>7.1469123257891138E-11</v>
      </c>
      <c r="L68" s="156">
        <v>1.2054143802666577E-9</v>
      </c>
      <c r="N68" s="18">
        <v>1.059142670671897E-6</v>
      </c>
      <c r="O68" s="18">
        <v>1.5383973244666914E-10</v>
      </c>
      <c r="P68" s="18">
        <v>5.0475807259242999E-8</v>
      </c>
      <c r="Q68" s="28">
        <v>0.45454545454545453</v>
      </c>
      <c r="R68" s="60">
        <v>322.18630651693371</v>
      </c>
      <c r="S68" s="57">
        <v>1.7860352480266717E-6</v>
      </c>
      <c r="U68" s="127">
        <v>1.2385722837193752E-9</v>
      </c>
      <c r="V68" s="127">
        <v>1.2054143802666577E-9</v>
      </c>
      <c r="W68" s="128">
        <v>1.1452428830405857E-9</v>
      </c>
      <c r="X68" s="128">
        <f t="shared" si="2"/>
        <v>1.1986609818233192E-9</v>
      </c>
      <c r="Y68" s="139">
        <f t="shared" si="3"/>
        <v>0.57166917195098388</v>
      </c>
      <c r="AA68" s="73"/>
      <c r="AB68" s="182"/>
      <c r="AC68" s="182"/>
      <c r="AD68" s="182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1.59373248477E-2</v>
      </c>
      <c r="J69" s="109">
        <v>1.2185535005162248E-9</v>
      </c>
      <c r="K69" s="109">
        <v>7.0956749295115344E-11</v>
      </c>
      <c r="L69" s="156">
        <v>1.1501670270948989E-9</v>
      </c>
      <c r="N69" s="18">
        <v>1.031652525498408E-6</v>
      </c>
      <c r="O69" s="18">
        <v>1.5374939678812531E-10</v>
      </c>
      <c r="P69" s="18">
        <v>5.0440332606788841E-8</v>
      </c>
      <c r="Q69" s="28">
        <v>0.45454545454545453</v>
      </c>
      <c r="R69" s="60">
        <v>322.18630651693371</v>
      </c>
      <c r="S69" s="57">
        <v>1.7860352480266717E-6</v>
      </c>
      <c r="U69" s="127">
        <v>1.2047165582624889E-9</v>
      </c>
      <c r="V69" s="127">
        <v>1.1501670270948989E-9</v>
      </c>
      <c r="W69" s="128">
        <v>1.071163583985676E-9</v>
      </c>
      <c r="X69" s="128">
        <f t="shared" si="2"/>
        <v>1.1440535491094907E-9</v>
      </c>
      <c r="Y69" s="139">
        <f t="shared" si="3"/>
        <v>1.1023628187047274</v>
      </c>
      <c r="AA69" s="73"/>
      <c r="AB69" s="182"/>
      <c r="AC69" s="182"/>
      <c r="AD69" s="182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1.6096698096199999E-2</v>
      </c>
      <c r="J70" s="109">
        <v>1.1280577888737094E-9</v>
      </c>
      <c r="K70" s="109">
        <v>7.0563943469634011E-11</v>
      </c>
      <c r="L70" s="156">
        <v>1.0816772278115283E-9</v>
      </c>
      <c r="N70" s="18">
        <v>1.008192924655697E-6</v>
      </c>
      <c r="O70" s="18">
        <v>1.5357823763804676E-10</v>
      </c>
      <c r="P70" s="18">
        <v>5.0373118712948229E-8</v>
      </c>
      <c r="Q70" s="28">
        <v>0.45454545454545453</v>
      </c>
      <c r="R70" s="60">
        <v>325.2793200482771</v>
      </c>
      <c r="S70" s="57">
        <v>1.7860352480266717E-6</v>
      </c>
      <c r="U70" s="127">
        <v>1.1557935290574533E-9</v>
      </c>
      <c r="V70" s="127">
        <v>1.0816772278115283E-9</v>
      </c>
      <c r="W70" s="128">
        <v>9.8687989099238671E-10</v>
      </c>
      <c r="X70" s="128">
        <f t="shared" si="2"/>
        <v>1.0765069689182241E-9</v>
      </c>
      <c r="Y70" s="139">
        <f t="shared" si="3"/>
        <v>0.53371015733484883</v>
      </c>
      <c r="AA70" s="73"/>
      <c r="AB70" s="182"/>
      <c r="AC70" s="182"/>
      <c r="AD70" s="182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1.6257665077200001E-2</v>
      </c>
      <c r="J71" s="109">
        <v>9.6985868978177006E-10</v>
      </c>
      <c r="K71" s="109">
        <v>9.08775559575342E-11</v>
      </c>
      <c r="L71" s="156">
        <v>1.0023888440998761E-9</v>
      </c>
      <c r="N71" s="18">
        <v>9.8987659242335347E-7</v>
      </c>
      <c r="O71" s="18">
        <v>1.5326841009825541E-10</v>
      </c>
      <c r="P71" s="18">
        <v>5.0251449989079967E-8</v>
      </c>
      <c r="Q71" s="28">
        <v>0.45454545454545453</v>
      </c>
      <c r="R71" s="60">
        <v>325.2793200482771</v>
      </c>
      <c r="S71" s="57">
        <v>1.7860352480266717E-6</v>
      </c>
      <c r="U71" s="127">
        <v>1.0933696628891153E-9</v>
      </c>
      <c r="V71" s="127">
        <v>1.0023888440998761E-9</v>
      </c>
      <c r="W71" s="128">
        <v>8.956368421398873E-10</v>
      </c>
      <c r="X71" s="128">
        <f t="shared" si="2"/>
        <v>9.9844604830718871E-10</v>
      </c>
      <c r="Y71" s="139">
        <f t="shared" si="3"/>
        <v>9.8954324692082346E-2</v>
      </c>
      <c r="AA71" s="73"/>
      <c r="AB71" s="182"/>
      <c r="AC71" s="182"/>
      <c r="AD71" s="182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1.6420241727999999E-2</v>
      </c>
      <c r="J72" s="109">
        <v>9.5758756480127462E-10</v>
      </c>
      <c r="K72" s="109">
        <v>8.8937859265003068E-11</v>
      </c>
      <c r="L72" s="156">
        <v>9.1524160276609158E-10</v>
      </c>
      <c r="N72" s="18">
        <v>9.7829472131052888E-7</v>
      </c>
      <c r="O72" s="18">
        <v>1.5273259210709308E-10</v>
      </c>
      <c r="P72" s="18">
        <v>5.0041035216867413E-8</v>
      </c>
      <c r="Q72" s="28">
        <v>0.45454545454545453</v>
      </c>
      <c r="R72" s="60">
        <v>328.32037619087612</v>
      </c>
      <c r="S72" s="57">
        <v>1.7860352480266717E-6</v>
      </c>
      <c r="U72" s="127">
        <v>1.0195694385094443E-9</v>
      </c>
      <c r="V72" s="127">
        <v>9.1524160276609158E-10</v>
      </c>
      <c r="W72" s="128">
        <v>8.0105191653143091E-10</v>
      </c>
      <c r="X72" s="128">
        <f t="shared" si="2"/>
        <v>9.1277614014326458E-10</v>
      </c>
      <c r="Y72" s="139">
        <f t="shared" si="3"/>
        <v>0.2538657772821063</v>
      </c>
      <c r="AA72" s="73"/>
      <c r="AB72" s="182"/>
      <c r="AC72" s="182"/>
      <c r="AD72" s="182"/>
      <c r="AJ72" s="135"/>
    </row>
    <row r="73" spans="2:36" x14ac:dyDescent="0.35">
      <c r="B73" s="103"/>
      <c r="C73" s="104"/>
      <c r="D73" s="104"/>
      <c r="E73" s="104"/>
      <c r="F73" s="104"/>
      <c r="G73" s="104"/>
      <c r="H73" s="150"/>
      <c r="I73" s="109">
        <v>1.6584444145200002E-2</v>
      </c>
      <c r="J73" s="109">
        <v>7.2797428526441292E-10</v>
      </c>
      <c r="K73" s="109">
        <v>7.6908559867299478E-11</v>
      </c>
      <c r="L73" s="156">
        <v>8.2357338761975065E-10</v>
      </c>
      <c r="N73" s="18">
        <v>9.7564617105585453E-7</v>
      </c>
      <c r="O73" s="18">
        <v>1.5184729200633146E-10</v>
      </c>
      <c r="P73" s="18">
        <v>4.9693379441746038E-8</v>
      </c>
      <c r="Q73" s="28">
        <v>0.45454545454545453</v>
      </c>
      <c r="R73" s="60">
        <v>328.32037619087612</v>
      </c>
      <c r="S73" s="57">
        <v>1.7860352480266717E-6</v>
      </c>
      <c r="U73" s="127">
        <v>9.3701849543245246E-10</v>
      </c>
      <c r="V73" s="127">
        <v>8.2357338761975065E-10</v>
      </c>
      <c r="W73" s="128">
        <v>7.0697497029535394E-10</v>
      </c>
      <c r="X73" s="128">
        <f t="shared" si="2"/>
        <v>8.22785060241827E-10</v>
      </c>
      <c r="Y73" s="139">
        <f t="shared" si="3"/>
        <v>1.5197285932343494</v>
      </c>
      <c r="AA73" s="73"/>
      <c r="AB73" s="182"/>
      <c r="AC73" s="182"/>
      <c r="AD73" s="182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1.67502885867E-2</v>
      </c>
      <c r="J74" s="109">
        <v>6.5258088929845031E-10</v>
      </c>
      <c r="K74" s="109">
        <v>7.6836515950158835E-11</v>
      </c>
      <c r="L74" s="156">
        <v>7.3099825190358208E-10</v>
      </c>
      <c r="N74" s="18">
        <v>9.8480092294591434E-7</v>
      </c>
      <c r="O74" s="18">
        <v>1.5044983463714939E-10</v>
      </c>
      <c r="P74" s="18">
        <v>4.9144600418153815E-8</v>
      </c>
      <c r="Q74" s="28">
        <v>0.45454545454545453</v>
      </c>
      <c r="R74" s="60">
        <v>331.36143233347514</v>
      </c>
      <c r="S74" s="57">
        <v>1.7860352480266717E-6</v>
      </c>
      <c r="U74" s="127">
        <v>8.4876276483913652E-10</v>
      </c>
      <c r="V74" s="127">
        <v>7.3099825190358208E-10</v>
      </c>
      <c r="W74" s="128">
        <v>6.1732752620446515E-10</v>
      </c>
      <c r="X74" s="128">
        <f t="shared" si="2"/>
        <v>7.3202169871269143E-10</v>
      </c>
      <c r="Y74" s="139">
        <f t="shared" si="3"/>
        <v>1.0689367115341006</v>
      </c>
      <c r="AA74" s="73"/>
      <c r="AB74" s="182"/>
      <c r="AC74" s="182"/>
      <c r="AD74" s="182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1.6917791472599999E-2</v>
      </c>
      <c r="J75" s="109">
        <v>7.8154309958028797E-10</v>
      </c>
      <c r="K75" s="109">
        <v>8.0742121933818941E-11</v>
      </c>
      <c r="L75" s="156">
        <v>6.4126328292815252E-10</v>
      </c>
      <c r="N75" s="18">
        <v>1.0092359472319173E-6</v>
      </c>
      <c r="O75" s="18">
        <v>1.4834236768904425E-10</v>
      </c>
      <c r="P75" s="18">
        <v>4.8317001895623606E-8</v>
      </c>
      <c r="Q75" s="28">
        <v>0.45454545454545453</v>
      </c>
      <c r="R75" s="60">
        <v>331.36143233347514</v>
      </c>
      <c r="S75" s="57">
        <v>1.7860352480266717E-6</v>
      </c>
      <c r="U75" s="127">
        <v>7.581641710582907E-10</v>
      </c>
      <c r="V75" s="127">
        <v>6.4126328292815252E-10</v>
      </c>
      <c r="W75" s="128">
        <v>5.3592767909458385E-10</v>
      </c>
      <c r="X75" s="128">
        <f t="shared" si="2"/>
        <v>6.441546040022949E-10</v>
      </c>
      <c r="Y75" s="139">
        <f t="shared" si="3"/>
        <v>2.8953456558426893</v>
      </c>
      <c r="AA75" s="73"/>
      <c r="AB75" s="182"/>
      <c r="AC75" s="182"/>
      <c r="AD75" s="182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1.7086969387300002E-2</v>
      </c>
      <c r="J76" s="109">
        <v>6.0736338524314534E-10</v>
      </c>
      <c r="K76" s="109">
        <v>7.3214086848461312E-11</v>
      </c>
      <c r="L76" s="156">
        <v>5.5808927476772061E-10</v>
      </c>
      <c r="N76" s="18">
        <v>1.0527861971414068E-6</v>
      </c>
      <c r="O76" s="18">
        <v>1.4530598180669824E-10</v>
      </c>
      <c r="P76" s="18">
        <v>4.7124618559637941E-8</v>
      </c>
      <c r="Q76" s="28">
        <v>0.45454545454545453</v>
      </c>
      <c r="R76" s="60">
        <v>334.45444586481852</v>
      </c>
      <c r="S76" s="57">
        <v>1.7860352480266717E-6</v>
      </c>
      <c r="U76" s="127">
        <v>6.687750221833429E-10</v>
      </c>
      <c r="V76" s="127">
        <v>5.5808927476772061E-10</v>
      </c>
      <c r="W76" s="128">
        <v>4.6630863167942926E-10</v>
      </c>
      <c r="X76" s="128">
        <f t="shared" si="2"/>
        <v>5.6281555084955332E-10</v>
      </c>
      <c r="Y76" s="139">
        <f t="shared" si="3"/>
        <v>0.37022342383214202</v>
      </c>
      <c r="AA76" s="73"/>
      <c r="AB76" s="182"/>
      <c r="AC76" s="182"/>
      <c r="AD76" s="182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1.7257839081199999E-2</v>
      </c>
      <c r="J77" s="109">
        <v>4.6660179061993199E-10</v>
      </c>
      <c r="K77" s="109">
        <v>6.2886610762032653E-11</v>
      </c>
      <c r="L77" s="156">
        <v>4.8500186405820102E-10</v>
      </c>
      <c r="N77" s="18">
        <v>1.1191825644569877E-6</v>
      </c>
      <c r="O77" s="18">
        <v>1.4112645118160966E-10</v>
      </c>
      <c r="P77" s="18">
        <v>4.5483324316184636E-8</v>
      </c>
      <c r="Q77" s="28">
        <v>0.45454545454545453</v>
      </c>
      <c r="R77" s="60">
        <v>334.45444586481852</v>
      </c>
      <c r="S77" s="57">
        <v>1.7860352480266717E-6</v>
      </c>
      <c r="U77" s="127">
        <v>5.8419485096824305E-10</v>
      </c>
      <c r="V77" s="127">
        <v>4.8500186405820102E-10</v>
      </c>
      <c r="W77" s="128">
        <v>4.115401810309874E-10</v>
      </c>
      <c r="X77" s="128">
        <f t="shared" si="2"/>
        <v>4.9143469002890814E-10</v>
      </c>
      <c r="Y77" s="139">
        <f t="shared" si="3"/>
        <v>0.15593316002036933</v>
      </c>
      <c r="AA77" s="73"/>
      <c r="AB77" s="182"/>
      <c r="AC77" s="182"/>
      <c r="AD77" s="182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1.7430417472000002E-2</v>
      </c>
      <c r="J78" s="109">
        <v>4.6265137243699465E-10</v>
      </c>
      <c r="K78" s="109">
        <v>6.4894646400944099E-11</v>
      </c>
      <c r="L78" s="156">
        <v>4.2516116595473112E-10</v>
      </c>
      <c r="N78" s="18">
        <v>1.2114034040902831E-6</v>
      </c>
      <c r="O78" s="18">
        <v>1.3563011623289256E-10</v>
      </c>
      <c r="P78" s="18">
        <v>4.3324923356691892E-8</v>
      </c>
      <c r="Q78" s="28">
        <v>0.45454545454545453</v>
      </c>
      <c r="R78" s="60">
        <v>337.65695679986277</v>
      </c>
      <c r="S78" s="57">
        <v>1.7860352480266717E-6</v>
      </c>
      <c r="U78" s="127">
        <v>5.0791507025562001E-10</v>
      </c>
      <c r="V78" s="127">
        <v>4.2516116595473112E-10</v>
      </c>
      <c r="W78" s="128">
        <v>3.7406315798528412E-10</v>
      </c>
      <c r="X78" s="128">
        <f t="shared" si="2"/>
        <v>4.3307514003759162E-10</v>
      </c>
      <c r="Y78" s="139">
        <f t="shared" si="3"/>
        <v>0.20771504758685305</v>
      </c>
      <c r="AA78" s="73"/>
      <c r="AB78" s="182"/>
      <c r="AC78" s="182"/>
      <c r="AD78" s="182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1.7604721646699999E-2</v>
      </c>
      <c r="J79" s="109">
        <v>4.0895398048785708E-10</v>
      </c>
      <c r="K79" s="109">
        <v>6.1812729205725876E-11</v>
      </c>
      <c r="L79" s="156">
        <v>3.811988533500599E-10</v>
      </c>
      <c r="N79" s="18">
        <v>1.330936127744966E-6</v>
      </c>
      <c r="O79" s="18">
        <v>1.2872462070995875E-10</v>
      </c>
      <c r="P79" s="18">
        <v>4.0613147545803174E-8</v>
      </c>
      <c r="Q79" s="28">
        <v>0.45454545454545453</v>
      </c>
      <c r="R79" s="60">
        <v>337.65695679986277</v>
      </c>
      <c r="S79" s="57">
        <v>1.7860352480266717E-6</v>
      </c>
      <c r="U79" s="127">
        <v>4.4315821626317692E-10</v>
      </c>
      <c r="V79" s="127">
        <v>3.811988533500599E-10</v>
      </c>
      <c r="W79" s="128">
        <v>3.5554678282060597E-10</v>
      </c>
      <c r="X79" s="128">
        <f t="shared" si="2"/>
        <v>3.902756764459757E-10</v>
      </c>
      <c r="Y79" s="139">
        <f t="shared" si="3"/>
        <v>9.1310147073179734E-2</v>
      </c>
      <c r="AA79" s="73"/>
      <c r="AB79" s="182"/>
      <c r="AC79" s="182"/>
      <c r="AD79" s="182"/>
      <c r="AJ79" s="135"/>
    </row>
    <row r="80" spans="2:36" x14ac:dyDescent="0.35">
      <c r="I80" s="109">
        <v>1.77807688631E-2</v>
      </c>
      <c r="J80" s="109">
        <v>3.5741774901670414E-10</v>
      </c>
      <c r="K80" s="109">
        <v>5.4285985374802595E-11</v>
      </c>
      <c r="L80" s="156">
        <v>3.5507193600948463E-10</v>
      </c>
      <c r="N80" s="18">
        <v>1.4771080970211596E-6</v>
      </c>
      <c r="O80" s="18">
        <v>1.2043579780249245E-10</v>
      </c>
      <c r="P80" s="18">
        <v>3.7358141531164883E-8</v>
      </c>
      <c r="Q80" s="28">
        <v>0.45454545454545453</v>
      </c>
      <c r="R80" s="60">
        <v>341.03927647938946</v>
      </c>
      <c r="S80" s="57">
        <v>1.7860352480266717E-6</v>
      </c>
      <c r="U80" s="127">
        <v>3.9271961875786804E-10</v>
      </c>
      <c r="V80" s="127">
        <v>3.5507193600948463E-10</v>
      </c>
      <c r="W80" s="128">
        <v>3.5677812204016983E-10</v>
      </c>
      <c r="X80" s="128">
        <f t="shared" si="2"/>
        <v>3.6491040320425177E-10</v>
      </c>
      <c r="Y80" s="139">
        <f t="shared" si="3"/>
        <v>1.9050041537474572E-2</v>
      </c>
      <c r="AA80" s="73"/>
      <c r="AB80" s="182"/>
      <c r="AC80" s="182"/>
      <c r="AD80" s="182"/>
      <c r="AJ80" s="135"/>
    </row>
    <row r="81" spans="2:36" x14ac:dyDescent="0.35">
      <c r="I81" s="109">
        <v>1.7958576551799998E-2</v>
      </c>
      <c r="J81" s="109">
        <v>3.1429018098089438E-10</v>
      </c>
      <c r="K81" s="109">
        <v>5.0920294580467047E-11</v>
      </c>
      <c r="L81" s="156">
        <v>3.4794215787422135E-10</v>
      </c>
      <c r="N81" s="18">
        <v>1.6466739863734163E-6</v>
      </c>
      <c r="O81" s="18">
        <v>1.1093048112340735E-10</v>
      </c>
      <c r="P81" s="18">
        <v>3.3625420575865659E-8</v>
      </c>
      <c r="Q81" s="28">
        <v>0.45454545454545453</v>
      </c>
      <c r="R81" s="60">
        <v>341.03927647938946</v>
      </c>
      <c r="S81" s="57">
        <v>1.7860352480266717E-6</v>
      </c>
      <c r="U81" s="127">
        <v>3.5881992986549315E-10</v>
      </c>
      <c r="V81" s="127">
        <v>3.4794215787422135E-10</v>
      </c>
      <c r="W81" s="128">
        <v>3.7759137494466313E-10</v>
      </c>
      <c r="X81" s="128">
        <f t="shared" si="2"/>
        <v>3.5807390513964971E-10</v>
      </c>
      <c r="Y81" s="139">
        <f t="shared" si="3"/>
        <v>0.7393389446139973</v>
      </c>
      <c r="AA81" s="73"/>
      <c r="AB81" s="182"/>
      <c r="AC81" s="182"/>
      <c r="AD81" s="182"/>
      <c r="AJ81" s="135"/>
    </row>
    <row r="82" spans="2:36" x14ac:dyDescent="0.35">
      <c r="I82" s="109">
        <v>1.8138162317300002E-2</v>
      </c>
      <c r="J82" s="109">
        <v>3.5379908466278904E-10</v>
      </c>
      <c r="K82" s="109">
        <v>5.8095715695126294E-11</v>
      </c>
      <c r="L82" s="156">
        <v>3.6008895949549367E-10</v>
      </c>
      <c r="N82" s="18">
        <v>1.8338187930522342E-6</v>
      </c>
      <c r="O82" s="18">
        <v>1.0051655036892841E-10</v>
      </c>
      <c r="P82" s="18">
        <v>2.9535888489069367E-8</v>
      </c>
      <c r="Q82" s="28">
        <v>0.45454545454545453</v>
      </c>
      <c r="R82" s="60">
        <v>344.69583681258825</v>
      </c>
      <c r="S82" s="57">
        <v>1.7860352480266717E-6</v>
      </c>
      <c r="U82" s="127">
        <v>3.429769870900889E-10</v>
      </c>
      <c r="V82" s="127">
        <v>3.6008895949549367E-10</v>
      </c>
      <c r="W82" s="128">
        <v>4.1684272414591381E-10</v>
      </c>
      <c r="X82" s="128">
        <f t="shared" si="2"/>
        <v>3.6999940755674755E-10</v>
      </c>
      <c r="Y82" s="139">
        <f t="shared" si="3"/>
        <v>7.7760515119520743E-2</v>
      </c>
      <c r="AA82" s="73"/>
      <c r="AB82" s="182"/>
      <c r="AC82" s="182"/>
      <c r="AD82" s="182"/>
      <c r="AJ82" s="135"/>
    </row>
    <row r="83" spans="2:36" x14ac:dyDescent="0.35">
      <c r="I83" s="109">
        <v>1.8319543940500001E-2</v>
      </c>
      <c r="J83" s="109">
        <v>3.9816379488693366E-10</v>
      </c>
      <c r="K83" s="109">
        <v>6.0600800566960926E-11</v>
      </c>
      <c r="L83" s="156">
        <v>3.9086242869590515E-10</v>
      </c>
      <c r="N83" s="18">
        <v>1.9810192291171429E-6</v>
      </c>
      <c r="O83" s="18">
        <v>9.2360844852852474E-11</v>
      </c>
      <c r="P83" s="18">
        <v>2.6333157437289582E-8</v>
      </c>
      <c r="Q83" s="28">
        <v>0.22727272727272727</v>
      </c>
      <c r="R83" s="60">
        <v>344.69583681258825</v>
      </c>
      <c r="S83" s="57">
        <v>1.7860352480266717E-6</v>
      </c>
      <c r="U83" s="127">
        <v>3.4590495433419303E-10</v>
      </c>
      <c r="V83" s="127">
        <v>3.9086242869590515E-10</v>
      </c>
      <c r="W83" s="128">
        <v>4.7243413306852624E-10</v>
      </c>
      <c r="X83" s="128">
        <f t="shared" si="2"/>
        <v>4.0001598619863241E-10</v>
      </c>
      <c r="Y83" s="139">
        <f t="shared" si="3"/>
        <v>9.3414643866734969E-4</v>
      </c>
      <c r="AA83" s="73"/>
      <c r="AB83" s="182"/>
      <c r="AC83" s="182"/>
      <c r="AD83" s="182"/>
      <c r="AJ83" s="135"/>
    </row>
    <row r="84" spans="2:36" x14ac:dyDescent="0.35">
      <c r="I84" s="109">
        <v>1.8502739379900001E-2</v>
      </c>
      <c r="J84" s="109">
        <v>2.9034926312547656E-10</v>
      </c>
      <c r="K84" s="109">
        <v>5.1460477718283668E-11</v>
      </c>
      <c r="L84" s="156">
        <v>4.3868072067820273E-10</v>
      </c>
      <c r="N84" s="18">
        <v>2.0823394542220977E-6</v>
      </c>
      <c r="O84" s="18">
        <v>8.6317846783659503E-11</v>
      </c>
      <c r="P84" s="18">
        <v>2.3960082842590184E-8</v>
      </c>
      <c r="Q84" s="28">
        <v>0.27433079872934468</v>
      </c>
      <c r="R84" s="60">
        <v>348.76617556142531</v>
      </c>
      <c r="S84" s="57">
        <v>1.7860352480266717E-6</v>
      </c>
      <c r="U84" s="127">
        <v>3.6744761600792597E-10</v>
      </c>
      <c r="V84" s="127">
        <v>4.3868072067820273E-10</v>
      </c>
      <c r="W84" s="128">
        <v>5.4138696037670387E-10</v>
      </c>
      <c r="X84" s="128">
        <f t="shared" si="2"/>
        <v>4.4654900443525881E-10</v>
      </c>
      <c r="Y84" s="139">
        <f t="shared" si="3"/>
        <v>9.213252920395691</v>
      </c>
      <c r="AA84" s="73"/>
      <c r="AB84" s="182"/>
      <c r="AC84" s="182"/>
      <c r="AD84" s="182"/>
      <c r="AJ84" s="135"/>
    </row>
    <row r="85" spans="2:36" x14ac:dyDescent="0.35">
      <c r="I85" s="109">
        <v>1.8687766773700001E-2</v>
      </c>
      <c r="J85" s="109">
        <v>3.6052860637216249E-10</v>
      </c>
      <c r="K85" s="109">
        <v>6.0623492569830616E-11</v>
      </c>
      <c r="L85" s="156">
        <v>5.0107422763121222E-10</v>
      </c>
      <c r="N85" s="18">
        <v>2.2031849623988735E-6</v>
      </c>
      <c r="O85" s="18">
        <v>7.9721203172187416E-11</v>
      </c>
      <c r="P85" s="18">
        <v>2.1369592628059781E-8</v>
      </c>
      <c r="Q85" s="28">
        <v>0.27901782563242211</v>
      </c>
      <c r="R85" s="60">
        <v>348.76617556142531</v>
      </c>
      <c r="S85" s="57">
        <v>1.7860352480266717E-6</v>
      </c>
      <c r="U85" s="127">
        <v>4.0655117591960095E-10</v>
      </c>
      <c r="V85" s="127">
        <v>5.0107422763121222E-10</v>
      </c>
      <c r="W85" s="128">
        <v>6.1996376405842757E-10</v>
      </c>
      <c r="X85" s="128">
        <f t="shared" si="2"/>
        <v>5.0716584881011324E-10</v>
      </c>
      <c r="Y85" s="139">
        <f t="shared" si="3"/>
        <v>5.850684298528642</v>
      </c>
      <c r="AA85" s="73"/>
      <c r="AB85" s="182"/>
      <c r="AC85" s="182"/>
      <c r="AD85" s="182"/>
      <c r="AJ85" s="135"/>
    </row>
    <row r="86" spans="2:36" x14ac:dyDescent="0.35">
      <c r="I86" s="109">
        <v>1.8874644441399999E-2</v>
      </c>
      <c r="J86" s="109">
        <v>6.7678792045557172E-10</v>
      </c>
      <c r="K86" s="109">
        <v>7.6123090133976923E-11</v>
      </c>
      <c r="L86" s="156">
        <v>5.7477647769956862E-10</v>
      </c>
      <c r="N86" s="18">
        <v>2.3240068344164358E-6</v>
      </c>
      <c r="O86" s="18">
        <v>7.3125849797489764E-11</v>
      </c>
      <c r="P86" s="18">
        <v>1.8779609087216092E-8</v>
      </c>
      <c r="Q86" s="28">
        <v>0.28889548286974742</v>
      </c>
      <c r="R86" s="60">
        <v>353.47991334826054</v>
      </c>
      <c r="S86" s="57">
        <v>1.7860352480266717E-6</v>
      </c>
      <c r="U86" s="127">
        <v>4.6128005976810415E-10</v>
      </c>
      <c r="V86" s="127">
        <v>5.7477647769956862E-10</v>
      </c>
      <c r="W86" s="128">
        <v>7.038343158632665E-10</v>
      </c>
      <c r="X86" s="128">
        <f t="shared" si="2"/>
        <v>5.7866683275762699E-10</v>
      </c>
      <c r="Y86" s="139">
        <f t="shared" si="3"/>
        <v>1.6614676447424142</v>
      </c>
      <c r="AA86" s="73"/>
      <c r="AB86" s="182"/>
      <c r="AC86" s="182"/>
      <c r="AD86" s="182"/>
      <c r="AJ86" s="135"/>
    </row>
    <row r="87" spans="2:36" x14ac:dyDescent="0.35">
      <c r="I87" s="109">
        <v>1.9063390885799999E-2</v>
      </c>
      <c r="J87" s="109">
        <v>7.2479388216915083E-10</v>
      </c>
      <c r="K87" s="109">
        <v>7.8977808840087987E-11</v>
      </c>
      <c r="L87" s="156">
        <v>6.5585947911398845E-10</v>
      </c>
      <c r="N87" s="18">
        <v>2.4447262762425861E-6</v>
      </c>
      <c r="O87" s="18">
        <v>6.6536087821909837E-11</v>
      </c>
      <c r="P87" s="18">
        <v>1.619182127886201E-8</v>
      </c>
      <c r="Q87" s="28">
        <v>0.30511585966628851</v>
      </c>
      <c r="R87" s="60">
        <v>353.47991334826054</v>
      </c>
      <c r="S87" s="57">
        <v>1.7860352480266717E-6</v>
      </c>
      <c r="U87" s="127">
        <v>5.2887717151766027E-10</v>
      </c>
      <c r="V87" s="127">
        <v>6.5585947911398845E-10</v>
      </c>
      <c r="W87" s="128">
        <v>7.8827971675051256E-10</v>
      </c>
      <c r="X87" s="128">
        <f t="shared" si="2"/>
        <v>6.5721896162403746E-10</v>
      </c>
      <c r="Y87" s="139">
        <f t="shared" si="3"/>
        <v>0.73208401883404539</v>
      </c>
      <c r="AA87" s="73"/>
      <c r="AB87" s="182"/>
      <c r="AC87" s="182"/>
      <c r="AD87" s="182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1.9254024794699998E-2</v>
      </c>
      <c r="J88" s="109">
        <v>6.9006185557435036E-10</v>
      </c>
      <c r="K88" s="109">
        <v>7.6470121981706217E-11</v>
      </c>
      <c r="L88" s="156">
        <v>7.3990909019490884E-10</v>
      </c>
      <c r="N88" s="18">
        <v>2.5651500158927381E-6</v>
      </c>
      <c r="O88" s="18">
        <v>5.9962467463007486E-11</v>
      </c>
      <c r="P88" s="18">
        <v>1.3610372254670404E-8</v>
      </c>
      <c r="Q88" s="28">
        <v>0.32985484968757195</v>
      </c>
      <c r="R88" s="60">
        <v>359.27226660880393</v>
      </c>
      <c r="S88" s="57">
        <v>1.7860352480266717E-6</v>
      </c>
      <c r="U88" s="127">
        <v>6.058679383784362E-10</v>
      </c>
      <c r="V88" s="127">
        <v>7.3990909019490884E-10</v>
      </c>
      <c r="W88" s="128">
        <v>8.6842661301367412E-10</v>
      </c>
      <c r="X88" s="128">
        <f t="shared" si="2"/>
        <v>7.38528182945482E-10</v>
      </c>
      <c r="Y88" s="139">
        <f t="shared" si="3"/>
        <v>0.40169521369837979</v>
      </c>
      <c r="AA88" s="73"/>
      <c r="AB88" s="182"/>
      <c r="AC88" s="182"/>
      <c r="AD88" s="182"/>
      <c r="AJ88" s="135"/>
    </row>
    <row r="89" spans="2:36" x14ac:dyDescent="0.35">
      <c r="I89" s="109">
        <v>1.9446565042599999E-2</v>
      </c>
      <c r="J89" s="109">
        <v>9.4612698623886016E-10</v>
      </c>
      <c r="K89" s="109">
        <v>9.0357468259550287E-11</v>
      </c>
      <c r="L89" s="156">
        <v>8.2223403910455793E-10</v>
      </c>
      <c r="N89" s="18">
        <v>2.6848762718115108E-6</v>
      </c>
      <c r="O89" s="18">
        <v>5.3426920936307296E-11</v>
      </c>
      <c r="P89" s="18">
        <v>1.1043874756672797E-8</v>
      </c>
      <c r="Q89" s="28">
        <v>0.36718140925644527</v>
      </c>
      <c r="R89" s="60">
        <v>359.27226660880393</v>
      </c>
      <c r="S89" s="57">
        <v>1.7860352480266717E-6</v>
      </c>
      <c r="U89" s="127">
        <v>6.8820540045542106E-10</v>
      </c>
      <c r="V89" s="127">
        <v>8.2223403910455793E-10</v>
      </c>
      <c r="W89" s="128">
        <v>9.3950184306329532E-10</v>
      </c>
      <c r="X89" s="128">
        <f t="shared" si="2"/>
        <v>8.1804383043195806E-10</v>
      </c>
      <c r="Y89" s="139">
        <f t="shared" si="3"/>
        <v>2.0093515735306209</v>
      </c>
      <c r="AA89" s="73"/>
      <c r="AB89" s="182"/>
      <c r="AC89" s="182"/>
      <c r="AD89" s="182"/>
      <c r="AJ89" s="135"/>
    </row>
    <row r="90" spans="2:36" x14ac:dyDescent="0.35">
      <c r="I90" s="109">
        <v>1.9641030693100001E-2</v>
      </c>
      <c r="J90" s="109">
        <v>8.7086515666084533E-10</v>
      </c>
      <c r="K90" s="109">
        <v>8.6441105980892431E-11</v>
      </c>
      <c r="L90" s="156">
        <v>8.9810044600633299E-10</v>
      </c>
      <c r="N90" s="18">
        <v>2.803121015899125E-6</v>
      </c>
      <c r="O90" s="18">
        <v>4.69722463071545E-11</v>
      </c>
      <c r="P90" s="18">
        <v>8.5091355090167258E-9</v>
      </c>
      <c r="Q90" s="28">
        <v>0.42522182801861985</v>
      </c>
      <c r="R90" s="60">
        <v>367.17809372863849</v>
      </c>
      <c r="S90" s="57">
        <v>1.7860352480266717E-6</v>
      </c>
      <c r="U90" s="127">
        <v>7.7145162732386804E-10</v>
      </c>
      <c r="V90" s="127">
        <v>8.9810044600633299E-10</v>
      </c>
      <c r="W90" s="128">
        <v>9.9709636146844361E-10</v>
      </c>
      <c r="X90" s="128">
        <f t="shared" si="2"/>
        <v>8.9118722020124449E-10</v>
      </c>
      <c r="Y90" s="139">
        <f t="shared" si="3"/>
        <v>5.527070193009586E-2</v>
      </c>
      <c r="AA90" s="73"/>
      <c r="AB90" s="182"/>
      <c r="AC90" s="182"/>
      <c r="AD90" s="182"/>
      <c r="AJ90" s="135"/>
    </row>
    <row r="91" spans="2:36" x14ac:dyDescent="0.35">
      <c r="I91" s="109">
        <v>1.9837441000000001E-2</v>
      </c>
      <c r="J91" s="109">
        <v>1.0672706976405498E-9</v>
      </c>
      <c r="K91" s="109">
        <v>9.6182752353832152E-11</v>
      </c>
      <c r="L91" s="156">
        <v>9.6298209955509012E-10</v>
      </c>
      <c r="N91" s="18">
        <v>2.9183663411666309E-6</v>
      </c>
      <c r="O91" s="18">
        <v>4.0681302190590146E-11</v>
      </c>
      <c r="P91" s="18">
        <v>6.038692942470242E-9</v>
      </c>
      <c r="Q91" s="28">
        <v>0.52252270986663085</v>
      </c>
      <c r="R91" s="60">
        <v>367.17809372863849</v>
      </c>
      <c r="S91" s="57">
        <v>1.7860352480266717E-6</v>
      </c>
      <c r="U91" s="127">
        <v>8.5098890619349182E-10</v>
      </c>
      <c r="V91" s="127">
        <v>9.6298209955509012E-10</v>
      </c>
      <c r="W91" s="128">
        <v>1.0374259726692254E-9</v>
      </c>
      <c r="X91" s="128">
        <f t="shared" si="2"/>
        <v>9.5359476949322445E-10</v>
      </c>
      <c r="Y91" s="139">
        <f t="shared" si="3"/>
        <v>1.3968269847894144</v>
      </c>
      <c r="AA91" s="73"/>
      <c r="AB91" s="182"/>
      <c r="AC91" s="182"/>
      <c r="AD91" s="182"/>
      <c r="AJ91" s="135"/>
    </row>
    <row r="92" spans="2:36" x14ac:dyDescent="0.35">
      <c r="I92" s="109">
        <v>2.0035815410000001E-2</v>
      </c>
      <c r="J92" s="109">
        <v>1.0526387216269653E-9</v>
      </c>
      <c r="K92" s="109">
        <v>9.73888848574429E-11</v>
      </c>
      <c r="L92" s="156">
        <v>1.0128153017150905E-9</v>
      </c>
      <c r="N92" s="18">
        <v>3.0275673693087792E-6</v>
      </c>
      <c r="O92" s="18">
        <v>3.4720300614873111E-11</v>
      </c>
      <c r="P92" s="18">
        <v>3.6978182249334949E-9</v>
      </c>
      <c r="Q92" s="28">
        <v>0.71317718802348939</v>
      </c>
      <c r="R92" s="60">
        <v>381.38497002468097</v>
      </c>
      <c r="S92" s="57">
        <v>1.7860352480266717E-6</v>
      </c>
      <c r="U92" s="127">
        <v>9.2225245667010658E-10</v>
      </c>
      <c r="V92" s="127">
        <v>1.0128153017150905E-9</v>
      </c>
      <c r="W92" s="128">
        <v>1.0575752951342864E-9</v>
      </c>
      <c r="X92" s="128">
        <f t="shared" si="2"/>
        <v>1.0013645888086435E-9</v>
      </c>
      <c r="Y92" s="139">
        <f t="shared" si="3"/>
        <v>0.27719019375261439</v>
      </c>
      <c r="AA92" s="73"/>
      <c r="AB92" s="182"/>
      <c r="AC92" s="182"/>
      <c r="AD92" s="182"/>
      <c r="AJ92" s="135"/>
    </row>
    <row r="93" spans="2:36" x14ac:dyDescent="0.35">
      <c r="I93" s="109">
        <v>2.0236173564099999E-2</v>
      </c>
      <c r="J93" s="109">
        <v>1.0178877814537525E-9</v>
      </c>
      <c r="K93" s="109">
        <v>9.5154178671794977E-11</v>
      </c>
      <c r="L93" s="156">
        <v>1.0442458266071605E-9</v>
      </c>
      <c r="N93" s="18">
        <v>3.1240728746787833E-6</v>
      </c>
      <c r="O93" s="18">
        <v>2.9452314778447387E-11</v>
      </c>
      <c r="P93" s="18">
        <v>1.6290895557337576E-9</v>
      </c>
      <c r="Q93" s="28">
        <v>1.281588875373888</v>
      </c>
      <c r="R93" s="60">
        <v>381.38497002468097</v>
      </c>
      <c r="S93" s="57">
        <v>1.7860352480266717E-6</v>
      </c>
      <c r="U93" s="127">
        <v>9.8097487453096861E-10</v>
      </c>
      <c r="V93" s="127">
        <v>1.0442458266071605E-9</v>
      </c>
      <c r="W93" s="128">
        <v>1.0557105577068639E-9</v>
      </c>
      <c r="X93" s="128">
        <f t="shared" si="2"/>
        <v>1.0312942713630384E-9</v>
      </c>
      <c r="Y93" s="139">
        <f t="shared" si="3"/>
        <v>1.9850636709655277E-2</v>
      </c>
      <c r="AA93" s="73"/>
      <c r="AB93" s="182"/>
      <c r="AC93" s="182"/>
      <c r="AD93" s="182"/>
      <c r="AJ93" s="135"/>
    </row>
    <row r="94" spans="2:36" x14ac:dyDescent="0.35">
      <c r="I94" s="109">
        <v>2.0438535299700002E-2</v>
      </c>
      <c r="J94" s="109">
        <v>1.0438653323754141E-9</v>
      </c>
      <c r="K94" s="109">
        <v>9.7773712455632368E-11</v>
      </c>
      <c r="L94" s="156">
        <v>1.0548545138004046E-9</v>
      </c>
      <c r="N94" s="18">
        <v>3.1907825106873794E-6</v>
      </c>
      <c r="O94" s="18">
        <v>2.5810808355585536E-11</v>
      </c>
      <c r="P94" s="18">
        <v>1.990764596544104E-10</v>
      </c>
      <c r="Q94" s="28">
        <v>1.7210815880741237</v>
      </c>
      <c r="R94" s="60">
        <v>400.46378202672184</v>
      </c>
      <c r="S94" s="57">
        <v>1.7860352480266717E-6</v>
      </c>
      <c r="U94" s="127">
        <v>1.0234311100060227E-9</v>
      </c>
      <c r="V94" s="127">
        <v>1.0548545138004046E-9</v>
      </c>
      <c r="W94" s="128">
        <v>1.0312464823294454E-9</v>
      </c>
      <c r="X94" s="128">
        <f t="shared" si="2"/>
        <v>1.0410966549840693E-9</v>
      </c>
      <c r="Y94" s="139">
        <f t="shared" si="3"/>
        <v>8.0186359630600738E-4</v>
      </c>
      <c r="AA94" s="73"/>
      <c r="AB94" s="182"/>
      <c r="AC94" s="182"/>
      <c r="AD94" s="182"/>
      <c r="AJ94" s="135"/>
    </row>
    <row r="95" spans="2:36" x14ac:dyDescent="0.35">
      <c r="I95" s="109">
        <v>2.06429206527E-2</v>
      </c>
      <c r="J95" s="109">
        <v>8.8497804522425741E-10</v>
      </c>
      <c r="K95" s="109">
        <v>8.9359840813603438E-11</v>
      </c>
      <c r="L95" s="156">
        <v>1.0433473538627766E-9</v>
      </c>
      <c r="N95" s="18">
        <v>3.1999999999999999E-6</v>
      </c>
      <c r="O95" s="18">
        <v>2.5307649463664093E-11</v>
      </c>
      <c r="P95" s="18">
        <v>1.486857631694136E-12</v>
      </c>
      <c r="Q95" s="28">
        <v>10.297802784660814</v>
      </c>
      <c r="R95" s="60">
        <v>400.46378202672184</v>
      </c>
      <c r="S95" s="57">
        <v>1.7860352480266717E-6</v>
      </c>
      <c r="U95" s="127">
        <v>1.0466715784082171E-9</v>
      </c>
      <c r="V95" s="127">
        <v>1.0433473538627766E-9</v>
      </c>
      <c r="W95" s="128">
        <v>9.8495286184546674E-10</v>
      </c>
      <c r="X95" s="128">
        <f t="shared" si="2"/>
        <v>1.0295797869948092E-9</v>
      </c>
      <c r="Y95" s="139">
        <f t="shared" si="3"/>
        <v>2.6185584684535801</v>
      </c>
      <c r="AA95" s="73"/>
      <c r="AB95" s="182"/>
      <c r="AC95" s="182"/>
      <c r="AD95" s="182"/>
      <c r="AJ95" s="135"/>
    </row>
    <row r="96" spans="2:36" x14ac:dyDescent="0.35">
      <c r="I96" s="109">
        <v>2.0849349859299999E-2</v>
      </c>
      <c r="J96" s="109">
        <v>1.1693583179375703E-9</v>
      </c>
      <c r="K96" s="109">
        <v>1.0272200470213921E-10</v>
      </c>
      <c r="L96" s="156">
        <v>1.0096958191906093E-9</v>
      </c>
      <c r="N96" s="18">
        <v>3.1955803682416796E-6</v>
      </c>
      <c r="O96" s="18">
        <v>2.5394460155846639E-11</v>
      </c>
      <c r="P96" s="18">
        <v>1.4888560802367562E-12</v>
      </c>
      <c r="Q96" s="28">
        <v>1.7210815880741237</v>
      </c>
      <c r="R96" s="60">
        <v>1180.1679777268344</v>
      </c>
      <c r="S96" s="57">
        <v>1.7860352480266717E-6</v>
      </c>
      <c r="U96" s="127">
        <v>1.0487300784855217E-9</v>
      </c>
      <c r="V96" s="127">
        <v>1.0096958191906093E-9</v>
      </c>
      <c r="W96" s="128">
        <v>9.1898777340196301E-10</v>
      </c>
      <c r="X96" s="128">
        <f t="shared" si="2"/>
        <v>9.9677737256717573E-10</v>
      </c>
      <c r="Y96" s="139">
        <f t="shared" si="3"/>
        <v>2.822660946245203</v>
      </c>
      <c r="AA96" s="73"/>
      <c r="AB96" s="182"/>
      <c r="AC96" s="182"/>
      <c r="AD96" s="182"/>
      <c r="AJ96" s="135"/>
    </row>
    <row r="97" spans="9:36" x14ac:dyDescent="0.35">
      <c r="I97" s="109">
        <v>2.1057843357800001E-2</v>
      </c>
      <c r="J97" s="109">
        <v>9.9788955135124318E-10</v>
      </c>
      <c r="K97" s="109">
        <v>9.5851818945846379E-11</v>
      </c>
      <c r="L97" s="156">
        <v>9.5521388105284703E-10</v>
      </c>
      <c r="N97" s="18">
        <v>3.1635942149747698E-6</v>
      </c>
      <c r="O97" s="18">
        <v>2.6022734242286083E-11</v>
      </c>
      <c r="P97" s="18">
        <v>1.5033194303246767E-12</v>
      </c>
      <c r="Q97" s="28">
        <v>1.281588875373888</v>
      </c>
      <c r="R97" s="60">
        <v>1180.1679777268344</v>
      </c>
      <c r="S97" s="57">
        <v>1.7823492820038304E-6</v>
      </c>
      <c r="U97" s="127">
        <v>1.0287927022525916E-9</v>
      </c>
      <c r="V97" s="127">
        <v>9.5521388105284703E-10</v>
      </c>
      <c r="W97" s="128">
        <v>8.3684693198056293E-10</v>
      </c>
      <c r="X97" s="128">
        <f t="shared" si="2"/>
        <v>9.4401684908471208E-10</v>
      </c>
      <c r="Y97" s="139">
        <f t="shared" si="3"/>
        <v>0.31589067315265557</v>
      </c>
      <c r="AA97" s="73"/>
      <c r="AB97" s="182"/>
      <c r="AC97" s="182"/>
      <c r="AD97" s="182"/>
      <c r="AJ97" s="135"/>
    </row>
    <row r="98" spans="9:36" x14ac:dyDescent="0.35">
      <c r="I98" s="109">
        <v>2.12684217914E-2</v>
      </c>
      <c r="J98" s="109">
        <v>8.1743071368890913E-10</v>
      </c>
      <c r="K98" s="109">
        <v>8.8169455927107268E-11</v>
      </c>
      <c r="L98" s="156">
        <v>8.8255988354607974E-10</v>
      </c>
      <c r="N98" s="18">
        <v>3.1173214413462679E-6</v>
      </c>
      <c r="O98" s="18">
        <v>2.6931627047740807E-11</v>
      </c>
      <c r="P98" s="18">
        <v>1.5242428379924715E-12</v>
      </c>
      <c r="Q98" s="28">
        <v>0.71317718802348939</v>
      </c>
      <c r="R98" s="60">
        <v>1183.6101409029825</v>
      </c>
      <c r="S98" s="57">
        <v>1.7823492820038304E-6</v>
      </c>
      <c r="U98" s="127">
        <v>9.8731405687442595E-10</v>
      </c>
      <c r="V98" s="127">
        <v>8.8255988354607974E-10</v>
      </c>
      <c r="W98" s="128">
        <v>7.4322266424137738E-10</v>
      </c>
      <c r="X98" s="128">
        <f t="shared" si="2"/>
        <v>8.7391412205199065E-10</v>
      </c>
      <c r="Y98" s="139">
        <f t="shared" si="3"/>
        <v>0.41039822046409863</v>
      </c>
      <c r="AA98" s="73"/>
      <c r="AB98" s="182"/>
      <c r="AC98" s="182"/>
      <c r="AD98" s="182"/>
      <c r="AJ98" s="135"/>
    </row>
    <row r="99" spans="9:36" x14ac:dyDescent="0.35">
      <c r="I99" s="109">
        <v>2.1481106009300002E-2</v>
      </c>
      <c r="J99" s="109">
        <v>8.43496983386768E-10</v>
      </c>
      <c r="K99" s="109">
        <v>8.9874328277501001E-11</v>
      </c>
      <c r="L99" s="156">
        <v>7.9565443034549362E-10</v>
      </c>
      <c r="N99" s="18">
        <v>3.0649613771629046E-6</v>
      </c>
      <c r="O99" s="18">
        <v>2.7960086807068764E-11</v>
      </c>
      <c r="P99" s="18">
        <v>1.5479187684049419E-12</v>
      </c>
      <c r="Q99" s="28">
        <v>0.52252270986663085</v>
      </c>
      <c r="R99" s="60">
        <v>1183.6101409029825</v>
      </c>
      <c r="S99" s="57">
        <v>1.7556728798530699E-6</v>
      </c>
      <c r="U99" s="127">
        <v>9.2606811385169843E-10</v>
      </c>
      <c r="V99" s="127">
        <v>7.9565443034549362E-10</v>
      </c>
      <c r="W99" s="128">
        <v>6.4377140524477101E-10</v>
      </c>
      <c r="X99" s="128">
        <f t="shared" si="2"/>
        <v>7.9028709494686425E-10</v>
      </c>
      <c r="Y99" s="139">
        <f t="shared" si="3"/>
        <v>0.35052046714089374</v>
      </c>
      <c r="AA99" s="73"/>
      <c r="AB99" s="182"/>
      <c r="AC99" s="182"/>
      <c r="AD99" s="182"/>
      <c r="AJ99" s="135"/>
    </row>
    <row r="100" spans="9:36" x14ac:dyDescent="0.35">
      <c r="I100" s="109">
        <v>2.1695917069400002E-2</v>
      </c>
      <c r="J100" s="109">
        <v>6.3345905967890746E-10</v>
      </c>
      <c r="K100" s="109">
        <v>7.8825031676203796E-11</v>
      </c>
      <c r="L100" s="156">
        <v>6.9950978957123102E-10</v>
      </c>
      <c r="N100" s="18">
        <v>3.0097031737329488E-6</v>
      </c>
      <c r="O100" s="18">
        <v>2.9045472004486553E-11</v>
      </c>
      <c r="P100" s="18">
        <v>1.5729051659491501E-12</v>
      </c>
      <c r="Q100" s="28">
        <v>0.42522182801861985</v>
      </c>
      <c r="R100" s="60">
        <v>1186.1733186537303</v>
      </c>
      <c r="S100" s="57">
        <v>1.7556728798530699E-6</v>
      </c>
      <c r="U100" s="127">
        <v>8.4812307219492664E-10</v>
      </c>
      <c r="V100" s="127">
        <v>6.9950978957123102E-10</v>
      </c>
      <c r="W100" s="128">
        <v>5.4479530979703957E-10</v>
      </c>
      <c r="X100" s="128">
        <f t="shared" si="2"/>
        <v>6.9798449028360709E-10</v>
      </c>
      <c r="Y100" s="139">
        <f t="shared" si="3"/>
        <v>0.67009058349037143</v>
      </c>
      <c r="AA100" s="73"/>
      <c r="AB100" s="182"/>
      <c r="AC100" s="182"/>
      <c r="AD100" s="182"/>
      <c r="AJ100" s="135"/>
    </row>
    <row r="101" spans="9:36" x14ac:dyDescent="0.35">
      <c r="I101" s="109">
        <v>2.19128762401E-2</v>
      </c>
      <c r="J101" s="109">
        <v>7.6208368828529907E-10</v>
      </c>
      <c r="K101" s="109">
        <v>8.5033261432351207E-11</v>
      </c>
      <c r="L101" s="156">
        <v>5.999719988713328E-10</v>
      </c>
      <c r="N101" s="18">
        <v>2.9530067992105996E-6</v>
      </c>
      <c r="O101" s="18">
        <v>3.015910585130201E-11</v>
      </c>
      <c r="P101" s="18">
        <v>1.5985418690121882E-12</v>
      </c>
      <c r="Q101" s="28">
        <v>0.36718140925644527</v>
      </c>
      <c r="R101" s="60">
        <v>1186.1733186537303</v>
      </c>
      <c r="S101" s="57">
        <v>1.7170814585075711E-6</v>
      </c>
      <c r="U101" s="127">
        <v>7.5773293879199287E-10</v>
      </c>
      <c r="V101" s="127">
        <v>5.999719988713328E-10</v>
      </c>
      <c r="W101" s="128">
        <v>4.5285112332691119E-10</v>
      </c>
      <c r="X101" s="128">
        <f t="shared" si="2"/>
        <v>6.0263201496539242E-10</v>
      </c>
      <c r="Y101" s="139">
        <f t="shared" si="3"/>
        <v>3.5162560226149981</v>
      </c>
      <c r="AA101" s="73"/>
      <c r="AB101" s="182"/>
      <c r="AC101" s="182"/>
      <c r="AD101" s="182"/>
      <c r="AJ101" s="135"/>
    </row>
    <row r="102" spans="9:36" x14ac:dyDescent="0.35">
      <c r="I102" s="109">
        <v>2.21320050025E-2</v>
      </c>
      <c r="J102" s="109">
        <v>6.2553355172006646E-10</v>
      </c>
      <c r="K102" s="109">
        <v>7.7493657816782183E-11</v>
      </c>
      <c r="L102" s="156">
        <v>5.0338360405232575E-10</v>
      </c>
      <c r="N102" s="18">
        <v>2.8956000645763755E-6</v>
      </c>
      <c r="O102" s="18">
        <v>3.1286692637272319E-11</v>
      </c>
      <c r="P102" s="18">
        <v>1.6244997794083121E-12</v>
      </c>
      <c r="Q102" s="28">
        <v>0.32985484968757195</v>
      </c>
      <c r="R102" s="60">
        <v>1187.5996730297773</v>
      </c>
      <c r="S102" s="57">
        <v>1.7170814585075711E-6</v>
      </c>
      <c r="U102" s="127">
        <v>6.60143143934513E-10</v>
      </c>
      <c r="V102" s="127">
        <v>5.0338360405232575E-10</v>
      </c>
      <c r="W102" s="128">
        <v>3.7430721876109701E-10</v>
      </c>
      <c r="X102" s="128">
        <f t="shared" si="2"/>
        <v>5.1030439270006538E-10</v>
      </c>
      <c r="Y102" s="139">
        <f t="shared" si="3"/>
        <v>2.2110189412764885</v>
      </c>
      <c r="AA102" s="73"/>
      <c r="AB102" s="182"/>
      <c r="AC102" s="182"/>
      <c r="AD102" s="182"/>
      <c r="AJ102" s="135"/>
    </row>
    <row r="103" spans="9:36" x14ac:dyDescent="0.35">
      <c r="I103" s="109">
        <v>2.2353325052600001E-2</v>
      </c>
      <c r="J103" s="109">
        <v>4.1143031993341307E-10</v>
      </c>
      <c r="K103" s="109">
        <v>2.7667461980678358E-11</v>
      </c>
      <c r="L103" s="156">
        <v>4.161823264044264E-10</v>
      </c>
      <c r="N103" s="18">
        <v>2.8378588981738511E-6</v>
      </c>
      <c r="O103" s="18">
        <v>3.242084835361548E-11</v>
      </c>
      <c r="P103" s="18">
        <v>1.6506089116067295E-12</v>
      </c>
      <c r="Q103" s="28">
        <v>0.30511585966628851</v>
      </c>
      <c r="R103" s="60">
        <v>1187.5996730297773</v>
      </c>
      <c r="S103" s="57">
        <v>1.6734132462927559E-6</v>
      </c>
      <c r="U103" s="127">
        <v>5.6131331958705179E-10</v>
      </c>
      <c r="V103" s="127">
        <v>4.161823264044264E-10</v>
      </c>
      <c r="W103" s="128">
        <v>3.1487685642081516E-10</v>
      </c>
      <c r="X103" s="128">
        <f t="shared" si="2"/>
        <v>4.2713870720417996E-10</v>
      </c>
      <c r="Y103" s="139">
        <f t="shared" si="3"/>
        <v>0.32234768513868994</v>
      </c>
      <c r="AA103" s="73"/>
      <c r="AB103" s="182"/>
      <c r="AC103" s="182"/>
      <c r="AD103" s="182"/>
      <c r="AJ103" s="135"/>
    </row>
    <row r="104" spans="9:36" x14ac:dyDescent="0.35">
      <c r="I104" s="109">
        <v>2.2576858303100002E-2</v>
      </c>
      <c r="J104" s="109">
        <v>3.8443270013687752E-10</v>
      </c>
      <c r="K104" s="109">
        <v>2.6449153372407322E-11</v>
      </c>
      <c r="L104" s="156">
        <v>3.4445825529109442E-10</v>
      </c>
      <c r="N104" s="18">
        <v>2.779975947530117E-6</v>
      </c>
      <c r="O104" s="18">
        <v>3.3557789005173389E-11</v>
      </c>
      <c r="P104" s="18">
        <v>1.6767821551442145E-12</v>
      </c>
      <c r="Q104" s="28">
        <v>0.28889548286974742</v>
      </c>
      <c r="R104" s="60">
        <v>1188.6447184495105</v>
      </c>
      <c r="S104" s="57">
        <v>1.6734132462927559E-6</v>
      </c>
      <c r="U104" s="127">
        <v>4.6756707146298559E-10</v>
      </c>
      <c r="V104" s="127">
        <v>3.4445825529109442E-10</v>
      </c>
      <c r="W104" s="128">
        <v>2.7916135603423734E-10</v>
      </c>
      <c r="X104" s="128">
        <f t="shared" si="2"/>
        <v>3.5891123451985296E-10</v>
      </c>
      <c r="Y104" s="139">
        <f t="shared" si="3"/>
        <v>0.93108144488549471</v>
      </c>
      <c r="AA104" s="73"/>
      <c r="AB104" s="182"/>
      <c r="AC104" s="182"/>
      <c r="AD104" s="182"/>
      <c r="AJ104" s="135"/>
    </row>
    <row r="105" spans="9:36" x14ac:dyDescent="0.35">
      <c r="I105" s="109">
        <v>2.2802626886099998E-2</v>
      </c>
      <c r="J105" s="109">
        <v>2.920433416387805E-10</v>
      </c>
      <c r="K105" s="109">
        <v>2.2482805369451593E-11</v>
      </c>
      <c r="L105" s="156">
        <v>2.9349859781402793E-10</v>
      </c>
      <c r="N105" s="18">
        <v>2.7220438833250188E-6</v>
      </c>
      <c r="O105" s="18">
        <v>3.4695694348472758E-11</v>
      </c>
      <c r="P105" s="18">
        <v>1.7029776066235592E-12</v>
      </c>
      <c r="Q105" s="28">
        <v>0.27901782563242211</v>
      </c>
      <c r="R105" s="60">
        <v>1188.6447184495105</v>
      </c>
      <c r="S105" s="57">
        <v>1.6273279904470335E-6</v>
      </c>
      <c r="U105" s="127">
        <v>3.8518567155889537E-10</v>
      </c>
      <c r="V105" s="127">
        <v>2.9349859781402793E-10</v>
      </c>
      <c r="W105" s="128">
        <v>2.7024013262004708E-10</v>
      </c>
      <c r="X105" s="128">
        <f t="shared" si="2"/>
        <v>3.1060574995174959E-10</v>
      </c>
      <c r="Y105" s="139">
        <f t="shared" si="3"/>
        <v>0.6816597348534934</v>
      </c>
      <c r="AA105" s="73"/>
      <c r="AB105" s="182"/>
      <c r="AC105" s="182"/>
      <c r="AD105" s="182"/>
      <c r="AJ105" s="135"/>
    </row>
    <row r="106" spans="9:36" x14ac:dyDescent="0.35">
      <c r="I106" s="109">
        <v>2.3030653155000001E-2</v>
      </c>
      <c r="J106" s="109">
        <v>2.8244180459035393E-10</v>
      </c>
      <c r="K106" s="109">
        <v>2.096253072160268E-11</v>
      </c>
      <c r="L106" s="156">
        <v>2.6735374872778853E-10</v>
      </c>
      <c r="N106" s="18">
        <v>2.6641004859774172E-6</v>
      </c>
      <c r="O106" s="18">
        <v>3.5833822298088476E-11</v>
      </c>
      <c r="P106" s="18">
        <v>1.7291781826705961E-12</v>
      </c>
      <c r="Q106" s="28">
        <v>0.27433079872934468</v>
      </c>
      <c r="R106" s="60">
        <v>1189.4951621055477</v>
      </c>
      <c r="S106" s="57">
        <v>1.6273279904470335E-6</v>
      </c>
      <c r="U106" s="127">
        <v>3.1996941789711449E-10</v>
      </c>
      <c r="V106" s="127">
        <v>2.6735374872778853E-10</v>
      </c>
      <c r="W106" s="128">
        <v>2.8934478221043913E-10</v>
      </c>
      <c r="X106" s="128">
        <f t="shared" si="2"/>
        <v>2.8600542439078269E-10</v>
      </c>
      <c r="Y106" s="139">
        <f t="shared" si="3"/>
        <v>2.8899830957543979E-2</v>
      </c>
      <c r="AA106" s="73"/>
      <c r="AB106" s="182"/>
      <c r="AC106" s="182"/>
      <c r="AD106" s="182"/>
      <c r="AJ106" s="135"/>
    </row>
    <row r="107" spans="9:36" x14ac:dyDescent="0.35">
      <c r="I107" s="109">
        <v>2.32609596865E-2</v>
      </c>
      <c r="J107" s="109">
        <v>2.5569580707425298E-10</v>
      </c>
      <c r="K107" s="109">
        <v>2.1071712517739416E-11</v>
      </c>
      <c r="L107" s="156">
        <v>2.6846071409102798E-10</v>
      </c>
      <c r="N107" s="18">
        <v>2.6061558257850508E-6</v>
      </c>
      <c r="O107" s="18">
        <v>3.6971975052582559E-11</v>
      </c>
      <c r="P107" s="18">
        <v>1.7553793297449081E-12</v>
      </c>
      <c r="Q107" s="28">
        <v>0.27433079872934468</v>
      </c>
      <c r="R107" s="60">
        <v>1189.4951621055477</v>
      </c>
      <c r="S107" s="57">
        <v>1.5800433021437054E-6</v>
      </c>
      <c r="U107" s="127">
        <v>2.767961750052805E-10</v>
      </c>
      <c r="V107" s="127">
        <v>2.6846071409102798E-10</v>
      </c>
      <c r="W107" s="128">
        <v>3.3565124881702425E-10</v>
      </c>
      <c r="X107" s="128">
        <f t="shared" si="2"/>
        <v>2.8734221300109014E-10</v>
      </c>
      <c r="Y107" s="139">
        <f t="shared" si="3"/>
        <v>2.2555326794682991</v>
      </c>
      <c r="AA107" s="73"/>
      <c r="AB107" s="182"/>
      <c r="AC107" s="182"/>
      <c r="AD107" s="182"/>
      <c r="AJ107" s="135"/>
    </row>
    <row r="108" spans="9:36" x14ac:dyDescent="0.35">
      <c r="I108" s="109">
        <v>2.34935692834E-2</v>
      </c>
      <c r="J108" s="109">
        <v>2.8806945247852526E-10</v>
      </c>
      <c r="K108" s="109">
        <v>2.1977809062750383E-11</v>
      </c>
      <c r="L108" s="156">
        <v>2.9735919255678653E-10</v>
      </c>
      <c r="N108" s="18">
        <v>2.5482124284374491E-6</v>
      </c>
      <c r="O108" s="18">
        <v>3.8110103002198277E-11</v>
      </c>
      <c r="P108" s="18">
        <v>1.781579905791945E-12</v>
      </c>
      <c r="Q108" s="28">
        <v>0.27901782563242211</v>
      </c>
      <c r="R108" s="60">
        <v>1190.2295249240606</v>
      </c>
      <c r="S108" s="57">
        <v>1.5800433021437054E-6</v>
      </c>
      <c r="U108" s="127">
        <v>2.5921055333966128E-10</v>
      </c>
      <c r="V108" s="127">
        <v>2.9735919255678653E-10</v>
      </c>
      <c r="W108" s="128">
        <v>4.0621757289600068E-10</v>
      </c>
      <c r="X108" s="128">
        <f t="shared" si="2"/>
        <v>3.1503662783730874E-10</v>
      </c>
      <c r="Y108" s="139">
        <f t="shared" si="3"/>
        <v>1.5055740698701547</v>
      </c>
      <c r="AA108" s="73"/>
      <c r="AB108" s="182"/>
      <c r="AC108" s="182"/>
      <c r="AD108" s="182"/>
      <c r="AJ108" s="135"/>
    </row>
    <row r="109" spans="9:36" x14ac:dyDescent="0.35">
      <c r="I109" s="109">
        <v>2.37285049762E-2</v>
      </c>
      <c r="J109" s="109">
        <v>3.7584033840807326E-10</v>
      </c>
      <c r="K109" s="109">
        <v>2.5640083646706244E-11</v>
      </c>
      <c r="L109" s="156">
        <v>3.5253164050252389E-10</v>
      </c>
      <c r="N109" s="18">
        <v>2.4902803642323509E-6</v>
      </c>
      <c r="O109" s="18">
        <v>3.9248008345497645E-11</v>
      </c>
      <c r="P109" s="18">
        <v>1.8077753572712897E-12</v>
      </c>
      <c r="Q109" s="28">
        <v>0.28889548286974742</v>
      </c>
      <c r="R109" s="60">
        <v>1190.2295249240606</v>
      </c>
      <c r="S109" s="57">
        <v>1.5321661746102485E-6</v>
      </c>
      <c r="U109" s="127">
        <v>2.6907864309383577E-10</v>
      </c>
      <c r="V109" s="127">
        <v>3.5253164050252389E-10</v>
      </c>
      <c r="W109" s="128">
        <v>4.9608517992908924E-10</v>
      </c>
      <c r="X109" s="128">
        <f t="shared" si="2"/>
        <v>3.6755677600699321E-10</v>
      </c>
      <c r="Y109" s="139">
        <f t="shared" si="3"/>
        <v>0.10437474345751725</v>
      </c>
      <c r="AA109" s="73"/>
      <c r="AB109" s="182"/>
      <c r="AC109" s="182"/>
      <c r="AD109" s="182"/>
      <c r="AJ109" s="135"/>
    </row>
    <row r="110" spans="9:36" x14ac:dyDescent="0.35">
      <c r="I110" s="109">
        <v>2.3965790026000001E-2</v>
      </c>
      <c r="J110" s="109">
        <v>5.0447827101528649E-10</v>
      </c>
      <c r="K110" s="109">
        <v>3.0392614175161907E-11</v>
      </c>
      <c r="L110" s="156">
        <v>4.3039151527470087E-10</v>
      </c>
      <c r="N110" s="18">
        <v>2.4323974135886168E-6</v>
      </c>
      <c r="O110" s="18">
        <v>4.0384948997055555E-11</v>
      </c>
      <c r="P110" s="18">
        <v>1.8339486008087749E-12</v>
      </c>
      <c r="Q110" s="28">
        <v>0.30511585966628851</v>
      </c>
      <c r="R110" s="60">
        <v>1190.8892346234356</v>
      </c>
      <c r="S110" s="57">
        <v>1.5321661746102485E-6</v>
      </c>
      <c r="U110" s="127">
        <v>3.0634173643656842E-10</v>
      </c>
      <c r="V110" s="127">
        <v>4.3039151527470087E-10</v>
      </c>
      <c r="W110" s="128">
        <v>5.9854978418746373E-10</v>
      </c>
      <c r="X110" s="128">
        <f t="shared" si="2"/>
        <v>4.4141863779335846E-10</v>
      </c>
      <c r="Y110" s="139">
        <f t="shared" si="3"/>
        <v>4.3049366712973809</v>
      </c>
      <c r="AA110" s="73"/>
      <c r="AB110" s="182"/>
      <c r="AC110" s="182"/>
      <c r="AD110" s="182"/>
      <c r="AJ110" s="135"/>
    </row>
    <row r="111" spans="9:36" x14ac:dyDescent="0.35">
      <c r="I111" s="109">
        <v>2.42054479262E-2</v>
      </c>
      <c r="J111" s="109">
        <v>5.6713870561050478E-10</v>
      </c>
      <c r="K111" s="109">
        <v>3.2497589582857976E-11</v>
      </c>
      <c r="L111" s="156">
        <v>5.2543401899995904E-10</v>
      </c>
      <c r="N111" s="18">
        <v>2.374656247186092E-6</v>
      </c>
      <c r="O111" s="18">
        <v>4.1519104713398716E-11</v>
      </c>
      <c r="P111" s="18">
        <v>1.8600577330071923E-12</v>
      </c>
      <c r="Q111" s="28">
        <v>0.32985484968757195</v>
      </c>
      <c r="R111" s="60">
        <v>1190.8892346234356</v>
      </c>
      <c r="S111" s="57">
        <v>1.4840101315013943E-6</v>
      </c>
      <c r="U111" s="127">
        <v>3.6889789276822211E-10</v>
      </c>
      <c r="V111" s="127">
        <v>5.2543401899995904E-10</v>
      </c>
      <c r="W111" s="128">
        <v>7.0559461156518154E-10</v>
      </c>
      <c r="X111" s="128">
        <f t="shared" si="2"/>
        <v>5.3134013558333049E-10</v>
      </c>
      <c r="Y111" s="139">
        <f t="shared" si="3"/>
        <v>1.2134700420587001</v>
      </c>
      <c r="AA111" s="73"/>
      <c r="AB111" s="182"/>
      <c r="AC111" s="182"/>
      <c r="AD111" s="182"/>
      <c r="AJ111" s="135"/>
    </row>
    <row r="112" spans="9:36" x14ac:dyDescent="0.35">
      <c r="I112" s="109">
        <v>2.4447502405500001E-2</v>
      </c>
      <c r="J112" s="109">
        <v>6.0876015470257381E-10</v>
      </c>
      <c r="K112" s="109">
        <v>3.6699717562609948E-11</v>
      </c>
      <c r="L112" s="156">
        <v>6.3055172298703829E-10</v>
      </c>
      <c r="N112" s="18">
        <v>2.3172495125518683E-6</v>
      </c>
      <c r="O112" s="18">
        <v>4.2646691499369025E-11</v>
      </c>
      <c r="P112" s="18">
        <v>1.8860156434033162E-12</v>
      </c>
      <c r="Q112" s="28">
        <v>0.36718140925644527</v>
      </c>
      <c r="R112" s="60">
        <v>1191.4994663427683</v>
      </c>
      <c r="S112" s="57">
        <v>1.4840101315013943E-6</v>
      </c>
      <c r="U112" s="127">
        <v>4.5263267012710956E-10</v>
      </c>
      <c r="V112" s="127">
        <v>6.3055172298703829E-10</v>
      </c>
      <c r="W112" s="128">
        <v>8.0846473170785117E-10</v>
      </c>
      <c r="X112" s="128">
        <f t="shared" si="2"/>
        <v>6.3055021195225933E-10</v>
      </c>
      <c r="Y112" s="139">
        <f t="shared" si="3"/>
        <v>0.35252611802130279</v>
      </c>
      <c r="AA112" s="73"/>
      <c r="AB112" s="182"/>
      <c r="AC112" s="182"/>
      <c r="AD112" s="182"/>
      <c r="AJ112" s="135"/>
    </row>
    <row r="113" spans="9:36" x14ac:dyDescent="0.35">
      <c r="I113" s="109">
        <v>2.4691977429599998E-2</v>
      </c>
      <c r="J113" s="109">
        <v>7.2802640031110977E-10</v>
      </c>
      <c r="K113" s="109">
        <v>4.0651028717392712E-11</v>
      </c>
      <c r="L113" s="156">
        <v>7.3750426422358849E-10</v>
      </c>
      <c r="N113" s="18">
        <v>2.2605531380295192E-6</v>
      </c>
      <c r="O113" s="18">
        <v>4.3760325346184482E-11</v>
      </c>
      <c r="P113" s="18">
        <v>1.9116523464663543E-12</v>
      </c>
      <c r="Q113" s="28">
        <v>0.42522182801861985</v>
      </c>
      <c r="R113" s="60">
        <v>1191.4994663427683</v>
      </c>
      <c r="S113" s="57">
        <v>1.4357358405555597E-6</v>
      </c>
      <c r="U113" s="127">
        <v>5.516102979769709E-10</v>
      </c>
      <c r="V113" s="127">
        <v>7.3750426422358849E-10</v>
      </c>
      <c r="W113" s="128">
        <v>8.983477681186204E-10</v>
      </c>
      <c r="X113" s="128">
        <f t="shared" si="2"/>
        <v>7.312416486356921E-10</v>
      </c>
      <c r="Y113" s="139">
        <f t="shared" si="3"/>
        <v>6.2558447226797008E-3</v>
      </c>
      <c r="AA113" s="73"/>
      <c r="AB113" s="182"/>
      <c r="AC113" s="182"/>
      <c r="AD113" s="182"/>
      <c r="AJ113" s="135"/>
    </row>
    <row r="114" spans="9:36" x14ac:dyDescent="0.35">
      <c r="I114" s="109">
        <v>2.4938897203899999E-2</v>
      </c>
      <c r="J114" s="109">
        <v>8.3068482744259586E-10</v>
      </c>
      <c r="K114" s="109">
        <v>4.4863301681166161E-11</v>
      </c>
      <c r="L114" s="156">
        <v>8.3751777351092366E-10</v>
      </c>
      <c r="N114" s="18">
        <v>2.2052949345995633E-6</v>
      </c>
      <c r="O114" s="18">
        <v>4.4845710543602274E-11</v>
      </c>
      <c r="P114" s="18">
        <v>1.9366387440105623E-12</v>
      </c>
      <c r="Q114" s="28">
        <v>0.52252270986663085</v>
      </c>
      <c r="R114" s="60">
        <v>1192.0772573085078</v>
      </c>
      <c r="S114" s="57">
        <v>1.4357358405555597E-6</v>
      </c>
      <c r="U114" s="127">
        <v>6.5842466177302407E-10</v>
      </c>
      <c r="V114" s="127">
        <v>8.3751777351092366E-10</v>
      </c>
      <c r="W114" s="128">
        <v>9.6711404324242391E-10</v>
      </c>
      <c r="X114" s="128">
        <f t="shared" si="2"/>
        <v>8.2514356300932385E-10</v>
      </c>
      <c r="Y114" s="139">
        <f t="shared" si="3"/>
        <v>1.5255810553960128E-2</v>
      </c>
      <c r="AA114" s="73"/>
      <c r="AB114" s="182"/>
      <c r="AC114" s="182"/>
      <c r="AD114" s="182"/>
      <c r="AJ114" s="135"/>
    </row>
    <row r="115" spans="9:36" x14ac:dyDescent="0.35">
      <c r="I115" s="109">
        <v>2.51882861759E-2</v>
      </c>
      <c r="J115" s="109">
        <v>8.5663697600174655E-10</v>
      </c>
      <c r="K115" s="109">
        <v>4.478327012763245E-11</v>
      </c>
      <c r="L115" s="156">
        <v>9.2197671802155274E-10</v>
      </c>
      <c r="N115" s="18">
        <v>2.1529348704162E-6</v>
      </c>
      <c r="O115" s="18">
        <v>4.5874170302930228E-11</v>
      </c>
      <c r="P115" s="18">
        <v>1.9603146744230327E-12</v>
      </c>
      <c r="Q115" s="28">
        <v>0.71317718802348939</v>
      </c>
      <c r="R115" s="60">
        <v>1192.0772573085078</v>
      </c>
      <c r="S115" s="57">
        <v>1.3874205889758196E-6</v>
      </c>
      <c r="U115" s="127">
        <v>7.6469650155394199E-10</v>
      </c>
      <c r="V115" s="127">
        <v>9.2197671802155274E-10</v>
      </c>
      <c r="W115" s="128">
        <v>1.0080592029238484E-9</v>
      </c>
      <c r="X115" s="128">
        <f t="shared" si="2"/>
        <v>9.0417728513022395E-10</v>
      </c>
      <c r="Y115" s="139">
        <f t="shared" si="3"/>
        <v>1.1269182094744794</v>
      </c>
      <c r="AA115" s="73"/>
      <c r="AB115" s="182"/>
      <c r="AC115" s="182"/>
      <c r="AD115" s="182"/>
      <c r="AJ115" s="135"/>
    </row>
    <row r="116" spans="9:36" x14ac:dyDescent="0.35">
      <c r="I116" s="109">
        <v>2.5440169037600002E-2</v>
      </c>
      <c r="J116" s="109">
        <v>9.1900907009845652E-10</v>
      </c>
      <c r="K116" s="109">
        <v>4.655148123967615E-11</v>
      </c>
      <c r="L116" s="156">
        <v>9.8315932168836912E-10</v>
      </c>
      <c r="N116" s="18">
        <v>2.1066620967876981E-6</v>
      </c>
      <c r="O116" s="18">
        <v>4.6783063108384949E-11</v>
      </c>
      <c r="P116" s="18">
        <v>1.9812380820908275E-12</v>
      </c>
      <c r="Q116" s="28">
        <v>1.281588875373888</v>
      </c>
      <c r="R116" s="60">
        <v>1192.6352929597726</v>
      </c>
      <c r="S116" s="57">
        <v>1.3874205889758196E-6</v>
      </c>
      <c r="U116" s="127">
        <v>8.6169006058725595E-10</v>
      </c>
      <c r="V116" s="127">
        <v>9.8315932168836912E-10</v>
      </c>
      <c r="W116" s="128">
        <v>1.0165854917695816E-9</v>
      </c>
      <c r="X116" s="128">
        <f t="shared" si="2"/>
        <v>9.6114854893339391E-10</v>
      </c>
      <c r="Y116" s="139">
        <f t="shared" si="3"/>
        <v>0.81942896490755013</v>
      </c>
      <c r="AA116" s="73"/>
      <c r="AB116" s="182"/>
      <c r="AC116" s="182"/>
      <c r="AD116" s="182"/>
      <c r="AJ116" s="135"/>
    </row>
    <row r="117" spans="9:36" x14ac:dyDescent="0.35">
      <c r="I117" s="109">
        <v>2.5694570728E-2</v>
      </c>
      <c r="J117" s="109">
        <v>9.1639839585463582E-10</v>
      </c>
      <c r="K117" s="109">
        <v>4.6326773474429784E-11</v>
      </c>
      <c r="L117" s="156">
        <v>1.0149585742253813E-9</v>
      </c>
      <c r="N117" s="18">
        <v>2.0746759435207884E-6</v>
      </c>
      <c r="O117" s="18">
        <v>4.7411337194824393E-11</v>
      </c>
      <c r="P117" s="18">
        <v>1.995701432178748E-12</v>
      </c>
      <c r="Q117" s="28">
        <v>1.7210815880741237</v>
      </c>
      <c r="R117" s="60">
        <v>1192.6352929597726</v>
      </c>
      <c r="S117" s="57">
        <v>1.3390958855728321E-6</v>
      </c>
      <c r="U117" s="127">
        <v>9.4100993727237398E-10</v>
      </c>
      <c r="V117" s="127">
        <v>1.0149585742253813E-9</v>
      </c>
      <c r="W117" s="128">
        <v>9.9075512414559056E-10</v>
      </c>
      <c r="X117" s="128">
        <f t="shared" si="2"/>
        <v>9.9042055246718172E-10</v>
      </c>
      <c r="Y117" s="139">
        <f t="shared" si="3"/>
        <v>2.5530502343002754</v>
      </c>
      <c r="AA117" s="73"/>
      <c r="AB117" s="182"/>
      <c r="AC117" s="182"/>
      <c r="AD117" s="182"/>
      <c r="AJ117" s="135"/>
    </row>
    <row r="118" spans="9:36" x14ac:dyDescent="0.35">
      <c r="I118" s="109">
        <v>2.5951516435299998E-2</v>
      </c>
      <c r="J118" s="109">
        <v>9.5988156020371734E-10</v>
      </c>
      <c r="K118" s="109">
        <v>4.7989113016231971E-11</v>
      </c>
      <c r="L118" s="156">
        <v>1.013525018955497E-9</v>
      </c>
      <c r="N118" s="18">
        <v>2.0702563117624681E-6</v>
      </c>
      <c r="O118" s="18">
        <v>4.7498147887006942E-11</v>
      </c>
      <c r="P118" s="18">
        <v>1.9976998807213682E-12</v>
      </c>
      <c r="Q118" s="28">
        <v>100</v>
      </c>
      <c r="R118" s="60">
        <v>1193.1839545572313</v>
      </c>
      <c r="S118" s="57">
        <v>1.3390958855728321E-6</v>
      </c>
      <c r="U118" s="127">
        <v>9.9532798942364046E-10</v>
      </c>
      <c r="V118" s="127">
        <v>1.013525018955497E-9</v>
      </c>
      <c r="W118" s="128">
        <v>9.3165168112946965E-10</v>
      </c>
      <c r="X118" s="128">
        <f t="shared" si="2"/>
        <v>9.8850742711602596E-10</v>
      </c>
      <c r="Y118" s="139">
        <f t="shared" si="3"/>
        <v>0.35582122439967445</v>
      </c>
      <c r="AA118" s="73"/>
      <c r="AB118" s="182"/>
      <c r="AC118" s="182"/>
      <c r="AD118" s="182"/>
      <c r="AJ118" s="135"/>
    </row>
    <row r="119" spans="9:36" x14ac:dyDescent="0.35">
      <c r="I119" s="109">
        <v>2.6211031599700001E-2</v>
      </c>
      <c r="J119" s="109">
        <v>9.3601339362960231E-10</v>
      </c>
      <c r="K119" s="109">
        <v>4.9061481243911909E-11</v>
      </c>
      <c r="L119" s="156">
        <v>9.7776605410064636E-10</v>
      </c>
      <c r="R119" s="60">
        <v>1193.1839545572313</v>
      </c>
      <c r="S119" s="57">
        <v>1.3048801943180231E-6</v>
      </c>
      <c r="U119" s="127">
        <v>1.0190817452816401E-9</v>
      </c>
      <c r="V119" s="127">
        <v>9.7776605410064636E-10</v>
      </c>
      <c r="W119" s="128">
        <v>8.4349416639614283E-10</v>
      </c>
      <c r="X119" s="128">
        <f t="shared" si="2"/>
        <v>9.5452700496976883E-10</v>
      </c>
      <c r="Y119" s="139">
        <f t="shared" si="3"/>
        <v>0.14239704346544949</v>
      </c>
      <c r="AA119" s="73"/>
      <c r="AB119" s="182"/>
      <c r="AC119" s="182"/>
      <c r="AD119" s="182"/>
      <c r="AJ119" s="135"/>
    </row>
    <row r="120" spans="9:36" x14ac:dyDescent="0.35">
      <c r="I120" s="109">
        <v>2.6473141915700001E-2</v>
      </c>
      <c r="J120" s="109">
        <v>8.2087937069910767E-10</v>
      </c>
      <c r="K120" s="109">
        <v>4.4562211294547096E-11</v>
      </c>
      <c r="L120" s="156">
        <v>9.0964044171456019E-10</v>
      </c>
      <c r="R120" s="60">
        <v>1193.4112272845041</v>
      </c>
      <c r="S120" s="57">
        <v>1.3048801943180231E-6</v>
      </c>
      <c r="U120" s="127">
        <v>1.0090808780727103E-9</v>
      </c>
      <c r="V120" s="127">
        <v>9.0964044171456019E-10</v>
      </c>
      <c r="W120" s="128">
        <v>7.3346398907451048E-10</v>
      </c>
      <c r="X120" s="128">
        <f t="shared" si="2"/>
        <v>8.9045643764408529E-10</v>
      </c>
      <c r="Y120" s="139">
        <f t="shared" si="3"/>
        <v>2.4378038956925043</v>
      </c>
      <c r="AA120" s="73"/>
      <c r="AB120" s="182"/>
      <c r="AC120" s="182"/>
      <c r="AD120" s="182"/>
      <c r="AJ120" s="135"/>
    </row>
    <row r="121" spans="9:36" x14ac:dyDescent="0.35">
      <c r="I121" s="109">
        <v>2.6737873334799999E-2</v>
      </c>
      <c r="J121" s="109">
        <v>7.253640097791999E-10</v>
      </c>
      <c r="K121" s="109">
        <v>4.2218005619793659E-11</v>
      </c>
      <c r="L121" s="156">
        <v>8.1419701635147155E-10</v>
      </c>
      <c r="R121" s="60">
        <v>1193.4112272845041</v>
      </c>
      <c r="S121" s="57">
        <v>1.2747867412471768E-6</v>
      </c>
      <c r="U121" s="127">
        <v>9.6495794536402977E-10</v>
      </c>
      <c r="V121" s="127">
        <v>8.1419701635147155E-10</v>
      </c>
      <c r="W121" s="128">
        <v>6.1122781390855271E-10</v>
      </c>
      <c r="X121" s="128">
        <f t="shared" si="2"/>
        <v>8.0114494799388137E-10</v>
      </c>
      <c r="Y121" s="139">
        <f t="shared" si="3"/>
        <v>3.2219925275975121</v>
      </c>
      <c r="AA121" s="73"/>
      <c r="AB121" s="182"/>
      <c r="AC121" s="182"/>
      <c r="AD121" s="182"/>
      <c r="AJ121" s="135"/>
    </row>
    <row r="122" spans="9:36" x14ac:dyDescent="0.35">
      <c r="I122" s="109">
        <v>2.7005252068200002E-2</v>
      </c>
      <c r="J122" s="109">
        <v>7.1229694434898151E-10</v>
      </c>
      <c r="K122" s="109">
        <v>4.4315577850205432E-11</v>
      </c>
      <c r="L122" s="156">
        <v>6.9932376978468991E-10</v>
      </c>
      <c r="R122" s="60">
        <v>1193.8657727390496</v>
      </c>
      <c r="S122" s="57">
        <v>1.2747867412471768E-6</v>
      </c>
      <c r="U122" s="127">
        <v>8.8940479815570273E-10</v>
      </c>
      <c r="V122" s="127">
        <v>6.9932376978468991E-10</v>
      </c>
      <c r="W122" s="128">
        <v>4.8816808650574978E-10</v>
      </c>
      <c r="X122" s="128">
        <f t="shared" si="2"/>
        <v>6.9405510605770819E-10</v>
      </c>
      <c r="Y122" s="139">
        <f t="shared" si="3"/>
        <v>0.1694432878227346</v>
      </c>
      <c r="AA122" s="73"/>
      <c r="AB122" s="182"/>
      <c r="AC122" s="182"/>
      <c r="AD122" s="182"/>
      <c r="AJ122" s="135"/>
    </row>
    <row r="123" spans="9:36" x14ac:dyDescent="0.35">
      <c r="I123" s="109">
        <v>2.7275304588799999E-2</v>
      </c>
      <c r="J123" s="109">
        <v>6.313828597920876E-10</v>
      </c>
      <c r="K123" s="109">
        <v>4.19377146195371E-11</v>
      </c>
      <c r="L123" s="156">
        <v>5.7519742214239202E-10</v>
      </c>
      <c r="R123" s="60">
        <v>1193.8657727390496</v>
      </c>
      <c r="S123" s="57">
        <v>1.2351030637209187E-6</v>
      </c>
      <c r="U123" s="127">
        <v>7.8814766047318901E-10</v>
      </c>
      <c r="V123" s="127">
        <v>5.7519742214239202E-10</v>
      </c>
      <c r="W123" s="128">
        <v>3.7636605459506181E-10</v>
      </c>
      <c r="X123" s="128">
        <f t="shared" si="2"/>
        <v>5.7872713983825879E-10</v>
      </c>
      <c r="Y123" s="139">
        <f t="shared" si="3"/>
        <v>1.5764550434409854</v>
      </c>
      <c r="AA123" s="73"/>
      <c r="AB123" s="182"/>
      <c r="AC123" s="182"/>
      <c r="AD123" s="182"/>
      <c r="AJ123" s="135"/>
    </row>
    <row r="124" spans="9:36" x14ac:dyDescent="0.35">
      <c r="I124" s="109">
        <v>2.7548057634700002E-2</v>
      </c>
      <c r="J124" s="109">
        <v>4.4334285961054808E-10</v>
      </c>
      <c r="K124" s="109">
        <v>3.4230679976010088E-11</v>
      </c>
      <c r="L124" s="156">
        <v>4.5345314344370731E-10</v>
      </c>
      <c r="R124" s="60">
        <v>1194.3203181935951</v>
      </c>
      <c r="S124" s="57">
        <v>1.2351030637209187E-6</v>
      </c>
      <c r="U124" s="127">
        <v>6.6963225675071795E-10</v>
      </c>
      <c r="V124" s="127">
        <v>4.5345314344370731E-10</v>
      </c>
      <c r="W124" s="128">
        <v>2.8741595268531528E-10</v>
      </c>
      <c r="X124" s="128">
        <f t="shared" si="2"/>
        <v>4.6598862408086196E-10</v>
      </c>
      <c r="Y124" s="139">
        <f t="shared" si="3"/>
        <v>0.4376661106152086</v>
      </c>
      <c r="AA124" s="73"/>
      <c r="AB124" s="182"/>
      <c r="AC124" s="182"/>
      <c r="AD124" s="182"/>
      <c r="AJ124" s="135"/>
    </row>
    <row r="125" spans="9:36" x14ac:dyDescent="0.35">
      <c r="I125" s="109">
        <v>2.78235382111E-2</v>
      </c>
      <c r="J125" s="109">
        <v>3.6611535241476436E-10</v>
      </c>
      <c r="K125" s="109">
        <v>3.3543950874545905E-11</v>
      </c>
      <c r="L125" s="156">
        <v>3.4612695297327154E-10</v>
      </c>
      <c r="R125" s="60">
        <v>1194.3203181935951</v>
      </c>
      <c r="S125" s="57">
        <v>1.1963381169359111E-6</v>
      </c>
      <c r="U125" s="127">
        <v>5.4441517891548609E-10</v>
      </c>
      <c r="V125" s="127">
        <v>3.4612695297327154E-10</v>
      </c>
      <c r="W125" s="128">
        <v>2.3117936394736993E-10</v>
      </c>
      <c r="X125" s="128">
        <f t="shared" si="2"/>
        <v>3.6696211220234975E-10</v>
      </c>
      <c r="Y125" s="139">
        <f t="shared" si="3"/>
        <v>6.3722385244332515E-4</v>
      </c>
      <c r="AA125" s="73"/>
      <c r="AB125" s="182"/>
      <c r="AC125" s="182"/>
      <c r="AD125" s="182"/>
      <c r="AJ125" s="135"/>
    </row>
    <row r="126" spans="9:36" x14ac:dyDescent="0.35">
      <c r="I126" s="109">
        <v>2.81017735932E-2</v>
      </c>
      <c r="J126" s="109">
        <v>3.8064667056652879E-10</v>
      </c>
      <c r="K126" s="109">
        <v>3.3549964545265267E-11</v>
      </c>
      <c r="L126" s="156">
        <v>2.6445599878706738E-10</v>
      </c>
      <c r="R126" s="60">
        <v>1194.7748636481406</v>
      </c>
      <c r="S126" s="57">
        <v>1.1963381169359111E-6</v>
      </c>
      <c r="U126" s="127">
        <v>4.2428757587954894E-10</v>
      </c>
      <c r="V126" s="127">
        <v>2.6445599878706738E-10</v>
      </c>
      <c r="W126" s="128">
        <v>2.1461078796376878E-10</v>
      </c>
      <c r="X126" s="128">
        <f t="shared" si="2"/>
        <v>2.9195259035436311E-10</v>
      </c>
      <c r="Y126" s="139">
        <f t="shared" si="3"/>
        <v>6.9888406353165786</v>
      </c>
      <c r="AA126" s="73"/>
      <c r="AB126" s="182"/>
      <c r="AC126" s="182"/>
      <c r="AD126" s="182"/>
      <c r="AJ126" s="135"/>
    </row>
    <row r="127" spans="9:36" x14ac:dyDescent="0.35">
      <c r="I127" s="109">
        <v>2.8382791329100002E-2</v>
      </c>
      <c r="J127" s="109">
        <v>3.1035805992670662E-10</v>
      </c>
      <c r="K127" s="109">
        <v>3.1504816699265767E-11</v>
      </c>
      <c r="L127" s="156">
        <v>2.176500534047762E-10</v>
      </c>
      <c r="R127" s="60">
        <v>1194.7748636481406</v>
      </c>
      <c r="S127" s="57">
        <v>1.158929795454588E-6</v>
      </c>
      <c r="U127" s="127">
        <v>3.2118971538609816E-10</v>
      </c>
      <c r="V127" s="127">
        <v>2.176500534047762E-10</v>
      </c>
      <c r="W127" s="128">
        <v>2.4079462246641649E-10</v>
      </c>
      <c r="X127" s="128">
        <f t="shared" si="2"/>
        <v>2.4932111116551677E-10</v>
      </c>
      <c r="Y127" s="139">
        <f t="shared" si="3"/>
        <v>3.7534593419477762</v>
      </c>
      <c r="AA127" s="73"/>
      <c r="AB127" s="182"/>
      <c r="AC127" s="182"/>
      <c r="AD127" s="182"/>
      <c r="AJ127" s="135"/>
    </row>
    <row r="128" spans="9:36" x14ac:dyDescent="0.35">
      <c r="I128" s="109">
        <v>2.86666192424E-2</v>
      </c>
      <c r="J128" s="109">
        <v>2.8138931686933528E-10</v>
      </c>
      <c r="K128" s="109">
        <v>2.9729480814399865E-11</v>
      </c>
      <c r="L128" s="156">
        <v>2.1176649050569556E-10</v>
      </c>
      <c r="R128" s="60">
        <v>1195.2294091026861</v>
      </c>
      <c r="S128" s="57">
        <v>1.158929795454588E-6</v>
      </c>
      <c r="U128" s="127">
        <v>2.4600641954664034E-10</v>
      </c>
      <c r="V128" s="127">
        <v>2.1176649050569556E-10</v>
      </c>
      <c r="W128" s="128">
        <v>3.0832676366365464E-10</v>
      </c>
      <c r="X128" s="128">
        <f t="shared" ref="X128:X191" si="4">(U128+2*V128+W128)/4</f>
        <v>2.4446654105542154E-10</v>
      </c>
      <c r="Y128" s="139">
        <f t="shared" ref="Y128:Y191" si="5">(J128-X128)*(J128-X128)/(K128*K128)</f>
        <v>1.5424604491657561</v>
      </c>
      <c r="AA128" s="73"/>
      <c r="AB128" s="182"/>
      <c r="AC128" s="182"/>
      <c r="AD128" s="182"/>
      <c r="AJ128" s="135"/>
    </row>
    <row r="129" spans="9:36" x14ac:dyDescent="0.35">
      <c r="I129" s="109">
        <v>2.89532854348E-2</v>
      </c>
      <c r="J129" s="109">
        <v>3.4523349790482087E-10</v>
      </c>
      <c r="K129" s="109">
        <v>3.4040635276906236E-11</v>
      </c>
      <c r="L129" s="156">
        <v>2.4882655897780844E-10</v>
      </c>
      <c r="R129" s="60">
        <v>1195.2294091026861</v>
      </c>
      <c r="S129" s="57">
        <v>1.1233026335459727E-6</v>
      </c>
      <c r="U129" s="127">
        <v>2.0735948286852413E-10</v>
      </c>
      <c r="V129" s="127">
        <v>2.4882655897780844E-10</v>
      </c>
      <c r="W129" s="128">
        <v>4.1114942002410376E-10</v>
      </c>
      <c r="X129" s="128">
        <f t="shared" si="4"/>
        <v>2.7904050521206117E-10</v>
      </c>
      <c r="Y129" s="139">
        <f t="shared" si="5"/>
        <v>3.7811919143167305</v>
      </c>
      <c r="AA129" s="73"/>
      <c r="AB129" s="182"/>
      <c r="AC129" s="182"/>
      <c r="AD129" s="182"/>
      <c r="AJ129" s="135"/>
    </row>
    <row r="130" spans="9:36" x14ac:dyDescent="0.35">
      <c r="I130" s="109">
        <v>2.9242818289200001E-2</v>
      </c>
      <c r="J130" s="109">
        <v>3.5744761040645845E-10</v>
      </c>
      <c r="K130" s="109">
        <v>3.6393626273352214E-11</v>
      </c>
      <c r="L130" s="156">
        <v>3.2630006590349902E-10</v>
      </c>
      <c r="R130" s="60">
        <v>1195.6839545572316</v>
      </c>
      <c r="S130" s="57">
        <v>1.1233026335459727E-6</v>
      </c>
      <c r="U130" s="127">
        <v>2.1052947374642994E-10</v>
      </c>
      <c r="V130" s="127">
        <v>3.2630006590349902E-10</v>
      </c>
      <c r="W130" s="127">
        <v>5.3890642899757815E-10</v>
      </c>
      <c r="X130" s="128">
        <f t="shared" si="4"/>
        <v>3.505090086377515E-10</v>
      </c>
      <c r="Y130" s="139">
        <f t="shared" si="5"/>
        <v>3.6349066583357868E-2</v>
      </c>
      <c r="AA130" s="73"/>
      <c r="AB130" s="182"/>
      <c r="AC130" s="182"/>
      <c r="AD130" s="182"/>
      <c r="AJ130" s="135"/>
    </row>
    <row r="131" spans="9:36" x14ac:dyDescent="0.35">
      <c r="I131" s="109">
        <v>2.9535246472099999E-2</v>
      </c>
      <c r="J131" s="49">
        <v>5.3971227054069443E-10</v>
      </c>
      <c r="K131" s="49">
        <v>4.3140742688275676E-11</v>
      </c>
      <c r="L131" s="156">
        <v>4.3705767957306328E-10</v>
      </c>
      <c r="R131" s="60">
        <v>1195.6839545572316</v>
      </c>
      <c r="S131" s="57">
        <v>1.0898841998595611E-6</v>
      </c>
      <c r="U131" s="127">
        <v>2.5664193085533326E-10</v>
      </c>
      <c r="V131" s="127">
        <v>4.3705767957306328E-10</v>
      </c>
      <c r="W131" s="127">
        <v>6.7783161930054414E-10</v>
      </c>
      <c r="X131" s="128">
        <f t="shared" si="4"/>
        <v>4.5214722732550102E-10</v>
      </c>
      <c r="Y131" s="139">
        <f t="shared" si="5"/>
        <v>4.1198964243639598</v>
      </c>
      <c r="AA131" s="73"/>
      <c r="AB131" s="182"/>
      <c r="AC131" s="182"/>
      <c r="AD131" s="182"/>
      <c r="AJ131" s="135"/>
    </row>
    <row r="132" spans="9:36" x14ac:dyDescent="0.35">
      <c r="I132" s="109">
        <v>2.9830598936799999E-2</v>
      </c>
      <c r="J132" s="49">
        <v>5.8784367225409676E-10</v>
      </c>
      <c r="K132" s="49">
        <v>4.6758061615671881E-11</v>
      </c>
      <c r="L132" s="156">
        <v>5.6984630514808501E-10</v>
      </c>
      <c r="R132" s="60">
        <v>1196.1385000117771</v>
      </c>
      <c r="S132" s="57">
        <v>1.0898841998595611E-6</v>
      </c>
      <c r="U132" s="127">
        <v>3.4223938892197947E-10</v>
      </c>
      <c r="V132" s="127">
        <v>5.6984630514808501E-10</v>
      </c>
      <c r="W132" s="127">
        <v>8.1211981253074881E-10</v>
      </c>
      <c r="X132" s="128">
        <f t="shared" si="4"/>
        <v>5.735129529372246E-10</v>
      </c>
      <c r="Y132" s="139">
        <f t="shared" si="5"/>
        <v>9.3934035844458807E-2</v>
      </c>
      <c r="AA132" s="73"/>
      <c r="AB132" s="182"/>
      <c r="AC132" s="182"/>
      <c r="AD132" s="182"/>
      <c r="AJ132" s="135"/>
    </row>
    <row r="133" spans="9:36" x14ac:dyDescent="0.35">
      <c r="I133" s="109">
        <v>3.01289049262E-2</v>
      </c>
      <c r="J133" s="49">
        <v>7.3969021075857204E-10</v>
      </c>
      <c r="K133" s="49">
        <v>5.3554019407969386E-11</v>
      </c>
      <c r="L133" s="156">
        <v>7.1028692720937304E-10</v>
      </c>
      <c r="R133" s="60">
        <v>1196.1385000117771</v>
      </c>
      <c r="S133" s="57">
        <v>1.059142670671897E-6</v>
      </c>
      <c r="U133" s="127">
        <v>4.5933033861358152E-10</v>
      </c>
      <c r="V133" s="127">
        <v>7.1028692720937304E-10</v>
      </c>
      <c r="W133" s="127">
        <v>9.2566552251684443E-10</v>
      </c>
      <c r="X133" s="128">
        <f t="shared" si="4"/>
        <v>7.0139242888729294E-10</v>
      </c>
      <c r="Y133" s="139">
        <f t="shared" si="5"/>
        <v>0.5114027972988342</v>
      </c>
      <c r="AA133" s="73"/>
      <c r="AB133" s="182"/>
      <c r="AC133" s="182"/>
      <c r="AD133" s="182"/>
      <c r="AJ133" s="135"/>
    </row>
    <row r="134" spans="9:36" x14ac:dyDescent="0.35">
      <c r="I134" s="109">
        <v>3.0430193975400002E-2</v>
      </c>
      <c r="J134" s="49">
        <v>9.0846523024383777E-10</v>
      </c>
      <c r="K134" s="49">
        <v>6.2329340375510051E-11</v>
      </c>
      <c r="L134" s="156">
        <v>8.4233135663282978E-10</v>
      </c>
      <c r="R134" s="60">
        <v>1196.5930454663226</v>
      </c>
      <c r="S134" s="57">
        <v>1.059142670671897E-6</v>
      </c>
      <c r="U134" s="127">
        <v>5.9596077869711044E-10</v>
      </c>
      <c r="V134" s="127">
        <v>8.4233135663282978E-10</v>
      </c>
      <c r="W134" s="127">
        <v>1.0039956512840047E-9</v>
      </c>
      <c r="X134" s="128">
        <f t="shared" si="4"/>
        <v>8.2115478581169364E-10</v>
      </c>
      <c r="Y134" s="139">
        <f t="shared" si="5"/>
        <v>1.9622183652030285</v>
      </c>
      <c r="AA134" s="73"/>
      <c r="AB134" s="182"/>
      <c r="AC134" s="182"/>
      <c r="AD134" s="182"/>
      <c r="AJ134" s="135"/>
    </row>
    <row r="135" spans="9:36" x14ac:dyDescent="0.35">
      <c r="I135" s="109">
        <v>3.07344959152E-2</v>
      </c>
      <c r="J135" s="49">
        <v>8.9181095208985407E-10</v>
      </c>
      <c r="K135" s="49">
        <v>6.3127343378735905E-11</v>
      </c>
      <c r="L135" s="156">
        <v>9.5005113378314477E-10</v>
      </c>
      <c r="R135" s="60">
        <v>1196.5930454663226</v>
      </c>
      <c r="S135" s="57">
        <v>1.031652525498408E-6</v>
      </c>
      <c r="U135" s="127">
        <v>7.3729721192827465E-10</v>
      </c>
      <c r="V135" s="127">
        <v>9.5005113378314477E-10</v>
      </c>
      <c r="W135" s="127">
        <v>1.0361770308459124E-9</v>
      </c>
      <c r="X135" s="128">
        <f t="shared" si="4"/>
        <v>9.1839412758511916E-10</v>
      </c>
      <c r="Y135" s="139">
        <f t="shared" si="5"/>
        <v>0.17732856132681982</v>
      </c>
      <c r="AA135" s="73"/>
      <c r="AB135" s="182"/>
      <c r="AC135" s="182"/>
      <c r="AD135" s="182"/>
      <c r="AJ135" s="135"/>
    </row>
    <row r="136" spans="9:36" x14ac:dyDescent="0.35">
      <c r="I136" s="109">
        <v>3.1041840874300002E-2</v>
      </c>
      <c r="J136" s="49">
        <v>9.4869464193757479E-10</v>
      </c>
      <c r="K136" s="49">
        <v>6.3692950023711596E-11</v>
      </c>
      <c r="L136" s="156">
        <v>1.0195757630294326E-9</v>
      </c>
      <c r="R136" s="60">
        <v>1197.0475909208681</v>
      </c>
      <c r="S136" s="57">
        <v>1.031652525498408E-6</v>
      </c>
      <c r="U136" s="127">
        <v>8.6714725772440643E-10</v>
      </c>
      <c r="V136" s="127">
        <v>1.0195757630294326E-9</v>
      </c>
      <c r="W136" s="127">
        <v>1.016454757212092E-9</v>
      </c>
      <c r="X136" s="128">
        <f t="shared" si="4"/>
        <v>9.8068838524884094E-10</v>
      </c>
      <c r="Y136" s="139">
        <f t="shared" si="5"/>
        <v>0.25231750621136662</v>
      </c>
      <c r="AA136" s="73"/>
      <c r="AB136" s="182"/>
      <c r="AC136" s="182"/>
      <c r="AD136" s="182"/>
      <c r="AJ136" s="135"/>
    </row>
    <row r="137" spans="9:36" x14ac:dyDescent="0.35">
      <c r="I137" s="109">
        <v>3.1352259283100002E-2</v>
      </c>
      <c r="J137" s="49">
        <v>9.2839842978318795E-10</v>
      </c>
      <c r="K137" s="49">
        <v>6.3645798733494601E-11</v>
      </c>
      <c r="L137" s="156">
        <v>1.0409559673420562E-9</v>
      </c>
      <c r="R137" s="60">
        <v>1197.0475909208681</v>
      </c>
      <c r="S137" s="57">
        <v>1.008192924655697E-6</v>
      </c>
      <c r="U137" s="127">
        <v>9.697821993904438E-10</v>
      </c>
      <c r="V137" s="127">
        <v>1.0409559673420562E-9</v>
      </c>
      <c r="W137" s="127">
        <v>9.4537932462928545E-10</v>
      </c>
      <c r="X137" s="128">
        <f t="shared" si="4"/>
        <v>9.9926836467596033E-10</v>
      </c>
      <c r="Y137" s="139">
        <f t="shared" si="5"/>
        <v>1.2398940769320084</v>
      </c>
      <c r="AA137" s="73"/>
      <c r="AB137" s="182"/>
      <c r="AC137" s="182"/>
      <c r="AD137" s="182"/>
      <c r="AJ137" s="135"/>
    </row>
    <row r="138" spans="9:36" x14ac:dyDescent="0.35">
      <c r="I138" s="109">
        <v>3.1665781875900002E-2</v>
      </c>
      <c r="J138" s="49">
        <v>9.5241845566762445E-10</v>
      </c>
      <c r="K138" s="49">
        <v>6.641430152795489E-11</v>
      </c>
      <c r="L138" s="156">
        <v>1.0097078638598206E-9</v>
      </c>
      <c r="R138" s="60">
        <v>1197.5021363754136</v>
      </c>
      <c r="S138" s="57">
        <v>1.008192924655697E-6</v>
      </c>
      <c r="U138" s="127">
        <v>1.0318720616491249E-9</v>
      </c>
      <c r="V138" s="127">
        <v>1.0097078638598206E-9</v>
      </c>
      <c r="W138" s="127">
        <v>8.3021440132074701E-10</v>
      </c>
      <c r="X138" s="128">
        <f t="shared" si="4"/>
        <v>9.7037554767237822E-10</v>
      </c>
      <c r="Y138" s="139">
        <f t="shared" si="5"/>
        <v>7.3105288687875636E-2</v>
      </c>
      <c r="AA138" s="73"/>
      <c r="AB138" s="182"/>
      <c r="AC138" s="182"/>
      <c r="AD138" s="182"/>
      <c r="AJ138" s="135"/>
    </row>
    <row r="139" spans="9:36" x14ac:dyDescent="0.35">
      <c r="I139" s="109">
        <v>3.19824396947E-2</v>
      </c>
      <c r="J139" s="49">
        <v>7.6268567237746372E-10</v>
      </c>
      <c r="K139" s="49">
        <v>6.1670577319285651E-11</v>
      </c>
      <c r="L139" s="156">
        <v>9.2780203994162424E-10</v>
      </c>
      <c r="R139" s="60">
        <v>1197.5021363754136</v>
      </c>
      <c r="S139" s="57">
        <v>9.8987659242335347E-7</v>
      </c>
      <c r="U139" s="127">
        <v>1.044305662389463E-9</v>
      </c>
      <c r="V139" s="127">
        <v>9.2780203994162424E-10</v>
      </c>
      <c r="W139" s="127">
        <v>6.8448474471912301E-10</v>
      </c>
      <c r="X139" s="128">
        <f t="shared" si="4"/>
        <v>8.9609862174795867E-10</v>
      </c>
      <c r="Y139" s="139">
        <f t="shared" si="5"/>
        <v>4.6799363071357689</v>
      </c>
      <c r="AA139" s="73"/>
      <c r="AB139" s="182"/>
      <c r="AC139" s="182"/>
      <c r="AD139" s="182"/>
      <c r="AJ139" s="135"/>
    </row>
    <row r="140" spans="9:36" x14ac:dyDescent="0.35">
      <c r="I140" s="109">
        <v>3.2302264091600003E-2</v>
      </c>
      <c r="J140" s="49">
        <v>7.7127595930290702E-10</v>
      </c>
      <c r="K140" s="49">
        <v>6.6270813737817608E-11</v>
      </c>
      <c r="L140" s="156">
        <v>8.0390177747124802E-10</v>
      </c>
      <c r="R140" s="60">
        <v>1197.9566818299591</v>
      </c>
      <c r="S140" s="57">
        <v>9.8987659242335347E-7</v>
      </c>
      <c r="U140" s="127">
        <v>1.0036524976537418E-9</v>
      </c>
      <c r="V140" s="127">
        <v>8.0390177747124802E-10</v>
      </c>
      <c r="W140" s="127">
        <v>5.2662305241545913E-10</v>
      </c>
      <c r="X140" s="128">
        <f t="shared" si="4"/>
        <v>7.845197762529243E-10</v>
      </c>
      <c r="Y140" s="139">
        <f t="shared" si="5"/>
        <v>3.9937578797331605E-2</v>
      </c>
      <c r="AA140" s="73"/>
      <c r="AB140" s="182"/>
      <c r="AC140" s="182"/>
      <c r="AD140" s="182"/>
      <c r="AJ140" s="135"/>
    </row>
    <row r="141" spans="9:36" x14ac:dyDescent="0.35">
      <c r="I141" s="109">
        <v>3.2625286732500001E-2</v>
      </c>
      <c r="J141" s="49">
        <v>4.7435492449316704E-10</v>
      </c>
      <c r="K141" s="49">
        <v>5.12321094842212E-11</v>
      </c>
      <c r="L141" s="156">
        <v>6.5272840653888982E-10</v>
      </c>
      <c r="R141" s="60">
        <v>1197.9566818299591</v>
      </c>
      <c r="S141" s="57">
        <v>9.7829472131052888E-7</v>
      </c>
      <c r="U141" s="127">
        <v>9.1303623564789135E-10</v>
      </c>
      <c r="V141" s="127">
        <v>6.5272840653888982E-10</v>
      </c>
      <c r="W141" s="127">
        <v>3.7779767215040318E-10</v>
      </c>
      <c r="X141" s="128">
        <f t="shared" si="4"/>
        <v>6.4907268021901846E-10</v>
      </c>
      <c r="Y141" s="139">
        <f t="shared" si="5"/>
        <v>11.630264943559341</v>
      </c>
      <c r="AA141" s="73"/>
      <c r="AB141" s="182"/>
      <c r="AC141" s="182"/>
      <c r="AD141" s="182"/>
      <c r="AJ141" s="135"/>
    </row>
    <row r="142" spans="9:36" x14ac:dyDescent="0.35">
      <c r="I142" s="109">
        <v>3.29515395999E-2</v>
      </c>
      <c r="J142" s="49">
        <v>4.713645917247821E-10</v>
      </c>
      <c r="K142" s="49">
        <v>5.1989583364679076E-11</v>
      </c>
      <c r="L142" s="156">
        <v>4.9353573646815083E-10</v>
      </c>
      <c r="R142" s="60">
        <v>1198.4112272845045</v>
      </c>
      <c r="S142" s="57">
        <v>9.7829472131052888E-7</v>
      </c>
      <c r="U142" s="127">
        <v>7.8223490574488827E-10</v>
      </c>
      <c r="V142" s="127">
        <v>4.9353573646815083E-10</v>
      </c>
      <c r="W142" s="127">
        <v>2.5913591949862233E-10</v>
      </c>
      <c r="X142" s="128">
        <f t="shared" si="4"/>
        <v>5.0711057454495305E-10</v>
      </c>
      <c r="Y142" s="139">
        <f t="shared" si="5"/>
        <v>0.47273941172572093</v>
      </c>
      <c r="AA142" s="73"/>
      <c r="AB142" s="182"/>
      <c r="AC142" s="182"/>
      <c r="AD142" s="182"/>
      <c r="AJ142" s="135"/>
    </row>
    <row r="143" spans="9:36" x14ac:dyDescent="0.35">
      <c r="I143" s="109">
        <v>3.3281054995899999E-2</v>
      </c>
      <c r="J143" s="49">
        <v>3.1942340933156425E-10</v>
      </c>
      <c r="K143" s="49">
        <v>4.6541875418594709E-11</v>
      </c>
      <c r="L143" s="156">
        <v>3.4780073016162336E-10</v>
      </c>
      <c r="R143" s="60">
        <v>1198.4112272845045</v>
      </c>
      <c r="S143" s="57">
        <v>9.7564617105585453E-7</v>
      </c>
      <c r="U143" s="127">
        <v>6.269011805847846E-10</v>
      </c>
      <c r="V143" s="127">
        <v>3.4780073016162336E-10</v>
      </c>
      <c r="W143" s="127">
        <v>1.8868048273845641E-10</v>
      </c>
      <c r="X143" s="128">
        <f t="shared" si="4"/>
        <v>3.7779578091162195E-10</v>
      </c>
      <c r="Y143" s="139">
        <f t="shared" si="5"/>
        <v>1.5729934641688033</v>
      </c>
      <c r="AA143" s="73"/>
      <c r="AB143" s="182"/>
      <c r="AC143" s="182"/>
      <c r="AD143" s="182"/>
      <c r="AJ143" s="135"/>
    </row>
    <row r="144" spans="9:36" x14ac:dyDescent="0.35">
      <c r="I144" s="109">
        <v>3.3613865545800002E-2</v>
      </c>
      <c r="J144" s="49">
        <v>2.8689291574748133E-10</v>
      </c>
      <c r="K144" s="49">
        <v>4.3623483175341844E-11</v>
      </c>
      <c r="L144" s="156">
        <v>2.3636890664269561E-10</v>
      </c>
      <c r="O144" s="30"/>
      <c r="R144" s="60">
        <v>1198.86577273905</v>
      </c>
      <c r="S144" s="57">
        <v>9.7564617105585453E-7</v>
      </c>
      <c r="U144" s="127">
        <v>4.6690337517467599E-10</v>
      </c>
      <c r="V144" s="127">
        <v>2.3636890664269561E-10</v>
      </c>
      <c r="W144" s="127">
        <v>1.7850607939095239E-10</v>
      </c>
      <c r="X144" s="128">
        <f t="shared" si="4"/>
        <v>2.7953681696275492E-10</v>
      </c>
      <c r="Y144" s="139">
        <f t="shared" si="5"/>
        <v>2.843507817369027E-2</v>
      </c>
      <c r="AA144" s="73"/>
      <c r="AB144" s="182"/>
      <c r="AC144" s="182"/>
      <c r="AD144" s="182"/>
      <c r="AJ144" s="135"/>
    </row>
    <row r="145" spans="9:36" x14ac:dyDescent="0.35">
      <c r="I145" s="109">
        <v>3.3950004201300003E-2</v>
      </c>
      <c r="J145" s="49">
        <v>2.6818917186709352E-10</v>
      </c>
      <c r="K145" s="49">
        <v>4.2841559297479273E-11</v>
      </c>
      <c r="L145" s="156">
        <v>1.7641006189641366E-10</v>
      </c>
      <c r="R145" s="60">
        <v>1198.86577273905</v>
      </c>
      <c r="S145" s="57">
        <v>9.8480092294591434E-7</v>
      </c>
      <c r="U145" s="127">
        <v>3.2391405641472327E-10</v>
      </c>
      <c r="V145" s="127">
        <v>1.7641006189641366E-10</v>
      </c>
      <c r="W145" s="127">
        <v>2.3245817370156635E-10</v>
      </c>
      <c r="X145" s="128">
        <f t="shared" si="4"/>
        <v>2.2729808847727925E-10</v>
      </c>
      <c r="Y145" s="139">
        <f t="shared" si="5"/>
        <v>0.91101744951385455</v>
      </c>
      <c r="AA145" s="73"/>
      <c r="AB145" s="182"/>
      <c r="AC145" s="182"/>
      <c r="AD145" s="182"/>
      <c r="AJ145" s="135"/>
    </row>
    <row r="146" spans="9:36" x14ac:dyDescent="0.35">
      <c r="I146" s="109">
        <v>3.4289504243299997E-2</v>
      </c>
      <c r="J146" s="49">
        <v>3.2380717144646282E-10</v>
      </c>
      <c r="K146" s="49">
        <v>4.5637496359227911E-11</v>
      </c>
      <c r="L146" s="156">
        <v>1.7862005574286892E-10</v>
      </c>
      <c r="R146" s="60">
        <v>1199.3203181935955</v>
      </c>
      <c r="S146" s="57">
        <v>9.8480092294591434E-7</v>
      </c>
      <c r="U146" s="127">
        <v>2.1850261081055101E-10</v>
      </c>
      <c r="V146" s="127">
        <v>1.7862005574286892E-10</v>
      </c>
      <c r="W146" s="127">
        <v>3.4493912695193467E-10</v>
      </c>
      <c r="X146" s="128">
        <f t="shared" si="4"/>
        <v>2.3017046231205589E-10</v>
      </c>
      <c r="Y146" s="139">
        <f t="shared" si="5"/>
        <v>4.2096759026821502</v>
      </c>
      <c r="AA146" s="73"/>
      <c r="AB146" s="182"/>
      <c r="AC146" s="182"/>
      <c r="AD146" s="182"/>
      <c r="AJ146" s="135"/>
    </row>
    <row r="147" spans="9:36" x14ac:dyDescent="0.35">
      <c r="I147" s="109">
        <v>3.46323992857E-2</v>
      </c>
      <c r="J147" s="49">
        <v>4.875797388687946E-10</v>
      </c>
      <c r="K147" s="49">
        <v>5.7597773681627373E-11</v>
      </c>
      <c r="L147" s="156">
        <v>2.4512671992978398E-10</v>
      </c>
      <c r="R147" s="60">
        <v>1199.3203181935955</v>
      </c>
      <c r="S147" s="57">
        <v>1.0092359472319173E-6</v>
      </c>
      <c r="U147" s="127">
        <v>1.6710018013203966E-10</v>
      </c>
      <c r="V147" s="127">
        <v>2.4512671992978398E-10</v>
      </c>
      <c r="W147" s="127">
        <v>5.0105409674866776E-10</v>
      </c>
      <c r="X147" s="128">
        <f t="shared" si="4"/>
        <v>2.8960192918506882E-10</v>
      </c>
      <c r="Y147" s="139">
        <f t="shared" si="5"/>
        <v>11.814671103236702</v>
      </c>
      <c r="AA147" s="73"/>
      <c r="AB147" s="182"/>
      <c r="AC147" s="182"/>
      <c r="AD147" s="182"/>
      <c r="AJ147" s="135"/>
    </row>
    <row r="148" spans="9:36" x14ac:dyDescent="0.35">
      <c r="I148" s="109">
        <v>3.49787232786E-2</v>
      </c>
      <c r="J148" s="49">
        <v>3.7722100534761417E-10</v>
      </c>
      <c r="K148" s="49">
        <v>5.4197796157438564E-11</v>
      </c>
      <c r="L148" s="156">
        <v>3.6850816734422665E-10</v>
      </c>
      <c r="R148" s="60">
        <v>1199.774863648141</v>
      </c>
      <c r="S148" s="57">
        <v>1.0092359472319173E-6</v>
      </c>
      <c r="U148" s="127">
        <v>1.792776670727023E-10</v>
      </c>
      <c r="V148" s="127">
        <v>3.6850816734422665E-10</v>
      </c>
      <c r="W148" s="127">
        <v>6.7824706253029012E-10</v>
      </c>
      <c r="X148" s="128">
        <f t="shared" si="4"/>
        <v>3.986352660728614E-10</v>
      </c>
      <c r="Y148" s="139">
        <f t="shared" si="5"/>
        <v>0.15611438325854962</v>
      </c>
      <c r="AA148" s="73"/>
      <c r="AB148" s="182"/>
      <c r="AC148" s="182"/>
      <c r="AD148" s="182"/>
      <c r="AJ148" s="135"/>
    </row>
    <row r="149" spans="9:36" x14ac:dyDescent="0.35">
      <c r="I149" s="109">
        <v>3.5328510511399999E-2</v>
      </c>
      <c r="J149" s="49">
        <v>6.2455883992370041E-10</v>
      </c>
      <c r="K149" s="49">
        <v>6.7118962583854067E-11</v>
      </c>
      <c r="L149" s="156">
        <v>5.3220656486508794E-10</v>
      </c>
      <c r="R149" s="60">
        <v>1199.774863648141</v>
      </c>
      <c r="S149" s="57">
        <v>1.0527861971414068E-6</v>
      </c>
      <c r="U149" s="127">
        <v>2.5579010302438246E-10</v>
      </c>
      <c r="V149" s="127">
        <v>5.3220656486508794E-10</v>
      </c>
      <c r="W149" s="127">
        <v>8.4932775424338558E-10</v>
      </c>
      <c r="X149" s="128">
        <f t="shared" si="4"/>
        <v>5.4238274674948603E-10</v>
      </c>
      <c r="Y149" s="139">
        <f t="shared" si="5"/>
        <v>1.4989961236054141</v>
      </c>
      <c r="AA149" s="73"/>
      <c r="AB149" s="182"/>
      <c r="AC149" s="182"/>
      <c r="AD149" s="182"/>
      <c r="AJ149" s="135"/>
    </row>
    <row r="150" spans="9:36" x14ac:dyDescent="0.35">
      <c r="I150" s="109">
        <v>3.5681795616499999E-2</v>
      </c>
      <c r="J150" s="49">
        <v>7.3220911908749664E-10</v>
      </c>
      <c r="K150" s="49">
        <v>7.2083839471343447E-11</v>
      </c>
      <c r="L150" s="156">
        <v>7.1242964852950498E-10</v>
      </c>
      <c r="R150" s="60">
        <v>1200.2294091026865</v>
      </c>
      <c r="S150" s="57">
        <v>1.0527861971414068E-6</v>
      </c>
      <c r="U150" s="127">
        <v>3.8778078709512835E-10</v>
      </c>
      <c r="V150" s="127">
        <v>7.1242964852950498E-10</v>
      </c>
      <c r="W150" s="127">
        <v>9.865453217576429E-10</v>
      </c>
      <c r="X150" s="128">
        <f t="shared" si="4"/>
        <v>6.9979635147794529E-10</v>
      </c>
      <c r="Y150" s="139">
        <f t="shared" si="5"/>
        <v>0.20218848087697827</v>
      </c>
      <c r="AA150" s="73"/>
      <c r="AB150" s="182"/>
      <c r="AC150" s="182"/>
      <c r="AD150" s="182"/>
      <c r="AJ150" s="135"/>
    </row>
    <row r="151" spans="9:36" x14ac:dyDescent="0.35">
      <c r="I151" s="109">
        <v>3.6038613572599999E-2</v>
      </c>
      <c r="J151" s="49">
        <v>9.2456724548651783E-10</v>
      </c>
      <c r="K151" s="49">
        <v>8.4892246118152948E-11</v>
      </c>
      <c r="L151" s="156">
        <v>8.8139883313360804E-10</v>
      </c>
      <c r="R151" s="60">
        <v>1200.2294091026865</v>
      </c>
      <c r="S151" s="57">
        <v>1.1191825644569877E-6</v>
      </c>
      <c r="U151" s="127">
        <v>5.5740453498015221E-10</v>
      </c>
      <c r="V151" s="127">
        <v>8.8139883313360804E-10</v>
      </c>
      <c r="W151" s="127">
        <v>1.0661434640334118E-9</v>
      </c>
      <c r="X151" s="128">
        <f t="shared" si="4"/>
        <v>8.4658641632019507E-10</v>
      </c>
      <c r="Y151" s="139">
        <f t="shared" si="5"/>
        <v>0.84380024748187754</v>
      </c>
      <c r="AA151" s="73"/>
      <c r="AB151" s="182"/>
      <c r="AC151" s="182"/>
      <c r="AD151" s="182"/>
      <c r="AJ151" s="135"/>
    </row>
    <row r="152" spans="9:36" x14ac:dyDescent="0.35">
      <c r="I152" s="109">
        <v>3.63989997084E-2</v>
      </c>
      <c r="J152" s="49">
        <v>9.4715288816668242E-10</v>
      </c>
      <c r="K152" s="49">
        <v>8.4126248341731359E-11</v>
      </c>
      <c r="L152" s="156">
        <v>1.0115600900686524E-9</v>
      </c>
      <c r="R152" s="60">
        <v>1200.683954557232</v>
      </c>
      <c r="S152" s="57">
        <v>1.1191825644569877E-6</v>
      </c>
      <c r="U152" s="127">
        <v>7.3993250837049965E-10</v>
      </c>
      <c r="V152" s="127">
        <v>1.0115600900686524E-9</v>
      </c>
      <c r="W152" s="127">
        <v>1.0726752378037128E-9</v>
      </c>
      <c r="X152" s="128">
        <f t="shared" si="4"/>
        <v>9.5893198157787933E-10</v>
      </c>
      <c r="Y152" s="139">
        <f t="shared" si="5"/>
        <v>1.9604721999020001E-2</v>
      </c>
      <c r="AA152" s="73"/>
      <c r="AB152" s="182"/>
      <c r="AC152" s="182"/>
      <c r="AD152" s="182"/>
      <c r="AJ152" s="135"/>
    </row>
    <row r="153" spans="9:36" x14ac:dyDescent="0.35">
      <c r="I153" s="109">
        <v>3.6762989705399998E-2</v>
      </c>
      <c r="J153" s="49">
        <v>7.358403509185538E-10</v>
      </c>
      <c r="K153" s="49">
        <v>7.5417254183577823E-11</v>
      </c>
      <c r="L153" s="156">
        <v>1.0803549137747774E-9</v>
      </c>
      <c r="R153" s="60">
        <v>1200.683954557232</v>
      </c>
      <c r="S153" s="57">
        <v>1.2114034040902831E-6</v>
      </c>
      <c r="U153" s="127">
        <v>9.0718190629056592E-10</v>
      </c>
      <c r="V153" s="127">
        <v>1.0803549137747774E-9</v>
      </c>
      <c r="W153" s="127">
        <v>1.0025838646213122E-9</v>
      </c>
      <c r="X153" s="128">
        <f t="shared" si="4"/>
        <v>1.0176188996153582E-9</v>
      </c>
      <c r="Y153" s="139">
        <f t="shared" si="5"/>
        <v>13.959646573579624</v>
      </c>
      <c r="AA153" s="73"/>
      <c r="AB153" s="182"/>
      <c r="AC153" s="182"/>
      <c r="AD153" s="182"/>
      <c r="AJ153" s="135"/>
    </row>
    <row r="154" spans="9:36" x14ac:dyDescent="0.35">
      <c r="I154" s="109">
        <v>3.7130619602499998E-2</v>
      </c>
      <c r="J154" s="49">
        <v>7.7118780834107498E-10</v>
      </c>
      <c r="K154" s="49">
        <v>8.0676457407721398E-11</v>
      </c>
      <c r="L154" s="156">
        <v>1.0737146360770153E-9</v>
      </c>
      <c r="R154" s="60">
        <v>1201.1385000117775</v>
      </c>
      <c r="S154" s="57">
        <v>1.2114034040902831E-6</v>
      </c>
      <c r="U154" s="127">
        <v>1.0318572768121597E-9</v>
      </c>
      <c r="V154" s="127">
        <v>1.0737146360770153E-9</v>
      </c>
      <c r="W154" s="127">
        <v>8.6463445910211598E-10</v>
      </c>
      <c r="X154" s="128">
        <f t="shared" si="4"/>
        <v>1.0109802520170767E-9</v>
      </c>
      <c r="Y154" s="139">
        <f t="shared" si="5"/>
        <v>8.8344058719204153</v>
      </c>
      <c r="AA154" s="73"/>
      <c r="AB154" s="182"/>
      <c r="AC154" s="182"/>
      <c r="AD154" s="182"/>
      <c r="AJ154" s="135"/>
    </row>
    <row r="155" spans="9:36" x14ac:dyDescent="0.35">
      <c r="I155" s="109">
        <v>3.7501925798500001E-2</v>
      </c>
      <c r="J155" s="49">
        <v>8.4812873826704816E-10</v>
      </c>
      <c r="K155" s="49">
        <v>8.6702203631933037E-11</v>
      </c>
      <c r="L155" s="156">
        <v>9.9005683612334276E-10</v>
      </c>
      <c r="R155" s="60">
        <v>1201.1385000117775</v>
      </c>
      <c r="S155" s="57">
        <v>1.330936127744966E-6</v>
      </c>
      <c r="U155" s="127">
        <v>1.0919256251905355E-9</v>
      </c>
      <c r="V155" s="127">
        <v>9.9005683612334276E-10</v>
      </c>
      <c r="W155" s="127">
        <v>6.809747039223022E-10</v>
      </c>
      <c r="X155" s="128">
        <f t="shared" si="4"/>
        <v>9.3825350033988088E-10</v>
      </c>
      <c r="Y155" s="139">
        <f t="shared" si="5"/>
        <v>1.0805080107281786</v>
      </c>
      <c r="AA155" s="73"/>
      <c r="AB155" s="182"/>
      <c r="AC155" s="182"/>
      <c r="AD155" s="182"/>
      <c r="AJ155" s="135"/>
    </row>
    <row r="156" spans="9:36" x14ac:dyDescent="0.35">
      <c r="I156" s="109">
        <v>3.7876945056500001E-2</v>
      </c>
      <c r="J156" s="49">
        <v>7.32558301293225E-10</v>
      </c>
      <c r="K156" s="49">
        <v>8.1558611172512478E-11</v>
      </c>
      <c r="L156" s="156">
        <v>8.4100956859270731E-10</v>
      </c>
      <c r="R156" s="60">
        <v>1201.593045466323</v>
      </c>
      <c r="S156" s="57">
        <v>1.330936127744966E-6</v>
      </c>
      <c r="U156" s="127">
        <v>1.0749702914642833E-9</v>
      </c>
      <c r="V156" s="127">
        <v>8.4100956859270731E-10</v>
      </c>
      <c r="W156" s="127">
        <v>4.8306396952945333E-10</v>
      </c>
      <c r="X156" s="128">
        <f t="shared" si="4"/>
        <v>8.1001334954478773E-10</v>
      </c>
      <c r="Y156" s="139">
        <f t="shared" si="5"/>
        <v>0.90190296393061842</v>
      </c>
      <c r="AA156" s="73"/>
      <c r="AB156" s="182"/>
      <c r="AC156" s="182"/>
      <c r="AD156" s="182"/>
      <c r="AJ156" s="135"/>
    </row>
    <row r="157" spans="9:36" x14ac:dyDescent="0.35">
      <c r="I157" s="109">
        <v>3.8255714507099997E-2</v>
      </c>
      <c r="J157" s="49">
        <v>6.5651648878616653E-10</v>
      </c>
      <c r="K157" s="49">
        <v>7.6998695058857476E-11</v>
      </c>
      <c r="L157" s="156">
        <v>6.504912589828945E-10</v>
      </c>
      <c r="R157" s="60">
        <v>1201.593045466323</v>
      </c>
      <c r="S157" s="57">
        <v>1.4771080970211596E-6</v>
      </c>
      <c r="U157" s="127">
        <v>9.8098779480478428E-10</v>
      </c>
      <c r="V157" s="127">
        <v>6.504912589828945E-10</v>
      </c>
      <c r="W157" s="127">
        <v>3.068447630984944E-10</v>
      </c>
      <c r="X157" s="128">
        <f t="shared" si="4"/>
        <v>6.4720376896726691E-10</v>
      </c>
      <c r="Y157" s="139">
        <f t="shared" si="5"/>
        <v>1.4628046899377991E-2</v>
      </c>
      <c r="AA157" s="73"/>
      <c r="AB157" s="182"/>
      <c r="AC157" s="182"/>
      <c r="AD157" s="182"/>
      <c r="AJ157" s="135"/>
    </row>
    <row r="158" spans="9:36" x14ac:dyDescent="0.35">
      <c r="I158" s="109">
        <v>3.8638271652100001E-2</v>
      </c>
      <c r="J158" s="49">
        <v>4.5130985559079932E-10</v>
      </c>
      <c r="K158" s="49">
        <v>6.6282253557341751E-11</v>
      </c>
      <c r="L158" s="156">
        <v>4.5133459520105905E-10</v>
      </c>
      <c r="R158" s="60">
        <v>1202.0475909208685</v>
      </c>
      <c r="S158" s="57">
        <v>1.4771080970211596E-6</v>
      </c>
      <c r="U158" s="127">
        <v>8.233663800240229E-10</v>
      </c>
      <c r="V158" s="127">
        <v>4.5133459520105905E-10</v>
      </c>
      <c r="W158" s="127">
        <v>1.8630138496371198E-10</v>
      </c>
      <c r="X158" s="128">
        <f t="shared" si="4"/>
        <v>4.7808423884746323E-10</v>
      </c>
      <c r="Y158" s="139">
        <f t="shared" si="5"/>
        <v>0.16317154283384297</v>
      </c>
      <c r="AA158" s="73"/>
      <c r="AB158" s="182"/>
      <c r="AC158" s="182"/>
      <c r="AD158" s="182"/>
      <c r="AJ158" s="135"/>
    </row>
    <row r="159" spans="9:36" x14ac:dyDescent="0.35">
      <c r="I159" s="109">
        <v>3.90246543687E-2</v>
      </c>
      <c r="J159" s="49">
        <v>3.4322265090130437E-10</v>
      </c>
      <c r="K159" s="49">
        <v>6.1719331416182073E-11</v>
      </c>
      <c r="L159" s="156">
        <v>2.7990817838623378E-10</v>
      </c>
      <c r="R159" s="60">
        <v>1202.0475909208685</v>
      </c>
      <c r="S159" s="57">
        <v>1.6466739863734163E-6</v>
      </c>
      <c r="U159" s="127">
        <v>6.275622144235248E-10</v>
      </c>
      <c r="V159" s="127">
        <v>2.7990817838623378E-10</v>
      </c>
      <c r="W159" s="127">
        <v>1.4675892925110739E-10</v>
      </c>
      <c r="X159" s="128">
        <f t="shared" si="4"/>
        <v>3.3353437511177499E-10</v>
      </c>
      <c r="Y159" s="139">
        <f t="shared" si="5"/>
        <v>2.4640559246929442E-2</v>
      </c>
      <c r="AA159" s="73"/>
      <c r="AB159" s="182"/>
      <c r="AC159" s="182"/>
      <c r="AD159" s="182"/>
      <c r="AJ159" s="135"/>
    </row>
    <row r="160" spans="9:36" x14ac:dyDescent="0.35">
      <c r="I160" s="109">
        <v>3.9414900912399999E-2</v>
      </c>
      <c r="J160" s="49">
        <v>4.5724270680285826E-10</v>
      </c>
      <c r="K160" s="49">
        <v>7.1081776849351178E-11</v>
      </c>
      <c r="L160" s="157">
        <v>1.6952716370540588E-10</v>
      </c>
      <c r="M160" s="32"/>
      <c r="R160" s="60">
        <v>1202.502136375414</v>
      </c>
      <c r="S160" s="57">
        <v>1.6466739863734163E-6</v>
      </c>
      <c r="U160" s="127">
        <v>4.2743704106762581E-10</v>
      </c>
      <c r="V160" s="127">
        <v>1.6952716370540588E-10</v>
      </c>
      <c r="W160" s="127">
        <v>1.9923473172875107E-10</v>
      </c>
      <c r="X160" s="128">
        <f t="shared" si="4"/>
        <v>2.4143152505179715E-10</v>
      </c>
      <c r="Y160" s="139">
        <f t="shared" si="5"/>
        <v>9.217886044490518</v>
      </c>
      <c r="AA160" s="73"/>
      <c r="AB160" s="182"/>
      <c r="AC160" s="182"/>
      <c r="AD160" s="182"/>
      <c r="AJ160" s="135"/>
    </row>
    <row r="161" spans="1:36" x14ac:dyDescent="0.35">
      <c r="I161" s="109">
        <v>3.98090499215E-2</v>
      </c>
      <c r="J161" s="49">
        <v>3.8746126738568869E-10</v>
      </c>
      <c r="K161" s="49">
        <v>6.8239999688890278E-11</v>
      </c>
      <c r="L161" s="157">
        <v>1.4380047277541286E-10</v>
      </c>
      <c r="M161" s="32"/>
      <c r="R161" s="60">
        <v>1202.502136375414</v>
      </c>
      <c r="S161" s="57">
        <v>1.8338187930522342E-6</v>
      </c>
      <c r="U161" s="127">
        <v>2.5966110352525228E-10</v>
      </c>
      <c r="V161" s="127">
        <v>1.4380047277541286E-10</v>
      </c>
      <c r="W161" s="127">
        <v>3.3712055761372293E-10</v>
      </c>
      <c r="X161" s="128">
        <f t="shared" si="4"/>
        <v>2.2109565167245022E-10</v>
      </c>
      <c r="Y161" s="139">
        <f t="shared" si="5"/>
        <v>5.9435936626014634</v>
      </c>
      <c r="AA161" s="73"/>
      <c r="AB161" s="182"/>
      <c r="AC161" s="182"/>
      <c r="AD161" s="182"/>
      <c r="AJ161" s="135"/>
    </row>
    <row r="162" spans="1:36" x14ac:dyDescent="0.35">
      <c r="I162" s="109">
        <v>4.0207140420699998E-2</v>
      </c>
      <c r="J162" s="49">
        <v>2.5334241117629845E-10</v>
      </c>
      <c r="K162" s="49">
        <v>5.6607503336515515E-11</v>
      </c>
      <c r="L162" s="157">
        <v>2.1123931423846567E-10</v>
      </c>
      <c r="M162" s="32"/>
      <c r="R162" s="60">
        <v>1202.9566818299595</v>
      </c>
      <c r="S162" s="57">
        <v>1.8338187930522342E-6</v>
      </c>
      <c r="U162" s="127">
        <v>1.5702120911991962E-10</v>
      </c>
      <c r="V162" s="127">
        <v>2.1123931423846567E-10</v>
      </c>
      <c r="W162" s="127">
        <v>5.3615855781805423E-10</v>
      </c>
      <c r="X162" s="128">
        <f t="shared" si="4"/>
        <v>2.7891459885372629E-10</v>
      </c>
      <c r="Y162" s="139">
        <f t="shared" si="5"/>
        <v>0.20407404112357722</v>
      </c>
      <c r="AA162" s="73"/>
      <c r="AB162" s="182"/>
      <c r="AC162" s="182"/>
      <c r="AD162" s="182"/>
      <c r="AJ162" s="135"/>
    </row>
    <row r="163" spans="1:36" x14ac:dyDescent="0.35">
      <c r="I163" s="109">
        <v>4.0609211824900002E-2</v>
      </c>
      <c r="J163" s="49">
        <v>3.5485865930403865E-10</v>
      </c>
      <c r="K163" s="49">
        <v>6.8218757863241963E-11</v>
      </c>
      <c r="L163" s="157">
        <v>3.6237660724809499E-10</v>
      </c>
      <c r="M163" s="32"/>
      <c r="R163" s="60">
        <v>1202.9566818299595</v>
      </c>
      <c r="S163" s="57">
        <v>1.9810192291171429E-6</v>
      </c>
      <c r="U163" s="127">
        <v>1.4181364422000834E-10</v>
      </c>
      <c r="V163" s="127">
        <v>3.6237660724809499E-10</v>
      </c>
      <c r="W163" s="127">
        <v>7.5809978603384701E-10</v>
      </c>
      <c r="X163" s="128">
        <f t="shared" si="4"/>
        <v>4.0616666118751131E-10</v>
      </c>
      <c r="Y163" s="139">
        <f t="shared" si="5"/>
        <v>0.56566927364868436</v>
      </c>
      <c r="AA163" s="73"/>
      <c r="AB163" s="182"/>
      <c r="AC163" s="182"/>
      <c r="AD163" s="182"/>
      <c r="AJ163" s="135"/>
    </row>
    <row r="164" spans="1:36" x14ac:dyDescent="0.35">
      <c r="I164" s="109">
        <v>4.1015303943099997E-2</v>
      </c>
      <c r="J164" s="49">
        <v>5.4978761441707574E-10</v>
      </c>
      <c r="K164" s="49">
        <v>8.0245298674736816E-11</v>
      </c>
      <c r="L164" s="157">
        <v>5.7029061679660605E-10</v>
      </c>
      <c r="M164" s="32"/>
      <c r="R164" s="60">
        <v>1203.1839545572323</v>
      </c>
      <c r="S164" s="57">
        <v>1.9810192291171429E-6</v>
      </c>
      <c r="U164" s="127">
        <v>2.2065316912770172E-10</v>
      </c>
      <c r="V164" s="127">
        <v>5.7029061679660605E-10</v>
      </c>
      <c r="W164" s="127">
        <v>9.5768767195229761E-10</v>
      </c>
      <c r="X164" s="128">
        <f t="shared" si="4"/>
        <v>5.7973051866830287E-10</v>
      </c>
      <c r="Y164" s="139">
        <f t="shared" si="5"/>
        <v>0.13923507318665571</v>
      </c>
      <c r="AA164" s="73"/>
      <c r="AB164" s="182"/>
      <c r="AC164" s="182"/>
      <c r="AD164" s="182"/>
      <c r="AJ164" s="135"/>
    </row>
    <row r="165" spans="1:36" x14ac:dyDescent="0.35">
      <c r="I165" s="109">
        <v>4.1425456982600001E-2</v>
      </c>
      <c r="J165" s="49">
        <v>7.6727492223917531E-10</v>
      </c>
      <c r="K165" s="49">
        <v>9.4241868453680631E-11</v>
      </c>
      <c r="L165" s="157">
        <v>7.9482021053633704E-10</v>
      </c>
      <c r="M165" s="32"/>
      <c r="R165" s="60">
        <v>1203.1839545572323</v>
      </c>
      <c r="S165" s="57">
        <v>2.0823394542220977E-6</v>
      </c>
      <c r="U165" s="127">
        <v>3.8192366126381005E-10</v>
      </c>
      <c r="V165" s="127">
        <v>7.9482021053633704E-10</v>
      </c>
      <c r="W165" s="127">
        <v>1.0918307772090582E-9</v>
      </c>
      <c r="X165" s="128">
        <f t="shared" si="4"/>
        <v>7.6584871488638567E-10</v>
      </c>
      <c r="Y165" s="139">
        <f t="shared" si="5"/>
        <v>2.2902219166163809E-4</v>
      </c>
      <c r="AA165" s="73"/>
      <c r="AB165" s="182"/>
      <c r="AC165" s="182"/>
      <c r="AD165" s="182"/>
      <c r="AJ165" s="135"/>
    </row>
    <row r="166" spans="1:36" x14ac:dyDescent="0.35">
      <c r="I166" s="109">
        <v>4.1839711552400002E-2</v>
      </c>
      <c r="J166" s="49">
        <v>8.0873126751415479E-10</v>
      </c>
      <c r="K166" s="49">
        <v>1.0048645742682306E-10</v>
      </c>
      <c r="L166" s="157">
        <v>9.8999845454932112E-10</v>
      </c>
      <c r="M166" s="32"/>
      <c r="R166" s="60">
        <v>1203.4582853559616</v>
      </c>
      <c r="S166" s="57">
        <v>2.0823394542220977E-6</v>
      </c>
      <c r="U166" s="127">
        <v>5.9671025612463765E-10</v>
      </c>
      <c r="V166" s="127">
        <v>9.8999845454932112E-10</v>
      </c>
      <c r="W166" s="127">
        <v>1.1291895438461685E-9</v>
      </c>
      <c r="X166" s="128">
        <f t="shared" si="4"/>
        <v>9.2647417726736213E-10</v>
      </c>
      <c r="Y166" s="139">
        <f t="shared" si="5"/>
        <v>1.3729491637850111</v>
      </c>
      <c r="AA166" s="73"/>
      <c r="AB166" s="182"/>
      <c r="AC166" s="182"/>
      <c r="AD166" s="182"/>
      <c r="AJ166" s="135"/>
    </row>
    <row r="167" spans="1:36" x14ac:dyDescent="0.35">
      <c r="I167" s="109">
        <v>4.2258108667900002E-2</v>
      </c>
      <c r="J167" s="49">
        <v>8.5008707888540517E-10</v>
      </c>
      <c r="K167" s="49">
        <v>1.0569568886318327E-10</v>
      </c>
      <c r="L167" s="157">
        <v>1.113461565194605E-9</v>
      </c>
      <c r="M167" s="32"/>
      <c r="R167" s="60">
        <v>1203.4582853559616</v>
      </c>
      <c r="S167" s="57">
        <v>2.2031849623988735E-6</v>
      </c>
      <c r="U167" s="127">
        <v>8.2342498657193476E-10</v>
      </c>
      <c r="V167" s="127">
        <v>1.113461565194605E-9</v>
      </c>
      <c r="W167" s="127">
        <v>1.0580678096748339E-9</v>
      </c>
      <c r="X167" s="128">
        <f t="shared" si="4"/>
        <v>1.0271039816589947E-9</v>
      </c>
      <c r="Y167" s="139">
        <f t="shared" si="5"/>
        <v>2.8048841498015604</v>
      </c>
      <c r="AA167" s="73"/>
      <c r="AB167" s="182"/>
      <c r="AC167" s="182"/>
      <c r="AD167" s="182"/>
      <c r="AJ167" s="135"/>
    </row>
    <row r="168" spans="1:36" x14ac:dyDescent="0.35">
      <c r="I168" s="109">
        <v>4.2680689754600001E-2</v>
      </c>
      <c r="J168" s="49">
        <v>9.23862321009836E-10</v>
      </c>
      <c r="K168" s="49">
        <v>1.1548145107875331E-10</v>
      </c>
      <c r="L168" s="157">
        <v>1.1359830972438919E-9</v>
      </c>
      <c r="M168" s="32"/>
      <c r="R168" s="60">
        <v>1203.7373031815939</v>
      </c>
      <c r="S168" s="57">
        <v>2.2031849623988735E-6</v>
      </c>
      <c r="U168" s="127">
        <v>1.01556821376483E-9</v>
      </c>
      <c r="V168" s="127">
        <v>1.1359830972438919E-9</v>
      </c>
      <c r="W168" s="127">
        <v>8.906000200943753E-10</v>
      </c>
      <c r="X168" s="128">
        <f t="shared" si="4"/>
        <v>1.0445336070867473E-9</v>
      </c>
      <c r="Y168" s="139">
        <f t="shared" si="5"/>
        <v>1.0919013877342532</v>
      </c>
      <c r="AA168" s="73"/>
      <c r="AB168" s="182"/>
      <c r="AC168" s="182"/>
      <c r="AD168" s="182"/>
      <c r="AJ168" s="135"/>
    </row>
    <row r="169" spans="1:36" x14ac:dyDescent="0.35">
      <c r="I169" s="109">
        <v>4.3107496652199997E-2</v>
      </c>
      <c r="J169" s="49">
        <v>9.4717824535717159E-10</v>
      </c>
      <c r="K169" s="49">
        <v>1.1749884779953688E-10</v>
      </c>
      <c r="L169" s="157">
        <v>1.049002909375923E-9</v>
      </c>
      <c r="M169" s="32"/>
      <c r="R169" s="60">
        <v>1203.7373031815939</v>
      </c>
      <c r="S169" s="57">
        <v>2.3240068344164358E-6</v>
      </c>
      <c r="U169" s="127">
        <v>1.1313058228637151E-9</v>
      </c>
      <c r="V169" s="127">
        <v>1.049002909375923E-9</v>
      </c>
      <c r="W169" s="127">
        <v>6.6181369315422963E-10</v>
      </c>
      <c r="X169" s="128">
        <f t="shared" si="4"/>
        <v>9.7278133369244777E-10</v>
      </c>
      <c r="Y169" s="139">
        <f t="shared" si="5"/>
        <v>4.7480741581823048E-2</v>
      </c>
      <c r="AA169" s="73"/>
      <c r="AB169" s="182"/>
      <c r="AC169" s="182"/>
      <c r="AD169" s="182"/>
      <c r="AJ169" s="135"/>
    </row>
    <row r="170" spans="1:36" x14ac:dyDescent="0.35">
      <c r="I170" s="109">
        <v>4.3538571618699999E-2</v>
      </c>
      <c r="J170" s="49">
        <v>6.4072408748045558E-10</v>
      </c>
      <c r="K170" s="49">
        <v>1.0169397133525294E-10</v>
      </c>
      <c r="L170" s="157">
        <v>8.681875010062493E-10</v>
      </c>
      <c r="M170" s="32"/>
      <c r="R170" s="60">
        <v>1204.0261986644637</v>
      </c>
      <c r="S170" s="57">
        <v>2.3240068344164358E-6</v>
      </c>
      <c r="U170" s="127">
        <v>1.1429595819331053E-9</v>
      </c>
      <c r="V170" s="127">
        <v>8.681875010062493E-10</v>
      </c>
      <c r="W170" s="127">
        <v>4.2317433459853991E-10</v>
      </c>
      <c r="X170" s="128">
        <f t="shared" si="4"/>
        <v>8.2562722963603592E-10</v>
      </c>
      <c r="Y170" s="139">
        <f t="shared" si="5"/>
        <v>3.3059643613037428</v>
      </c>
      <c r="AA170" s="73"/>
      <c r="AB170" s="182"/>
      <c r="AC170" s="182"/>
      <c r="AD170" s="182"/>
      <c r="AJ170" s="135"/>
    </row>
    <row r="171" spans="1:36" x14ac:dyDescent="0.35">
      <c r="I171" s="109">
        <v>4.3973957334899998E-2</v>
      </c>
      <c r="J171" s="49">
        <v>6.3395554327547717E-10</v>
      </c>
      <c r="K171" s="49">
        <v>4.9350838377868055E-11</v>
      </c>
      <c r="L171" s="157">
        <v>6.31714610213813E-10</v>
      </c>
      <c r="M171" s="32"/>
      <c r="R171" s="60">
        <v>1204.0261986644637</v>
      </c>
      <c r="S171" s="57">
        <v>2.4447262762425861E-6</v>
      </c>
      <c r="U171" s="127">
        <v>1.0442671188514468E-9</v>
      </c>
      <c r="V171" s="127">
        <v>6.31714610213813E-10</v>
      </c>
      <c r="W171" s="127">
        <v>2.3151730563463052E-10</v>
      </c>
      <c r="X171" s="128">
        <f t="shared" si="4"/>
        <v>6.3480341122842588E-10</v>
      </c>
      <c r="Y171" s="139">
        <f t="shared" si="5"/>
        <v>2.951667076271462E-4</v>
      </c>
      <c r="AA171" s="73"/>
      <c r="AB171" s="182"/>
      <c r="AC171" s="182"/>
      <c r="AD171" s="182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4.4413696908199997E-2</v>
      </c>
      <c r="J172" s="49">
        <v>5.702723196569795E-10</v>
      </c>
      <c r="K172" s="49">
        <v>4.7317460533882574E-11</v>
      </c>
      <c r="L172" s="157">
        <v>3.9305498919845413E-10</v>
      </c>
      <c r="M172" s="32"/>
      <c r="N172" s="18"/>
      <c r="O172" s="18"/>
      <c r="P172" s="30"/>
      <c r="Q172" s="65"/>
      <c r="R172" s="62">
        <v>1204.33131452413</v>
      </c>
      <c r="S172" s="61">
        <v>2.4447262762425861E-6</v>
      </c>
      <c r="T172" s="75"/>
      <c r="U172" s="127">
        <v>8.5348347259915408E-10</v>
      </c>
      <c r="V172" s="127">
        <v>3.9305498919845413E-10</v>
      </c>
      <c r="W172" s="127">
        <v>1.355586421231058E-10</v>
      </c>
      <c r="X172" s="128">
        <f t="shared" si="4"/>
        <v>4.4378802327979206E-10</v>
      </c>
      <c r="Y172" s="139">
        <f t="shared" si="5"/>
        <v>7.1454627766243899</v>
      </c>
      <c r="AA172" s="73"/>
      <c r="AB172" s="182"/>
      <c r="AC172" s="182"/>
      <c r="AD172" s="182"/>
      <c r="AE172" s="75"/>
      <c r="AF172" s="75"/>
      <c r="AG172" s="75"/>
      <c r="AH172" s="75"/>
      <c r="AI172" s="159"/>
      <c r="AJ172" s="135"/>
    </row>
    <row r="173" spans="1:36" x14ac:dyDescent="0.35">
      <c r="I173" s="109">
        <v>4.4857833877300003E-2</v>
      </c>
      <c r="J173" s="49">
        <v>4.2756509846840943E-10</v>
      </c>
      <c r="K173" s="49">
        <v>3.8790828560036284E-11</v>
      </c>
      <c r="L173" s="157">
        <v>2.0934209685158691E-10</v>
      </c>
      <c r="M173" s="32"/>
      <c r="R173" s="60">
        <v>1204.33131452413</v>
      </c>
      <c r="S173" s="57">
        <v>2.5651500158927381E-6</v>
      </c>
      <c r="U173" s="127">
        <v>6.1110076543745611E-10</v>
      </c>
      <c r="V173" s="127">
        <v>2.0934209685158691E-10</v>
      </c>
      <c r="W173" s="127">
        <v>1.6311145424422042E-10</v>
      </c>
      <c r="X173" s="128">
        <f t="shared" si="4"/>
        <v>2.982241033462126E-10</v>
      </c>
      <c r="Y173" s="139">
        <f t="shared" si="5"/>
        <v>11.117682923638833</v>
      </c>
      <c r="AA173" s="73"/>
      <c r="AB173" s="182"/>
      <c r="AC173" s="182"/>
      <c r="AD173" s="182"/>
      <c r="AJ173" s="135"/>
    </row>
    <row r="174" spans="1:36" x14ac:dyDescent="0.35">
      <c r="I174" s="109">
        <v>4.5306412216100003E-2</v>
      </c>
      <c r="J174" s="49">
        <v>4.0795218013361259E-10</v>
      </c>
      <c r="K174" s="49">
        <v>3.8268812499119825E-11</v>
      </c>
      <c r="L174" s="157">
        <v>1.2768434548820788E-10</v>
      </c>
      <c r="M174" s="32"/>
      <c r="R174" s="60">
        <v>1204.6611693738175</v>
      </c>
      <c r="S174" s="57">
        <v>2.5651500158927381E-6</v>
      </c>
      <c r="U174" s="127">
        <v>3.7207906212459182E-10</v>
      </c>
      <c r="V174" s="127">
        <v>1.2768434548820788E-10</v>
      </c>
      <c r="W174" s="127">
        <v>3.1239349614316831E-10</v>
      </c>
      <c r="X174" s="128">
        <f t="shared" si="4"/>
        <v>2.3496031231104396E-10</v>
      </c>
      <c r="Y174" s="139">
        <f t="shared" si="5"/>
        <v>20.434377096447246</v>
      </c>
      <c r="AA174" s="73"/>
      <c r="AB174" s="182"/>
      <c r="AC174" s="182"/>
      <c r="AD174" s="182"/>
      <c r="AJ174" s="135"/>
    </row>
    <row r="175" spans="1:36" x14ac:dyDescent="0.35">
      <c r="I175" s="109">
        <v>4.5759476338200003E-2</v>
      </c>
      <c r="J175" s="49">
        <v>4.1111631356814772E-10</v>
      </c>
      <c r="K175" s="49">
        <v>3.8015158842689782E-11</v>
      </c>
      <c r="L175" s="157">
        <v>1.7263890789219898E-10</v>
      </c>
      <c r="M175" s="32"/>
      <c r="R175" s="60">
        <v>1204.6611693738175</v>
      </c>
      <c r="S175" s="57">
        <v>2.6848762718115108E-6</v>
      </c>
      <c r="U175" s="127">
        <v>1.938122887553505E-10</v>
      </c>
      <c r="V175" s="127">
        <v>1.7263890789219898E-10</v>
      </c>
      <c r="W175" s="127">
        <v>5.5019596830327323E-10</v>
      </c>
      <c r="X175" s="128">
        <f t="shared" si="4"/>
        <v>2.7232151821075539E-10</v>
      </c>
      <c r="Y175" s="139">
        <f t="shared" si="5"/>
        <v>13.330079600496491</v>
      </c>
      <c r="AA175" s="73"/>
      <c r="AB175" s="182"/>
      <c r="AC175" s="182"/>
      <c r="AD175" s="182"/>
      <c r="AJ175" s="135"/>
    </row>
    <row r="176" spans="1:36" x14ac:dyDescent="0.35">
      <c r="I176" s="109">
        <v>4.6217071101599998E-2</v>
      </c>
      <c r="J176" s="49">
        <v>4.881634734288619E-10</v>
      </c>
      <c r="K176" s="49">
        <v>4.3711248590649732E-11</v>
      </c>
      <c r="L176" s="157">
        <v>3.3821884124699116E-10</v>
      </c>
      <c r="M176" s="32"/>
      <c r="R176" s="60">
        <v>1205.0283507830741</v>
      </c>
      <c r="S176" s="57">
        <v>2.6848762718115108E-6</v>
      </c>
      <c r="U176" s="127">
        <v>1.2229829242482164E-10</v>
      </c>
      <c r="V176" s="127">
        <v>3.3821884124699116E-10</v>
      </c>
      <c r="W176" s="127">
        <v>8.1820900969549729E-10</v>
      </c>
      <c r="X176" s="128">
        <f t="shared" si="4"/>
        <v>4.0423624615357529E-10</v>
      </c>
      <c r="Y176" s="139">
        <f t="shared" si="5"/>
        <v>3.6865431940047841</v>
      </c>
      <c r="AA176" s="73"/>
      <c r="AB176" s="182"/>
      <c r="AC176" s="182"/>
      <c r="AD176" s="182"/>
      <c r="AJ176" s="135"/>
    </row>
    <row r="177" spans="9:36" x14ac:dyDescent="0.35">
      <c r="I177" s="109">
        <v>4.6679241812599997E-2</v>
      </c>
      <c r="J177" s="49">
        <v>7.5454156409936472E-10</v>
      </c>
      <c r="K177" s="49">
        <v>5.2462911047669274E-11</v>
      </c>
      <c r="L177" s="156">
        <v>5.8707109038519642E-10</v>
      </c>
      <c r="M177" s="33"/>
      <c r="R177" s="60">
        <v>1205.0283507830741</v>
      </c>
      <c r="S177" s="57">
        <v>2.803121015899125E-6</v>
      </c>
      <c r="U177" s="127">
        <v>1.7979522520789943E-10</v>
      </c>
      <c r="V177" s="127">
        <v>5.8707109038519642E-10</v>
      </c>
      <c r="W177" s="127">
        <v>1.0467350682661128E-9</v>
      </c>
      <c r="X177" s="128">
        <f t="shared" si="4"/>
        <v>6.0016811856110124E-10</v>
      </c>
      <c r="Y177" s="139">
        <f t="shared" si="5"/>
        <v>8.6584554180841273</v>
      </c>
      <c r="AA177" s="73"/>
      <c r="AB177" s="182"/>
      <c r="AC177" s="182"/>
      <c r="AD177" s="182"/>
      <c r="AJ177" s="135"/>
    </row>
    <row r="178" spans="9:36" x14ac:dyDescent="0.35">
      <c r="I178" s="109">
        <v>4.71460342308E-2</v>
      </c>
      <c r="J178" s="49">
        <v>8.3341396904127216E-10</v>
      </c>
      <c r="K178" s="49">
        <v>5.6641461381815062E-11</v>
      </c>
      <c r="L178" s="156">
        <v>8.5788835106790693E-10</v>
      </c>
      <c r="M178" s="33"/>
      <c r="R178" s="60">
        <v>1205.4535726110928</v>
      </c>
      <c r="S178" s="57">
        <v>2.803121015899125E-6</v>
      </c>
      <c r="U178" s="127">
        <v>3.5732375599582453E-10</v>
      </c>
      <c r="V178" s="127">
        <v>8.5788835106790693E-10</v>
      </c>
      <c r="W178" s="127">
        <v>1.1728573096179261E-9</v>
      </c>
      <c r="X178" s="128">
        <f t="shared" si="4"/>
        <v>8.1148944193739104E-10</v>
      </c>
      <c r="Y178" s="139">
        <f t="shared" si="5"/>
        <v>0.14982751266158917</v>
      </c>
      <c r="AA178" s="73"/>
      <c r="AB178" s="182"/>
      <c r="AC178" s="182"/>
      <c r="AD178" s="182"/>
      <c r="AJ178" s="135"/>
    </row>
    <row r="179" spans="9:36" x14ac:dyDescent="0.35">
      <c r="I179" s="109">
        <v>4.7617494573100001E-2</v>
      </c>
      <c r="J179" s="49">
        <v>1.0007053466058773E-9</v>
      </c>
      <c r="K179" s="49">
        <v>6.321982321880726E-11</v>
      </c>
      <c r="L179" s="156">
        <v>1.0800027838043899E-9</v>
      </c>
      <c r="M179" s="33"/>
      <c r="R179" s="60">
        <v>1205.4535726110928</v>
      </c>
      <c r="S179" s="57">
        <v>2.9183663411666309E-6</v>
      </c>
      <c r="U179" s="127">
        <v>6.145577215107979E-10</v>
      </c>
      <c r="V179" s="127">
        <v>1.0800027838043899E-9</v>
      </c>
      <c r="W179" s="127">
        <v>1.1584714509093443E-9</v>
      </c>
      <c r="X179" s="128">
        <f t="shared" si="4"/>
        <v>9.832586850072306E-10</v>
      </c>
      <c r="Y179" s="139">
        <f t="shared" si="5"/>
        <v>7.6158454226514544E-2</v>
      </c>
      <c r="AA179" s="73"/>
      <c r="AB179" s="182"/>
      <c r="AC179" s="182"/>
      <c r="AD179" s="182"/>
      <c r="AJ179" s="135"/>
    </row>
    <row r="180" spans="9:36" x14ac:dyDescent="0.35">
      <c r="I180" s="109">
        <v>4.8093669518800002E-2</v>
      </c>
      <c r="J180" s="49">
        <v>9.7771915957316859E-10</v>
      </c>
      <c r="K180" s="49">
        <v>6.1596866025342836E-11</v>
      </c>
      <c r="L180" s="156">
        <v>1.191965418758786E-9</v>
      </c>
      <c r="M180" s="33"/>
      <c r="R180" s="60">
        <v>1205.9760953209595</v>
      </c>
      <c r="S180" s="57">
        <v>2.9183663411666309E-6</v>
      </c>
      <c r="U180" s="127">
        <v>8.8800274355837015E-10</v>
      </c>
      <c r="V180" s="127">
        <v>1.191965418758786E-9</v>
      </c>
      <c r="W180" s="127">
        <v>1.0030021975627142E-9</v>
      </c>
      <c r="X180" s="128">
        <f t="shared" si="4"/>
        <v>1.068733944659664E-9</v>
      </c>
      <c r="Y180" s="139">
        <f t="shared" si="5"/>
        <v>2.1832660583357582</v>
      </c>
      <c r="AA180" s="73"/>
      <c r="AB180" s="182"/>
      <c r="AC180" s="182"/>
      <c r="AD180" s="182"/>
      <c r="AJ180" s="135"/>
    </row>
    <row r="181" spans="9:36" x14ac:dyDescent="0.35">
      <c r="I181" s="109">
        <v>4.8574606213999998E-2</v>
      </c>
      <c r="J181" s="49">
        <v>9.585058831778789E-10</v>
      </c>
      <c r="K181" s="49">
        <v>6.2854152831703094E-11</v>
      </c>
      <c r="L181" s="156">
        <v>1.1593522719222978E-9</v>
      </c>
      <c r="M181" s="33"/>
      <c r="R181" s="60">
        <v>1205.9760953209595</v>
      </c>
      <c r="S181" s="57">
        <v>3.0275673693087792E-6</v>
      </c>
      <c r="U181" s="127">
        <v>1.1062135179114322E-9</v>
      </c>
      <c r="V181" s="127">
        <v>1.1593522719222978E-9</v>
      </c>
      <c r="W181" s="127">
        <v>7.4646888006261476E-10</v>
      </c>
      <c r="X181" s="128">
        <f t="shared" si="4"/>
        <v>1.0428467354546607E-9</v>
      </c>
      <c r="Y181" s="139">
        <f t="shared" si="5"/>
        <v>1.8005617341712536</v>
      </c>
      <c r="AA181" s="73"/>
      <c r="AB181" s="182"/>
      <c r="AC181" s="182"/>
      <c r="AD181" s="182"/>
      <c r="AJ181" s="135"/>
    </row>
    <row r="182" spans="9:36" x14ac:dyDescent="0.35">
      <c r="I182" s="109">
        <v>4.9060352276099999E-2</v>
      </c>
      <c r="J182" s="49">
        <v>9.5703560091381814E-10</v>
      </c>
      <c r="K182" s="49">
        <v>6.4004102597749573E-11</v>
      </c>
      <c r="L182" s="156">
        <v>9.8660893243774341E-10</v>
      </c>
      <c r="M182" s="33"/>
      <c r="R182" s="60">
        <v>1206.6892725089831</v>
      </c>
      <c r="S182" s="57">
        <v>3.0275673693087792E-6</v>
      </c>
      <c r="U182" s="127">
        <v>1.2086711407044583E-9</v>
      </c>
      <c r="V182" s="127">
        <v>9.8660893243774341E-10</v>
      </c>
      <c r="W182" s="127">
        <v>4.6084419038172921E-10</v>
      </c>
      <c r="X182" s="128">
        <f t="shared" si="4"/>
        <v>9.1068329899041853E-10</v>
      </c>
      <c r="Y182" s="139">
        <f t="shared" si="5"/>
        <v>0.52447765246661404</v>
      </c>
      <c r="AA182" s="73"/>
      <c r="AB182" s="182"/>
      <c r="AC182" s="182"/>
      <c r="AD182" s="182"/>
      <c r="AJ182" s="135"/>
    </row>
    <row r="183" spans="9:36" x14ac:dyDescent="0.35">
      <c r="I183" s="109">
        <v>4.9550955798900002E-2</v>
      </c>
      <c r="J183" s="49">
        <v>6.9019642520328455E-10</v>
      </c>
      <c r="K183" s="49">
        <v>5.4167517026565991E-11</v>
      </c>
      <c r="L183" s="156">
        <v>7.1877482603533666E-10</v>
      </c>
      <c r="M183" s="33"/>
      <c r="R183" s="60">
        <v>1206.6892725089831</v>
      </c>
      <c r="S183" s="57">
        <v>3.1240728746787833E-6</v>
      </c>
      <c r="U183" s="127">
        <v>1.1634457659382069E-9</v>
      </c>
      <c r="V183" s="127">
        <v>7.1877482603533666E-10</v>
      </c>
      <c r="W183" s="127">
        <v>2.3093234968040168E-10</v>
      </c>
      <c r="X183" s="128">
        <f t="shared" si="4"/>
        <v>7.0798194192232042E-10</v>
      </c>
      <c r="Y183" s="139">
        <f t="shared" si="5"/>
        <v>0.10780902473492764</v>
      </c>
      <c r="AA183" s="73"/>
      <c r="AB183" s="182"/>
      <c r="AC183" s="182"/>
      <c r="AD183" s="182"/>
      <c r="AJ183" s="135"/>
    </row>
    <row r="184" spans="9:36" x14ac:dyDescent="0.35">
      <c r="I184" s="109">
        <v>5.0046465356900001E-2</v>
      </c>
      <c r="J184" s="49">
        <v>6.8254934493094103E-10</v>
      </c>
      <c r="K184" s="49">
        <v>5.3059930750420688E-11</v>
      </c>
      <c r="L184" s="156">
        <v>4.3137211854024735E-10</v>
      </c>
      <c r="M184" s="33"/>
      <c r="R184" s="60">
        <v>1207.970861384357</v>
      </c>
      <c r="S184" s="57">
        <v>3.1240728746787833E-6</v>
      </c>
      <c r="U184" s="127">
        <v>9.7844947044444537E-10</v>
      </c>
      <c r="V184" s="127">
        <v>4.3137211854024735E-10</v>
      </c>
      <c r="W184" s="127">
        <v>1.2943247543831042E-10</v>
      </c>
      <c r="X184" s="128">
        <f t="shared" si="4"/>
        <v>4.9265654574081267E-10</v>
      </c>
      <c r="Y184" s="139">
        <f t="shared" si="5"/>
        <v>12.80806831049804</v>
      </c>
      <c r="AA184" s="73"/>
      <c r="AB184" s="182"/>
      <c r="AC184" s="182"/>
      <c r="AD184" s="182"/>
      <c r="AJ184" s="135"/>
    </row>
    <row r="185" spans="9:36" x14ac:dyDescent="0.35">
      <c r="I185" s="109">
        <v>5.0546930010399997E-2</v>
      </c>
      <c r="J185" s="49">
        <v>4.8600451820356042E-10</v>
      </c>
      <c r="K185" s="49">
        <v>4.6392775897964131E-11</v>
      </c>
      <c r="L185" s="156">
        <v>2.1011445797895669E-10</v>
      </c>
      <c r="M185" s="33"/>
      <c r="R185" s="60">
        <v>1207.970861384357</v>
      </c>
      <c r="S185" s="57">
        <v>3.1907825106873794E-6</v>
      </c>
      <c r="U185" s="127">
        <v>7.0224125345735061E-10</v>
      </c>
      <c r="V185" s="127">
        <v>2.1011445797895669E-10</v>
      </c>
      <c r="W185" s="127">
        <v>1.9336161542844647E-10</v>
      </c>
      <c r="X185" s="128">
        <f t="shared" si="4"/>
        <v>3.289579462109276E-10</v>
      </c>
      <c r="Y185" s="139">
        <f t="shared" si="5"/>
        <v>11.459250250725683</v>
      </c>
      <c r="AA185" s="73"/>
      <c r="AB185" s="182"/>
      <c r="AC185" s="182"/>
      <c r="AD185" s="182"/>
      <c r="AJ185" s="135"/>
    </row>
    <row r="186" spans="9:36" x14ac:dyDescent="0.35">
      <c r="I186" s="109">
        <v>5.1052399310499999E-2</v>
      </c>
      <c r="J186" s="49">
        <v>4.3773204902205908E-10</v>
      </c>
      <c r="K186" s="49">
        <v>4.7243630332415342E-11</v>
      </c>
      <c r="L186" s="156">
        <v>1.2549755597017248E-10</v>
      </c>
      <c r="M186" s="33"/>
      <c r="R186" s="60">
        <v>1209.6919429724312</v>
      </c>
      <c r="S186" s="57">
        <v>3.1907825106873794E-6</v>
      </c>
      <c r="U186" s="127">
        <v>4.1290212152686594E-10</v>
      </c>
      <c r="V186" s="127">
        <v>1.2549755597017248E-10</v>
      </c>
      <c r="W186" s="127">
        <v>4.0957665073775046E-10</v>
      </c>
      <c r="X186" s="128">
        <f t="shared" si="4"/>
        <v>2.6836847105124035E-10</v>
      </c>
      <c r="Y186" s="139">
        <f t="shared" si="5"/>
        <v>12.851490950735499</v>
      </c>
      <c r="AA186" s="73"/>
      <c r="AB186" s="182"/>
      <c r="AC186" s="182"/>
      <c r="AD186" s="182"/>
      <c r="AJ186" s="135"/>
    </row>
    <row r="187" spans="9:36" x14ac:dyDescent="0.35">
      <c r="I187" s="109">
        <v>5.1562923303600003E-2</v>
      </c>
      <c r="J187" s="49">
        <v>4.4939331377078088E-10</v>
      </c>
      <c r="K187" s="49">
        <v>5.0615877625499872E-11</v>
      </c>
      <c r="L187" s="156">
        <v>2.0967608349789535E-10</v>
      </c>
      <c r="M187" s="33"/>
      <c r="R187" s="60">
        <v>1209.6919429724312</v>
      </c>
      <c r="S187" s="57">
        <v>3.1999999999999999E-6</v>
      </c>
      <c r="U187" s="127">
        <v>1.9692784614765342E-10</v>
      </c>
      <c r="V187" s="127">
        <v>2.0967608349789535E-10</v>
      </c>
      <c r="W187" s="127">
        <v>7.1520133504916536E-10</v>
      </c>
      <c r="X187" s="128">
        <f t="shared" si="4"/>
        <v>3.328703370481524E-10</v>
      </c>
      <c r="Y187" s="139">
        <f t="shared" si="5"/>
        <v>5.2996794045302655</v>
      </c>
      <c r="AA187" s="73"/>
      <c r="AB187" s="182"/>
      <c r="AC187" s="182"/>
      <c r="AD187" s="182"/>
      <c r="AJ187" s="135"/>
    </row>
    <row r="188" spans="9:36" x14ac:dyDescent="0.35">
      <c r="I188" s="109">
        <v>5.2078552536699997E-2</v>
      </c>
      <c r="J188" s="49">
        <v>5.9770098944131299E-10</v>
      </c>
      <c r="K188" s="49">
        <v>5.5285768286343998E-11</v>
      </c>
      <c r="L188" s="156">
        <v>4.4332722626399526E-10</v>
      </c>
      <c r="M188" s="33"/>
      <c r="R188" s="60">
        <v>1219.9897457570921</v>
      </c>
      <c r="S188" s="57">
        <v>3.1999999999999999E-6</v>
      </c>
      <c r="U188" s="127">
        <v>1.2347117284885349E-10</v>
      </c>
      <c r="V188" s="127">
        <v>4.4332722626399526E-10</v>
      </c>
      <c r="W188" s="127">
        <v>1.0145516150000838E-9</v>
      </c>
      <c r="X188" s="128">
        <f t="shared" si="4"/>
        <v>5.0616931009423195E-10</v>
      </c>
      <c r="Y188" s="139">
        <f t="shared" si="5"/>
        <v>2.7410449820589724</v>
      </c>
      <c r="AA188" s="73"/>
      <c r="AB188" s="182"/>
      <c r="AC188" s="182"/>
      <c r="AD188" s="182"/>
      <c r="AJ188" s="135"/>
    </row>
    <row r="189" spans="9:36" x14ac:dyDescent="0.35">
      <c r="I189" s="109">
        <v>5.2599338062100001E-2</v>
      </c>
      <c r="J189" s="49">
        <v>7.5870464427246455E-10</v>
      </c>
      <c r="K189" s="49">
        <v>6.3078619111442465E-11</v>
      </c>
      <c r="L189" s="156">
        <v>7.5797070929537982E-10</v>
      </c>
      <c r="M189" s="33"/>
      <c r="R189" s="60">
        <v>1219.9897457570921</v>
      </c>
      <c r="S189" s="57">
        <v>3.1955803682416796E-6</v>
      </c>
      <c r="U189" s="127">
        <v>2.2149541019446898E-10</v>
      </c>
      <c r="V189" s="127">
        <v>7.5797070929537982E-10</v>
      </c>
      <c r="W189" s="127">
        <v>1.2087335677183199E-9</v>
      </c>
      <c r="X189" s="128">
        <f t="shared" si="4"/>
        <v>7.3654259912588715E-10</v>
      </c>
      <c r="Y189" s="139">
        <f t="shared" si="5"/>
        <v>0.12343983022193322</v>
      </c>
      <c r="AA189" s="73"/>
      <c r="AB189" s="182"/>
      <c r="AC189" s="182"/>
      <c r="AD189" s="182"/>
      <c r="AJ189" s="135"/>
    </row>
    <row r="190" spans="9:36" x14ac:dyDescent="0.35">
      <c r="I190" s="109">
        <v>5.31253314427E-2</v>
      </c>
      <c r="J190" s="49">
        <v>9.0308861309472084E-10</v>
      </c>
      <c r="K190" s="49">
        <v>7.2568392351633112E-11</v>
      </c>
      <c r="L190" s="156">
        <v>1.0547733837855288E-9</v>
      </c>
      <c r="M190" s="33"/>
      <c r="R190" s="60">
        <v>1221.7108273451663</v>
      </c>
      <c r="S190" s="57">
        <v>3.1955803682416796E-6</v>
      </c>
      <c r="U190" s="127">
        <v>4.675171248533546E-10</v>
      </c>
      <c r="V190" s="127">
        <v>1.0547733837855288E-9</v>
      </c>
      <c r="W190" s="127">
        <v>1.229172021572135E-9</v>
      </c>
      <c r="X190" s="128">
        <f t="shared" si="4"/>
        <v>9.5155897849913679E-10</v>
      </c>
      <c r="Y190" s="139">
        <f t="shared" si="5"/>
        <v>0.44612605037221398</v>
      </c>
      <c r="AA190" s="73"/>
      <c r="AB190" s="182"/>
      <c r="AC190" s="182"/>
      <c r="AD190" s="182"/>
      <c r="AJ190" s="135"/>
    </row>
    <row r="191" spans="9:36" x14ac:dyDescent="0.35">
      <c r="I191" s="109">
        <v>5.3656584757100001E-2</v>
      </c>
      <c r="J191" s="49">
        <v>8.973430516417624E-10</v>
      </c>
      <c r="K191" s="49">
        <v>7.4218544611846994E-11</v>
      </c>
      <c r="L191" s="156">
        <v>1.2353781709952425E-9</v>
      </c>
      <c r="M191" s="33"/>
      <c r="R191" s="60">
        <v>1221.7108273451663</v>
      </c>
      <c r="S191" s="57">
        <v>3.1635942149747698E-6</v>
      </c>
      <c r="U191" s="127">
        <v>7.8918699752040753E-10</v>
      </c>
      <c r="V191" s="127">
        <v>1.2353781709952425E-9</v>
      </c>
      <c r="W191" s="127">
        <v>1.0637565139471657E-9</v>
      </c>
      <c r="X191" s="128">
        <f t="shared" si="4"/>
        <v>1.0809249633645145E-9</v>
      </c>
      <c r="Y191" s="139">
        <f t="shared" si="5"/>
        <v>6.1183583308627991</v>
      </c>
      <c r="AA191" s="73"/>
      <c r="AB191" s="182"/>
      <c r="AC191" s="182"/>
      <c r="AD191" s="182"/>
      <c r="AJ191" s="135"/>
    </row>
    <row r="192" spans="9:36" x14ac:dyDescent="0.35">
      <c r="I192" s="109">
        <v>5.4193150604700001E-2</v>
      </c>
      <c r="J192" s="49">
        <v>9.9318101428115332E-10</v>
      </c>
      <c r="K192" s="49">
        <v>7.6668848600980189E-11</v>
      </c>
      <c r="L192" s="156">
        <v>1.2355201622929707E-9</v>
      </c>
      <c r="M192" s="33"/>
      <c r="R192" s="60">
        <v>1222.9924162205402</v>
      </c>
      <c r="S192" s="57">
        <v>3.1635942149747698E-6</v>
      </c>
      <c r="U192" s="127">
        <v>1.0853640789023233E-9</v>
      </c>
      <c r="V192" s="127">
        <v>1.2355201622929707E-9</v>
      </c>
      <c r="W192" s="127">
        <v>7.6540152155275451E-10</v>
      </c>
      <c r="X192" s="128">
        <f t="shared" ref="X192:X255" si="6">(U192+2*V192+W192)/4</f>
        <v>1.0804514812602549E-9</v>
      </c>
      <c r="Y192" s="139">
        <f t="shared" ref="Y192:Y255" si="7">(J192-X192)*(J192-X192)/(K192*K192)</f>
        <v>1.2956769042007619</v>
      </c>
      <c r="AA192" s="73"/>
      <c r="AB192" s="182"/>
      <c r="AC192" s="182"/>
      <c r="AD192" s="182"/>
      <c r="AJ192" s="135"/>
    </row>
    <row r="193" spans="9:36" x14ac:dyDescent="0.35">
      <c r="I193" s="109">
        <v>5.4735082110700002E-2</v>
      </c>
      <c r="J193" s="49">
        <v>9.1888726292378818E-10</v>
      </c>
      <c r="K193" s="49">
        <v>7.5269376393489498E-11</v>
      </c>
      <c r="L193" s="156">
        <v>1.0499552500345878E-9</v>
      </c>
      <c r="M193" s="33"/>
      <c r="R193" s="60">
        <v>1222.9924162205402</v>
      </c>
      <c r="S193" s="57">
        <v>3.1173214413462679E-6</v>
      </c>
      <c r="U193" s="127">
        <v>1.2578025451225371E-9</v>
      </c>
      <c r="V193" s="127">
        <v>1.0499552500345878E-9</v>
      </c>
      <c r="W193" s="127">
        <v>4.3785304967092701E-10</v>
      </c>
      <c r="X193" s="128">
        <f t="shared" si="6"/>
        <v>9.4889152371565992E-10</v>
      </c>
      <c r="Y193" s="139">
        <f t="shared" si="7"/>
        <v>0.15890195022612771</v>
      </c>
      <c r="AA193" s="73"/>
      <c r="AB193" s="182"/>
      <c r="AC193" s="182"/>
      <c r="AD193" s="182"/>
      <c r="AJ193" s="135"/>
    </row>
    <row r="194" spans="9:36" x14ac:dyDescent="0.35">
      <c r="I194" s="109">
        <v>5.5282432931799998E-2</v>
      </c>
      <c r="J194" s="49">
        <v>8.7396649780687759E-10</v>
      </c>
      <c r="K194" s="49">
        <v>7.5136844901825093E-11</v>
      </c>
      <c r="L194" s="156">
        <v>7.3878092887878172E-10</v>
      </c>
      <c r="M194" s="33"/>
      <c r="R194" s="60">
        <v>1223.7055934085638</v>
      </c>
      <c r="S194" s="57">
        <v>3.1173214413462679E-6</v>
      </c>
      <c r="U194" s="127">
        <v>1.2448814467814251E-9</v>
      </c>
      <c r="V194" s="127">
        <v>7.3878092887878172E-10</v>
      </c>
      <c r="W194" s="127">
        <v>2.0135238462601446E-10</v>
      </c>
      <c r="X194" s="128">
        <f t="shared" si="6"/>
        <v>7.3094892229125069E-10</v>
      </c>
      <c r="Y194" s="139">
        <f t="shared" si="7"/>
        <v>3.6230382068065472</v>
      </c>
      <c r="AA194" s="73"/>
      <c r="AB194" s="182"/>
      <c r="AC194" s="182"/>
      <c r="AD194" s="182"/>
      <c r="AJ194" s="135"/>
    </row>
    <row r="195" spans="9:36" x14ac:dyDescent="0.35">
      <c r="I195" s="109">
        <v>5.5835257261100002E-2</v>
      </c>
      <c r="J195" s="49">
        <v>7.787334106232064E-10</v>
      </c>
      <c r="K195" s="49">
        <v>7.5626438230376302E-11</v>
      </c>
      <c r="L195" s="156">
        <v>4.1067636496713142E-10</v>
      </c>
      <c r="M195" s="33"/>
      <c r="R195" s="60">
        <v>1223.7055934085638</v>
      </c>
      <c r="S195" s="57">
        <v>3.0649613771629046E-6</v>
      </c>
      <c r="U195" s="127">
        <v>1.0457863729036094E-9</v>
      </c>
      <c r="V195" s="127">
        <v>4.1067636496713142E-10</v>
      </c>
      <c r="W195" s="127">
        <v>1.4880073651694327E-10</v>
      </c>
      <c r="X195" s="128">
        <f t="shared" si="6"/>
        <v>5.0398495983870383E-10</v>
      </c>
      <c r="Y195" s="139">
        <f t="shared" si="7"/>
        <v>13.198458481612692</v>
      </c>
      <c r="AA195" s="73"/>
      <c r="AB195" s="182"/>
      <c r="AC195" s="182"/>
      <c r="AD195" s="182"/>
      <c r="AJ195" s="135"/>
    </row>
    <row r="196" spans="9:36" x14ac:dyDescent="0.35">
      <c r="I196" s="109">
        <v>5.6393609833799999E-2</v>
      </c>
      <c r="J196" s="49">
        <v>5.7045773017159007E-10</v>
      </c>
      <c r="K196" s="49">
        <v>6.0771013725971249E-11</v>
      </c>
      <c r="L196" s="156">
        <v>1.8658687182935864E-10</v>
      </c>
      <c r="M196" s="33"/>
      <c r="R196" s="60">
        <v>1224.2281161184305</v>
      </c>
      <c r="S196" s="57">
        <v>3.0649613771629046E-6</v>
      </c>
      <c r="U196" s="127">
        <v>7.2539520412838918E-10</v>
      </c>
      <c r="V196" s="127">
        <v>1.8658687182935864E-10</v>
      </c>
      <c r="W196" s="127">
        <v>3.0823111711240513E-10</v>
      </c>
      <c r="X196" s="128">
        <f t="shared" si="6"/>
        <v>3.5170001622487788E-10</v>
      </c>
      <c r="Y196" s="139">
        <f t="shared" si="7"/>
        <v>12.95787513718135</v>
      </c>
      <c r="AA196" s="73"/>
      <c r="AB196" s="182"/>
      <c r="AC196" s="182"/>
      <c r="AD196" s="182"/>
      <c r="AJ196" s="135"/>
    </row>
    <row r="197" spans="9:36" x14ac:dyDescent="0.35">
      <c r="I197" s="109">
        <v>5.69575459321E-2</v>
      </c>
      <c r="J197" s="49">
        <v>4.8507183516994867E-10</v>
      </c>
      <c r="K197" s="49">
        <v>6.0434060477946234E-11</v>
      </c>
      <c r="L197" s="156">
        <v>1.5531439383003948E-10</v>
      </c>
      <c r="M197" s="33"/>
      <c r="R197" s="60">
        <v>1224.2281161184305</v>
      </c>
      <c r="S197" s="57">
        <v>3.0097031737329488E-6</v>
      </c>
      <c r="U197" s="127">
        <v>3.9583807686035004E-10</v>
      </c>
      <c r="V197" s="127">
        <v>1.5531439383003948E-10</v>
      </c>
      <c r="W197" s="127">
        <v>6.2706917713382275E-10</v>
      </c>
      <c r="X197" s="128">
        <f t="shared" si="6"/>
        <v>3.3338401041356292E-10</v>
      </c>
      <c r="Y197" s="139">
        <f t="shared" si="7"/>
        <v>6.2999615265777109</v>
      </c>
      <c r="AA197" s="73"/>
      <c r="AB197" s="182"/>
      <c r="AC197" s="182"/>
      <c r="AD197" s="182"/>
      <c r="AJ197" s="135"/>
    </row>
    <row r="198" spans="9:36" x14ac:dyDescent="0.35">
      <c r="I198" s="109">
        <v>5.7527121391400003E-2</v>
      </c>
      <c r="J198" s="49">
        <v>7.2139657913039792E-10</v>
      </c>
      <c r="K198" s="49">
        <v>7.2334629547472319E-11</v>
      </c>
      <c r="L198" s="156">
        <v>3.3720395750464843E-10</v>
      </c>
      <c r="M198" s="33"/>
      <c r="R198" s="60">
        <v>1224.6533379464493</v>
      </c>
      <c r="S198" s="57">
        <v>3.0097031737329488E-6</v>
      </c>
      <c r="U198" s="127">
        <v>1.7884706543484992E-10</v>
      </c>
      <c r="V198" s="127">
        <v>3.3720395750464843E-10</v>
      </c>
      <c r="W198" s="127">
        <v>9.8698871397142953E-10</v>
      </c>
      <c r="X198" s="128">
        <f t="shared" si="6"/>
        <v>4.6006092360389407E-10</v>
      </c>
      <c r="Y198" s="139">
        <f t="shared" si="7"/>
        <v>13.052833879698348</v>
      </c>
      <c r="AA198" s="73"/>
      <c r="AB198" s="182"/>
      <c r="AC198" s="182"/>
      <c r="AD198" s="182"/>
      <c r="AJ198" s="135"/>
    </row>
    <row r="199" spans="9:36" x14ac:dyDescent="0.35">
      <c r="I199" s="109">
        <v>5.81023926053E-2</v>
      </c>
      <c r="J199" s="49">
        <v>7.8297387715773519E-10</v>
      </c>
      <c r="K199" s="49">
        <v>7.7038115654470616E-11</v>
      </c>
      <c r="L199" s="156">
        <v>6.7113419716222966E-10</v>
      </c>
      <c r="M199" s="33"/>
      <c r="R199" s="60">
        <v>1224.6533379464493</v>
      </c>
      <c r="S199" s="57">
        <v>2.9530067992105996E-6</v>
      </c>
      <c r="U199" s="127">
        <v>1.6089235350466243E-10</v>
      </c>
      <c r="V199" s="127">
        <v>6.7113419716222966E-10</v>
      </c>
      <c r="W199" s="127">
        <v>1.2468069946220106E-9</v>
      </c>
      <c r="X199" s="128">
        <f t="shared" si="6"/>
        <v>6.8749193561278316E-10</v>
      </c>
      <c r="Y199" s="139">
        <f t="shared" si="7"/>
        <v>1.5361413510554307</v>
      </c>
      <c r="AA199" s="73"/>
      <c r="AB199" s="182"/>
      <c r="AC199" s="182"/>
      <c r="AD199" s="182"/>
      <c r="AJ199" s="135"/>
    </row>
    <row r="200" spans="9:36" x14ac:dyDescent="0.35">
      <c r="I200" s="109">
        <v>5.8683416531400003E-2</v>
      </c>
      <c r="J200" s="49">
        <v>9.8486748434561183E-10</v>
      </c>
      <c r="K200" s="49">
        <v>8.8498957363920957E-11</v>
      </c>
      <c r="L200" s="156">
        <v>1.033060659329322E-9</v>
      </c>
      <c r="M200" s="33"/>
      <c r="R200" s="60">
        <v>1225.0205193557058</v>
      </c>
      <c r="S200" s="57">
        <v>2.9530067992105996E-6</v>
      </c>
      <c r="U200" s="127">
        <v>3.5738162203816165E-10</v>
      </c>
      <c r="V200" s="127">
        <v>1.033060659329322E-9</v>
      </c>
      <c r="W200" s="127">
        <v>1.2992164775709639E-9</v>
      </c>
      <c r="X200" s="128">
        <f t="shared" si="6"/>
        <v>9.3067985456694232E-10</v>
      </c>
      <c r="Y200" s="139">
        <f t="shared" si="7"/>
        <v>0.3749073904052545</v>
      </c>
      <c r="AA200" s="73"/>
      <c r="AB200" s="182"/>
      <c r="AC200" s="182"/>
      <c r="AD200" s="182"/>
      <c r="AJ200" s="135"/>
    </row>
    <row r="201" spans="9:36" x14ac:dyDescent="0.35">
      <c r="I201" s="109">
        <v>5.92702506967E-2</v>
      </c>
      <c r="J201" s="49">
        <v>1.0262475910656813E-9</v>
      </c>
      <c r="K201" s="49">
        <v>9.1512996732032883E-11</v>
      </c>
      <c r="L201" s="156">
        <v>1.2801893632722776E-9</v>
      </c>
      <c r="M201" s="33"/>
      <c r="R201" s="60">
        <v>1225.0205193557058</v>
      </c>
      <c r="S201" s="57">
        <v>2.8956000645763755E-6</v>
      </c>
      <c r="U201" s="127">
        <v>7.0234424239217184E-10</v>
      </c>
      <c r="V201" s="127">
        <v>1.2801893632722776E-9</v>
      </c>
      <c r="W201" s="127">
        <v>1.1165216777282831E-9</v>
      </c>
      <c r="X201" s="128">
        <f t="shared" si="6"/>
        <v>1.0948111616662524E-9</v>
      </c>
      <c r="Y201" s="139">
        <f t="shared" si="7"/>
        <v>0.56133393543532206</v>
      </c>
      <c r="AA201" s="73"/>
      <c r="AB201" s="182"/>
      <c r="AC201" s="182"/>
      <c r="AD201" s="182"/>
      <c r="AJ201" s="135"/>
    </row>
    <row r="202" spans="9:36" x14ac:dyDescent="0.35">
      <c r="I202" s="109">
        <v>5.9862953203699998E-2</v>
      </c>
      <c r="J202" s="49">
        <v>1.1040828160856886E-9</v>
      </c>
      <c r="K202" s="49">
        <v>9.6326184842142009E-11</v>
      </c>
      <c r="L202" s="156">
        <v>1.3097750108262584E-9</v>
      </c>
      <c r="M202" s="33"/>
      <c r="R202" s="60">
        <v>1225.3503742053933</v>
      </c>
      <c r="S202" s="57">
        <v>2.8956000645763755E-6</v>
      </c>
      <c r="U202" s="127">
        <v>1.0666842821863353E-9</v>
      </c>
      <c r="V202" s="127">
        <v>1.3097750108262584E-9</v>
      </c>
      <c r="W202" s="127">
        <v>7.7094852469489263E-10</v>
      </c>
      <c r="X202" s="128">
        <f t="shared" si="6"/>
        <v>1.1142957071334361E-9</v>
      </c>
      <c r="Y202" s="139">
        <f t="shared" si="7"/>
        <v>1.1241096558207082E-2</v>
      </c>
      <c r="AA202" s="73"/>
      <c r="AB202" s="182"/>
      <c r="AC202" s="182"/>
      <c r="AD202" s="182"/>
      <c r="AJ202" s="135"/>
    </row>
    <row r="203" spans="9:36" x14ac:dyDescent="0.35">
      <c r="I203" s="109">
        <v>6.0461582735700001E-2</v>
      </c>
      <c r="J203" s="49">
        <v>1.2686833726122142E-9</v>
      </c>
      <c r="K203" s="49">
        <v>1.0935535456065323E-10</v>
      </c>
      <c r="L203" s="156">
        <v>1.1043125912522713E-9</v>
      </c>
      <c r="M203" s="33"/>
      <c r="R203" s="60">
        <v>1225.3503742053933</v>
      </c>
      <c r="S203" s="57">
        <v>2.8378588981738511E-6</v>
      </c>
      <c r="U203" s="127">
        <v>1.307087220048311E-9</v>
      </c>
      <c r="V203" s="127">
        <v>1.1043125912522713E-9</v>
      </c>
      <c r="W203" s="127">
        <v>4.0868827981504056E-10</v>
      </c>
      <c r="X203" s="128">
        <f t="shared" si="6"/>
        <v>9.8110017059197345E-10</v>
      </c>
      <c r="Y203" s="139">
        <f t="shared" si="7"/>
        <v>6.9158716359571626</v>
      </c>
      <c r="AA203" s="73"/>
      <c r="AB203" s="182"/>
      <c r="AC203" s="182"/>
      <c r="AD203" s="182"/>
      <c r="AJ203" s="135"/>
    </row>
    <row r="204" spans="9:36" x14ac:dyDescent="0.35">
      <c r="I204" s="109">
        <v>6.1066198563099999E-2</v>
      </c>
      <c r="J204" s="49">
        <v>8.8685188225030742E-10</v>
      </c>
      <c r="K204" s="49">
        <v>9.454188867440769E-11</v>
      </c>
      <c r="L204" s="156">
        <v>7.4535725512841976E-10</v>
      </c>
      <c r="M204" s="33"/>
      <c r="R204" s="60">
        <v>1225.6554900650597</v>
      </c>
      <c r="S204" s="57">
        <v>2.8378588981738511E-6</v>
      </c>
      <c r="U204" s="127">
        <v>1.3233566070844244E-9</v>
      </c>
      <c r="V204" s="127">
        <v>7.4535725512841976E-10</v>
      </c>
      <c r="W204" s="127">
        <v>1.9109355836455285E-10</v>
      </c>
      <c r="X204" s="128">
        <f t="shared" si="6"/>
        <v>7.5129116892645423E-10</v>
      </c>
      <c r="Y204" s="139">
        <f t="shared" si="7"/>
        <v>2.0559812176998888</v>
      </c>
      <c r="AA204" s="73"/>
      <c r="AB204" s="182"/>
      <c r="AC204" s="182"/>
      <c r="AD204" s="182"/>
      <c r="AJ204" s="135"/>
    </row>
    <row r="205" spans="9:36" x14ac:dyDescent="0.35">
      <c r="I205" s="109">
        <v>6.1676860548700002E-2</v>
      </c>
      <c r="J205" s="49">
        <v>6.299094089860965E-10</v>
      </c>
      <c r="K205" s="49">
        <v>7.9614426089964118E-11</v>
      </c>
      <c r="L205" s="156">
        <v>3.8533232618091465E-10</v>
      </c>
      <c r="M205" s="33"/>
      <c r="R205" s="60">
        <v>1225.6554900650597</v>
      </c>
      <c r="S205" s="57">
        <v>2.779975947530117E-6</v>
      </c>
      <c r="U205" s="127">
        <v>1.1034739887143807E-9</v>
      </c>
      <c r="V205" s="127">
        <v>3.8533232618091465E-10</v>
      </c>
      <c r="W205" s="127">
        <v>2.2304173749403636E-10</v>
      </c>
      <c r="X205" s="128">
        <f t="shared" si="6"/>
        <v>5.2429509464256162E-10</v>
      </c>
      <c r="Y205" s="139">
        <f t="shared" si="7"/>
        <v>1.7597948006819375</v>
      </c>
      <c r="AA205" s="73"/>
      <c r="AB205" s="182"/>
      <c r="AC205" s="182"/>
      <c r="AD205" s="182"/>
      <c r="AJ205" s="135"/>
    </row>
    <row r="206" spans="9:36" x14ac:dyDescent="0.35">
      <c r="I206" s="109">
        <v>6.2293629154200003E-2</v>
      </c>
      <c r="J206" s="49">
        <v>5.1744159948991217E-10</v>
      </c>
      <c r="K206" s="49">
        <v>7.3818785671096646E-11</v>
      </c>
      <c r="L206" s="156">
        <v>1.8523945871477438E-10</v>
      </c>
      <c r="M206" s="33"/>
      <c r="R206" s="60">
        <v>1225.9443855479294</v>
      </c>
      <c r="S206" s="57">
        <v>2.779975947530117E-6</v>
      </c>
      <c r="U206" s="127">
        <v>7.3516137076335502E-10</v>
      </c>
      <c r="V206" s="127">
        <v>1.8523945871477438E-10</v>
      </c>
      <c r="W206" s="127">
        <v>5.0070581376221188E-10</v>
      </c>
      <c r="X206" s="128">
        <f t="shared" si="6"/>
        <v>4.0158652548877894E-10</v>
      </c>
      <c r="Y206" s="139">
        <f t="shared" si="7"/>
        <v>2.4631809916886702</v>
      </c>
      <c r="AA206" s="73"/>
      <c r="AB206" s="182"/>
      <c r="AC206" s="182"/>
      <c r="AD206" s="182"/>
      <c r="AJ206" s="135"/>
    </row>
    <row r="207" spans="9:36" x14ac:dyDescent="0.35">
      <c r="I207" s="109">
        <v>6.2916565445699998E-2</v>
      </c>
      <c r="J207" s="49">
        <v>5.9667477671208979E-10</v>
      </c>
      <c r="K207" s="49">
        <v>8.257607694569349E-11</v>
      </c>
      <c r="L207" s="156">
        <v>2.4270876896547724E-10</v>
      </c>
      <c r="M207" s="33"/>
      <c r="R207" s="60">
        <v>1225.9443855479294</v>
      </c>
      <c r="S207" s="57">
        <v>2.7220438833250188E-6</v>
      </c>
      <c r="U207" s="127">
        <v>3.7507762455425375E-10</v>
      </c>
      <c r="V207" s="127">
        <v>2.4270876896547724E-10</v>
      </c>
      <c r="W207" s="127">
        <v>9.0555542960596645E-10</v>
      </c>
      <c r="X207" s="128">
        <f t="shared" si="6"/>
        <v>4.4151264802279367E-10</v>
      </c>
      <c r="Y207" s="139">
        <f t="shared" si="7"/>
        <v>3.5307174613862964</v>
      </c>
      <c r="AA207" s="73"/>
      <c r="AB207" s="182"/>
      <c r="AC207" s="182"/>
      <c r="AD207" s="182"/>
      <c r="AJ207" s="135"/>
    </row>
    <row r="208" spans="9:36" x14ac:dyDescent="0.35">
      <c r="I208" s="109">
        <v>6.3545731100199995E-2</v>
      </c>
      <c r="J208" s="49">
        <v>4.4468411997286187E-10</v>
      </c>
      <c r="K208" s="49">
        <v>8.0725916139220672E-11</v>
      </c>
      <c r="L208" s="156">
        <v>5.4261584862662526E-10</v>
      </c>
      <c r="M208" s="33"/>
      <c r="R208" s="60">
        <v>1226.2234033735617</v>
      </c>
      <c r="S208" s="57">
        <v>2.7220438833250188E-6</v>
      </c>
      <c r="U208" s="127">
        <v>1.8455988565755817E-10</v>
      </c>
      <c r="V208" s="127">
        <v>5.4261584862662526E-10</v>
      </c>
      <c r="W208" s="127">
        <v>1.2526409597153767E-9</v>
      </c>
      <c r="X208" s="128">
        <f t="shared" si="6"/>
        <v>6.306081356565463E-10</v>
      </c>
      <c r="Y208" s="139">
        <f t="shared" si="7"/>
        <v>5.304506879812986</v>
      </c>
      <c r="AA208" s="73"/>
      <c r="AB208" s="182"/>
      <c r="AC208" s="182"/>
      <c r="AD208" s="182"/>
      <c r="AJ208" s="135"/>
    </row>
    <row r="209" spans="9:36" x14ac:dyDescent="0.35">
      <c r="I209" s="109">
        <v>6.4181188411200005E-2</v>
      </c>
      <c r="J209" s="49">
        <v>6.5119721190204615E-10</v>
      </c>
      <c r="K209" s="49">
        <v>9.4084593632365434E-11</v>
      </c>
      <c r="L209" s="156">
        <v>9.5609533854788191E-10</v>
      </c>
      <c r="M209" s="33"/>
      <c r="R209" s="60">
        <v>1226.2234033735617</v>
      </c>
      <c r="S209" s="57">
        <v>2.6641004859774172E-6</v>
      </c>
      <c r="U209" s="127">
        <v>2.5729915854718108E-10</v>
      </c>
      <c r="V209" s="127">
        <v>9.5609533854788191E-10</v>
      </c>
      <c r="W209" s="127">
        <v>1.3755934008800927E-9</v>
      </c>
      <c r="X209" s="128">
        <f t="shared" si="6"/>
        <v>8.862708091307595E-10</v>
      </c>
      <c r="Y209" s="139">
        <f t="shared" si="7"/>
        <v>6.2426743353763676</v>
      </c>
      <c r="AA209" s="73"/>
      <c r="AB209" s="182"/>
      <c r="AC209" s="182"/>
      <c r="AD209" s="182"/>
      <c r="AJ209" s="135"/>
    </row>
    <row r="210" spans="9:36" x14ac:dyDescent="0.35">
      <c r="I210" s="109">
        <v>6.4823000295299998E-2</v>
      </c>
      <c r="J210" s="49">
        <v>8.8755616302404146E-10</v>
      </c>
      <c r="K210" s="49">
        <v>1.067267145964961E-10</v>
      </c>
      <c r="L210" s="157">
        <v>1.2938307459350408E-9</v>
      </c>
      <c r="M210" s="18"/>
      <c r="R210" s="60">
        <v>1226.4977341722911</v>
      </c>
      <c r="S210" s="57">
        <v>2.6641004859774172E-6</v>
      </c>
      <c r="U210" s="127">
        <v>5.7150598960320513E-10</v>
      </c>
      <c r="V210" s="127">
        <v>1.2938307459350408E-9</v>
      </c>
      <c r="W210" s="127">
        <v>1.21011059398418E-9</v>
      </c>
      <c r="X210" s="128">
        <f t="shared" si="6"/>
        <v>1.0923195188643668E-9</v>
      </c>
      <c r="Y210" s="139">
        <f t="shared" si="7"/>
        <v>3.6809354014128437</v>
      </c>
      <c r="AA210" s="73"/>
      <c r="AB210" s="182"/>
      <c r="AC210" s="182"/>
      <c r="AD210" s="182"/>
      <c r="AJ210" s="135"/>
    </row>
    <row r="211" spans="9:36" x14ac:dyDescent="0.35">
      <c r="I211" s="49">
        <v>6.5471230298199998E-2</v>
      </c>
      <c r="J211" s="49">
        <v>8.7178425263722371E-10</v>
      </c>
      <c r="K211" s="49">
        <v>1.059907586370493E-10</v>
      </c>
      <c r="L211" s="157">
        <v>1.3935993512872496E-9</v>
      </c>
      <c r="M211" s="18"/>
      <c r="R211" s="60">
        <v>1226.4977341722911</v>
      </c>
      <c r="S211" s="57">
        <v>2.6061558257850508E-6</v>
      </c>
      <c r="U211" s="127">
        <v>9.9185921248354808E-10</v>
      </c>
      <c r="V211" s="127">
        <v>1.3935993512872496E-9</v>
      </c>
      <c r="W211" s="127">
        <v>8.3346762036522378E-10</v>
      </c>
      <c r="X211" s="128">
        <f t="shared" si="6"/>
        <v>1.1531313838558179E-9</v>
      </c>
      <c r="Y211" s="139">
        <f t="shared" si="7"/>
        <v>7.0461028968635375</v>
      </c>
      <c r="AA211" s="73"/>
      <c r="AB211" s="182"/>
      <c r="AC211" s="182"/>
      <c r="AD211" s="182"/>
      <c r="AJ211" s="135"/>
    </row>
    <row r="212" spans="9:36" x14ac:dyDescent="0.35">
      <c r="I212" s="49">
        <v>6.61259426012E-2</v>
      </c>
      <c r="J212" s="49">
        <v>1.0132237580045626E-9</v>
      </c>
      <c r="K212" s="49">
        <v>1.1952831923483458E-10</v>
      </c>
      <c r="L212" s="157">
        <v>1.2023005789758468E-9</v>
      </c>
      <c r="M212" s="18"/>
      <c r="R212" s="60">
        <v>1226.7720649710204</v>
      </c>
      <c r="S212" s="57">
        <v>2.6061558257850508E-6</v>
      </c>
      <c r="U212" s="127">
        <v>1.3258552129060029E-9</v>
      </c>
      <c r="V212" s="127">
        <v>1.2023005789758468E-9</v>
      </c>
      <c r="W212" s="127">
        <v>4.3481020400738218E-10</v>
      </c>
      <c r="X212" s="128">
        <f t="shared" si="6"/>
        <v>1.0413166437162698E-9</v>
      </c>
      <c r="Y212" s="139">
        <f t="shared" si="7"/>
        <v>5.5239670510450221E-2</v>
      </c>
      <c r="AA212" s="73"/>
      <c r="AB212" s="182"/>
      <c r="AC212" s="182"/>
      <c r="AD212" s="182"/>
      <c r="AJ212" s="135"/>
    </row>
    <row r="213" spans="9:36" x14ac:dyDescent="0.35">
      <c r="I213" s="49">
        <v>6.6787202027199996E-2</v>
      </c>
      <c r="J213" s="49">
        <v>8.7419672580157041E-10</v>
      </c>
      <c r="K213" s="49">
        <v>1.083716804538973E-10</v>
      </c>
      <c r="L213" s="157">
        <v>8.1030220254803451E-10</v>
      </c>
      <c r="M213" s="18"/>
      <c r="R213" s="60">
        <v>1226.7720649710204</v>
      </c>
      <c r="S213" s="57">
        <v>2.5482124284374491E-6</v>
      </c>
      <c r="U213" s="127">
        <v>1.4130674472285758E-9</v>
      </c>
      <c r="V213" s="127">
        <v>8.1030220254803451E-10</v>
      </c>
      <c r="W213" s="127">
        <v>2.2420988189777923E-10</v>
      </c>
      <c r="X213" s="128">
        <f t="shared" si="6"/>
        <v>8.1447043355560602E-10</v>
      </c>
      <c r="Y213" s="139">
        <f t="shared" si="7"/>
        <v>0.30373825560790213</v>
      </c>
      <c r="AA213" s="73"/>
      <c r="AB213" s="182"/>
      <c r="AC213" s="182"/>
      <c r="AD213" s="182"/>
      <c r="AJ213" s="135"/>
    </row>
    <row r="214" spans="9:36" x14ac:dyDescent="0.35">
      <c r="I214" s="49">
        <v>6.7455074047499994E-2</v>
      </c>
      <c r="J214" s="49">
        <v>8.3954552412311481E-10</v>
      </c>
      <c r="K214" s="49">
        <v>1.1183955239110637E-10</v>
      </c>
      <c r="L214" s="157">
        <v>4.1512597236265244E-10</v>
      </c>
      <c r="M214" s="18"/>
      <c r="R214" s="60">
        <v>1227.0510827966527</v>
      </c>
      <c r="S214" s="57">
        <v>2.5482124284374491E-6</v>
      </c>
      <c r="U214" s="127">
        <v>1.2065699200071762E-9</v>
      </c>
      <c r="V214" s="127">
        <v>4.1512597236265244E-10</v>
      </c>
      <c r="W214" s="127">
        <v>3.2244006153641089E-10</v>
      </c>
      <c r="X214" s="128">
        <f t="shared" si="6"/>
        <v>5.8981548156722298E-10</v>
      </c>
      <c r="Y214" s="139">
        <f t="shared" si="7"/>
        <v>4.9859824078959676</v>
      </c>
      <c r="AA214" s="73"/>
      <c r="AB214" s="182"/>
      <c r="AC214" s="182"/>
      <c r="AD214" s="182"/>
      <c r="AJ214" s="135"/>
    </row>
    <row r="215" spans="9:36" x14ac:dyDescent="0.35">
      <c r="I215" s="49">
        <v>6.8129624787999998E-2</v>
      </c>
      <c r="J215" s="49">
        <v>6.8847664313129294E-10</v>
      </c>
      <c r="K215" s="49">
        <v>1.0371587258532687E-10</v>
      </c>
      <c r="L215" s="157">
        <v>2.2578090387257725E-10</v>
      </c>
      <c r="M215" s="18"/>
      <c r="R215" s="60">
        <v>1227.0510827966527</v>
      </c>
      <c r="S215" s="57">
        <v>2.4902803642323509E-6</v>
      </c>
      <c r="U215" s="127">
        <v>8.0443962799871702E-10</v>
      </c>
      <c r="V215" s="127">
        <v>2.2578090387257725E-10</v>
      </c>
      <c r="W215" s="127">
        <v>6.8947796489099395E-10</v>
      </c>
      <c r="X215" s="128">
        <f t="shared" si="6"/>
        <v>4.8636985015871642E-10</v>
      </c>
      <c r="Y215" s="139">
        <f t="shared" si="7"/>
        <v>3.7972690580835398</v>
      </c>
      <c r="AA215" s="73"/>
      <c r="AB215" s="182"/>
      <c r="AC215" s="182"/>
      <c r="AD215" s="182"/>
      <c r="AJ215" s="135"/>
    </row>
    <row r="216" spans="9:36" x14ac:dyDescent="0.35">
      <c r="I216" s="49">
        <v>6.8810921035900002E-2</v>
      </c>
      <c r="J216" s="49">
        <v>8.1612464013370864E-10</v>
      </c>
      <c r="K216" s="49">
        <v>1.1619268246017598E-10</v>
      </c>
      <c r="L216" s="157">
        <v>3.5245470809106386E-10</v>
      </c>
      <c r="M216" s="18"/>
      <c r="R216" s="60">
        <v>1227.3399782795225</v>
      </c>
      <c r="S216" s="57">
        <v>2.4902803642323509E-6</v>
      </c>
      <c r="U216" s="127">
        <v>4.0960134464650143E-10</v>
      </c>
      <c r="V216" s="127">
        <v>3.5245470809106386E-10</v>
      </c>
      <c r="W216" s="127">
        <v>1.1356501871863602E-9</v>
      </c>
      <c r="X216" s="128">
        <f t="shared" si="6"/>
        <v>5.6254023700374734E-10</v>
      </c>
      <c r="Y216" s="139">
        <f t="shared" si="7"/>
        <v>4.7630761051425052</v>
      </c>
      <c r="AA216" s="73"/>
      <c r="AB216" s="182"/>
      <c r="AC216" s="182"/>
      <c r="AD216" s="182"/>
      <c r="AJ216" s="135"/>
    </row>
    <row r="217" spans="9:36" x14ac:dyDescent="0.35">
      <c r="I217" s="49">
        <v>6.9499030246199994E-2</v>
      </c>
      <c r="J217" s="49">
        <v>9.9058523436299355E-10</v>
      </c>
      <c r="K217" s="49">
        <v>1.2588294015652997E-10</v>
      </c>
      <c r="L217" s="157">
        <v>7.4012496265017511E-10</v>
      </c>
      <c r="M217" s="18"/>
      <c r="R217" s="60">
        <v>1227.3399782795225</v>
      </c>
      <c r="S217" s="57">
        <v>2.4323974135886168E-6</v>
      </c>
      <c r="U217" s="127">
        <v>2.3123443904522364E-10</v>
      </c>
      <c r="V217" s="127">
        <v>7.4012496265017511E-10</v>
      </c>
      <c r="W217" s="127">
        <v>1.4180360200059322E-9</v>
      </c>
      <c r="X217" s="128">
        <f t="shared" si="6"/>
        <v>7.8238009608787656E-10</v>
      </c>
      <c r="Y217" s="139">
        <f t="shared" si="7"/>
        <v>2.735578178354753</v>
      </c>
      <c r="AA217" s="73"/>
      <c r="AB217" s="182"/>
      <c r="AC217" s="182"/>
      <c r="AD217" s="182"/>
      <c r="AJ217" s="135"/>
    </row>
    <row r="218" spans="9:36" x14ac:dyDescent="0.35">
      <c r="I218" s="49">
        <v>7.0194020548699998E-2</v>
      </c>
      <c r="J218" s="49">
        <v>9.3382943013043937E-10</v>
      </c>
      <c r="K218" s="49">
        <v>1.2191253894373804E-10</v>
      </c>
      <c r="L218" s="157">
        <v>1.1877205039173291E-9</v>
      </c>
      <c r="M218" s="18"/>
      <c r="R218" s="60">
        <v>1227.6450941391888</v>
      </c>
      <c r="S218" s="57">
        <v>2.4323974135886168E-6</v>
      </c>
      <c r="U218" s="127">
        <v>3.7409735402852361E-10</v>
      </c>
      <c r="V218" s="127">
        <v>1.1877205039173291E-9</v>
      </c>
      <c r="W218" s="127">
        <v>1.3757813205409009E-9</v>
      </c>
      <c r="X218" s="128">
        <f t="shared" si="6"/>
        <v>1.0313299206010208E-9</v>
      </c>
      <c r="Y218" s="139">
        <f t="shared" si="7"/>
        <v>0.63961236196500559</v>
      </c>
      <c r="AA218" s="73"/>
      <c r="AB218" s="182"/>
      <c r="AC218" s="182"/>
      <c r="AD218" s="182"/>
      <c r="AJ218" s="135"/>
    </row>
    <row r="219" spans="9:36" x14ac:dyDescent="0.35">
      <c r="I219" s="49">
        <v>7.0895960754200002E-2</v>
      </c>
      <c r="J219" s="49">
        <v>1.1799339179361841E-9</v>
      </c>
      <c r="K219" s="49">
        <v>1.415316207768039E-10</v>
      </c>
      <c r="L219" s="157">
        <v>1.4512047908115731E-9</v>
      </c>
      <c r="M219" s="18"/>
      <c r="R219" s="60">
        <v>1227.6450941391888</v>
      </c>
      <c r="S219" s="57">
        <v>2.374656247186092E-6</v>
      </c>
      <c r="U219" s="127">
        <v>7.7476967682177876E-10</v>
      </c>
      <c r="V219" s="127">
        <v>1.4512047908115731E-9</v>
      </c>
      <c r="W219" s="127">
        <v>1.0291922800452384E-9</v>
      </c>
      <c r="X219" s="128">
        <f t="shared" si="6"/>
        <v>1.1765928846225408E-9</v>
      </c>
      <c r="Y219" s="139">
        <f t="shared" si="7"/>
        <v>5.5725586991085482E-4</v>
      </c>
      <c r="AA219" s="73"/>
      <c r="AB219" s="182"/>
      <c r="AC219" s="182"/>
      <c r="AD219" s="182"/>
      <c r="AJ219" s="135"/>
    </row>
    <row r="220" spans="9:36" x14ac:dyDescent="0.35">
      <c r="I220" s="49">
        <v>7.1604920361700006E-2</v>
      </c>
      <c r="J220" s="49">
        <v>9.9101261999306157E-10</v>
      </c>
      <c r="K220" s="49">
        <v>1.3064113374621305E-10</v>
      </c>
      <c r="L220" s="157">
        <v>1.3802244811552679E-9</v>
      </c>
      <c r="M220" s="18"/>
      <c r="R220" s="60">
        <v>1227.9749489888763</v>
      </c>
      <c r="S220" s="57">
        <v>2.374656247186092E-6</v>
      </c>
      <c r="U220" s="127">
        <v>1.225266009748428E-9</v>
      </c>
      <c r="V220" s="127">
        <v>1.3802244811552679E-9</v>
      </c>
      <c r="W220" s="127">
        <v>5.7964496817576833E-10</v>
      </c>
      <c r="X220" s="128">
        <f t="shared" si="6"/>
        <v>1.141339985058683E-9</v>
      </c>
      <c r="Y220" s="139">
        <f t="shared" si="7"/>
        <v>1.3240860470021663</v>
      </c>
      <c r="AA220" s="73"/>
      <c r="AB220" s="182"/>
      <c r="AC220" s="182"/>
      <c r="AD220" s="182"/>
      <c r="AJ220" s="135"/>
    </row>
    <row r="221" spans="9:36" x14ac:dyDescent="0.35">
      <c r="I221" s="49">
        <v>7.23209695653E-2</v>
      </c>
      <c r="J221" s="49">
        <v>1.0612475960452959E-9</v>
      </c>
      <c r="K221" s="49">
        <v>1.3249169297412676E-10</v>
      </c>
      <c r="L221" s="157">
        <v>1.011830568451719E-9</v>
      </c>
      <c r="M221" s="18"/>
      <c r="R221" s="60">
        <v>1227.9749489888763</v>
      </c>
      <c r="S221" s="57">
        <v>2.3172495125518683E-6</v>
      </c>
      <c r="U221" s="127">
        <v>1.4800568960522137E-9</v>
      </c>
      <c r="V221" s="127">
        <v>1.011830568451719E-9</v>
      </c>
      <c r="W221" s="127">
        <v>2.9985471919963357E-10</v>
      </c>
      <c r="X221" s="128">
        <f t="shared" si="6"/>
        <v>9.5089318803882131E-10</v>
      </c>
      <c r="Y221" s="139">
        <f t="shared" si="7"/>
        <v>0.69374852318251667</v>
      </c>
      <c r="AA221" s="73"/>
      <c r="AB221" s="182"/>
      <c r="AC221" s="182"/>
      <c r="AD221" s="182"/>
      <c r="AJ221" s="135"/>
    </row>
    <row r="222" spans="9:36" x14ac:dyDescent="0.35">
      <c r="I222" s="49">
        <v>7.3044179261E-2</v>
      </c>
      <c r="J222" s="49">
        <v>1.0588823154543242E-9</v>
      </c>
      <c r="K222" s="49">
        <v>1.377321901779589E-10</v>
      </c>
      <c r="L222" s="157">
        <v>5.6081056171259625E-10</v>
      </c>
      <c r="M222" s="18"/>
      <c r="R222" s="60">
        <v>1228.3421303981329</v>
      </c>
      <c r="S222" s="57">
        <v>2.3172495125518683E-6</v>
      </c>
      <c r="U222" s="127">
        <v>1.3938394067709661E-9</v>
      </c>
      <c r="V222" s="127">
        <v>5.6081056171259625E-10</v>
      </c>
      <c r="W222" s="127">
        <v>3.7082569783456991E-10</v>
      </c>
      <c r="X222" s="128">
        <f t="shared" si="6"/>
        <v>7.2157155700768214E-10</v>
      </c>
      <c r="Y222" s="139">
        <f t="shared" si="7"/>
        <v>5.9977654636586157</v>
      </c>
      <c r="AA222" s="73"/>
      <c r="AB222" s="182"/>
      <c r="AC222" s="182"/>
      <c r="AD222" s="182"/>
      <c r="AJ222" s="135"/>
    </row>
    <row r="223" spans="9:36" x14ac:dyDescent="0.35">
      <c r="I223" s="49">
        <v>7.3774621053599998E-2</v>
      </c>
      <c r="J223" s="49">
        <v>7.6500032082762618E-10</v>
      </c>
      <c r="K223" s="49">
        <v>1.2510549285956277E-10</v>
      </c>
      <c r="L223" s="157">
        <v>3.015816714695469E-10</v>
      </c>
      <c r="M223" s="18"/>
      <c r="R223" s="60">
        <v>1228.3421303981329</v>
      </c>
      <c r="S223" s="57">
        <v>2.2605531380295192E-6</v>
      </c>
      <c r="U223" s="127">
        <v>1.0126551098490454E-9</v>
      </c>
      <c r="V223" s="127">
        <v>3.015816714695469E-10</v>
      </c>
      <c r="W223" s="127">
        <v>7.6262606670295936E-10</v>
      </c>
      <c r="X223" s="128">
        <f t="shared" si="6"/>
        <v>5.946111298727746E-10</v>
      </c>
      <c r="Y223" s="139">
        <f t="shared" si="7"/>
        <v>1.8549462307503333</v>
      </c>
      <c r="AA223" s="73"/>
      <c r="AB223" s="182"/>
      <c r="AC223" s="182"/>
      <c r="AD223" s="182"/>
      <c r="AJ223" s="135"/>
    </row>
    <row r="224" spans="9:36" x14ac:dyDescent="0.35">
      <c r="I224" s="49">
        <v>7.4512367264100002E-2</v>
      </c>
      <c r="J224" s="49">
        <v>8.7492771954535204E-10</v>
      </c>
      <c r="K224" s="49">
        <v>1.3814120681191325E-10</v>
      </c>
      <c r="L224" s="157">
        <v>4.0331503448141516E-10</v>
      </c>
      <c r="M224" s="18"/>
      <c r="R224" s="60">
        <v>1228.7673522261516</v>
      </c>
      <c r="S224" s="57">
        <v>2.2605531380295192E-6</v>
      </c>
      <c r="U224" s="127">
        <v>5.5910385502598999E-10</v>
      </c>
      <c r="V224" s="127">
        <v>4.0331503448141516E-10</v>
      </c>
      <c r="W224" s="127">
        <v>1.2400502596144881E-9</v>
      </c>
      <c r="X224" s="128">
        <f t="shared" si="6"/>
        <v>6.5144604590082711E-10</v>
      </c>
      <c r="Y224" s="139">
        <f t="shared" si="7"/>
        <v>2.6172025742528273</v>
      </c>
      <c r="AA224" s="73"/>
      <c r="AB224" s="182"/>
      <c r="AC224" s="182"/>
      <c r="AD224" s="182"/>
      <c r="AJ224" s="135"/>
    </row>
    <row r="225" spans="9:36" x14ac:dyDescent="0.35">
      <c r="I225" s="49">
        <v>7.5257490936799995E-2</v>
      </c>
      <c r="J225" s="49">
        <v>9.7195249427506738E-10</v>
      </c>
      <c r="K225" s="49">
        <v>1.3893172030367836E-10</v>
      </c>
      <c r="L225" s="157">
        <v>8.1729241401896894E-10</v>
      </c>
      <c r="M225" s="18"/>
      <c r="R225" s="60">
        <v>1228.7673522261516</v>
      </c>
      <c r="S225" s="57">
        <v>2.2052949345995633E-6</v>
      </c>
      <c r="U225" s="127">
        <v>3.0947746478542623E-10</v>
      </c>
      <c r="V225" s="127">
        <v>8.1729241401896894E-10</v>
      </c>
      <c r="W225" s="127">
        <v>1.5023757318275298E-9</v>
      </c>
      <c r="X225" s="128">
        <f t="shared" si="6"/>
        <v>8.6160950616272338E-10</v>
      </c>
      <c r="Y225" s="139">
        <f t="shared" si="7"/>
        <v>0.63079269382878056</v>
      </c>
      <c r="AA225" s="73"/>
      <c r="AB225" s="182"/>
      <c r="AC225" s="182"/>
      <c r="AD225" s="182"/>
      <c r="AJ225" s="135"/>
    </row>
    <row r="226" spans="9:36" x14ac:dyDescent="0.35">
      <c r="I226" s="49">
        <v>7.6010065846099997E-2</v>
      </c>
      <c r="J226" s="49">
        <v>8.8246531226940863E-10</v>
      </c>
      <c r="K226" s="49">
        <v>1.3414355454368724E-10</v>
      </c>
      <c r="L226" s="157">
        <v>1.2941881475241087E-9</v>
      </c>
      <c r="M226" s="18"/>
      <c r="R226" s="60">
        <v>1229.2898749360184</v>
      </c>
      <c r="S226" s="57">
        <v>2.2052949345995633E-6</v>
      </c>
      <c r="U226" s="127">
        <v>4.2745314356560493E-10</v>
      </c>
      <c r="V226" s="127">
        <v>1.2941881475241087E-9</v>
      </c>
      <c r="W226" s="127">
        <v>1.378045279793986E-9</v>
      </c>
      <c r="X226" s="128">
        <f t="shared" si="6"/>
        <v>1.0984686796019522E-9</v>
      </c>
      <c r="Y226" s="139">
        <f t="shared" si="7"/>
        <v>2.5928740595250974</v>
      </c>
      <c r="AA226" s="73"/>
      <c r="AB226" s="182"/>
      <c r="AC226" s="182"/>
      <c r="AD226" s="182"/>
      <c r="AJ226" s="135"/>
    </row>
    <row r="227" spans="9:36" x14ac:dyDescent="0.35">
      <c r="I227" s="49">
        <v>7.6770166504600001E-2</v>
      </c>
      <c r="J227" s="49">
        <v>1.0468807825846019E-9</v>
      </c>
      <c r="K227" s="49">
        <v>1.505885512931953E-10</v>
      </c>
      <c r="L227" s="157">
        <v>1.5333630343130382E-9</v>
      </c>
      <c r="M227" s="18"/>
      <c r="R227" s="60">
        <v>1229.2898749360184</v>
      </c>
      <c r="S227" s="57">
        <v>2.1529348704162E-6</v>
      </c>
      <c r="U227" s="127">
        <v>8.5453965071947179E-10</v>
      </c>
      <c r="V227" s="127">
        <v>1.5333630343130382E-9</v>
      </c>
      <c r="W227" s="127">
        <v>9.4811034629597461E-10</v>
      </c>
      <c r="X227" s="128">
        <f t="shared" si="6"/>
        <v>1.2173440164103806E-9</v>
      </c>
      <c r="Y227" s="139">
        <f t="shared" si="7"/>
        <v>1.2813788035821638</v>
      </c>
      <c r="AA227" s="73"/>
      <c r="AB227" s="182"/>
      <c r="AC227" s="182"/>
      <c r="AD227" s="182"/>
      <c r="AJ227" s="135"/>
    </row>
    <row r="228" spans="9:36" x14ac:dyDescent="0.35">
      <c r="I228" s="49">
        <v>7.7537868169599997E-2</v>
      </c>
      <c r="J228" s="49">
        <v>1.1794324047835183E-9</v>
      </c>
      <c r="K228" s="49">
        <v>1.6266418307315766E-10</v>
      </c>
      <c r="L228" s="157">
        <v>1.3783950892895041E-9</v>
      </c>
      <c r="M228" s="18"/>
      <c r="R228" s="60">
        <v>1230.0030521240419</v>
      </c>
      <c r="S228" s="57">
        <v>2.1529348704162E-6</v>
      </c>
      <c r="U228" s="127">
        <v>1.3333818703442216E-9</v>
      </c>
      <c r="V228" s="127">
        <v>1.3783950892895041E-9</v>
      </c>
      <c r="W228" s="127">
        <v>5.0615822781643065E-10</v>
      </c>
      <c r="X228" s="128">
        <f t="shared" si="6"/>
        <v>1.1490825691849152E-9</v>
      </c>
      <c r="Y228" s="139">
        <f t="shared" si="7"/>
        <v>3.4811987021580101E-2</v>
      </c>
      <c r="AA228" s="73"/>
      <c r="AB228" s="182"/>
      <c r="AC228" s="182"/>
      <c r="AD228" s="182"/>
      <c r="AJ228" s="135"/>
    </row>
    <row r="229" spans="9:36" x14ac:dyDescent="0.35">
      <c r="I229" s="49">
        <v>7.8313246851300006E-2</v>
      </c>
      <c r="J229" s="49">
        <v>1.2403300159750366E-9</v>
      </c>
      <c r="K229" s="49">
        <v>1.6951072000580546E-10</v>
      </c>
      <c r="L229" s="157">
        <v>9.3120333615265273E-10</v>
      </c>
      <c r="M229" s="18"/>
      <c r="R229" s="60">
        <v>1230.0030521240419</v>
      </c>
      <c r="S229" s="57">
        <v>2.1066620967876981E-6</v>
      </c>
      <c r="U229" s="127">
        <v>1.5623355903932576E-9</v>
      </c>
      <c r="V229" s="127">
        <v>9.3120333615265273E-10</v>
      </c>
      <c r="W229" s="127">
        <v>3.663467839902772E-10</v>
      </c>
      <c r="X229" s="128">
        <f t="shared" si="6"/>
        <v>9.4777226167220999E-10</v>
      </c>
      <c r="Y229" s="139">
        <f t="shared" si="7"/>
        <v>2.978714573228046</v>
      </c>
      <c r="AA229" s="73"/>
      <c r="AB229" s="182"/>
      <c r="AC229" s="182"/>
      <c r="AD229" s="182"/>
      <c r="AJ229" s="135"/>
    </row>
    <row r="230" spans="9:36" x14ac:dyDescent="0.35">
      <c r="I230" s="49">
        <v>7.90963793198E-2</v>
      </c>
      <c r="J230" s="49">
        <v>9.0373585025850846E-10</v>
      </c>
      <c r="K230" s="49">
        <v>1.4900884683119978E-10</v>
      </c>
      <c r="L230" s="157">
        <v>4.979111842800863E-10</v>
      </c>
      <c r="M230" s="27"/>
      <c r="R230" s="60">
        <v>1231.2846409994158</v>
      </c>
      <c r="S230" s="57">
        <v>2.1066620967876981E-6</v>
      </c>
      <c r="U230" s="127">
        <v>1.3919699525457024E-9</v>
      </c>
      <c r="V230" s="127">
        <v>4.979111842800863E-10</v>
      </c>
      <c r="W230" s="127">
        <v>6.4145137550956158E-10</v>
      </c>
      <c r="X230" s="128">
        <f t="shared" si="6"/>
        <v>7.573109241538592E-10</v>
      </c>
      <c r="Y230" s="139">
        <f t="shared" si="7"/>
        <v>0.96561926009361898</v>
      </c>
      <c r="AA230" s="73"/>
      <c r="AB230" s="182"/>
      <c r="AC230" s="182"/>
      <c r="AD230" s="182"/>
      <c r="AJ230" s="135"/>
    </row>
    <row r="231" spans="9:36" x14ac:dyDescent="0.35">
      <c r="I231" s="49">
        <v>7.9887343112999998E-2</v>
      </c>
      <c r="J231" s="49">
        <v>1.1590846670320936E-9</v>
      </c>
      <c r="K231" s="49">
        <v>1.651739790916661E-10</v>
      </c>
      <c r="L231" s="157">
        <v>3.8753778112396813E-10</v>
      </c>
      <c r="M231" s="27"/>
      <c r="R231" s="60">
        <v>1231.2846409994158</v>
      </c>
      <c r="S231" s="57">
        <v>2.0746759435207884E-6</v>
      </c>
      <c r="U231" s="127">
        <v>9.3483444094175846E-10</v>
      </c>
      <c r="V231" s="127">
        <v>3.8753778112396813E-10</v>
      </c>
      <c r="W231" s="127">
        <v>1.1493674232440467E-9</v>
      </c>
      <c r="X231" s="128">
        <f t="shared" si="6"/>
        <v>7.1481935660843537E-10</v>
      </c>
      <c r="Y231" s="139">
        <f t="shared" si="7"/>
        <v>7.2343837894769454</v>
      </c>
      <c r="AA231" s="73"/>
      <c r="AB231" s="182"/>
      <c r="AC231" s="182"/>
      <c r="AD231" s="182"/>
      <c r="AJ231" s="135"/>
    </row>
    <row r="232" spans="9:36" x14ac:dyDescent="0.35">
      <c r="I232" s="49">
        <v>8.0686216544199996E-2</v>
      </c>
      <c r="J232" s="49">
        <v>8.512482352216042E-10</v>
      </c>
      <c r="K232" s="49">
        <v>1.5113695873765242E-10</v>
      </c>
      <c r="L232" s="157">
        <v>6.926410125055962E-10</v>
      </c>
      <c r="M232" s="27"/>
      <c r="R232" s="60">
        <v>1233.00572258749</v>
      </c>
      <c r="S232" s="57">
        <v>2.0746759435207884E-6</v>
      </c>
      <c r="U232" s="127">
        <v>5.0419276697437859E-10</v>
      </c>
      <c r="V232" s="127">
        <v>6.926410125055962E-10</v>
      </c>
      <c r="W232" s="127">
        <v>1.5299574811532896E-9</v>
      </c>
      <c r="X232" s="128">
        <f t="shared" si="6"/>
        <v>8.5485806828471524E-10</v>
      </c>
      <c r="Y232" s="139">
        <f t="shared" si="7"/>
        <v>5.7047008999956022E-4</v>
      </c>
      <c r="AA232" s="73"/>
      <c r="AB232" s="182"/>
      <c r="AC232" s="182"/>
      <c r="AD232" s="182"/>
      <c r="AJ232" s="135"/>
    </row>
    <row r="233" spans="9:36" x14ac:dyDescent="0.35">
      <c r="I233" s="49">
        <v>8.14930787096E-2</v>
      </c>
      <c r="J233" s="49">
        <v>7.4137919690262202E-10</v>
      </c>
      <c r="K233" s="49">
        <v>1.4650871124866624E-10</v>
      </c>
      <c r="L233" s="157">
        <v>1.2096616761181687E-9</v>
      </c>
      <c r="M233" s="27"/>
      <c r="R233" s="60">
        <v>1233.00572258749</v>
      </c>
      <c r="S233" s="57">
        <v>2.0702563117624681E-6</v>
      </c>
      <c r="U233" s="127">
        <v>4.0758655145886233E-10</v>
      </c>
      <c r="V233" s="127">
        <v>1.2096616761181687E-9</v>
      </c>
      <c r="W233" s="127">
        <v>1.5047407240841851E-9</v>
      </c>
      <c r="X233" s="128">
        <f t="shared" si="6"/>
        <v>1.0829126569448462E-9</v>
      </c>
      <c r="Y233" s="139">
        <f t="shared" si="7"/>
        <v>5.4342500697110054</v>
      </c>
      <c r="AA233" s="73"/>
      <c r="AB233" s="182"/>
      <c r="AC233" s="182"/>
      <c r="AD233" s="182"/>
      <c r="AJ233" s="135"/>
    </row>
    <row r="234" spans="9:36" x14ac:dyDescent="0.35">
      <c r="I234" s="49">
        <v>8.2308009496700002E-2</v>
      </c>
      <c r="J234" s="49">
        <v>1.0045433379452487E-9</v>
      </c>
      <c r="K234" s="49">
        <v>1.7219728768673008E-10</v>
      </c>
      <c r="L234" s="157">
        <v>1.5716440559420095E-9</v>
      </c>
      <c r="M234" s="27"/>
      <c r="R234" s="60">
        <v>1333.00572258749</v>
      </c>
      <c r="S234" s="57">
        <v>2.0702563117624681E-6</v>
      </c>
      <c r="U234" s="127">
        <v>7.2818191515585687E-10</v>
      </c>
      <c r="V234" s="127">
        <v>1.5716440559420095E-9</v>
      </c>
      <c r="W234" s="127">
        <v>1.0940810531461802E-9</v>
      </c>
      <c r="X234" s="128">
        <f t="shared" si="6"/>
        <v>1.2413877700465142E-9</v>
      </c>
      <c r="Y234" s="139">
        <f t="shared" si="7"/>
        <v>1.8917935741390308</v>
      </c>
      <c r="AA234" s="73"/>
      <c r="AB234" s="182"/>
      <c r="AC234" s="182"/>
      <c r="AD234" s="182"/>
      <c r="AJ234" s="135"/>
    </row>
    <row r="235" spans="9:36" x14ac:dyDescent="0.35">
      <c r="I235" s="49">
        <v>8.31310895917E-2</v>
      </c>
      <c r="J235" s="49">
        <v>1.2061732963182462E-9</v>
      </c>
      <c r="K235" s="49">
        <v>1.8951153093492041E-10</v>
      </c>
      <c r="L235" s="157">
        <v>1.5139580516238999E-9</v>
      </c>
      <c r="M235" s="27"/>
      <c r="U235" s="127">
        <v>1.2516037771721276E-9</v>
      </c>
      <c r="V235" s="127">
        <v>1.5139580516238999E-9</v>
      </c>
      <c r="W235" s="127">
        <v>6.1822591923031626E-10</v>
      </c>
      <c r="X235" s="128">
        <f t="shared" si="6"/>
        <v>1.2244364499125609E-9</v>
      </c>
      <c r="Y235" s="139">
        <f t="shared" si="7"/>
        <v>9.2871030207551369E-3</v>
      </c>
      <c r="AA235" s="73"/>
      <c r="AB235" s="182"/>
      <c r="AC235" s="182"/>
      <c r="AD235" s="182"/>
      <c r="AJ235" s="135"/>
    </row>
    <row r="236" spans="9:36" x14ac:dyDescent="0.35">
      <c r="I236" s="49">
        <v>8.3962400487599995E-2</v>
      </c>
      <c r="J236" s="49">
        <v>1.0664072211294424E-9</v>
      </c>
      <c r="K236" s="49">
        <v>1.8509216992497521E-10</v>
      </c>
      <c r="L236" s="157">
        <v>1.0820317984722979E-9</v>
      </c>
      <c r="M236" s="27"/>
      <c r="U236" s="127">
        <v>1.6065780163887907E-9</v>
      </c>
      <c r="V236" s="127">
        <v>1.0820317984722979E-9</v>
      </c>
      <c r="W236" s="127">
        <v>4.6073045284321861E-10</v>
      </c>
      <c r="X236" s="128">
        <f t="shared" si="6"/>
        <v>1.0578430165441512E-9</v>
      </c>
      <c r="Y236" s="139">
        <f t="shared" si="7"/>
        <v>2.140907841766878E-3</v>
      </c>
      <c r="AA236" s="73"/>
      <c r="AB236" s="182"/>
      <c r="AC236" s="182"/>
      <c r="AD236" s="182"/>
      <c r="AJ236" s="135"/>
    </row>
    <row r="237" spans="9:36" x14ac:dyDescent="0.35">
      <c r="I237" s="49">
        <v>8.4802024492500003E-2</v>
      </c>
      <c r="J237" s="49">
        <v>1.1806342244394354E-9</v>
      </c>
      <c r="K237" s="49">
        <v>1.9497147483810184E-10</v>
      </c>
      <c r="L237" s="157">
        <v>6.1337427888619537E-10</v>
      </c>
      <c r="M237" s="27"/>
      <c r="U237" s="127">
        <v>1.5341383362275705E-9</v>
      </c>
      <c r="V237" s="127">
        <v>6.1337427888619537E-10</v>
      </c>
      <c r="W237" s="127">
        <v>7.6313942551734992E-10</v>
      </c>
      <c r="X237" s="128">
        <f t="shared" si="6"/>
        <v>8.810065798793278E-10</v>
      </c>
      <c r="Y237" s="139">
        <f t="shared" si="7"/>
        <v>2.361683017626302</v>
      </c>
      <c r="AA237" s="73"/>
      <c r="AB237" s="182"/>
      <c r="AC237" s="182"/>
      <c r="AD237" s="182"/>
      <c r="AJ237" s="135"/>
    </row>
    <row r="238" spans="9:36" x14ac:dyDescent="0.35">
      <c r="I238" s="49">
        <v>8.5650044737399997E-2</v>
      </c>
      <c r="J238" s="49">
        <v>9.6646498416945169E-10</v>
      </c>
      <c r="K238" s="49">
        <v>1.9072335179014333E-10</v>
      </c>
      <c r="L238" s="157">
        <v>4.8675286804384654E-10</v>
      </c>
      <c r="M238" s="27"/>
      <c r="U238" s="127">
        <v>1.091386091472378E-9</v>
      </c>
      <c r="V238" s="127">
        <v>4.8675286804384654E-10</v>
      </c>
      <c r="W238" s="127">
        <v>1.2958904874174886E-9</v>
      </c>
      <c r="X238" s="128">
        <f t="shared" si="6"/>
        <v>8.4019557874438989E-10</v>
      </c>
      <c r="Y238" s="139">
        <f t="shared" si="7"/>
        <v>0.43831721705501592</v>
      </c>
      <c r="AA238" s="73"/>
      <c r="AB238" s="182"/>
      <c r="AC238" s="182"/>
      <c r="AD238" s="182"/>
      <c r="AJ238" s="135"/>
    </row>
    <row r="239" spans="9:36" x14ac:dyDescent="0.35">
      <c r="I239" s="49">
        <v>8.6506545184799999E-2</v>
      </c>
      <c r="J239" s="49">
        <v>1.3597373939118596E-9</v>
      </c>
      <c r="K239" s="49">
        <v>2.1554979903466333E-10</v>
      </c>
      <c r="L239" s="157">
        <v>8.1951154140139847E-10</v>
      </c>
      <c r="M239" s="27"/>
      <c r="U239" s="127">
        <v>6.2462524533703573E-10</v>
      </c>
      <c r="V239" s="127">
        <v>8.1951154140139847E-10</v>
      </c>
      <c r="W239" s="127">
        <v>1.6300130204981886E-9</v>
      </c>
      <c r="X239" s="128">
        <f t="shared" si="6"/>
        <v>9.7341533715950526E-10</v>
      </c>
      <c r="Y239" s="139">
        <f t="shared" si="7"/>
        <v>3.2122087778807629</v>
      </c>
      <c r="AA239" s="73"/>
      <c r="AB239" s="182"/>
      <c r="AC239" s="182"/>
      <c r="AD239" s="182"/>
      <c r="AJ239" s="135"/>
    </row>
    <row r="240" spans="9:36" x14ac:dyDescent="0.35">
      <c r="I240" s="49">
        <v>8.7371610636599997E-2</v>
      </c>
      <c r="J240" s="49">
        <v>1.0744600767841532E-9</v>
      </c>
      <c r="K240" s="49">
        <v>1.1636680721013354E-10</v>
      </c>
      <c r="L240" s="157">
        <v>1.3574287538498313E-9</v>
      </c>
      <c r="M240" s="27"/>
      <c r="U240" s="127">
        <v>5.1145806224007246E-10</v>
      </c>
      <c r="V240" s="127">
        <v>1.3574287538498313E-9</v>
      </c>
      <c r="W240" s="127">
        <v>1.4908421645528371E-9</v>
      </c>
      <c r="X240" s="128">
        <f t="shared" si="6"/>
        <v>1.179289433623143E-9</v>
      </c>
      <c r="Y240" s="139">
        <f t="shared" si="7"/>
        <v>0.81153565480997836</v>
      </c>
      <c r="AA240" s="73"/>
      <c r="AB240" s="182"/>
      <c r="AC240" s="182"/>
      <c r="AD240" s="182"/>
      <c r="AJ240" s="135"/>
    </row>
    <row r="241" spans="9:36" x14ac:dyDescent="0.35">
      <c r="I241" s="49">
        <v>8.8245326742999994E-2</v>
      </c>
      <c r="J241" s="49">
        <v>1.3120463546276542E-9</v>
      </c>
      <c r="K241" s="49">
        <v>1.2873672508170353E-10</v>
      </c>
      <c r="L241" s="157">
        <v>1.6671879461888179E-9</v>
      </c>
      <c r="M241" s="27"/>
      <c r="U241" s="127">
        <v>8.5871643539386913E-10</v>
      </c>
      <c r="V241" s="127">
        <v>1.6671879461888179E-9</v>
      </c>
      <c r="W241" s="127">
        <v>1.0033146093553521E-9</v>
      </c>
      <c r="X241" s="128">
        <f t="shared" si="6"/>
        <v>1.2991017342817142E-9</v>
      </c>
      <c r="Y241" s="139">
        <f t="shared" si="7"/>
        <v>1.0110525317970893E-2</v>
      </c>
      <c r="AA241" s="73"/>
      <c r="AB241" s="182"/>
      <c r="AC241" s="182"/>
      <c r="AD241" s="182"/>
      <c r="AJ241" s="135"/>
    </row>
    <row r="242" spans="9:36" x14ac:dyDescent="0.35">
      <c r="I242" s="49">
        <v>8.9127780010400004E-2</v>
      </c>
      <c r="J242" s="49">
        <v>1.2747840253043465E-9</v>
      </c>
      <c r="K242" s="49">
        <v>1.2330608999229697E-10</v>
      </c>
      <c r="L242" s="157">
        <v>1.494938359785329E-9</v>
      </c>
      <c r="M242" s="27"/>
      <c r="U242" s="127">
        <v>1.400680279573718E-9</v>
      </c>
      <c r="V242" s="127">
        <v>1.494938359785329E-9</v>
      </c>
      <c r="W242" s="127">
        <v>6.0241187514144124E-10</v>
      </c>
      <c r="X242" s="128">
        <f t="shared" si="6"/>
        <v>1.2482422185714543E-9</v>
      </c>
      <c r="Y242" s="139">
        <f t="shared" si="7"/>
        <v>4.633315903460259E-2</v>
      </c>
      <c r="AA242" s="73"/>
      <c r="AB242" s="182"/>
      <c r="AC242" s="182"/>
      <c r="AD242" s="182"/>
      <c r="AJ242" s="135"/>
    </row>
    <row r="243" spans="9:36" x14ac:dyDescent="0.35">
      <c r="I243" s="49">
        <v>9.00190578105E-2</v>
      </c>
      <c r="J243" s="49">
        <v>1.1560217146363046E-9</v>
      </c>
      <c r="K243" s="49">
        <v>1.161926982344141E-10</v>
      </c>
      <c r="L243" s="157">
        <v>9.9476195314129653E-10</v>
      </c>
      <c r="M243" s="27"/>
      <c r="U243" s="127">
        <v>1.7011636959838951E-9</v>
      </c>
      <c r="V243" s="127">
        <v>9.9476195314129653E-10</v>
      </c>
      <c r="W243" s="127">
        <v>6.5935290287148057E-10</v>
      </c>
      <c r="X243" s="128">
        <f t="shared" si="6"/>
        <v>1.0875101262844923E-9</v>
      </c>
      <c r="Y243" s="139">
        <f t="shared" si="7"/>
        <v>0.34767254629813166</v>
      </c>
      <c r="AA243" s="73"/>
      <c r="AB243" s="182"/>
      <c r="AC243" s="182"/>
      <c r="AD243" s="182"/>
      <c r="AJ243" s="135"/>
    </row>
    <row r="244" spans="9:36" x14ac:dyDescent="0.35">
      <c r="I244" s="49">
        <v>9.0919248388599994E-2</v>
      </c>
      <c r="J244" s="49">
        <v>1.0995566254756361E-9</v>
      </c>
      <c r="K244" s="49">
        <v>1.1887537168547923E-10</v>
      </c>
      <c r="L244" s="157">
        <v>6.1362724225411731E-10</v>
      </c>
      <c r="M244" s="27"/>
      <c r="U244" s="127">
        <v>1.5147834950756982E-9</v>
      </c>
      <c r="V244" s="127">
        <v>6.1362724225411731E-10</v>
      </c>
      <c r="W244" s="127">
        <v>1.1403614803577014E-9</v>
      </c>
      <c r="X244" s="128">
        <f t="shared" si="6"/>
        <v>9.7059986498540859E-10</v>
      </c>
      <c r="Y244" s="139">
        <f t="shared" si="7"/>
        <v>1.1768048612996964</v>
      </c>
      <c r="AA244" s="73"/>
      <c r="AB244" s="182"/>
      <c r="AC244" s="182"/>
      <c r="AD244" s="182"/>
      <c r="AJ244" s="135"/>
    </row>
    <row r="245" spans="9:36" x14ac:dyDescent="0.35">
      <c r="I245" s="49">
        <v>9.18284408725E-2</v>
      </c>
      <c r="J245" s="49">
        <v>1.2212743280455831E-9</v>
      </c>
      <c r="K245" s="49">
        <v>1.2487295545752294E-10</v>
      </c>
      <c r="L245" s="157">
        <v>7.0581647797973014E-10</v>
      </c>
      <c r="M245" s="27"/>
      <c r="U245" s="127">
        <v>1.0083805482632844E-9</v>
      </c>
      <c r="V245" s="127">
        <v>7.0581647797973014E-10</v>
      </c>
      <c r="W245" s="127">
        <v>1.6184842891401752E-9</v>
      </c>
      <c r="X245" s="128">
        <f t="shared" si="6"/>
        <v>1.0096244483407299E-9</v>
      </c>
      <c r="Y245" s="139">
        <f t="shared" si="7"/>
        <v>2.8727595082352511</v>
      </c>
      <c r="AA245" s="73"/>
      <c r="AB245" s="182"/>
      <c r="AC245" s="182"/>
      <c r="AD245" s="182"/>
      <c r="AJ245" s="135"/>
    </row>
    <row r="246" spans="9:36" x14ac:dyDescent="0.35">
      <c r="I246" s="49">
        <v>9.2746725281199996E-2</v>
      </c>
      <c r="J246" s="49">
        <v>1.2007336064679026E-9</v>
      </c>
      <c r="K246" s="49">
        <v>1.2595117252233769E-10</v>
      </c>
      <c r="L246" s="157">
        <v>1.2058050738426605E-9</v>
      </c>
      <c r="M246" s="27"/>
      <c r="U246" s="127">
        <v>6.3477914646996072E-10</v>
      </c>
      <c r="V246" s="127">
        <v>1.2058050738426605E-9</v>
      </c>
      <c r="W246" s="127">
        <v>1.6577102463927761E-9</v>
      </c>
      <c r="X246" s="128">
        <f t="shared" si="6"/>
        <v>1.1760248851370144E-9</v>
      </c>
      <c r="Y246" s="139">
        <f t="shared" si="7"/>
        <v>3.8485409593967582E-2</v>
      </c>
      <c r="AA246" s="73"/>
      <c r="AB246" s="182"/>
      <c r="AC246" s="182"/>
      <c r="AD246" s="182"/>
      <c r="AJ246" s="135"/>
    </row>
    <row r="247" spans="9:36" x14ac:dyDescent="0.35">
      <c r="I247" s="49">
        <v>9.3674192534E-2</v>
      </c>
      <c r="J247" s="49">
        <v>1.42662763266464E-9</v>
      </c>
      <c r="K247" s="49">
        <v>1.4110448816371599E-10</v>
      </c>
      <c r="L247" s="157">
        <v>1.6691171514739927E-9</v>
      </c>
      <c r="M247" s="27"/>
      <c r="U247" s="127">
        <v>7.4174163104805674E-10</v>
      </c>
      <c r="V247" s="127">
        <v>1.6691171514739927E-9</v>
      </c>
      <c r="W247" s="127">
        <v>1.2309486110129637E-9</v>
      </c>
      <c r="X247" s="128">
        <f t="shared" si="6"/>
        <v>1.3277311362522515E-9</v>
      </c>
      <c r="Y247" s="139">
        <f t="shared" si="7"/>
        <v>0.49122465569194074</v>
      </c>
      <c r="AA247" s="73"/>
      <c r="AB247" s="182"/>
      <c r="AC247" s="182"/>
      <c r="AD247" s="182"/>
      <c r="AJ247" s="135"/>
    </row>
    <row r="248" spans="9:36" x14ac:dyDescent="0.35">
      <c r="I248" s="49">
        <v>9.4610934459399998E-2</v>
      </c>
      <c r="J248" s="49">
        <v>1.2730674288285693E-9</v>
      </c>
      <c r="K248" s="49">
        <v>1.3769668050758901E-10</v>
      </c>
      <c r="L248" s="157">
        <v>1.6738978692769802E-9</v>
      </c>
      <c r="M248" s="27"/>
      <c r="U248" s="127">
        <v>1.250529462368644E-9</v>
      </c>
      <c r="V248" s="127">
        <v>1.6738978692769802E-9</v>
      </c>
      <c r="W248" s="127">
        <v>7.6494509189591293E-10</v>
      </c>
      <c r="X248" s="128">
        <f t="shared" si="6"/>
        <v>1.3408175732046293E-9</v>
      </c>
      <c r="Y248" s="139">
        <f t="shared" si="7"/>
        <v>0.24208813716947375</v>
      </c>
      <c r="AA248" s="73"/>
      <c r="AB248" s="182"/>
      <c r="AC248" s="182"/>
      <c r="AD248" s="182"/>
      <c r="AJ248" s="135"/>
    </row>
    <row r="249" spans="9:36" x14ac:dyDescent="0.35">
      <c r="I249" s="49">
        <v>9.5557043804E-2</v>
      </c>
      <c r="J249" s="49">
        <v>1.2821745824731111E-9</v>
      </c>
      <c r="K249" s="49">
        <v>1.3658698105472208E-10</v>
      </c>
      <c r="L249" s="157">
        <v>1.2266983886425482E-9</v>
      </c>
      <c r="M249" s="27"/>
      <c r="U249" s="127">
        <v>1.7089745214989733E-9</v>
      </c>
      <c r="V249" s="127">
        <v>1.2266983886425482E-9</v>
      </c>
      <c r="W249" s="127">
        <v>7.3637114027084346E-10</v>
      </c>
      <c r="X249" s="128">
        <f t="shared" si="6"/>
        <v>1.2246856097637282E-9</v>
      </c>
      <c r="Y249" s="139">
        <f t="shared" si="7"/>
        <v>0.17715380478041373</v>
      </c>
      <c r="AA249" s="73"/>
      <c r="AB249" s="182"/>
      <c r="AC249" s="182"/>
      <c r="AD249" s="182"/>
      <c r="AJ249" s="135"/>
    </row>
    <row r="250" spans="9:36" x14ac:dyDescent="0.35">
      <c r="I250" s="49">
        <v>9.6512614242E-2</v>
      </c>
      <c r="J250" s="49">
        <v>1.2215506744643687E-9</v>
      </c>
      <c r="K250" s="49">
        <v>1.3503046416602622E-10</v>
      </c>
      <c r="L250" s="157">
        <v>7.7505553154850243E-10</v>
      </c>
      <c r="M250" s="27"/>
      <c r="U250" s="127">
        <v>1.7005192765446467E-9</v>
      </c>
      <c r="V250" s="127">
        <v>7.7505553154850243E-10</v>
      </c>
      <c r="W250" s="127">
        <v>1.1921909176312103E-9</v>
      </c>
      <c r="X250" s="128">
        <f t="shared" si="6"/>
        <v>1.1107053143182155E-9</v>
      </c>
      <c r="Y250" s="139">
        <f t="shared" si="7"/>
        <v>0.67386285320631423</v>
      </c>
      <c r="AA250" s="73"/>
      <c r="AB250" s="182"/>
      <c r="AC250" s="182"/>
      <c r="AD250" s="182"/>
      <c r="AJ250" s="135"/>
    </row>
    <row r="251" spans="9:36" x14ac:dyDescent="0.35">
      <c r="I251" s="49">
        <v>9.7477740384400005E-2</v>
      </c>
      <c r="J251" s="49">
        <v>1.2006646632538104E-9</v>
      </c>
      <c r="K251" s="49">
        <v>1.3448321548127644E-10</v>
      </c>
      <c r="L251" s="157">
        <v>7.8203003611365227E-10</v>
      </c>
      <c r="M251" s="27"/>
      <c r="U251" s="127">
        <v>1.2451424262145936E-9</v>
      </c>
      <c r="V251" s="127">
        <v>7.8203003611365227E-10</v>
      </c>
      <c r="W251" s="127">
        <v>1.6833268765943868E-9</v>
      </c>
      <c r="X251" s="128">
        <f t="shared" si="6"/>
        <v>1.1231323437590713E-9</v>
      </c>
      <c r="Y251" s="139">
        <f t="shared" si="7"/>
        <v>0.33237579144054075</v>
      </c>
      <c r="AA251" s="73"/>
      <c r="AB251" s="182"/>
      <c r="AC251" s="182"/>
      <c r="AD251" s="182"/>
      <c r="AJ251" s="135"/>
    </row>
    <row r="252" spans="9:36" x14ac:dyDescent="0.35">
      <c r="I252" s="49">
        <v>9.8452517788299998E-2</v>
      </c>
      <c r="J252" s="49">
        <v>1.332201431243239E-9</v>
      </c>
      <c r="K252" s="49">
        <v>1.4410232952794194E-10</v>
      </c>
      <c r="L252" s="157">
        <v>1.2589028543706957E-9</v>
      </c>
      <c r="M252" s="27"/>
      <c r="U252" s="127">
        <v>7.9881819343123352E-10</v>
      </c>
      <c r="V252" s="127">
        <v>1.2589028543706957E-9</v>
      </c>
      <c r="W252" s="127">
        <v>1.7141366046676685E-9</v>
      </c>
      <c r="X252" s="128">
        <f t="shared" si="6"/>
        <v>1.2576901267100734E-9</v>
      </c>
      <c r="Y252" s="139">
        <f t="shared" si="7"/>
        <v>0.2673636311564998</v>
      </c>
      <c r="AA252" s="73"/>
      <c r="AB252" s="182"/>
      <c r="AC252" s="182"/>
      <c r="AD252" s="182"/>
      <c r="AJ252" s="135"/>
    </row>
    <row r="253" spans="9:36" x14ac:dyDescent="0.35">
      <c r="I253" s="49">
        <v>9.9437042966199998E-2</v>
      </c>
      <c r="J253" s="49">
        <v>1.2521049065230977E-9</v>
      </c>
      <c r="K253" s="49">
        <v>1.4314476120477914E-10</v>
      </c>
      <c r="L253" s="157">
        <v>1.7350280719255754E-9</v>
      </c>
      <c r="M253" s="27"/>
      <c r="U253" s="127">
        <v>8.1944347167719737E-10</v>
      </c>
      <c r="V253" s="127">
        <v>1.7350280719255754E-9</v>
      </c>
      <c r="W253" s="127">
        <v>1.2679507660588571E-9</v>
      </c>
      <c r="X253" s="128">
        <f t="shared" si="6"/>
        <v>1.3893625953968014E-9</v>
      </c>
      <c r="Y253" s="139">
        <f t="shared" si="7"/>
        <v>0.91943799633693191</v>
      </c>
      <c r="AA253" s="73"/>
      <c r="AB253" s="182"/>
      <c r="AC253" s="182"/>
      <c r="AD253" s="182"/>
      <c r="AJ253" s="135"/>
    </row>
    <row r="254" spans="9:36" x14ac:dyDescent="0.35">
      <c r="I254" s="49">
        <v>0.10043141339599999</v>
      </c>
      <c r="J254" s="49">
        <v>1.2867673552466043E-9</v>
      </c>
      <c r="K254" s="49">
        <v>1.6041911552885096E-10</v>
      </c>
      <c r="L254" s="157">
        <v>1.7308253035133087E-9</v>
      </c>
      <c r="M254" s="27"/>
      <c r="U254" s="127">
        <v>1.3045720935994582E-9</v>
      </c>
      <c r="V254" s="127">
        <v>1.7308253035133087E-9</v>
      </c>
      <c r="W254" s="127">
        <v>8.4356452693250156E-10</v>
      </c>
      <c r="X254" s="128">
        <f t="shared" si="6"/>
        <v>1.4024468068896443E-9</v>
      </c>
      <c r="Y254" s="139">
        <f t="shared" si="7"/>
        <v>0.51999624494686669</v>
      </c>
      <c r="AA254" s="73"/>
      <c r="AB254" s="182"/>
      <c r="AC254" s="182"/>
      <c r="AD254" s="182"/>
      <c r="AJ254" s="135"/>
    </row>
    <row r="255" spans="9:36" x14ac:dyDescent="0.35">
      <c r="I255" s="49">
        <v>0.10143572753000001</v>
      </c>
      <c r="J255" s="49">
        <v>1.3026407448456455E-9</v>
      </c>
      <c r="K255" s="49">
        <v>1.6517389811542548E-10</v>
      </c>
      <c r="L255" s="157">
        <v>1.2676385588278917E-9</v>
      </c>
      <c r="M255" s="27"/>
      <c r="U255" s="127">
        <v>1.775467158264042E-9</v>
      </c>
      <c r="V255" s="127">
        <v>1.2676385588278917E-9</v>
      </c>
      <c r="W255" s="127">
        <v>9.2532455276147678E-10</v>
      </c>
      <c r="X255" s="128">
        <f t="shared" si="6"/>
        <v>1.3090172071703254E-9</v>
      </c>
      <c r="Y255" s="139">
        <f t="shared" si="7"/>
        <v>1.4903104936193931E-3</v>
      </c>
      <c r="AA255" s="73"/>
      <c r="AB255" s="182"/>
      <c r="AC255" s="182"/>
      <c r="AD255" s="182"/>
      <c r="AJ255" s="135"/>
    </row>
    <row r="256" spans="9:36" x14ac:dyDescent="0.35">
      <c r="I256" s="49">
        <v>0.10245008480499999</v>
      </c>
      <c r="J256" s="49">
        <v>1.2290110668259031E-9</v>
      </c>
      <c r="K256" s="49">
        <v>1.6226243405466541E-10</v>
      </c>
      <c r="L256" s="157">
        <v>8.6342704523194398E-10</v>
      </c>
      <c r="M256" s="27"/>
      <c r="U256" s="127">
        <v>1.7588110194803532E-9</v>
      </c>
      <c r="V256" s="127">
        <v>8.6342704523194398E-10</v>
      </c>
      <c r="W256" s="127">
        <v>1.4402238701932256E-9</v>
      </c>
      <c r="X256" s="128">
        <f t="shared" ref="X256:X319" si="8">(U256+2*V256+W256)/4</f>
        <v>1.2314722450343665E-9</v>
      </c>
      <c r="Y256" s="139">
        <f t="shared" ref="Y256:Y319" si="9">(J256-X256)*(J256-X256)/(K256*K256)</f>
        <v>2.3006478564581917E-4</v>
      </c>
      <c r="AA256" s="73"/>
      <c r="AB256" s="182"/>
      <c r="AC256" s="182"/>
      <c r="AD256" s="182"/>
      <c r="AJ256" s="135"/>
    </row>
    <row r="257" spans="9:36" x14ac:dyDescent="0.35">
      <c r="I257" s="49">
        <v>0.103474585653</v>
      </c>
      <c r="J257" s="49">
        <v>1.2111806599832624E-9</v>
      </c>
      <c r="K257" s="49">
        <v>1.5718682836249609E-10</v>
      </c>
      <c r="L257" s="157">
        <v>9.8064534373471513E-10</v>
      </c>
      <c r="M257" s="27"/>
      <c r="U257" s="127">
        <v>1.2900075120509605E-9</v>
      </c>
      <c r="V257" s="127">
        <v>9.8064534373471513E-10</v>
      </c>
      <c r="W257" s="127">
        <v>1.8216182569378083E-9</v>
      </c>
      <c r="X257" s="128">
        <f t="shared" si="8"/>
        <v>1.2682291141145496E-9</v>
      </c>
      <c r="Y257" s="139">
        <f t="shared" si="9"/>
        <v>0.13172113345582404</v>
      </c>
      <c r="AA257" s="73"/>
      <c r="AB257" s="182"/>
      <c r="AC257" s="182"/>
      <c r="AD257" s="182"/>
      <c r="AJ257" s="136"/>
    </row>
    <row r="258" spans="9:36" x14ac:dyDescent="0.35">
      <c r="I258" s="49">
        <v>0.10450933151</v>
      </c>
      <c r="J258" s="49">
        <v>1.4050148258266682E-9</v>
      </c>
      <c r="K258" s="49">
        <v>1.7741934314360513E-10</v>
      </c>
      <c r="L258" s="157">
        <v>1.5065337585176253E-9</v>
      </c>
      <c r="M258" s="27"/>
      <c r="U258" s="127">
        <v>8.9345607541869776E-10</v>
      </c>
      <c r="V258" s="127">
        <v>1.5065337585176253E-9</v>
      </c>
      <c r="W258" s="127">
        <v>1.6489831299025886E-9</v>
      </c>
      <c r="X258" s="128">
        <f t="shared" si="8"/>
        <v>1.3888766805891341E-9</v>
      </c>
      <c r="Y258" s="139">
        <f t="shared" si="9"/>
        <v>8.2738054600769925E-3</v>
      </c>
      <c r="AA258" s="73"/>
      <c r="AB258" s="182"/>
      <c r="AC258" s="182"/>
      <c r="AD258" s="182"/>
      <c r="AJ258" s="136"/>
    </row>
    <row r="259" spans="9:36" x14ac:dyDescent="0.35">
      <c r="I259" s="49">
        <v>0.10555442482500001</v>
      </c>
      <c r="J259" s="49">
        <v>1.6231319512729004E-9</v>
      </c>
      <c r="K259" s="49">
        <v>1.9867997329739628E-10</v>
      </c>
      <c r="L259" s="157">
        <v>1.8620808630767384E-9</v>
      </c>
      <c r="M259" s="27"/>
      <c r="U259" s="127">
        <v>1.0230632828399283E-9</v>
      </c>
      <c r="V259" s="127">
        <v>1.8620808630767384E-9</v>
      </c>
      <c r="W259" s="127">
        <v>1.1479618713539097E-9</v>
      </c>
      <c r="X259" s="128">
        <f t="shared" si="8"/>
        <v>1.4737967200868288E-9</v>
      </c>
      <c r="Y259" s="139">
        <f t="shared" si="9"/>
        <v>0.56495827129664611</v>
      </c>
      <c r="AA259" s="73"/>
      <c r="AB259" s="182"/>
      <c r="AC259" s="182"/>
      <c r="AD259" s="182"/>
      <c r="AJ259" s="136"/>
    </row>
    <row r="260" spans="9:36" x14ac:dyDescent="0.35">
      <c r="I260" s="49">
        <v>0.10660996907299999</v>
      </c>
      <c r="J260" s="49">
        <v>1.7855244173703855E-9</v>
      </c>
      <c r="K260" s="49">
        <v>2.0492489666257667E-10</v>
      </c>
      <c r="L260" s="157">
        <v>1.6573862309492133E-9</v>
      </c>
      <c r="M260" s="27"/>
      <c r="U260" s="127">
        <v>1.5521133484687226E-9</v>
      </c>
      <c r="V260" s="127">
        <v>1.6573862309492133E-9</v>
      </c>
      <c r="W260" s="127">
        <v>9.4005000543790383E-10</v>
      </c>
      <c r="X260" s="128">
        <f t="shared" si="8"/>
        <v>1.451733953951263E-9</v>
      </c>
      <c r="Y260" s="139">
        <f t="shared" si="9"/>
        <v>2.6531292001461337</v>
      </c>
      <c r="AA260" s="73"/>
      <c r="AB260" s="182"/>
      <c r="AC260" s="182"/>
      <c r="AD260" s="182"/>
      <c r="AJ260" s="136"/>
    </row>
    <row r="261" spans="9:36" x14ac:dyDescent="0.35">
      <c r="I261" s="49">
        <v>0.107676068764</v>
      </c>
      <c r="J261" s="49">
        <v>1.4303034782396107E-9</v>
      </c>
      <c r="K261" s="49">
        <v>1.829622980322694E-10</v>
      </c>
      <c r="L261" s="157">
        <v>1.1566947914464904E-9</v>
      </c>
      <c r="M261" s="27"/>
      <c r="U261" s="127">
        <v>1.8984505836359293E-9</v>
      </c>
      <c r="V261" s="127">
        <v>1.1566947914464904E-9</v>
      </c>
      <c r="W261" s="127">
        <v>1.297271923583143E-9</v>
      </c>
      <c r="X261" s="128">
        <f t="shared" si="8"/>
        <v>1.3772780225280134E-9</v>
      </c>
      <c r="Y261" s="139">
        <f t="shared" si="9"/>
        <v>8.3993486023502387E-2</v>
      </c>
      <c r="AA261" s="73"/>
      <c r="AB261" s="182"/>
      <c r="AC261" s="182"/>
      <c r="AD261" s="182"/>
      <c r="AJ261" s="136"/>
    </row>
    <row r="262" spans="9:36" x14ac:dyDescent="0.35">
      <c r="I262" s="49">
        <v>0.108752829451</v>
      </c>
      <c r="J262" s="49">
        <v>1.4556729146059296E-9</v>
      </c>
      <c r="K262" s="49">
        <v>1.9323345744154323E-10</v>
      </c>
      <c r="L262" s="157">
        <v>9.8140464250897149E-10</v>
      </c>
      <c r="M262" s="27"/>
      <c r="U262" s="127">
        <v>1.6837247892548748E-9</v>
      </c>
      <c r="V262" s="127">
        <v>9.8140464250897149E-10</v>
      </c>
      <c r="W262" s="127">
        <v>1.795403948155105E-9</v>
      </c>
      <c r="X262" s="128">
        <f t="shared" si="8"/>
        <v>1.3604845056069805E-9</v>
      </c>
      <c r="Y262" s="139">
        <f t="shared" si="9"/>
        <v>0.24266295775347674</v>
      </c>
      <c r="AA262" s="73"/>
      <c r="AB262" s="182"/>
      <c r="AC262" s="182"/>
      <c r="AD262" s="182"/>
      <c r="AJ262" s="136"/>
    </row>
    <row r="263" spans="9:36" x14ac:dyDescent="0.35">
      <c r="I263" s="49">
        <v>0.109840357746</v>
      </c>
      <c r="J263" s="49">
        <v>1.3384407580275215E-9</v>
      </c>
      <c r="K263" s="49">
        <v>1.9854691963598305E-10</v>
      </c>
      <c r="L263" s="157">
        <v>1.3634914922161236E-9</v>
      </c>
      <c r="M263" s="27"/>
      <c r="U263" s="127">
        <v>1.1846221489684785E-9</v>
      </c>
      <c r="V263" s="127">
        <v>1.3634914922161236E-9</v>
      </c>
      <c r="W263" s="127">
        <v>1.8295212089961511E-9</v>
      </c>
      <c r="X263" s="128">
        <f t="shared" si="8"/>
        <v>1.4352815855992191E-9</v>
      </c>
      <c r="Y263" s="139">
        <f t="shared" si="9"/>
        <v>0.23789793764188882</v>
      </c>
      <c r="AA263" s="73"/>
      <c r="AB263" s="182"/>
      <c r="AC263" s="182"/>
      <c r="AD263" s="182"/>
      <c r="AJ263" s="136"/>
    </row>
    <row r="264" spans="9:36" x14ac:dyDescent="0.35">
      <c r="I264" s="49">
        <v>0.110938761323</v>
      </c>
      <c r="J264" s="49">
        <v>1.4862610353608809E-9</v>
      </c>
      <c r="K264" s="49">
        <v>2.0019803065925067E-10</v>
      </c>
      <c r="L264" s="157">
        <v>1.8477609317103827E-9</v>
      </c>
      <c r="M264" s="27"/>
      <c r="U264" s="127">
        <v>1.0205303498196574E-9</v>
      </c>
      <c r="V264" s="127">
        <v>1.8477609317103827E-9</v>
      </c>
      <c r="W264" s="127">
        <v>1.3838640722855014E-9</v>
      </c>
      <c r="X264" s="128">
        <f t="shared" si="8"/>
        <v>1.524979071381481E-9</v>
      </c>
      <c r="Y264" s="139">
        <f t="shared" si="9"/>
        <v>3.740305165246037E-2</v>
      </c>
      <c r="AA264" s="73"/>
      <c r="AB264" s="182"/>
      <c r="AC264" s="182"/>
      <c r="AD264" s="182"/>
      <c r="AJ264" s="136"/>
    </row>
    <row r="265" spans="9:36" x14ac:dyDescent="0.35">
      <c r="I265" s="49">
        <v>0.11204814893700001</v>
      </c>
      <c r="J265" s="49">
        <v>1.7946328064325952E-9</v>
      </c>
      <c r="K265" s="49">
        <v>2.1713387841240129E-10</v>
      </c>
      <c r="L265" s="157">
        <v>1.8473247775440393E-9</v>
      </c>
      <c r="M265" s="27"/>
      <c r="U265" s="127">
        <v>1.4093061936158804E-9</v>
      </c>
      <c r="V265" s="127">
        <v>1.8473247775440393E-9</v>
      </c>
      <c r="W265" s="127">
        <v>1.0663991893231246E-9</v>
      </c>
      <c r="X265" s="128">
        <f t="shared" si="8"/>
        <v>1.5425887345067708E-9</v>
      </c>
      <c r="Y265" s="139">
        <f t="shared" si="9"/>
        <v>1.3474038846379508</v>
      </c>
      <c r="AA265" s="73"/>
      <c r="AB265" s="182"/>
      <c r="AC265" s="182"/>
      <c r="AD265" s="182"/>
      <c r="AJ265" s="136"/>
    </row>
    <row r="266" spans="9:36" x14ac:dyDescent="0.35">
      <c r="I266" s="49">
        <v>0.11316863042600001</v>
      </c>
      <c r="J266" s="49">
        <v>1.8825805157573817E-9</v>
      </c>
      <c r="K266" s="49">
        <v>2.3311860085430556E-10</v>
      </c>
      <c r="L266" s="157">
        <v>1.3915479845246636E-9</v>
      </c>
      <c r="M266" s="27"/>
      <c r="U266" s="127">
        <v>1.8874471261663466E-9</v>
      </c>
      <c r="V266" s="127">
        <v>1.3915479845246636E-9</v>
      </c>
      <c r="W266" s="127">
        <v>1.3183571218056211E-9</v>
      </c>
      <c r="X266" s="128">
        <f t="shared" si="8"/>
        <v>1.4972250542553238E-9</v>
      </c>
      <c r="Y266" s="139">
        <f t="shared" si="9"/>
        <v>2.7325566935238048</v>
      </c>
      <c r="AA266" s="73"/>
      <c r="AB266" s="182"/>
      <c r="AC266" s="182"/>
      <c r="AD266" s="182"/>
      <c r="AJ266" s="136"/>
    </row>
    <row r="267" spans="9:36" x14ac:dyDescent="0.35">
      <c r="I267" s="49">
        <v>0.11430031673</v>
      </c>
      <c r="J267" s="49">
        <v>1.6589176771670916E-9</v>
      </c>
      <c r="K267" s="49">
        <v>2.2502541645185567E-10</v>
      </c>
      <c r="L267" s="156">
        <v>1.1017249291259476E-9</v>
      </c>
      <c r="M267" s="34"/>
      <c r="U267" s="127">
        <v>1.8764672070515069E-9</v>
      </c>
      <c r="V267" s="127">
        <v>1.1017249291259476E-9</v>
      </c>
      <c r="W267" s="127">
        <v>1.8172943818290482E-9</v>
      </c>
      <c r="X267" s="128">
        <f t="shared" si="8"/>
        <v>1.4743028617831126E-9</v>
      </c>
      <c r="Y267" s="139">
        <f t="shared" si="9"/>
        <v>0.67308506230348653</v>
      </c>
      <c r="AA267" s="73"/>
      <c r="AB267" s="182"/>
      <c r="AC267" s="182"/>
      <c r="AD267" s="182"/>
      <c r="AJ267" s="136"/>
    </row>
    <row r="268" spans="9:36" x14ac:dyDescent="0.35">
      <c r="I268" s="49">
        <v>0.115443319898</v>
      </c>
      <c r="J268" s="49">
        <v>1.3431247865001209E-9</v>
      </c>
      <c r="K268" s="49">
        <v>2.0768118716973136E-10</v>
      </c>
      <c r="L268" s="156">
        <v>1.3817559091042963E-9</v>
      </c>
      <c r="M268" s="34"/>
      <c r="U268" s="127">
        <v>1.4198949188325449E-9</v>
      </c>
      <c r="V268" s="127">
        <v>1.3817559091042963E-9</v>
      </c>
      <c r="W268" s="127">
        <v>1.9030910378166791E-9</v>
      </c>
      <c r="X268" s="128">
        <f t="shared" si="8"/>
        <v>1.5216244437144542E-9</v>
      </c>
      <c r="Y268" s="139">
        <f t="shared" si="9"/>
        <v>0.738721021090745</v>
      </c>
      <c r="AA268" s="73"/>
      <c r="AB268" s="182"/>
      <c r="AC268" s="182"/>
      <c r="AD268" s="182"/>
      <c r="AJ268" s="136"/>
    </row>
    <row r="269" spans="9:36" x14ac:dyDescent="0.35">
      <c r="I269" s="49">
        <v>0.116597753096</v>
      </c>
      <c r="J269" s="49">
        <v>1.5728376039458176E-9</v>
      </c>
      <c r="K269" s="49">
        <v>2.355799095936929E-10</v>
      </c>
      <c r="L269" s="156">
        <v>1.8708526863085603E-9</v>
      </c>
      <c r="M269" s="33"/>
      <c r="U269" s="127">
        <v>1.1398679025948725E-9</v>
      </c>
      <c r="V269" s="127">
        <v>1.8708526863085603E-9</v>
      </c>
      <c r="W269" s="127">
        <v>1.489086379378032E-9</v>
      </c>
      <c r="X269" s="128">
        <f t="shared" si="8"/>
        <v>1.5926649136475062E-9</v>
      </c>
      <c r="Y269" s="139">
        <f t="shared" si="9"/>
        <v>7.0835518802538642E-3</v>
      </c>
      <c r="AA269" s="73"/>
      <c r="AB269" s="182"/>
      <c r="AC269" s="182"/>
      <c r="AD269" s="182"/>
      <c r="AJ269" s="136"/>
    </row>
    <row r="270" spans="9:36" x14ac:dyDescent="0.35">
      <c r="I270" s="49">
        <v>0.117763730627</v>
      </c>
      <c r="J270" s="49">
        <v>1.5276123578308157E-9</v>
      </c>
      <c r="K270" s="49">
        <v>2.330963448663605E-10</v>
      </c>
      <c r="L270" s="156">
        <v>1.9228226596125205E-9</v>
      </c>
      <c r="M270" s="34"/>
      <c r="U270" s="127">
        <v>1.4264659369811839E-9</v>
      </c>
      <c r="V270" s="127">
        <v>1.9228226596125205E-9</v>
      </c>
      <c r="W270" s="127">
        <v>1.1936677902735794E-9</v>
      </c>
      <c r="X270" s="128">
        <f t="shared" si="8"/>
        <v>1.6164447616199511E-9</v>
      </c>
      <c r="Y270" s="139">
        <f t="shared" si="9"/>
        <v>0.1452352047798669</v>
      </c>
      <c r="AA270" s="73"/>
      <c r="AB270" s="182"/>
      <c r="AC270" s="182"/>
      <c r="AD270" s="182"/>
      <c r="AJ270" s="136"/>
    </row>
    <row r="271" spans="9:36" x14ac:dyDescent="0.35">
      <c r="I271" s="49">
        <v>0.11894136793399999</v>
      </c>
      <c r="J271" s="49">
        <v>1.5078298959838E-9</v>
      </c>
      <c r="K271" s="49">
        <v>2.4484502124621964E-10</v>
      </c>
      <c r="L271" s="156">
        <v>1.4988312232281552E-9</v>
      </c>
      <c r="M271" s="35"/>
      <c r="U271" s="127">
        <v>1.9095888877092197E-9</v>
      </c>
      <c r="V271" s="127">
        <v>1.4988312232281552E-9</v>
      </c>
      <c r="W271" s="127">
        <v>1.4631315730172691E-9</v>
      </c>
      <c r="X271" s="128">
        <f t="shared" si="8"/>
        <v>1.5925957267956999E-9</v>
      </c>
      <c r="Y271" s="139">
        <f t="shared" si="9"/>
        <v>0.11985581000380399</v>
      </c>
      <c r="AA271" s="73"/>
      <c r="AB271" s="182"/>
      <c r="AC271" s="182"/>
      <c r="AD271" s="182"/>
      <c r="AJ271" s="136"/>
    </row>
    <row r="272" spans="9:36" x14ac:dyDescent="0.35">
      <c r="I272" s="49">
        <v>0.120130781613</v>
      </c>
      <c r="J272" s="49">
        <v>2.0508114913127254E-9</v>
      </c>
      <c r="K272" s="49">
        <v>2.8401476935634201E-10</v>
      </c>
      <c r="L272" s="156">
        <v>1.2310797821236931E-9</v>
      </c>
      <c r="M272" s="34"/>
      <c r="U272" s="127">
        <v>1.9516016597112603E-9</v>
      </c>
      <c r="V272" s="127">
        <v>1.2310797821236931E-9</v>
      </c>
      <c r="W272" s="127">
        <v>1.9187133820456661E-9</v>
      </c>
      <c r="X272" s="128">
        <f t="shared" si="8"/>
        <v>1.5831186515010782E-9</v>
      </c>
      <c r="Y272" s="139">
        <f t="shared" si="9"/>
        <v>2.7116872085245882</v>
      </c>
      <c r="AA272" s="73"/>
      <c r="AB272" s="182"/>
      <c r="AC272" s="182"/>
      <c r="AD272" s="182"/>
      <c r="AJ272" s="136"/>
    </row>
    <row r="273" spans="9:36" x14ac:dyDescent="0.35">
      <c r="I273" s="49">
        <v>0.12133208942900001</v>
      </c>
      <c r="J273" s="49">
        <v>1.8018718439155447E-9</v>
      </c>
      <c r="K273" s="49">
        <v>2.6300820168520178E-10</v>
      </c>
      <c r="L273" s="156">
        <v>1.5247270565846886E-9</v>
      </c>
      <c r="M273" s="33"/>
      <c r="U273" s="127">
        <v>1.5279326098034987E-9</v>
      </c>
      <c r="V273" s="127">
        <v>1.5247270565846886E-9</v>
      </c>
      <c r="W273" s="127">
        <v>1.9085130665462541E-9</v>
      </c>
      <c r="X273" s="128">
        <f t="shared" si="8"/>
        <v>1.6214749473797827E-9</v>
      </c>
      <c r="Y273" s="139">
        <f t="shared" si="9"/>
        <v>0.47045657242087419</v>
      </c>
      <c r="AA273" s="73"/>
      <c r="AB273" s="182"/>
      <c r="AC273" s="182"/>
      <c r="AD273" s="182"/>
      <c r="AJ273" s="136"/>
    </row>
    <row r="274" spans="9:36" x14ac:dyDescent="0.35">
      <c r="I274" s="49">
        <v>0.122545410323</v>
      </c>
      <c r="J274" s="49">
        <v>1.4745679244730762E-9</v>
      </c>
      <c r="K274" s="49">
        <v>2.5194979030901864E-10</v>
      </c>
      <c r="L274" s="156">
        <v>1.9648163842600391E-9</v>
      </c>
      <c r="M274" s="34"/>
      <c r="U274" s="127">
        <v>1.2697308210107134E-9</v>
      </c>
      <c r="V274" s="127">
        <v>1.9648163842600391E-9</v>
      </c>
      <c r="W274" s="127">
        <v>1.4860872970163963E-9</v>
      </c>
      <c r="X274" s="128">
        <f t="shared" si="8"/>
        <v>1.6713627216367971E-9</v>
      </c>
      <c r="Y274" s="139">
        <f t="shared" si="9"/>
        <v>0.61009746766388895</v>
      </c>
      <c r="AA274" s="73"/>
      <c r="AB274" s="182"/>
      <c r="AC274" s="182"/>
      <c r="AD274" s="182"/>
      <c r="AJ274" s="136"/>
    </row>
    <row r="275" spans="9:36" x14ac:dyDescent="0.35">
      <c r="I275" s="49">
        <v>0.123770864427</v>
      </c>
      <c r="J275" s="49">
        <v>1.4009591344751924E-9</v>
      </c>
      <c r="K275" s="49">
        <v>2.5270304959666519E-10</v>
      </c>
      <c r="L275" s="156">
        <v>1.9228809960727919E-9</v>
      </c>
      <c r="M275" s="34"/>
      <c r="U275" s="127">
        <v>1.5670905709848244E-9</v>
      </c>
      <c r="V275" s="127">
        <v>1.9228809960727919E-9</v>
      </c>
      <c r="W275" s="127">
        <v>1.333829885927501E-9</v>
      </c>
      <c r="X275" s="128">
        <f t="shared" si="8"/>
        <v>1.6866706122644772E-9</v>
      </c>
      <c r="Y275" s="139">
        <f t="shared" si="9"/>
        <v>1.27830476866108</v>
      </c>
      <c r="AA275" s="73"/>
      <c r="AB275" s="182"/>
      <c r="AC275" s="182"/>
      <c r="AD275" s="182"/>
      <c r="AJ275" s="136"/>
    </row>
    <row r="276" spans="9:36" x14ac:dyDescent="0.35">
      <c r="I276" s="49">
        <v>0.125008573071</v>
      </c>
      <c r="J276" s="49">
        <v>2.0289350388074248E-9</v>
      </c>
      <c r="K276" s="49">
        <v>2.9295432103689702E-10</v>
      </c>
      <c r="L276" s="156">
        <v>1.5006957883934927E-9</v>
      </c>
      <c r="M276" s="33"/>
      <c r="U276" s="127">
        <v>1.9988044866962482E-9</v>
      </c>
      <c r="V276" s="127">
        <v>1.5006957883934927E-9</v>
      </c>
      <c r="W276" s="127">
        <v>1.7065972687282352E-9</v>
      </c>
      <c r="X276" s="128">
        <f t="shared" si="8"/>
        <v>1.676698333052867E-9</v>
      </c>
      <c r="Y276" s="139">
        <f t="shared" si="9"/>
        <v>1.4456707870267707</v>
      </c>
      <c r="AA276" s="73"/>
      <c r="AB276" s="182"/>
      <c r="AC276" s="182"/>
      <c r="AD276" s="182"/>
      <c r="AJ276" s="136"/>
    </row>
    <row r="277" spans="9:36" x14ac:dyDescent="0.35">
      <c r="I277" s="49">
        <v>0.12625865880199999</v>
      </c>
      <c r="J277" s="49">
        <v>2.0940411830112549E-9</v>
      </c>
      <c r="K277" s="49">
        <v>3.2895398527934298E-10</v>
      </c>
      <c r="L277" s="156">
        <v>1.3789748798796918E-9</v>
      </c>
      <c r="M277" s="34"/>
      <c r="U277" s="127">
        <v>1.9489043993764679E-9</v>
      </c>
      <c r="V277" s="127">
        <v>1.3789748798796918E-9</v>
      </c>
      <c r="W277" s="127">
        <v>2.0279471067282248E-9</v>
      </c>
      <c r="X277" s="128">
        <f t="shared" si="8"/>
        <v>1.6837003164660192E-9</v>
      </c>
      <c r="Y277" s="139">
        <f t="shared" si="9"/>
        <v>1.556034557962958</v>
      </c>
      <c r="AA277" s="73"/>
      <c r="AB277" s="182"/>
      <c r="AC277" s="182"/>
      <c r="AD277" s="182"/>
      <c r="AJ277" s="136"/>
    </row>
    <row r="278" spans="9:36" x14ac:dyDescent="0.35">
      <c r="I278" s="49">
        <v>0.12752124539000001</v>
      </c>
      <c r="J278" s="49">
        <v>1.6483376857578249E-9</v>
      </c>
      <c r="K278" s="49">
        <v>2.8846047931143601E-10</v>
      </c>
      <c r="L278" s="156">
        <v>1.7628992869772001E-9</v>
      </c>
      <c r="M278" s="34"/>
      <c r="U278" s="127">
        <v>1.5309849027545486E-9</v>
      </c>
      <c r="V278" s="127">
        <v>1.7628992869772001E-9</v>
      </c>
      <c r="W278" s="127">
        <v>1.8121573150847823E-9</v>
      </c>
      <c r="X278" s="128">
        <f t="shared" si="8"/>
        <v>1.7172351979484327E-9</v>
      </c>
      <c r="Y278" s="139">
        <f t="shared" si="9"/>
        <v>5.7047213904697705E-2</v>
      </c>
      <c r="AA278" s="73"/>
      <c r="AB278" s="182"/>
      <c r="AC278" s="182"/>
      <c r="AD278" s="182"/>
      <c r="AJ278" s="136"/>
    </row>
    <row r="279" spans="9:36" x14ac:dyDescent="0.35">
      <c r="I279" s="49">
        <v>0.12879645784400001</v>
      </c>
      <c r="J279" s="49">
        <v>1.4080438801998892E-9</v>
      </c>
      <c r="K279" s="49">
        <v>2.8475777571676179E-10</v>
      </c>
      <c r="L279" s="156">
        <v>2.0575501057157533E-9</v>
      </c>
      <c r="M279" s="35"/>
      <c r="U279" s="127">
        <v>1.4177912975528649E-9</v>
      </c>
      <c r="V279" s="127">
        <v>2.0575501057157533E-9</v>
      </c>
      <c r="W279" s="127">
        <v>1.4545547608706384E-9</v>
      </c>
      <c r="X279" s="128">
        <f t="shared" si="8"/>
        <v>1.7468615674637526E-9</v>
      </c>
      <c r="Y279" s="139">
        <f t="shared" si="9"/>
        <v>1.4157317225135251</v>
      </c>
      <c r="AA279" s="73"/>
      <c r="AB279" s="182"/>
      <c r="AC279" s="182"/>
      <c r="AD279" s="182"/>
      <c r="AJ279" s="136"/>
    </row>
    <row r="280" spans="9:36" x14ac:dyDescent="0.35">
      <c r="I280" s="49">
        <v>0.130084422422</v>
      </c>
      <c r="J280" s="49">
        <v>2.1801421067992846E-9</v>
      </c>
      <c r="K280" s="49">
        <v>3.455030471171704E-10</v>
      </c>
      <c r="L280" s="156">
        <v>1.8204618210038877E-9</v>
      </c>
      <c r="M280" s="33"/>
      <c r="U280" s="127">
        <v>1.7993273319048271E-9</v>
      </c>
      <c r="V280" s="127">
        <v>1.8204618210038877E-9</v>
      </c>
      <c r="W280" s="127">
        <v>1.5763692861903522E-9</v>
      </c>
      <c r="X280" s="128">
        <f t="shared" si="8"/>
        <v>1.7541550650257389E-9</v>
      </c>
      <c r="Y280" s="139">
        <f t="shared" si="9"/>
        <v>1.5201589923954075</v>
      </c>
      <c r="AA280" s="73"/>
      <c r="AB280" s="182"/>
      <c r="AC280" s="182"/>
      <c r="AD280" s="182"/>
      <c r="AJ280" s="136"/>
    </row>
    <row r="281" spans="9:36" x14ac:dyDescent="0.35">
      <c r="I281" s="49">
        <v>0.131385266646</v>
      </c>
      <c r="J281" s="49">
        <v>1.4483143786969296E-9</v>
      </c>
      <c r="K281" s="49">
        <v>3.0167237762101905E-10</v>
      </c>
      <c r="L281" s="156">
        <v>1.4808412294855746E-9</v>
      </c>
      <c r="M281" s="34"/>
      <c r="U281" s="127">
        <v>2.083432215733996E-9</v>
      </c>
      <c r="V281" s="127">
        <v>1.4808412294855746E-9</v>
      </c>
      <c r="W281" s="127">
        <v>1.9814006609309383E-9</v>
      </c>
      <c r="X281" s="128">
        <f t="shared" si="8"/>
        <v>1.756628833909021E-9</v>
      </c>
      <c r="Y281" s="139">
        <f t="shared" si="9"/>
        <v>1.0445198110741627</v>
      </c>
      <c r="AA281" s="73"/>
      <c r="AB281" s="182"/>
      <c r="AC281" s="182"/>
      <c r="AD281" s="182"/>
      <c r="AJ281" s="136"/>
    </row>
    <row r="282" spans="9:36" x14ac:dyDescent="0.35">
      <c r="I282" s="49">
        <v>0.13269911931299999</v>
      </c>
      <c r="J282" s="49">
        <v>1.6914177667751964E-9</v>
      </c>
      <c r="K282" s="49">
        <v>3.2420211301496173E-10</v>
      </c>
      <c r="L282" s="156">
        <v>1.6272719135786072E-9</v>
      </c>
      <c r="M282" s="34"/>
      <c r="U282" s="127">
        <v>1.8441536643094603E-9</v>
      </c>
      <c r="V282" s="127">
        <v>1.6272719135786072E-9</v>
      </c>
      <c r="W282" s="127">
        <v>1.9952646728175206E-9</v>
      </c>
      <c r="X282" s="128">
        <f t="shared" si="8"/>
        <v>1.7734905410710489E-9</v>
      </c>
      <c r="Y282" s="139">
        <f t="shared" si="9"/>
        <v>6.4086498847939044E-2</v>
      </c>
      <c r="AA282" s="73"/>
      <c r="AB282" s="182"/>
      <c r="AC282" s="182"/>
      <c r="AD282" s="182"/>
      <c r="AJ282" s="136"/>
    </row>
    <row r="283" spans="9:36" x14ac:dyDescent="0.35">
      <c r="I283" s="49">
        <v>0.134026110506</v>
      </c>
      <c r="J283" s="49">
        <v>1.3615377717214741E-9</v>
      </c>
      <c r="K283" s="49">
        <v>3.0218980387122166E-10</v>
      </c>
      <c r="L283" s="156">
        <v>2.0197627157902622E-9</v>
      </c>
      <c r="M283" s="33"/>
      <c r="U283" s="127">
        <v>1.5128901321794595E-9</v>
      </c>
      <c r="V283" s="127">
        <v>2.0197627157902622E-9</v>
      </c>
      <c r="W283" s="127">
        <v>1.635608330239607E-9</v>
      </c>
      <c r="X283" s="128">
        <f t="shared" si="8"/>
        <v>1.7970059734998978E-9</v>
      </c>
      <c r="Y283" s="139">
        <f t="shared" si="9"/>
        <v>2.0766020689228379</v>
      </c>
      <c r="AA283" s="73"/>
      <c r="AB283" s="182"/>
      <c r="AC283" s="182"/>
      <c r="AD283" s="182"/>
      <c r="AJ283" s="136"/>
    </row>
    <row r="284" spans="9:36" x14ac:dyDescent="0.35">
      <c r="I284" s="49">
        <v>0.13536637161100001</v>
      </c>
      <c r="J284" s="49">
        <v>1.5733214608609556E-9</v>
      </c>
      <c r="K284" s="49">
        <v>3.2435621137551334E-10</v>
      </c>
      <c r="L284" s="156">
        <v>2.0049915383956679E-9</v>
      </c>
      <c r="M284" s="34"/>
      <c r="U284" s="127">
        <v>1.6618178848688614E-9</v>
      </c>
      <c r="V284" s="127">
        <v>2.0049915383956679E-9</v>
      </c>
      <c r="W284" s="127">
        <v>1.5737747286960364E-9</v>
      </c>
      <c r="X284" s="128">
        <f t="shared" si="8"/>
        <v>1.8113939225890583E-9</v>
      </c>
      <c r="Y284" s="139">
        <f t="shared" si="9"/>
        <v>0.53873338246550007</v>
      </c>
      <c r="AA284" s="73"/>
      <c r="AB284" s="182"/>
      <c r="AC284" s="182"/>
      <c r="AD284" s="182"/>
      <c r="AJ284" s="136"/>
    </row>
    <row r="285" spans="9:36" x14ac:dyDescent="0.35">
      <c r="I285" s="49">
        <v>0.136720035327</v>
      </c>
      <c r="J285" s="49">
        <v>2.0523366632983914E-9</v>
      </c>
      <c r="K285" s="49">
        <v>3.7738352394128205E-10</v>
      </c>
      <c r="L285" s="156">
        <v>1.6495849752283795E-9</v>
      </c>
      <c r="M285" s="34"/>
      <c r="U285" s="127">
        <v>2.0445458851038183E-9</v>
      </c>
      <c r="V285" s="127">
        <v>1.6495849752283795E-9</v>
      </c>
      <c r="W285" s="127">
        <v>1.9301245984219857E-9</v>
      </c>
      <c r="X285" s="128">
        <f t="shared" si="8"/>
        <v>1.8184601084956408E-9</v>
      </c>
      <c r="Y285" s="139">
        <f t="shared" si="9"/>
        <v>0.38406745210493953</v>
      </c>
      <c r="AA285" s="73"/>
      <c r="AB285" s="182"/>
      <c r="AC285" s="182"/>
      <c r="AD285" s="182"/>
      <c r="AJ285" s="136"/>
    </row>
    <row r="286" spans="9:36" x14ac:dyDescent="0.35">
      <c r="I286" s="49">
        <v>0.13808723568</v>
      </c>
      <c r="J286" s="49">
        <v>1.3634294556156766E-9</v>
      </c>
      <c r="K286" s="49">
        <v>3.1823244336138424E-10</v>
      </c>
      <c r="L286" s="156">
        <v>1.6141296237410278E-9</v>
      </c>
      <c r="M286" s="34"/>
      <c r="U286" s="127">
        <v>2.02323211243546E-9</v>
      </c>
      <c r="V286" s="127">
        <v>1.6141296237410278E-9</v>
      </c>
      <c r="W286" s="127">
        <v>2.0645368738292419E-9</v>
      </c>
      <c r="X286" s="128">
        <f t="shared" si="8"/>
        <v>1.8290070584366892E-9</v>
      </c>
      <c r="Y286" s="139">
        <f t="shared" si="9"/>
        <v>2.140401532081226</v>
      </c>
      <c r="AA286" s="73"/>
      <c r="AB286" s="182"/>
      <c r="AC286" s="182"/>
      <c r="AD286" s="182"/>
      <c r="AJ286" s="136"/>
    </row>
    <row r="287" spans="9:36" x14ac:dyDescent="0.35">
      <c r="I287" s="49">
        <v>0.13946810803699999</v>
      </c>
      <c r="J287" s="49">
        <v>1.6465443711969512E-9</v>
      </c>
      <c r="K287" s="49">
        <v>3.4301048607774006E-10</v>
      </c>
      <c r="L287" s="156">
        <v>1.9680689574717892E-9</v>
      </c>
      <c r="M287" s="33"/>
      <c r="U287" s="127">
        <v>1.674176932041656E-9</v>
      </c>
      <c r="V287" s="127">
        <v>1.9680689574717892E-9</v>
      </c>
      <c r="W287" s="127">
        <v>1.7642765469503767E-9</v>
      </c>
      <c r="X287" s="128">
        <f t="shared" si="8"/>
        <v>1.8436478484839027E-9</v>
      </c>
      <c r="Y287" s="139">
        <f t="shared" si="9"/>
        <v>0.3301974981795685</v>
      </c>
      <c r="AA287" s="73"/>
      <c r="AB287" s="182"/>
      <c r="AC287" s="182"/>
      <c r="AD287" s="182"/>
      <c r="AJ287" s="136"/>
    </row>
    <row r="288" spans="9:36" x14ac:dyDescent="0.35">
      <c r="I288" s="49">
        <v>0.14086278911700001</v>
      </c>
      <c r="J288" s="49">
        <v>1.2862397473950137E-9</v>
      </c>
      <c r="K288" s="49">
        <v>3.3645222698221343E-10</v>
      </c>
      <c r="L288" s="156">
        <v>2.0742241297042477E-9</v>
      </c>
      <c r="M288" s="35"/>
      <c r="U288" s="127">
        <v>1.6436449015260544E-9</v>
      </c>
      <c r="V288" s="127">
        <v>2.0742241297042477E-9</v>
      </c>
      <c r="W288" s="127">
        <v>1.6317061304184703E-9</v>
      </c>
      <c r="X288" s="128">
        <f t="shared" si="8"/>
        <v>1.855949822838255E-9</v>
      </c>
      <c r="Y288" s="139">
        <f t="shared" si="9"/>
        <v>2.8672197911126753</v>
      </c>
      <c r="AA288" s="73"/>
      <c r="AB288" s="182"/>
      <c r="AC288" s="182"/>
      <c r="AD288" s="182"/>
      <c r="AJ288" s="136"/>
    </row>
    <row r="289" spans="9:36" x14ac:dyDescent="0.35">
      <c r="I289" s="49">
        <v>0.14227141700900001</v>
      </c>
      <c r="J289" s="49">
        <v>1.6669205228715793E-9</v>
      </c>
      <c r="K289" s="49">
        <v>3.5244924431155407E-10</v>
      </c>
      <c r="L289" s="156">
        <v>1.7709093315968568E-9</v>
      </c>
      <c r="M289" s="34"/>
      <c r="U289" s="127">
        <v>1.989030678741308E-9</v>
      </c>
      <c r="V289" s="127">
        <v>1.7709093315968568E-9</v>
      </c>
      <c r="W289" s="127">
        <v>1.9281043588960162E-9</v>
      </c>
      <c r="X289" s="128">
        <f t="shared" si="8"/>
        <v>1.8647384252077595E-9</v>
      </c>
      <c r="Y289" s="139">
        <f t="shared" si="9"/>
        <v>0.31501992016869468</v>
      </c>
      <c r="AA289" s="73"/>
      <c r="AB289" s="182"/>
      <c r="AC289" s="182"/>
      <c r="AD289" s="182"/>
      <c r="AJ289" s="136"/>
    </row>
    <row r="290" spans="9:36" x14ac:dyDescent="0.35">
      <c r="I290" s="49">
        <v>0.14369413117900001</v>
      </c>
      <c r="J290" s="49">
        <v>1.7504397658580467E-9</v>
      </c>
      <c r="K290" s="49">
        <v>3.6603828965044515E-10</v>
      </c>
      <c r="L290" s="156">
        <v>1.6623399819793201E-9</v>
      </c>
      <c r="M290" s="34"/>
      <c r="U290" s="127">
        <v>2.0865229464566925E-9</v>
      </c>
      <c r="V290" s="127">
        <v>1.6623399819793201E-9</v>
      </c>
      <c r="W290" s="127">
        <v>2.0810492730997616E-9</v>
      </c>
      <c r="X290" s="128">
        <f t="shared" si="8"/>
        <v>1.8730630458787735E-9</v>
      </c>
      <c r="Y290" s="139">
        <f t="shared" si="9"/>
        <v>0.11222582915480067</v>
      </c>
      <c r="AA290" s="73"/>
      <c r="AB290" s="182"/>
      <c r="AC290" s="182"/>
      <c r="AD290" s="182"/>
      <c r="AJ290" s="136"/>
    </row>
    <row r="291" spans="9:36" x14ac:dyDescent="0.35">
      <c r="I291" s="49">
        <v>0.14513107249099999</v>
      </c>
      <c r="J291" s="49">
        <v>1.9151596581196708E-9</v>
      </c>
      <c r="K291" s="49">
        <v>4.0723654523865675E-10</v>
      </c>
      <c r="L291" s="156">
        <v>1.9593001900848024E-9</v>
      </c>
      <c r="M291" s="33"/>
      <c r="U291" s="127">
        <v>1.7880373453859395E-9</v>
      </c>
      <c r="V291" s="127">
        <v>1.9593001900848024E-9</v>
      </c>
      <c r="W291" s="127">
        <v>1.8197907282900249E-9</v>
      </c>
      <c r="X291" s="128">
        <f t="shared" si="8"/>
        <v>1.8816071134613925E-9</v>
      </c>
      <c r="Y291" s="139">
        <f t="shared" si="9"/>
        <v>6.7882438869399384E-3</v>
      </c>
      <c r="AA291" s="73"/>
      <c r="AB291" s="182"/>
      <c r="AC291" s="182"/>
      <c r="AD291" s="182"/>
      <c r="AJ291" s="136"/>
    </row>
    <row r="292" spans="9:36" x14ac:dyDescent="0.35">
      <c r="I292" s="49">
        <v>0.146582383215</v>
      </c>
      <c r="J292" s="49">
        <v>2.3717470068958372E-9</v>
      </c>
      <c r="K292" s="49">
        <v>4.5194965708993136E-10</v>
      </c>
      <c r="L292" s="156">
        <v>2.085848866392676E-9</v>
      </c>
      <c r="M292" s="34"/>
      <c r="U292" s="127">
        <v>1.6848390813583685E-9</v>
      </c>
      <c r="V292" s="127">
        <v>2.085848866392676E-9</v>
      </c>
      <c r="W292" s="127">
        <v>1.7002640222498579E-9</v>
      </c>
      <c r="X292" s="128">
        <f t="shared" si="8"/>
        <v>1.8892002090983946E-9</v>
      </c>
      <c r="Y292" s="139">
        <f t="shared" si="9"/>
        <v>1.1399839936385565</v>
      </c>
      <c r="AA292" s="73"/>
      <c r="AB292" s="182"/>
      <c r="AC292" s="182"/>
      <c r="AD292" s="182"/>
      <c r="AJ292" s="136"/>
    </row>
    <row r="293" spans="9:36" x14ac:dyDescent="0.35">
      <c r="I293" s="49">
        <v>0.14804820704800001</v>
      </c>
      <c r="J293" s="49">
        <v>1.1547640839961505E-9</v>
      </c>
      <c r="K293" s="49">
        <v>3.7140966250978618E-10</v>
      </c>
      <c r="L293" s="156">
        <v>1.8210662971121589E-9</v>
      </c>
      <c r="M293" s="34"/>
      <c r="U293" s="127">
        <v>1.9733019603456782E-9</v>
      </c>
      <c r="V293" s="127">
        <v>1.8210662971121589E-9</v>
      </c>
      <c r="W293" s="127">
        <v>1.9666235020075225E-9</v>
      </c>
      <c r="X293" s="128">
        <f t="shared" si="8"/>
        <v>1.8955145141443794E-9</v>
      </c>
      <c r="Y293" s="139">
        <f t="shared" si="9"/>
        <v>3.9777494885613738</v>
      </c>
      <c r="AA293" s="73"/>
      <c r="AB293" s="182"/>
      <c r="AC293" s="182"/>
      <c r="AD293" s="182"/>
      <c r="AJ293" s="136"/>
    </row>
    <row r="294" spans="9:36" x14ac:dyDescent="0.35">
      <c r="I294" s="49">
        <v>0.14952868911799999</v>
      </c>
      <c r="J294" s="49">
        <v>1.6378370908740026E-9</v>
      </c>
      <c r="K294" s="49">
        <v>3.8331007026991864E-10</v>
      </c>
      <c r="L294" s="156">
        <v>1.7229643882980067E-9</v>
      </c>
      <c r="M294" s="33"/>
      <c r="U294" s="127">
        <v>2.090746891865708E-9</v>
      </c>
      <c r="V294" s="127">
        <v>1.7229643882980067E-9</v>
      </c>
      <c r="W294" s="127">
        <v>2.0667358345553131E-9</v>
      </c>
      <c r="X294" s="128">
        <f t="shared" si="8"/>
        <v>1.9008528757542586E-9</v>
      </c>
      <c r="Y294" s="139">
        <f t="shared" si="9"/>
        <v>0.47082896086792325</v>
      </c>
      <c r="AA294" s="73"/>
      <c r="AB294" s="182"/>
      <c r="AC294" s="182"/>
      <c r="AD294" s="182"/>
      <c r="AJ294" s="136"/>
    </row>
    <row r="295" spans="9:36" x14ac:dyDescent="0.35">
      <c r="I295" s="49">
        <v>0.151023976009</v>
      </c>
      <c r="J295" s="49">
        <v>1.5065772769265478E-9</v>
      </c>
      <c r="K295" s="49">
        <v>3.8381775689716681E-10</v>
      </c>
      <c r="L295" s="156">
        <v>1.9866120322415124E-9</v>
      </c>
      <c r="M295" s="34"/>
      <c r="U295" s="127">
        <v>1.8307003977888468E-9</v>
      </c>
      <c r="V295" s="127">
        <v>1.9866120322415124E-9</v>
      </c>
      <c r="W295" s="127">
        <v>1.8171478163459035E-9</v>
      </c>
      <c r="X295" s="128">
        <f t="shared" si="8"/>
        <v>1.9052680696544439E-9</v>
      </c>
      <c r="Y295" s="139">
        <f t="shared" si="9"/>
        <v>1.0790020915991598</v>
      </c>
      <c r="AA295" s="73"/>
      <c r="AB295" s="182"/>
      <c r="AC295" s="182"/>
      <c r="AD295" s="182"/>
      <c r="AJ295" s="136"/>
    </row>
    <row r="296" spans="9:36" x14ac:dyDescent="0.35">
      <c r="I296" s="49">
        <v>0.152534215769</v>
      </c>
      <c r="J296" s="49">
        <v>1.7657990527891266E-9</v>
      </c>
      <c r="K296" s="49">
        <v>4.13025867563496E-10</v>
      </c>
      <c r="L296" s="156">
        <v>2.0622554252963669E-9</v>
      </c>
      <c r="M296" s="35"/>
      <c r="U296" s="127">
        <v>1.736791119172777E-9</v>
      </c>
      <c r="V296" s="127">
        <v>2.0622554252963669E-9</v>
      </c>
      <c r="W296" s="127">
        <v>1.7706774548053667E-9</v>
      </c>
      <c r="X296" s="128">
        <f t="shared" si="8"/>
        <v>1.9079948561427194E-9</v>
      </c>
      <c r="Y296" s="139">
        <f t="shared" si="9"/>
        <v>0.1185274808547159</v>
      </c>
      <c r="AA296" s="73"/>
      <c r="AB296" s="182"/>
      <c r="AC296" s="182"/>
      <c r="AD296" s="182"/>
      <c r="AJ296" s="136"/>
    </row>
    <row r="297" spans="9:36" x14ac:dyDescent="0.35">
      <c r="I297" s="49">
        <v>0.15405955792699999</v>
      </c>
      <c r="J297" s="49">
        <v>1.8786951121463013E-9</v>
      </c>
      <c r="K297" s="49">
        <v>4.4002636069782626E-10</v>
      </c>
      <c r="L297" s="156">
        <v>1.8141567025640397E-9</v>
      </c>
      <c r="M297" s="34"/>
      <c r="U297" s="127">
        <v>1.9905289324536404E-9</v>
      </c>
      <c r="V297" s="127">
        <v>1.8141567025640397E-9</v>
      </c>
      <c r="W297" s="128">
        <v>2.0166053163925276E-9</v>
      </c>
      <c r="X297" s="128">
        <f t="shared" si="8"/>
        <v>1.9088619134935622E-9</v>
      </c>
      <c r="Y297" s="139">
        <f t="shared" si="9"/>
        <v>4.7000354937475966E-3</v>
      </c>
      <c r="AA297" s="73"/>
      <c r="AB297" s="182"/>
      <c r="AC297" s="182"/>
      <c r="AD297" s="182"/>
      <c r="AJ297" s="136"/>
    </row>
    <row r="298" spans="9:36" x14ac:dyDescent="0.35">
      <c r="I298" s="109">
        <v>0.15560015350600001</v>
      </c>
      <c r="J298" s="109">
        <v>1.6536179355724511E-9</v>
      </c>
      <c r="K298" s="109">
        <v>4.3335252177285574E-10</v>
      </c>
      <c r="L298" s="156">
        <v>1.7855243052743244E-9</v>
      </c>
      <c r="M298" s="33"/>
      <c r="U298" s="127">
        <v>2.0583943798284643E-9</v>
      </c>
      <c r="V298" s="127">
        <v>1.7855243052743244E-9</v>
      </c>
      <c r="W298" s="128">
        <v>2.0105142392444443E-9</v>
      </c>
      <c r="X298" s="128">
        <f t="shared" si="8"/>
        <v>1.9099893074053892E-9</v>
      </c>
      <c r="Y298" s="139">
        <f t="shared" si="9"/>
        <v>0.34999061447607682</v>
      </c>
      <c r="AA298" s="73"/>
      <c r="AB298" s="182"/>
      <c r="AC298" s="182"/>
      <c r="AD298" s="182"/>
      <c r="AJ298" s="136"/>
    </row>
    <row r="299" spans="9:36" x14ac:dyDescent="0.35">
      <c r="I299" s="109">
        <v>0.157156155041</v>
      </c>
      <c r="J299" s="109">
        <v>2.4223115969922002E-9</v>
      </c>
      <c r="K299" s="109">
        <v>4.9052270918327159E-10</v>
      </c>
      <c r="L299" s="156">
        <v>2.0209832268150303E-9</v>
      </c>
      <c r="M299" s="34"/>
      <c r="U299" s="127">
        <v>1.816124366377014E-9</v>
      </c>
      <c r="V299" s="127">
        <v>2.0209832268150303E-9</v>
      </c>
      <c r="W299" s="128">
        <v>1.7865581541624567E-9</v>
      </c>
      <c r="X299" s="128">
        <f t="shared" si="8"/>
        <v>1.9111622435423831E-9</v>
      </c>
      <c r="Y299" s="139">
        <f t="shared" si="9"/>
        <v>1.0858689007597826</v>
      </c>
      <c r="AA299" s="73"/>
      <c r="AB299" s="182"/>
      <c r="AC299" s="182"/>
      <c r="AD299" s="182"/>
      <c r="AJ299" s="136"/>
    </row>
    <row r="300" spans="9:36" x14ac:dyDescent="0.35">
      <c r="I300" s="109">
        <v>0.158727716592</v>
      </c>
      <c r="J300" s="109">
        <v>1.4814398114013744E-9</v>
      </c>
      <c r="K300" s="109">
        <v>4.2183333978964292E-10</v>
      </c>
      <c r="L300" s="156">
        <v>1.995107867862753E-9</v>
      </c>
      <c r="M300" s="34"/>
      <c r="U300" s="127">
        <v>1.7884311676378942E-9</v>
      </c>
      <c r="V300" s="127">
        <v>1.995107867862753E-9</v>
      </c>
      <c r="W300" s="128">
        <v>1.8524535547924113E-9</v>
      </c>
      <c r="X300" s="128">
        <f t="shared" si="8"/>
        <v>1.9077751145389532E-9</v>
      </c>
      <c r="Y300" s="139">
        <f t="shared" si="9"/>
        <v>1.0214586484294732</v>
      </c>
      <c r="AA300" s="73"/>
      <c r="AB300" s="182"/>
      <c r="AC300" s="182"/>
      <c r="AD300" s="182"/>
      <c r="AJ300" s="136"/>
    </row>
    <row r="301" spans="9:36" x14ac:dyDescent="0.35">
      <c r="I301" s="109">
        <v>0.16031499375800001</v>
      </c>
      <c r="J301" s="109">
        <v>2.3328331784110458E-9</v>
      </c>
      <c r="K301" s="109">
        <v>5.1201353233559335E-10</v>
      </c>
      <c r="L301" s="156">
        <v>1.780570173575516E-9</v>
      </c>
      <c r="M301" s="33"/>
      <c r="U301" s="127">
        <v>2.012098658462576E-9</v>
      </c>
      <c r="V301" s="127">
        <v>1.780570173575516E-9</v>
      </c>
      <c r="W301" s="128">
        <v>2.03234932687564E-9</v>
      </c>
      <c r="X301" s="128">
        <f t="shared" si="8"/>
        <v>1.9013970831223118E-9</v>
      </c>
      <c r="Y301" s="139">
        <f t="shared" si="9"/>
        <v>0.71001917027684591</v>
      </c>
      <c r="AA301" s="73"/>
      <c r="AB301" s="182"/>
      <c r="AC301" s="182"/>
      <c r="AD301" s="182"/>
      <c r="AJ301" s="136"/>
    </row>
    <row r="302" spans="9:36" x14ac:dyDescent="0.35">
      <c r="I302" s="109">
        <v>0.16191814369499999</v>
      </c>
      <c r="J302" s="109">
        <v>2.2584006289013769E-9</v>
      </c>
      <c r="K302" s="109">
        <v>5.1534833555175502E-10</v>
      </c>
      <c r="L302" s="156">
        <v>1.8559566295889334E-9</v>
      </c>
      <c r="M302" s="34"/>
      <c r="U302" s="127">
        <v>1.9822553735087835E-9</v>
      </c>
      <c r="V302" s="127">
        <v>1.8559566295889334E-9</v>
      </c>
      <c r="W302" s="128">
        <v>1.9029604306019069E-9</v>
      </c>
      <c r="X302" s="128">
        <f t="shared" si="8"/>
        <v>1.8992822658221395E-9</v>
      </c>
      <c r="Y302" s="139">
        <f t="shared" si="9"/>
        <v>0.48559417691710682</v>
      </c>
      <c r="AA302" s="73"/>
      <c r="AB302" s="182"/>
      <c r="AC302" s="182"/>
      <c r="AD302" s="182"/>
      <c r="AJ302" s="136"/>
    </row>
    <row r="303" spans="9:36" x14ac:dyDescent="0.35">
      <c r="I303" s="109">
        <v>0.16353732513200001</v>
      </c>
      <c r="J303" s="109">
        <v>1.4234254462108716E-9</v>
      </c>
      <c r="K303" s="109">
        <v>4.4534457346395351E-10</v>
      </c>
      <c r="L303" s="156">
        <v>2.01744968968411E-9</v>
      </c>
      <c r="M303" s="34"/>
      <c r="U303" s="127">
        <v>1.7740171720292135E-9</v>
      </c>
      <c r="V303" s="127">
        <v>2.01744968968411E-9</v>
      </c>
      <c r="W303" s="128">
        <v>1.7761062878889472E-9</v>
      </c>
      <c r="X303" s="128">
        <f t="shared" si="8"/>
        <v>1.8962557098215953E-9</v>
      </c>
      <c r="Y303" s="139">
        <f t="shared" si="9"/>
        <v>1.1272447003335226</v>
      </c>
      <c r="AA303" s="73"/>
      <c r="AB303" s="182"/>
      <c r="AC303" s="182"/>
      <c r="AD303" s="182"/>
      <c r="AJ303" s="136"/>
    </row>
    <row r="304" spans="9:36" x14ac:dyDescent="0.35">
      <c r="I304" s="109">
        <v>0.16517269838400001</v>
      </c>
      <c r="J304" s="109">
        <v>1.3323349717634638E-9</v>
      </c>
      <c r="K304" s="109">
        <v>4.8379062952723842E-10</v>
      </c>
      <c r="L304" s="156">
        <v>1.8793869134649394E-9</v>
      </c>
      <c r="M304" s="35"/>
      <c r="U304" s="127">
        <v>1.8445922108363444E-9</v>
      </c>
      <c r="V304" s="127">
        <v>1.8793869134649394E-9</v>
      </c>
      <c r="W304" s="128">
        <v>1.9298584832017478E-9</v>
      </c>
      <c r="X304" s="128">
        <f t="shared" si="8"/>
        <v>1.8833061302419926E-9</v>
      </c>
      <c r="Y304" s="139">
        <f t="shared" si="9"/>
        <v>1.297008512635087</v>
      </c>
      <c r="AA304" s="73"/>
      <c r="AB304" s="182"/>
      <c r="AC304" s="182"/>
      <c r="AD304" s="182"/>
      <c r="AJ304" s="136"/>
    </row>
    <row r="305" spans="9:36" x14ac:dyDescent="0.35">
      <c r="I305" s="109">
        <v>0.16682442536700001</v>
      </c>
      <c r="J305" s="109">
        <v>2.2635778247714979E-9</v>
      </c>
      <c r="K305" s="109">
        <v>5.6837292199310642E-10</v>
      </c>
      <c r="L305" s="156">
        <v>1.7661651480304869E-9</v>
      </c>
      <c r="M305" s="33"/>
      <c r="U305" s="127">
        <v>1.994744246652612E-9</v>
      </c>
      <c r="V305" s="127">
        <v>1.7661651480304869E-9</v>
      </c>
      <c r="W305" s="128">
        <v>1.9588844347057468E-9</v>
      </c>
      <c r="X305" s="128">
        <f t="shared" si="8"/>
        <v>1.8714897443548332E-9</v>
      </c>
      <c r="Y305" s="139">
        <f t="shared" si="9"/>
        <v>0.47588336171223139</v>
      </c>
      <c r="AA305" s="73"/>
      <c r="AB305" s="182"/>
      <c r="AC305" s="182"/>
      <c r="AD305" s="182"/>
      <c r="AJ305" s="136"/>
    </row>
    <row r="306" spans="9:36" x14ac:dyDescent="0.35">
      <c r="I306" s="109">
        <v>0.16849266962100001</v>
      </c>
      <c r="J306" s="109">
        <v>1.5904825406412741E-9</v>
      </c>
      <c r="K306" s="109">
        <v>5.3119986999093888E-10</v>
      </c>
      <c r="L306" s="156">
        <v>1.9148106745592758E-9</v>
      </c>
      <c r="M306" s="34"/>
      <c r="U306" s="127">
        <v>1.8585255440949911E-9</v>
      </c>
      <c r="V306" s="127">
        <v>1.9148106745592758E-9</v>
      </c>
      <c r="W306" s="128">
        <v>1.784267813606016E-9</v>
      </c>
      <c r="X306" s="128">
        <f t="shared" si="8"/>
        <v>1.8681036767048897E-9</v>
      </c>
      <c r="Y306" s="139">
        <f t="shared" si="9"/>
        <v>0.27314240814486879</v>
      </c>
      <c r="AA306" s="73"/>
      <c r="AB306" s="182"/>
      <c r="AC306" s="182"/>
      <c r="AD306" s="182"/>
      <c r="AJ306" s="136"/>
    </row>
    <row r="307" spans="9:36" x14ac:dyDescent="0.35">
      <c r="I307" s="109">
        <v>0.170177596317</v>
      </c>
      <c r="J307" s="109">
        <v>9.3730446281366093E-10</v>
      </c>
      <c r="K307" s="109">
        <v>5.083834723667694E-10</v>
      </c>
      <c r="L307" s="156">
        <v>1.9262072931981324E-9</v>
      </c>
      <c r="M307" s="34"/>
      <c r="U307" s="127">
        <v>1.7480724973368497E-9</v>
      </c>
      <c r="V307" s="127">
        <v>1.9262072931981324E-9</v>
      </c>
      <c r="W307" s="128">
        <v>1.8190070890532955E-9</v>
      </c>
      <c r="X307" s="128">
        <f t="shared" si="8"/>
        <v>1.8548735431966025E-9</v>
      </c>
      <c r="Y307" s="139">
        <f t="shared" si="9"/>
        <v>3.257577036766119</v>
      </c>
      <c r="AA307" s="73"/>
      <c r="AB307" s="182"/>
      <c r="AC307" s="182"/>
      <c r="AD307" s="182"/>
      <c r="AJ307" s="136"/>
    </row>
    <row r="308" spans="9:36" x14ac:dyDescent="0.35">
      <c r="I308" s="109">
        <v>0.17187937228</v>
      </c>
      <c r="J308" s="109">
        <v>4.8892628709739935E-10</v>
      </c>
      <c r="K308" s="109">
        <v>4.4160489679931914E-10</v>
      </c>
      <c r="L308" s="156">
        <v>1.7574193816671917E-9</v>
      </c>
      <c r="M308" s="33"/>
      <c r="U308" s="127">
        <v>1.8860641620776737E-9</v>
      </c>
      <c r="V308" s="127">
        <v>1.7574193816671917E-9</v>
      </c>
      <c r="W308" s="128">
        <v>1.9260620619810094E-9</v>
      </c>
      <c r="X308" s="128">
        <f t="shared" si="8"/>
        <v>1.8317412468482666E-9</v>
      </c>
      <c r="Y308" s="139">
        <f t="shared" si="9"/>
        <v>9.2462276265052274</v>
      </c>
      <c r="AA308" s="73"/>
      <c r="AB308" s="182"/>
      <c r="AC308" s="182"/>
      <c r="AD308" s="182"/>
      <c r="AJ308" s="136"/>
    </row>
    <row r="309" spans="9:36" x14ac:dyDescent="0.35">
      <c r="I309" s="109">
        <v>0.17359816600299999</v>
      </c>
      <c r="J309" s="109">
        <v>1.9180925669495287E-9</v>
      </c>
      <c r="K309" s="109">
        <v>6.0326015286827482E-10</v>
      </c>
      <c r="L309" s="156">
        <v>1.7973116197504229E-9</v>
      </c>
      <c r="M309" s="34"/>
      <c r="U309" s="127">
        <v>1.8920441120272889E-9</v>
      </c>
      <c r="V309" s="127">
        <v>1.7973116197504229E-9</v>
      </c>
      <c r="W309" s="128">
        <v>1.7995974580515599E-9</v>
      </c>
      <c r="X309" s="128">
        <f t="shared" si="8"/>
        <v>1.8215662023949236E-9</v>
      </c>
      <c r="Y309" s="139">
        <f t="shared" si="9"/>
        <v>2.56025144506162E-2</v>
      </c>
      <c r="AA309" s="73"/>
      <c r="AB309" s="182"/>
      <c r="AC309" s="182"/>
      <c r="AD309" s="182"/>
      <c r="AJ309" s="136"/>
    </row>
    <row r="310" spans="9:36" x14ac:dyDescent="0.35">
      <c r="I310" s="109">
        <v>0.17533414766300001</v>
      </c>
      <c r="J310" s="109">
        <v>7.493457425573137E-10</v>
      </c>
      <c r="K310" s="109">
        <v>5.3045053064459036E-10</v>
      </c>
      <c r="L310" s="156">
        <v>1.8880232559825429E-9</v>
      </c>
      <c r="M310" s="34"/>
      <c r="U310" s="127">
        <v>1.7281296183331614E-9</v>
      </c>
      <c r="V310" s="127">
        <v>1.8880232559825429E-9</v>
      </c>
      <c r="W310" s="128">
        <v>1.740258015039297E-9</v>
      </c>
      <c r="X310" s="128">
        <f t="shared" si="8"/>
        <v>1.811108536334386E-9</v>
      </c>
      <c r="Y310" s="139">
        <f t="shared" si="9"/>
        <v>4.0065007567381379</v>
      </c>
      <c r="AA310" s="73"/>
      <c r="AB310" s="182"/>
      <c r="AC310" s="182"/>
      <c r="AD310" s="182"/>
      <c r="AJ310" s="136"/>
    </row>
    <row r="311" spans="9:36" x14ac:dyDescent="0.35">
      <c r="I311" s="109">
        <v>0.17708748914</v>
      </c>
      <c r="J311" s="109">
        <v>2.0156173898877941E-9</v>
      </c>
      <c r="K311" s="109">
        <v>6.7083916672414428E-10</v>
      </c>
      <c r="L311" s="156">
        <v>1.758331781654546E-9</v>
      </c>
      <c r="M311" s="34"/>
      <c r="U311" s="127">
        <v>1.7622869154530685E-9</v>
      </c>
      <c r="V311" s="127">
        <v>1.758331781654546E-9</v>
      </c>
      <c r="W311" s="128">
        <v>1.8452274416749917E-9</v>
      </c>
      <c r="X311" s="128">
        <f t="shared" si="8"/>
        <v>1.7810444801092881E-9</v>
      </c>
      <c r="Y311" s="139">
        <f t="shared" si="9"/>
        <v>0.12226971182221998</v>
      </c>
      <c r="AA311" s="73"/>
      <c r="AB311" s="182"/>
      <c r="AC311" s="182"/>
      <c r="AD311" s="182"/>
      <c r="AJ311" s="136"/>
    </row>
    <row r="312" spans="9:36" x14ac:dyDescent="0.35">
      <c r="I312" s="109">
        <v>0.178858364031</v>
      </c>
      <c r="J312" s="109">
        <v>8.3884877132734132E-10</v>
      </c>
      <c r="K312" s="109">
        <v>5.5049049608329254E-10</v>
      </c>
      <c r="L312" s="156">
        <v>1.707399306652602E-9</v>
      </c>
      <c r="M312" s="33"/>
      <c r="U312" s="127">
        <v>1.8432686493071535E-9</v>
      </c>
      <c r="V312" s="127">
        <v>1.707399306652602E-9</v>
      </c>
      <c r="W312" s="128">
        <v>1.7793042329007215E-9</v>
      </c>
      <c r="X312" s="128">
        <f t="shared" si="8"/>
        <v>1.7593428738782698E-9</v>
      </c>
      <c r="Y312" s="139">
        <f t="shared" si="9"/>
        <v>2.7960334952640822</v>
      </c>
      <c r="AA312" s="73"/>
      <c r="AB312" s="182"/>
      <c r="AC312" s="182"/>
      <c r="AD312" s="182"/>
      <c r="AJ312" s="136"/>
    </row>
    <row r="313" spans="9:36" x14ac:dyDescent="0.35">
      <c r="I313" s="109">
        <v>0.18064694767200001</v>
      </c>
      <c r="J313" s="109">
        <v>1.7734829943964063E-9</v>
      </c>
      <c r="K313" s="109">
        <v>6.4408836694380873E-10</v>
      </c>
      <c r="L313" s="156">
        <v>1.8011291876081809E-9</v>
      </c>
      <c r="M313" s="34"/>
      <c r="U313" s="127">
        <v>1.7163480585190907E-9</v>
      </c>
      <c r="V313" s="127">
        <v>1.8011291876081809E-9</v>
      </c>
      <c r="W313" s="128">
        <v>1.6788606814474274E-9</v>
      </c>
      <c r="X313" s="128">
        <f t="shared" si="8"/>
        <v>1.74936677879572E-9</v>
      </c>
      <c r="Y313" s="139">
        <f t="shared" si="9"/>
        <v>1.401933472418849E-3</v>
      </c>
      <c r="AA313" s="73"/>
      <c r="AB313" s="182"/>
      <c r="AC313" s="182"/>
      <c r="AD313" s="182"/>
      <c r="AJ313" s="136"/>
    </row>
    <row r="314" spans="9:36" x14ac:dyDescent="0.35">
      <c r="I314" s="109">
        <v>0.18245341714800001</v>
      </c>
      <c r="J314" s="109">
        <v>1.5250985781577287E-9</v>
      </c>
      <c r="K314" s="109">
        <v>6.8946788148367516E-10</v>
      </c>
      <c r="L314" s="156">
        <v>1.72672552209378E-9</v>
      </c>
      <c r="M314" s="34"/>
      <c r="U314" s="127">
        <v>1.6641478644725472E-9</v>
      </c>
      <c r="V314" s="127">
        <v>1.72672552209378E-9</v>
      </c>
      <c r="W314" s="128">
        <v>1.7503686269127011E-9</v>
      </c>
      <c r="X314" s="128">
        <f t="shared" si="8"/>
        <v>1.716991883893202E-9</v>
      </c>
      <c r="Y314" s="139">
        <f t="shared" si="9"/>
        <v>7.7462510814320318E-2</v>
      </c>
      <c r="AA314" s="73"/>
      <c r="AB314" s="182"/>
      <c r="AC314" s="182"/>
      <c r="AD314" s="182"/>
      <c r="AJ314" s="136"/>
    </row>
    <row r="315" spans="9:36" x14ac:dyDescent="0.35">
      <c r="I315" s="109">
        <v>0.18427795131999999</v>
      </c>
      <c r="J315" s="109">
        <v>1.9786054450902652E-9</v>
      </c>
      <c r="K315" s="109">
        <v>7.0131179189785791E-10</v>
      </c>
      <c r="L315" s="156">
        <v>1.6337479102408021E-9</v>
      </c>
      <c r="M315" s="33"/>
      <c r="U315" s="127">
        <v>1.747408091871218E-9</v>
      </c>
      <c r="V315" s="127">
        <v>1.6337479102408021E-9</v>
      </c>
      <c r="W315" s="128">
        <v>1.7200540897216305E-9</v>
      </c>
      <c r="X315" s="128">
        <f t="shared" si="8"/>
        <v>1.6837395005186132E-9</v>
      </c>
      <c r="Y315" s="139">
        <f t="shared" si="9"/>
        <v>0.17677748507772376</v>
      </c>
      <c r="AA315" s="73"/>
      <c r="AB315" s="182"/>
      <c r="AC315" s="182"/>
      <c r="AD315" s="182"/>
      <c r="AJ315" s="136"/>
    </row>
    <row r="316" spans="9:36" x14ac:dyDescent="0.35">
      <c r="I316" s="109">
        <v>0.18612073083299999</v>
      </c>
      <c r="J316" s="109">
        <v>1.6730725144992145E-9</v>
      </c>
      <c r="K316" s="109">
        <v>7.4762576115329023E-10</v>
      </c>
      <c r="L316" s="156">
        <v>1.6983551453045618E-9</v>
      </c>
      <c r="M316" s="34"/>
      <c r="U316" s="127">
        <v>1.6727648857376117E-9</v>
      </c>
      <c r="V316" s="127">
        <v>1.6983551453045618E-9</v>
      </c>
      <c r="W316" s="128">
        <v>1.6129675423739319E-9</v>
      </c>
      <c r="X316" s="128">
        <f t="shared" si="8"/>
        <v>1.6706106796801669E-9</v>
      </c>
      <c r="Y316" s="139">
        <f t="shared" si="9"/>
        <v>1.0842996174747691E-5</v>
      </c>
      <c r="AA316" s="73"/>
      <c r="AB316" s="182"/>
      <c r="AC316" s="182"/>
      <c r="AD316" s="182"/>
      <c r="AJ316" s="136"/>
    </row>
    <row r="317" spans="9:36" x14ac:dyDescent="0.35">
      <c r="I317" s="109">
        <v>0.187981938141</v>
      </c>
      <c r="J317" s="109">
        <v>1.5004095650234777E-9</v>
      </c>
      <c r="K317" s="109">
        <v>7.1492633543193287E-10</v>
      </c>
      <c r="L317" s="156">
        <v>1.6580056744038882E-9</v>
      </c>
      <c r="M317" s="34"/>
      <c r="U317" s="127">
        <v>1.5809067577106142E-9</v>
      </c>
      <c r="V317" s="127">
        <v>1.6580056744038882E-9</v>
      </c>
      <c r="W317" s="128">
        <v>1.6527053682247658E-9</v>
      </c>
      <c r="X317" s="128">
        <f t="shared" si="8"/>
        <v>1.6374058686857891E-9</v>
      </c>
      <c r="Y317" s="139">
        <f t="shared" si="9"/>
        <v>3.671936045285943E-2</v>
      </c>
      <c r="AA317" s="73"/>
      <c r="AB317" s="182"/>
      <c r="AC317" s="182"/>
      <c r="AD317" s="182"/>
      <c r="AJ317" s="136"/>
    </row>
    <row r="318" spans="9:36" x14ac:dyDescent="0.35">
      <c r="I318" s="109">
        <v>0.189861757523</v>
      </c>
      <c r="J318" s="109">
        <v>1.7567822477440916E-9</v>
      </c>
      <c r="K318" s="109">
        <v>7.5365685587529565E-10</v>
      </c>
      <c r="L318" s="156">
        <v>1.5564816721941272E-9</v>
      </c>
      <c r="M318" s="33"/>
      <c r="U318" s="127">
        <v>1.6361393204497749E-9</v>
      </c>
      <c r="V318" s="127">
        <v>1.5564816721941272E-9</v>
      </c>
      <c r="W318" s="128">
        <v>1.631929841248739E-9</v>
      </c>
      <c r="X318" s="128">
        <f t="shared" si="8"/>
        <v>1.5952581265216922E-9</v>
      </c>
      <c r="Y318" s="139">
        <f t="shared" si="9"/>
        <v>4.5933280725817684E-2</v>
      </c>
      <c r="AA318" s="73"/>
      <c r="AB318" s="182"/>
      <c r="AC318" s="182"/>
      <c r="AD318" s="182"/>
      <c r="AJ318" s="136"/>
    </row>
    <row r="319" spans="9:36" x14ac:dyDescent="0.35">
      <c r="I319" s="109">
        <v>0.19176037509800001</v>
      </c>
      <c r="J319" s="109">
        <v>1.3395336061246063E-9</v>
      </c>
      <c r="K319" s="109">
        <v>7.4802558120536811E-10</v>
      </c>
      <c r="L319" s="156">
        <v>1.5916133366303328E-9</v>
      </c>
      <c r="M319" s="34"/>
      <c r="U319" s="127">
        <v>1.5935638275424339E-9</v>
      </c>
      <c r="V319" s="127">
        <v>1.5916133366303328E-9</v>
      </c>
      <c r="W319" s="128">
        <v>1.5319326787517154E-9</v>
      </c>
      <c r="X319" s="128">
        <f t="shared" si="8"/>
        <v>1.5771807948887037E-9</v>
      </c>
      <c r="Y319" s="139">
        <f t="shared" si="9"/>
        <v>0.10093283267694381</v>
      </c>
      <c r="AA319" s="73"/>
      <c r="AB319" s="182"/>
      <c r="AC319" s="182"/>
      <c r="AD319" s="182"/>
      <c r="AJ319" s="136"/>
    </row>
    <row r="320" spans="9:36" x14ac:dyDescent="0.35">
      <c r="I320" s="109">
        <v>0.19367797884900001</v>
      </c>
      <c r="J320" s="109">
        <v>1.6294492911125167E-9</v>
      </c>
      <c r="K320" s="109">
        <v>7.5669172855758587E-10</v>
      </c>
      <c r="L320" s="156">
        <v>1.561415490579278E-9</v>
      </c>
      <c r="M320" s="34"/>
      <c r="U320" s="127">
        <v>1.4938517969705628E-9</v>
      </c>
      <c r="V320" s="127">
        <v>1.561415490579278E-9</v>
      </c>
      <c r="W320" s="128">
        <v>1.5513405055336484E-9</v>
      </c>
      <c r="X320" s="128">
        <f t="shared" ref="X320:X322" si="10">(U320+2*V320+W320)/4</f>
        <v>1.5420058209156918E-9</v>
      </c>
      <c r="Y320" s="139">
        <f t="shared" ref="Y320:Y322" si="11">(J320-X320)*(J320-X320)/(K320*K320)</f>
        <v>1.3354166759367235E-2</v>
      </c>
      <c r="AA320" s="73"/>
      <c r="AB320" s="182"/>
      <c r="AC320" s="182"/>
      <c r="AD320" s="182"/>
      <c r="AJ320" s="136"/>
    </row>
    <row r="321" spans="9:36" x14ac:dyDescent="0.35">
      <c r="I321" s="109">
        <v>0.19561475863700001</v>
      </c>
      <c r="J321" s="109">
        <v>1.03088580984866E-9</v>
      </c>
      <c r="K321" s="109">
        <v>7.1504649126859459E-10</v>
      </c>
      <c r="L321" s="156">
        <v>1.4657515614270236E-9</v>
      </c>
      <c r="M321" s="33"/>
      <c r="U321" s="127">
        <v>1.520466327274766E-9</v>
      </c>
      <c r="V321" s="127">
        <v>1.4657515614270236E-9</v>
      </c>
      <c r="W321" s="128">
        <v>1.5234072287183838E-9</v>
      </c>
      <c r="X321" s="128">
        <f t="shared" si="10"/>
        <v>1.4938441697117994E-9</v>
      </c>
      <c r="Y321" s="139">
        <f t="shared" si="11"/>
        <v>0.41919423536494993</v>
      </c>
      <c r="AA321" s="73"/>
      <c r="AB321" s="182"/>
      <c r="AC321" s="182"/>
      <c r="AD321" s="182"/>
      <c r="AJ321" s="136"/>
    </row>
    <row r="322" spans="9:36" x14ac:dyDescent="0.35">
      <c r="I322" s="109">
        <v>0.197570906224</v>
      </c>
      <c r="J322" s="109">
        <v>2.0344573080546443E-9</v>
      </c>
      <c r="K322" s="109">
        <v>9.4750808750206131E-10</v>
      </c>
      <c r="L322" s="156">
        <v>1.480993680390296E-9</v>
      </c>
      <c r="M322" s="34"/>
      <c r="U322" s="127">
        <v>1.4863967049647239E-9</v>
      </c>
      <c r="V322" s="127">
        <v>1.480993680390296E-9</v>
      </c>
      <c r="W322" s="128">
        <v>1.4347082149020231E-9</v>
      </c>
      <c r="X322" s="128">
        <f t="shared" si="10"/>
        <v>1.4707730701618347E-9</v>
      </c>
      <c r="Y322" s="139">
        <f t="shared" si="11"/>
        <v>0.35392067267969074</v>
      </c>
      <c r="AA322" s="73"/>
      <c r="AB322" s="182"/>
      <c r="AC322" s="182"/>
      <c r="AD322" s="182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82"/>
      <c r="AC323" s="182"/>
      <c r="AD323" s="182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82"/>
      <c r="AC324" s="182"/>
      <c r="AD324" s="182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82"/>
      <c r="AC325" s="182"/>
      <c r="AD325" s="182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82"/>
      <c r="AC326" s="182"/>
      <c r="AD326" s="182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82"/>
      <c r="AC327" s="182"/>
      <c r="AD327" s="182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82"/>
      <c r="AC328" s="182"/>
      <c r="AD328" s="182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82"/>
      <c r="AC329" s="182"/>
      <c r="AD329" s="182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82"/>
      <c r="AC330" s="182"/>
      <c r="AD330" s="182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82"/>
      <c r="AC331" s="182"/>
      <c r="AD331" s="182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82"/>
      <c r="AC332" s="182"/>
      <c r="AD332" s="182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82"/>
      <c r="AC333" s="182"/>
      <c r="AD333" s="182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82"/>
      <c r="AC334" s="182"/>
      <c r="AD334" s="182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60"/>
    </row>
    <row r="596" spans="9:35" x14ac:dyDescent="0.35">
      <c r="I596" s="109"/>
      <c r="J596" s="109"/>
      <c r="K596" s="109"/>
      <c r="L596" s="158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1899-D9DA-4710-AB3B-80877DCE0C57}">
  <sheetPr codeName="Sheet6"/>
  <dimension ref="A1:D20"/>
  <sheetViews>
    <sheetView workbookViewId="0">
      <selection activeCell="A15" sqref="A15"/>
    </sheetView>
  </sheetViews>
  <sheetFormatPr defaultRowHeight="15.5" x14ac:dyDescent="0.35"/>
  <cols>
    <col min="1" max="1" width="39.33203125" bestFit="1" customWidth="1"/>
    <col min="2" max="2" width="9.1640625" bestFit="1" customWidth="1"/>
  </cols>
  <sheetData>
    <row r="1" spans="1:4" x14ac:dyDescent="0.35">
      <c r="A1" s="168"/>
      <c r="B1" s="93" t="s">
        <v>535</v>
      </c>
      <c r="C1" s="93" t="s">
        <v>629</v>
      </c>
      <c r="D1" s="169"/>
    </row>
    <row r="2" spans="1:4" ht="18" x14ac:dyDescent="0.35">
      <c r="A2" s="93" t="s">
        <v>630</v>
      </c>
      <c r="B2" s="170">
        <f>Reflectivity!H10</f>
        <v>1064.8635783663553</v>
      </c>
      <c r="C2" s="170">
        <f>dTotal!D4</f>
        <v>10.371955271989219</v>
      </c>
      <c r="D2" s="171"/>
    </row>
    <row r="3" spans="1:4" ht="18" x14ac:dyDescent="0.35">
      <c r="A3" s="93" t="s">
        <v>631</v>
      </c>
      <c r="B3" s="170">
        <f>Reflectivity!F7</f>
        <v>23.313779615057957</v>
      </c>
      <c r="C3" s="170">
        <f>dSiOx!D4</f>
        <v>3.9322473150929103</v>
      </c>
      <c r="D3" s="171"/>
    </row>
    <row r="4" spans="1:4" x14ac:dyDescent="0.35">
      <c r="A4" s="94"/>
      <c r="B4" s="94"/>
      <c r="C4" s="94"/>
      <c r="D4" s="171"/>
    </row>
    <row r="5" spans="1:4" ht="18" x14ac:dyDescent="0.35">
      <c r="A5" s="93" t="s">
        <v>632</v>
      </c>
      <c r="B5" s="170">
        <f>Reflectivity!G4</f>
        <v>21.758164262199287</v>
      </c>
      <c r="C5" s="170">
        <f>sigDstack!D4</f>
        <v>13.06770922586259</v>
      </c>
      <c r="D5" s="171"/>
    </row>
    <row r="6" spans="1:4" x14ac:dyDescent="0.35">
      <c r="D6" s="171"/>
    </row>
    <row r="7" spans="1:4" ht="18" x14ac:dyDescent="0.35">
      <c r="A7" s="93" t="s">
        <v>612</v>
      </c>
      <c r="B7" s="172">
        <f>Reflectivity!H14</f>
        <v>1.3701415271707418</v>
      </c>
      <c r="C7" s="172">
        <f>density!D4</f>
        <v>5.5658604561011363E-2</v>
      </c>
    </row>
    <row r="8" spans="1:4" ht="18" x14ac:dyDescent="0.35">
      <c r="A8" s="93" t="s">
        <v>613</v>
      </c>
      <c r="B8" s="172">
        <f>Reflectivity!H16</f>
        <v>0.29996142000263898</v>
      </c>
      <c r="C8" s="172">
        <f>f_PEO!D4</f>
        <v>5.1171006060585486E-2</v>
      </c>
    </row>
    <row r="9" spans="1:4" x14ac:dyDescent="0.35">
      <c r="D9" s="173"/>
    </row>
    <row r="10" spans="1:4" ht="18" x14ac:dyDescent="0.35">
      <c r="A10" s="93" t="s">
        <v>633</v>
      </c>
      <c r="B10" s="174">
        <f>Reflectivity!C5</f>
        <v>1.7860352480266717E-6</v>
      </c>
      <c r="C10" s="174">
        <f>SQRT(B11^2*C7^2+B12^2*C8^2)</f>
        <v>1.0361075649975128E-7</v>
      </c>
      <c r="D10" s="173"/>
    </row>
    <row r="11" spans="1:4" ht="18" x14ac:dyDescent="0.35">
      <c r="A11" s="93" t="s">
        <v>634</v>
      </c>
      <c r="B11" s="174">
        <f>B8*Reflectivity!D16+(1-B8)*Reflectivity!C16</f>
        <v>1.3035407018972157E-6</v>
      </c>
      <c r="C11" s="174"/>
    </row>
    <row r="12" spans="1:4" ht="18" x14ac:dyDescent="0.35">
      <c r="A12" s="93" t="s">
        <v>635</v>
      </c>
      <c r="B12" s="174">
        <f>B7*(Reflectivity!D16-Reflectivity!C16)</f>
        <v>-1.4454993111651326E-6</v>
      </c>
      <c r="C12" s="174"/>
    </row>
    <row r="13" spans="1:4" ht="18" x14ac:dyDescent="0.35">
      <c r="A13" s="93" t="s">
        <v>636</v>
      </c>
      <c r="B13" s="174">
        <f>Reflectivity!C6</f>
        <v>8.4383076650543174E-7</v>
      </c>
      <c r="C13" s="174">
        <f>NbBPEI!D4</f>
        <v>5.143425259460748E-7</v>
      </c>
    </row>
    <row r="15" spans="1:4" x14ac:dyDescent="0.35">
      <c r="A15" s="193"/>
      <c r="B15" s="75"/>
      <c r="C15" s="75"/>
    </row>
    <row r="16" spans="1:4" x14ac:dyDescent="0.35">
      <c r="A16" s="175"/>
      <c r="B16" s="1"/>
      <c r="C16" s="176"/>
    </row>
    <row r="17" spans="1:3" x14ac:dyDescent="0.35">
      <c r="A17" s="175"/>
      <c r="B17" s="1"/>
      <c r="C17" s="176"/>
    </row>
    <row r="18" spans="1:3" x14ac:dyDescent="0.35">
      <c r="A18" s="175"/>
      <c r="B18" s="1"/>
      <c r="C18" s="176"/>
    </row>
    <row r="19" spans="1:3" x14ac:dyDescent="0.35">
      <c r="A19" s="175"/>
      <c r="B19" s="1"/>
      <c r="C19" s="176"/>
    </row>
    <row r="20" spans="1:3" x14ac:dyDescent="0.35">
      <c r="A20" s="175"/>
      <c r="B20" s="1"/>
      <c r="C2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607</v>
      </c>
      <c r="B2" s="105">
        <v>1055</v>
      </c>
      <c r="C2" s="105">
        <v>1075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1055</v>
      </c>
      <c r="B4" s="94">
        <v>2.8195678692791257</v>
      </c>
      <c r="C4" s="106">
        <v>1064.8635783663553</v>
      </c>
      <c r="D4" s="106">
        <v>10.371955271989219</v>
      </c>
    </row>
    <row r="5" spans="1:5" x14ac:dyDescent="0.35">
      <c r="A5" s="106">
        <v>1059</v>
      </c>
      <c r="B5" s="94">
        <v>2.2228622887319194</v>
      </c>
      <c r="C5" s="94"/>
      <c r="D5" s="94"/>
    </row>
    <row r="6" spans="1:5" x14ac:dyDescent="0.35">
      <c r="A6" s="106">
        <v>1063</v>
      </c>
      <c r="B6" s="94">
        <v>1.9372118844251283</v>
      </c>
      <c r="C6" s="94"/>
      <c r="D6" s="94"/>
    </row>
    <row r="7" spans="1:5" x14ac:dyDescent="0.35">
      <c r="A7" s="106">
        <v>1067</v>
      </c>
      <c r="B7" s="94">
        <v>1.9562783207990133</v>
      </c>
      <c r="C7" s="94"/>
      <c r="D7" s="94"/>
    </row>
    <row r="8" spans="1:5" x14ac:dyDescent="0.35">
      <c r="A8" s="106">
        <v>1071</v>
      </c>
      <c r="B8" s="94">
        <v>2.2686420915690677</v>
      </c>
      <c r="C8" s="94"/>
      <c r="D8" s="94"/>
    </row>
    <row r="9" spans="1:5" x14ac:dyDescent="0.35">
      <c r="A9" s="106">
        <v>1075</v>
      </c>
      <c r="B9" s="94">
        <v>2.8593016857506766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C0983-8C62-4B8D-8C2B-D110D4CD84E6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6">
        <v>1.34</v>
      </c>
      <c r="C2" s="166">
        <v>1.42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1.34</v>
      </c>
      <c r="B4" s="94">
        <v>2.1919399596711848</v>
      </c>
      <c r="C4" s="165">
        <v>1.3701415271707418</v>
      </c>
      <c r="D4" s="165">
        <v>5.5658604561011363E-2</v>
      </c>
    </row>
    <row r="5" spans="1:5" x14ac:dyDescent="0.35">
      <c r="A5" s="165">
        <v>1.3560000000000001</v>
      </c>
      <c r="B5" s="94">
        <v>1.9776071261665709</v>
      </c>
      <c r="C5" s="94"/>
      <c r="D5" s="94"/>
    </row>
    <row r="6" spans="1:5" x14ac:dyDescent="0.35">
      <c r="A6" s="165">
        <v>1.3720000000000001</v>
      </c>
      <c r="B6" s="94">
        <v>1.9087016535109596</v>
      </c>
      <c r="C6" s="94"/>
      <c r="D6" s="94"/>
    </row>
    <row r="7" spans="1:5" x14ac:dyDescent="0.35">
      <c r="A7" s="165">
        <v>1.3879999999999999</v>
      </c>
      <c r="B7" s="94">
        <v>2.0018060513509264</v>
      </c>
      <c r="C7" s="94"/>
      <c r="D7" s="94"/>
    </row>
    <row r="8" spans="1:5" x14ac:dyDescent="0.35">
      <c r="A8" s="165">
        <v>1.4039999999999999</v>
      </c>
      <c r="B8" s="94">
        <v>2.2690015394353815</v>
      </c>
      <c r="C8" s="94"/>
      <c r="D8" s="94"/>
    </row>
    <row r="9" spans="1:5" x14ac:dyDescent="0.35">
      <c r="A9" s="165">
        <v>1.42</v>
      </c>
      <c r="B9" s="94">
        <v>2.7113240294105143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122B2-0ECF-4E78-8677-3DF2BE891EE0}">
  <sheetPr codeName="Sheet27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618</v>
      </c>
      <c r="B2" s="166">
        <v>0.27</v>
      </c>
      <c r="C2" s="166">
        <v>0.33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5">
        <v>0.27</v>
      </c>
      <c r="B4" s="94">
        <v>2.2559978641326399</v>
      </c>
      <c r="C4" s="165">
        <v>0.29996142000263898</v>
      </c>
      <c r="D4" s="165">
        <v>5.1171006060585486E-2</v>
      </c>
    </row>
    <row r="5" spans="1:5" x14ac:dyDescent="0.35">
      <c r="A5" s="165">
        <v>0.28200000000000003</v>
      </c>
      <c r="B5" s="94">
        <v>2.0268241832551515</v>
      </c>
      <c r="C5" s="94"/>
      <c r="D5" s="94"/>
    </row>
    <row r="6" spans="1:5" x14ac:dyDescent="0.35">
      <c r="A6" s="165">
        <v>0.29400000000000004</v>
      </c>
      <c r="B6" s="94">
        <v>1.9189085169696032</v>
      </c>
      <c r="C6" s="94"/>
      <c r="D6" s="94"/>
    </row>
    <row r="7" spans="1:5" x14ac:dyDescent="0.35">
      <c r="A7" s="165">
        <v>0.30599999999999999</v>
      </c>
      <c r="B7" s="94">
        <v>1.9262087553232814</v>
      </c>
      <c r="C7" s="94"/>
      <c r="D7" s="94"/>
    </row>
    <row r="8" spans="1:5" x14ac:dyDescent="0.35">
      <c r="A8" s="165">
        <v>0.318</v>
      </c>
      <c r="B8" s="94">
        <v>2.0396438060692845</v>
      </c>
      <c r="C8" s="94"/>
      <c r="D8" s="94"/>
    </row>
    <row r="9" spans="1:5" x14ac:dyDescent="0.35">
      <c r="A9" s="165">
        <v>0.33</v>
      </c>
      <c r="B9" s="94">
        <v>2.2493213183934384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14</v>
      </c>
      <c r="C2" s="105">
        <v>34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14</v>
      </c>
      <c r="B4" s="94">
        <v>2.231975774879031</v>
      </c>
      <c r="C4" s="106">
        <v>21.758164262199287</v>
      </c>
      <c r="D4" s="106">
        <v>13.06770922586259</v>
      </c>
    </row>
    <row r="5" spans="1:5" x14ac:dyDescent="0.35">
      <c r="A5" s="106">
        <v>18</v>
      </c>
      <c r="B5" s="94">
        <v>1.9735870318968829</v>
      </c>
      <c r="C5" s="94"/>
      <c r="D5" s="94"/>
    </row>
    <row r="6" spans="1:5" x14ac:dyDescent="0.35">
      <c r="A6" s="106">
        <v>22</v>
      </c>
      <c r="B6" s="94">
        <v>1.8826964518436693</v>
      </c>
      <c r="C6" s="94"/>
      <c r="D6" s="94"/>
    </row>
    <row r="7" spans="1:5" x14ac:dyDescent="0.35">
      <c r="A7" s="106">
        <v>26</v>
      </c>
      <c r="B7" s="94">
        <v>1.9845559181256647</v>
      </c>
      <c r="C7" s="94"/>
      <c r="D7" s="94"/>
    </row>
    <row r="8" spans="1:5" x14ac:dyDescent="0.35">
      <c r="A8" s="106">
        <v>30</v>
      </c>
      <c r="B8" s="94">
        <v>2.2812450155506068</v>
      </c>
      <c r="C8" s="94"/>
      <c r="D8" s="94"/>
    </row>
    <row r="9" spans="1:5" x14ac:dyDescent="0.35">
      <c r="A9" s="106">
        <v>34</v>
      </c>
      <c r="B9" s="94">
        <v>2.7621877484730173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EB19A-E75C-4C2A-91AC-1273F17B00C3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619</v>
      </c>
      <c r="B2" s="105">
        <v>21</v>
      </c>
      <c r="C2" s="105">
        <v>27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21</v>
      </c>
      <c r="B4" s="94">
        <v>2.2017280689243135</v>
      </c>
      <c r="C4" s="106">
        <v>23.313779615057957</v>
      </c>
      <c r="D4" s="106">
        <v>3.9322473150929103</v>
      </c>
    </row>
    <row r="5" spans="1:5" x14ac:dyDescent="0.35">
      <c r="A5" s="106">
        <v>22.2</v>
      </c>
      <c r="B5" s="94">
        <v>1.9403286575126555</v>
      </c>
      <c r="C5" s="94"/>
      <c r="D5" s="94"/>
    </row>
    <row r="6" spans="1:5" x14ac:dyDescent="0.35">
      <c r="A6" s="106">
        <v>23.4</v>
      </c>
      <c r="B6" s="94">
        <v>1.8590040709227469</v>
      </c>
      <c r="C6" s="94"/>
      <c r="D6" s="94"/>
    </row>
    <row r="7" spans="1:5" x14ac:dyDescent="0.35">
      <c r="A7" s="106">
        <v>24.6</v>
      </c>
      <c r="B7" s="94">
        <v>1.9627262594112731</v>
      </c>
      <c r="C7" s="94"/>
      <c r="D7" s="94"/>
    </row>
    <row r="8" spans="1:5" x14ac:dyDescent="0.35">
      <c r="A8" s="106">
        <v>25.8</v>
      </c>
      <c r="B8" s="94">
        <v>2.2549984802002969</v>
      </c>
      <c r="C8" s="94"/>
      <c r="D8" s="94"/>
    </row>
    <row r="9" spans="1:5" x14ac:dyDescent="0.35">
      <c r="A9" s="106">
        <v>27</v>
      </c>
      <c r="B9" s="94">
        <v>2.7377565839738334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466F-D7FA-4609-80E8-F184FBED30D1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627</v>
      </c>
      <c r="B2" s="119">
        <v>4.9999999999999998E-7</v>
      </c>
      <c r="C2" s="119">
        <v>9.9999999999999995E-7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4.9999999999999998E-7</v>
      </c>
      <c r="B4" s="94">
        <v>2.3043060031280285</v>
      </c>
      <c r="C4" s="99">
        <v>8.4383076650543174E-7</v>
      </c>
      <c r="D4" s="99">
        <v>5.143425259460748E-7</v>
      </c>
    </row>
    <row r="5" spans="1:5" x14ac:dyDescent="0.35">
      <c r="A5" s="99">
        <v>5.9999999999999997E-7</v>
      </c>
      <c r="B5" s="94">
        <v>2.0754843422270355</v>
      </c>
      <c r="C5" s="94"/>
      <c r="D5" s="94"/>
    </row>
    <row r="6" spans="1:5" x14ac:dyDescent="0.35">
      <c r="A6" s="99">
        <v>6.9999999999999997E-7</v>
      </c>
      <c r="B6" s="94">
        <v>1.9307815220750522</v>
      </c>
      <c r="C6" s="94"/>
      <c r="D6" s="94"/>
    </row>
    <row r="7" spans="1:5" x14ac:dyDescent="0.35">
      <c r="A7" s="99">
        <v>7.9999999999999996E-7</v>
      </c>
      <c r="B7" s="94">
        <v>1.8641919436365684</v>
      </c>
      <c r="C7" s="94"/>
      <c r="D7" s="94"/>
    </row>
    <row r="8" spans="1:5" x14ac:dyDescent="0.35">
      <c r="A8" s="99">
        <v>8.9999999999999996E-7</v>
      </c>
      <c r="B8" s="94">
        <v>1.8702817613540657</v>
      </c>
      <c r="C8" s="94"/>
      <c r="D8" s="94"/>
    </row>
    <row r="9" spans="1:5" x14ac:dyDescent="0.35">
      <c r="A9" s="99">
        <v>9.9999999999999995E-7</v>
      </c>
      <c r="B9" s="94">
        <v>1.9441892396789815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D4B1-79BF-40E8-8173-82DB062AE5D2}">
  <sheetPr codeName="Sheet3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637</v>
      </c>
      <c r="B2" s="119">
        <v>1.9999999999999999E-6</v>
      </c>
      <c r="C2" s="119">
        <v>2.1399999999999998E-6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3.255917759452609</v>
      </c>
      <c r="C4" s="99">
        <v>2.0702563117624681E-6</v>
      </c>
      <c r="D4" s="99">
        <v>6.0971259033512882E-8</v>
      </c>
    </row>
    <row r="5" spans="1:5" x14ac:dyDescent="0.35">
      <c r="A5" s="99">
        <v>2.0279999999999999E-6</v>
      </c>
      <c r="B5" s="94">
        <v>2.3322424224559901</v>
      </c>
      <c r="C5" s="94"/>
      <c r="D5" s="94"/>
    </row>
    <row r="6" spans="1:5" x14ac:dyDescent="0.35">
      <c r="A6" s="99">
        <v>2.0559999999999999E-6</v>
      </c>
      <c r="B6" s="94">
        <v>2.0090686952657237</v>
      </c>
      <c r="C6" s="94"/>
      <c r="D6" s="94"/>
    </row>
    <row r="7" spans="1:5" x14ac:dyDescent="0.35">
      <c r="A7" s="99">
        <v>2.0839999999999999E-6</v>
      </c>
      <c r="B7" s="94">
        <v>1.8744776916496524</v>
      </c>
      <c r="C7" s="94"/>
      <c r="D7" s="94"/>
    </row>
    <row r="8" spans="1:5" x14ac:dyDescent="0.35">
      <c r="A8" s="99">
        <v>2.1119999999999999E-6</v>
      </c>
      <c r="B8" s="94">
        <v>2.4697064396281689</v>
      </c>
      <c r="C8" s="94"/>
      <c r="D8" s="94"/>
    </row>
    <row r="9" spans="1:5" x14ac:dyDescent="0.35">
      <c r="A9" s="99">
        <v>2.1399999999999998E-6</v>
      </c>
      <c r="B9" s="94">
        <v>3.1733301493415569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5" x14ac:dyDescent="0.35"/>
  <cols>
    <col min="1" max="1" width="4.08203125" bestFit="1" customWidth="1"/>
    <col min="2" max="2" width="14.9140625" style="1" bestFit="1" customWidth="1"/>
    <col min="3" max="3" width="16.9140625" style="1" bestFit="1" customWidth="1"/>
    <col min="4" max="4" width="35.6640625" style="1" bestFit="1" customWidth="1"/>
    <col min="5" max="5" width="27.9140625" style="1" bestFit="1" customWidth="1"/>
    <col min="6" max="7" width="13.58203125" style="1" bestFit="1" customWidth="1"/>
    <col min="8" max="9" width="9.83203125" style="1" bestFit="1" customWidth="1"/>
    <col min="10" max="10" width="11.58203125" style="1" bestFit="1" customWidth="1"/>
    <col min="11" max="11" width="10.4140625" style="1" bestFit="1" customWidth="1"/>
    <col min="12" max="12" width="8.5" style="1" bestFit="1" customWidth="1"/>
    <col min="13" max="13" width="12.41406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620</v>
      </c>
      <c r="D1" s="86" t="s">
        <v>547</v>
      </c>
      <c r="E1" s="86">
        <v>174481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621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622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623</v>
      </c>
      <c r="E4" s="1" t="s">
        <v>624</v>
      </c>
      <c r="F4" s="1">
        <v>10</v>
      </c>
      <c r="G4" s="117">
        <v>0.45664351851851853</v>
      </c>
      <c r="H4" s="1">
        <v>2020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625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174481</v>
      </c>
      <c r="C8" s="1">
        <v>174452</v>
      </c>
      <c r="D8" s="1">
        <v>1.20218</v>
      </c>
      <c r="E8" s="1">
        <v>13.2996</v>
      </c>
      <c r="F8" s="1">
        <v>16.700600000000001</v>
      </c>
      <c r="G8" s="1">
        <v>7.7999999999999996E-3</v>
      </c>
      <c r="H8" s="1">
        <v>9.9000000000000008E-3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174482</v>
      </c>
      <c r="C9" s="1">
        <v>174453</v>
      </c>
      <c r="D9" s="1">
        <v>1.2014199999999999</v>
      </c>
      <c r="E9" s="1">
        <v>10.685600000000001</v>
      </c>
      <c r="F9" s="1">
        <v>14.086499999999999</v>
      </c>
      <c r="G9" s="1">
        <v>9.2999999999999992E-3</v>
      </c>
      <c r="H9" s="1">
        <v>1.23E-2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174483</v>
      </c>
      <c r="C10" s="1">
        <v>174454</v>
      </c>
      <c r="D10" s="1">
        <v>1.2015</v>
      </c>
      <c r="E10" s="1">
        <v>8.0395699999999994</v>
      </c>
      <c r="F10" s="1">
        <v>11.4405</v>
      </c>
      <c r="G10" s="1">
        <v>1.15E-2</v>
      </c>
      <c r="H10" s="1">
        <v>1.6299999999999999E-2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174484</v>
      </c>
      <c r="C11" s="1">
        <v>174455</v>
      </c>
      <c r="D11" s="1">
        <v>1.2015</v>
      </c>
      <c r="E11" s="1">
        <v>5.3425500000000001</v>
      </c>
      <c r="F11" s="1">
        <v>8.7435200000000002</v>
      </c>
      <c r="G11" s="1">
        <v>1.4999999999999999E-2</v>
      </c>
      <c r="H11" s="1">
        <v>2.46E-2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174485</v>
      </c>
      <c r="C12" s="1">
        <v>174456</v>
      </c>
      <c r="D12" s="1">
        <v>1.2015</v>
      </c>
      <c r="E12" s="1">
        <v>2.5495399999999999</v>
      </c>
      <c r="F12" s="1">
        <v>5.9504999999999999</v>
      </c>
      <c r="G12" s="1">
        <v>2.2100000000000002E-2</v>
      </c>
      <c r="H12" s="1">
        <v>5.16E-2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174486</v>
      </c>
      <c r="C13" s="1">
        <v>174456</v>
      </c>
      <c r="D13" s="1">
        <v>2.3690500000000001</v>
      </c>
      <c r="E13" s="1">
        <v>2.5495399999999999</v>
      </c>
      <c r="F13" s="1">
        <v>5.9504999999999999</v>
      </c>
      <c r="G13" s="1">
        <v>4.36E-2</v>
      </c>
      <c r="H13" s="1">
        <v>0.1018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174487</v>
      </c>
      <c r="C14" s="1">
        <v>174456</v>
      </c>
      <c r="D14" s="1">
        <v>4.6891100000000003</v>
      </c>
      <c r="E14" s="1">
        <v>2.5495399999999999</v>
      </c>
      <c r="F14" s="1">
        <v>5.9504999999999999</v>
      </c>
      <c r="G14" s="1">
        <v>8.6300000000000002E-2</v>
      </c>
      <c r="H14" s="1">
        <v>0.2016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626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626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174481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1.04751086763</v>
      </c>
      <c r="K22" s="1">
        <v>6031</v>
      </c>
      <c r="L22" s="1">
        <v>43.086897999999998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174482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1.04751086763</v>
      </c>
      <c r="K23" s="1">
        <v>6013</v>
      </c>
      <c r="L23" s="1">
        <v>37.707076000000001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174483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1.04751086763</v>
      </c>
      <c r="K24" s="1">
        <v>6019</v>
      </c>
      <c r="L24" s="1">
        <v>88.016602000000006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174484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1.04751086763</v>
      </c>
      <c r="K25" s="1">
        <v>6034</v>
      </c>
      <c r="L25" s="1">
        <v>95.702957999999995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174485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2.2100000000000002E-2</v>
      </c>
      <c r="I26" s="1">
        <v>5.1700000000000003E-2</v>
      </c>
      <c r="J26" s="1">
        <v>1.04751086763</v>
      </c>
      <c r="K26" s="1">
        <v>18019</v>
      </c>
      <c r="L26" s="1">
        <v>513.25481100000002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174486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1.04751086763</v>
      </c>
      <c r="K27" s="1">
        <v>18011</v>
      </c>
      <c r="L27" s="1">
        <v>1023.167014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174487</v>
      </c>
      <c r="D28" s="1">
        <v>174456</v>
      </c>
      <c r="E28" s="1">
        <v>4.6900000000000004</v>
      </c>
      <c r="F28" s="1">
        <v>2.5499999999999998</v>
      </c>
      <c r="G28" s="1">
        <v>5.95</v>
      </c>
      <c r="H28" s="1">
        <v>8.6400000000000005E-2</v>
      </c>
      <c r="I28" s="1">
        <v>0.2016</v>
      </c>
      <c r="J28" s="1">
        <v>1.04751086763</v>
      </c>
      <c r="K28" s="1">
        <v>36014</v>
      </c>
      <c r="L28" s="1">
        <v>1049.343476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8.1824504007600007E-3</v>
      </c>
      <c r="B41" s="1">
        <v>1.49336237745</v>
      </c>
      <c r="C41" s="1">
        <v>0.64877686924699995</v>
      </c>
      <c r="D41" s="1">
        <v>5.8819635921700004E-4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8.2642749047700005E-3</v>
      </c>
      <c r="B42" s="1">
        <v>1.21257644121</v>
      </c>
      <c r="C42" s="1">
        <v>0.30136165218400002</v>
      </c>
      <c r="D42" s="1">
        <v>5.9007832281000004E-4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8.3469176538099998E-3</v>
      </c>
      <c r="B43" s="1">
        <v>1.0100355303899999</v>
      </c>
      <c r="C43" s="1">
        <v>0.14609984624</v>
      </c>
      <c r="D43" s="1">
        <v>5.9197910603799996E-4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8.4303868303500003E-3</v>
      </c>
      <c r="B44" s="1">
        <v>1.0831747611</v>
      </c>
      <c r="C44" s="1">
        <v>0.11096003097899999</v>
      </c>
      <c r="D44" s="1">
        <v>5.9389889709799998E-4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8.5146906986500008E-3</v>
      </c>
      <c r="B45" s="1">
        <v>0.86785814395799998</v>
      </c>
      <c r="C45" s="1">
        <v>8.2944849497299994E-2</v>
      </c>
      <c r="D45" s="1">
        <v>5.9583788606899996E-4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8.5998376056400008E-3</v>
      </c>
      <c r="B46" s="1">
        <v>0.91339069295700004</v>
      </c>
      <c r="C46" s="1">
        <v>7.5226484169800004E-2</v>
      </c>
      <c r="D46" s="1">
        <v>5.9779626492999997E-4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8.6858359817000002E-3</v>
      </c>
      <c r="B47" s="1">
        <v>1.09701005026</v>
      </c>
      <c r="C47" s="1">
        <v>7.6583207239000001E-2</v>
      </c>
      <c r="D47" s="1">
        <v>5.9977422757899999E-4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8.7726943415100001E-3</v>
      </c>
      <c r="B48" s="1">
        <v>1.0294959346999999</v>
      </c>
      <c r="C48" s="1">
        <v>7.2673328199800005E-2</v>
      </c>
      <c r="D48" s="1">
        <v>6.0177196985499999E-4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8.86042128493E-3</v>
      </c>
      <c r="B49" s="1">
        <v>0.909130050854</v>
      </c>
      <c r="C49" s="1">
        <v>6.5941624923500003E-2</v>
      </c>
      <c r="D49" s="1">
        <v>6.0378968955299996E-4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8.9490254977800006E-3</v>
      </c>
      <c r="B50" s="1">
        <v>1.0336911504399999</v>
      </c>
      <c r="C50" s="1">
        <v>6.6295076199499994E-2</v>
      </c>
      <c r="D50" s="1">
        <v>6.0582758644900001E-4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9.0385157527600006E-3</v>
      </c>
      <c r="B51" s="1">
        <v>1.02256060761</v>
      </c>
      <c r="C51" s="1">
        <v>6.2801963015900006E-2</v>
      </c>
      <c r="D51" s="1">
        <v>6.0788586231300004E-4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9.1289009102799995E-3</v>
      </c>
      <c r="B52" s="1">
        <v>0.96910654398499996</v>
      </c>
      <c r="C52" s="1">
        <v>6.0758670804700002E-2</v>
      </c>
      <c r="D52" s="1">
        <v>6.0996472093700004E-4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9.2201899193900001E-3</v>
      </c>
      <c r="B53" s="1">
        <v>1.0004682869299999</v>
      </c>
      <c r="C53" s="1">
        <v>6.0028515700799999E-2</v>
      </c>
      <c r="D53" s="1">
        <v>6.1206436814599996E-4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9.3123918185800004E-3</v>
      </c>
      <c r="B54" s="1">
        <v>0.997335428711</v>
      </c>
      <c r="C54" s="1">
        <v>5.8334367354000001E-2</v>
      </c>
      <c r="D54" s="1">
        <v>6.1418501182700005E-4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9.4055157367700006E-3</v>
      </c>
      <c r="B55" s="1">
        <v>1.04325894448</v>
      </c>
      <c r="C55" s="1">
        <v>4.4228469978399999E-2</v>
      </c>
      <c r="D55" s="1">
        <v>6.1632686194599997E-4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9.4995708941299998E-3</v>
      </c>
      <c r="B56" s="1">
        <v>1.0066186473900001</v>
      </c>
      <c r="C56" s="1">
        <v>4.0895664493900002E-2</v>
      </c>
      <c r="D56" s="1">
        <v>6.1849013056499997E-4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9.5945666030799997E-3</v>
      </c>
      <c r="B57" s="1">
        <v>0.99380047009399997</v>
      </c>
      <c r="C57" s="1">
        <v>3.9165595141000001E-2</v>
      </c>
      <c r="D57" s="1">
        <v>6.2067503187099998E-4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9.69051226911E-3</v>
      </c>
      <c r="B58" s="1">
        <v>1.02388843872</v>
      </c>
      <c r="C58" s="1">
        <v>3.8716298397700001E-2</v>
      </c>
      <c r="D58" s="1">
        <v>6.2288178218900003E-4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9.7874173918000001E-3</v>
      </c>
      <c r="B59" s="1">
        <v>0.94934185547299998</v>
      </c>
      <c r="C59" s="1">
        <v>3.67299764182E-2</v>
      </c>
      <c r="D59" s="1">
        <v>6.2511060001099999E-4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9.8852915657199995E-3</v>
      </c>
      <c r="B60" s="1">
        <v>1.0005457548100001</v>
      </c>
      <c r="C60" s="1">
        <v>5.5382459740999999E-2</v>
      </c>
      <c r="D60" s="1">
        <v>6.2736170601099999E-4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9.9841444813699998E-3</v>
      </c>
      <c r="B61" s="1">
        <v>0.77777063237199995</v>
      </c>
      <c r="C61" s="1">
        <v>4.5956210761400003E-2</v>
      </c>
      <c r="D61" s="1">
        <v>6.2963532307199995E-4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1.0083985926200001E-2</v>
      </c>
      <c r="B62" s="1">
        <v>0.79494873407599997</v>
      </c>
      <c r="C62" s="1">
        <v>4.6108358037099999E-2</v>
      </c>
      <c r="D62" s="1">
        <v>6.3193167630200004E-4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1.01848257854E-2</v>
      </c>
      <c r="B63" s="1">
        <v>0.57612100806099997</v>
      </c>
      <c r="C63" s="1">
        <v>3.8367458189800002E-2</v>
      </c>
      <c r="D63" s="1">
        <v>6.3425099306499996E-4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1.02866740433E-2</v>
      </c>
      <c r="B64" s="1">
        <v>0.38073914855800001</v>
      </c>
      <c r="C64" s="1">
        <v>2.9679234228699999E-2</v>
      </c>
      <c r="D64" s="1">
        <v>6.3659350299599996E-4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1.03895407837E-2</v>
      </c>
      <c r="B65" s="1">
        <v>0.33257945840600001</v>
      </c>
      <c r="C65" s="1">
        <v>2.73113509288E-2</v>
      </c>
      <c r="D65" s="1">
        <v>6.3895943802600005E-4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1.04934361916E-2</v>
      </c>
      <c r="B66" s="1">
        <v>0.28365747359999999</v>
      </c>
      <c r="C66" s="1">
        <v>2.4977937202099999E-2</v>
      </c>
      <c r="D66" s="1">
        <v>6.4134903240600002E-4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1.05983705535E-2</v>
      </c>
      <c r="B67" s="1">
        <v>0.24813717944399999</v>
      </c>
      <c r="C67" s="1">
        <v>2.2579510511799999E-2</v>
      </c>
      <c r="D67" s="1">
        <v>6.4376252273E-4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1.0704354259E-2</v>
      </c>
      <c r="B68" s="1">
        <v>0.21175089276199999</v>
      </c>
      <c r="C68" s="1">
        <v>2.0359425269899999E-2</v>
      </c>
      <c r="D68" s="1">
        <v>6.46200147958E-4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1.08113978016E-2</v>
      </c>
      <c r="B69" s="1">
        <v>0.17115207590100001</v>
      </c>
      <c r="C69" s="1">
        <v>1.79090594825E-2</v>
      </c>
      <c r="D69" s="1">
        <v>6.4866214943700004E-4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1.0919511779600001E-2</v>
      </c>
      <c r="B70" s="1">
        <v>0.19892448011300001</v>
      </c>
      <c r="C70" s="1">
        <v>1.8677070185099998E-2</v>
      </c>
      <c r="D70" s="1">
        <v>6.5114877093200004E-4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1.1028706897400001E-2</v>
      </c>
      <c r="B71" s="1">
        <v>0.20734197445300001</v>
      </c>
      <c r="C71" s="1">
        <v>1.8510129540599999E-2</v>
      </c>
      <c r="D71" s="1">
        <v>6.5366025864100003E-4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1.11389939664E-2</v>
      </c>
      <c r="B72" s="1">
        <v>0.189473538744</v>
      </c>
      <c r="C72" s="1">
        <v>1.71017734734E-2</v>
      </c>
      <c r="D72" s="1">
        <v>6.5619686122700004E-4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1.12503839061E-2</v>
      </c>
      <c r="B73" s="1">
        <v>0.16795047602300001</v>
      </c>
      <c r="C73" s="1">
        <v>1.6233772580999999E-2</v>
      </c>
      <c r="D73" s="1">
        <v>6.5875882983899999E-4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1.1362887745099999E-2</v>
      </c>
      <c r="B74" s="1">
        <v>0.15985883667799999</v>
      </c>
      <c r="C74" s="1">
        <v>1.52159240215E-2</v>
      </c>
      <c r="D74" s="1">
        <v>6.6134641813799997E-4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1.14765166226E-2</v>
      </c>
      <c r="B75" s="1">
        <v>0.14979751744200001</v>
      </c>
      <c r="C75" s="1">
        <v>1.4530303692E-2</v>
      </c>
      <c r="D75" s="1">
        <v>6.6395988231899997E-4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1.1591281788799999E-2</v>
      </c>
      <c r="B76" s="1">
        <v>0.11080769064400001</v>
      </c>
      <c r="C76" s="1">
        <v>7.2283928729300001E-3</v>
      </c>
      <c r="D76" s="1">
        <v>6.6659948114199997E-4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1.17071946067E-2</v>
      </c>
      <c r="B77" s="1">
        <v>0.108917555959</v>
      </c>
      <c r="C77" s="1">
        <v>6.5873351970500002E-3</v>
      </c>
      <c r="D77" s="1">
        <v>6.69265475954E-4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1.18242665528E-2</v>
      </c>
      <c r="B78" s="1">
        <v>9.3373287817600001E-2</v>
      </c>
      <c r="C78" s="1">
        <v>6.0876703107799997E-3</v>
      </c>
      <c r="D78" s="1">
        <v>6.7195813071299995E-4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1.19425092183E-2</v>
      </c>
      <c r="B79" s="1">
        <v>8.4940806416599998E-2</v>
      </c>
      <c r="C79" s="1">
        <v>5.6556824641500001E-3</v>
      </c>
      <c r="D79" s="1">
        <v>6.7467771202100004E-4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1.2061934310500001E-2</v>
      </c>
      <c r="B80" s="1">
        <v>6.2457418828099999E-2</v>
      </c>
      <c r="C80" s="1">
        <v>4.6363393118399997E-3</v>
      </c>
      <c r="D80" s="1">
        <v>6.7742448914099999E-4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1.2182553653599999E-2</v>
      </c>
      <c r="B81" s="1">
        <v>6.90210106278E-2</v>
      </c>
      <c r="C81" s="1">
        <v>5.7154629575899996E-3</v>
      </c>
      <c r="D81" s="1">
        <v>6.8019873403200003E-4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1.2304379190100001E-2</v>
      </c>
      <c r="B82" s="1">
        <v>5.2211752692900001E-2</v>
      </c>
      <c r="C82" s="1">
        <v>4.8452854050099999E-3</v>
      </c>
      <c r="D82" s="1">
        <v>6.8300072137200002E-4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1.2427422981999999E-2</v>
      </c>
      <c r="B83" s="1">
        <v>3.2977608063199999E-2</v>
      </c>
      <c r="C83" s="1">
        <v>3.86101028493E-3</v>
      </c>
      <c r="D83" s="1">
        <v>6.8583072858600003E-4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1.25516972118E-2</v>
      </c>
      <c r="B84" s="1">
        <v>3.4725804628399998E-2</v>
      </c>
      <c r="C84" s="1">
        <v>3.7498694411099999E-3</v>
      </c>
      <c r="D84" s="1">
        <v>6.8868903587199996E-4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1.26772141839E-2</v>
      </c>
      <c r="B85" s="1">
        <v>2.8647793749199998E-2</v>
      </c>
      <c r="C85" s="1">
        <v>3.4579411985800001E-3</v>
      </c>
      <c r="D85" s="1">
        <v>6.9157592623100004E-4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1.28039863258E-2</v>
      </c>
      <c r="B86" s="1">
        <v>2.1761994761099999E-2</v>
      </c>
      <c r="C86" s="1">
        <v>2.96481750686E-3</v>
      </c>
      <c r="D86" s="1">
        <v>6.9449168549300003E-4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1.2932026189000001E-2</v>
      </c>
      <c r="B87" s="1">
        <v>2.34948605659E-2</v>
      </c>
      <c r="C87" s="1">
        <v>2.94209395511E-3</v>
      </c>
      <c r="D87" s="1">
        <v>6.9743660234799999E-4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1.3061346450899999E-2</v>
      </c>
      <c r="B88" s="1">
        <v>1.76660398834E-2</v>
      </c>
      <c r="C88" s="1">
        <v>2.48832184426E-3</v>
      </c>
      <c r="D88" s="1">
        <v>7.0041096837200004E-4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1.31919599154E-2</v>
      </c>
      <c r="B89" s="1">
        <v>1.61529450204E-2</v>
      </c>
      <c r="C89" s="1">
        <v>2.3223986113400001E-3</v>
      </c>
      <c r="D89" s="1">
        <v>7.0341507805499995E-4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1.33238795146E-2</v>
      </c>
      <c r="B90" s="1">
        <v>1.6127893750799999E-2</v>
      </c>
      <c r="C90" s="1">
        <v>2.2460933015399998E-3</v>
      </c>
      <c r="D90" s="1">
        <v>7.0644922883600001E-4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1.3457118309700001E-2</v>
      </c>
      <c r="B91" s="1">
        <v>1.64477548574E-2</v>
      </c>
      <c r="C91" s="1">
        <v>2.2458574202300001E-3</v>
      </c>
      <c r="D91" s="1">
        <v>7.0951372112399997E-4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1.3591689492799999E-2</v>
      </c>
      <c r="B92" s="1">
        <v>1.5330199145100001E-2</v>
      </c>
      <c r="C92" s="1">
        <v>2.09064751176E-3</v>
      </c>
      <c r="D92" s="86">
        <v>7.1260885833499996E-4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1.37276063878E-2</v>
      </c>
      <c r="B93" s="1">
        <v>1.57058040056E-2</v>
      </c>
      <c r="C93" s="1">
        <v>2.0431036043300002E-3</v>
      </c>
      <c r="D93" s="1">
        <v>7.1573494691900001E-4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1.3864882451600001E-2</v>
      </c>
      <c r="B94" s="1">
        <v>1.8709309326000002E-2</v>
      </c>
      <c r="C94" s="1">
        <v>2.1452476617399999E-3</v>
      </c>
      <c r="D94" s="1">
        <v>7.1889229638800003E-4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1.40035312762E-2</v>
      </c>
      <c r="B95" s="1">
        <v>1.8961239905699999E-2</v>
      </c>
      <c r="C95" s="1">
        <v>2.11289378503E-3</v>
      </c>
      <c r="D95" s="1">
        <v>7.2208121935199996E-4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1.41435665889E-2</v>
      </c>
      <c r="B96" s="1">
        <v>2.2237109827100001E-2</v>
      </c>
      <c r="C96" s="1">
        <v>2.3166740976E-3</v>
      </c>
      <c r="D96" s="1">
        <v>7.2530203154500005E-4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1.42850022548E-2</v>
      </c>
      <c r="B97" s="1">
        <v>1.99492080875E-2</v>
      </c>
      <c r="C97" s="1">
        <v>2.10080485128E-3</v>
      </c>
      <c r="D97" s="1">
        <v>7.2855505186099996E-4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1.44278522774E-2</v>
      </c>
      <c r="B98" s="1">
        <v>2.2525987286500002E-2</v>
      </c>
      <c r="C98" s="1">
        <v>2.1321280612799998E-3</v>
      </c>
      <c r="D98" s="1">
        <v>7.3184060237899997E-4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1.4572130800099999E-2</v>
      </c>
      <c r="B99" s="1">
        <v>2.37662560105E-2</v>
      </c>
      <c r="C99" s="1">
        <v>2.1917911139600001E-3</v>
      </c>
      <c r="D99" s="1">
        <v>7.3515900840299996E-4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1.4717852108099999E-2</v>
      </c>
      <c r="B100" s="1">
        <v>2.6258188340099999E-2</v>
      </c>
      <c r="C100" s="1">
        <v>2.2465314838299999E-3</v>
      </c>
      <c r="D100" s="1">
        <v>7.3851059848700003E-4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1.4865030629200001E-2</v>
      </c>
      <c r="B101" s="1">
        <v>2.7773767368299999E-2</v>
      </c>
      <c r="C101" s="1">
        <v>2.2248898425199998E-3</v>
      </c>
      <c r="D101" s="1">
        <v>7.4189570447199995E-4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1.50136809355E-2</v>
      </c>
      <c r="B102" s="1">
        <v>2.5826540024200002E-2</v>
      </c>
      <c r="C102" s="1">
        <v>2.08993510155E-3</v>
      </c>
      <c r="D102" s="1">
        <v>7.4531466151699999E-4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1.5163817744900001E-2</v>
      </c>
      <c r="B103" s="1">
        <v>2.3429018942300001E-2</v>
      </c>
      <c r="C103" s="1">
        <v>1.4159475865600001E-3</v>
      </c>
      <c r="D103" s="1">
        <v>7.4876780813200002E-4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1.5315455922300001E-2</v>
      </c>
      <c r="B104" s="1">
        <v>2.5276980085200001E-2</v>
      </c>
      <c r="C104" s="1">
        <v>1.41163888652E-3</v>
      </c>
      <c r="D104" s="1">
        <v>7.5225548621300005E-4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1.54686104815E-2</v>
      </c>
      <c r="B105" s="1">
        <v>2.3591620525700002E-2</v>
      </c>
      <c r="C105" s="1">
        <v>1.3481491328100001E-3</v>
      </c>
      <c r="D105" s="1">
        <v>7.5577804107499998E-4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1.56232965864E-2</v>
      </c>
      <c r="B106" s="1">
        <v>1.9720430885200001E-2</v>
      </c>
      <c r="C106" s="1">
        <v>1.16898157622E-3</v>
      </c>
      <c r="D106" s="1">
        <v>7.5933582148599997E-4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1.5779529552200001E-2</v>
      </c>
      <c r="B107" s="1">
        <v>2.0205525808700001E-2</v>
      </c>
      <c r="C107" s="1">
        <v>1.1527688966400001E-3</v>
      </c>
      <c r="D107" s="1">
        <v>7.6292917970100004E-4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1.59373248477E-2</v>
      </c>
      <c r="B108" s="1">
        <v>1.8887866396699999E-2</v>
      </c>
      <c r="C108" s="1">
        <v>1.0998463342500001E-3</v>
      </c>
      <c r="D108" s="1">
        <v>7.6655847149800001E-4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1.6096698096199999E-2</v>
      </c>
      <c r="B109" s="1">
        <v>1.68028965618E-2</v>
      </c>
      <c r="C109" s="1">
        <v>1.0510797007099999E-3</v>
      </c>
      <c r="D109" s="1">
        <v>7.7022405621299998E-4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1.6257665077200001E-2</v>
      </c>
      <c r="B110" s="1">
        <v>1.38827585864E-2</v>
      </c>
      <c r="C110" s="1">
        <v>1.3008401982400001E-3</v>
      </c>
      <c r="D110" s="1">
        <v>7.7392629677499995E-4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1.6420241727999999E-2</v>
      </c>
      <c r="B111" s="1">
        <v>1.3172260557E-2</v>
      </c>
      <c r="C111" s="1">
        <v>1.2234000301199999E-3</v>
      </c>
      <c r="D111" s="1">
        <v>7.7766555974299997E-4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1.6584444145200002E-2</v>
      </c>
      <c r="B112" s="1">
        <v>9.6230414987800005E-3</v>
      </c>
      <c r="C112" s="1">
        <v>1.0166489094400001E-3</v>
      </c>
      <c r="D112" s="1">
        <v>7.8144221533999999E-4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1.67502885867E-2</v>
      </c>
      <c r="B113" s="1">
        <v>8.2898214428200005E-3</v>
      </c>
      <c r="C113" s="1">
        <v>9.7606443578200002E-4</v>
      </c>
      <c r="D113" s="1">
        <v>7.8525663749399999E-4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1.6917791472599999E-2</v>
      </c>
      <c r="B114" s="1">
        <v>9.5406565609999997E-3</v>
      </c>
      <c r="C114" s="1">
        <v>9.85656268721E-4</v>
      </c>
      <c r="D114" s="1">
        <v>7.8910920386899999E-4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1.7086969387300002E-2</v>
      </c>
      <c r="B115" s="1">
        <v>7.1250586172600001E-3</v>
      </c>
      <c r="C115" s="1">
        <v>8.5888394506300004E-4</v>
      </c>
      <c r="D115" s="1">
        <v>7.9300029590700005E-4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1.7257839081199999E-2</v>
      </c>
      <c r="B116" s="1">
        <v>5.2601816332500002E-3</v>
      </c>
      <c r="C116" s="1">
        <v>7.0894497526099998E-4</v>
      </c>
      <c r="D116" s="1">
        <v>7.9693029886600004E-4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1.7430417472000002E-2</v>
      </c>
      <c r="B117" s="1">
        <v>5.0121342970099996E-3</v>
      </c>
      <c r="C117" s="1">
        <v>7.0303624347899996E-4</v>
      </c>
      <c r="D117" s="1">
        <v>8.0089960185499996E-4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1.7604721646699999E-2</v>
      </c>
      <c r="B118" s="1">
        <v>4.2575307061100002E-3</v>
      </c>
      <c r="C118" s="1">
        <v>6.4351884363099995E-4</v>
      </c>
      <c r="D118" s="1">
        <v>8.0490859787399999E-4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1.77807688631E-2</v>
      </c>
      <c r="B119" s="1">
        <v>3.57580616987E-3</v>
      </c>
      <c r="C119" s="1">
        <v>5.4310722389899996E-4</v>
      </c>
      <c r="D119" s="1">
        <v>8.08957683852E-4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1.7958576551799998E-2</v>
      </c>
      <c r="B120" s="1">
        <v>3.0216431377600001E-3</v>
      </c>
      <c r="C120" s="1">
        <v>4.8955700178600001E-4</v>
      </c>
      <c r="D120" s="1">
        <v>8.1304726069100005E-4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1.8138162317300002E-2</v>
      </c>
      <c r="B121" s="1">
        <v>3.2687640187100001E-3</v>
      </c>
      <c r="C121" s="1">
        <v>5.3674866142300001E-4</v>
      </c>
      <c r="D121" s="1">
        <v>8.17177733298E-4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1.8319543940500001E-2</v>
      </c>
      <c r="B122" s="1">
        <v>3.5351116574400001E-3</v>
      </c>
      <c r="C122" s="1">
        <v>5.3804640021399999E-4</v>
      </c>
      <c r="D122" s="1">
        <v>8.2134951063100002E-4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1.8502739379900001E-2</v>
      </c>
      <c r="B123" s="1">
        <v>2.4772885862199999E-3</v>
      </c>
      <c r="C123" s="1">
        <v>4.3906587783499999E-4</v>
      </c>
      <c r="D123" s="1">
        <v>8.2556300573700004E-4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1.8687766773700001E-2</v>
      </c>
      <c r="B124" s="1">
        <v>2.9560386503899999E-3</v>
      </c>
      <c r="C124" s="1">
        <v>4.9706287931299995E-4</v>
      </c>
      <c r="D124" s="1">
        <v>8.2981863579399998E-4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1.8874644441399999E-2</v>
      </c>
      <c r="B125" s="1">
        <v>5.3325812575800002E-3</v>
      </c>
      <c r="C125" s="1">
        <v>5.9979286191200003E-4</v>
      </c>
      <c r="D125" s="1">
        <v>8.34116822152E-4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1.9063390885799999E-2</v>
      </c>
      <c r="B126" s="1">
        <v>5.48799752745E-3</v>
      </c>
      <c r="C126" s="1">
        <v>5.9800452280400003E-4</v>
      </c>
      <c r="D126" s="1">
        <v>8.3845799037399996E-4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1.9254024794699998E-2</v>
      </c>
      <c r="B127" s="1">
        <v>5.0211351910800003E-3</v>
      </c>
      <c r="C127" s="1">
        <v>5.5642377193700001E-4</v>
      </c>
      <c r="D127" s="1">
        <v>8.4284257027799996E-4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1.9446565042599999E-2</v>
      </c>
      <c r="B128" s="1">
        <v>6.6157308423200004E-3</v>
      </c>
      <c r="C128" s="1">
        <v>6.3181866524600002E-4</v>
      </c>
      <c r="D128" s="1">
        <v>8.4727099597999998E-4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1.9641030693100001E-2</v>
      </c>
      <c r="B129" s="1">
        <v>5.8518585177300001E-3</v>
      </c>
      <c r="C129" s="1">
        <v>5.8084896203199998E-4</v>
      </c>
      <c r="D129" s="1">
        <v>8.5174370594E-4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1.9837441000000001E-2</v>
      </c>
      <c r="B130" s="1">
        <v>6.8917893317799999E-3</v>
      </c>
      <c r="C130" s="1">
        <v>6.2109010210699997E-4</v>
      </c>
      <c r="D130" s="1">
        <v>8.5626114299999995E-4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2.0035815410000001E-2</v>
      </c>
      <c r="B131" s="1">
        <v>6.5320763766499998E-3</v>
      </c>
      <c r="C131" s="1">
        <v>6.0433995164300004E-4</v>
      </c>
      <c r="D131" s="1">
        <v>8.6082375442999995E-4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2.0236173564099999E-2</v>
      </c>
      <c r="B132" s="1">
        <v>6.0699668400399998E-3</v>
      </c>
      <c r="C132" s="1">
        <v>5.6743259891000003E-4</v>
      </c>
      <c r="D132" s="1">
        <v>8.6543199197399996E-4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2.0438535299700002E-2</v>
      </c>
      <c r="B133" s="1">
        <v>5.9819860617E-3</v>
      </c>
      <c r="C133" s="1">
        <v>5.6030310325499999E-4</v>
      </c>
      <c r="D133" s="1">
        <v>8.7008631189400005E-4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2.06429206527E-2</v>
      </c>
      <c r="B134" s="1">
        <v>4.8735780295299999E-3</v>
      </c>
      <c r="C134" s="1">
        <v>4.9210504064099996E-4</v>
      </c>
      <c r="D134" s="1">
        <v>8.7478717501299999E-4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2.0849349859299999E-2</v>
      </c>
      <c r="B135" s="1">
        <v>6.1883880839400003E-3</v>
      </c>
      <c r="C135" s="1">
        <v>5.4361748670700004E-4</v>
      </c>
      <c r="D135" s="1">
        <v>8.7953504676300002E-4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2.1057843357800001E-2</v>
      </c>
      <c r="B136" s="1">
        <v>5.0748932589300003E-3</v>
      </c>
      <c r="C136" s="1">
        <v>4.8746652288899999E-4</v>
      </c>
      <c r="D136" s="1">
        <v>8.8433039722999999E-4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2.12684217914E-2</v>
      </c>
      <c r="B137" s="1">
        <v>3.9949366175599998E-3</v>
      </c>
      <c r="C137" s="1">
        <v>4.3090060372699999E-4</v>
      </c>
      <c r="D137" s="1">
        <v>8.8917370120300001E-4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2.1481106009300002E-2</v>
      </c>
      <c r="B138" s="1">
        <v>3.9614755544899998E-3</v>
      </c>
      <c r="C138" s="1">
        <v>4.2209392737600001E-4</v>
      </c>
      <c r="D138" s="1">
        <v>8.9406543821499997E-4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2.1695917069400002E-2</v>
      </c>
      <c r="B139" s="1">
        <v>2.8589496256399998E-3</v>
      </c>
      <c r="C139" s="1">
        <v>3.5575589512599999E-4</v>
      </c>
      <c r="D139" s="1">
        <v>8.9900609259699999E-4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2.19128762401E-2</v>
      </c>
      <c r="B140" s="1">
        <v>3.3052561528099998E-3</v>
      </c>
      <c r="C140" s="1">
        <v>3.68800323197E-4</v>
      </c>
      <c r="D140" s="1">
        <v>9.0399615352299999E-4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2.21320050025E-2</v>
      </c>
      <c r="B141" s="1">
        <v>2.6071593136200001E-3</v>
      </c>
      <c r="C141" s="1">
        <v>3.2298557154600001E-4</v>
      </c>
      <c r="D141" s="1">
        <v>9.0903611505800002E-4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2.2353325052600001E-2</v>
      </c>
      <c r="B142" s="1">
        <v>1.64788825902E-3</v>
      </c>
      <c r="C142" s="1">
        <v>1.1081557081700001E-4</v>
      </c>
      <c r="D142" s="1">
        <v>9.1412647620899999E-4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2.2576858303100002E-2</v>
      </c>
      <c r="B143" s="1">
        <v>1.47967485246E-3</v>
      </c>
      <c r="C143" s="1">
        <v>1.0180233653400001E-4</v>
      </c>
      <c r="D143" s="1">
        <v>9.1926774097100003E-4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2.2802626886099998E-2</v>
      </c>
      <c r="B144" s="1">
        <v>1.08020898387E-3</v>
      </c>
      <c r="C144" s="1">
        <v>8.3159329044800001E-5</v>
      </c>
      <c r="D144" s="1">
        <v>9.2446041838000002E-4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2.3030653155000001E-2</v>
      </c>
      <c r="B145" s="1">
        <v>1.00393121601E-3</v>
      </c>
      <c r="C145" s="1">
        <v>7.4510708457300003E-5</v>
      </c>
      <c r="D145" s="1">
        <v>9.29705022564E-4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2.32609596865E-2</v>
      </c>
      <c r="B146" s="1">
        <v>8.7339980777699998E-4</v>
      </c>
      <c r="C146" s="1">
        <v>7.1976266928699999E-5</v>
      </c>
      <c r="D146" s="1">
        <v>9.3500207279000004E-4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2.34935692834E-2</v>
      </c>
      <c r="B147" s="1">
        <v>9.4558635704500001E-4</v>
      </c>
      <c r="C147" s="1">
        <v>7.2142034598499997E-5</v>
      </c>
      <c r="D147" s="1">
        <v>9.4035209351799997E-4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2.37285049762E-2</v>
      </c>
      <c r="B148" s="1">
        <v>1.18555548936E-3</v>
      </c>
      <c r="C148" s="1">
        <v>8.0879402258300003E-5</v>
      </c>
      <c r="D148" s="1">
        <v>9.4575561445300004E-4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2.3965790026000001E-2</v>
      </c>
      <c r="B149" s="1">
        <v>1.52923935156E-3</v>
      </c>
      <c r="C149" s="1">
        <v>9.2129996996500005E-5</v>
      </c>
      <c r="D149" s="1">
        <v>9.5121317059800004E-4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2.42054479262E-2</v>
      </c>
      <c r="B150" s="1">
        <v>1.6521017554699999E-3</v>
      </c>
      <c r="C150" s="1">
        <v>9.4667008735699996E-5</v>
      </c>
      <c r="D150" s="1">
        <v>9.5672530230299997E-4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2.4447502405500001E-2</v>
      </c>
      <c r="B151" s="1">
        <v>1.7041516076599999E-3</v>
      </c>
      <c r="C151" s="1">
        <v>1.02736491871E-4</v>
      </c>
      <c r="D151" s="1">
        <v>9.62292555327E-4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2.4691977429599998E-2</v>
      </c>
      <c r="B152" s="1">
        <v>1.9585003030699998E-3</v>
      </c>
      <c r="C152" s="1">
        <v>1.09357369498E-4</v>
      </c>
      <c r="D152" s="1">
        <v>9.6791548087999996E-4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2.4938897203899999E-2</v>
      </c>
      <c r="B153" s="1">
        <v>2.1474709504699999E-3</v>
      </c>
      <c r="C153" s="1">
        <v>1.15979772255E-4</v>
      </c>
      <c r="D153" s="86">
        <v>9.7359463568899996E-4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2.51882861759E-2</v>
      </c>
      <c r="B154" s="1">
        <v>2.1281505168999999E-3</v>
      </c>
      <c r="C154" s="1">
        <v>1.1125545842700001E-4</v>
      </c>
      <c r="D154" s="1">
        <v>9.7933058204499992E-4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2.5440169037600002E-2</v>
      </c>
      <c r="B155" s="1">
        <v>2.1940161850399998E-3</v>
      </c>
      <c r="C155" s="1">
        <v>1.11135685817E-4</v>
      </c>
      <c r="D155" s="1">
        <v>9.8512388786599998E-4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2.5694570728E-2</v>
      </c>
      <c r="B156" s="1">
        <v>2.1024169755E-3</v>
      </c>
      <c r="C156" s="1">
        <v>1.06283681217E-4</v>
      </c>
      <c r="D156" s="1">
        <v>9.9097512674499997E-4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2.5951516435299998E-2</v>
      </c>
      <c r="B157" s="1">
        <v>2.1162486195899998E-3</v>
      </c>
      <c r="C157" s="1">
        <v>1.05801484669E-4</v>
      </c>
      <c r="D157" s="1">
        <v>9.9688487801200009E-4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2.6211031599700001E-2</v>
      </c>
      <c r="B158" s="1">
        <v>1.9831045325599999E-3</v>
      </c>
      <c r="C158" s="1">
        <v>1.03945142763E-4</v>
      </c>
      <c r="D158" s="1">
        <v>1.0028537267900001E-3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2.6473141915700001E-2</v>
      </c>
      <c r="B159" s="1">
        <v>1.6713114576400001E-3</v>
      </c>
      <c r="C159" s="1">
        <v>9.07287196789E-5</v>
      </c>
      <c r="D159" s="1">
        <v>1.00888226406E-3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2.6737873334799999E-2</v>
      </c>
      <c r="B160" s="1">
        <v>1.4192161911900001E-3</v>
      </c>
      <c r="C160" s="1">
        <v>8.2601943751800007E-5</v>
      </c>
      <c r="D160" s="1">
        <v>1.0149710867E-3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2.7005252068200002E-2</v>
      </c>
      <c r="B161" s="1">
        <v>1.3392699975800001E-3</v>
      </c>
      <c r="C161" s="1">
        <v>8.3322727004599994E-5</v>
      </c>
      <c r="D161" s="1">
        <v>1.02112079757E-3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2.7275304588799999E-2</v>
      </c>
      <c r="B162" s="1">
        <v>1.14081271061E-3</v>
      </c>
      <c r="C162" s="1">
        <v>7.5775066031499996E-5</v>
      </c>
      <c r="D162" s="1">
        <v>1.02733200554E-3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2.7548057634700002E-2</v>
      </c>
      <c r="B163" s="1">
        <v>7.6979624179300001E-4</v>
      </c>
      <c r="C163" s="1">
        <v>5.9436276525799998E-5</v>
      </c>
      <c r="D163" s="1">
        <v>1.0336053256E-3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2.78235382111E-2</v>
      </c>
      <c r="B164" s="1">
        <v>6.10897733457E-4</v>
      </c>
      <c r="C164" s="1">
        <v>5.5971221707299997E-5</v>
      </c>
      <c r="D164" s="1">
        <v>1.0399413788499999E-3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2.81017735932E-2</v>
      </c>
      <c r="B165" s="1">
        <v>6.1036147449399999E-4</v>
      </c>
      <c r="C165" s="1">
        <v>5.3796886752200001E-5</v>
      </c>
      <c r="D165" s="1">
        <v>1.0463407926400001E-3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2.8382791329100002E-2</v>
      </c>
      <c r="B166" s="1">
        <v>4.7823638108099997E-4</v>
      </c>
      <c r="C166" s="1">
        <v>4.8546345238900001E-5</v>
      </c>
      <c r="D166" s="1">
        <v>1.0528042005699999E-3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2.86666192424E-2</v>
      </c>
      <c r="B167" s="1">
        <v>4.1667907646900001E-4</v>
      </c>
      <c r="C167" s="1">
        <v>4.4023180223999998E-5</v>
      </c>
      <c r="D167" s="1">
        <v>1.05933224258E-3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2.89532854348E-2</v>
      </c>
      <c r="B168" s="1">
        <v>4.9127144451199996E-4</v>
      </c>
      <c r="C168" s="1">
        <v>4.8440235857999998E-5</v>
      </c>
      <c r="D168" s="1">
        <v>1.065925565E-3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2.9242818289200001E-2</v>
      </c>
      <c r="B169" s="1">
        <v>4.88804837853E-4</v>
      </c>
      <c r="C169" s="1">
        <v>4.97677983333E-5</v>
      </c>
      <c r="D169" s="1">
        <v>1.0725848206499999E-3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2.9535246472099999E-2</v>
      </c>
      <c r="B170" s="1">
        <v>7.0925089809299995E-4</v>
      </c>
      <c r="C170" s="1">
        <v>5.6692449229299998E-5</v>
      </c>
      <c r="D170" s="1">
        <v>1.0793106688599999E-3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2.9830598936799999E-2</v>
      </c>
      <c r="B171" s="1">
        <v>7.4235896043099996E-4</v>
      </c>
      <c r="C171" s="1">
        <v>5.9048464160000001E-5</v>
      </c>
      <c r="D171" s="1">
        <v>1.08610377555E-3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3.01289049262E-2</v>
      </c>
      <c r="B172" s="1">
        <v>8.9766952860400001E-4</v>
      </c>
      <c r="C172" s="1">
        <v>6.4991817733399998E-5</v>
      </c>
      <c r="D172" s="1">
        <v>1.0929648132999999E-3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3.0430193975400002E-2</v>
      </c>
      <c r="B173" s="1">
        <v>1.0594718624699999E-3</v>
      </c>
      <c r="C173" s="1">
        <v>7.2689829104900005E-5</v>
      </c>
      <c r="D173" s="1">
        <v>1.09989446143E-3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3.07344959152E-2</v>
      </c>
      <c r="B174" s="1">
        <v>9.9946691723099999E-4</v>
      </c>
      <c r="C174" s="1">
        <v>7.0747831849200002E-5</v>
      </c>
      <c r="D174" s="1">
        <v>1.1068934060499999E-3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3.1041840874300002E-2</v>
      </c>
      <c r="B175" s="1">
        <v>1.0217310097399999E-3</v>
      </c>
      <c r="C175" s="1">
        <v>6.8596426357099994E-5</v>
      </c>
      <c r="D175" s="1">
        <v>1.1139623401100001E-3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3.1352259283100002E-2</v>
      </c>
      <c r="B176" s="1">
        <v>9.6085759838800003E-4</v>
      </c>
      <c r="C176" s="1">
        <v>6.5871017611299998E-5</v>
      </c>
      <c r="D176" s="1">
        <v>1.1211019635100001E-3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3.1665781875900002E-2</v>
      </c>
      <c r="B177" s="1">
        <v>9.4725507105000001E-4</v>
      </c>
      <c r="C177" s="1">
        <v>6.6054246994300001E-5</v>
      </c>
      <c r="D177" s="1">
        <v>1.12831298315E-3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3.19824396947E-2</v>
      </c>
      <c r="B178" s="1">
        <v>7.2895249918599999E-4</v>
      </c>
      <c r="C178" s="1">
        <v>5.8942921168299997E-5</v>
      </c>
      <c r="D178" s="1">
        <v>1.1355961129799999E-3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3.2302264091600003E-2</v>
      </c>
      <c r="B179" s="1">
        <v>7.0839900221900001E-4</v>
      </c>
      <c r="C179" s="1">
        <v>6.0868198680199999E-5</v>
      </c>
      <c r="D179" s="1">
        <v>1.1429520741100001E-3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3.2625286732500001E-2</v>
      </c>
      <c r="B180" s="1">
        <v>4.1868371076200003E-4</v>
      </c>
      <c r="C180" s="1">
        <v>4.5219409774100003E-5</v>
      </c>
      <c r="D180" s="1">
        <v>1.15038159485E-3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3.29515395999E-2</v>
      </c>
      <c r="B181" s="1">
        <v>3.9981042283499999E-4</v>
      </c>
      <c r="C181" s="1">
        <v>4.4097451681699999E-5</v>
      </c>
      <c r="D181" s="1">
        <v>1.1578854107999999E-3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3.3281054995899999E-2</v>
      </c>
      <c r="B182" s="1">
        <v>2.6036248117600002E-4</v>
      </c>
      <c r="C182" s="1">
        <v>3.79363497119E-5</v>
      </c>
      <c r="D182" s="1">
        <v>1.1654642648999999E-3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3.3613865545800002E-2</v>
      </c>
      <c r="B183" s="1">
        <v>2.2472220627600001E-4</v>
      </c>
      <c r="C183" s="1">
        <v>3.41701200919E-5</v>
      </c>
      <c r="D183" s="1">
        <v>1.1731189075499999E-3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3.3950004201300003E-2</v>
      </c>
      <c r="B184" s="1">
        <v>2.0187470721099999E-4</v>
      </c>
      <c r="C184" s="1">
        <v>3.22482342573E-5</v>
      </c>
      <c r="D184" s="1">
        <v>1.18085009663E-3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3.4289504243299997E-2</v>
      </c>
      <c r="B185" s="1">
        <v>2.3422952537900001E-4</v>
      </c>
      <c r="C185" s="1">
        <v>3.3012391492E-5</v>
      </c>
      <c r="D185" s="1">
        <v>1.1886585976000001E-3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3.46323992857E-2</v>
      </c>
      <c r="B186" s="1">
        <v>3.3893415114399998E-4</v>
      </c>
      <c r="C186" s="1">
        <v>4.0038276766500002E-5</v>
      </c>
      <c r="D186" s="1">
        <v>1.1965451835699999E-3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3.49787232786E-2</v>
      </c>
      <c r="B187" s="1">
        <v>2.5198811242399999E-4</v>
      </c>
      <c r="C187" s="1">
        <v>3.62047716263E-5</v>
      </c>
      <c r="D187" s="1">
        <v>1.20451063541E-3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3.5328510511399999E-2</v>
      </c>
      <c r="B188" s="1">
        <v>4.0093322717800001E-4</v>
      </c>
      <c r="C188" s="1">
        <v>4.3086768697200003E-5</v>
      </c>
      <c r="D188" s="1">
        <v>1.2125557417599999E-3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3.5681795616499999E-2</v>
      </c>
      <c r="B189" s="1">
        <v>4.51698167095E-4</v>
      </c>
      <c r="C189" s="1">
        <v>4.44683592673E-5</v>
      </c>
      <c r="D189" s="1">
        <v>1.2206812991799999E-3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3.6038613572599999E-2</v>
      </c>
      <c r="B190" s="1">
        <v>5.4810807891599999E-4</v>
      </c>
      <c r="C190" s="1">
        <v>5.0326383680399998E-5</v>
      </c>
      <c r="D190" s="1">
        <v>1.2288881121700001E-3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3.63989997084E-2</v>
      </c>
      <c r="B191" s="1">
        <v>5.3958801217300005E-4</v>
      </c>
      <c r="C191" s="1">
        <v>4.7926280626299997E-5</v>
      </c>
      <c r="D191" s="1">
        <v>1.2371769932899999E-3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3.6762989705399998E-2</v>
      </c>
      <c r="B192" s="1">
        <v>4.02847162382E-4</v>
      </c>
      <c r="C192" s="1">
        <v>4.1288340337100002E-5</v>
      </c>
      <c r="D192" s="1">
        <v>1.24554876323E-3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3.7130619602499998E-2</v>
      </c>
      <c r="B193" s="1">
        <v>4.0572462694400002E-4</v>
      </c>
      <c r="C193" s="1">
        <v>4.2444168892300002E-5</v>
      </c>
      <c r="D193" s="1">
        <v>1.2540042508600001E-3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3.7501925798500001E-2</v>
      </c>
      <c r="B194" s="1">
        <v>4.2879281394399998E-4</v>
      </c>
      <c r="C194" s="1">
        <v>4.3834479593799997E-5</v>
      </c>
      <c r="D194" s="1">
        <v>1.2625442933699999E-3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3.7876945056500001E-2</v>
      </c>
      <c r="B195" s="1">
        <v>3.55911825625E-4</v>
      </c>
      <c r="C195" s="1">
        <v>3.9625070313999998E-5</v>
      </c>
      <c r="D195" s="1">
        <v>1.2711697363000001E-3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3.8255714507099997E-2</v>
      </c>
      <c r="B196" s="1">
        <v>3.0652109413200002E-4</v>
      </c>
      <c r="C196" s="1">
        <v>3.5949933717300002E-5</v>
      </c>
      <c r="D196" s="1">
        <v>1.2798814336599999E-3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3.8638271652100001E-2</v>
      </c>
      <c r="B197" s="1">
        <v>2.02490219661E-4</v>
      </c>
      <c r="C197" s="1">
        <v>2.9739009499100001E-5</v>
      </c>
      <c r="D197" s="1">
        <v>1.288680248E-3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3.90246543687E-2</v>
      </c>
      <c r="B198" s="1">
        <v>1.47985675769E-4</v>
      </c>
      <c r="C198" s="1">
        <v>2.66112301844E-5</v>
      </c>
      <c r="D198" s="1">
        <v>1.2975670504800001E-3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3.9414900912399999E-2</v>
      </c>
      <c r="B199" s="1">
        <v>1.8945454596499999E-4</v>
      </c>
      <c r="C199" s="1">
        <v>2.94521171339E-5</v>
      </c>
      <c r="D199" s="1">
        <v>1.30654272098E-3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3.98090499215E-2</v>
      </c>
      <c r="B200" s="1">
        <v>1.5427694955499999E-4</v>
      </c>
      <c r="C200" s="1">
        <v>2.7171384279700001E-5</v>
      </c>
      <c r="D200" s="1">
        <v>1.31560814819E-3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4.0207140420699998E-2</v>
      </c>
      <c r="B201" s="1">
        <v>9.6938245021700004E-5</v>
      </c>
      <c r="C201" s="1">
        <v>2.16601397414E-5</v>
      </c>
      <c r="D201" s="1">
        <v>1.32476422968E-3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4.0609211824900002E-2</v>
      </c>
      <c r="B202" s="1">
        <v>1.3048397116700001E-4</v>
      </c>
      <c r="C202" s="1">
        <v>2.50845067485E-5</v>
      </c>
      <c r="D202" s="1">
        <v>1.3340118719700001E-3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4.1015303943099997E-2</v>
      </c>
      <c r="B203" s="1">
        <v>1.94272449004E-4</v>
      </c>
      <c r="C203" s="1">
        <v>2.8355405407099999E-5</v>
      </c>
      <c r="D203" s="1">
        <v>1.3433519906900001E-3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4.1425456982600001E-2</v>
      </c>
      <c r="B204" s="1">
        <v>2.6054441722000001E-4</v>
      </c>
      <c r="C204" s="1">
        <v>3.2001818360400002E-5</v>
      </c>
      <c r="D204" s="1">
        <v>1.3527855106E-3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4.1839711552400002E-2</v>
      </c>
      <c r="B205" s="1">
        <v>2.63906147636E-4</v>
      </c>
      <c r="C205" s="1">
        <v>3.2790860121700002E-5</v>
      </c>
      <c r="D205" s="1">
        <v>1.36231336571E-3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4.2258108667900002E-2</v>
      </c>
      <c r="B206" s="1">
        <v>2.6657731706799999E-4</v>
      </c>
      <c r="C206" s="1">
        <v>3.3144925811299999E-5</v>
      </c>
      <c r="D206" s="1">
        <v>1.37193649936E-3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4.2680689754600001E-2</v>
      </c>
      <c r="B207" s="1">
        <v>2.7840788921699999E-4</v>
      </c>
      <c r="C207" s="1">
        <v>3.4800582627300001E-5</v>
      </c>
      <c r="D207" s="1">
        <v>1.3816558643600001E-3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4.3107496652199997E-2</v>
      </c>
      <c r="B208" s="1">
        <v>2.7429664907500001E-4</v>
      </c>
      <c r="C208" s="1">
        <v>3.4026900828400002E-5</v>
      </c>
      <c r="D208" s="1">
        <v>1.391472423E-3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4.3538571618699999E-2</v>
      </c>
      <c r="B209" s="1">
        <v>1.7830944306599999E-4</v>
      </c>
      <c r="C209" s="1">
        <v>2.8300786167200001E-5</v>
      </c>
      <c r="D209" s="1">
        <v>1.4013871472299999E-3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4.3973957334899998E-2</v>
      </c>
      <c r="B210" s="1">
        <v>1.6954172626500001E-4</v>
      </c>
      <c r="C210" s="1">
        <v>1.3198127881299999E-5</v>
      </c>
      <c r="D210" s="1">
        <v>1.4114010186999999E-3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4.4413696908199997E-2</v>
      </c>
      <c r="B211" s="1">
        <v>1.46559708992E-4</v>
      </c>
      <c r="C211" s="1">
        <v>1.2160564360300001E-5</v>
      </c>
      <c r="D211" s="1">
        <v>1.4215150288899999E-3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4.4857833877300003E-2</v>
      </c>
      <c r="B212" s="1">
        <v>1.05596385799E-4</v>
      </c>
      <c r="C212" s="1">
        <v>9.5802283974100001E-6</v>
      </c>
      <c r="D212" s="1">
        <v>1.43173017918E-3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4.5306412216100003E-2</v>
      </c>
      <c r="B213" s="1">
        <v>9.6821224340100004E-5</v>
      </c>
      <c r="C213" s="1">
        <v>9.0825186397899999E-6</v>
      </c>
      <c r="D213" s="1">
        <v>1.4420474809700001E-3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4.5759476338200003E-2</v>
      </c>
      <c r="B214" s="1">
        <v>9.3764950150999999E-5</v>
      </c>
      <c r="C214" s="1">
        <v>8.6702700822799998E-6</v>
      </c>
      <c r="D214" s="1">
        <v>1.4524679557800001E-3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4.6217071101599998E-2</v>
      </c>
      <c r="B215" s="1">
        <v>1.06993058385E-4</v>
      </c>
      <c r="C215" s="1">
        <v>9.5803976067499992E-6</v>
      </c>
      <c r="D215" s="1">
        <v>1.46299263534E-3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4.6679241812599997E-2</v>
      </c>
      <c r="B216" s="1">
        <v>1.5892345364900001E-4</v>
      </c>
      <c r="C216" s="1">
        <v>1.10498710858E-5</v>
      </c>
      <c r="D216" s="1">
        <v>1.47362256169E-3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4.71460342308E-2</v>
      </c>
      <c r="B217" s="1">
        <v>1.6868641431500001E-4</v>
      </c>
      <c r="C217" s="1">
        <v>1.14644646922E-5</v>
      </c>
      <c r="D217" s="1">
        <v>1.48435878731E-3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4.7617494573100001E-2</v>
      </c>
      <c r="B218" s="1">
        <v>1.9464356766500001E-4</v>
      </c>
      <c r="C218" s="1">
        <v>1.2296658532099999E-5</v>
      </c>
      <c r="D218" s="1">
        <v>1.4952023751800001E-3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4.8093669518800002E-2</v>
      </c>
      <c r="B219" s="1">
        <v>1.8275213814600001E-4</v>
      </c>
      <c r="C219" s="1">
        <v>1.1513489184500001E-5</v>
      </c>
      <c r="D219" s="1">
        <v>1.5061543989299999E-3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4.8574606213999998E-2</v>
      </c>
      <c r="B220" s="1">
        <v>1.7217005917000001E-4</v>
      </c>
      <c r="C220" s="1">
        <v>1.12900748989E-5</v>
      </c>
      <c r="D220" s="1">
        <v>1.51721594292E-3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4.9060352276099999E-2</v>
      </c>
      <c r="B221" s="1">
        <v>1.6519825068899999E-4</v>
      </c>
      <c r="C221" s="1">
        <v>1.1048038104300001E-5</v>
      </c>
      <c r="D221" s="1">
        <v>1.5283881023500001E-3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4.9550955798900002E-2</v>
      </c>
      <c r="B222" s="1">
        <v>1.1448921066500001E-4</v>
      </c>
      <c r="C222" s="1">
        <v>8.9852628057699994E-6</v>
      </c>
      <c r="D222" s="1">
        <v>1.5396719833700001E-3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5.0046465356900001E-2</v>
      </c>
      <c r="B223" s="1">
        <v>1.08802885865E-4</v>
      </c>
      <c r="C223" s="1">
        <v>8.4581043587800008E-6</v>
      </c>
      <c r="D223" s="1">
        <v>1.5510687032100001E-3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5.0546930010399997E-2</v>
      </c>
      <c r="B224" s="1">
        <v>7.4449394864600007E-5</v>
      </c>
      <c r="C224" s="1">
        <v>7.1067530492499998E-6</v>
      </c>
      <c r="D224" s="1">
        <v>1.56257939024E-3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5.1052399310499999E-2</v>
      </c>
      <c r="B225" s="1">
        <v>6.4438246719499996E-5</v>
      </c>
      <c r="C225" s="1">
        <v>6.9547037144900003E-6</v>
      </c>
      <c r="D225" s="1">
        <v>1.5742051841400001E-3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5.1562923303600003E-2</v>
      </c>
      <c r="B226" s="1">
        <v>6.3573552657200002E-5</v>
      </c>
      <c r="C226" s="1">
        <v>7.1603894915900001E-6</v>
      </c>
      <c r="D226" s="1">
        <v>1.58594723598E-3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5.2078552536699997E-2</v>
      </c>
      <c r="B227" s="1">
        <v>8.1254674466299995E-5</v>
      </c>
      <c r="C227" s="1">
        <v>7.5158435138700001E-6</v>
      </c>
      <c r="D227" s="1">
        <v>1.5978067083399999E-3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5.2599338062100001E-2</v>
      </c>
      <c r="B228" s="1">
        <v>9.9117793925500002E-5</v>
      </c>
      <c r="C228" s="1">
        <v>8.2406422807500006E-6</v>
      </c>
      <c r="D228" s="1">
        <v>1.6097847754299999E-3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5.31253314427E-2</v>
      </c>
      <c r="B229" s="1">
        <v>1.1337668538099999E-4</v>
      </c>
      <c r="C229" s="1">
        <v>9.1104722935900004E-6</v>
      </c>
      <c r="D229" s="1">
        <v>1.6218826231800001E-3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5.3656584757100001E-2</v>
      </c>
      <c r="B230" s="1">
        <v>1.082595952E-4</v>
      </c>
      <c r="C230" s="1">
        <v>8.9540667655600006E-6</v>
      </c>
      <c r="D230" s="1">
        <v>1.6341014494100001E-3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5.4193150604700001E-2</v>
      </c>
      <c r="B231" s="1">
        <v>1.1514651769E-4</v>
      </c>
      <c r="C231" s="1">
        <v>8.8887632815800003E-6</v>
      </c>
      <c r="D231" s="1">
        <v>1.64644246391E-3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5.4735082110700002E-2</v>
      </c>
      <c r="B232" s="1">
        <v>1.02376230776E-4</v>
      </c>
      <c r="C232" s="1">
        <v>8.3860070314899997E-6</v>
      </c>
      <c r="D232" s="1">
        <v>1.65890688855E-3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5.5282432931799998E-2</v>
      </c>
      <c r="B233" s="1">
        <v>9.3572060746199999E-5</v>
      </c>
      <c r="C233" s="1">
        <v>8.0445983147800001E-6</v>
      </c>
      <c r="D233" s="1">
        <v>1.6714959574299999E-3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5.5835257261100002E-2</v>
      </c>
      <c r="B234" s="1">
        <v>8.0122542474399998E-5</v>
      </c>
      <c r="C234" s="1">
        <v>7.7810742760500006E-6</v>
      </c>
      <c r="D234" s="1">
        <v>1.6842109170100001E-3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5.6393609833799999E-2</v>
      </c>
      <c r="B235" s="1">
        <v>5.6403218747000001E-5</v>
      </c>
      <c r="C235" s="1">
        <v>6.0086498952900001E-6</v>
      </c>
      <c r="D235" s="1">
        <v>1.69705302618E-3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5.69575459321E-2</v>
      </c>
      <c r="B236" s="1">
        <v>4.60893923756E-5</v>
      </c>
      <c r="C236" s="1">
        <v>5.7421786305999996E-6</v>
      </c>
      <c r="D236" s="1">
        <v>1.7100235564399999E-3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5.7527121391400003E-2</v>
      </c>
      <c r="B237" s="1">
        <v>6.5869369620400004E-5</v>
      </c>
      <c r="C237" s="1">
        <v>6.6047394565700003E-6</v>
      </c>
      <c r="D237" s="1">
        <v>1.7231237920000001E-3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5.81023926053E-2</v>
      </c>
      <c r="B238" s="1">
        <v>6.8702288872600002E-5</v>
      </c>
      <c r="C238" s="1">
        <v>6.7597336645599997E-6</v>
      </c>
      <c r="D238" s="1">
        <v>1.73635502992E-3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5.8683416531400003E-2</v>
      </c>
      <c r="B239" s="1">
        <v>8.3045525523999997E-5</v>
      </c>
      <c r="C239" s="1">
        <v>7.4623668051099996E-6</v>
      </c>
      <c r="D239" s="1">
        <v>1.74971858022E-3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5.92702506967E-2</v>
      </c>
      <c r="B240" s="1">
        <v>8.3158202623900005E-5</v>
      </c>
      <c r="C240" s="1">
        <v>7.4154194282299999E-6</v>
      </c>
      <c r="D240" s="1">
        <v>1.7632157660200001E-3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5.9862953203699998E-2</v>
      </c>
      <c r="B241" s="1">
        <v>8.5974389124099994E-5</v>
      </c>
      <c r="C241" s="1">
        <v>7.5008729216699996E-6</v>
      </c>
      <c r="D241" s="1">
        <v>1.7768479236799999E-3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6.0461582735700001E-2</v>
      </c>
      <c r="B242" s="1">
        <v>9.4936933782399996E-5</v>
      </c>
      <c r="C242" s="1">
        <v>8.1831781505100007E-6</v>
      </c>
      <c r="D242" s="1">
        <v>1.79061640292E-3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6.1066198563099999E-2</v>
      </c>
      <c r="B243" s="1">
        <v>6.3774571600599999E-5</v>
      </c>
      <c r="C243" s="1">
        <v>6.7986194416399996E-6</v>
      </c>
      <c r="D243" s="1">
        <v>1.80452256695E-3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6.1676860548700002E-2</v>
      </c>
      <c r="B244" s="1">
        <v>4.3530039194900003E-5</v>
      </c>
      <c r="C244" s="1">
        <v>5.5017738086399997E-6</v>
      </c>
      <c r="D244" s="1">
        <v>1.8185677926199999E-3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6.2293629154200003E-2</v>
      </c>
      <c r="B245" s="1">
        <v>3.4362662632199999E-5</v>
      </c>
      <c r="C245" s="1">
        <v>4.9022151107200003E-6</v>
      </c>
      <c r="D245" s="1">
        <v>1.8327534705499999E-3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6.2916565445699998E-2</v>
      </c>
      <c r="B246" s="1">
        <v>3.8078308819900001E-5</v>
      </c>
      <c r="C246" s="1">
        <v>5.2698010403600003E-6</v>
      </c>
      <c r="D246" s="1">
        <v>1.8470810052500001E-3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6.3545731100199995E-2</v>
      </c>
      <c r="B247" s="1">
        <v>2.7271316148599999E-5</v>
      </c>
      <c r="C247" s="1">
        <v>4.9507096870300002E-6</v>
      </c>
      <c r="D247" s="1">
        <v>1.8615518153E-3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6.4181188411200005E-2</v>
      </c>
      <c r="B248" s="1">
        <v>3.8377927196700001E-5</v>
      </c>
      <c r="C248" s="1">
        <v>5.54482055322E-6</v>
      </c>
      <c r="D248" s="1">
        <v>1.87616733346E-3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6.4823000295299998E-2</v>
      </c>
      <c r="B249" s="1">
        <v>5.0266579195099999E-5</v>
      </c>
      <c r="C249" s="1">
        <v>6.0444477487699996E-6</v>
      </c>
      <c r="D249" s="1">
        <v>1.8909290067899999E-3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6.5471230298199998E-2</v>
      </c>
      <c r="B250" s="1">
        <v>4.7446809249300003E-5</v>
      </c>
      <c r="C250" s="1">
        <v>5.7685411178600001E-6</v>
      </c>
      <c r="D250" s="1">
        <v>1.9058382968600001E-3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6.61259426012E-2</v>
      </c>
      <c r="B251" s="1">
        <v>5.29929213204E-5</v>
      </c>
      <c r="C251" s="1">
        <v>6.2514866698800003E-6</v>
      </c>
      <c r="D251" s="1">
        <v>1.9208966798300001E-3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6.6787202027199996E-2</v>
      </c>
      <c r="B252" s="1">
        <v>4.3937584464500001E-5</v>
      </c>
      <c r="C252" s="1">
        <v>5.44681731579E-6</v>
      </c>
      <c r="D252" s="1">
        <v>1.93610564663E-3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6.7455074047499994E-2</v>
      </c>
      <c r="B253" s="1">
        <v>4.0549523687300001E-5</v>
      </c>
      <c r="C253" s="1">
        <v>5.4017804258999998E-6</v>
      </c>
      <c r="D253" s="1">
        <v>1.9514667030900001E-3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6.8129624787999998E-2</v>
      </c>
      <c r="B254" s="1">
        <v>3.1955470964900002E-5</v>
      </c>
      <c r="C254" s="1">
        <v>4.8139462508499997E-6</v>
      </c>
      <c r="D254" s="1">
        <v>1.9669813701200002E-3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6.8810921035900002E-2</v>
      </c>
      <c r="B255" s="1">
        <v>3.6402147611199998E-5</v>
      </c>
      <c r="C255" s="1">
        <v>5.1826191371499998E-6</v>
      </c>
      <c r="D255" s="1">
        <v>1.9826511838199998E-3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6.9499030246199994E-2</v>
      </c>
      <c r="B256" s="1">
        <v>4.2459695106699997E-5</v>
      </c>
      <c r="C256" s="1">
        <v>5.3957509891799996E-6</v>
      </c>
      <c r="D256" s="1">
        <v>1.9984776956599999E-3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7.0194020548699998E-2</v>
      </c>
      <c r="B257" s="1">
        <v>3.8465119221599998E-5</v>
      </c>
      <c r="C257" s="1">
        <v>5.0216669059400001E-6</v>
      </c>
      <c r="D257" s="1">
        <v>2.0144624726199998E-3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7.0895960754200002E-2</v>
      </c>
      <c r="B258" s="1">
        <v>4.6705896895399998E-5</v>
      </c>
      <c r="C258" s="1">
        <v>5.6023148304800004E-6</v>
      </c>
      <c r="D258" s="1">
        <v>2.0306070973499998E-3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7.1604920361700006E-2</v>
      </c>
      <c r="B259" s="1">
        <v>3.76970808286E-5</v>
      </c>
      <c r="C259" s="1">
        <v>4.9694517294900002E-6</v>
      </c>
      <c r="D259" s="1">
        <v>2.0469131683199999E-3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7.23209695653E-2</v>
      </c>
      <c r="B260" s="1">
        <v>3.8793571115499998E-5</v>
      </c>
      <c r="C260" s="1">
        <v>4.8431920437399999E-6</v>
      </c>
      <c r="D260" s="1">
        <v>2.0633823E-3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7.3044179261E-2</v>
      </c>
      <c r="B261" s="1">
        <v>3.7196770969099998E-5</v>
      </c>
      <c r="C261" s="1">
        <v>4.8383022913399997E-6</v>
      </c>
      <c r="D261" s="1">
        <v>2.080016123E-3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7.3774621053599998E-2</v>
      </c>
      <c r="B262" s="1">
        <v>2.58246038208E-5</v>
      </c>
      <c r="C262" s="1">
        <v>4.2232659267500004E-6</v>
      </c>
      <c r="D262" s="1">
        <v>2.0968162842299998E-3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7.4512367264100002E-2</v>
      </c>
      <c r="B263" s="1">
        <v>2.8383028373699998E-5</v>
      </c>
      <c r="C263" s="1">
        <v>4.48135966541E-6</v>
      </c>
      <c r="D263" s="1">
        <v>2.11378444707E-3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7.5257490936799995E-2</v>
      </c>
      <c r="B264" s="1">
        <v>3.0300242112599999E-5</v>
      </c>
      <c r="C264" s="1">
        <v>4.3311425065700004E-6</v>
      </c>
      <c r="D264" s="1">
        <v>2.1309222915499998E-3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7.6010065846099997E-2</v>
      </c>
      <c r="B265" s="1">
        <v>2.6437063138299999E-5</v>
      </c>
      <c r="C265" s="1">
        <v>4.0186980403200004E-6</v>
      </c>
      <c r="D265" s="1">
        <v>2.1482315144599998E-3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7.6770166504600001E-2</v>
      </c>
      <c r="B266" s="1">
        <v>3.01388930557E-5</v>
      </c>
      <c r="C266" s="1">
        <v>4.3353286432799999E-6</v>
      </c>
      <c r="D266" s="1">
        <v>2.1657138296100002E-3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7.7537868169599997E-2</v>
      </c>
      <c r="B267" s="1">
        <v>3.2630041829600003E-5</v>
      </c>
      <c r="C267" s="1">
        <v>4.5002486588700001E-6</v>
      </c>
      <c r="D267" s="1">
        <v>2.1833709679000002E-3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7.8313246851300006E-2</v>
      </c>
      <c r="B268" s="1">
        <v>3.2975875391999999E-5</v>
      </c>
      <c r="C268" s="1">
        <v>4.50667508528E-6</v>
      </c>
      <c r="D268" s="1">
        <v>2.2012046775799999E-3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7.90963793198E-2</v>
      </c>
      <c r="B269" s="1">
        <v>2.3089530126999999E-5</v>
      </c>
      <c r="C269" s="1">
        <v>3.8070242063700002E-6</v>
      </c>
      <c r="D269" s="1">
        <v>2.2192167243599999E-3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7.9887343112999998E-2</v>
      </c>
      <c r="B270" s="1">
        <v>2.8457926288399999E-5</v>
      </c>
      <c r="C270" s="1">
        <v>4.0553628698999997E-6</v>
      </c>
      <c r="D270" s="1">
        <v>2.2374088916000002E-3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8.0686216544199996E-2</v>
      </c>
      <c r="B271" s="1">
        <v>2.0084397991999999E-5</v>
      </c>
      <c r="C271" s="1">
        <v>3.5659337723000002E-6</v>
      </c>
      <c r="D271" s="1">
        <v>2.2557829805199998E-3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8.14930787096E-2</v>
      </c>
      <c r="B272" s="1">
        <v>1.6809604470900002E-5</v>
      </c>
      <c r="C272" s="1">
        <v>3.3218540497499998E-6</v>
      </c>
      <c r="D272" s="1">
        <v>2.27434081032E-3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8.2308009496700002E-2</v>
      </c>
      <c r="B273" s="1">
        <v>2.1887707773199999E-5</v>
      </c>
      <c r="C273" s="1">
        <v>3.75195750134E-6</v>
      </c>
      <c r="D273" s="1">
        <v>2.2930842184199999E-3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8.31310895917E-2</v>
      </c>
      <c r="B274" s="1">
        <v>2.5255491112899999E-5</v>
      </c>
      <c r="C274" s="1">
        <v>3.9680921472299997E-6</v>
      </c>
      <c r="D274" s="1">
        <v>2.3120150606099998E-3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8.3962400487599995E-2</v>
      </c>
      <c r="B275" s="1">
        <v>2.14577257798E-5</v>
      </c>
      <c r="C275" s="1">
        <v>3.72433433265E-6</v>
      </c>
      <c r="D275" s="1">
        <v>2.3311352112099998E-3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8.4802024492500003E-2</v>
      </c>
      <c r="B276" s="1">
        <v>2.28291891807E-5</v>
      </c>
      <c r="C276" s="1">
        <v>3.7700420602600002E-6</v>
      </c>
      <c r="D276" s="1">
        <v>2.3504465633299998E-3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8.5650044737399997E-2</v>
      </c>
      <c r="B277" s="1">
        <v>1.7958735214599999E-5</v>
      </c>
      <c r="C277" s="1">
        <v>3.5439982101199999E-6</v>
      </c>
      <c r="D277" s="1">
        <v>2.3699510289600001E-3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8.6506545184799999E-2</v>
      </c>
      <c r="B278" s="1">
        <v>2.4280586304500001E-5</v>
      </c>
      <c r="C278" s="1">
        <v>3.8490340280499996E-6</v>
      </c>
      <c r="D278" s="1">
        <v>2.3896505392499998E-3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8.7371610636599997E-2</v>
      </c>
      <c r="B279" s="1">
        <v>1.8437792216099999E-5</v>
      </c>
      <c r="C279" s="1">
        <v>1.9968606173000001E-6</v>
      </c>
      <c r="D279" s="1">
        <v>2.4095470446400002E-3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8.8245326742999994E-2</v>
      </c>
      <c r="B280" s="1">
        <v>2.1636266242900001E-5</v>
      </c>
      <c r="C280" s="1">
        <v>2.1229296124199999E-6</v>
      </c>
      <c r="D280" s="1">
        <v>2.4296425150899998E-3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8.9127780010400004E-2</v>
      </c>
      <c r="B281" s="1">
        <v>2.0201529659299999E-5</v>
      </c>
      <c r="C281" s="1">
        <v>1.9540342400800001E-6</v>
      </c>
      <c r="D281" s="1">
        <v>2.44993894024E-3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9.00190578105E-2</v>
      </c>
      <c r="B282" s="1">
        <v>1.76046801772E-5</v>
      </c>
      <c r="C282" s="1">
        <v>1.7694609586E-6</v>
      </c>
      <c r="D282" s="1">
        <v>2.4704383296399999E-3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9.0919248388599994E-2</v>
      </c>
      <c r="B283" s="1">
        <v>1.6091415626300001E-5</v>
      </c>
      <c r="C283" s="1">
        <v>1.7396766744E-6</v>
      </c>
      <c r="D283" s="1">
        <v>2.49114271294E-3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9.18284408725E-2</v>
      </c>
      <c r="B284" s="1">
        <v>1.7175302133999999E-5</v>
      </c>
      <c r="C284" s="1">
        <v>1.7561416703E-6</v>
      </c>
      <c r="D284" s="1">
        <v>2.51205414007E-3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9.2746725281199996E-2</v>
      </c>
      <c r="B285" s="1">
        <v>1.6227526549099999E-5</v>
      </c>
      <c r="C285" s="1">
        <v>1.7021893823799999E-6</v>
      </c>
      <c r="D285" s="1">
        <v>2.5331746814699998E-3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9.3674192534E-2</v>
      </c>
      <c r="B286" s="1">
        <v>1.85280962851E-5</v>
      </c>
      <c r="C286" s="1">
        <v>1.83257178194E-6</v>
      </c>
      <c r="D286" s="1">
        <v>2.5545064282799998E-3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9.4610934459399998E-2</v>
      </c>
      <c r="B287" s="1">
        <v>1.5888616366900001E-5</v>
      </c>
      <c r="C287" s="1">
        <v>1.7185340556500001E-6</v>
      </c>
      <c r="D287" s="1">
        <v>2.5760514925700002E-3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9.5557043804E-2</v>
      </c>
      <c r="B288" s="1">
        <v>1.5377875491100001E-5</v>
      </c>
      <c r="C288" s="1">
        <v>1.6381681692E-6</v>
      </c>
      <c r="D288" s="1">
        <v>2.5978120074900001E-3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9.6512614242E-2</v>
      </c>
      <c r="B289" s="1">
        <v>1.40791089496E-5</v>
      </c>
      <c r="C289" s="1">
        <v>1.5563076147799999E-6</v>
      </c>
      <c r="D289" s="1">
        <v>2.61979012757E-3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9.7477740384400005E-2</v>
      </c>
      <c r="B290" s="1">
        <v>1.32984160439E-5</v>
      </c>
      <c r="C290" s="1">
        <v>1.4895197677799999E-6</v>
      </c>
      <c r="D290" s="1">
        <v>2.6419880288399999E-3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9.8452517788299998E-2</v>
      </c>
      <c r="B291" s="1">
        <v>1.41795545425E-5</v>
      </c>
      <c r="C291" s="1">
        <v>1.53378219939E-6</v>
      </c>
      <c r="D291" s="1">
        <v>2.6644079091300002E-3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9.9437042966199998E-2</v>
      </c>
      <c r="B292" s="1">
        <v>1.2807014872E-5</v>
      </c>
      <c r="C292" s="1">
        <v>1.46414016593E-6</v>
      </c>
      <c r="D292" s="1">
        <v>2.68705198822E-3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0.10043141339599999</v>
      </c>
      <c r="B293" s="1">
        <v>1.26479964732E-5</v>
      </c>
      <c r="C293" s="1">
        <v>1.5768043843899999E-6</v>
      </c>
      <c r="D293" s="1">
        <v>2.7099225081E-3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0.10143572753000001</v>
      </c>
      <c r="B294" s="1">
        <v>1.23044119945E-5</v>
      </c>
      <c r="C294" s="1">
        <v>1.56019048321E-6</v>
      </c>
      <c r="D294" s="1">
        <v>2.73302173319E-3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0.10245008480499999</v>
      </c>
      <c r="B295" s="1">
        <v>1.11559486005E-5</v>
      </c>
      <c r="C295" s="1">
        <v>1.4728845190799999E-6</v>
      </c>
      <c r="D295" s="1">
        <v>2.7563519505200001E-3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0.103474585653</v>
      </c>
      <c r="B296" s="1">
        <v>1.05651129254E-5</v>
      </c>
      <c r="C296" s="1">
        <v>1.37113863101E-6</v>
      </c>
      <c r="D296" s="1">
        <v>2.7799154700199999E-3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0.10450933151</v>
      </c>
      <c r="B297" s="1">
        <v>1.1777703795099999E-5</v>
      </c>
      <c r="C297" s="1">
        <v>1.48723873418E-6</v>
      </c>
      <c r="D297" s="1">
        <v>2.8037146247199998E-3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0.10555442482500001</v>
      </c>
      <c r="B298" s="1">
        <v>1.30751913279E-5</v>
      </c>
      <c r="C298" s="1">
        <v>1.6004728770500001E-6</v>
      </c>
      <c r="D298" s="1">
        <v>2.82775177097E-3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0.10660996907299999</v>
      </c>
      <c r="B299" s="1">
        <v>1.3822115706300001E-5</v>
      </c>
      <c r="C299" s="1">
        <v>1.5863662267599999E-6</v>
      </c>
      <c r="D299" s="1">
        <v>2.8520292886799999E-3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0.107676068764</v>
      </c>
      <c r="B300" s="1">
        <v>1.0640240152200001E-5</v>
      </c>
      <c r="C300" s="1">
        <v>1.36108372767E-6</v>
      </c>
      <c r="D300" s="1">
        <v>2.87654958157E-3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0.108752829451</v>
      </c>
      <c r="B301" s="1">
        <v>1.04064245919E-5</v>
      </c>
      <c r="C301" s="1">
        <v>1.3814019504799999E-6</v>
      </c>
      <c r="D301" s="1">
        <v>2.9013150773800002E-3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0.109840357746</v>
      </c>
      <c r="B302" s="1">
        <v>9.1949929033400001E-6</v>
      </c>
      <c r="C302" s="1">
        <v>1.3640032299400001E-6</v>
      </c>
      <c r="D302" s="1">
        <v>2.9263282281600002E-3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0.110938761323</v>
      </c>
      <c r="B303" s="1">
        <v>9.8120972119500006E-6</v>
      </c>
      <c r="C303" s="1">
        <v>1.3216807086599999E-6</v>
      </c>
      <c r="D303" s="1">
        <v>2.9515915104400001E-3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0.11204814893700001</v>
      </c>
      <c r="B304" s="1">
        <v>1.13856245212E-5</v>
      </c>
      <c r="C304" s="1">
        <v>1.3775546739E-6</v>
      </c>
      <c r="D304" s="1">
        <v>2.97710742554E-3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0.11316863042600001</v>
      </c>
      <c r="B305" s="1">
        <v>1.1477553327899999E-5</v>
      </c>
      <c r="C305" s="1">
        <v>1.4212572321E-6</v>
      </c>
      <c r="D305" s="1">
        <v>3.0028784998000001E-3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0.11430031673</v>
      </c>
      <c r="B306" s="1">
        <v>9.7193025094499998E-6</v>
      </c>
      <c r="C306" s="1">
        <v>1.3183837419499999E-6</v>
      </c>
      <c r="D306" s="1">
        <v>3.0289072847900001E-3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0.115443319898</v>
      </c>
      <c r="B307" s="1">
        <v>7.56207766324E-6</v>
      </c>
      <c r="C307" s="1">
        <v>1.1692891698200001E-6</v>
      </c>
      <c r="D307" s="1">
        <v>3.0551963576400001E-3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0.116597753096</v>
      </c>
      <c r="B308" s="1">
        <v>8.5098745570199997E-6</v>
      </c>
      <c r="C308" s="1">
        <v>1.27461059792E-6</v>
      </c>
      <c r="D308" s="1">
        <v>3.0817483212199999E-3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0.117763730627</v>
      </c>
      <c r="B309" s="1">
        <v>7.9426777411800003E-6</v>
      </c>
      <c r="C309" s="1">
        <v>1.2119626686899999E-6</v>
      </c>
      <c r="D309" s="1">
        <v>3.1085658044299998E-3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0.11894136793399999</v>
      </c>
      <c r="B310" s="1">
        <v>7.5339135765399997E-6</v>
      </c>
      <c r="C310" s="1">
        <v>1.22337488773E-6</v>
      </c>
      <c r="D310" s="1">
        <v>3.1356514624800002E-3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0.120130781613</v>
      </c>
      <c r="B311" s="1">
        <v>9.8471041473799993E-6</v>
      </c>
      <c r="C311" s="1">
        <v>1.3637153024999999E-6</v>
      </c>
      <c r="D311" s="1">
        <v>3.1630079771000001E-3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0.12133208942900001</v>
      </c>
      <c r="B312" s="1">
        <v>8.3142138898800001E-6</v>
      </c>
      <c r="C312" s="1">
        <v>1.2135749004499999E-6</v>
      </c>
      <c r="D312" s="1">
        <v>3.19063805687E-3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0.122545410323</v>
      </c>
      <c r="B313" s="1">
        <v>6.5384767142700004E-6</v>
      </c>
      <c r="C313" s="1">
        <v>1.11718681097E-6</v>
      </c>
      <c r="D313" s="1">
        <v>3.2185444374399999E-3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0.123770864427</v>
      </c>
      <c r="B314" s="1">
        <v>5.9696898843199997E-6</v>
      </c>
      <c r="C314" s="1">
        <v>1.07680431341E-6</v>
      </c>
      <c r="D314" s="1">
        <v>3.2467298818099999E-3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0.125008573071</v>
      </c>
      <c r="B315" s="1">
        <v>8.3082384166899998E-6</v>
      </c>
      <c r="C315" s="1">
        <v>1.19961176569E-6</v>
      </c>
      <c r="D315" s="1">
        <v>3.2751971806300002E-3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0.12625865880199999</v>
      </c>
      <c r="B316" s="1">
        <v>8.2402527323700007E-6</v>
      </c>
      <c r="C316" s="1">
        <v>1.2944654565600001E-6</v>
      </c>
      <c r="D316" s="1">
        <v>3.3039491524399999E-3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0.12752124539000001</v>
      </c>
      <c r="B317" s="1">
        <v>6.2332709613500001E-6</v>
      </c>
      <c r="C317" s="1">
        <v>1.09082765305E-6</v>
      </c>
      <c r="D317" s="1">
        <v>3.3329886439600002E-3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0.12879645784400001</v>
      </c>
      <c r="B318" s="1">
        <v>5.1168243925099996E-6</v>
      </c>
      <c r="C318" s="1">
        <v>1.0348083275199999E-6</v>
      </c>
      <c r="D318" s="1">
        <v>3.3623185304E-3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A319">
        <v>0.130084422422</v>
      </c>
      <c r="B319" s="1">
        <v>7.6134873555599998E-6</v>
      </c>
      <c r="C319" s="1">
        <v>1.20656496305E-6</v>
      </c>
      <c r="D319" s="1">
        <v>3.3919417157099998E-3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A320">
        <v>0.131385266646</v>
      </c>
      <c r="B320" s="1">
        <v>4.8604465897000003E-6</v>
      </c>
      <c r="C320" s="1">
        <v>1.01239240636E-6</v>
      </c>
      <c r="D320" s="1">
        <v>3.4218611328599999E-3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35">
      <c r="A321">
        <v>0.13269911931299999</v>
      </c>
      <c r="B321" s="1">
        <v>5.4547986683799998E-6</v>
      </c>
      <c r="C321" s="1">
        <v>1.0455472853000001E-6</v>
      </c>
      <c r="D321" s="1">
        <v>3.4520797441899998E-3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35">
      <c r="A322">
        <v>0.134026110506</v>
      </c>
      <c r="B322" s="1">
        <v>4.2196073152199996E-6</v>
      </c>
      <c r="C322" s="1">
        <v>9.3653098245500005E-7</v>
      </c>
      <c r="D322" s="1">
        <v>3.4826005416300002E-3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35">
      <c r="A323">
        <v>0.13536637161100001</v>
      </c>
      <c r="B323" s="1">
        <v>4.6856982140800001E-6</v>
      </c>
      <c r="C323" s="1">
        <v>9.6600431518699992E-7</v>
      </c>
      <c r="D323" s="1">
        <v>3.51342654705E-3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35">
      <c r="A324">
        <v>0.136720035327</v>
      </c>
      <c r="B324" s="1">
        <v>5.8738108318699998E-6</v>
      </c>
      <c r="C324" s="1">
        <v>1.0800759301999999E-6</v>
      </c>
      <c r="D324" s="1">
        <v>3.5445608125200001E-3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35">
      <c r="A325">
        <v>0.13808723568</v>
      </c>
      <c r="B325" s="1">
        <v>3.7498900104199999E-6</v>
      </c>
      <c r="C325" s="1">
        <v>8.7524635428500003E-7</v>
      </c>
      <c r="D325" s="1">
        <v>3.5760064206500001E-3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35">
      <c r="A326">
        <v>0.13946810803699999</v>
      </c>
      <c r="B326" s="1">
        <v>4.3518488274300003E-6</v>
      </c>
      <c r="C326" s="1">
        <v>9.0658339231299999E-7</v>
      </c>
      <c r="D326" s="1">
        <v>3.6077664848500001E-3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35">
      <c r="A327">
        <v>0.14086278911700001</v>
      </c>
      <c r="B327" s="1">
        <v>3.2669071614200001E-6</v>
      </c>
      <c r="C327" s="1">
        <v>8.5455156554599998E-7</v>
      </c>
      <c r="D327" s="1">
        <v>3.6398441496999999E-3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35">
      <c r="A328">
        <v>0.14227141700900001</v>
      </c>
      <c r="B328" s="1">
        <v>4.0685931666000003E-6</v>
      </c>
      <c r="C328" s="1">
        <v>8.6025252392300003E-7</v>
      </c>
      <c r="D328" s="1">
        <v>3.6722425912E-3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35">
      <c r="A329">
        <v>0.14369413117900001</v>
      </c>
      <c r="B329" s="1">
        <v>4.1057362539499996E-6</v>
      </c>
      <c r="C329" s="1">
        <v>8.5855949200000004E-7</v>
      </c>
      <c r="D329" s="1">
        <v>3.7049650171100002E-3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35">
      <c r="A330">
        <v>0.14513107249099999</v>
      </c>
      <c r="B330" s="1">
        <v>4.3168142980500002E-6</v>
      </c>
      <c r="C330" s="1">
        <v>9.1792062020599998E-7</v>
      </c>
      <c r="D330" s="1">
        <v>3.7380146672799999E-3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35">
      <c r="A331">
        <v>0.146582383215</v>
      </c>
      <c r="B331" s="1">
        <v>5.1373747583600003E-6</v>
      </c>
      <c r="C331" s="1">
        <v>9.7895549299000002E-7</v>
      </c>
      <c r="D331" s="1">
        <v>3.7713948139499998E-3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35">
      <c r="A332">
        <v>0.14804820704800001</v>
      </c>
      <c r="B332" s="1">
        <v>2.4037021893000002E-6</v>
      </c>
      <c r="C332" s="1">
        <v>7.7310875119400002E-7</v>
      </c>
      <c r="D332" s="1">
        <v>3.8051087620899998E-3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35">
      <c r="A333">
        <v>0.14952868911799999</v>
      </c>
      <c r="B333" s="1">
        <v>3.2762165370599998E-6</v>
      </c>
      <c r="C333" s="1">
        <v>7.6674707029000001E-7</v>
      </c>
      <c r="D333" s="1">
        <v>3.8391598497200001E-3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35">
      <c r="A334">
        <v>0.151023976009</v>
      </c>
      <c r="B334" s="1">
        <v>2.8960617244299998E-6</v>
      </c>
      <c r="C334" s="1">
        <v>7.3780477903800004E-7</v>
      </c>
      <c r="D334" s="1">
        <v>3.8735514482100002E-3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35">
      <c r="A335">
        <v>0.152534215769</v>
      </c>
      <c r="B335" s="1">
        <v>3.2619115863E-6</v>
      </c>
      <c r="C335" s="1">
        <v>7.6297122298199997E-7</v>
      </c>
      <c r="D335" s="1">
        <v>3.9082869626900002E-3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35">
      <c r="A336">
        <v>0.15405955792699999</v>
      </c>
      <c r="B336" s="1">
        <v>3.3350451375500001E-6</v>
      </c>
      <c r="C336" s="1">
        <v>7.8113141677499995E-7</v>
      </c>
      <c r="D336" s="1">
        <v>3.9433698323199998E-3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35">
      <c r="A337">
        <v>0.15560015350600001</v>
      </c>
      <c r="B337" s="1">
        <v>2.82094805878E-6</v>
      </c>
      <c r="C337" s="1">
        <v>7.39266869792E-7</v>
      </c>
      <c r="D337" s="1">
        <v>3.9788035306400002E-3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35">
      <c r="A338">
        <v>0.157156155041</v>
      </c>
      <c r="B338" s="1">
        <v>3.9710415283799998E-6</v>
      </c>
      <c r="C338" s="1">
        <v>8.0414346824699998E-7</v>
      </c>
      <c r="D338" s="1">
        <v>4.0145915659500001E-3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35">
      <c r="A339">
        <v>0.158727716592</v>
      </c>
      <c r="B339" s="1">
        <v>2.3338499834899998E-6</v>
      </c>
      <c r="C339" s="1">
        <v>6.6455331193800005E-7</v>
      </c>
      <c r="D339" s="1">
        <v>4.0507374816099997E-3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35">
      <c r="A340">
        <v>0.16031499375800001</v>
      </c>
      <c r="B340" s="1">
        <v>3.5317269025700002E-6</v>
      </c>
      <c r="C340" s="1">
        <v>7.7514842611300003E-7</v>
      </c>
      <c r="D340" s="1">
        <v>4.0872448564300001E-3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35">
      <c r="A341">
        <v>0.16191814369499999</v>
      </c>
      <c r="B341" s="1">
        <v>3.2856320114900002E-6</v>
      </c>
      <c r="C341" s="1">
        <v>7.4975403685599999E-7</v>
      </c>
      <c r="D341" s="1">
        <v>4.1241173049900003E-3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35">
      <c r="A342">
        <v>0.16353732513200001</v>
      </c>
      <c r="B342" s="1">
        <v>1.99006455821E-6</v>
      </c>
      <c r="C342" s="1">
        <v>6.2262793896300001E-7</v>
      </c>
      <c r="D342" s="1">
        <v>4.1613584780400004E-3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35">
      <c r="A343">
        <v>0.16517269838400001</v>
      </c>
      <c r="B343" s="1">
        <v>1.79003025888E-6</v>
      </c>
      <c r="C343" s="1">
        <v>6.4998659058699995E-7</v>
      </c>
      <c r="D343" s="1">
        <v>4.1989720628199997E-3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35">
      <c r="A344">
        <v>0.16682442536700001</v>
      </c>
      <c r="B344" s="1">
        <v>2.92251588484E-6</v>
      </c>
      <c r="C344" s="1">
        <v>7.3382892996199997E-7</v>
      </c>
      <c r="D344" s="1">
        <v>4.2369617834500002E-3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35">
      <c r="A345">
        <v>0.16849266962100001</v>
      </c>
      <c r="B345" s="1">
        <v>1.9733533650099998E-6</v>
      </c>
      <c r="C345" s="1">
        <v>6.5907359820300004E-7</v>
      </c>
      <c r="D345" s="1">
        <v>4.27533140128E-3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35">
      <c r="A346">
        <v>0.170177596317</v>
      </c>
      <c r="B346" s="1">
        <v>1.11756075978E-6</v>
      </c>
      <c r="C346" s="1">
        <v>6.0615247465300003E-7</v>
      </c>
      <c r="D346" s="1">
        <v>4.3140847152999999E-3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35">
      <c r="A347">
        <v>0.17187937228</v>
      </c>
      <c r="B347" s="1">
        <v>5.6020676884300005E-7</v>
      </c>
      <c r="C347" s="1">
        <v>5.0598640095600004E-7</v>
      </c>
      <c r="D347" s="1">
        <v>4.3532255624500003E-3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35">
      <c r="A348">
        <v>0.17359816600299999</v>
      </c>
      <c r="B348" s="1">
        <v>2.1119762569000002E-6</v>
      </c>
      <c r="C348" s="1">
        <v>6.6423859908800002E-7</v>
      </c>
      <c r="D348" s="1">
        <v>4.3927578180700004E-3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35">
      <c r="A349">
        <v>0.17533414766300001</v>
      </c>
      <c r="B349" s="1">
        <v>7.9289598407500001E-7</v>
      </c>
      <c r="C349" s="1">
        <v>5.6127908869299999E-7</v>
      </c>
      <c r="D349" s="1">
        <v>4.4326853962600001E-3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35">
      <c r="A350">
        <v>0.17708748914</v>
      </c>
      <c r="B350" s="1">
        <v>2.0495408344399999E-6</v>
      </c>
      <c r="C350" s="1">
        <v>6.8212959088399998E-7</v>
      </c>
      <c r="D350" s="1">
        <v>4.4730122502200003E-3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35">
      <c r="A351">
        <v>0.178858364031</v>
      </c>
      <c r="B351" s="1">
        <v>8.1968437491999999E-7</v>
      </c>
      <c r="C351" s="1">
        <v>5.3791395255600002E-7</v>
      </c>
      <c r="D351" s="1">
        <v>4.5137423727200001E-3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35">
      <c r="A352">
        <v>0.18064694767200001</v>
      </c>
      <c r="B352" s="1">
        <v>1.66534614889E-6</v>
      </c>
      <c r="C352" s="1">
        <v>6.04815543664E-7</v>
      </c>
      <c r="D352" s="1">
        <v>4.5548797964500001E-3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 x14ac:dyDescent="0.35">
      <c r="A353">
        <v>0.18245341714800001</v>
      </c>
      <c r="B353" s="1">
        <v>1.37622647944E-6</v>
      </c>
      <c r="C353" s="1">
        <v>6.2216565460800001E-7</v>
      </c>
      <c r="D353" s="1">
        <v>4.59642859441E-3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 x14ac:dyDescent="0.35">
      <c r="A354">
        <v>0.18427795131999999</v>
      </c>
      <c r="B354" s="1">
        <v>1.7157961866599999E-6</v>
      </c>
      <c r="C354" s="1">
        <v>6.0815970217000003E-7</v>
      </c>
      <c r="D354" s="1">
        <v>4.63839288036E-3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 x14ac:dyDescent="0.35">
      <c r="A355">
        <v>0.18612073083299999</v>
      </c>
      <c r="B355" s="1">
        <v>1.3942343163599999E-6</v>
      </c>
      <c r="C355" s="1">
        <v>6.2302469436400003E-7</v>
      </c>
      <c r="D355" s="1">
        <v>4.6807768091599996E-3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 x14ac:dyDescent="0.35">
      <c r="A356">
        <v>0.187981938141</v>
      </c>
      <c r="B356" s="1">
        <v>1.2015596402800001E-6</v>
      </c>
      <c r="C356" s="1">
        <v>5.7252809529700001E-7</v>
      </c>
      <c r="D356" s="1">
        <v>4.7235845772499998E-3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 x14ac:dyDescent="0.35">
      <c r="A357">
        <v>0.189861757523</v>
      </c>
      <c r="B357" s="1">
        <v>1.3519727781800001E-6</v>
      </c>
      <c r="C357" s="1">
        <v>5.7999422213000003E-7</v>
      </c>
      <c r="D357" s="1">
        <v>4.7668204230199998E-3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 x14ac:dyDescent="0.35">
      <c r="A358">
        <v>0.19176037509800001</v>
      </c>
      <c r="B358" s="1">
        <v>9.906451815060001E-7</v>
      </c>
      <c r="C358" s="1">
        <v>5.5319846719500001E-7</v>
      </c>
      <c r="D358" s="1">
        <v>4.8104886272500001E-3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 x14ac:dyDescent="0.35">
      <c r="A359">
        <v>0.19367797884900001</v>
      </c>
      <c r="B359" s="1">
        <v>1.15803016523E-6</v>
      </c>
      <c r="C359" s="1">
        <v>5.3777178107300003E-7</v>
      </c>
      <c r="D359" s="1">
        <v>4.8545935135299997E-3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 x14ac:dyDescent="0.35">
      <c r="A360">
        <v>0.19561475863700001</v>
      </c>
      <c r="B360" s="1">
        <v>7.04050950565E-7</v>
      </c>
      <c r="C360" s="1">
        <v>4.8834619418199997E-7</v>
      </c>
      <c r="D360" s="1">
        <v>4.89913944866E-3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 x14ac:dyDescent="0.35">
      <c r="A361">
        <v>0.197570906224</v>
      </c>
      <c r="B361" s="1">
        <v>1.3352316349500001E-6</v>
      </c>
      <c r="C361" s="1">
        <v>6.2185761667000001E-7</v>
      </c>
      <c r="D361" s="1">
        <v>4.94413084315E-3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92" t="s">
        <v>1</v>
      </c>
      <c r="B1" s="192"/>
      <c r="C1" s="192"/>
      <c r="D1" s="192"/>
      <c r="E1" s="192"/>
      <c r="F1" s="192"/>
      <c r="G1" s="192"/>
      <c r="H1" s="192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Reflectivity</vt:lpstr>
      <vt:lpstr>Uncertainties</vt:lpstr>
      <vt:lpstr>dTotal</vt:lpstr>
      <vt:lpstr>density</vt:lpstr>
      <vt:lpstr>f_PEO</vt:lpstr>
      <vt:lpstr>sigDstack</vt:lpstr>
      <vt:lpstr>dSiOx</vt:lpstr>
      <vt:lpstr>NbBPEI</vt:lpstr>
      <vt:lpstr>NbSi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2021-06-28T14:31:39Z</dcterms:modified>
</cp:coreProperties>
</file>