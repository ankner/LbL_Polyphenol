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3D71B072-0DCA-473E-BE1D-45BAE1776F0E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77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1" l="1"/>
  <c r="F26" i="1"/>
  <c r="C26" i="1"/>
  <c r="C25" i="1" s="1"/>
  <c r="F25" i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D19" i="69" l="1"/>
  <c r="B10" i="69"/>
  <c r="C10" i="69"/>
  <c r="X278" i="1"/>
  <c r="Y278" i="1" s="1"/>
  <c r="X279" i="1"/>
  <c r="Y279" i="1" s="1"/>
  <c r="C6" i="1"/>
  <c r="F7" i="1"/>
  <c r="H6" i="1" l="1"/>
  <c r="H14" i="1"/>
  <c r="H16" i="1"/>
  <c r="C5" i="1" l="1"/>
  <c r="B19" i="69" s="1"/>
  <c r="C4" i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2" i="69"/>
  <c r="B21" i="69"/>
  <c r="B16" i="69"/>
  <c r="C4" i="69"/>
  <c r="B4" i="69"/>
  <c r="B15" i="69"/>
  <c r="B17" i="69"/>
  <c r="G6" i="1"/>
  <c r="F4" i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55_truncated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<sst xmlns="http://schemas.openxmlformats.org/spreadsheetml/2006/main" count="1169" uniqueCount="649">
  <si>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</si>
  <si>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</si>
  <si>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</si>
  <si>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</si>
  <si>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</si>
  <si>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</si>
  <si>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</si>
  <si>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</si>
  <si>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</si>
  <si>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</si>
  <si>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</si>
  <si>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</si>
  <si>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</si>
  <si>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</si>
  <si>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</si>
  <si>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</si>
  <si>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</si>
  <si>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</si>
  <si>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</si>
  <si>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</si>
  <si>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</si>
  <si>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</si>
  <si>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</si>
  <si>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</si>
  <si>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</si>
  <si>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</si>
  <si>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</si>
  <si>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</si>
  <si>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</si>
  <si>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</si>
  <si>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</si>
  <si>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</si>
  <si>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</si>
  <si>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</si>
  <si>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</si>
  <si>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</si>
  <si>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</si>
  <si>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</si>
  <si>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</si>
  <si>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</si>
  <si>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</si>
  <si>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</si>
  <si>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</si>
  <si>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</si>
  <si>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</si>
  <si>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</si>
  <si>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</si>
  <si>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</si>
  <si>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</si>
  <si>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</si>
  <si>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</si>
  <si>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</si>
  <si>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</si>
  <si>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</si>
  <si>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</si>
  <si>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</si>
  <si>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</si>
  <si>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</si>
  <si>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</si>
  <si>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</si>
  <si>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</si>
  <si>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</si>
  <si>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</si>
  <si>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</si>
  <si>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</si>
  <si>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</si>
  <si>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</si>
  <si>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</si>
  <si>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</si>
  <si>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</si>
  <si>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</si>
  <si>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</si>
  <si>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</si>
  <si>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</si>
  <si>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</si>
  <si>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</si>
  <si>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</si>
  <si>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</si>
  <si>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</si>
  <si>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</si>
  <si>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</si>
  <si>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</si>
  <si>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</si>
  <si>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</si>
  <si>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</si>
  <si>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</si>
  <si>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</si>
  <si>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</si>
  <si>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</si>
  <si>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</si>
  <si>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</si>
  <si>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</si>
  <si>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</si>
  <si>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</si>
  <si>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</si>
  <si>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</si>
  <si>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</si>
  <si>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</si>
  <si>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</si>
  <si>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</si>
  <si>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</si>
  <si>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</si>
  <si>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</si>
  <si>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</si>
  <si>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</si>
  <si>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</si>
  <si>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</si>
  <si>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</si>
  <si>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</si>
  <si>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</si>
  <si>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</si>
  <si>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</si>
  <si>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</si>
  <si>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</si>
  <si>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</si>
  <si>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</si>
  <si>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</si>
  <si>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</si>
  <si>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</si>
  <si>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</si>
  <si>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</si>
  <si>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</si>
  <si>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</si>
  <si>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</si>
  <si>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</si>
  <si>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</si>
  <si>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</si>
  <si>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</si>
  <si>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</si>
  <si>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</si>
  <si>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</si>
  <si>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</si>
  <si>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</si>
  <si>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</si>
  <si>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</si>
  <si>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</si>
  <si>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</si>
  <si>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</si>
  <si>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</si>
  <si>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</si>
  <si>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</si>
  <si>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</si>
  <si>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</si>
  <si>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</si>
  <si>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</si>
  <si>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</si>
  <si>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</si>
  <si>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</si>
  <si>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</si>
  <si>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</si>
  <si>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</si>
  <si>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</si>
  <si>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</si>
  <si>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</si>
  <si>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</si>
  <si>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</si>
  <si>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</si>
  <si>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</si>
  <si>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</si>
  <si>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</si>
  <si>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</si>
  <si>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</si>
  <si>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</si>
  <si>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</si>
  <si>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</si>
  <si>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</si>
  <si>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</si>
  <si>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</si>
  <si>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</si>
  <si>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</si>
  <si>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</si>
  <si>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</si>
  <si>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</si>
  <si>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</si>
  <si>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</si>
  <si>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</si>
  <si>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</si>
  <si>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</si>
  <si>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</si>
  <si>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</si>
  <si>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</si>
  <si>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</si>
  <si>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</si>
  <si>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</si>
  <si>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</si>
  <si>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</si>
  <si>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</si>
  <si>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</si>
  <si>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</si>
  <si>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</si>
  <si>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</si>
  <si>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</si>
  <si>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</si>
  <si>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</si>
  <si>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</si>
  <si>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</si>
  <si>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</si>
  <si>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</si>
  <si>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</si>
  <si>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</si>
  <si>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</si>
  <si>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</si>
  <si>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</si>
  <si>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</si>
  <si>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</si>
  <si>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</si>
  <si>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</si>
  <si>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</si>
  <si>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</si>
  <si>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</si>
  <si>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</si>
  <si>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</si>
  <si>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</si>
  <si>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</si>
  <si>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</si>
  <si>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</si>
  <si>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</si>
  <si>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</si>
  <si>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</si>
  <si>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</si>
  <si>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</si>
  <si>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</si>
  <si>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</si>
  <si>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</si>
  <si>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</si>
  <si>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</si>
  <si>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</si>
  <si>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</si>
  <si>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</si>
  <si>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</si>
  <si>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</si>
  <si>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</si>
  <si>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</si>
  <si>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</si>
  <si>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</si>
  <si>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</si>
  <si>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</si>
  <si>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</si>
  <si>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</si>
  <si>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</si>
  <si>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</si>
  <si>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</si>
  <si>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</si>
  <si>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</si>
  <si>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</si>
  <si>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</si>
  <si>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</si>
  <si>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</si>
  <si>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</si>
  <si>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</si>
  <si>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</si>
  <si>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</si>
  <si>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</si>
  <si>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</si>
  <si>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</si>
  <si>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</si>
  <si>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</si>
  <si>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</si>
  <si>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</si>
  <si>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</si>
  <si>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</si>
  <si>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</si>
  <si>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</si>
  <si>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</si>
  <si>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</si>
  <si>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</si>
  <si>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</si>
  <si>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</si>
  <si>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</si>
  <si>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</si>
  <si>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</si>
  <si>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</si>
  <si>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</si>
  <si>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</si>
  <si>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</si>
  <si>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</si>
  <si>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</si>
  <si>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</si>
  <si>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</si>
  <si>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</si>
  <si>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</si>
  <si>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</si>
  <si>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</si>
  <si>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</si>
  <si>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</si>
  <si>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</si>
  <si>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</si>
  <si>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</si>
  <si>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</si>
  <si>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</si>
  <si>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</si>
  <si>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</si>
  <si>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</si>
  <si>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</si>
  <si>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</si>
  <si>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</si>
  <si>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</si>
  <si>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</si>
  <si>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</si>
  <si>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</si>
  <si>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</si>
  <si>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</si>
  <si>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</si>
  <si>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</si>
  <si>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</si>
  <si>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</si>
  <si>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</si>
  <si>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</si>
  <si>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</si>
  <si>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</si>
  <si>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</si>
  <si>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</si>
  <si>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</si>
  <si>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</si>
  <si>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</si>
  <si>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</si>
  <si>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</si>
  <si>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</si>
  <si>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</si>
  <si>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</si>
  <si>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</si>
  <si>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</si>
  <si>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</si>
  <si>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</si>
  <si>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</si>
  <si>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</si>
  <si>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</si>
  <si>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</si>
  <si>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</si>
  <si>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</si>
  <si>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</si>
  <si>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</si>
  <si>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</si>
  <si>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</si>
  <si>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</si>
  <si>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</si>
  <si>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</si>
  <si>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</si>
  <si>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</si>
  <si>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</si>
  <si>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</si>
  <si>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</si>
  <si>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</si>
  <si>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</si>
  <si>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</si>
  <si>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</si>
  <si>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</si>
  <si>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</si>
  <si>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</si>
  <si>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</si>
  <si>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</si>
  <si>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</si>
  <si>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</si>
  <si>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</si>
  <si>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</si>
  <si>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</si>
  <si>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</si>
  <si>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</si>
  <si>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</si>
  <si>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</si>
  <si>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</si>
  <si>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</si>
  <si>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</si>
  <si>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</si>
  <si>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</si>
  <si>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</si>
  <si>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</si>
  <si>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</si>
  <si>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</si>
  <si>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</si>
  <si>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</si>
  <si>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</si>
  <si>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</si>
  <si>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</si>
  <si>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</si>
  <si>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</si>
  <si>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</si>
  <si>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</si>
  <si>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</si>
  <si>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</si>
  <si>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</si>
  <si>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</si>
  <si>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</si>
  <si>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</si>
  <si>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</si>
  <si>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</si>
  <si>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</si>
  <si>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</si>
  <si>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</si>
  <si>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</si>
  <si>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</si>
  <si>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</si>
  <si>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</si>
  <si>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</si>
  <si>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</si>
  <si>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</si>
  <si>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</si>
  <si>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</si>
  <si>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</si>
  <si>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</si>
  <si>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</si>
  <si>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</si>
  <si>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</si>
  <si>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</si>
  <si>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</si>
  <si>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</si>
  <si>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</si>
  <si>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</si>
  <si>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</si>
  <si>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</si>
  <si>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</si>
  <si>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</si>
  <si>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</si>
  <si>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</si>
  <si>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</si>
  <si>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</si>
  <si>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</si>
  <si>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</si>
  <si>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</si>
  <si>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</si>
  <si>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</si>
  <si>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</si>
  <si>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</si>
  <si>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</si>
  <si>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</si>
  <si>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</si>
  <si>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</si>
  <si>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</si>
  <si>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</si>
  <si>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</si>
  <si>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</si>
  <si>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</si>
  <si>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</si>
  <si>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</si>
  <si>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</si>
  <si>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</si>
  <si>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</si>
  <si>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</si>
  <si>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</si>
  <si>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</si>
  <si>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</si>
  <si>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</si>
  <si>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</si>
  <si>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</si>
  <si>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</si>
  <si>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</si>
  <si>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</si>
  <si>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</si>
  <si>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</si>
  <si>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</si>
  <si>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</si>
  <si>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</si>
  <si>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</si>
  <si>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</si>
  <si>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</si>
  <si>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</si>
  <si>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</si>
  <si>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</si>
  <si>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</si>
  <si>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</si>
  <si>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</si>
  <si>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</si>
  <si>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</si>
  <si>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</si>
  <si>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</si>
  <si>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</si>
  <si>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</si>
  <si>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</si>
  <si>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</si>
  <si>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</si>
  <si>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</si>
  <si>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</si>
  <si>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</si>
  <si>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</si>
  <si>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</si>
  <si>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</si>
  <si>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</si>
  <si>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</si>
  <si>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</si>
  <si>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</si>
  <si>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</si>
  <si>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</si>
  <si>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</si>
  <si>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</si>
  <si>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</si>
  <si>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</si>
  <si>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</si>
  <si>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</si>
  <si>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</si>
  <si>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</si>
  <si>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</si>
  <si>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</si>
  <si>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</si>
  <si>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</si>
  <si>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</si>
  <si>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</si>
  <si>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</si>
  <si>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</si>
  <si>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</si>
  <si>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</si>
  <si>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</si>
  <si>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</si>
  <si>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</si>
  <si>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</si>
  <si>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</si>
  <si>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</si>
  <si>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</si>
  <si>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</si>
  <si>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</si>
  <si>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</si>
  <si>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</si>
  <si>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</si>
  <si>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</si>
  <si>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</si>
  <si>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</si>
  <si>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</si>
  <si>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</si>
  <si>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</si>
  <si>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</si>
  <si>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</si>
  <si>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</si>
  <si>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</si>
  <si>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</si>
  <si>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</si>
  <si>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</si>
  <si>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</si>
  <si>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</si>
  <si>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</si>
  <si>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</si>
  <si>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</si>
  <si>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</si>
  <si>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</si>
  <si>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</si>
  <si>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</si>
  <si>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</si>
  <si>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</si>
  <si>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</si>
  <si>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</si>
  <si>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</si>
  <si>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</si>
  <si>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</si>
  <si>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</si>
  <si>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</si>
  <si>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</si>
  <si>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</si>
  <si>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</si>
  <si>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</si>
  <si>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</si>
  <si>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</si>
  <si>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</si>
  <si>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</si>
  <si>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</si>
  <si>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</si>
  <si>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</si>
  <si>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</si>
  <si>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</si>
  <si>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</si>
  <si>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</si>
  <si>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</si>
  <si>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</si>
  <si>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</si>
  <si>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</si>
  <si>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</si>
  <si>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</si>
  <si>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</si>
  <si>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</si>
  <si>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</si>
  <si>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</si>
  <si>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</si>
  <si>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</si>
  <si>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</si>
  <si>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</si>
  <si>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</si>
  <si>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</si>
  <si>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</si>
  <si>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</si>
  <si>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</si>
  <si>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</si>
  <si>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</si>
  <si>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</si>
  <si>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</si>
  <si>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</si>
  <si>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</si>
  <si>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</si>
  <si>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</si>
  <si>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</si>
  <si>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</si>
  <si>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</si>
  <si>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</si>
  <si>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</si>
  <si>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</si>
  <si>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</si>
  <si>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</si>
  <si>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</si>
  <si>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</si>
  <si>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</si>
  <si>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</si>
  <si>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</si>
  <si>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</si>
  <si>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</si>
  <si>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</si>
  <si>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</si>
  <si>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</si>
  <si>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</si>
  <si>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</si>
  <si>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</si>
  <si>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</si>
  <si>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</si>
  <si>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</si>
  <si>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</si>
  <si>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</si>
  <si>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</si>
  <si>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</si>
  <si>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</si>
  <si>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</si>
  <si>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</si>
  <si>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</si>
  <si>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</si>
  <si>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</si>
  <si>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</si>
  <si>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</si>
  <si>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</si>
  <si>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</si>
  <si>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</si>
  <si>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</si>
  <si>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</si>
  <si>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</si>
  <si>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</si>
  <si>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</si>
  <si>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</si>
  <si>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</si>
  <si>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</si>
  <si>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</si>
  <si>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</si>
  <si>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</si>
  <si>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</si>
  <si>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r>
      <t>S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</si>
  <si>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</si>
  <si>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IPTS-23087</t>
  </si>
  <si>
    <t>Mar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</si>
  <si>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</si>
  <si>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</si>
  <si>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</si>
  <si>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</si>
  <si>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</si>
  <si>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5_P2HMA_57h63d_132m110h_2min-174555-1.</t>
  </si>
  <si>
    <t>2019-11-20T05:16:34.379540667</t>
  </si>
  <si>
    <t>Mon</t>
  </si>
  <si>
    <t>22_03_2021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</si>
</sst>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119.17607022965306</c:v>
                </c:pt>
                <c:pt idx="4">
                  <c:v>119.17607022965306</c:v>
                </c:pt>
                <c:pt idx="5">
                  <c:v>133.45536904384346</c:v>
                </c:pt>
                <c:pt idx="6">
                  <c:v>133.45536904384346</c:v>
                </c:pt>
                <c:pt idx="7">
                  <c:v>141.40149776806518</c:v>
                </c:pt>
                <c:pt idx="8">
                  <c:v>141.40149776806518</c:v>
                </c:pt>
                <c:pt idx="9">
                  <c:v>147.22337875872952</c:v>
                </c:pt>
                <c:pt idx="10">
                  <c:v>147.22337875872952</c:v>
                </c:pt>
                <c:pt idx="11">
                  <c:v>151.96114580810624</c:v>
                </c:pt>
                <c:pt idx="12">
                  <c:v>151.96114580810624</c:v>
                </c:pt>
                <c:pt idx="13">
                  <c:v>156.05223395855441</c:v>
                </c:pt>
                <c:pt idx="14">
                  <c:v>156.05223395855441</c:v>
                </c:pt>
                <c:pt idx="15">
                  <c:v>159.72743437149853</c:v>
                </c:pt>
                <c:pt idx="16">
                  <c:v>159.72743437149853</c:v>
                </c:pt>
                <c:pt idx="17">
                  <c:v>163.12699613178026</c:v>
                </c:pt>
                <c:pt idx="18">
                  <c:v>163.12699613178026</c:v>
                </c:pt>
                <c:pt idx="19">
                  <c:v>166.34583253496257</c:v>
                </c:pt>
                <c:pt idx="20">
                  <c:v>166.34583253496257</c:v>
                </c:pt>
                <c:pt idx="21">
                  <c:v>169.45461334856685</c:v>
                </c:pt>
                <c:pt idx="22">
                  <c:v>169.45461334856685</c:v>
                </c:pt>
                <c:pt idx="23">
                  <c:v>172.51117190978957</c:v>
                </c:pt>
                <c:pt idx="24">
                  <c:v>172.51117190978957</c:v>
                </c:pt>
                <c:pt idx="25">
                  <c:v>174.47960277544871</c:v>
                </c:pt>
                <c:pt idx="26">
                  <c:v>174.47960277544871</c:v>
                </c:pt>
                <c:pt idx="27">
                  <c:v>178.416464506767</c:v>
                </c:pt>
                <c:pt idx="28">
                  <c:v>178.416464506767</c:v>
                </c:pt>
                <c:pt idx="29">
                  <c:v>182.35332623808529</c:v>
                </c:pt>
                <c:pt idx="30">
                  <c:v>182.35332623808529</c:v>
                </c:pt>
                <c:pt idx="31">
                  <c:v>186.29018796940358</c:v>
                </c:pt>
                <c:pt idx="32">
                  <c:v>186.29018796940358</c:v>
                </c:pt>
                <c:pt idx="33">
                  <c:v>190.22704970072186</c:v>
                </c:pt>
                <c:pt idx="34">
                  <c:v>190.22704970072186</c:v>
                </c:pt>
                <c:pt idx="35">
                  <c:v>194.16391143204015</c:v>
                </c:pt>
                <c:pt idx="36">
                  <c:v>194.16391143204015</c:v>
                </c:pt>
                <c:pt idx="37">
                  <c:v>198.10077316335844</c:v>
                </c:pt>
                <c:pt idx="38">
                  <c:v>198.10077316335844</c:v>
                </c:pt>
                <c:pt idx="39">
                  <c:v>202.03763489467673</c:v>
                </c:pt>
                <c:pt idx="40">
                  <c:v>202.03763489467673</c:v>
                </c:pt>
                <c:pt idx="41">
                  <c:v>205.97449662599502</c:v>
                </c:pt>
                <c:pt idx="42">
                  <c:v>205.97449662599502</c:v>
                </c:pt>
                <c:pt idx="43">
                  <c:v>209.9113583573133</c:v>
                </c:pt>
                <c:pt idx="44">
                  <c:v>209.9113583573133</c:v>
                </c:pt>
                <c:pt idx="45">
                  <c:v>213.84822008863159</c:v>
                </c:pt>
                <c:pt idx="46">
                  <c:v>213.84822008863159</c:v>
                </c:pt>
                <c:pt idx="47">
                  <c:v>217.78508181994988</c:v>
                </c:pt>
                <c:pt idx="48">
                  <c:v>217.78508181994988</c:v>
                </c:pt>
                <c:pt idx="49">
                  <c:v>221.72194355126817</c:v>
                </c:pt>
                <c:pt idx="50">
                  <c:v>221.72194355126817</c:v>
                </c:pt>
                <c:pt idx="51">
                  <c:v>225.65880528258646</c:v>
                </c:pt>
                <c:pt idx="52">
                  <c:v>225.65880528258646</c:v>
                </c:pt>
                <c:pt idx="53">
                  <c:v>229.59566701390474</c:v>
                </c:pt>
                <c:pt idx="54">
                  <c:v>229.59566701390474</c:v>
                </c:pt>
                <c:pt idx="55">
                  <c:v>233.53252874522303</c:v>
                </c:pt>
                <c:pt idx="56">
                  <c:v>233.53252874522303</c:v>
                </c:pt>
                <c:pt idx="57">
                  <c:v>237.46939047654132</c:v>
                </c:pt>
                <c:pt idx="58">
                  <c:v>237.46939047654132</c:v>
                </c:pt>
                <c:pt idx="59">
                  <c:v>241.40625220785961</c:v>
                </c:pt>
                <c:pt idx="60">
                  <c:v>241.40625220785961</c:v>
                </c:pt>
                <c:pt idx="61">
                  <c:v>245.3431139391779</c:v>
                </c:pt>
                <c:pt idx="62">
                  <c:v>245.3431139391779</c:v>
                </c:pt>
                <c:pt idx="63">
                  <c:v>249.27997567049619</c:v>
                </c:pt>
                <c:pt idx="64">
                  <c:v>249.27997567049619</c:v>
                </c:pt>
                <c:pt idx="65">
                  <c:v>253.21683740181447</c:v>
                </c:pt>
                <c:pt idx="66">
                  <c:v>253.21683740181447</c:v>
                </c:pt>
                <c:pt idx="67">
                  <c:v>257.15369913313276</c:v>
                </c:pt>
                <c:pt idx="68">
                  <c:v>257.15369913313276</c:v>
                </c:pt>
                <c:pt idx="69">
                  <c:v>259.12212999879188</c:v>
                </c:pt>
                <c:pt idx="70">
                  <c:v>259.12212999879188</c:v>
                </c:pt>
                <c:pt idx="71">
                  <c:v>260.51736176864097</c:v>
                </c:pt>
                <c:pt idx="72">
                  <c:v>260.51736176864097</c:v>
                </c:pt>
                <c:pt idx="73">
                  <c:v>261.93643150663507</c:v>
                </c:pt>
                <c:pt idx="74">
                  <c:v>261.93643150663507</c:v>
                </c:pt>
                <c:pt idx="75">
                  <c:v>263.40573848103514</c:v>
                </c:pt>
                <c:pt idx="76">
                  <c:v>263.40573848103514</c:v>
                </c:pt>
                <c:pt idx="77">
                  <c:v>264.95754142428115</c:v>
                </c:pt>
                <c:pt idx="78">
                  <c:v>264.95754142428115</c:v>
                </c:pt>
                <c:pt idx="79">
                  <c:v>266.63516554761901</c:v>
                </c:pt>
                <c:pt idx="80">
                  <c:v>266.63516554761901</c:v>
                </c:pt>
                <c:pt idx="81">
                  <c:v>268.50263055652601</c:v>
                </c:pt>
                <c:pt idx="82">
                  <c:v>268.50263055652601</c:v>
                </c:pt>
                <c:pt idx="83">
                  <c:v>270.66528603098561</c:v>
                </c:pt>
                <c:pt idx="84">
                  <c:v>270.66528603098561</c:v>
                </c:pt>
                <c:pt idx="85">
                  <c:v>273.32280858642002</c:v>
                </c:pt>
                <c:pt idx="86">
                  <c:v>273.32280858642002</c:v>
                </c:pt>
                <c:pt idx="87">
                  <c:v>276.94998962067103</c:v>
                </c:pt>
                <c:pt idx="88">
                  <c:v>276.94998962067103</c:v>
                </c:pt>
                <c:pt idx="89">
                  <c:v>283.46808209548271</c:v>
                </c:pt>
                <c:pt idx="90">
                  <c:v>283.46808209548271</c:v>
                </c:pt>
                <c:pt idx="91">
                  <c:v>292.22141100097133</c:v>
                </c:pt>
                <c:pt idx="92">
                  <c:v>292.22141100097133</c:v>
                </c:pt>
                <c:pt idx="93">
                  <c:v>1242.1087953813096</c:v>
                </c:pt>
                <c:pt idx="94">
                  <c:v>1242.1087953813096</c:v>
                </c:pt>
                <c:pt idx="95">
                  <c:v>1245.5509585574578</c:v>
                </c:pt>
                <c:pt idx="96">
                  <c:v>1245.5509585574578</c:v>
                </c:pt>
                <c:pt idx="97">
                  <c:v>1248.1141363082056</c:v>
                </c:pt>
                <c:pt idx="98">
                  <c:v>1248.1141363082056</c:v>
                </c:pt>
                <c:pt idx="99">
                  <c:v>1249.5404906842525</c:v>
                </c:pt>
                <c:pt idx="100">
                  <c:v>1249.5404906842525</c:v>
                </c:pt>
                <c:pt idx="101">
                  <c:v>1250.5855361039858</c:v>
                </c:pt>
                <c:pt idx="102">
                  <c:v>1250.5855361039858</c:v>
                </c:pt>
                <c:pt idx="103">
                  <c:v>1251.435979760023</c:v>
                </c:pt>
                <c:pt idx="104">
                  <c:v>1251.435979760023</c:v>
                </c:pt>
                <c:pt idx="105">
                  <c:v>1252.1703425785358</c:v>
                </c:pt>
                <c:pt idx="106">
                  <c:v>1252.1703425785358</c:v>
                </c:pt>
                <c:pt idx="107">
                  <c:v>1252.8300522779109</c:v>
                </c:pt>
                <c:pt idx="108">
                  <c:v>1252.8300522779109</c:v>
                </c:pt>
                <c:pt idx="109">
                  <c:v>1253.4402839972436</c:v>
                </c:pt>
                <c:pt idx="110">
                  <c:v>1253.4402839972436</c:v>
                </c:pt>
                <c:pt idx="111">
                  <c:v>1254.0180749629831</c:v>
                </c:pt>
                <c:pt idx="112">
                  <c:v>1254.0180749629831</c:v>
                </c:pt>
                <c:pt idx="113">
                  <c:v>1254.5761106142479</c:v>
                </c:pt>
                <c:pt idx="114">
                  <c:v>1254.5761106142479</c:v>
                </c:pt>
                <c:pt idx="115">
                  <c:v>1255.1247722117066</c:v>
                </c:pt>
                <c:pt idx="116">
                  <c:v>1255.1247722117066</c:v>
                </c:pt>
                <c:pt idx="117">
                  <c:v>1255.3520449389794</c:v>
                </c:pt>
                <c:pt idx="118">
                  <c:v>1255.3520449389794</c:v>
                </c:pt>
                <c:pt idx="119">
                  <c:v>1255.8065903935249</c:v>
                </c:pt>
                <c:pt idx="120">
                  <c:v>1255.8065903935249</c:v>
                </c:pt>
                <c:pt idx="121">
                  <c:v>1256.2611358480704</c:v>
                </c:pt>
                <c:pt idx="122">
                  <c:v>1256.2611358480704</c:v>
                </c:pt>
                <c:pt idx="123">
                  <c:v>1256.7156813026158</c:v>
                </c:pt>
                <c:pt idx="124">
                  <c:v>1256.7156813026158</c:v>
                </c:pt>
                <c:pt idx="125">
                  <c:v>1257.1702267571613</c:v>
                </c:pt>
                <c:pt idx="126">
                  <c:v>1257.1702267571613</c:v>
                </c:pt>
                <c:pt idx="127">
                  <c:v>1257.6247722117068</c:v>
                </c:pt>
                <c:pt idx="128">
                  <c:v>1257.6247722117068</c:v>
                </c:pt>
                <c:pt idx="129">
                  <c:v>1258.0793176662523</c:v>
                </c:pt>
                <c:pt idx="130">
                  <c:v>1258.0793176662523</c:v>
                </c:pt>
                <c:pt idx="131">
                  <c:v>1258.5338631207978</c:v>
                </c:pt>
                <c:pt idx="132">
                  <c:v>1258.5338631207978</c:v>
                </c:pt>
                <c:pt idx="133">
                  <c:v>1258.9884085753433</c:v>
                </c:pt>
                <c:pt idx="134">
                  <c:v>1258.9884085753433</c:v>
                </c:pt>
                <c:pt idx="135">
                  <c:v>1259.4429540298888</c:v>
                </c:pt>
                <c:pt idx="136">
                  <c:v>1259.4429540298888</c:v>
                </c:pt>
                <c:pt idx="137">
                  <c:v>1259.8974994844343</c:v>
                </c:pt>
                <c:pt idx="138">
                  <c:v>1259.8974994844343</c:v>
                </c:pt>
                <c:pt idx="139">
                  <c:v>1260.3520449389798</c:v>
                </c:pt>
                <c:pt idx="140">
                  <c:v>1260.3520449389798</c:v>
                </c:pt>
                <c:pt idx="141">
                  <c:v>1260.8065903935253</c:v>
                </c:pt>
                <c:pt idx="142">
                  <c:v>1260.8065903935253</c:v>
                </c:pt>
                <c:pt idx="143">
                  <c:v>1261.2611358480708</c:v>
                </c:pt>
                <c:pt idx="144">
                  <c:v>1261.2611358480708</c:v>
                </c:pt>
                <c:pt idx="145">
                  <c:v>1261.7156813026163</c:v>
                </c:pt>
                <c:pt idx="146">
                  <c:v>1261.7156813026163</c:v>
                </c:pt>
                <c:pt idx="147">
                  <c:v>1262.1702267571618</c:v>
                </c:pt>
                <c:pt idx="148">
                  <c:v>1262.1702267571618</c:v>
                </c:pt>
                <c:pt idx="149">
                  <c:v>1262.6247722117073</c:v>
                </c:pt>
                <c:pt idx="150">
                  <c:v>1262.6247722117073</c:v>
                </c:pt>
                <c:pt idx="151">
                  <c:v>1263.0793176662528</c:v>
                </c:pt>
                <c:pt idx="152">
                  <c:v>1263.0793176662528</c:v>
                </c:pt>
                <c:pt idx="153">
                  <c:v>1263.5338631207983</c:v>
                </c:pt>
                <c:pt idx="154">
                  <c:v>1263.5338631207983</c:v>
                </c:pt>
                <c:pt idx="155">
                  <c:v>1263.9884085753438</c:v>
                </c:pt>
                <c:pt idx="156">
                  <c:v>1263.9884085753438</c:v>
                </c:pt>
                <c:pt idx="157">
                  <c:v>1264.4429540298893</c:v>
                </c:pt>
                <c:pt idx="158">
                  <c:v>1264.4429540298893</c:v>
                </c:pt>
                <c:pt idx="159">
                  <c:v>1264.8974994844348</c:v>
                </c:pt>
                <c:pt idx="160">
                  <c:v>1264.8974994844348</c:v>
                </c:pt>
                <c:pt idx="161">
                  <c:v>1265.1247722117075</c:v>
                </c:pt>
                <c:pt idx="162">
                  <c:v>1265.1247722117075</c:v>
                </c:pt>
                <c:pt idx="163">
                  <c:v>1265.3991030104369</c:v>
                </c:pt>
                <c:pt idx="164">
                  <c:v>1265.3991030104369</c:v>
                </c:pt>
                <c:pt idx="165">
                  <c:v>1265.6781208360692</c:v>
                </c:pt>
                <c:pt idx="166">
                  <c:v>1265.6781208360692</c:v>
                </c:pt>
                <c:pt idx="167">
                  <c:v>1265.9670163189389</c:v>
                </c:pt>
                <c:pt idx="168">
                  <c:v>1265.9670163189389</c:v>
                </c:pt>
                <c:pt idx="169">
                  <c:v>1266.2721321786053</c:v>
                </c:pt>
                <c:pt idx="170">
                  <c:v>1266.2721321786053</c:v>
                </c:pt>
                <c:pt idx="171">
                  <c:v>1266.6019870282928</c:v>
                </c:pt>
                <c:pt idx="172">
                  <c:v>1266.6019870282928</c:v>
                </c:pt>
                <c:pt idx="173">
                  <c:v>1266.9691684375493</c:v>
                </c:pt>
                <c:pt idx="174">
                  <c:v>1266.9691684375493</c:v>
                </c:pt>
                <c:pt idx="175">
                  <c:v>1267.3943902655681</c:v>
                </c:pt>
                <c:pt idx="176">
                  <c:v>1267.3943902655681</c:v>
                </c:pt>
                <c:pt idx="177">
                  <c:v>1267.9169129754348</c:v>
                </c:pt>
                <c:pt idx="178">
                  <c:v>1267.9169129754348</c:v>
                </c:pt>
                <c:pt idx="179">
                  <c:v>1268.6300901634584</c:v>
                </c:pt>
                <c:pt idx="180">
                  <c:v>1268.6300901634584</c:v>
                </c:pt>
                <c:pt idx="181">
                  <c:v>1269.9116790388323</c:v>
                </c:pt>
                <c:pt idx="182">
                  <c:v>1269.9116790388323</c:v>
                </c:pt>
                <c:pt idx="183">
                  <c:v>1271.6327606269065</c:v>
                </c:pt>
                <c:pt idx="184">
                  <c:v>1271.6327606269065</c:v>
                </c:pt>
                <c:pt idx="185">
                  <c:v>1299.8796288762724</c:v>
                </c:pt>
                <c:pt idx="186">
                  <c:v>1299.8796288762724</c:v>
                </c:pt>
                <c:pt idx="187">
                  <c:v>1301.6007104643465</c:v>
                </c:pt>
                <c:pt idx="188">
                  <c:v>1301.6007104643465</c:v>
                </c:pt>
                <c:pt idx="189">
                  <c:v>1302.8822993397205</c:v>
                </c:pt>
                <c:pt idx="190">
                  <c:v>1302.8822993397205</c:v>
                </c:pt>
                <c:pt idx="191">
                  <c:v>1303.595476527744</c:v>
                </c:pt>
                <c:pt idx="192">
                  <c:v>1303.595476527744</c:v>
                </c:pt>
                <c:pt idx="193">
                  <c:v>1304.1179992376108</c:v>
                </c:pt>
                <c:pt idx="194">
                  <c:v>1304.1179992376108</c:v>
                </c:pt>
                <c:pt idx="195">
                  <c:v>1304.5432210656295</c:v>
                </c:pt>
                <c:pt idx="196">
                  <c:v>1304.5432210656295</c:v>
                </c:pt>
                <c:pt idx="197">
                  <c:v>1304.910402474886</c:v>
                </c:pt>
                <c:pt idx="198">
                  <c:v>1304.910402474886</c:v>
                </c:pt>
                <c:pt idx="199">
                  <c:v>1305.2402573245736</c:v>
                </c:pt>
                <c:pt idx="200">
                  <c:v>1305.2402573245736</c:v>
                </c:pt>
                <c:pt idx="201">
                  <c:v>1305.5453731842399</c:v>
                </c:pt>
                <c:pt idx="202">
                  <c:v>1305.5453731842399</c:v>
                </c:pt>
                <c:pt idx="203">
                  <c:v>1305.8342686671097</c:v>
                </c:pt>
                <c:pt idx="204">
                  <c:v>1305.8342686671097</c:v>
                </c:pt>
                <c:pt idx="205">
                  <c:v>1306.113286492742</c:v>
                </c:pt>
                <c:pt idx="206">
                  <c:v>1306.113286492742</c:v>
                </c:pt>
                <c:pt idx="207">
                  <c:v>1306.3876172914713</c:v>
                </c:pt>
                <c:pt idx="208">
                  <c:v>1306.3876172914713</c:v>
                </c:pt>
                <c:pt idx="209">
                  <c:v>1306.6619480902007</c:v>
                </c:pt>
                <c:pt idx="210">
                  <c:v>1306.6619480902007</c:v>
                </c:pt>
                <c:pt idx="211">
                  <c:v>1306.940965915833</c:v>
                </c:pt>
                <c:pt idx="212">
                  <c:v>1306.940965915833</c:v>
                </c:pt>
                <c:pt idx="213">
                  <c:v>1307.2298613987027</c:v>
                </c:pt>
                <c:pt idx="214">
                  <c:v>1307.2298613987027</c:v>
                </c:pt>
                <c:pt idx="215">
                  <c:v>1307.5349772583691</c:v>
                </c:pt>
                <c:pt idx="216">
                  <c:v>1307.5349772583691</c:v>
                </c:pt>
                <c:pt idx="217">
                  <c:v>1307.8648321080566</c:v>
                </c:pt>
                <c:pt idx="218">
                  <c:v>1307.8648321080566</c:v>
                </c:pt>
                <c:pt idx="219">
                  <c:v>1308.2320135173131</c:v>
                </c:pt>
                <c:pt idx="220">
                  <c:v>1308.2320135173131</c:v>
                </c:pt>
                <c:pt idx="221">
                  <c:v>1308.6572353453319</c:v>
                </c:pt>
                <c:pt idx="222">
                  <c:v>1308.6572353453319</c:v>
                </c:pt>
                <c:pt idx="223">
                  <c:v>1309.1797580551986</c:v>
                </c:pt>
                <c:pt idx="224">
                  <c:v>1309.1797580551986</c:v>
                </c:pt>
                <c:pt idx="225">
                  <c:v>1309.8929352432222</c:v>
                </c:pt>
                <c:pt idx="226">
                  <c:v>1309.8929352432222</c:v>
                </c:pt>
                <c:pt idx="227">
                  <c:v>1311.1745241185961</c:v>
                </c:pt>
                <c:pt idx="228">
                  <c:v>1311.1745241185961</c:v>
                </c:pt>
                <c:pt idx="229">
                  <c:v>1312.8956057066703</c:v>
                </c:pt>
                <c:pt idx="230">
                  <c:v>1312.8956057066703</c:v>
                </c:pt>
                <c:pt idx="231">
                  <c:v>1412.8956057066703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7.4750122206381245E-9</c:v>
                </c:pt>
                <c:pt idx="3">
                  <c:v>7.4750122206381245E-9</c:v>
                </c:pt>
                <c:pt idx="4">
                  <c:v>6.1573837560833693E-8</c:v>
                </c:pt>
                <c:pt idx="5">
                  <c:v>6.1573837560833693E-8</c:v>
                </c:pt>
                <c:pt idx="6">
                  <c:v>1.3983591170416163E-7</c:v>
                </c:pt>
                <c:pt idx="7">
                  <c:v>1.3983591170416163E-7</c:v>
                </c:pt>
                <c:pt idx="8">
                  <c:v>2.2839354298355608E-7</c:v>
                </c:pt>
                <c:pt idx="9">
                  <c:v>2.2839354298355608E-7</c:v>
                </c:pt>
                <c:pt idx="10">
                  <c:v>3.2185285554999635E-7</c:v>
                </c:pt>
                <c:pt idx="11">
                  <c:v>3.2185285554999635E-7</c:v>
                </c:pt>
                <c:pt idx="12">
                  <c:v>4.1774457585510592E-7</c:v>
                </c:pt>
                <c:pt idx="13">
                  <c:v>4.1774457585510592E-7</c:v>
                </c:pt>
                <c:pt idx="14">
                  <c:v>5.1483774252671901E-7</c:v>
                </c:pt>
                <c:pt idx="15">
                  <c:v>5.1483774252671901E-7</c:v>
                </c:pt>
                <c:pt idx="16">
                  <c:v>6.1249654038475689E-7</c:v>
                </c:pt>
                <c:pt idx="17">
                  <c:v>6.1249654038475689E-7</c:v>
                </c:pt>
                <c:pt idx="18">
                  <c:v>7.1039514078601297E-7</c:v>
                </c:pt>
                <c:pt idx="19">
                  <c:v>7.1039514078601297E-7</c:v>
                </c:pt>
                <c:pt idx="20">
                  <c:v>8.0837680794293338E-7</c:v>
                </c:pt>
                <c:pt idx="21">
                  <c:v>8.0837680794293338E-7</c:v>
                </c:pt>
                <c:pt idx="22">
                  <c:v>9.0637764307206156E-7</c:v>
                </c:pt>
                <c:pt idx="23">
                  <c:v>9.0637764307206156E-7</c:v>
                </c:pt>
                <c:pt idx="24">
                  <c:v>9.870808950778799E-7</c:v>
                </c:pt>
                <c:pt idx="25">
                  <c:v>9.870808950778799E-7</c:v>
                </c:pt>
                <c:pt idx="26">
                  <c:v>1.0816393629370287E-6</c:v>
                </c:pt>
                <c:pt idx="27">
                  <c:v>1.0816393629370287E-6</c:v>
                </c:pt>
                <c:pt idx="28">
                  <c:v>1.204459271171208E-6</c:v>
                </c:pt>
                <c:pt idx="29">
                  <c:v>1.204459271171208E-6</c:v>
                </c:pt>
                <c:pt idx="30">
                  <c:v>1.3206777221019347E-6</c:v>
                </c:pt>
                <c:pt idx="31">
                  <c:v>1.3206777221019347E-6</c:v>
                </c:pt>
                <c:pt idx="32">
                  <c:v>1.4276529201856933E-6</c:v>
                </c:pt>
                <c:pt idx="33">
                  <c:v>1.4276529201856933E-6</c:v>
                </c:pt>
                <c:pt idx="34">
                  <c:v>1.5234369616477708E-6</c:v>
                </c:pt>
                <c:pt idx="35">
                  <c:v>1.5234369616477708E-6</c:v>
                </c:pt>
                <c:pt idx="36">
                  <c:v>1.6068638382359107E-6</c:v>
                </c:pt>
                <c:pt idx="37">
                  <c:v>1.6068638382359107E-6</c:v>
                </c:pt>
                <c:pt idx="38">
                  <c:v>1.677547971966727E-6</c:v>
                </c:pt>
                <c:pt idx="39">
                  <c:v>1.677547971966727E-6</c:v>
                </c:pt>
                <c:pt idx="40">
                  <c:v>1.735803989868474E-6</c:v>
                </c:pt>
                <c:pt idx="41">
                  <c:v>1.735803989868474E-6</c:v>
                </c:pt>
                <c:pt idx="42">
                  <c:v>1.782508712867583E-6</c:v>
                </c:pt>
                <c:pt idx="43">
                  <c:v>1.782508712867583E-6</c:v>
                </c:pt>
                <c:pt idx="44">
                  <c:v>1.8189313890864191E-6</c:v>
                </c:pt>
                <c:pt idx="45">
                  <c:v>1.8189313890864191E-6</c:v>
                </c:pt>
                <c:pt idx="46">
                  <c:v>1.8465572019691578E-6</c:v>
                </c:pt>
                <c:pt idx="47">
                  <c:v>1.8465572019691578E-6</c:v>
                </c:pt>
                <c:pt idx="48">
                  <c:v>1.8669217226842066E-6</c:v>
                </c:pt>
                <c:pt idx="49">
                  <c:v>1.8669217226842066E-6</c:v>
                </c:pt>
                <c:pt idx="50">
                  <c:v>1.8814602194263004E-6</c:v>
                </c:pt>
                <c:pt idx="51">
                  <c:v>1.8814602194263004E-6</c:v>
                </c:pt>
                <c:pt idx="52">
                  <c:v>1.8913577369854864E-6</c:v>
                </c:pt>
                <c:pt idx="53">
                  <c:v>1.8913577369854864E-6</c:v>
                </c:pt>
                <c:pt idx="54">
                  <c:v>1.8973740318292804E-6</c:v>
                </c:pt>
                <c:pt idx="55">
                  <c:v>1.8973740318292804E-6</c:v>
                </c:pt>
                <c:pt idx="56">
                  <c:v>1.8996362917407536E-6</c:v>
                </c:pt>
                <c:pt idx="57">
                  <c:v>1.8996362917407536E-6</c:v>
                </c:pt>
                <c:pt idx="58">
                  <c:v>1.8974685397025987E-6</c:v>
                </c:pt>
                <c:pt idx="59">
                  <c:v>1.8974685397025987E-6</c:v>
                </c:pt>
                <c:pt idx="60">
                  <c:v>1.8894411409759315E-6</c:v>
                </c:pt>
                <c:pt idx="61">
                  <c:v>1.8894411409759315E-6</c:v>
                </c:pt>
                <c:pt idx="62">
                  <c:v>1.8738641720256494E-6</c:v>
                </c:pt>
                <c:pt idx="63">
                  <c:v>1.8738641720256494E-6</c:v>
                </c:pt>
                <c:pt idx="64">
                  <c:v>1.8497590360281078E-6</c:v>
                </c:pt>
                <c:pt idx="65">
                  <c:v>1.8497590360281078E-6</c:v>
                </c:pt>
                <c:pt idx="66">
                  <c:v>1.8179262513265863E-6</c:v>
                </c:pt>
                <c:pt idx="67">
                  <c:v>1.8179262513265863E-6</c:v>
                </c:pt>
                <c:pt idx="68">
                  <c:v>1.790734540341595E-6</c:v>
                </c:pt>
                <c:pt idx="69">
                  <c:v>1.790734540341595E-6</c:v>
                </c:pt>
                <c:pt idx="70">
                  <c:v>1.7748200265218328E-6</c:v>
                </c:pt>
                <c:pt idx="71">
                  <c:v>1.7748200265218328E-6</c:v>
                </c:pt>
                <c:pt idx="72">
                  <c:v>1.761618369828891E-6</c:v>
                </c:pt>
                <c:pt idx="73">
                  <c:v>1.761618369828891E-6</c:v>
                </c:pt>
                <c:pt idx="74">
                  <c:v>1.7484112374781696E-6</c:v>
                </c:pt>
                <c:pt idx="75">
                  <c:v>1.7484112374781696E-6</c:v>
                </c:pt>
                <c:pt idx="76">
                  <c:v>1.7352089648109174E-6</c:v>
                </c:pt>
                <c:pt idx="77">
                  <c:v>1.7352089648109174E-6</c:v>
                </c:pt>
                <c:pt idx="78">
                  <c:v>1.7220339756900567E-6</c:v>
                </c:pt>
                <c:pt idx="79">
                  <c:v>1.7220339756900567E-6</c:v>
                </c:pt>
                <c:pt idx="80">
                  <c:v>1.708931225036192E-6</c:v>
                </c:pt>
                <c:pt idx="81">
                  <c:v>1.708931225036192E-6</c:v>
                </c:pt>
                <c:pt idx="82">
                  <c:v>1.6959873278474241E-6</c:v>
                </c:pt>
                <c:pt idx="83">
                  <c:v>1.6959873278474241E-6</c:v>
                </c:pt>
                <c:pt idx="84">
                  <c:v>1.6833691538960868E-6</c:v>
                </c:pt>
                <c:pt idx="85">
                  <c:v>1.6833691538960868E-6</c:v>
                </c:pt>
                <c:pt idx="86">
                  <c:v>1.6714107870375215E-6</c:v>
                </c:pt>
                <c:pt idx="87">
                  <c:v>1.6714107870375215E-6</c:v>
                </c:pt>
                <c:pt idx="88">
                  <c:v>1.6608415050564678E-6</c:v>
                </c:pt>
                <c:pt idx="89">
                  <c:v>1.6608415050564678E-6</c:v>
                </c:pt>
                <c:pt idx="90">
                  <c:v>1.6535337072665565E-6</c:v>
                </c:pt>
                <c:pt idx="91">
                  <c:v>1.6535337072665565E-6</c:v>
                </c:pt>
                <c:pt idx="92">
                  <c:v>1.6525243810859722E-6</c:v>
                </c:pt>
                <c:pt idx="93">
                  <c:v>1.6525243810859722E-6</c:v>
                </c:pt>
                <c:pt idx="94">
                  <c:v>1.6528055512918691E-6</c:v>
                </c:pt>
                <c:pt idx="95">
                  <c:v>1.6528055512918691E-6</c:v>
                </c:pt>
                <c:pt idx="96">
                  <c:v>1.6548404613911049E-6</c:v>
                </c:pt>
                <c:pt idx="97">
                  <c:v>1.6548404613911049E-6</c:v>
                </c:pt>
                <c:pt idx="98">
                  <c:v>1.6577842644045697E-6</c:v>
                </c:pt>
                <c:pt idx="99">
                  <c:v>1.6577842644045697E-6</c:v>
                </c:pt>
                <c:pt idx="100">
                  <c:v>1.66111533152334E-6</c:v>
                </c:pt>
                <c:pt idx="101">
                  <c:v>1.66111533152334E-6</c:v>
                </c:pt>
                <c:pt idx="102">
                  <c:v>1.6646307738238546E-6</c:v>
                </c:pt>
                <c:pt idx="103">
                  <c:v>1.6646307738238546E-6</c:v>
                </c:pt>
                <c:pt idx="104">
                  <c:v>1.668237710367391E-6</c:v>
                </c:pt>
                <c:pt idx="105">
                  <c:v>1.668237710367391E-6</c:v>
                </c:pt>
                <c:pt idx="106">
                  <c:v>1.6718898389336656E-6</c:v>
                </c:pt>
                <c:pt idx="107">
                  <c:v>1.6718898389336656E-6</c:v>
                </c:pt>
                <c:pt idx="108">
                  <c:v>1.6755632435370162E-6</c:v>
                </c:pt>
                <c:pt idx="109">
                  <c:v>1.6755632435370162E-6</c:v>
                </c:pt>
                <c:pt idx="110">
                  <c:v>1.6792456682367171E-6</c:v>
                </c:pt>
                <c:pt idx="111">
                  <c:v>1.6792456682367171E-6</c:v>
                </c:pt>
                <c:pt idx="112">
                  <c:v>1.682931217465998E-6</c:v>
                </c:pt>
                <c:pt idx="113">
                  <c:v>1.682931217465998E-6</c:v>
                </c:pt>
                <c:pt idx="114">
                  <c:v>1.6866174876924538E-6</c:v>
                </c:pt>
                <c:pt idx="115">
                  <c:v>1.6866174876924538E-6</c:v>
                </c:pt>
                <c:pt idx="116">
                  <c:v>1.6892301782448766E-6</c:v>
                </c:pt>
                <c:pt idx="117">
                  <c:v>1.6892301782448766E-6</c:v>
                </c:pt>
                <c:pt idx="118">
                  <c:v>1.6915288275565374E-6</c:v>
                </c:pt>
                <c:pt idx="119">
                  <c:v>1.6915288275565374E-6</c:v>
                </c:pt>
                <c:pt idx="120">
                  <c:v>1.6945655886481565E-6</c:v>
                </c:pt>
                <c:pt idx="121">
                  <c:v>1.6945655886481565E-6</c:v>
                </c:pt>
                <c:pt idx="122">
                  <c:v>1.6975466434483167E-6</c:v>
                </c:pt>
                <c:pt idx="123">
                  <c:v>1.6975466434483167E-6</c:v>
                </c:pt>
                <c:pt idx="124">
                  <c:v>1.7004573598221082E-6</c:v>
                </c:pt>
                <c:pt idx="125">
                  <c:v>1.7004573598221082E-6</c:v>
                </c:pt>
                <c:pt idx="126">
                  <c:v>1.7033050365391535E-6</c:v>
                </c:pt>
                <c:pt idx="127">
                  <c:v>1.7033050365391535E-6</c:v>
                </c:pt>
                <c:pt idx="128">
                  <c:v>1.7061366655494472E-6</c:v>
                </c:pt>
                <c:pt idx="129">
                  <c:v>1.7061366655494472E-6</c:v>
                </c:pt>
                <c:pt idx="130">
                  <c:v>1.7090679227258433E-6</c:v>
                </c:pt>
                <c:pt idx="131">
                  <c:v>1.7090679227258433E-6</c:v>
                </c:pt>
                <c:pt idx="132">
                  <c:v>1.7123275482533682E-6</c:v>
                </c:pt>
                <c:pt idx="133">
                  <c:v>1.7123275482533682E-6</c:v>
                </c:pt>
                <c:pt idx="134">
                  <c:v>1.7163199368485662E-6</c:v>
                </c:pt>
                <c:pt idx="135">
                  <c:v>1.7163199368485662E-6</c:v>
                </c:pt>
                <c:pt idx="136">
                  <c:v>1.7217046864980052E-6</c:v>
                </c:pt>
                <c:pt idx="137">
                  <c:v>1.7217046864980052E-6</c:v>
                </c:pt>
                <c:pt idx="138">
                  <c:v>1.7294842753388951E-6</c:v>
                </c:pt>
                <c:pt idx="139">
                  <c:v>1.7294842753388951E-6</c:v>
                </c:pt>
                <c:pt idx="140">
                  <c:v>1.7410803394483634E-6</c:v>
                </c:pt>
                <c:pt idx="141">
                  <c:v>1.7410803394483634E-6</c:v>
                </c:pt>
                <c:pt idx="142">
                  <c:v>1.7583676221503816E-6</c:v>
                </c:pt>
                <c:pt idx="143">
                  <c:v>1.7583676221503816E-6</c:v>
                </c:pt>
                <c:pt idx="144">
                  <c:v>1.783627303438762E-6</c:v>
                </c:pt>
                <c:pt idx="145">
                  <c:v>1.783627303438762E-6</c:v>
                </c:pt>
                <c:pt idx="146">
                  <c:v>1.8193842652360807E-6</c:v>
                </c:pt>
                <c:pt idx="147">
                  <c:v>1.8193842652360807E-6</c:v>
                </c:pt>
                <c:pt idx="148">
                  <c:v>1.8681110490095441E-6</c:v>
                </c:pt>
                <c:pt idx="149">
                  <c:v>1.8681110490095441E-6</c:v>
                </c:pt>
                <c:pt idx="150">
                  <c:v>1.9318155034088313E-6</c:v>
                </c:pt>
                <c:pt idx="151">
                  <c:v>1.9318155034088313E-6</c:v>
                </c:pt>
                <c:pt idx="152">
                  <c:v>2.0115728143493598E-6</c:v>
                </c:pt>
                <c:pt idx="153">
                  <c:v>2.0115728143493598E-6</c:v>
                </c:pt>
                <c:pt idx="154">
                  <c:v>2.107101812065581E-6</c:v>
                </c:pt>
                <c:pt idx="155">
                  <c:v>2.107101812065581E-6</c:v>
                </c:pt>
                <c:pt idx="156">
                  <c:v>2.2165028646504799E-6</c:v>
                </c:pt>
                <c:pt idx="157">
                  <c:v>2.2165028646504799E-6</c:v>
                </c:pt>
                <c:pt idx="158">
                  <c:v>2.3362570607969361E-6</c:v>
                </c:pt>
                <c:pt idx="159">
                  <c:v>2.3362570607969361E-6</c:v>
                </c:pt>
                <c:pt idx="160">
                  <c:v>2.4299943522925583E-6</c:v>
                </c:pt>
                <c:pt idx="161">
                  <c:v>2.4299943522925583E-6</c:v>
                </c:pt>
                <c:pt idx="162">
                  <c:v>2.5000403822831728E-6</c:v>
                </c:pt>
                <c:pt idx="163">
                  <c:v>2.5000403822831728E-6</c:v>
                </c:pt>
                <c:pt idx="164">
                  <c:v>2.5757225525322249E-6</c:v>
                </c:pt>
                <c:pt idx="165">
                  <c:v>2.5757225525322249E-6</c:v>
                </c:pt>
                <c:pt idx="166">
                  <c:v>2.6513899201141974E-6</c:v>
                </c:pt>
                <c:pt idx="167">
                  <c:v>2.6513899201141974E-6</c:v>
                </c:pt>
                <c:pt idx="168">
                  <c:v>2.7269931385250332E-6</c:v>
                </c:pt>
                <c:pt idx="169">
                  <c:v>2.7269931385250332E-6</c:v>
                </c:pt>
                <c:pt idx="170">
                  <c:v>2.802411166912967E-6</c:v>
                </c:pt>
                <c:pt idx="171">
                  <c:v>2.802411166912967E-6</c:v>
                </c:pt>
                <c:pt idx="172">
                  <c:v>2.8773923806993435E-6</c:v>
                </c:pt>
                <c:pt idx="173">
                  <c:v>2.8773923806993435E-6</c:v>
                </c:pt>
                <c:pt idx="174">
                  <c:v>2.9514457649592163E-6</c:v>
                </c:pt>
                <c:pt idx="175">
                  <c:v>2.9514457649592163E-6</c:v>
                </c:pt>
                <c:pt idx="176">
                  <c:v>3.0236206968941626E-6</c:v>
                </c:pt>
                <c:pt idx="177">
                  <c:v>3.0236206968941626E-6</c:v>
                </c:pt>
                <c:pt idx="178">
                  <c:v>3.0920102541720052E-6</c:v>
                </c:pt>
                <c:pt idx="179">
                  <c:v>3.0920102541720052E-6</c:v>
                </c:pt>
                <c:pt idx="180">
                  <c:v>3.1524489597356358E-6</c:v>
                </c:pt>
                <c:pt idx="181">
                  <c:v>3.1524489597356358E-6</c:v>
                </c:pt>
                <c:pt idx="182">
                  <c:v>3.1942273436063003E-6</c:v>
                </c:pt>
                <c:pt idx="183">
                  <c:v>3.1942273436063003E-6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3.1955019431909251E-6</c:v>
                </c:pt>
                <c:pt idx="187">
                  <c:v>3.1955019431909251E-6</c:v>
                </c:pt>
                <c:pt idx="188">
                  <c:v>3.1629482051498618E-6</c:v>
                </c:pt>
                <c:pt idx="189">
                  <c:v>3.1629482051498618E-6</c:v>
                </c:pt>
                <c:pt idx="190">
                  <c:v>3.1158543349190191E-6</c:v>
                </c:pt>
                <c:pt idx="191">
                  <c:v>3.1158543349190191E-6</c:v>
                </c:pt>
                <c:pt idx="192">
                  <c:v>3.0625651569733293E-6</c:v>
                </c:pt>
                <c:pt idx="193">
                  <c:v>3.0625651569733293E-6</c:v>
                </c:pt>
                <c:pt idx="194">
                  <c:v>3.0063264131622834E-6</c:v>
                </c:pt>
                <c:pt idx="195">
                  <c:v>3.0063264131622834E-6</c:v>
                </c:pt>
                <c:pt idx="196">
                  <c:v>2.9486239783406521E-6</c:v>
                </c:pt>
                <c:pt idx="197">
                  <c:v>2.9486239783406521E-6</c:v>
                </c:pt>
                <c:pt idx="198">
                  <c:v>2.8901985782782855E-6</c:v>
                </c:pt>
                <c:pt idx="199">
                  <c:v>2.8901985782782855E-6</c:v>
                </c:pt>
                <c:pt idx="200">
                  <c:v>2.83143281205538E-6</c:v>
                </c:pt>
                <c:pt idx="201">
                  <c:v>2.83143281205538E-6</c:v>
                </c:pt>
                <c:pt idx="202">
                  <c:v>2.7725227456720842E-6</c:v>
                </c:pt>
                <c:pt idx="203">
                  <c:v>2.7725227456720842E-6</c:v>
                </c:pt>
                <c:pt idx="204">
                  <c:v>2.7135626942218889E-6</c:v>
                </c:pt>
                <c:pt idx="205">
                  <c:v>2.7135626942218889E-6</c:v>
                </c:pt>
                <c:pt idx="206">
                  <c:v>2.6545911085259481E-6</c:v>
                </c:pt>
                <c:pt idx="207">
                  <c:v>2.6545911085259481E-6</c:v>
                </c:pt>
                <c:pt idx="208">
                  <c:v>2.595618237576437E-6</c:v>
                </c:pt>
                <c:pt idx="209">
                  <c:v>2.595618237576437E-6</c:v>
                </c:pt>
                <c:pt idx="210">
                  <c:v>2.5366466518804962E-6</c:v>
                </c:pt>
                <c:pt idx="211">
                  <c:v>2.5366466518804962E-6</c:v>
                </c:pt>
                <c:pt idx="212">
                  <c:v>2.4776866004303009E-6</c:v>
                </c:pt>
                <c:pt idx="213">
                  <c:v>2.4776866004303009E-6</c:v>
                </c:pt>
                <c:pt idx="214">
                  <c:v>2.4187765340470051E-6</c:v>
                </c:pt>
                <c:pt idx="215">
                  <c:v>2.4187765340470051E-6</c:v>
                </c:pt>
                <c:pt idx="216">
                  <c:v>2.3600107678240996E-6</c:v>
                </c:pt>
                <c:pt idx="217">
                  <c:v>2.3600107678240996E-6</c:v>
                </c:pt>
                <c:pt idx="218">
                  <c:v>2.301585367761733E-6</c:v>
                </c:pt>
                <c:pt idx="219">
                  <c:v>2.301585367761733E-6</c:v>
                </c:pt>
                <c:pt idx="220">
                  <c:v>2.2438829329401017E-6</c:v>
                </c:pt>
                <c:pt idx="221">
                  <c:v>2.2438829329401017E-6</c:v>
                </c:pt>
                <c:pt idx="222">
                  <c:v>2.1876441891290558E-6</c:v>
                </c:pt>
                <c:pt idx="223">
                  <c:v>2.1876441891290558E-6</c:v>
                </c:pt>
                <c:pt idx="224">
                  <c:v>2.1343550111833659E-6</c:v>
                </c:pt>
                <c:pt idx="225">
                  <c:v>2.1343550111833659E-6</c:v>
                </c:pt>
                <c:pt idx="226">
                  <c:v>2.0872611409525232E-6</c:v>
                </c:pt>
                <c:pt idx="227">
                  <c:v>2.0872611409525232E-6</c:v>
                </c:pt>
                <c:pt idx="228">
                  <c:v>2.0547074029114599E-6</c:v>
                </c:pt>
                <c:pt idx="229">
                  <c:v>2.0547074029114599E-6</c:v>
                </c:pt>
                <c:pt idx="230">
                  <c:v>2.0502093461023852E-6</c:v>
                </c:pt>
                <c:pt idx="231">
                  <c:v>2.0502093461023852E-6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7.7853207968699998E-3</c:v>
                </c:pt>
                <c:pt idx="1">
                  <c:v>7.8631740048299998E-3</c:v>
                </c:pt>
                <c:pt idx="2">
                  <c:v>7.9418057448799994E-3</c:v>
                </c:pt>
                <c:pt idx="3">
                  <c:v>8.0212238023300002E-3</c:v>
                </c:pt>
                <c:pt idx="4">
                  <c:v>8.1014360403499994E-3</c:v>
                </c:pt>
                <c:pt idx="5">
                  <c:v>8.1824504007600007E-3</c:v>
                </c:pt>
                <c:pt idx="6">
                  <c:v>8.2642749047700005E-3</c:v>
                </c:pt>
                <c:pt idx="7">
                  <c:v>8.3469176538099998E-3</c:v>
                </c:pt>
                <c:pt idx="8">
                  <c:v>8.4303868303500003E-3</c:v>
                </c:pt>
                <c:pt idx="9">
                  <c:v>8.5146906986500008E-3</c:v>
                </c:pt>
                <c:pt idx="10">
                  <c:v>8.5998376056400008E-3</c:v>
                </c:pt>
                <c:pt idx="11">
                  <c:v>8.6858359817000002E-3</c:v>
                </c:pt>
                <c:pt idx="12">
                  <c:v>8.7726943415100001E-3</c:v>
                </c:pt>
                <c:pt idx="13">
                  <c:v>8.86042128493E-3</c:v>
                </c:pt>
                <c:pt idx="14">
                  <c:v>8.9490254977800006E-3</c:v>
                </c:pt>
                <c:pt idx="15">
                  <c:v>9.0385157527600006E-3</c:v>
                </c:pt>
                <c:pt idx="16">
                  <c:v>9.1289009102799995E-3</c:v>
                </c:pt>
                <c:pt idx="17">
                  <c:v>9.2201899193900001E-3</c:v>
                </c:pt>
                <c:pt idx="18">
                  <c:v>9.3123918185800004E-3</c:v>
                </c:pt>
                <c:pt idx="19">
                  <c:v>9.4055157367700006E-3</c:v>
                </c:pt>
                <c:pt idx="20">
                  <c:v>9.4995708941299998E-3</c:v>
                </c:pt>
                <c:pt idx="21">
                  <c:v>9.5945666030799997E-3</c:v>
                </c:pt>
                <c:pt idx="22">
                  <c:v>9.69051226911E-3</c:v>
                </c:pt>
                <c:pt idx="23">
                  <c:v>9.7874173918000001E-3</c:v>
                </c:pt>
                <c:pt idx="24">
                  <c:v>9.8852915657199995E-3</c:v>
                </c:pt>
                <c:pt idx="25">
                  <c:v>9.9841444813699998E-3</c:v>
                </c:pt>
                <c:pt idx="26">
                  <c:v>1.0083985926200001E-2</c:v>
                </c:pt>
                <c:pt idx="27">
                  <c:v>1.01848257854E-2</c:v>
                </c:pt>
                <c:pt idx="28">
                  <c:v>1.02866740433E-2</c:v>
                </c:pt>
                <c:pt idx="29">
                  <c:v>1.03895407837E-2</c:v>
                </c:pt>
                <c:pt idx="30">
                  <c:v>1.04934361916E-2</c:v>
                </c:pt>
                <c:pt idx="31">
                  <c:v>1.05983705535E-2</c:v>
                </c:pt>
                <c:pt idx="32">
                  <c:v>1.0704354259E-2</c:v>
                </c:pt>
                <c:pt idx="33">
                  <c:v>1.08113978016E-2</c:v>
                </c:pt>
                <c:pt idx="34">
                  <c:v>1.0919511779600001E-2</c:v>
                </c:pt>
                <c:pt idx="35">
                  <c:v>1.1028706897400001E-2</c:v>
                </c:pt>
                <c:pt idx="36">
                  <c:v>1.11389939664E-2</c:v>
                </c:pt>
                <c:pt idx="37">
                  <c:v>1.12503839061E-2</c:v>
                </c:pt>
                <c:pt idx="38">
                  <c:v>1.1362887745099999E-2</c:v>
                </c:pt>
                <c:pt idx="39">
                  <c:v>1.14765166226E-2</c:v>
                </c:pt>
                <c:pt idx="40">
                  <c:v>1.1591281788799999E-2</c:v>
                </c:pt>
                <c:pt idx="41">
                  <c:v>1.17071946067E-2</c:v>
                </c:pt>
                <c:pt idx="42">
                  <c:v>1.18242665528E-2</c:v>
                </c:pt>
                <c:pt idx="43">
                  <c:v>1.19425092183E-2</c:v>
                </c:pt>
                <c:pt idx="44">
                  <c:v>1.2061934310500001E-2</c:v>
                </c:pt>
                <c:pt idx="45">
                  <c:v>1.2182553653599999E-2</c:v>
                </c:pt>
                <c:pt idx="46">
                  <c:v>1.2304379190100001E-2</c:v>
                </c:pt>
                <c:pt idx="47">
                  <c:v>1.2427422981999999E-2</c:v>
                </c:pt>
                <c:pt idx="48">
                  <c:v>1.25516972118E-2</c:v>
                </c:pt>
                <c:pt idx="49">
                  <c:v>1.26772141839E-2</c:v>
                </c:pt>
                <c:pt idx="50">
                  <c:v>1.28039863258E-2</c:v>
                </c:pt>
                <c:pt idx="51">
                  <c:v>1.2932026189000001E-2</c:v>
                </c:pt>
                <c:pt idx="52">
                  <c:v>1.3061346450899999E-2</c:v>
                </c:pt>
                <c:pt idx="53">
                  <c:v>1.31919599154E-2</c:v>
                </c:pt>
                <c:pt idx="54">
                  <c:v>1.33238795146E-2</c:v>
                </c:pt>
                <c:pt idx="55">
                  <c:v>1.3457118309700001E-2</c:v>
                </c:pt>
                <c:pt idx="56">
                  <c:v>1.3591689492799999E-2</c:v>
                </c:pt>
                <c:pt idx="57">
                  <c:v>1.37276063878E-2</c:v>
                </c:pt>
                <c:pt idx="58">
                  <c:v>1.3864882451600001E-2</c:v>
                </c:pt>
                <c:pt idx="59">
                  <c:v>1.40035312762E-2</c:v>
                </c:pt>
                <c:pt idx="60">
                  <c:v>1.41435665889E-2</c:v>
                </c:pt>
                <c:pt idx="61">
                  <c:v>1.42850022548E-2</c:v>
                </c:pt>
                <c:pt idx="62">
                  <c:v>1.44278522774E-2</c:v>
                </c:pt>
                <c:pt idx="63">
                  <c:v>1.4572130800099999E-2</c:v>
                </c:pt>
                <c:pt idx="64">
                  <c:v>1.4717852108099999E-2</c:v>
                </c:pt>
                <c:pt idx="65">
                  <c:v>1.4865030629200001E-2</c:v>
                </c:pt>
                <c:pt idx="66">
                  <c:v>1.50136809355E-2</c:v>
                </c:pt>
                <c:pt idx="67">
                  <c:v>1.5163817744900001E-2</c:v>
                </c:pt>
                <c:pt idx="68">
                  <c:v>1.5315455922300001E-2</c:v>
                </c:pt>
                <c:pt idx="69">
                  <c:v>1.54686104815E-2</c:v>
                </c:pt>
                <c:pt idx="70">
                  <c:v>1.56232965864E-2</c:v>
                </c:pt>
                <c:pt idx="71">
                  <c:v>1.5779529552200001E-2</c:v>
                </c:pt>
                <c:pt idx="72">
                  <c:v>1.59373248477E-2</c:v>
                </c:pt>
                <c:pt idx="73">
                  <c:v>1.6096698096199999E-2</c:v>
                </c:pt>
                <c:pt idx="74">
                  <c:v>1.6257665077200001E-2</c:v>
                </c:pt>
                <c:pt idx="75">
                  <c:v>1.6420241727999999E-2</c:v>
                </c:pt>
                <c:pt idx="76">
                  <c:v>1.6584444145200002E-2</c:v>
                </c:pt>
                <c:pt idx="77">
                  <c:v>1.67502885867E-2</c:v>
                </c:pt>
                <c:pt idx="78">
                  <c:v>1.6917791472599999E-2</c:v>
                </c:pt>
                <c:pt idx="79">
                  <c:v>1.7086969387300002E-2</c:v>
                </c:pt>
                <c:pt idx="80">
                  <c:v>1.7257839081199999E-2</c:v>
                </c:pt>
                <c:pt idx="81">
                  <c:v>1.7430417472000002E-2</c:v>
                </c:pt>
                <c:pt idx="82">
                  <c:v>1.7604721646699999E-2</c:v>
                </c:pt>
                <c:pt idx="83">
                  <c:v>1.77807688631E-2</c:v>
                </c:pt>
                <c:pt idx="84">
                  <c:v>1.7958576551799998E-2</c:v>
                </c:pt>
                <c:pt idx="85">
                  <c:v>1.8138162317300002E-2</c:v>
                </c:pt>
                <c:pt idx="86">
                  <c:v>1.8319543940500001E-2</c:v>
                </c:pt>
                <c:pt idx="87">
                  <c:v>1.8502739379900001E-2</c:v>
                </c:pt>
                <c:pt idx="88">
                  <c:v>1.8687766773700001E-2</c:v>
                </c:pt>
                <c:pt idx="89">
                  <c:v>1.8874644441399999E-2</c:v>
                </c:pt>
                <c:pt idx="90">
                  <c:v>1.9063390885799999E-2</c:v>
                </c:pt>
                <c:pt idx="91">
                  <c:v>1.9254024794699998E-2</c:v>
                </c:pt>
                <c:pt idx="92">
                  <c:v>1.9446565042599999E-2</c:v>
                </c:pt>
                <c:pt idx="93">
                  <c:v>1.9641030693100001E-2</c:v>
                </c:pt>
                <c:pt idx="94">
                  <c:v>1.9837441000000001E-2</c:v>
                </c:pt>
                <c:pt idx="95">
                  <c:v>2.0035815410000001E-2</c:v>
                </c:pt>
                <c:pt idx="96">
                  <c:v>2.0236173564099999E-2</c:v>
                </c:pt>
                <c:pt idx="97">
                  <c:v>2.0438535299700002E-2</c:v>
                </c:pt>
                <c:pt idx="98">
                  <c:v>2.06429206527E-2</c:v>
                </c:pt>
                <c:pt idx="99">
                  <c:v>2.0849349859299999E-2</c:v>
                </c:pt>
                <c:pt idx="100">
                  <c:v>2.1057843357800001E-2</c:v>
                </c:pt>
                <c:pt idx="101">
                  <c:v>2.12684217914E-2</c:v>
                </c:pt>
                <c:pt idx="102">
                  <c:v>2.1481106009300002E-2</c:v>
                </c:pt>
                <c:pt idx="103">
                  <c:v>2.1695917069400002E-2</c:v>
                </c:pt>
                <c:pt idx="104">
                  <c:v>2.19128762401E-2</c:v>
                </c:pt>
                <c:pt idx="105">
                  <c:v>2.21320050025E-2</c:v>
                </c:pt>
                <c:pt idx="106">
                  <c:v>2.2353325052600001E-2</c:v>
                </c:pt>
                <c:pt idx="107">
                  <c:v>2.2576858303100002E-2</c:v>
                </c:pt>
                <c:pt idx="108">
                  <c:v>2.2802626886099998E-2</c:v>
                </c:pt>
                <c:pt idx="109">
                  <c:v>2.3030653155000001E-2</c:v>
                </c:pt>
                <c:pt idx="110">
                  <c:v>2.32609596865E-2</c:v>
                </c:pt>
                <c:pt idx="111">
                  <c:v>2.34935692834E-2</c:v>
                </c:pt>
                <c:pt idx="112">
                  <c:v>2.37285049762E-2</c:v>
                </c:pt>
                <c:pt idx="113">
                  <c:v>2.3965790026000001E-2</c:v>
                </c:pt>
                <c:pt idx="114">
                  <c:v>2.42054479262E-2</c:v>
                </c:pt>
                <c:pt idx="115">
                  <c:v>2.4447502405500001E-2</c:v>
                </c:pt>
                <c:pt idx="116">
                  <c:v>2.4691977429599998E-2</c:v>
                </c:pt>
                <c:pt idx="117">
                  <c:v>2.4938897203899999E-2</c:v>
                </c:pt>
                <c:pt idx="118">
                  <c:v>2.51882861759E-2</c:v>
                </c:pt>
                <c:pt idx="119">
                  <c:v>2.5440169037600002E-2</c:v>
                </c:pt>
                <c:pt idx="120">
                  <c:v>2.5694570728E-2</c:v>
                </c:pt>
                <c:pt idx="121">
                  <c:v>2.5951516435299998E-2</c:v>
                </c:pt>
                <c:pt idx="122">
                  <c:v>2.6211031599700001E-2</c:v>
                </c:pt>
                <c:pt idx="123">
                  <c:v>2.6473141915700001E-2</c:v>
                </c:pt>
                <c:pt idx="124">
                  <c:v>2.6737873334799999E-2</c:v>
                </c:pt>
                <c:pt idx="125">
                  <c:v>2.7005252068200002E-2</c:v>
                </c:pt>
                <c:pt idx="126">
                  <c:v>2.7275304588799999E-2</c:v>
                </c:pt>
                <c:pt idx="127">
                  <c:v>2.7548057634700002E-2</c:v>
                </c:pt>
                <c:pt idx="128">
                  <c:v>2.78235382111E-2</c:v>
                </c:pt>
                <c:pt idx="129">
                  <c:v>2.81017735932E-2</c:v>
                </c:pt>
                <c:pt idx="130">
                  <c:v>2.8382791329100002E-2</c:v>
                </c:pt>
                <c:pt idx="131">
                  <c:v>2.86666192424E-2</c:v>
                </c:pt>
                <c:pt idx="132">
                  <c:v>2.89532854348E-2</c:v>
                </c:pt>
                <c:pt idx="133">
                  <c:v>2.9242818289200001E-2</c:v>
                </c:pt>
                <c:pt idx="134">
                  <c:v>2.9535246472099999E-2</c:v>
                </c:pt>
                <c:pt idx="135">
                  <c:v>2.9830598936799999E-2</c:v>
                </c:pt>
                <c:pt idx="136">
                  <c:v>3.01289049262E-2</c:v>
                </c:pt>
                <c:pt idx="137">
                  <c:v>3.0430193975400002E-2</c:v>
                </c:pt>
                <c:pt idx="138">
                  <c:v>3.07344959152E-2</c:v>
                </c:pt>
                <c:pt idx="139">
                  <c:v>3.1041840874300002E-2</c:v>
                </c:pt>
                <c:pt idx="140">
                  <c:v>3.1352259283100002E-2</c:v>
                </c:pt>
                <c:pt idx="141">
                  <c:v>3.1665781875900002E-2</c:v>
                </c:pt>
                <c:pt idx="142">
                  <c:v>3.19824396947E-2</c:v>
                </c:pt>
                <c:pt idx="143">
                  <c:v>3.2302264091600003E-2</c:v>
                </c:pt>
                <c:pt idx="144">
                  <c:v>3.2625286732500001E-2</c:v>
                </c:pt>
                <c:pt idx="145">
                  <c:v>3.29515395999E-2</c:v>
                </c:pt>
                <c:pt idx="146">
                  <c:v>3.3281054995899999E-2</c:v>
                </c:pt>
                <c:pt idx="147">
                  <c:v>3.3613865545800002E-2</c:v>
                </c:pt>
                <c:pt idx="148">
                  <c:v>3.3950004201300003E-2</c:v>
                </c:pt>
                <c:pt idx="149">
                  <c:v>3.4289504243299997E-2</c:v>
                </c:pt>
                <c:pt idx="150">
                  <c:v>3.46323992857E-2</c:v>
                </c:pt>
                <c:pt idx="151">
                  <c:v>3.49787232786E-2</c:v>
                </c:pt>
                <c:pt idx="152">
                  <c:v>3.5328510511399999E-2</c:v>
                </c:pt>
                <c:pt idx="153">
                  <c:v>3.5681795616499999E-2</c:v>
                </c:pt>
                <c:pt idx="154">
                  <c:v>3.6038613572599999E-2</c:v>
                </c:pt>
                <c:pt idx="155">
                  <c:v>3.63989997084E-2</c:v>
                </c:pt>
                <c:pt idx="156">
                  <c:v>3.6762989705399998E-2</c:v>
                </c:pt>
                <c:pt idx="157">
                  <c:v>3.7130619602499998E-2</c:v>
                </c:pt>
                <c:pt idx="158">
                  <c:v>3.7501925798500001E-2</c:v>
                </c:pt>
                <c:pt idx="159">
                  <c:v>3.7876945056500001E-2</c:v>
                </c:pt>
                <c:pt idx="160">
                  <c:v>3.8255714507099997E-2</c:v>
                </c:pt>
                <c:pt idx="161">
                  <c:v>3.8638271652100001E-2</c:v>
                </c:pt>
                <c:pt idx="162">
                  <c:v>3.90246543687E-2</c:v>
                </c:pt>
                <c:pt idx="163">
                  <c:v>3.9414900912399999E-2</c:v>
                </c:pt>
                <c:pt idx="164">
                  <c:v>3.98090499215E-2</c:v>
                </c:pt>
                <c:pt idx="165">
                  <c:v>4.0207140420699998E-2</c:v>
                </c:pt>
                <c:pt idx="166">
                  <c:v>4.0609211824900002E-2</c:v>
                </c:pt>
                <c:pt idx="167">
                  <c:v>4.1015303943099997E-2</c:v>
                </c:pt>
                <c:pt idx="168">
                  <c:v>4.1425456982600001E-2</c:v>
                </c:pt>
                <c:pt idx="169">
                  <c:v>4.1839711552400002E-2</c:v>
                </c:pt>
                <c:pt idx="170">
                  <c:v>4.2258108667900002E-2</c:v>
                </c:pt>
                <c:pt idx="171">
                  <c:v>4.2680689754600001E-2</c:v>
                </c:pt>
                <c:pt idx="172">
                  <c:v>4.3107496652199997E-2</c:v>
                </c:pt>
                <c:pt idx="173">
                  <c:v>4.3538571618699999E-2</c:v>
                </c:pt>
                <c:pt idx="174">
                  <c:v>4.3973957334899998E-2</c:v>
                </c:pt>
                <c:pt idx="175">
                  <c:v>4.4413696908199997E-2</c:v>
                </c:pt>
                <c:pt idx="176">
                  <c:v>4.4857833877300003E-2</c:v>
                </c:pt>
                <c:pt idx="177">
                  <c:v>4.5306412216100003E-2</c:v>
                </c:pt>
                <c:pt idx="178">
                  <c:v>4.5759476338200003E-2</c:v>
                </c:pt>
                <c:pt idx="179">
                  <c:v>4.6217071101599998E-2</c:v>
                </c:pt>
                <c:pt idx="180">
                  <c:v>4.6679241812599997E-2</c:v>
                </c:pt>
                <c:pt idx="181">
                  <c:v>4.71460342308E-2</c:v>
                </c:pt>
                <c:pt idx="182">
                  <c:v>4.7617494573100001E-2</c:v>
                </c:pt>
                <c:pt idx="183">
                  <c:v>4.8093669518800002E-2</c:v>
                </c:pt>
                <c:pt idx="184">
                  <c:v>4.8574606213999998E-2</c:v>
                </c:pt>
                <c:pt idx="185">
                  <c:v>4.9060352276099999E-2</c:v>
                </c:pt>
                <c:pt idx="186">
                  <c:v>4.9550955798900002E-2</c:v>
                </c:pt>
                <c:pt idx="187">
                  <c:v>5.0046465356900001E-2</c:v>
                </c:pt>
                <c:pt idx="188">
                  <c:v>5.0546930010399997E-2</c:v>
                </c:pt>
                <c:pt idx="189">
                  <c:v>5.1052399310499999E-2</c:v>
                </c:pt>
                <c:pt idx="190">
                  <c:v>5.1562923303600003E-2</c:v>
                </c:pt>
                <c:pt idx="191">
                  <c:v>5.2078552536699997E-2</c:v>
                </c:pt>
                <c:pt idx="192">
                  <c:v>5.2599338062100001E-2</c:v>
                </c:pt>
                <c:pt idx="193">
                  <c:v>5.31253314427E-2</c:v>
                </c:pt>
                <c:pt idx="194">
                  <c:v>5.3656584757100001E-2</c:v>
                </c:pt>
                <c:pt idx="195">
                  <c:v>5.4193150604700001E-2</c:v>
                </c:pt>
                <c:pt idx="196">
                  <c:v>5.4735082110700002E-2</c:v>
                </c:pt>
                <c:pt idx="197">
                  <c:v>5.5282432931799998E-2</c:v>
                </c:pt>
                <c:pt idx="198">
                  <c:v>5.5835257261100002E-2</c:v>
                </c:pt>
                <c:pt idx="199">
                  <c:v>5.6393609833799999E-2</c:v>
                </c:pt>
                <c:pt idx="200">
                  <c:v>5.69575459321E-2</c:v>
                </c:pt>
                <c:pt idx="201">
                  <c:v>5.7527121391400003E-2</c:v>
                </c:pt>
                <c:pt idx="202">
                  <c:v>5.81023926053E-2</c:v>
                </c:pt>
                <c:pt idx="203">
                  <c:v>5.8683416531400003E-2</c:v>
                </c:pt>
                <c:pt idx="204">
                  <c:v>5.92702506967E-2</c:v>
                </c:pt>
                <c:pt idx="205">
                  <c:v>5.9862953203699998E-2</c:v>
                </c:pt>
                <c:pt idx="206">
                  <c:v>6.0461582735700001E-2</c:v>
                </c:pt>
                <c:pt idx="207">
                  <c:v>6.1066198563099999E-2</c:v>
                </c:pt>
                <c:pt idx="208">
                  <c:v>6.1676860548700002E-2</c:v>
                </c:pt>
                <c:pt idx="209">
                  <c:v>6.2293629154200003E-2</c:v>
                </c:pt>
                <c:pt idx="210">
                  <c:v>6.2916565445699998E-2</c:v>
                </c:pt>
                <c:pt idx="211">
                  <c:v>6.3545731100199995E-2</c:v>
                </c:pt>
                <c:pt idx="212">
                  <c:v>6.4181188411200005E-2</c:v>
                </c:pt>
                <c:pt idx="213">
                  <c:v>6.4823000295299998E-2</c:v>
                </c:pt>
                <c:pt idx="214">
                  <c:v>6.5471230298199998E-2</c:v>
                </c:pt>
                <c:pt idx="215">
                  <c:v>6.61259426012E-2</c:v>
                </c:pt>
                <c:pt idx="216">
                  <c:v>6.6787202027199996E-2</c:v>
                </c:pt>
                <c:pt idx="217">
                  <c:v>6.7455074047499994E-2</c:v>
                </c:pt>
                <c:pt idx="218">
                  <c:v>6.8129624787999998E-2</c:v>
                </c:pt>
                <c:pt idx="219">
                  <c:v>6.8810921035900002E-2</c:v>
                </c:pt>
                <c:pt idx="220">
                  <c:v>6.9499030246199994E-2</c:v>
                </c:pt>
                <c:pt idx="221">
                  <c:v>7.0194020548699998E-2</c:v>
                </c:pt>
                <c:pt idx="222">
                  <c:v>7.0895960754200002E-2</c:v>
                </c:pt>
                <c:pt idx="223">
                  <c:v>7.1604920361700006E-2</c:v>
                </c:pt>
                <c:pt idx="224">
                  <c:v>7.23209695653E-2</c:v>
                </c:pt>
                <c:pt idx="225">
                  <c:v>7.3044179261E-2</c:v>
                </c:pt>
                <c:pt idx="226">
                  <c:v>7.3774621053599998E-2</c:v>
                </c:pt>
                <c:pt idx="227">
                  <c:v>7.4512367264100002E-2</c:v>
                </c:pt>
                <c:pt idx="228">
                  <c:v>7.5257490936799995E-2</c:v>
                </c:pt>
                <c:pt idx="229">
                  <c:v>7.6010065846099997E-2</c:v>
                </c:pt>
                <c:pt idx="230">
                  <c:v>7.6770166504600001E-2</c:v>
                </c:pt>
                <c:pt idx="231">
                  <c:v>7.7537868169599997E-2</c:v>
                </c:pt>
                <c:pt idx="232">
                  <c:v>7.8313246851300006E-2</c:v>
                </c:pt>
                <c:pt idx="233">
                  <c:v>7.90963793198E-2</c:v>
                </c:pt>
                <c:pt idx="234">
                  <c:v>7.9887343112999998E-2</c:v>
                </c:pt>
                <c:pt idx="235">
                  <c:v>8.0686216544199996E-2</c:v>
                </c:pt>
                <c:pt idx="236">
                  <c:v>8.14930787096E-2</c:v>
                </c:pt>
                <c:pt idx="237">
                  <c:v>8.2308009496700002E-2</c:v>
                </c:pt>
                <c:pt idx="238">
                  <c:v>8.31310895917E-2</c:v>
                </c:pt>
                <c:pt idx="239">
                  <c:v>8.3962400487599995E-2</c:v>
                </c:pt>
                <c:pt idx="240">
                  <c:v>8.4802024492500003E-2</c:v>
                </c:pt>
                <c:pt idx="241">
                  <c:v>8.5650044737399997E-2</c:v>
                </c:pt>
                <c:pt idx="242">
                  <c:v>8.6506545184799999E-2</c:v>
                </c:pt>
                <c:pt idx="243">
                  <c:v>8.7371610636599997E-2</c:v>
                </c:pt>
                <c:pt idx="244">
                  <c:v>8.8245326742999994E-2</c:v>
                </c:pt>
                <c:pt idx="245">
                  <c:v>8.9127780010400004E-2</c:v>
                </c:pt>
                <c:pt idx="246">
                  <c:v>9.00190578105E-2</c:v>
                </c:pt>
                <c:pt idx="247">
                  <c:v>9.0919248388599994E-2</c:v>
                </c:pt>
                <c:pt idx="248">
                  <c:v>9.18284408725E-2</c:v>
                </c:pt>
                <c:pt idx="249">
                  <c:v>9.2746725281199996E-2</c:v>
                </c:pt>
                <c:pt idx="250">
                  <c:v>9.3674192534E-2</c:v>
                </c:pt>
                <c:pt idx="251">
                  <c:v>9.4610934459399998E-2</c:v>
                </c:pt>
                <c:pt idx="252">
                  <c:v>9.5557043804E-2</c:v>
                </c:pt>
                <c:pt idx="253">
                  <c:v>9.6512614242E-2</c:v>
                </c:pt>
                <c:pt idx="254">
                  <c:v>9.7477740384400005E-2</c:v>
                </c:pt>
                <c:pt idx="255">
                  <c:v>9.8452517788299998E-2</c:v>
                </c:pt>
                <c:pt idx="256">
                  <c:v>9.9437042966199998E-2</c:v>
                </c:pt>
                <c:pt idx="257">
                  <c:v>0.10043141339599999</c:v>
                </c:pt>
                <c:pt idx="258">
                  <c:v>0.10143572753000001</c:v>
                </c:pt>
                <c:pt idx="259">
                  <c:v>0.10245008480499999</c:v>
                </c:pt>
                <c:pt idx="260">
                  <c:v>0.103474585653</c:v>
                </c:pt>
                <c:pt idx="261">
                  <c:v>0.10450933151</c:v>
                </c:pt>
                <c:pt idx="262">
                  <c:v>0.10555442482500001</c:v>
                </c:pt>
                <c:pt idx="263">
                  <c:v>0.10660996907299999</c:v>
                </c:pt>
                <c:pt idx="264">
                  <c:v>0.107676068764</c:v>
                </c:pt>
                <c:pt idx="265">
                  <c:v>0.108752829451</c:v>
                </c:pt>
                <c:pt idx="266">
                  <c:v>0.109840357746</c:v>
                </c:pt>
                <c:pt idx="267">
                  <c:v>0.110938761323</c:v>
                </c:pt>
                <c:pt idx="268">
                  <c:v>0.11204814893700001</c:v>
                </c:pt>
                <c:pt idx="269">
                  <c:v>0.11316863042600001</c:v>
                </c:pt>
                <c:pt idx="270">
                  <c:v>0.11430031673</c:v>
                </c:pt>
                <c:pt idx="271">
                  <c:v>0.115443319898</c:v>
                </c:pt>
                <c:pt idx="272">
                  <c:v>0.116597753096</c:v>
                </c:pt>
                <c:pt idx="273">
                  <c:v>0.117763730627</c:v>
                </c:pt>
                <c:pt idx="274">
                  <c:v>0.11894136793399999</c:v>
                </c:pt>
                <c:pt idx="275">
                  <c:v>0.120130781613</c:v>
                </c:pt>
                <c:pt idx="276">
                  <c:v>0.12133208942900001</c:v>
                </c:pt>
                <c:pt idx="277">
                  <c:v>0.122545410323</c:v>
                </c:pt>
                <c:pt idx="278">
                  <c:v>0.123770864427</c:v>
                </c:pt>
                <c:pt idx="279">
                  <c:v>0.125008573071</c:v>
                </c:pt>
                <c:pt idx="280">
                  <c:v>0.12625865880199999</c:v>
                </c:pt>
                <c:pt idx="281">
                  <c:v>0.12752124539000001</c:v>
                </c:pt>
                <c:pt idx="282">
                  <c:v>0.12879645784400001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3.6457909093026779E-9</c:v>
                </c:pt>
                <c:pt idx="1">
                  <c:v>3.7924789965363514E-9</c:v>
                </c:pt>
                <c:pt idx="2">
                  <c:v>3.9449297573070487E-9</c:v>
                </c:pt>
                <c:pt idx="3">
                  <c:v>4.1033388397481825E-9</c:v>
                </c:pt>
                <c:pt idx="4">
                  <c:v>4.26790383925629E-9</c:v>
                </c:pt>
                <c:pt idx="5">
                  <c:v>4.4388199071792078E-9</c:v>
                </c:pt>
                <c:pt idx="6">
                  <c:v>4.6162744417271603E-9</c:v>
                </c:pt>
                <c:pt idx="7">
                  <c:v>4.8004416477962421E-9</c:v>
                </c:pt>
                <c:pt idx="8">
                  <c:v>4.9914749640086088E-9</c:v>
                </c:pt>
                <c:pt idx="9">
                  <c:v>5.1894957687231565E-9</c:v>
                </c:pt>
                <c:pt idx="10">
                  <c:v>5.3945762042170108E-9</c:v>
                </c:pt>
                <c:pt idx="11">
                  <c:v>5.6067130208544414E-9</c:v>
                </c:pt>
                <c:pt idx="12">
                  <c:v>5.8257867339643397E-9</c:v>
                </c:pt>
                <c:pt idx="13">
                  <c:v>6.0514959490954226E-9</c:v>
                </c:pt>
                <c:pt idx="14">
                  <c:v>6.2832481115187146E-9</c:v>
                </c:pt>
                <c:pt idx="15">
                  <c:v>6.5199705641829045E-9</c:v>
                </c:pt>
                <c:pt idx="16">
                  <c:v>6.7597693613885696E-9</c:v>
                </c:pt>
                <c:pt idx="17">
                  <c:v>6.9992857857237085E-9</c:v>
                </c:pt>
                <c:pt idx="18">
                  <c:v>7.2324492783924955E-9</c:v>
                </c:pt>
                <c:pt idx="19">
                  <c:v>7.4481740915514924E-9</c:v>
                </c:pt>
                <c:pt idx="20">
                  <c:v>7.6272133463574808E-9</c:v>
                </c:pt>
                <c:pt idx="21">
                  <c:v>7.7426593687690077E-9</c:v>
                </c:pt>
                <c:pt idx="22">
                  <c:v>7.7776558056775226E-9</c:v>
                </c:pt>
                <c:pt idx="23">
                  <c:v>7.7653477349228776E-9</c:v>
                </c:pt>
                <c:pt idx="24">
                  <c:v>7.7720554840519441E-9</c:v>
                </c:pt>
                <c:pt idx="25">
                  <c:v>7.7177292293652275E-9</c:v>
                </c:pt>
                <c:pt idx="26">
                  <c:v>7.2837283100658843E-9</c:v>
                </c:pt>
                <c:pt idx="27">
                  <c:v>6.319905163041921E-9</c:v>
                </c:pt>
                <c:pt idx="28">
                  <c:v>5.1959355312293148E-9</c:v>
                </c:pt>
                <c:pt idx="29">
                  <c:v>4.3782623674848359E-9</c:v>
                </c:pt>
                <c:pt idx="30">
                  <c:v>3.9565889606526321E-9</c:v>
                </c:pt>
                <c:pt idx="31">
                  <c:v>3.7664739769326841E-9</c:v>
                </c:pt>
                <c:pt idx="32">
                  <c:v>3.6574788135354538E-9</c:v>
                </c:pt>
                <c:pt idx="33">
                  <c:v>3.5600715012581663E-9</c:v>
                </c:pt>
                <c:pt idx="34">
                  <c:v>3.4480457033791256E-9</c:v>
                </c:pt>
                <c:pt idx="35">
                  <c:v>3.3130098629552166E-9</c:v>
                </c:pt>
                <c:pt idx="36">
                  <c:v>3.1521840301678429E-9</c:v>
                </c:pt>
                <c:pt idx="37">
                  <c:v>2.9655605079548586E-9</c:v>
                </c:pt>
                <c:pt idx="38">
                  <c:v>2.7549164555791756E-9</c:v>
                </c:pt>
                <c:pt idx="39">
                  <c:v>2.5234151156745652E-9</c:v>
                </c:pt>
                <c:pt idx="40">
                  <c:v>2.2753930780087405E-9</c:v>
                </c:pt>
                <c:pt idx="41">
                  <c:v>2.0161872645775998E-9</c:v>
                </c:pt>
                <c:pt idx="42">
                  <c:v>1.7519404578658157E-9</c:v>
                </c:pt>
                <c:pt idx="43">
                  <c:v>1.4893614779590812E-9</c:v>
                </c:pt>
                <c:pt idx="44">
                  <c:v>1.2354372269206753E-9</c:v>
                </c:pt>
                <c:pt idx="45">
                  <c:v>9.971080277428919E-10</c:v>
                </c:pt>
                <c:pt idx="46">
                  <c:v>7.8092737159197535E-10</c:v>
                </c:pt>
                <c:pt idx="47">
                  <c:v>5.9273253337511774E-10</c:v>
                </c:pt>
                <c:pt idx="48">
                  <c:v>4.3735327167421995E-10</c:v>
                </c:pt>
                <c:pt idx="49">
                  <c:v>3.1838218757258155E-10</c:v>
                </c:pt>
                <c:pt idx="50">
                  <c:v>2.3802316822894249E-10</c:v>
                </c:pt>
                <c:pt idx="51">
                  <c:v>1.9681415316331849E-10</c:v>
                </c:pt>
                <c:pt idx="52">
                  <c:v>1.9456161883157027E-10</c:v>
                </c:pt>
                <c:pt idx="53">
                  <c:v>2.28938527327066E-10</c:v>
                </c:pt>
                <c:pt idx="54">
                  <c:v>2.967062287987629E-10</c:v>
                </c:pt>
                <c:pt idx="55">
                  <c:v>3.9361340835977492E-10</c:v>
                </c:pt>
                <c:pt idx="56">
                  <c:v>5.1460488273944816E-10</c:v>
                </c:pt>
                <c:pt idx="57">
                  <c:v>6.540368222633942E-10</c:v>
                </c:pt>
                <c:pt idx="58">
                  <c:v>8.0588691311784348E-10</c:v>
                </c:pt>
                <c:pt idx="59">
                  <c:v>9.6395215077173245E-10</c:v>
                </c:pt>
                <c:pt idx="60">
                  <c:v>1.1220308364644625E-9</c:v>
                </c:pt>
                <c:pt idx="61">
                  <c:v>1.2740884819989065E-9</c:v>
                </c:pt>
                <c:pt idx="62">
                  <c:v>1.4144094430186754E-9</c:v>
                </c:pt>
                <c:pt idx="63">
                  <c:v>1.5377371770640822E-9</c:v>
                </c:pt>
                <c:pt idx="64">
                  <c:v>1.6394060974505022E-9</c:v>
                </c:pt>
                <c:pt idx="65">
                  <c:v>1.7154672214599855E-9</c:v>
                </c:pt>
                <c:pt idx="66">
                  <c:v>1.7628083644911926E-9</c:v>
                </c:pt>
                <c:pt idx="67">
                  <c:v>1.7792676906465405E-9</c:v>
                </c:pt>
                <c:pt idx="68">
                  <c:v>1.7637372136039593E-9</c:v>
                </c:pt>
                <c:pt idx="69">
                  <c:v>1.7162505766424133E-9</c:v>
                </c:pt>
                <c:pt idx="70">
                  <c:v>1.6380473953457315E-9</c:v>
                </c:pt>
                <c:pt idx="71">
                  <c:v>1.5316049202757669E-9</c:v>
                </c:pt>
                <c:pt idx="72">
                  <c:v>1.4006270843788979E-9</c:v>
                </c:pt>
                <c:pt idx="73">
                  <c:v>1.2499814465963514E-9</c:v>
                </c:pt>
                <c:pt idx="74">
                  <c:v>1.0855763466532169E-9</c:v>
                </c:pt>
                <c:pt idx="75">
                  <c:v>9.141738507343681E-10</c:v>
                </c:pt>
                <c:pt idx="76">
                  <c:v>7.4313868554641474E-10</c:v>
                </c:pt>
                <c:pt idx="77">
                  <c:v>5.8012899326414061E-10</c:v>
                </c:pt>
                <c:pt idx="78">
                  <c:v>4.3274082631312441E-10</c:v>
                </c:pt>
                <c:pt idx="79">
                  <c:v>3.0812408501630054E-10</c:v>
                </c:pt>
                <c:pt idx="80">
                  <c:v>2.125922888458799E-10</c:v>
                </c:pt>
                <c:pt idx="81">
                  <c:v>1.5125141749455674E-10</c:v>
                </c:pt>
                <c:pt idx="82">
                  <c:v>1.276735709938575E-10</c:v>
                </c:pt>
                <c:pt idx="83">
                  <c:v>1.4363922506129651E-10</c:v>
                </c:pt>
                <c:pt idx="84">
                  <c:v>1.9896762544309664E-10</c:v>
                </c:pt>
                <c:pt idx="85">
                  <c:v>2.9144895280038071E-10</c:v>
                </c:pt>
                <c:pt idx="86">
                  <c:v>4.1688509270000529E-10</c:v>
                </c:pt>
                <c:pt idx="87">
                  <c:v>5.6923900658470683E-10</c:v>
                </c:pt>
                <c:pt idx="88">
                  <c:v>7.4088654823290962E-10</c:v>
                </c:pt>
                <c:pt idx="89">
                  <c:v>9.2295956822207002E-10</c:v>
                </c:pt>
                <c:pt idx="90">
                  <c:v>1.105765451339267E-9</c:v>
                </c:pt>
                <c:pt idx="91">
                  <c:v>1.2792656776419414E-9</c:v>
                </c:pt>
                <c:pt idx="92">
                  <c:v>1.4335942129076701E-9</c:v>
                </c:pt>
                <c:pt idx="93">
                  <c:v>1.559595038645723E-9</c:v>
                </c:pt>
                <c:pt idx="94">
                  <c:v>1.6493564928898337E-9</c:v>
                </c:pt>
                <c:pt idx="95">
                  <c:v>1.6967180659836326E-9</c:v>
                </c:pt>
                <c:pt idx="96">
                  <c:v>1.6977228954456367E-9</c:v>
                </c:pt>
                <c:pt idx="97">
                  <c:v>1.6509868174654723E-9</c:v>
                </c:pt>
                <c:pt idx="98">
                  <c:v>1.5579531576732966E-9</c:v>
                </c:pt>
                <c:pt idx="99">
                  <c:v>1.423002468900733E-9</c:v>
                </c:pt>
                <c:pt idx="100">
                  <c:v>1.2533892430527052E-9</c:v>
                </c:pt>
                <c:pt idx="101">
                  <c:v>1.0589842321953961E-9</c:v>
                </c:pt>
                <c:pt idx="102">
                  <c:v>8.5181202935199335E-10</c:v>
                </c:pt>
                <c:pt idx="103">
                  <c:v>6.4538892564680856E-10</c:v>
                </c:pt>
                <c:pt idx="104">
                  <c:v>4.5388489358009891E-10</c:v>
                </c:pt>
                <c:pt idx="105">
                  <c:v>2.9115400774757039E-10</c:v>
                </c:pt>
                <c:pt idx="106">
                  <c:v>1.6969714009476687E-10</c:v>
                </c:pt>
                <c:pt idx="107">
                  <c:v>9.9636400022521227E-11</c:v>
                </c:pt>
                <c:pt idx="108">
                  <c:v>8.7789757616161575E-11</c:v>
                </c:pt>
                <c:pt idx="109">
                  <c:v>1.3693458619020996E-10</c:v>
                </c:pt>
                <c:pt idx="110">
                  <c:v>2.4533970129644018E-10</c:v>
                </c:pt>
                <c:pt idx="111">
                  <c:v>4.0662750133403088E-10</c:v>
                </c:pt>
                <c:pt idx="112">
                  <c:v>6.1000291883341585E-10</c:v>
                </c:pt>
                <c:pt idx="113">
                  <c:v>8.4085677660595124E-10</c:v>
                </c:pt>
                <c:pt idx="114">
                  <c:v>1.0817206865527025E-9</c:v>
                </c:pt>
                <c:pt idx="115">
                  <c:v>1.3135213439905108E-9</c:v>
                </c:pt>
                <c:pt idx="116">
                  <c:v>1.5170557163250827E-9</c:v>
                </c:pt>
                <c:pt idx="117">
                  <c:v>1.6745862551588206E-9</c:v>
                </c:pt>
                <c:pt idx="118">
                  <c:v>1.7714374622225833E-9</c:v>
                </c:pt>
                <c:pt idx="119">
                  <c:v>1.7974626114699884E-9</c:v>
                </c:pt>
                <c:pt idx="120">
                  <c:v>1.7482434390742668E-9</c:v>
                </c:pt>
                <c:pt idx="121">
                  <c:v>1.6258883107544745E-9</c:v>
                </c:pt>
                <c:pt idx="122">
                  <c:v>1.4393086582457368E-9</c:v>
                </c:pt>
                <c:pt idx="123">
                  <c:v>1.2038823489989639E-9</c:v>
                </c:pt>
                <c:pt idx="124">
                  <c:v>9.4045811965725376E-10</c:v>
                </c:pt>
                <c:pt idx="125">
                  <c:v>6.7371693553722767E-10</c:v>
                </c:pt>
                <c:pt idx="126">
                  <c:v>4.2998029503719285E-10</c:v>
                </c:pt>
                <c:pt idx="127">
                  <c:v>2.3463421819366034E-10</c:v>
                </c:pt>
                <c:pt idx="128">
                  <c:v>1.094096409711639E-10</c:v>
                </c:pt>
                <c:pt idx="129">
                  <c:v>6.9812162651365231E-11</c:v>
                </c:pt>
                <c:pt idx="130">
                  <c:v>1.2301460613050853E-10</c:v>
                </c:pt>
                <c:pt idx="131">
                  <c:v>2.665065772385813E-10</c:v>
                </c:pt>
                <c:pt idx="132">
                  <c:v>4.8773422314148608E-10</c:v>
                </c:pt>
                <c:pt idx="133">
                  <c:v>7.6486561207665125E-10</c:v>
                </c:pt>
                <c:pt idx="134">
                  <c:v>1.0686933639258704E-9</c:v>
                </c:pt>
                <c:pt idx="135">
                  <c:v>1.3655507186781625E-9</c:v>
                </c:pt>
                <c:pt idx="136">
                  <c:v>1.6209854111448953E-9</c:v>
                </c:pt>
                <c:pt idx="137">
                  <c:v>1.8038217211327824E-9</c:v>
                </c:pt>
                <c:pt idx="138">
                  <c:v>1.8901571974981719E-9</c:v>
                </c:pt>
                <c:pt idx="139">
                  <c:v>1.8667975958773954E-9</c:v>
                </c:pt>
                <c:pt idx="140">
                  <c:v>1.7336414475846794E-9</c:v>
                </c:pt>
                <c:pt idx="141">
                  <c:v>1.5045932286457808E-9</c:v>
                </c:pt>
                <c:pt idx="142">
                  <c:v>1.206717141007561E-9</c:v>
                </c:pt>
                <c:pt idx="143">
                  <c:v>8.7754096006953682E-10</c:v>
                </c:pt>
                <c:pt idx="144">
                  <c:v>5.6066856600688747E-10</c:v>
                </c:pt>
                <c:pt idx="145">
                  <c:v>3.0013303818843871E-10</c:v>
                </c:pt>
                <c:pt idx="146">
                  <c:v>1.3417733705711491E-10</c:v>
                </c:pt>
                <c:pt idx="147">
                  <c:v>8.9335683728227795E-11</c:v>
                </c:pt>
                <c:pt idx="148">
                  <c:v>1.7575694516056205E-10</c:v>
                </c:pt>
                <c:pt idx="149">
                  <c:v>3.8462811267338064E-10</c:v>
                </c:pt>
                <c:pt idx="150">
                  <c:v>6.8831416344852993E-10</c:v>
                </c:pt>
                <c:pt idx="151">
                  <c:v>1.0434541825829266E-9</c:v>
                </c:pt>
                <c:pt idx="152">
                  <c:v>1.3967944530824299E-9</c:v>
                </c:pt>
                <c:pt idx="153">
                  <c:v>1.6930672726827211E-9</c:v>
                </c:pt>
                <c:pt idx="154">
                  <c:v>1.8838153403852554E-9</c:v>
                </c:pt>
                <c:pt idx="155">
                  <c:v>1.9357865738081516E-9</c:v>
                </c:pt>
                <c:pt idx="156">
                  <c:v>1.8379661499183246E-9</c:v>
                </c:pt>
                <c:pt idx="157">
                  <c:v>1.6027867516074148E-9</c:v>
                </c:pt>
                <c:pt idx="158">
                  <c:v>1.2684099617440483E-9</c:v>
                </c:pt>
                <c:pt idx="159">
                  <c:v>8.9160753580034425E-10</c:v>
                </c:pt>
                <c:pt idx="160">
                  <c:v>5.3911011421223455E-10</c:v>
                </c:pt>
                <c:pt idx="161">
                  <c:v>2.7590456876216065E-10</c:v>
                </c:pt>
                <c:pt idx="162">
                  <c:v>1.529125118533555E-10</c:v>
                </c:pt>
                <c:pt idx="163">
                  <c:v>1.9641443124411742E-10</c:v>
                </c:pt>
                <c:pt idx="164">
                  <c:v>4.0151408948580433E-10</c:v>
                </c:pt>
                <c:pt idx="165">
                  <c:v>7.3136231970951996E-10</c:v>
                </c:pt>
                <c:pt idx="166">
                  <c:v>1.1228351562927016E-9</c:v>
                </c:pt>
                <c:pt idx="167">
                  <c:v>1.498061117883982E-9</c:v>
                </c:pt>
                <c:pt idx="168">
                  <c:v>1.7798730918302139E-9</c:v>
                </c:pt>
                <c:pt idx="169">
                  <c:v>1.908209361305186E-9</c:v>
                </c:pt>
                <c:pt idx="170">
                  <c:v>1.8539666541749447E-9</c:v>
                </c:pt>
                <c:pt idx="171">
                  <c:v>1.6269976840713901E-9</c:v>
                </c:pt>
                <c:pt idx="172">
                  <c:v>1.275906570079751E-9</c:v>
                </c:pt>
                <c:pt idx="173">
                  <c:v>8.7893095124643191E-10</c:v>
                </c:pt>
                <c:pt idx="174">
                  <c:v>5.2723645076899036E-10</c:v>
                </c:pt>
                <c:pt idx="175">
                  <c:v>3.0395289363681244E-10</c:v>
                </c:pt>
                <c:pt idx="176">
                  <c:v>2.6372743477089861E-10</c:v>
                </c:pt>
                <c:pt idx="177">
                  <c:v>4.1797365482382925E-10</c:v>
                </c:pt>
                <c:pt idx="178">
                  <c:v>7.3007739564301599E-10</c:v>
                </c:pt>
                <c:pt idx="179">
                  <c:v>1.1226368162235157E-9</c:v>
                </c:pt>
                <c:pt idx="180">
                  <c:v>1.4958032826814533E-9</c:v>
                </c:pt>
                <c:pt idx="181">
                  <c:v>1.7526902018449026E-9</c:v>
                </c:pt>
                <c:pt idx="182">
                  <c:v>1.8254878092275666E-9</c:v>
                </c:pt>
                <c:pt idx="183">
                  <c:v>1.6951131394748612E-9</c:v>
                </c:pt>
                <c:pt idx="184">
                  <c:v>1.3983590763287441E-9</c:v>
                </c:pt>
                <c:pt idx="185">
                  <c:v>1.0195198979515021E-9</c:v>
                </c:pt>
                <c:pt idx="186">
                  <c:v>6.6774231223539115E-10</c:v>
                </c:pt>
                <c:pt idx="187">
                  <c:v>4.457693992883146E-10</c:v>
                </c:pt>
                <c:pt idx="188">
                  <c:v>4.1894621742799412E-10</c:v>
                </c:pt>
                <c:pt idx="189">
                  <c:v>5.9412424481909705E-10</c:v>
                </c:pt>
                <c:pt idx="190">
                  <c:v>9.1583301871479236E-10</c:v>
                </c:pt>
                <c:pt idx="191">
                  <c:v>1.2821321164846544E-9</c:v>
                </c:pt>
                <c:pt idx="192">
                  <c:v>1.5762616609362986E-9</c:v>
                </c:pt>
                <c:pt idx="193">
                  <c:v>1.7045802391497817E-9</c:v>
                </c:pt>
                <c:pt idx="194">
                  <c:v>1.6283497896863484E-9</c:v>
                </c:pt>
                <c:pt idx="195">
                  <c:v>1.3780430543759838E-9</c:v>
                </c:pt>
                <c:pt idx="196">
                  <c:v>1.0440967151933904E-9</c:v>
                </c:pt>
                <c:pt idx="197">
                  <c:v>7.4601570726719646E-10</c:v>
                </c:pt>
                <c:pt idx="198">
                  <c:v>5.8983192872732703E-10</c:v>
                </c:pt>
                <c:pt idx="199">
                  <c:v>6.290669401763151E-10</c:v>
                </c:pt>
                <c:pt idx="200">
                  <c:v>8.4416705204048167E-10</c:v>
                </c:pt>
                <c:pt idx="201">
                  <c:v>1.1492943692847941E-9</c:v>
                </c:pt>
                <c:pt idx="202">
                  <c:v>1.4251496305153085E-9</c:v>
                </c:pt>
                <c:pt idx="203">
                  <c:v>1.5662758774106517E-9</c:v>
                </c:pt>
                <c:pt idx="204">
                  <c:v>1.5220797805561245E-9</c:v>
                </c:pt>
                <c:pt idx="205">
                  <c:v>1.319676726288956E-9</c:v>
                </c:pt>
                <c:pt idx="206">
                  <c:v>1.0509975012483405E-9</c:v>
                </c:pt>
                <c:pt idx="207">
                  <c:v>8.336584740101682E-10</c:v>
                </c:pt>
                <c:pt idx="208">
                  <c:v>7.5969164532261727E-10</c:v>
                </c:pt>
                <c:pt idx="209">
                  <c:v>8.5502267739220947E-10</c:v>
                </c:pt>
                <c:pt idx="210">
                  <c:v>1.0685555338364393E-9</c:v>
                </c:pt>
                <c:pt idx="211">
                  <c:v>1.2968384968666892E-9</c:v>
                </c:pt>
                <c:pt idx="212">
                  <c:v>1.433583949660688E-9</c:v>
                </c:pt>
                <c:pt idx="213">
                  <c:v>1.4206956864707788E-9</c:v>
                </c:pt>
                <c:pt idx="214">
                  <c:v>1.2756382722054607E-9</c:v>
                </c:pt>
                <c:pt idx="215">
                  <c:v>1.0808515752337537E-9</c:v>
                </c:pt>
                <c:pt idx="216">
                  <c:v>9.3991383012299247E-10</c:v>
                </c:pt>
                <c:pt idx="217">
                  <c:v>9.2288517997395336E-10</c:v>
                </c:pt>
                <c:pt idx="218">
                  <c:v>1.0299748598229842E-9</c:v>
                </c:pt>
                <c:pt idx="219">
                  <c:v>1.1937030603175882E-9</c:v>
                </c:pt>
                <c:pt idx="220">
                  <c:v>1.3188456700138325E-9</c:v>
                </c:pt>
                <c:pt idx="221">
                  <c:v>1.3377576397754684E-9</c:v>
                </c:pt>
                <c:pt idx="222">
                  <c:v>1.2488968678734975E-9</c:v>
                </c:pt>
                <c:pt idx="223">
                  <c:v>1.1153390454650376E-9</c:v>
                </c:pt>
                <c:pt idx="224">
                  <c:v>1.0237619648445762E-9</c:v>
                </c:pt>
                <c:pt idx="225">
                  <c:v>1.0291107669157298E-9</c:v>
                </c:pt>
                <c:pt idx="226">
                  <c:v>1.1201877020127423E-9</c:v>
                </c:pt>
                <c:pt idx="227">
                  <c:v>1.2289982860495143E-9</c:v>
                </c:pt>
                <c:pt idx="228">
                  <c:v>1.2782969566691868E-9</c:v>
                </c:pt>
                <c:pt idx="229">
                  <c:v>1.2354553271572198E-9</c:v>
                </c:pt>
                <c:pt idx="230">
                  <c:v>1.1350131655506445E-9</c:v>
                </c:pt>
                <c:pt idx="231">
                  <c:v>1.0529066674597888E-9</c:v>
                </c:pt>
                <c:pt idx="232">
                  <c:v>1.0497539922030622E-9</c:v>
                </c:pt>
                <c:pt idx="233">
                  <c:v>1.1245299956785122E-9</c:v>
                </c:pt>
                <c:pt idx="234">
                  <c:v>1.2144480000840718E-9</c:v>
                </c:pt>
                <c:pt idx="235">
                  <c:v>1.2433055161000326E-9</c:v>
                </c:pt>
                <c:pt idx="236">
                  <c:v>1.1824720113839975E-9</c:v>
                </c:pt>
                <c:pt idx="237">
                  <c:v>1.0760180184669405E-9</c:v>
                </c:pt>
                <c:pt idx="238">
                  <c:v>1.0071477057941252E-9</c:v>
                </c:pt>
                <c:pt idx="239">
                  <c:v>1.0300229485128726E-9</c:v>
                </c:pt>
                <c:pt idx="240">
                  <c:v>1.1222057350607598E-9</c:v>
                </c:pt>
                <c:pt idx="241">
                  <c:v>1.1999723061838079E-9</c:v>
                </c:pt>
                <c:pt idx="242">
                  <c:v>1.1878747079506475E-9</c:v>
                </c:pt>
                <c:pt idx="243">
                  <c:v>1.0854847208197761E-9</c:v>
                </c:pt>
                <c:pt idx="244">
                  <c:v>9.7170953745724449E-10</c:v>
                </c:pt>
                <c:pt idx="245">
                  <c:v>9.3806811848615396E-10</c:v>
                </c:pt>
                <c:pt idx="246">
                  <c:v>1.0063955363280143E-9</c:v>
                </c:pt>
                <c:pt idx="247">
                  <c:v>1.1056516548963727E-9</c:v>
                </c:pt>
                <c:pt idx="248">
                  <c:v>1.133630643730365E-9</c:v>
                </c:pt>
                <c:pt idx="249">
                  <c:v>1.0512167218723972E-9</c:v>
                </c:pt>
                <c:pt idx="250">
                  <c:v>9.214919891445427E-10</c:v>
                </c:pt>
                <c:pt idx="251">
                  <c:v>8.5262326089685212E-10</c:v>
                </c:pt>
                <c:pt idx="252">
                  <c:v>8.9466056015210032E-10</c:v>
                </c:pt>
                <c:pt idx="253">
                  <c:v>9.895329654836776E-10</c:v>
                </c:pt>
                <c:pt idx="254">
                  <c:v>1.026694801804443E-9</c:v>
                </c:pt>
                <c:pt idx="255">
                  <c:v>9.5291657972847085E-10</c:v>
                </c:pt>
                <c:pt idx="256">
                  <c:v>8.262708823361886E-10</c:v>
                </c:pt>
                <c:pt idx="257">
                  <c:v>7.5670630402485885E-10</c:v>
                </c:pt>
                <c:pt idx="258">
                  <c:v>7.9212321188901714E-10</c:v>
                </c:pt>
                <c:pt idx="259">
                  <c:v>8.6915547874012716E-10</c:v>
                </c:pt>
                <c:pt idx="260">
                  <c:v>8.8234129385286092E-10</c:v>
                </c:pt>
                <c:pt idx="261">
                  <c:v>7.9803504226254318E-10</c:v>
                </c:pt>
                <c:pt idx="262">
                  <c:v>6.885407479398824E-10</c:v>
                </c:pt>
                <c:pt idx="263">
                  <c:v>6.4890604350239834E-10</c:v>
                </c:pt>
                <c:pt idx="264">
                  <c:v>6.9070986194729481E-10</c:v>
                </c:pt>
                <c:pt idx="265">
                  <c:v>7.3353504160100866E-10</c:v>
                </c:pt>
                <c:pt idx="266">
                  <c:v>7.0153166025381262E-10</c:v>
                </c:pt>
                <c:pt idx="267">
                  <c:v>6.0992802778535057E-10</c:v>
                </c:pt>
                <c:pt idx="268">
                  <c:v>5.4065522857835448E-10</c:v>
                </c:pt>
                <c:pt idx="269">
                  <c:v>5.4121277917084585E-10</c:v>
                </c:pt>
                <c:pt idx="270">
                  <c:v>5.7186733451008453E-10</c:v>
                </c:pt>
                <c:pt idx="271">
                  <c:v>5.6167861897746623E-10</c:v>
                </c:pt>
                <c:pt idx="272">
                  <c:v>4.9709383481948428E-10</c:v>
                </c:pt>
                <c:pt idx="273">
                  <c:v>4.3169925863758569E-10</c:v>
                </c:pt>
                <c:pt idx="274">
                  <c:v>4.1249941538911621E-10</c:v>
                </c:pt>
                <c:pt idx="275">
                  <c:v>4.2321208512474459E-10</c:v>
                </c:pt>
                <c:pt idx="276">
                  <c:v>4.1362479627756611E-10</c:v>
                </c:pt>
                <c:pt idx="277">
                  <c:v>3.6719351020162049E-10</c:v>
                </c:pt>
                <c:pt idx="278">
                  <c:v>3.1622432956545806E-10</c:v>
                </c:pt>
                <c:pt idx="279">
                  <c:v>2.9321858600357362E-10</c:v>
                </c:pt>
                <c:pt idx="280">
                  <c:v>2.9026179043793521E-10</c:v>
                </c:pt>
                <c:pt idx="281">
                  <c:v>2.7648368396909011E-10</c:v>
                </c:pt>
                <c:pt idx="282">
                  <c:v>2.4127718917816624E-10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6.3898051308561932E-10</c:v>
                  </c:pt>
                  <c:pt idx="1">
                    <c:v>4.5793293931858935E-10</c:v>
                  </c:pt>
                  <c:pt idx="2">
                    <c:v>3.8842062908009947E-10</c:v>
                  </c:pt>
                  <c:pt idx="3">
                    <c:v>3.2584663756305394E-10</c:v>
                  </c:pt>
                  <c:pt idx="4">
                    <c:v>3.2256108021045385E-10</c:v>
                  </c:pt>
                  <c:pt idx="5">
                    <c:v>3.3195292851381747E-10</c:v>
                  </c:pt>
                  <c:pt idx="6">
                    <c:v>3.5072558888276679E-10</c:v>
                  </c:pt>
                  <c:pt idx="7">
                    <c:v>3.3502370131116165E-10</c:v>
                  </c:pt>
                  <c:pt idx="8">
                    <c:v>3.1792387525674225E-10</c:v>
                  </c:pt>
                  <c:pt idx="9">
                    <c:v>3.4123911437181877E-10</c:v>
                  </c:pt>
                  <c:pt idx="10">
                    <c:v>3.26984937944581E-10</c:v>
                  </c:pt>
                  <c:pt idx="11">
                    <c:v>3.2364768069642762E-10</c:v>
                  </c:pt>
                  <c:pt idx="12">
                    <c:v>3.4666055230695011E-10</c:v>
                  </c:pt>
                  <c:pt idx="13">
                    <c:v>2.9153137302200912E-10</c:v>
                  </c:pt>
                  <c:pt idx="14">
                    <c:v>2.7822697336853291E-10</c:v>
                  </c:pt>
                  <c:pt idx="15">
                    <c:v>2.986263616334381E-10</c:v>
                  </c:pt>
                  <c:pt idx="16">
                    <c:v>3.0163622152587724E-10</c:v>
                  </c:pt>
                  <c:pt idx="17">
                    <c:v>5.505107939376592E-10</c:v>
                  </c:pt>
                  <c:pt idx="18">
                    <c:v>5.1687057416318281E-10</c:v>
                  </c:pt>
                  <c:pt idx="19">
                    <c:v>5.5973860476077281E-10</c:v>
                  </c:pt>
                  <c:pt idx="20">
                    <c:v>5.6783375585888373E-10</c:v>
                  </c:pt>
                  <c:pt idx="21">
                    <c:v>5.6808190597923075E-10</c:v>
                  </c:pt>
                  <c:pt idx="22">
                    <c:v>5.8469934944107898E-10</c:v>
                  </c:pt>
                  <c:pt idx="23">
                    <c:v>5.5050034732733179E-10</c:v>
                  </c:pt>
                  <c:pt idx="24">
                    <c:v>5.2574603638689732E-10</c:v>
                  </c:pt>
                  <c:pt idx="25">
                    <c:v>5.0029115241738849E-10</c:v>
                  </c:pt>
                  <c:pt idx="26">
                    <c:v>4.8668009446035732E-10</c:v>
                  </c:pt>
                  <c:pt idx="27">
                    <c:v>4.4694083435756863E-10</c:v>
                  </c:pt>
                  <c:pt idx="28">
                    <c:v>4.2719547726892544E-10</c:v>
                  </c:pt>
                  <c:pt idx="29">
                    <c:v>3.6458596194251629E-10</c:v>
                  </c:pt>
                  <c:pt idx="30">
                    <c:v>3.8408117800630816E-10</c:v>
                  </c:pt>
                  <c:pt idx="31">
                    <c:v>3.3828677981860261E-10</c:v>
                  </c:pt>
                  <c:pt idx="32">
                    <c:v>3.5030068226010797E-10</c:v>
                  </c:pt>
                  <c:pt idx="33">
                    <c:v>3.5082769953834038E-10</c:v>
                  </c:pt>
                  <c:pt idx="34">
                    <c:v>1.952644098606635E-10</c:v>
                  </c:pt>
                  <c:pt idx="35">
                    <c:v>1.9429065828180279E-10</c:v>
                  </c:pt>
                  <c:pt idx="36">
                    <c:v>1.9626758512487791E-10</c:v>
                  </c:pt>
                  <c:pt idx="37">
                    <c:v>1.7356111383824967E-10</c:v>
                  </c:pt>
                  <c:pt idx="38">
                    <c:v>2.062649043245422E-10</c:v>
                  </c:pt>
                  <c:pt idx="39">
                    <c:v>1.9056481248067974E-10</c:v>
                  </c:pt>
                  <c:pt idx="40">
                    <c:v>1.7809351197482849E-10</c:v>
                  </c:pt>
                  <c:pt idx="41">
                    <c:v>1.6932275533352779E-10</c:v>
                  </c:pt>
                  <c:pt idx="42">
                    <c:v>1.7155724484172928E-10</c:v>
                  </c:pt>
                  <c:pt idx="43">
                    <c:v>1.3893167181668754E-10</c:v>
                  </c:pt>
                  <c:pt idx="44">
                    <c:v>1.2701001698676926E-10</c:v>
                  </c:pt>
                  <c:pt idx="45">
                    <c:v>1.1409472789582693E-10</c:v>
                  </c:pt>
                  <c:pt idx="46">
                    <c:v>9.9719669716724796E-11</c:v>
                  </c:pt>
                  <c:pt idx="47">
                    <c:v>1.0272178801922034E-10</c:v>
                  </c:pt>
                  <c:pt idx="48">
                    <c:v>8.3881678576014714E-11</c:v>
                  </c:pt>
                  <c:pt idx="49">
                    <c:v>8.0552221811103264E-11</c:v>
                  </c:pt>
                  <c:pt idx="50">
                    <c:v>7.1742742689007971E-11</c:v>
                  </c:pt>
                  <c:pt idx="51">
                    <c:v>6.8245659242388197E-11</c:v>
                  </c:pt>
                  <c:pt idx="52">
                    <c:v>7.5204740389628427E-11</c:v>
                  </c:pt>
                  <c:pt idx="53">
                    <c:v>7.0359329205252122E-11</c:v>
                  </c:pt>
                  <c:pt idx="54">
                    <c:v>8.6044659771214324E-11</c:v>
                  </c:pt>
                  <c:pt idx="55">
                    <c:v>8.9092659504710974E-11</c:v>
                  </c:pt>
                  <c:pt idx="56">
                    <c:v>9.6113316030686235E-11</c:v>
                  </c:pt>
                  <c:pt idx="57">
                    <c:v>1.0380728096582652E-10</c:v>
                  </c:pt>
                  <c:pt idx="58">
                    <c:v>1.2316220547788343E-10</c:v>
                  </c:pt>
                  <c:pt idx="59">
                    <c:v>1.177329625050752E-10</c:v>
                  </c:pt>
                  <c:pt idx="60">
                    <c:v>1.2381013739454282E-10</c:v>
                  </c:pt>
                  <c:pt idx="61">
                    <c:v>8.9023214274676555E-11</c:v>
                  </c:pt>
                  <c:pt idx="62">
                    <c:v>1.0041936597455719E-10</c:v>
                  </c:pt>
                  <c:pt idx="63">
                    <c:v>9.4173786586491706E-11</c:v>
                  </c:pt>
                  <c:pt idx="64">
                    <c:v>9.5910159280824073E-11</c:v>
                  </c:pt>
                  <c:pt idx="65">
                    <c:v>1.0399990083331878E-10</c:v>
                  </c:pt>
                  <c:pt idx="66">
                    <c:v>1.0873787305134612E-10</c:v>
                  </c:pt>
                  <c:pt idx="67">
                    <c:v>1.5229030547165344E-10</c:v>
                  </c:pt>
                  <c:pt idx="68">
                    <c:v>1.4824940617315874E-10</c:v>
                  </c:pt>
                  <c:pt idx="69">
                    <c:v>1.451125560856947E-10</c:v>
                  </c:pt>
                  <c:pt idx="70">
                    <c:v>1.3444607733404607E-10</c:v>
                  </c:pt>
                  <c:pt idx="71">
                    <c:v>1.4184932396819282E-10</c:v>
                  </c:pt>
                  <c:pt idx="72">
                    <c:v>1.3366306244405785E-10</c:v>
                  </c:pt>
                  <c:pt idx="73">
                    <c:v>1.2660752074225946E-10</c:v>
                  </c:pt>
                  <c:pt idx="74">
                    <c:v>1.1516423018229108E-10</c:v>
                  </c:pt>
                  <c:pt idx="75">
                    <c:v>1.0498064322440377E-10</c:v>
                  </c:pt>
                  <c:pt idx="76">
                    <c:v>1.0077958916067812E-10</c:v>
                  </c:pt>
                  <c:pt idx="77">
                    <c:v>8.6808293016065694E-11</c:v>
                  </c:pt>
                  <c:pt idx="78">
                    <c:v>8.5485542532477129E-11</c:v>
                  </c:pt>
                  <c:pt idx="79">
                    <c:v>6.8626668409465508E-11</c:v>
                  </c:pt>
                  <c:pt idx="80">
                    <c:v>5.9147542715948537E-11</c:v>
                  </c:pt>
                  <c:pt idx="81">
                    <c:v>6.0050877743087775E-11</c:v>
                  </c:pt>
                  <c:pt idx="82">
                    <c:v>5.8342289558426877E-11</c:v>
                  </c:pt>
                  <c:pt idx="83">
                    <c:v>6.771175066799236E-11</c:v>
                  </c:pt>
                  <c:pt idx="84">
                    <c:v>6.3224797513484023E-11</c:v>
                  </c:pt>
                  <c:pt idx="85">
                    <c:v>7.39942779993485E-11</c:v>
                  </c:pt>
                  <c:pt idx="86">
                    <c:v>8.7045548116932838E-11</c:v>
                  </c:pt>
                  <c:pt idx="87">
                    <c:v>9.2260926241131903E-11</c:v>
                  </c:pt>
                  <c:pt idx="88">
                    <c:v>1.0315977412857881E-10</c:v>
                  </c:pt>
                  <c:pt idx="89">
                    <c:v>1.0634119184397737E-10</c:v>
                  </c:pt>
                  <c:pt idx="90">
                    <c:v>1.1267092376664122E-10</c:v>
                  </c:pt>
                  <c:pt idx="91">
                    <c:v>1.1834412697810992E-10</c:v>
                  </c:pt>
                  <c:pt idx="92">
                    <c:v>1.4606254592852019E-10</c:v>
                  </c:pt>
                  <c:pt idx="93">
                    <c:v>1.4780291403016765E-10</c:v>
                  </c:pt>
                  <c:pt idx="94">
                    <c:v>1.4535009494015349E-10</c:v>
                  </c:pt>
                  <c:pt idx="95">
                    <c:v>1.3862993226227336E-10</c:v>
                  </c:pt>
                  <c:pt idx="96">
                    <c:v>1.410434387907784E-10</c:v>
                  </c:pt>
                  <c:pt idx="97">
                    <c:v>1.371614540726836E-10</c:v>
                  </c:pt>
                  <c:pt idx="98">
                    <c:v>1.4506283680503468E-10</c:v>
                  </c:pt>
                  <c:pt idx="99">
                    <c:v>6.497785107238722E-11</c:v>
                  </c:pt>
                  <c:pt idx="100">
                    <c:v>6.1701824724147949E-11</c:v>
                  </c:pt>
                  <c:pt idx="101">
                    <c:v>5.2044510915101796E-11</c:v>
                  </c:pt>
                  <c:pt idx="102">
                    <c:v>4.4553695988498252E-11</c:v>
                  </c:pt>
                  <c:pt idx="103">
                    <c:v>4.0004463352313311E-11</c:v>
                  </c:pt>
                  <c:pt idx="104">
                    <c:v>3.6156323385689774E-11</c:v>
                  </c:pt>
                  <c:pt idx="105">
                    <c:v>3.0732826987983228E-11</c:v>
                  </c:pt>
                  <c:pt idx="106">
                    <c:v>2.7320068335400577E-11</c:v>
                  </c:pt>
                  <c:pt idx="107">
                    <c:v>2.5003055833118587E-11</c:v>
                  </c:pt>
                  <c:pt idx="108">
                    <c:v>2.5995726168494984E-11</c:v>
                  </c:pt>
                  <c:pt idx="109">
                    <c:v>2.7366383091791775E-11</c:v>
                  </c:pt>
                  <c:pt idx="110">
                    <c:v>3.4462736251640827E-11</c:v>
                  </c:pt>
                  <c:pt idx="111">
                    <c:v>3.8974012895904062E-11</c:v>
                  </c:pt>
                  <c:pt idx="112">
                    <c:v>4.3929305121999095E-11</c:v>
                  </c:pt>
                  <c:pt idx="113">
                    <c:v>5.2857434433094609E-11</c:v>
                  </c:pt>
                  <c:pt idx="114">
                    <c:v>6.2710572569618894E-11</c:v>
                  </c:pt>
                  <c:pt idx="115">
                    <c:v>6.8018734739218867E-11</c:v>
                  </c:pt>
                  <c:pt idx="116">
                    <c:v>6.7936500804270252E-11</c:v>
                  </c:pt>
                  <c:pt idx="117">
                    <c:v>7.2352049057788131E-11</c:v>
                  </c:pt>
                  <c:pt idx="118">
                    <c:v>8.0885839110665664E-11</c:v>
                  </c:pt>
                  <c:pt idx="119">
                    <c:v>8.7490652250804575E-11</c:v>
                  </c:pt>
                  <c:pt idx="120">
                    <c:v>7.9741096271882403E-11</c:v>
                  </c:pt>
                  <c:pt idx="121">
                    <c:v>7.9930023524129511E-11</c:v>
                  </c:pt>
                  <c:pt idx="122">
                    <c:v>7.7871118762070652E-11</c:v>
                  </c:pt>
                  <c:pt idx="123">
                    <c:v>7.8991880889051244E-11</c:v>
                  </c:pt>
                  <c:pt idx="124">
                    <c:v>6.1652879942909529E-11</c:v>
                  </c:pt>
                  <c:pt idx="125">
                    <c:v>6.0017796934093252E-11</c:v>
                  </c:pt>
                  <c:pt idx="126">
                    <c:v>5.6634727548438011E-11</c:v>
                  </c:pt>
                  <c:pt idx="127">
                    <c:v>4.4514205870531521E-11</c:v>
                  </c:pt>
                  <c:pt idx="128">
                    <c:v>4.4216892494988426E-11</c:v>
                  </c:pt>
                  <c:pt idx="129">
                    <c:v>4.0782615791638391E-11</c:v>
                  </c:pt>
                  <c:pt idx="130">
                    <c:v>5.0439880743030357E-11</c:v>
                  </c:pt>
                  <c:pt idx="131">
                    <c:v>5.9109770390603254E-11</c:v>
                  </c:pt>
                  <c:pt idx="132">
                    <c:v>6.7078254291923893E-11</c:v>
                  </c:pt>
                  <c:pt idx="133">
                    <c:v>7.059824704906574E-11</c:v>
                  </c:pt>
                  <c:pt idx="134">
                    <c:v>8.363690836230231E-11</c:v>
                  </c:pt>
                  <c:pt idx="135">
                    <c:v>9.3894924580629761E-11</c:v>
                  </c:pt>
                  <c:pt idx="136">
                    <c:v>1.0827821712311132E-10</c:v>
                  </c:pt>
                  <c:pt idx="137">
                    <c:v>1.0947577854252613E-10</c:v>
                  </c:pt>
                  <c:pt idx="138">
                    <c:v>1.1508609561519557E-10</c:v>
                  </c:pt>
                  <c:pt idx="139">
                    <c:v>1.2609718050139047E-10</c:v>
                  </c:pt>
                  <c:pt idx="140">
                    <c:v>1.2520274515884382E-10</c:v>
                  </c:pt>
                  <c:pt idx="141">
                    <c:v>1.055456838582013E-10</c:v>
                  </c:pt>
                  <c:pt idx="142">
                    <c:v>9.8408340187807349E-11</c:v>
                  </c:pt>
                  <c:pt idx="143">
                    <c:v>9.7672646879957372E-11</c:v>
                  </c:pt>
                  <c:pt idx="144">
                    <c:v>7.8448971359905281E-11</c:v>
                  </c:pt>
                  <c:pt idx="145">
                    <c:v>8.0037660052389286E-11</c:v>
                  </c:pt>
                  <c:pt idx="146">
                    <c:v>7.1237359371964301E-11</c:v>
                  </c:pt>
                  <c:pt idx="147">
                    <c:v>7.5635479000589887E-11</c:v>
                  </c:pt>
                  <c:pt idx="148">
                    <c:v>8.350202462010555E-11</c:v>
                  </c:pt>
                  <c:pt idx="149">
                    <c:v>8.9152476698860154E-11</c:v>
                  </c:pt>
                  <c:pt idx="150">
                    <c:v>1.0735557584137113E-10</c:v>
                  </c:pt>
                  <c:pt idx="151">
                    <c:v>1.2039349585362327E-10</c:v>
                  </c:pt>
                  <c:pt idx="152">
                    <c:v>1.3638471045406598E-10</c:v>
                  </c:pt>
                  <c:pt idx="153">
                    <c:v>1.4330883916147034E-10</c:v>
                  </c:pt>
                  <c:pt idx="154">
                    <c:v>1.5191744904745023E-10</c:v>
                  </c:pt>
                  <c:pt idx="155">
                    <c:v>1.3679462215536995E-10</c:v>
                  </c:pt>
                  <c:pt idx="156">
                    <c:v>1.4700887086163847E-10</c:v>
                  </c:pt>
                  <c:pt idx="157">
                    <c:v>1.3633588679487516E-10</c:v>
                  </c:pt>
                  <c:pt idx="158">
                    <c:v>1.2890941344239228E-10</c:v>
                  </c:pt>
                  <c:pt idx="159">
                    <c:v>1.1863763511905034E-10</c:v>
                  </c:pt>
                  <c:pt idx="160">
                    <c:v>9.9724546921460907E-11</c:v>
                  </c:pt>
                  <c:pt idx="161">
                    <c:v>1.0017373252015752E-10</c:v>
                  </c:pt>
                  <c:pt idx="162">
                    <c:v>1.0044622783999098E-10</c:v>
                  </c:pt>
                  <c:pt idx="163">
                    <c:v>1.1339304561719344E-10</c:v>
                  </c:pt>
                  <c:pt idx="164">
                    <c:v>1.2016768266425633E-10</c:v>
                  </c:pt>
                  <c:pt idx="165">
                    <c:v>1.4825315191092848E-10</c:v>
                  </c:pt>
                  <c:pt idx="166">
                    <c:v>1.7730038698213835E-10</c:v>
                  </c:pt>
                  <c:pt idx="167">
                    <c:v>1.7867804438308787E-10</c:v>
                  </c:pt>
                  <c:pt idx="168">
                    <c:v>1.8743948638319863E-10</c:v>
                  </c:pt>
                  <c:pt idx="169">
                    <c:v>2.0986173610716663E-10</c:v>
                  </c:pt>
                  <c:pt idx="170">
                    <c:v>1.9459012101476423E-10</c:v>
                  </c:pt>
                  <c:pt idx="171">
                    <c:v>8.3661384873415455E-11</c:v>
                  </c:pt>
                  <c:pt idx="172">
                    <c:v>8.3574755019874165E-11</c:v>
                  </c:pt>
                  <c:pt idx="173">
                    <c:v>6.7694500071143854E-11</c:v>
                  </c:pt>
                  <c:pt idx="174">
                    <c:v>5.3599359635000887E-11</c:v>
                  </c:pt>
                  <c:pt idx="175">
                    <c:v>5.2849681137897884E-11</c:v>
                  </c:pt>
                  <c:pt idx="176">
                    <c:v>4.6024114741363283E-11</c:v>
                  </c:pt>
                  <c:pt idx="177">
                    <c:v>5.5428605438110433E-11</c:v>
                  </c:pt>
                  <c:pt idx="178">
                    <c:v>6.5236059948887656E-11</c:v>
                  </c:pt>
                  <c:pt idx="179">
                    <c:v>7.2425808688674052E-11</c:v>
                  </c:pt>
                  <c:pt idx="180">
                    <c:v>7.8594677528534848E-11</c:v>
                  </c:pt>
                  <c:pt idx="181">
                    <c:v>9.0897310191382402E-11</c:v>
                  </c:pt>
                  <c:pt idx="182">
                    <c:v>9.5675418531513088E-11</c:v>
                  </c:pt>
                  <c:pt idx="183">
                    <c:v>9.2498724509063975E-11</c:v>
                  </c:pt>
                  <c:pt idx="184">
                    <c:v>8.6404423227236874E-11</c:v>
                  </c:pt>
                  <c:pt idx="185">
                    <c:v>7.8788024658255588E-11</c:v>
                  </c:pt>
                  <c:pt idx="186">
                    <c:v>7.2944916580774523E-11</c:v>
                  </c:pt>
                  <c:pt idx="187">
                    <c:v>7.0122557802950342E-11</c:v>
                  </c:pt>
                  <c:pt idx="188">
                    <c:v>6.4692044449056582E-11</c:v>
                  </c:pt>
                  <c:pt idx="189">
                    <c:v>6.7395785976363448E-11</c:v>
                  </c:pt>
                  <c:pt idx="190">
                    <c:v>8.3283897221060803E-11</c:v>
                  </c:pt>
                  <c:pt idx="191">
                    <c:v>1.0037300404230876E-10</c:v>
                  </c:pt>
                  <c:pt idx="192">
                    <c:v>9.4407660801118368E-11</c:v>
                  </c:pt>
                  <c:pt idx="193">
                    <c:v>1.1179285851848475E-10</c:v>
                  </c:pt>
                  <c:pt idx="194">
                    <c:v>1.1155778058321045E-10</c:v>
                  </c:pt>
                  <c:pt idx="195">
                    <c:v>9.4810136917969147E-11</c:v>
                  </c:pt>
                  <c:pt idx="196">
                    <c:v>8.7548669454664682E-11</c:v>
                  </c:pt>
                  <c:pt idx="197">
                    <c:v>8.3523702670331598E-11</c:v>
                  </c:pt>
                  <c:pt idx="198">
                    <c:v>8.6777551633634254E-11</c:v>
                  </c:pt>
                  <c:pt idx="199">
                    <c:v>8.5273545355120739E-11</c:v>
                  </c:pt>
                  <c:pt idx="200">
                    <c:v>9.4462496501439985E-11</c:v>
                  </c:pt>
                  <c:pt idx="201">
                    <c:v>1.0155304848648343E-10</c:v>
                  </c:pt>
                  <c:pt idx="202">
                    <c:v>1.1956234287915872E-10</c:v>
                  </c:pt>
                  <c:pt idx="203">
                    <c:v>1.2608155888373862E-10</c:v>
                  </c:pt>
                  <c:pt idx="204">
                    <c:v>1.2356417264639852E-10</c:v>
                  </c:pt>
                  <c:pt idx="205">
                    <c:v>1.2184353183202023E-10</c:v>
                  </c:pt>
                  <c:pt idx="206">
                    <c:v>1.0861551452401176E-10</c:v>
                  </c:pt>
                  <c:pt idx="207">
                    <c:v>1.0148876776751418E-10</c:v>
                  </c:pt>
                  <c:pt idx="208">
                    <c:v>1.0520752989235205E-10</c:v>
                  </c:pt>
                  <c:pt idx="209">
                    <c:v>1.0962963373115132E-10</c:v>
                  </c:pt>
                  <c:pt idx="210">
                    <c:v>1.2973563299324766E-10</c:v>
                  </c:pt>
                  <c:pt idx="211">
                    <c:v>1.3883734126098711E-10</c:v>
                  </c:pt>
                  <c:pt idx="212">
                    <c:v>1.351889444621078E-10</c:v>
                  </c:pt>
                  <c:pt idx="213">
                    <c:v>1.4901658742541518E-10</c:v>
                  </c:pt>
                  <c:pt idx="214">
                    <c:v>1.3443545430201838E-10</c:v>
                  </c:pt>
                  <c:pt idx="215">
                    <c:v>1.4902053250734259E-10</c:v>
                  </c:pt>
                  <c:pt idx="216">
                    <c:v>1.1775935277804102E-10</c:v>
                  </c:pt>
                  <c:pt idx="217">
                    <c:v>1.2339043253141954E-10</c:v>
                  </c:pt>
                  <c:pt idx="218">
                    <c:v>1.3989408034505617E-10</c:v>
                  </c:pt>
                  <c:pt idx="219">
                    <c:v>1.5363638252324557E-10</c:v>
                  </c:pt>
                  <c:pt idx="220">
                    <c:v>1.386804572622062E-10</c:v>
                  </c:pt>
                  <c:pt idx="221">
                    <c:v>1.6755207334247617E-10</c:v>
                  </c:pt>
                  <c:pt idx="222">
                    <c:v>1.6035684664146934E-10</c:v>
                  </c:pt>
                  <c:pt idx="223">
                    <c:v>1.5899456917791565E-10</c:v>
                  </c:pt>
                  <c:pt idx="224">
                    <c:v>1.5209557103212817E-10</c:v>
                  </c:pt>
                  <c:pt idx="225">
                    <c:v>1.4743534138331498E-10</c:v>
                  </c:pt>
                  <c:pt idx="226">
                    <c:v>1.5017687807283427E-10</c:v>
                  </c:pt>
                  <c:pt idx="227">
                    <c:v>1.7442737002892108E-10</c:v>
                  </c:pt>
                  <c:pt idx="228">
                    <c:v>1.7919785065611025E-10</c:v>
                  </c:pt>
                  <c:pt idx="229">
                    <c:v>1.7572437500416277E-10</c:v>
                  </c:pt>
                  <c:pt idx="230">
                    <c:v>1.7223018490052034E-10</c:v>
                  </c:pt>
                  <c:pt idx="231">
                    <c:v>1.4459871174192505E-10</c:v>
                  </c:pt>
                  <c:pt idx="232">
                    <c:v>1.528718732427094E-10</c:v>
                  </c:pt>
                  <c:pt idx="233">
                    <c:v>1.6698468469815832E-10</c:v>
                  </c:pt>
                  <c:pt idx="234">
                    <c:v>1.8431310338366167E-10</c:v>
                  </c:pt>
                  <c:pt idx="235">
                    <c:v>1.9077105082844566E-10</c:v>
                  </c:pt>
                  <c:pt idx="236">
                    <c:v>1.9486932154796963E-10</c:v>
                  </c:pt>
                  <c:pt idx="237">
                    <c:v>1.9657724435894962E-10</c:v>
                  </c:pt>
                  <c:pt idx="238">
                    <c:v>2.1390123315225579E-10</c:v>
                  </c:pt>
                  <c:pt idx="239">
                    <c:v>2.199155769095517E-10</c:v>
                  </c:pt>
                  <c:pt idx="240">
                    <c:v>1.889573659761694E-10</c:v>
                  </c:pt>
                  <c:pt idx="241">
                    <c:v>1.2099119427995469E-10</c:v>
                  </c:pt>
                  <c:pt idx="242">
                    <c:v>1.3253986253214188E-10</c:v>
                  </c:pt>
                  <c:pt idx="243">
                    <c:v>1.1742853484361302E-10</c:v>
                  </c:pt>
                  <c:pt idx="244">
                    <c:v>1.266532484340856E-10</c:v>
                  </c:pt>
                  <c:pt idx="245">
                    <c:v>1.061367650790477E-10</c:v>
                  </c:pt>
                  <c:pt idx="246">
                    <c:v>1.1352629388272429E-10</c:v>
                  </c:pt>
                  <c:pt idx="247">
                    <c:v>1.2440933292251169E-10</c:v>
                  </c:pt>
                  <c:pt idx="248">
                    <c:v>1.2886758695860695E-10</c:v>
                  </c:pt>
                  <c:pt idx="249">
                    <c:v>1.2927319207447522E-10</c:v>
                  </c:pt>
                  <c:pt idx="250">
                    <c:v>1.263237654138419E-10</c:v>
                  </c:pt>
                  <c:pt idx="251">
                    <c:v>1.3315803371926118E-10</c:v>
                  </c:pt>
                  <c:pt idx="252">
                    <c:v>1.4108280664098347E-10</c:v>
                  </c:pt>
                  <c:pt idx="253">
                    <c:v>1.2407531314838871E-10</c:v>
                  </c:pt>
                  <c:pt idx="254">
                    <c:v>1.5446252470224753E-10</c:v>
                  </c:pt>
                  <c:pt idx="255">
                    <c:v>1.5056535951266699E-10</c:v>
                  </c:pt>
                  <c:pt idx="256">
                    <c:v>1.4200881270485486E-10</c:v>
                  </c:pt>
                  <c:pt idx="257">
                    <c:v>1.5507562324056696E-10</c:v>
                  </c:pt>
                  <c:pt idx="258">
                    <c:v>1.6745846275908588E-10</c:v>
                  </c:pt>
                  <c:pt idx="259">
                    <c:v>1.5735893036538147E-10</c:v>
                  </c:pt>
                  <c:pt idx="260">
                    <c:v>1.6638632203464596E-10</c:v>
                  </c:pt>
                  <c:pt idx="261">
                    <c:v>1.6759543466551887E-10</c:v>
                  </c:pt>
                  <c:pt idx="262">
                    <c:v>1.7440820813093713E-10</c:v>
                  </c:pt>
                  <c:pt idx="263">
                    <c:v>1.6705660573282638E-10</c:v>
                  </c:pt>
                  <c:pt idx="264">
                    <c:v>1.623849191123262E-10</c:v>
                  </c:pt>
                  <c:pt idx="265">
                    <c:v>1.9184667829973915E-10</c:v>
                  </c:pt>
                  <c:pt idx="266">
                    <c:v>1.7221270744165805E-10</c:v>
                  </c:pt>
                  <c:pt idx="267">
                    <c:v>1.9909818670323278E-10</c:v>
                  </c:pt>
                  <c:pt idx="268">
                    <c:v>1.8364908963868605E-10</c:v>
                  </c:pt>
                  <c:pt idx="269">
                    <c:v>2.0134735477288905E-10</c:v>
                  </c:pt>
                  <c:pt idx="270">
                    <c:v>1.9539735333189268E-10</c:v>
                  </c:pt>
                  <c:pt idx="271">
                    <c:v>2.0605982636129556E-10</c:v>
                  </c:pt>
                  <c:pt idx="272">
                    <c:v>2.1389848722942867E-10</c:v>
                  </c:pt>
                  <c:pt idx="273">
                    <c:v>2.4339888879738891E-10</c:v>
                  </c:pt>
                  <c:pt idx="274">
                    <c:v>2.2857335436112565E-10</c:v>
                  </c:pt>
                  <c:pt idx="275">
                    <c:v>2.0789788169912976E-10</c:v>
                  </c:pt>
                  <c:pt idx="276">
                    <c:v>2.3756024997059769E-10</c:v>
                  </c:pt>
                  <c:pt idx="277">
                    <c:v>2.5629771748364142E-10</c:v>
                  </c:pt>
                  <c:pt idx="278">
                    <c:v>2.4492228118254799E-10</c:v>
                  </c:pt>
                  <c:pt idx="279">
                    <c:v>2.5029298183690749E-10</c:v>
                  </c:pt>
                  <c:pt idx="280">
                    <c:v>2.5136920366111931E-10</c:v>
                  </c:pt>
                  <c:pt idx="281">
                    <c:v>2.8798584657901805E-10</c:v>
                  </c:pt>
                  <c:pt idx="282">
                    <c:v>2.6409425625218042E-10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6.3898051308561932E-10</c:v>
                  </c:pt>
                  <c:pt idx="1">
                    <c:v>4.5793293931858935E-10</c:v>
                  </c:pt>
                  <c:pt idx="2">
                    <c:v>3.8842062908009947E-10</c:v>
                  </c:pt>
                  <c:pt idx="3">
                    <c:v>3.2584663756305394E-10</c:v>
                  </c:pt>
                  <c:pt idx="4">
                    <c:v>3.2256108021045385E-10</c:v>
                  </c:pt>
                  <c:pt idx="5">
                    <c:v>3.3195292851381747E-10</c:v>
                  </c:pt>
                  <c:pt idx="6">
                    <c:v>3.5072558888276679E-10</c:v>
                  </c:pt>
                  <c:pt idx="7">
                    <c:v>3.3502370131116165E-10</c:v>
                  </c:pt>
                  <c:pt idx="8">
                    <c:v>3.1792387525674225E-10</c:v>
                  </c:pt>
                  <c:pt idx="9">
                    <c:v>3.4123911437181877E-10</c:v>
                  </c:pt>
                  <c:pt idx="10">
                    <c:v>3.26984937944581E-10</c:v>
                  </c:pt>
                  <c:pt idx="11">
                    <c:v>3.2364768069642762E-10</c:v>
                  </c:pt>
                  <c:pt idx="12">
                    <c:v>3.4666055230695011E-10</c:v>
                  </c:pt>
                  <c:pt idx="13">
                    <c:v>2.9153137302200912E-10</c:v>
                  </c:pt>
                  <c:pt idx="14">
                    <c:v>2.7822697336853291E-10</c:v>
                  </c:pt>
                  <c:pt idx="15">
                    <c:v>2.986263616334381E-10</c:v>
                  </c:pt>
                  <c:pt idx="16">
                    <c:v>3.0163622152587724E-10</c:v>
                  </c:pt>
                  <c:pt idx="17">
                    <c:v>5.505107939376592E-10</c:v>
                  </c:pt>
                  <c:pt idx="18">
                    <c:v>5.1687057416318281E-10</c:v>
                  </c:pt>
                  <c:pt idx="19">
                    <c:v>5.5973860476077281E-10</c:v>
                  </c:pt>
                  <c:pt idx="20">
                    <c:v>5.6783375585888373E-10</c:v>
                  </c:pt>
                  <c:pt idx="21">
                    <c:v>5.6808190597923075E-10</c:v>
                  </c:pt>
                  <c:pt idx="22">
                    <c:v>5.8469934944107898E-10</c:v>
                  </c:pt>
                  <c:pt idx="23">
                    <c:v>5.5050034732733179E-10</c:v>
                  </c:pt>
                  <c:pt idx="24">
                    <c:v>5.2574603638689732E-10</c:v>
                  </c:pt>
                  <c:pt idx="25">
                    <c:v>5.0029115241738849E-10</c:v>
                  </c:pt>
                  <c:pt idx="26">
                    <c:v>4.8668009446035732E-10</c:v>
                  </c:pt>
                  <c:pt idx="27">
                    <c:v>4.4694083435756863E-10</c:v>
                  </c:pt>
                  <c:pt idx="28">
                    <c:v>4.2719547726892544E-10</c:v>
                  </c:pt>
                  <c:pt idx="29">
                    <c:v>3.6458596194251629E-10</c:v>
                  </c:pt>
                  <c:pt idx="30">
                    <c:v>3.8408117800630816E-10</c:v>
                  </c:pt>
                  <c:pt idx="31">
                    <c:v>3.3828677981860261E-10</c:v>
                  </c:pt>
                  <c:pt idx="32">
                    <c:v>3.5030068226010797E-10</c:v>
                  </c:pt>
                  <c:pt idx="33">
                    <c:v>3.5082769953834038E-10</c:v>
                  </c:pt>
                  <c:pt idx="34">
                    <c:v>1.952644098606635E-10</c:v>
                  </c:pt>
                  <c:pt idx="35">
                    <c:v>1.9429065828180279E-10</c:v>
                  </c:pt>
                  <c:pt idx="36">
                    <c:v>1.9626758512487791E-10</c:v>
                  </c:pt>
                  <c:pt idx="37">
                    <c:v>1.7356111383824967E-10</c:v>
                  </c:pt>
                  <c:pt idx="38">
                    <c:v>2.062649043245422E-10</c:v>
                  </c:pt>
                  <c:pt idx="39">
                    <c:v>1.9056481248067974E-10</c:v>
                  </c:pt>
                  <c:pt idx="40">
                    <c:v>1.7809351197482849E-10</c:v>
                  </c:pt>
                  <c:pt idx="41">
                    <c:v>1.6932275533352779E-10</c:v>
                  </c:pt>
                  <c:pt idx="42">
                    <c:v>1.7155724484172928E-10</c:v>
                  </c:pt>
                  <c:pt idx="43">
                    <c:v>1.3893167181668754E-10</c:v>
                  </c:pt>
                  <c:pt idx="44">
                    <c:v>1.2701001698676926E-10</c:v>
                  </c:pt>
                  <c:pt idx="45">
                    <c:v>1.1409472789582693E-10</c:v>
                  </c:pt>
                  <c:pt idx="46">
                    <c:v>9.9719669716724796E-11</c:v>
                  </c:pt>
                  <c:pt idx="47">
                    <c:v>1.0272178801922034E-10</c:v>
                  </c:pt>
                  <c:pt idx="48">
                    <c:v>8.3881678576014714E-11</c:v>
                  </c:pt>
                  <c:pt idx="49">
                    <c:v>8.0552221811103264E-11</c:v>
                  </c:pt>
                  <c:pt idx="50">
                    <c:v>7.1742742689007971E-11</c:v>
                  </c:pt>
                  <c:pt idx="51">
                    <c:v>6.8245659242388197E-11</c:v>
                  </c:pt>
                  <c:pt idx="52">
                    <c:v>7.5204740389628427E-11</c:v>
                  </c:pt>
                  <c:pt idx="53">
                    <c:v>7.0359329205252122E-11</c:v>
                  </c:pt>
                  <c:pt idx="54">
                    <c:v>8.6044659771214324E-11</c:v>
                  </c:pt>
                  <c:pt idx="55">
                    <c:v>8.9092659504710974E-11</c:v>
                  </c:pt>
                  <c:pt idx="56">
                    <c:v>9.6113316030686235E-11</c:v>
                  </c:pt>
                  <c:pt idx="57">
                    <c:v>1.0380728096582652E-10</c:v>
                  </c:pt>
                  <c:pt idx="58">
                    <c:v>1.2316220547788343E-10</c:v>
                  </c:pt>
                  <c:pt idx="59">
                    <c:v>1.177329625050752E-10</c:v>
                  </c:pt>
                  <c:pt idx="60">
                    <c:v>1.2381013739454282E-10</c:v>
                  </c:pt>
                  <c:pt idx="61">
                    <c:v>8.9023214274676555E-11</c:v>
                  </c:pt>
                  <c:pt idx="62">
                    <c:v>1.0041936597455719E-10</c:v>
                  </c:pt>
                  <c:pt idx="63">
                    <c:v>9.4173786586491706E-11</c:v>
                  </c:pt>
                  <c:pt idx="64">
                    <c:v>9.5910159280824073E-11</c:v>
                  </c:pt>
                  <c:pt idx="65">
                    <c:v>1.0399990083331878E-10</c:v>
                  </c:pt>
                  <c:pt idx="66">
                    <c:v>1.0873787305134612E-10</c:v>
                  </c:pt>
                  <c:pt idx="67">
                    <c:v>1.5229030547165344E-10</c:v>
                  </c:pt>
                  <c:pt idx="68">
                    <c:v>1.4824940617315874E-10</c:v>
                  </c:pt>
                  <c:pt idx="69">
                    <c:v>1.451125560856947E-10</c:v>
                  </c:pt>
                  <c:pt idx="70">
                    <c:v>1.3444607733404607E-10</c:v>
                  </c:pt>
                  <c:pt idx="71">
                    <c:v>1.4184932396819282E-10</c:v>
                  </c:pt>
                  <c:pt idx="72">
                    <c:v>1.3366306244405785E-10</c:v>
                  </c:pt>
                  <c:pt idx="73">
                    <c:v>1.2660752074225946E-10</c:v>
                  </c:pt>
                  <c:pt idx="74">
                    <c:v>1.1516423018229108E-10</c:v>
                  </c:pt>
                  <c:pt idx="75">
                    <c:v>1.0498064322440377E-10</c:v>
                  </c:pt>
                  <c:pt idx="76">
                    <c:v>1.0077958916067812E-10</c:v>
                  </c:pt>
                  <c:pt idx="77">
                    <c:v>8.6808293016065694E-11</c:v>
                  </c:pt>
                  <c:pt idx="78">
                    <c:v>8.5485542532477129E-11</c:v>
                  </c:pt>
                  <c:pt idx="79">
                    <c:v>6.8626668409465508E-11</c:v>
                  </c:pt>
                  <c:pt idx="80">
                    <c:v>5.9147542715948537E-11</c:v>
                  </c:pt>
                  <c:pt idx="81">
                    <c:v>6.0050877743087775E-11</c:v>
                  </c:pt>
                  <c:pt idx="82">
                    <c:v>5.8342289558426877E-11</c:v>
                  </c:pt>
                  <c:pt idx="83">
                    <c:v>6.771175066799236E-11</c:v>
                  </c:pt>
                  <c:pt idx="84">
                    <c:v>6.3224797513484023E-11</c:v>
                  </c:pt>
                  <c:pt idx="85">
                    <c:v>7.39942779993485E-11</c:v>
                  </c:pt>
                  <c:pt idx="86">
                    <c:v>8.7045548116932838E-11</c:v>
                  </c:pt>
                  <c:pt idx="87">
                    <c:v>9.2260926241131903E-11</c:v>
                  </c:pt>
                  <c:pt idx="88">
                    <c:v>1.0315977412857881E-10</c:v>
                  </c:pt>
                  <c:pt idx="89">
                    <c:v>1.0634119184397737E-10</c:v>
                  </c:pt>
                  <c:pt idx="90">
                    <c:v>1.1267092376664122E-10</c:v>
                  </c:pt>
                  <c:pt idx="91">
                    <c:v>1.1834412697810992E-10</c:v>
                  </c:pt>
                  <c:pt idx="92">
                    <c:v>1.4606254592852019E-10</c:v>
                  </c:pt>
                  <c:pt idx="93">
                    <c:v>1.4780291403016765E-10</c:v>
                  </c:pt>
                  <c:pt idx="94">
                    <c:v>1.4535009494015349E-10</c:v>
                  </c:pt>
                  <c:pt idx="95">
                    <c:v>1.3862993226227336E-10</c:v>
                  </c:pt>
                  <c:pt idx="96">
                    <c:v>1.410434387907784E-10</c:v>
                  </c:pt>
                  <c:pt idx="97">
                    <c:v>1.371614540726836E-10</c:v>
                  </c:pt>
                  <c:pt idx="98">
                    <c:v>1.4506283680503468E-10</c:v>
                  </c:pt>
                  <c:pt idx="99">
                    <c:v>6.497785107238722E-11</c:v>
                  </c:pt>
                  <c:pt idx="100">
                    <c:v>6.1701824724147949E-11</c:v>
                  </c:pt>
                  <c:pt idx="101">
                    <c:v>5.2044510915101796E-11</c:v>
                  </c:pt>
                  <c:pt idx="102">
                    <c:v>4.4553695988498252E-11</c:v>
                  </c:pt>
                  <c:pt idx="103">
                    <c:v>4.0004463352313311E-11</c:v>
                  </c:pt>
                  <c:pt idx="104">
                    <c:v>3.6156323385689774E-11</c:v>
                  </c:pt>
                  <c:pt idx="105">
                    <c:v>3.0732826987983228E-11</c:v>
                  </c:pt>
                  <c:pt idx="106">
                    <c:v>2.7320068335400577E-11</c:v>
                  </c:pt>
                  <c:pt idx="107">
                    <c:v>2.5003055833118587E-11</c:v>
                  </c:pt>
                  <c:pt idx="108">
                    <c:v>2.5995726168494984E-11</c:v>
                  </c:pt>
                  <c:pt idx="109">
                    <c:v>2.7366383091791775E-11</c:v>
                  </c:pt>
                  <c:pt idx="110">
                    <c:v>3.4462736251640827E-11</c:v>
                  </c:pt>
                  <c:pt idx="111">
                    <c:v>3.8974012895904062E-11</c:v>
                  </c:pt>
                  <c:pt idx="112">
                    <c:v>4.3929305121999095E-11</c:v>
                  </c:pt>
                  <c:pt idx="113">
                    <c:v>5.2857434433094609E-11</c:v>
                  </c:pt>
                  <c:pt idx="114">
                    <c:v>6.2710572569618894E-11</c:v>
                  </c:pt>
                  <c:pt idx="115">
                    <c:v>6.8018734739218867E-11</c:v>
                  </c:pt>
                  <c:pt idx="116">
                    <c:v>6.7936500804270252E-11</c:v>
                  </c:pt>
                  <c:pt idx="117">
                    <c:v>7.2352049057788131E-11</c:v>
                  </c:pt>
                  <c:pt idx="118">
                    <c:v>8.0885839110665664E-11</c:v>
                  </c:pt>
                  <c:pt idx="119">
                    <c:v>8.7490652250804575E-11</c:v>
                  </c:pt>
                  <c:pt idx="120">
                    <c:v>7.9741096271882403E-11</c:v>
                  </c:pt>
                  <c:pt idx="121">
                    <c:v>7.9930023524129511E-11</c:v>
                  </c:pt>
                  <c:pt idx="122">
                    <c:v>7.7871118762070652E-11</c:v>
                  </c:pt>
                  <c:pt idx="123">
                    <c:v>7.8991880889051244E-11</c:v>
                  </c:pt>
                  <c:pt idx="124">
                    <c:v>6.1652879942909529E-11</c:v>
                  </c:pt>
                  <c:pt idx="125">
                    <c:v>6.0017796934093252E-11</c:v>
                  </c:pt>
                  <c:pt idx="126">
                    <c:v>5.6634727548438011E-11</c:v>
                  </c:pt>
                  <c:pt idx="127">
                    <c:v>4.4514205870531521E-11</c:v>
                  </c:pt>
                  <c:pt idx="128">
                    <c:v>4.4216892494988426E-11</c:v>
                  </c:pt>
                  <c:pt idx="129">
                    <c:v>4.0782615791638391E-11</c:v>
                  </c:pt>
                  <c:pt idx="130">
                    <c:v>5.0439880743030357E-11</c:v>
                  </c:pt>
                  <c:pt idx="131">
                    <c:v>5.9109770390603254E-11</c:v>
                  </c:pt>
                  <c:pt idx="132">
                    <c:v>6.7078254291923893E-11</c:v>
                  </c:pt>
                  <c:pt idx="133">
                    <c:v>7.059824704906574E-11</c:v>
                  </c:pt>
                  <c:pt idx="134">
                    <c:v>8.363690836230231E-11</c:v>
                  </c:pt>
                  <c:pt idx="135">
                    <c:v>9.3894924580629761E-11</c:v>
                  </c:pt>
                  <c:pt idx="136">
                    <c:v>1.0827821712311132E-10</c:v>
                  </c:pt>
                  <c:pt idx="137">
                    <c:v>1.0947577854252613E-10</c:v>
                  </c:pt>
                  <c:pt idx="138">
                    <c:v>1.1508609561519557E-10</c:v>
                  </c:pt>
                  <c:pt idx="139">
                    <c:v>1.2609718050139047E-10</c:v>
                  </c:pt>
                  <c:pt idx="140">
                    <c:v>1.2520274515884382E-10</c:v>
                  </c:pt>
                  <c:pt idx="141">
                    <c:v>1.055456838582013E-10</c:v>
                  </c:pt>
                  <c:pt idx="142">
                    <c:v>9.8408340187807349E-11</c:v>
                  </c:pt>
                  <c:pt idx="143">
                    <c:v>9.7672646879957372E-11</c:v>
                  </c:pt>
                  <c:pt idx="144">
                    <c:v>7.8448971359905281E-11</c:v>
                  </c:pt>
                  <c:pt idx="145">
                    <c:v>8.0037660052389286E-11</c:v>
                  </c:pt>
                  <c:pt idx="146">
                    <c:v>7.1237359371964301E-11</c:v>
                  </c:pt>
                  <c:pt idx="147">
                    <c:v>7.5635479000589887E-11</c:v>
                  </c:pt>
                  <c:pt idx="148">
                    <c:v>8.350202462010555E-11</c:v>
                  </c:pt>
                  <c:pt idx="149">
                    <c:v>8.9152476698860154E-11</c:v>
                  </c:pt>
                  <c:pt idx="150">
                    <c:v>1.0735557584137113E-10</c:v>
                  </c:pt>
                  <c:pt idx="151">
                    <c:v>1.2039349585362327E-10</c:v>
                  </c:pt>
                  <c:pt idx="152">
                    <c:v>1.3638471045406598E-10</c:v>
                  </c:pt>
                  <c:pt idx="153">
                    <c:v>1.4330883916147034E-10</c:v>
                  </c:pt>
                  <c:pt idx="154">
                    <c:v>1.5191744904745023E-10</c:v>
                  </c:pt>
                  <c:pt idx="155">
                    <c:v>1.3679462215536995E-10</c:v>
                  </c:pt>
                  <c:pt idx="156">
                    <c:v>1.4700887086163847E-10</c:v>
                  </c:pt>
                  <c:pt idx="157">
                    <c:v>1.3633588679487516E-10</c:v>
                  </c:pt>
                  <c:pt idx="158">
                    <c:v>1.2890941344239228E-10</c:v>
                  </c:pt>
                  <c:pt idx="159">
                    <c:v>1.1863763511905034E-10</c:v>
                  </c:pt>
                  <c:pt idx="160">
                    <c:v>9.9724546921460907E-11</c:v>
                  </c:pt>
                  <c:pt idx="161">
                    <c:v>1.0017373252015752E-10</c:v>
                  </c:pt>
                  <c:pt idx="162">
                    <c:v>1.0044622783999098E-10</c:v>
                  </c:pt>
                  <c:pt idx="163">
                    <c:v>1.1339304561719344E-10</c:v>
                  </c:pt>
                  <c:pt idx="164">
                    <c:v>1.2016768266425633E-10</c:v>
                  </c:pt>
                  <c:pt idx="165">
                    <c:v>1.4825315191092848E-10</c:v>
                  </c:pt>
                  <c:pt idx="166">
                    <c:v>1.7730038698213835E-10</c:v>
                  </c:pt>
                  <c:pt idx="167">
                    <c:v>1.7867804438308787E-10</c:v>
                  </c:pt>
                  <c:pt idx="168">
                    <c:v>1.8743948638319863E-10</c:v>
                  </c:pt>
                  <c:pt idx="169">
                    <c:v>2.0986173610716663E-10</c:v>
                  </c:pt>
                  <c:pt idx="170">
                    <c:v>1.9459012101476423E-10</c:v>
                  </c:pt>
                  <c:pt idx="171">
                    <c:v>8.3661384873415455E-11</c:v>
                  </c:pt>
                  <c:pt idx="172">
                    <c:v>8.3574755019874165E-11</c:v>
                  </c:pt>
                  <c:pt idx="173">
                    <c:v>6.7694500071143854E-11</c:v>
                  </c:pt>
                  <c:pt idx="174">
                    <c:v>5.3599359635000887E-11</c:v>
                  </c:pt>
                  <c:pt idx="175">
                    <c:v>5.2849681137897884E-11</c:v>
                  </c:pt>
                  <c:pt idx="176">
                    <c:v>4.6024114741363283E-11</c:v>
                  </c:pt>
                  <c:pt idx="177">
                    <c:v>5.5428605438110433E-11</c:v>
                  </c:pt>
                  <c:pt idx="178">
                    <c:v>6.5236059948887656E-11</c:v>
                  </c:pt>
                  <c:pt idx="179">
                    <c:v>7.2425808688674052E-11</c:v>
                  </c:pt>
                  <c:pt idx="180">
                    <c:v>7.8594677528534848E-11</c:v>
                  </c:pt>
                  <c:pt idx="181">
                    <c:v>9.0897310191382402E-11</c:v>
                  </c:pt>
                  <c:pt idx="182">
                    <c:v>9.5675418531513088E-11</c:v>
                  </c:pt>
                  <c:pt idx="183">
                    <c:v>9.2498724509063975E-11</c:v>
                  </c:pt>
                  <c:pt idx="184">
                    <c:v>8.6404423227236874E-11</c:v>
                  </c:pt>
                  <c:pt idx="185">
                    <c:v>7.8788024658255588E-11</c:v>
                  </c:pt>
                  <c:pt idx="186">
                    <c:v>7.2944916580774523E-11</c:v>
                  </c:pt>
                  <c:pt idx="187">
                    <c:v>7.0122557802950342E-11</c:v>
                  </c:pt>
                  <c:pt idx="188">
                    <c:v>6.4692044449056582E-11</c:v>
                  </c:pt>
                  <c:pt idx="189">
                    <c:v>6.7395785976363448E-11</c:v>
                  </c:pt>
                  <c:pt idx="190">
                    <c:v>8.3283897221060803E-11</c:v>
                  </c:pt>
                  <c:pt idx="191">
                    <c:v>1.0037300404230876E-10</c:v>
                  </c:pt>
                  <c:pt idx="192">
                    <c:v>9.4407660801118368E-11</c:v>
                  </c:pt>
                  <c:pt idx="193">
                    <c:v>1.1179285851848475E-10</c:v>
                  </c:pt>
                  <c:pt idx="194">
                    <c:v>1.1155778058321045E-10</c:v>
                  </c:pt>
                  <c:pt idx="195">
                    <c:v>9.4810136917969147E-11</c:v>
                  </c:pt>
                  <c:pt idx="196">
                    <c:v>8.7548669454664682E-11</c:v>
                  </c:pt>
                  <c:pt idx="197">
                    <c:v>8.3523702670331598E-11</c:v>
                  </c:pt>
                  <c:pt idx="198">
                    <c:v>8.6777551633634254E-11</c:v>
                  </c:pt>
                  <c:pt idx="199">
                    <c:v>8.5273545355120739E-11</c:v>
                  </c:pt>
                  <c:pt idx="200">
                    <c:v>9.4462496501439985E-11</c:v>
                  </c:pt>
                  <c:pt idx="201">
                    <c:v>1.0155304848648343E-10</c:v>
                  </c:pt>
                  <c:pt idx="202">
                    <c:v>1.1956234287915872E-10</c:v>
                  </c:pt>
                  <c:pt idx="203">
                    <c:v>1.2608155888373862E-10</c:v>
                  </c:pt>
                  <c:pt idx="204">
                    <c:v>1.2356417264639852E-10</c:v>
                  </c:pt>
                  <c:pt idx="205">
                    <c:v>1.2184353183202023E-10</c:v>
                  </c:pt>
                  <c:pt idx="206">
                    <c:v>1.0861551452401176E-10</c:v>
                  </c:pt>
                  <c:pt idx="207">
                    <c:v>1.0148876776751418E-10</c:v>
                  </c:pt>
                  <c:pt idx="208">
                    <c:v>1.0520752989235205E-10</c:v>
                  </c:pt>
                  <c:pt idx="209">
                    <c:v>1.0962963373115132E-10</c:v>
                  </c:pt>
                  <c:pt idx="210">
                    <c:v>1.2973563299324766E-10</c:v>
                  </c:pt>
                  <c:pt idx="211">
                    <c:v>1.3883734126098711E-10</c:v>
                  </c:pt>
                  <c:pt idx="212">
                    <c:v>1.351889444621078E-10</c:v>
                  </c:pt>
                  <c:pt idx="213">
                    <c:v>1.4901658742541518E-10</c:v>
                  </c:pt>
                  <c:pt idx="214">
                    <c:v>1.3443545430201838E-10</c:v>
                  </c:pt>
                  <c:pt idx="215">
                    <c:v>1.4902053250734259E-10</c:v>
                  </c:pt>
                  <c:pt idx="216">
                    <c:v>1.1775935277804102E-10</c:v>
                  </c:pt>
                  <c:pt idx="217">
                    <c:v>1.2339043253141954E-10</c:v>
                  </c:pt>
                  <c:pt idx="218">
                    <c:v>1.3989408034505617E-10</c:v>
                  </c:pt>
                  <c:pt idx="219">
                    <c:v>1.5363638252324557E-10</c:v>
                  </c:pt>
                  <c:pt idx="220">
                    <c:v>1.386804572622062E-10</c:v>
                  </c:pt>
                  <c:pt idx="221">
                    <c:v>1.6755207334247617E-10</c:v>
                  </c:pt>
                  <c:pt idx="222">
                    <c:v>1.6035684664146934E-10</c:v>
                  </c:pt>
                  <c:pt idx="223">
                    <c:v>1.5899456917791565E-10</c:v>
                  </c:pt>
                  <c:pt idx="224">
                    <c:v>1.5209557103212817E-10</c:v>
                  </c:pt>
                  <c:pt idx="225">
                    <c:v>1.4743534138331498E-10</c:v>
                  </c:pt>
                  <c:pt idx="226">
                    <c:v>1.5017687807283427E-10</c:v>
                  </c:pt>
                  <c:pt idx="227">
                    <c:v>1.7442737002892108E-10</c:v>
                  </c:pt>
                  <c:pt idx="228">
                    <c:v>1.7919785065611025E-10</c:v>
                  </c:pt>
                  <c:pt idx="229">
                    <c:v>1.7572437500416277E-10</c:v>
                  </c:pt>
                  <c:pt idx="230">
                    <c:v>1.7223018490052034E-10</c:v>
                  </c:pt>
                  <c:pt idx="231">
                    <c:v>1.4459871174192505E-10</c:v>
                  </c:pt>
                  <c:pt idx="232">
                    <c:v>1.528718732427094E-10</c:v>
                  </c:pt>
                  <c:pt idx="233">
                    <c:v>1.6698468469815832E-10</c:v>
                  </c:pt>
                  <c:pt idx="234">
                    <c:v>1.8431310338366167E-10</c:v>
                  </c:pt>
                  <c:pt idx="235">
                    <c:v>1.9077105082844566E-10</c:v>
                  </c:pt>
                  <c:pt idx="236">
                    <c:v>1.9486932154796963E-10</c:v>
                  </c:pt>
                  <c:pt idx="237">
                    <c:v>1.9657724435894962E-10</c:v>
                  </c:pt>
                  <c:pt idx="238">
                    <c:v>2.1390123315225579E-10</c:v>
                  </c:pt>
                  <c:pt idx="239">
                    <c:v>2.199155769095517E-10</c:v>
                  </c:pt>
                  <c:pt idx="240">
                    <c:v>1.889573659761694E-10</c:v>
                  </c:pt>
                  <c:pt idx="241">
                    <c:v>1.2099119427995469E-10</c:v>
                  </c:pt>
                  <c:pt idx="242">
                    <c:v>1.3253986253214188E-10</c:v>
                  </c:pt>
                  <c:pt idx="243">
                    <c:v>1.1742853484361302E-10</c:v>
                  </c:pt>
                  <c:pt idx="244">
                    <c:v>1.266532484340856E-10</c:v>
                  </c:pt>
                  <c:pt idx="245">
                    <c:v>1.061367650790477E-10</c:v>
                  </c:pt>
                  <c:pt idx="246">
                    <c:v>1.1352629388272429E-10</c:v>
                  </c:pt>
                  <c:pt idx="247">
                    <c:v>1.2440933292251169E-10</c:v>
                  </c:pt>
                  <c:pt idx="248">
                    <c:v>1.2886758695860695E-10</c:v>
                  </c:pt>
                  <c:pt idx="249">
                    <c:v>1.2927319207447522E-10</c:v>
                  </c:pt>
                  <c:pt idx="250">
                    <c:v>1.263237654138419E-10</c:v>
                  </c:pt>
                  <c:pt idx="251">
                    <c:v>1.3315803371926118E-10</c:v>
                  </c:pt>
                  <c:pt idx="252">
                    <c:v>1.4108280664098347E-10</c:v>
                  </c:pt>
                  <c:pt idx="253">
                    <c:v>1.2407531314838871E-10</c:v>
                  </c:pt>
                  <c:pt idx="254">
                    <c:v>1.5446252470224753E-10</c:v>
                  </c:pt>
                  <c:pt idx="255">
                    <c:v>1.5056535951266699E-10</c:v>
                  </c:pt>
                  <c:pt idx="256">
                    <c:v>1.4200881270485486E-10</c:v>
                  </c:pt>
                  <c:pt idx="257">
                    <c:v>1.5507562324056696E-10</c:v>
                  </c:pt>
                  <c:pt idx="258">
                    <c:v>1.6745846275908588E-10</c:v>
                  </c:pt>
                  <c:pt idx="259">
                    <c:v>1.5735893036538147E-10</c:v>
                  </c:pt>
                  <c:pt idx="260">
                    <c:v>1.6638632203464596E-10</c:v>
                  </c:pt>
                  <c:pt idx="261">
                    <c:v>1.6759543466551887E-10</c:v>
                  </c:pt>
                  <c:pt idx="262">
                    <c:v>1.7440820813093713E-10</c:v>
                  </c:pt>
                  <c:pt idx="263">
                    <c:v>1.6705660573282638E-10</c:v>
                  </c:pt>
                  <c:pt idx="264">
                    <c:v>1.623849191123262E-10</c:v>
                  </c:pt>
                  <c:pt idx="265">
                    <c:v>1.9184667829973915E-10</c:v>
                  </c:pt>
                  <c:pt idx="266">
                    <c:v>1.7221270744165805E-10</c:v>
                  </c:pt>
                  <c:pt idx="267">
                    <c:v>1.9909818670323278E-10</c:v>
                  </c:pt>
                  <c:pt idx="268">
                    <c:v>1.8364908963868605E-10</c:v>
                  </c:pt>
                  <c:pt idx="269">
                    <c:v>2.0134735477288905E-10</c:v>
                  </c:pt>
                  <c:pt idx="270">
                    <c:v>1.9539735333189268E-10</c:v>
                  </c:pt>
                  <c:pt idx="271">
                    <c:v>2.0605982636129556E-10</c:v>
                  </c:pt>
                  <c:pt idx="272">
                    <c:v>2.1389848722942867E-10</c:v>
                  </c:pt>
                  <c:pt idx="273">
                    <c:v>2.4339888879738891E-10</c:v>
                  </c:pt>
                  <c:pt idx="274">
                    <c:v>2.2857335436112565E-10</c:v>
                  </c:pt>
                  <c:pt idx="275">
                    <c:v>2.0789788169912976E-10</c:v>
                  </c:pt>
                  <c:pt idx="276">
                    <c:v>2.3756024997059769E-10</c:v>
                  </c:pt>
                  <c:pt idx="277">
                    <c:v>2.5629771748364142E-10</c:v>
                  </c:pt>
                  <c:pt idx="278">
                    <c:v>2.4492228118254799E-10</c:v>
                  </c:pt>
                  <c:pt idx="279">
                    <c:v>2.5029298183690749E-10</c:v>
                  </c:pt>
                  <c:pt idx="280">
                    <c:v>2.5136920366111931E-10</c:v>
                  </c:pt>
                  <c:pt idx="281">
                    <c:v>2.8798584657901805E-10</c:v>
                  </c:pt>
                  <c:pt idx="282">
                    <c:v>2.6409425625218042E-10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7.7853207968699998E-3</c:v>
                </c:pt>
                <c:pt idx="1">
                  <c:v>7.8631740048299998E-3</c:v>
                </c:pt>
                <c:pt idx="2">
                  <c:v>7.9418057448799994E-3</c:v>
                </c:pt>
                <c:pt idx="3">
                  <c:v>8.0212238023300002E-3</c:v>
                </c:pt>
                <c:pt idx="4">
                  <c:v>8.1014360403499994E-3</c:v>
                </c:pt>
                <c:pt idx="5">
                  <c:v>8.1824504007600007E-3</c:v>
                </c:pt>
                <c:pt idx="6">
                  <c:v>8.2642749047700005E-3</c:v>
                </c:pt>
                <c:pt idx="7">
                  <c:v>8.3469176538099998E-3</c:v>
                </c:pt>
                <c:pt idx="8">
                  <c:v>8.4303868303500003E-3</c:v>
                </c:pt>
                <c:pt idx="9">
                  <c:v>8.5146906986500008E-3</c:v>
                </c:pt>
                <c:pt idx="10">
                  <c:v>8.5998376056400008E-3</c:v>
                </c:pt>
                <c:pt idx="11">
                  <c:v>8.6858359817000002E-3</c:v>
                </c:pt>
                <c:pt idx="12">
                  <c:v>8.7726943415100001E-3</c:v>
                </c:pt>
                <c:pt idx="13">
                  <c:v>8.86042128493E-3</c:v>
                </c:pt>
                <c:pt idx="14">
                  <c:v>8.9490254977800006E-3</c:v>
                </c:pt>
                <c:pt idx="15">
                  <c:v>9.0385157527600006E-3</c:v>
                </c:pt>
                <c:pt idx="16">
                  <c:v>9.1289009102799995E-3</c:v>
                </c:pt>
                <c:pt idx="17">
                  <c:v>9.2201899193900001E-3</c:v>
                </c:pt>
                <c:pt idx="18">
                  <c:v>9.3123918185800004E-3</c:v>
                </c:pt>
                <c:pt idx="19">
                  <c:v>9.4055157367700006E-3</c:v>
                </c:pt>
                <c:pt idx="20">
                  <c:v>9.4995708941299998E-3</c:v>
                </c:pt>
                <c:pt idx="21">
                  <c:v>9.5945666030799997E-3</c:v>
                </c:pt>
                <c:pt idx="22">
                  <c:v>9.69051226911E-3</c:v>
                </c:pt>
                <c:pt idx="23">
                  <c:v>9.7874173918000001E-3</c:v>
                </c:pt>
                <c:pt idx="24">
                  <c:v>9.8852915657199995E-3</c:v>
                </c:pt>
                <c:pt idx="25">
                  <c:v>9.9841444813699998E-3</c:v>
                </c:pt>
                <c:pt idx="26">
                  <c:v>1.0083985926200001E-2</c:v>
                </c:pt>
                <c:pt idx="27">
                  <c:v>1.01848257854E-2</c:v>
                </c:pt>
                <c:pt idx="28">
                  <c:v>1.02866740433E-2</c:v>
                </c:pt>
                <c:pt idx="29">
                  <c:v>1.03895407837E-2</c:v>
                </c:pt>
                <c:pt idx="30">
                  <c:v>1.04934361916E-2</c:v>
                </c:pt>
                <c:pt idx="31">
                  <c:v>1.05983705535E-2</c:v>
                </c:pt>
                <c:pt idx="32">
                  <c:v>1.0704354259E-2</c:v>
                </c:pt>
                <c:pt idx="33">
                  <c:v>1.08113978016E-2</c:v>
                </c:pt>
                <c:pt idx="34">
                  <c:v>1.0919511779600001E-2</c:v>
                </c:pt>
                <c:pt idx="35">
                  <c:v>1.1028706897400001E-2</c:v>
                </c:pt>
                <c:pt idx="36">
                  <c:v>1.11389939664E-2</c:v>
                </c:pt>
                <c:pt idx="37">
                  <c:v>1.12503839061E-2</c:v>
                </c:pt>
                <c:pt idx="38">
                  <c:v>1.1362887745099999E-2</c:v>
                </c:pt>
                <c:pt idx="39">
                  <c:v>1.14765166226E-2</c:v>
                </c:pt>
                <c:pt idx="40">
                  <c:v>1.1591281788799999E-2</c:v>
                </c:pt>
                <c:pt idx="41">
                  <c:v>1.17071946067E-2</c:v>
                </c:pt>
                <c:pt idx="42">
                  <c:v>1.18242665528E-2</c:v>
                </c:pt>
                <c:pt idx="43">
                  <c:v>1.19425092183E-2</c:v>
                </c:pt>
                <c:pt idx="44">
                  <c:v>1.2061934310500001E-2</c:v>
                </c:pt>
                <c:pt idx="45">
                  <c:v>1.2182553653599999E-2</c:v>
                </c:pt>
                <c:pt idx="46">
                  <c:v>1.2304379190100001E-2</c:v>
                </c:pt>
                <c:pt idx="47">
                  <c:v>1.2427422981999999E-2</c:v>
                </c:pt>
                <c:pt idx="48">
                  <c:v>1.25516972118E-2</c:v>
                </c:pt>
                <c:pt idx="49">
                  <c:v>1.26772141839E-2</c:v>
                </c:pt>
                <c:pt idx="50">
                  <c:v>1.28039863258E-2</c:v>
                </c:pt>
                <c:pt idx="51">
                  <c:v>1.2932026189000001E-2</c:v>
                </c:pt>
                <c:pt idx="52">
                  <c:v>1.3061346450899999E-2</c:v>
                </c:pt>
                <c:pt idx="53">
                  <c:v>1.31919599154E-2</c:v>
                </c:pt>
                <c:pt idx="54">
                  <c:v>1.33238795146E-2</c:v>
                </c:pt>
                <c:pt idx="55">
                  <c:v>1.3457118309700001E-2</c:v>
                </c:pt>
                <c:pt idx="56">
                  <c:v>1.3591689492799999E-2</c:v>
                </c:pt>
                <c:pt idx="57">
                  <c:v>1.37276063878E-2</c:v>
                </c:pt>
                <c:pt idx="58">
                  <c:v>1.3864882451600001E-2</c:v>
                </c:pt>
                <c:pt idx="59">
                  <c:v>1.40035312762E-2</c:v>
                </c:pt>
                <c:pt idx="60">
                  <c:v>1.41435665889E-2</c:v>
                </c:pt>
                <c:pt idx="61">
                  <c:v>1.42850022548E-2</c:v>
                </c:pt>
                <c:pt idx="62">
                  <c:v>1.44278522774E-2</c:v>
                </c:pt>
                <c:pt idx="63">
                  <c:v>1.4572130800099999E-2</c:v>
                </c:pt>
                <c:pt idx="64">
                  <c:v>1.4717852108099999E-2</c:v>
                </c:pt>
                <c:pt idx="65">
                  <c:v>1.4865030629200001E-2</c:v>
                </c:pt>
                <c:pt idx="66">
                  <c:v>1.50136809355E-2</c:v>
                </c:pt>
                <c:pt idx="67">
                  <c:v>1.5163817744900001E-2</c:v>
                </c:pt>
                <c:pt idx="68">
                  <c:v>1.5315455922300001E-2</c:v>
                </c:pt>
                <c:pt idx="69">
                  <c:v>1.54686104815E-2</c:v>
                </c:pt>
                <c:pt idx="70">
                  <c:v>1.56232965864E-2</c:v>
                </c:pt>
                <c:pt idx="71">
                  <c:v>1.5779529552200001E-2</c:v>
                </c:pt>
                <c:pt idx="72">
                  <c:v>1.59373248477E-2</c:v>
                </c:pt>
                <c:pt idx="73">
                  <c:v>1.6096698096199999E-2</c:v>
                </c:pt>
                <c:pt idx="74">
                  <c:v>1.6257665077200001E-2</c:v>
                </c:pt>
                <c:pt idx="75">
                  <c:v>1.6420241727999999E-2</c:v>
                </c:pt>
                <c:pt idx="76">
                  <c:v>1.6584444145200002E-2</c:v>
                </c:pt>
                <c:pt idx="77">
                  <c:v>1.67502885867E-2</c:v>
                </c:pt>
                <c:pt idx="78">
                  <c:v>1.6917791472599999E-2</c:v>
                </c:pt>
                <c:pt idx="79">
                  <c:v>1.7086969387300002E-2</c:v>
                </c:pt>
                <c:pt idx="80">
                  <c:v>1.7257839081199999E-2</c:v>
                </c:pt>
                <c:pt idx="81">
                  <c:v>1.7430417472000002E-2</c:v>
                </c:pt>
                <c:pt idx="82">
                  <c:v>1.7604721646699999E-2</c:v>
                </c:pt>
                <c:pt idx="83">
                  <c:v>1.77807688631E-2</c:v>
                </c:pt>
                <c:pt idx="84">
                  <c:v>1.7958576551799998E-2</c:v>
                </c:pt>
                <c:pt idx="85">
                  <c:v>1.8138162317300002E-2</c:v>
                </c:pt>
                <c:pt idx="86">
                  <c:v>1.8319543940500001E-2</c:v>
                </c:pt>
                <c:pt idx="87">
                  <c:v>1.8502739379900001E-2</c:v>
                </c:pt>
                <c:pt idx="88">
                  <c:v>1.8687766773700001E-2</c:v>
                </c:pt>
                <c:pt idx="89">
                  <c:v>1.8874644441399999E-2</c:v>
                </c:pt>
                <c:pt idx="90">
                  <c:v>1.9063390885799999E-2</c:v>
                </c:pt>
                <c:pt idx="91">
                  <c:v>1.9254024794699998E-2</c:v>
                </c:pt>
                <c:pt idx="92">
                  <c:v>1.9446565042599999E-2</c:v>
                </c:pt>
                <c:pt idx="93">
                  <c:v>1.9641030693100001E-2</c:v>
                </c:pt>
                <c:pt idx="94">
                  <c:v>1.9837441000000001E-2</c:v>
                </c:pt>
                <c:pt idx="95">
                  <c:v>2.0035815410000001E-2</c:v>
                </c:pt>
                <c:pt idx="96">
                  <c:v>2.0236173564099999E-2</c:v>
                </c:pt>
                <c:pt idx="97">
                  <c:v>2.0438535299700002E-2</c:v>
                </c:pt>
                <c:pt idx="98">
                  <c:v>2.06429206527E-2</c:v>
                </c:pt>
                <c:pt idx="99">
                  <c:v>2.0849349859299999E-2</c:v>
                </c:pt>
                <c:pt idx="100">
                  <c:v>2.1057843357800001E-2</c:v>
                </c:pt>
                <c:pt idx="101">
                  <c:v>2.12684217914E-2</c:v>
                </c:pt>
                <c:pt idx="102">
                  <c:v>2.1481106009300002E-2</c:v>
                </c:pt>
                <c:pt idx="103">
                  <c:v>2.1695917069400002E-2</c:v>
                </c:pt>
                <c:pt idx="104">
                  <c:v>2.19128762401E-2</c:v>
                </c:pt>
                <c:pt idx="105">
                  <c:v>2.21320050025E-2</c:v>
                </c:pt>
                <c:pt idx="106">
                  <c:v>2.2353325052600001E-2</c:v>
                </c:pt>
                <c:pt idx="107">
                  <c:v>2.2576858303100002E-2</c:v>
                </c:pt>
                <c:pt idx="108">
                  <c:v>2.2802626886099998E-2</c:v>
                </c:pt>
                <c:pt idx="109">
                  <c:v>2.3030653155000001E-2</c:v>
                </c:pt>
                <c:pt idx="110">
                  <c:v>2.32609596865E-2</c:v>
                </c:pt>
                <c:pt idx="111">
                  <c:v>2.34935692834E-2</c:v>
                </c:pt>
                <c:pt idx="112">
                  <c:v>2.37285049762E-2</c:v>
                </c:pt>
                <c:pt idx="113">
                  <c:v>2.3965790026000001E-2</c:v>
                </c:pt>
                <c:pt idx="114">
                  <c:v>2.42054479262E-2</c:v>
                </c:pt>
                <c:pt idx="115">
                  <c:v>2.4447502405500001E-2</c:v>
                </c:pt>
                <c:pt idx="116">
                  <c:v>2.4691977429599998E-2</c:v>
                </c:pt>
                <c:pt idx="117">
                  <c:v>2.4938897203899999E-2</c:v>
                </c:pt>
                <c:pt idx="118">
                  <c:v>2.51882861759E-2</c:v>
                </c:pt>
                <c:pt idx="119">
                  <c:v>2.5440169037600002E-2</c:v>
                </c:pt>
                <c:pt idx="120">
                  <c:v>2.5694570728E-2</c:v>
                </c:pt>
                <c:pt idx="121">
                  <c:v>2.5951516435299998E-2</c:v>
                </c:pt>
                <c:pt idx="122">
                  <c:v>2.6211031599700001E-2</c:v>
                </c:pt>
                <c:pt idx="123">
                  <c:v>2.6473141915700001E-2</c:v>
                </c:pt>
                <c:pt idx="124">
                  <c:v>2.6737873334799999E-2</c:v>
                </c:pt>
                <c:pt idx="125">
                  <c:v>2.7005252068200002E-2</c:v>
                </c:pt>
                <c:pt idx="126">
                  <c:v>2.7275304588799999E-2</c:v>
                </c:pt>
                <c:pt idx="127">
                  <c:v>2.7548057634700002E-2</c:v>
                </c:pt>
                <c:pt idx="128">
                  <c:v>2.78235382111E-2</c:v>
                </c:pt>
                <c:pt idx="129">
                  <c:v>2.81017735932E-2</c:v>
                </c:pt>
                <c:pt idx="130">
                  <c:v>2.8382791329100002E-2</c:v>
                </c:pt>
                <c:pt idx="131">
                  <c:v>2.86666192424E-2</c:v>
                </c:pt>
                <c:pt idx="132">
                  <c:v>2.89532854348E-2</c:v>
                </c:pt>
                <c:pt idx="133">
                  <c:v>2.9242818289200001E-2</c:v>
                </c:pt>
                <c:pt idx="134">
                  <c:v>2.9535246472099999E-2</c:v>
                </c:pt>
                <c:pt idx="135">
                  <c:v>2.9830598936799999E-2</c:v>
                </c:pt>
                <c:pt idx="136">
                  <c:v>3.01289049262E-2</c:v>
                </c:pt>
                <c:pt idx="137">
                  <c:v>3.0430193975400002E-2</c:v>
                </c:pt>
                <c:pt idx="138">
                  <c:v>3.07344959152E-2</c:v>
                </c:pt>
                <c:pt idx="139">
                  <c:v>3.1041840874300002E-2</c:v>
                </c:pt>
                <c:pt idx="140">
                  <c:v>3.1352259283100002E-2</c:v>
                </c:pt>
                <c:pt idx="141">
                  <c:v>3.1665781875900002E-2</c:v>
                </c:pt>
                <c:pt idx="142">
                  <c:v>3.19824396947E-2</c:v>
                </c:pt>
                <c:pt idx="143">
                  <c:v>3.2302264091600003E-2</c:v>
                </c:pt>
                <c:pt idx="144">
                  <c:v>3.2625286732500001E-2</c:v>
                </c:pt>
                <c:pt idx="145">
                  <c:v>3.29515395999E-2</c:v>
                </c:pt>
                <c:pt idx="146">
                  <c:v>3.3281054995899999E-2</c:v>
                </c:pt>
                <c:pt idx="147">
                  <c:v>3.3613865545800002E-2</c:v>
                </c:pt>
                <c:pt idx="148">
                  <c:v>3.3950004201300003E-2</c:v>
                </c:pt>
                <c:pt idx="149">
                  <c:v>3.4289504243299997E-2</c:v>
                </c:pt>
                <c:pt idx="150">
                  <c:v>3.46323992857E-2</c:v>
                </c:pt>
                <c:pt idx="151">
                  <c:v>3.49787232786E-2</c:v>
                </c:pt>
                <c:pt idx="152">
                  <c:v>3.5328510511399999E-2</c:v>
                </c:pt>
                <c:pt idx="153">
                  <c:v>3.5681795616499999E-2</c:v>
                </c:pt>
                <c:pt idx="154">
                  <c:v>3.6038613572599999E-2</c:v>
                </c:pt>
                <c:pt idx="155">
                  <c:v>3.63989997084E-2</c:v>
                </c:pt>
                <c:pt idx="156">
                  <c:v>3.6762989705399998E-2</c:v>
                </c:pt>
                <c:pt idx="157">
                  <c:v>3.7130619602499998E-2</c:v>
                </c:pt>
                <c:pt idx="158">
                  <c:v>3.7501925798500001E-2</c:v>
                </c:pt>
                <c:pt idx="159">
                  <c:v>3.7876945056500001E-2</c:v>
                </c:pt>
                <c:pt idx="160">
                  <c:v>3.8255714507099997E-2</c:v>
                </c:pt>
                <c:pt idx="161">
                  <c:v>3.8638271652100001E-2</c:v>
                </c:pt>
                <c:pt idx="162">
                  <c:v>3.90246543687E-2</c:v>
                </c:pt>
                <c:pt idx="163">
                  <c:v>3.9414900912399999E-2</c:v>
                </c:pt>
                <c:pt idx="164">
                  <c:v>3.98090499215E-2</c:v>
                </c:pt>
                <c:pt idx="165">
                  <c:v>4.0207140420699998E-2</c:v>
                </c:pt>
                <c:pt idx="166">
                  <c:v>4.0609211824900002E-2</c:v>
                </c:pt>
                <c:pt idx="167">
                  <c:v>4.1015303943099997E-2</c:v>
                </c:pt>
                <c:pt idx="168">
                  <c:v>4.1425456982600001E-2</c:v>
                </c:pt>
                <c:pt idx="169">
                  <c:v>4.1839711552400002E-2</c:v>
                </c:pt>
                <c:pt idx="170">
                  <c:v>4.2258108667900002E-2</c:v>
                </c:pt>
                <c:pt idx="171">
                  <c:v>4.2680689754600001E-2</c:v>
                </c:pt>
                <c:pt idx="172">
                  <c:v>4.3107496652199997E-2</c:v>
                </c:pt>
                <c:pt idx="173">
                  <c:v>4.3538571618699999E-2</c:v>
                </c:pt>
                <c:pt idx="174">
                  <c:v>4.3973957334899998E-2</c:v>
                </c:pt>
                <c:pt idx="175">
                  <c:v>4.4413696908199997E-2</c:v>
                </c:pt>
                <c:pt idx="176">
                  <c:v>4.4857833877300003E-2</c:v>
                </c:pt>
                <c:pt idx="177">
                  <c:v>4.5306412216100003E-2</c:v>
                </c:pt>
                <c:pt idx="178">
                  <c:v>4.5759476338200003E-2</c:v>
                </c:pt>
                <c:pt idx="179">
                  <c:v>4.6217071101599998E-2</c:v>
                </c:pt>
                <c:pt idx="180">
                  <c:v>4.6679241812599997E-2</c:v>
                </c:pt>
                <c:pt idx="181">
                  <c:v>4.71460342308E-2</c:v>
                </c:pt>
                <c:pt idx="182">
                  <c:v>4.7617494573100001E-2</c:v>
                </c:pt>
                <c:pt idx="183">
                  <c:v>4.8093669518800002E-2</c:v>
                </c:pt>
                <c:pt idx="184">
                  <c:v>4.8574606213999998E-2</c:v>
                </c:pt>
                <c:pt idx="185">
                  <c:v>4.9060352276099999E-2</c:v>
                </c:pt>
                <c:pt idx="186">
                  <c:v>4.9550955798900002E-2</c:v>
                </c:pt>
                <c:pt idx="187">
                  <c:v>5.0046465356900001E-2</c:v>
                </c:pt>
                <c:pt idx="188">
                  <c:v>5.0546930010399997E-2</c:v>
                </c:pt>
                <c:pt idx="189">
                  <c:v>5.1052399310499999E-2</c:v>
                </c:pt>
                <c:pt idx="190">
                  <c:v>5.1562923303600003E-2</c:v>
                </c:pt>
                <c:pt idx="191">
                  <c:v>5.2078552536699997E-2</c:v>
                </c:pt>
                <c:pt idx="192">
                  <c:v>5.2599338062100001E-2</c:v>
                </c:pt>
                <c:pt idx="193">
                  <c:v>5.31253314427E-2</c:v>
                </c:pt>
                <c:pt idx="194">
                  <c:v>5.3656584757100001E-2</c:v>
                </c:pt>
                <c:pt idx="195">
                  <c:v>5.4193150604700001E-2</c:v>
                </c:pt>
                <c:pt idx="196">
                  <c:v>5.4735082110700002E-2</c:v>
                </c:pt>
                <c:pt idx="197">
                  <c:v>5.5282432931799998E-2</c:v>
                </c:pt>
                <c:pt idx="198">
                  <c:v>5.5835257261100002E-2</c:v>
                </c:pt>
                <c:pt idx="199">
                  <c:v>5.6393609833799999E-2</c:v>
                </c:pt>
                <c:pt idx="200">
                  <c:v>5.69575459321E-2</c:v>
                </c:pt>
                <c:pt idx="201">
                  <c:v>5.7527121391400003E-2</c:v>
                </c:pt>
                <c:pt idx="202">
                  <c:v>5.81023926053E-2</c:v>
                </c:pt>
                <c:pt idx="203">
                  <c:v>5.8683416531400003E-2</c:v>
                </c:pt>
                <c:pt idx="204">
                  <c:v>5.92702506967E-2</c:v>
                </c:pt>
                <c:pt idx="205">
                  <c:v>5.9862953203699998E-2</c:v>
                </c:pt>
                <c:pt idx="206">
                  <c:v>6.0461582735700001E-2</c:v>
                </c:pt>
                <c:pt idx="207">
                  <c:v>6.1066198563099999E-2</c:v>
                </c:pt>
                <c:pt idx="208">
                  <c:v>6.1676860548700002E-2</c:v>
                </c:pt>
                <c:pt idx="209">
                  <c:v>6.2293629154200003E-2</c:v>
                </c:pt>
                <c:pt idx="210">
                  <c:v>6.2916565445699998E-2</c:v>
                </c:pt>
                <c:pt idx="211">
                  <c:v>6.3545731100199995E-2</c:v>
                </c:pt>
                <c:pt idx="212">
                  <c:v>6.4181188411200005E-2</c:v>
                </c:pt>
                <c:pt idx="213">
                  <c:v>6.4823000295299998E-2</c:v>
                </c:pt>
                <c:pt idx="214">
                  <c:v>6.5471230298199998E-2</c:v>
                </c:pt>
                <c:pt idx="215">
                  <c:v>6.61259426012E-2</c:v>
                </c:pt>
                <c:pt idx="216">
                  <c:v>6.6787202027199996E-2</c:v>
                </c:pt>
                <c:pt idx="217">
                  <c:v>6.7455074047499994E-2</c:v>
                </c:pt>
                <c:pt idx="218">
                  <c:v>6.8129624787999998E-2</c:v>
                </c:pt>
                <c:pt idx="219">
                  <c:v>6.8810921035900002E-2</c:v>
                </c:pt>
                <c:pt idx="220">
                  <c:v>6.9499030246199994E-2</c:v>
                </c:pt>
                <c:pt idx="221">
                  <c:v>7.0194020548699998E-2</c:v>
                </c:pt>
                <c:pt idx="222">
                  <c:v>7.0895960754200002E-2</c:v>
                </c:pt>
                <c:pt idx="223">
                  <c:v>7.1604920361700006E-2</c:v>
                </c:pt>
                <c:pt idx="224">
                  <c:v>7.23209695653E-2</c:v>
                </c:pt>
                <c:pt idx="225">
                  <c:v>7.3044179261E-2</c:v>
                </c:pt>
                <c:pt idx="226">
                  <c:v>7.3774621053599998E-2</c:v>
                </c:pt>
                <c:pt idx="227">
                  <c:v>7.4512367264100002E-2</c:v>
                </c:pt>
                <c:pt idx="228">
                  <c:v>7.5257490936799995E-2</c:v>
                </c:pt>
                <c:pt idx="229">
                  <c:v>7.6010065846099997E-2</c:v>
                </c:pt>
                <c:pt idx="230">
                  <c:v>7.6770166504600001E-2</c:v>
                </c:pt>
                <c:pt idx="231">
                  <c:v>7.7537868169599997E-2</c:v>
                </c:pt>
                <c:pt idx="232">
                  <c:v>7.8313246851300006E-2</c:v>
                </c:pt>
                <c:pt idx="233">
                  <c:v>7.90963793198E-2</c:v>
                </c:pt>
                <c:pt idx="234">
                  <c:v>7.9887343112999998E-2</c:v>
                </c:pt>
                <c:pt idx="235">
                  <c:v>8.0686216544199996E-2</c:v>
                </c:pt>
                <c:pt idx="236">
                  <c:v>8.14930787096E-2</c:v>
                </c:pt>
                <c:pt idx="237">
                  <c:v>8.2308009496700002E-2</c:v>
                </c:pt>
                <c:pt idx="238">
                  <c:v>8.31310895917E-2</c:v>
                </c:pt>
                <c:pt idx="239">
                  <c:v>8.3962400487599995E-2</c:v>
                </c:pt>
                <c:pt idx="240">
                  <c:v>8.4802024492500003E-2</c:v>
                </c:pt>
                <c:pt idx="241">
                  <c:v>8.5650044737399997E-2</c:v>
                </c:pt>
                <c:pt idx="242">
                  <c:v>8.6506545184799999E-2</c:v>
                </c:pt>
                <c:pt idx="243">
                  <c:v>8.7371610636599997E-2</c:v>
                </c:pt>
                <c:pt idx="244">
                  <c:v>8.8245326742999994E-2</c:v>
                </c:pt>
                <c:pt idx="245">
                  <c:v>8.9127780010400004E-2</c:v>
                </c:pt>
                <c:pt idx="246">
                  <c:v>9.00190578105E-2</c:v>
                </c:pt>
                <c:pt idx="247">
                  <c:v>9.0919248388599994E-2</c:v>
                </c:pt>
                <c:pt idx="248">
                  <c:v>9.18284408725E-2</c:v>
                </c:pt>
                <c:pt idx="249">
                  <c:v>9.2746725281199996E-2</c:v>
                </c:pt>
                <c:pt idx="250">
                  <c:v>9.3674192534E-2</c:v>
                </c:pt>
                <c:pt idx="251">
                  <c:v>9.4610934459399998E-2</c:v>
                </c:pt>
                <c:pt idx="252">
                  <c:v>9.5557043804E-2</c:v>
                </c:pt>
                <c:pt idx="253">
                  <c:v>9.6512614242E-2</c:v>
                </c:pt>
                <c:pt idx="254">
                  <c:v>9.7477740384400005E-2</c:v>
                </c:pt>
                <c:pt idx="255">
                  <c:v>9.8452517788299998E-2</c:v>
                </c:pt>
                <c:pt idx="256">
                  <c:v>9.9437042966199998E-2</c:v>
                </c:pt>
                <c:pt idx="257">
                  <c:v>0.10043141339599999</c:v>
                </c:pt>
                <c:pt idx="258">
                  <c:v>0.10143572753000001</c:v>
                </c:pt>
                <c:pt idx="259">
                  <c:v>0.10245008480499999</c:v>
                </c:pt>
                <c:pt idx="260">
                  <c:v>0.103474585653</c:v>
                </c:pt>
                <c:pt idx="261">
                  <c:v>0.10450933151</c:v>
                </c:pt>
                <c:pt idx="262">
                  <c:v>0.10555442482500001</c:v>
                </c:pt>
                <c:pt idx="263">
                  <c:v>0.10660996907299999</c:v>
                </c:pt>
                <c:pt idx="264">
                  <c:v>0.107676068764</c:v>
                </c:pt>
                <c:pt idx="265">
                  <c:v>0.108752829451</c:v>
                </c:pt>
                <c:pt idx="266">
                  <c:v>0.109840357746</c:v>
                </c:pt>
                <c:pt idx="267">
                  <c:v>0.110938761323</c:v>
                </c:pt>
                <c:pt idx="268">
                  <c:v>0.11204814893700001</c:v>
                </c:pt>
                <c:pt idx="269">
                  <c:v>0.11316863042600001</c:v>
                </c:pt>
                <c:pt idx="270">
                  <c:v>0.11430031673</c:v>
                </c:pt>
                <c:pt idx="271">
                  <c:v>0.115443319898</c:v>
                </c:pt>
                <c:pt idx="272">
                  <c:v>0.116597753096</c:v>
                </c:pt>
                <c:pt idx="273">
                  <c:v>0.117763730627</c:v>
                </c:pt>
                <c:pt idx="274">
                  <c:v>0.11894136793399999</c:v>
                </c:pt>
                <c:pt idx="275">
                  <c:v>0.120130781613</c:v>
                </c:pt>
                <c:pt idx="276">
                  <c:v>0.12133208942900001</c:v>
                </c:pt>
                <c:pt idx="277">
                  <c:v>0.122545410323</c:v>
                </c:pt>
                <c:pt idx="278">
                  <c:v>0.123770864427</c:v>
                </c:pt>
                <c:pt idx="279">
                  <c:v>0.125008573071</c:v>
                </c:pt>
                <c:pt idx="280">
                  <c:v>0.12625865880199999</c:v>
                </c:pt>
                <c:pt idx="281">
                  <c:v>0.12752124539000001</c:v>
                </c:pt>
                <c:pt idx="282">
                  <c:v>0.12879645784400001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4.645586285372174E-9</c:v>
                </c:pt>
                <c:pt idx="1">
                  <c:v>4.4056018791193826E-9</c:v>
                </c:pt>
                <c:pt idx="2">
                  <c:v>4.6932050963070847E-9</c:v>
                </c:pt>
                <c:pt idx="3">
                  <c:v>3.85451784041732E-9</c:v>
                </c:pt>
                <c:pt idx="4">
                  <c:v>4.2392745795367972E-9</c:v>
                </c:pt>
                <c:pt idx="5">
                  <c:v>4.4406413888544862E-9</c:v>
                </c:pt>
                <c:pt idx="6">
                  <c:v>5.1645288011609436E-9</c:v>
                </c:pt>
                <c:pt idx="7">
                  <c:v>5.073888668687526E-9</c:v>
                </c:pt>
                <c:pt idx="8">
                  <c:v>4.9175071705506106E-9</c:v>
                </c:pt>
                <c:pt idx="9">
                  <c:v>5.5234653511727787E-9</c:v>
                </c:pt>
                <c:pt idx="10">
                  <c:v>5.1696264501310016E-9</c:v>
                </c:pt>
                <c:pt idx="11">
                  <c:v>5.0460653978565049E-9</c:v>
                </c:pt>
                <c:pt idx="12">
                  <c:v>5.8746037918395695E-9</c:v>
                </c:pt>
                <c:pt idx="13">
                  <c:v>6.2991188811455368E-9</c:v>
                </c:pt>
                <c:pt idx="14">
                  <c:v>6.0134762305220913E-9</c:v>
                </c:pt>
                <c:pt idx="15">
                  <c:v>6.9263526821576325E-9</c:v>
                </c:pt>
                <c:pt idx="16">
                  <c:v>7.0070302495897714E-9</c:v>
                </c:pt>
                <c:pt idx="17">
                  <c:v>7.6280019335917181E-9</c:v>
                </c:pt>
                <c:pt idx="18">
                  <c:v>7.1171738509415707E-9</c:v>
                </c:pt>
                <c:pt idx="19">
                  <c:v>8.2119901563452151E-9</c:v>
                </c:pt>
                <c:pt idx="20">
                  <c:v>8.7616451861053811E-9</c:v>
                </c:pt>
                <c:pt idx="21">
                  <c:v>8.9290256079629435E-9</c:v>
                </c:pt>
                <c:pt idx="22">
                  <c:v>9.543693508577303E-9</c:v>
                </c:pt>
                <c:pt idx="23">
                  <c:v>8.6419312421384334E-9</c:v>
                </c:pt>
                <c:pt idx="24">
                  <c:v>7.852356153774536E-9</c:v>
                </c:pt>
                <c:pt idx="25">
                  <c:v>7.317277568984529E-9</c:v>
                </c:pt>
                <c:pt idx="26">
                  <c:v>7.0448803708406628E-9</c:v>
                </c:pt>
                <c:pt idx="27">
                  <c:v>5.9706362137022543E-9</c:v>
                </c:pt>
                <c:pt idx="28">
                  <c:v>5.4483520362532971E-9</c:v>
                </c:pt>
                <c:pt idx="29">
                  <c:v>4.0626469972622684E-9</c:v>
                </c:pt>
                <c:pt idx="30">
                  <c:v>4.3493854454723717E-9</c:v>
                </c:pt>
                <c:pt idx="31">
                  <c:v>3.4679633509618604E-9</c:v>
                </c:pt>
                <c:pt idx="32">
                  <c:v>3.6920873676936917E-9</c:v>
                </c:pt>
                <c:pt idx="33">
                  <c:v>3.8256511371274776E-9</c:v>
                </c:pt>
                <c:pt idx="34">
                  <c:v>3.53454603041271E-9</c:v>
                </c:pt>
                <c:pt idx="35">
                  <c:v>3.6312318025007951E-9</c:v>
                </c:pt>
                <c:pt idx="36">
                  <c:v>3.6648599069637445E-9</c:v>
                </c:pt>
                <c:pt idx="37">
                  <c:v>2.9376066988824789E-9</c:v>
                </c:pt>
                <c:pt idx="38">
                  <c:v>2.8620728813825416E-9</c:v>
                </c:pt>
                <c:pt idx="39">
                  <c:v>2.4740474934995037E-9</c:v>
                </c:pt>
                <c:pt idx="40">
                  <c:v>2.1787060582247071E-9</c:v>
                </c:pt>
                <c:pt idx="41">
                  <c:v>2.0097388837038101E-9</c:v>
                </c:pt>
                <c:pt idx="42">
                  <c:v>2.0549164773990677E-9</c:v>
                </c:pt>
                <c:pt idx="43">
                  <c:v>1.2163735847326442E-9</c:v>
                </c:pt>
                <c:pt idx="44">
                  <c:v>1.0888394224933147E-9</c:v>
                </c:pt>
                <c:pt idx="45">
                  <c:v>7.9611710453186868E-10</c:v>
                </c:pt>
                <c:pt idx="46">
                  <c:v>6.0036863240027803E-10</c:v>
                </c:pt>
                <c:pt idx="47">
                  <c:v>6.543411013725205E-10</c:v>
                </c:pt>
                <c:pt idx="48">
                  <c:v>3.3963866542954091E-10</c:v>
                </c:pt>
                <c:pt idx="49">
                  <c:v>2.6758363902606933E-10</c:v>
                </c:pt>
                <c:pt idx="50">
                  <c:v>2.0770114409949714E-10</c:v>
                </c:pt>
                <c:pt idx="51">
                  <c:v>1.4868281181226277E-10</c:v>
                </c:pt>
                <c:pt idx="52">
                  <c:v>2.0085105182934623E-10</c:v>
                </c:pt>
                <c:pt idx="53">
                  <c:v>1.1698132849047978E-10</c:v>
                </c:pt>
                <c:pt idx="54">
                  <c:v>3.6747620112094283E-10</c:v>
                </c:pt>
                <c:pt idx="55">
                  <c:v>4.478596237270858E-10</c:v>
                </c:pt>
                <c:pt idx="56">
                  <c:v>5.9279180415497281E-10</c:v>
                </c:pt>
                <c:pt idx="57">
                  <c:v>7.2144097510051355E-10</c:v>
                </c:pt>
                <c:pt idx="58">
                  <c:v>1.0782709408505926E-9</c:v>
                </c:pt>
                <c:pt idx="59">
                  <c:v>9.7538037294423668E-10</c:v>
                </c:pt>
                <c:pt idx="60">
                  <c:v>1.0920017442744079E-9</c:v>
                </c:pt>
                <c:pt idx="61">
                  <c:v>1.2243038998475531E-9</c:v>
                </c:pt>
                <c:pt idx="62">
                  <c:v>1.5771890356978594E-9</c:v>
                </c:pt>
                <c:pt idx="63">
                  <c:v>1.4824741684936662E-9</c:v>
                </c:pt>
                <c:pt idx="64">
                  <c:v>1.5754393502937871E-9</c:v>
                </c:pt>
                <c:pt idx="65">
                  <c:v>1.8583785797994617E-9</c:v>
                </c:pt>
                <c:pt idx="66">
                  <c:v>1.8829696972337505E-9</c:v>
                </c:pt>
                <c:pt idx="67">
                  <c:v>1.9349281143406751E-9</c:v>
                </c:pt>
                <c:pt idx="68">
                  <c:v>1.8396832702582852E-9</c:v>
                </c:pt>
                <c:pt idx="69">
                  <c:v>1.9601062339099969E-9</c:v>
                </c:pt>
                <c:pt idx="70">
                  <c:v>1.6101511622365955E-9</c:v>
                </c:pt>
                <c:pt idx="71">
                  <c:v>1.6991696974380665E-9</c:v>
                </c:pt>
                <c:pt idx="72">
                  <c:v>1.5318597677053968E-9</c:v>
                </c:pt>
                <c:pt idx="73">
                  <c:v>1.4016483339515289E-9</c:v>
                </c:pt>
                <c:pt idx="74">
                  <c:v>1.1381927661685818E-9</c:v>
                </c:pt>
                <c:pt idx="75">
                  <c:v>8.8171016201540678E-10</c:v>
                </c:pt>
                <c:pt idx="76">
                  <c:v>8.5528425814061826E-10</c:v>
                </c:pt>
                <c:pt idx="77">
                  <c:v>6.49296984612225E-10</c:v>
                </c:pt>
                <c:pt idx="78">
                  <c:v>5.3082366275470304E-10</c:v>
                </c:pt>
                <c:pt idx="79">
                  <c:v>2.9506506736369686E-10</c:v>
                </c:pt>
                <c:pt idx="80">
                  <c:v>1.5005079530345006E-10</c:v>
                </c:pt>
                <c:pt idx="81">
                  <c:v>1.4703863531900159E-10</c:v>
                </c:pt>
                <c:pt idx="82">
                  <c:v>1.4944446536574446E-10</c:v>
                </c:pt>
                <c:pt idx="83">
                  <c:v>2.3815429972136837E-10</c:v>
                </c:pt>
                <c:pt idx="84">
                  <c:v>2.0801504069070018E-10</c:v>
                </c:pt>
                <c:pt idx="85">
                  <c:v>3.3876047384299634E-10</c:v>
                </c:pt>
                <c:pt idx="86">
                  <c:v>5.3192394761358877E-10</c:v>
                </c:pt>
                <c:pt idx="87">
                  <c:v>6.1483169719717445E-10</c:v>
                </c:pt>
                <c:pt idx="88">
                  <c:v>7.9053055302775962E-10</c:v>
                </c:pt>
                <c:pt idx="89">
                  <c:v>9.1242778025426649E-10</c:v>
                </c:pt>
                <c:pt idx="90">
                  <c:v>9.630577715152654E-10</c:v>
                </c:pt>
                <c:pt idx="91">
                  <c:v>1.0965754558625209E-9</c:v>
                </c:pt>
                <c:pt idx="92">
                  <c:v>1.6950511485216233E-9</c:v>
                </c:pt>
                <c:pt idx="93">
                  <c:v>1.7130512695365854E-9</c:v>
                </c:pt>
                <c:pt idx="94">
                  <c:v>1.6234004472052083E-9</c:v>
                </c:pt>
                <c:pt idx="95">
                  <c:v>1.4891086213555465E-9</c:v>
                </c:pt>
                <c:pt idx="96">
                  <c:v>1.5517062079113924E-9</c:v>
                </c:pt>
                <c:pt idx="97">
                  <c:v>1.4549074604473942E-9</c:v>
                </c:pt>
                <c:pt idx="98">
                  <c:v>1.6151522940502078E-9</c:v>
                </c:pt>
                <c:pt idx="99">
                  <c:v>1.4767052690333687E-9</c:v>
                </c:pt>
                <c:pt idx="100">
                  <c:v>1.3261063095835352E-9</c:v>
                </c:pt>
                <c:pt idx="101">
                  <c:v>1.0702438457321893E-9</c:v>
                </c:pt>
                <c:pt idx="102">
                  <c:v>8.4925193562626141E-10</c:v>
                </c:pt>
                <c:pt idx="103">
                  <c:v>6.4796289057954761E-10</c:v>
                </c:pt>
                <c:pt idx="104">
                  <c:v>5.3067576558311128E-10</c:v>
                </c:pt>
                <c:pt idx="105">
                  <c:v>3.6519834711319599E-10</c:v>
                </c:pt>
                <c:pt idx="106">
                  <c:v>2.6396487973006792E-10</c:v>
                </c:pt>
                <c:pt idx="107">
                  <c:v>2.1252924552770032E-10</c:v>
                </c:pt>
                <c:pt idx="108">
                  <c:v>1.9285993852789203E-10</c:v>
                </c:pt>
                <c:pt idx="109">
                  <c:v>2.287168318382357E-10</c:v>
                </c:pt>
                <c:pt idx="110">
                  <c:v>3.4211626321412813E-10</c:v>
                </c:pt>
                <c:pt idx="111">
                  <c:v>4.6629803515389775E-10</c:v>
                </c:pt>
                <c:pt idx="112">
                  <c:v>5.9650487934246884E-10</c:v>
                </c:pt>
                <c:pt idx="113">
                  <c:v>8.6285847017322192E-10</c:v>
                </c:pt>
                <c:pt idx="114">
                  <c:v>1.1674990485792104E-9</c:v>
                </c:pt>
                <c:pt idx="115">
                  <c:v>1.2597491673691495E-9</c:v>
                </c:pt>
                <c:pt idx="116">
                  <c:v>1.3141881134604984E-9</c:v>
                </c:pt>
                <c:pt idx="117">
                  <c:v>1.4238709832090296E-9</c:v>
                </c:pt>
                <c:pt idx="118">
                  <c:v>1.5892412568134635E-9</c:v>
                </c:pt>
                <c:pt idx="119">
                  <c:v>1.7728517648803341E-9</c:v>
                </c:pt>
                <c:pt idx="120">
                  <c:v>1.5534452939084164E-9</c:v>
                </c:pt>
                <c:pt idx="121">
                  <c:v>1.4669087960144793E-9</c:v>
                </c:pt>
                <c:pt idx="122">
                  <c:v>1.3812266515536476E-9</c:v>
                </c:pt>
                <c:pt idx="123">
                  <c:v>1.2896263697648935E-9</c:v>
                </c:pt>
                <c:pt idx="124">
                  <c:v>8.8809450948142591E-10</c:v>
                </c:pt>
                <c:pt idx="125">
                  <c:v>7.5379928271305451E-10</c:v>
                </c:pt>
                <c:pt idx="126">
                  <c:v>6.4528228509104199E-10</c:v>
                </c:pt>
                <c:pt idx="127">
                  <c:v>3.8187557919912842E-10</c:v>
                </c:pt>
                <c:pt idx="128">
                  <c:v>3.6049145648838628E-10</c:v>
                </c:pt>
                <c:pt idx="129">
                  <c:v>2.8289631880853946E-10</c:v>
                </c:pt>
                <c:pt idx="130">
                  <c:v>4.0549364221650231E-10</c:v>
                </c:pt>
                <c:pt idx="131">
                  <c:v>5.0937480998708646E-10</c:v>
                </c:pt>
                <c:pt idx="132">
                  <c:v>7.0271616686291363E-10</c:v>
                </c:pt>
                <c:pt idx="133">
                  <c:v>7.9390885587167018E-10</c:v>
                </c:pt>
                <c:pt idx="134">
                  <c:v>1.073915350040467E-9</c:v>
                </c:pt>
                <c:pt idx="135">
                  <c:v>1.2060894722408087E-9</c:v>
                </c:pt>
                <c:pt idx="136">
                  <c:v>1.5001069370288131E-9</c:v>
                </c:pt>
                <c:pt idx="137">
                  <c:v>1.5156833291856159E-9</c:v>
                </c:pt>
                <c:pt idx="138">
                  <c:v>1.5411778679003741E-9</c:v>
                </c:pt>
                <c:pt idx="139">
                  <c:v>1.8208465904960601E-9</c:v>
                </c:pt>
                <c:pt idx="140">
                  <c:v>1.6832796951476519E-9</c:v>
                </c:pt>
                <c:pt idx="141">
                  <c:v>1.2434383832478951E-9</c:v>
                </c:pt>
                <c:pt idx="142">
                  <c:v>1.0455454928040814E-9</c:v>
                </c:pt>
                <c:pt idx="143">
                  <c:v>9.6759139660261392E-10</c:v>
                </c:pt>
                <c:pt idx="144">
                  <c:v>5.8948575151228209E-10</c:v>
                </c:pt>
                <c:pt idx="145">
                  <c:v>6.1991699871533696E-10</c:v>
                </c:pt>
                <c:pt idx="146">
                  <c:v>4.8377052802412686E-10</c:v>
                </c:pt>
                <c:pt idx="147">
                  <c:v>4.9650995604135833E-10</c:v>
                </c:pt>
                <c:pt idx="148">
                  <c:v>5.9890310541505746E-10</c:v>
                </c:pt>
                <c:pt idx="149">
                  <c:v>6.6516674188962116E-10</c:v>
                </c:pt>
                <c:pt idx="150">
                  <c:v>9.6425342479330712E-10</c:v>
                </c:pt>
                <c:pt idx="151">
                  <c:v>1.1012913093660474E-9</c:v>
                </c:pt>
                <c:pt idx="152">
                  <c:v>1.4680844347810335E-9</c:v>
                </c:pt>
                <c:pt idx="153">
                  <c:v>1.5678089454730883E-9</c:v>
                </c:pt>
                <c:pt idx="154">
                  <c:v>1.7621499809768288E-9</c:v>
                </c:pt>
                <c:pt idx="155">
                  <c:v>1.3751674584273344E-9</c:v>
                </c:pt>
                <c:pt idx="156">
                  <c:v>1.4620878608619566E-9</c:v>
                </c:pt>
                <c:pt idx="157">
                  <c:v>1.2054681599930755E-9</c:v>
                </c:pt>
                <c:pt idx="158">
                  <c:v>1.0894916477464401E-9</c:v>
                </c:pt>
                <c:pt idx="159">
                  <c:v>8.9045383205555743E-10</c:v>
                </c:pt>
                <c:pt idx="160">
                  <c:v>5.5384271034767435E-10</c:v>
                </c:pt>
                <c:pt idx="161">
                  <c:v>5.199315248871234E-10</c:v>
                </c:pt>
                <c:pt idx="162">
                  <c:v>5.2380260607846869E-10</c:v>
                </c:pt>
                <c:pt idx="163">
                  <c:v>6.3173498525187032E-10</c:v>
                </c:pt>
                <c:pt idx="164">
                  <c:v>6.495537197046283E-10</c:v>
                </c:pt>
                <c:pt idx="165">
                  <c:v>1.0945707470420798E-9</c:v>
                </c:pt>
                <c:pt idx="166">
                  <c:v>1.3575378985133689E-9</c:v>
                </c:pt>
                <c:pt idx="167">
                  <c:v>1.4256228704869143E-9</c:v>
                </c:pt>
                <c:pt idx="168">
                  <c:v>1.4108371281079558E-9</c:v>
                </c:pt>
                <c:pt idx="169">
                  <c:v>1.7094390287643792E-9</c:v>
                </c:pt>
                <c:pt idx="170">
                  <c:v>1.4397566795933831E-9</c:v>
                </c:pt>
                <c:pt idx="171">
                  <c:v>1.4371147191612256E-9</c:v>
                </c:pt>
                <c:pt idx="172">
                  <c:v>1.4156901032863798E-9</c:v>
                </c:pt>
                <c:pt idx="173">
                  <c:v>1.0495831783107716E-9</c:v>
                </c:pt>
                <c:pt idx="174">
                  <c:v>6.9935465405537951E-10</c:v>
                </c:pt>
                <c:pt idx="175">
                  <c:v>6.0601314574846322E-10</c:v>
                </c:pt>
                <c:pt idx="176">
                  <c:v>4.5356643274170377E-10</c:v>
                </c:pt>
                <c:pt idx="177">
                  <c:v>6.6746739603525505E-10</c:v>
                </c:pt>
                <c:pt idx="178">
                  <c:v>8.7455676670685968E-10</c:v>
                </c:pt>
                <c:pt idx="179">
                  <c:v>1.0626593606849312E-9</c:v>
                </c:pt>
                <c:pt idx="180">
                  <c:v>1.253019895729377E-9</c:v>
                </c:pt>
                <c:pt idx="181">
                  <c:v>1.6111269594277766E-9</c:v>
                </c:pt>
                <c:pt idx="182">
                  <c:v>1.5124812927729359E-9</c:v>
                </c:pt>
                <c:pt idx="183">
                  <c:v>1.4776117536186271E-9</c:v>
                </c:pt>
                <c:pt idx="184">
                  <c:v>1.2939509983430631E-9</c:v>
                </c:pt>
                <c:pt idx="185">
                  <c:v>1.0906698112895629E-9</c:v>
                </c:pt>
                <c:pt idx="186">
                  <c:v>9.0795602228480519E-10</c:v>
                </c:pt>
                <c:pt idx="187">
                  <c:v>7.9768011216827526E-10</c:v>
                </c:pt>
                <c:pt idx="188">
                  <c:v>7.0707668857108586E-10</c:v>
                </c:pt>
                <c:pt idx="189">
                  <c:v>7.3691233334746514E-10</c:v>
                </c:pt>
                <c:pt idx="190">
                  <c:v>9.5095535342180523E-10</c:v>
                </c:pt>
                <c:pt idx="191">
                  <c:v>1.3988162176494747E-9</c:v>
                </c:pt>
                <c:pt idx="192">
                  <c:v>1.3086001287420572E-9</c:v>
                </c:pt>
                <c:pt idx="193">
                  <c:v>1.6858854873098205E-9</c:v>
                </c:pt>
                <c:pt idx="194">
                  <c:v>1.5854135111733918E-9</c:v>
                </c:pt>
                <c:pt idx="195">
                  <c:v>1.1869620972369081E-9</c:v>
                </c:pt>
                <c:pt idx="196">
                  <c:v>9.8685995224546162E-10</c:v>
                </c:pt>
                <c:pt idx="197">
                  <c:v>7.9805238176004948E-10</c:v>
                </c:pt>
                <c:pt idx="198">
                  <c:v>8.0882477001283687E-10</c:v>
                </c:pt>
                <c:pt idx="199">
                  <c:v>7.9121466678001285E-10</c:v>
                </c:pt>
                <c:pt idx="200">
                  <c:v>9.1451771727738613E-10</c:v>
                </c:pt>
                <c:pt idx="201">
                  <c:v>1.0251942968747875E-9</c:v>
                </c:pt>
                <c:pt idx="202">
                  <c:v>1.3052333439323294E-9</c:v>
                </c:pt>
                <c:pt idx="203">
                  <c:v>1.3950125158501356E-9</c:v>
                </c:pt>
                <c:pt idx="204">
                  <c:v>1.3623682775859978E-9</c:v>
                </c:pt>
                <c:pt idx="205">
                  <c:v>1.3642378524361261E-9</c:v>
                </c:pt>
                <c:pt idx="206">
                  <c:v>9.0574957580683432E-10</c:v>
                </c:pt>
                <c:pt idx="207">
                  <c:v>7.8041909638593551E-10</c:v>
                </c:pt>
                <c:pt idx="208">
                  <c:v>7.0126311020019716E-10</c:v>
                </c:pt>
                <c:pt idx="209">
                  <c:v>8.3019077828935024E-10</c:v>
                </c:pt>
                <c:pt idx="210">
                  <c:v>1.1826301717555405E-9</c:v>
                </c:pt>
                <c:pt idx="211">
                  <c:v>1.2537135765775237E-9</c:v>
                </c:pt>
                <c:pt idx="212">
                  <c:v>1.1582445307140865E-9</c:v>
                </c:pt>
                <c:pt idx="213">
                  <c:v>1.4250464405055997E-9</c:v>
                </c:pt>
                <c:pt idx="214">
                  <c:v>1.1066615842137348E-9</c:v>
                </c:pt>
                <c:pt idx="215">
                  <c:v>1.2408915815473663E-9</c:v>
                </c:pt>
                <c:pt idx="216">
                  <c:v>6.9325549886516264E-10</c:v>
                </c:pt>
                <c:pt idx="217">
                  <c:v>6.6039050641954833E-10</c:v>
                </c:pt>
                <c:pt idx="218">
                  <c:v>9.0949851249646655E-10</c:v>
                </c:pt>
                <c:pt idx="219">
                  <c:v>1.1943435408770156E-9</c:v>
                </c:pt>
                <c:pt idx="220">
                  <c:v>9.2409625718821368E-10</c:v>
                </c:pt>
                <c:pt idx="221">
                  <c:v>1.3120407335778609E-9</c:v>
                </c:pt>
                <c:pt idx="222">
                  <c:v>1.2264718232961202E-9</c:v>
                </c:pt>
                <c:pt idx="223">
                  <c:v>1.0065613087784994E-9</c:v>
                </c:pt>
                <c:pt idx="224">
                  <c:v>9.4758791054956725E-10</c:v>
                </c:pt>
                <c:pt idx="225">
                  <c:v>9.0775376151490436E-10</c:v>
                </c:pt>
                <c:pt idx="226">
                  <c:v>8.5589980315385578E-10</c:v>
                </c:pt>
                <c:pt idx="227">
                  <c:v>1.2349690519355801E-9</c:v>
                </c:pt>
                <c:pt idx="228">
                  <c:v>1.2138251756341217E-9</c:v>
                </c:pt>
                <c:pt idx="229">
                  <c:v>1.2117823401508263E-9</c:v>
                </c:pt>
                <c:pt idx="230">
                  <c:v>9.8043528962200088E-10</c:v>
                </c:pt>
                <c:pt idx="231">
                  <c:v>6.4216795390380801E-10</c:v>
                </c:pt>
                <c:pt idx="232">
                  <c:v>7.3862971648840784E-10</c:v>
                </c:pt>
                <c:pt idx="233">
                  <c:v>7.8913843963276056E-10</c:v>
                </c:pt>
                <c:pt idx="234">
                  <c:v>9.7115532513948141E-10</c:v>
                </c:pt>
                <c:pt idx="235">
                  <c:v>8.4807557692531258E-10</c:v>
                </c:pt>
                <c:pt idx="236">
                  <c:v>9.7288903039084528E-10</c:v>
                </c:pt>
                <c:pt idx="237">
                  <c:v>9.4174245269044904E-10</c:v>
                </c:pt>
                <c:pt idx="238">
                  <c:v>8.7304942594963325E-10</c:v>
                </c:pt>
                <c:pt idx="239">
                  <c:v>1.0218447182353545E-9</c:v>
                </c:pt>
                <c:pt idx="240">
                  <c:v>7.1149681286744654E-10</c:v>
                </c:pt>
                <c:pt idx="241">
                  <c:v>1.1076829133009068E-9</c:v>
                </c:pt>
                <c:pt idx="242">
                  <c:v>1.2699803064314505E-9</c:v>
                </c:pt>
                <c:pt idx="243">
                  <c:v>1.062756110889373E-9</c:v>
                </c:pt>
                <c:pt idx="244">
                  <c:v>1.3319713517098151E-9</c:v>
                </c:pt>
                <c:pt idx="245">
                  <c:v>8.2390462230276538E-10</c:v>
                </c:pt>
                <c:pt idx="246">
                  <c:v>1.0006996781468686E-9</c:v>
                </c:pt>
                <c:pt idx="247">
                  <c:v>1.085076577987776E-9</c:v>
                </c:pt>
                <c:pt idx="248">
                  <c:v>1.1466663406416324E-9</c:v>
                </c:pt>
                <c:pt idx="249">
                  <c:v>1.1232922002475291E-9</c:v>
                </c:pt>
                <c:pt idx="250">
                  <c:v>1.0674666456075287E-9</c:v>
                </c:pt>
                <c:pt idx="251">
                  <c:v>1.0988550964018145E-9</c:v>
                </c:pt>
                <c:pt idx="252">
                  <c:v>1.2330315332684795E-9</c:v>
                </c:pt>
                <c:pt idx="253">
                  <c:v>9.2124217246917359E-10</c:v>
                </c:pt>
                <c:pt idx="254">
                  <c:v>1.1974153307344761E-9</c:v>
                </c:pt>
                <c:pt idx="255">
                  <c:v>1.1966604894613222E-9</c:v>
                </c:pt>
                <c:pt idx="256">
                  <c:v>1.0003317118469365E-9</c:v>
                </c:pt>
                <c:pt idx="257">
                  <c:v>1.1384586949354051E-9</c:v>
                </c:pt>
                <c:pt idx="258">
                  <c:v>1.4544285423227151E-9</c:v>
                </c:pt>
                <c:pt idx="259">
                  <c:v>1.1552457732406716E-9</c:v>
                </c:pt>
                <c:pt idx="260">
                  <c:v>1.0999397926469725E-9</c:v>
                </c:pt>
                <c:pt idx="261">
                  <c:v>1.0934069703779409E-9</c:v>
                </c:pt>
                <c:pt idx="262">
                  <c:v>1.3467166746654903E-9</c:v>
                </c:pt>
                <c:pt idx="263">
                  <c:v>1.0485488838881214E-9</c:v>
                </c:pt>
                <c:pt idx="264">
                  <c:v>9.7620725323428843E-10</c:v>
                </c:pt>
                <c:pt idx="265">
                  <c:v>1.1983060179713363E-9</c:v>
                </c:pt>
                <c:pt idx="266">
                  <c:v>1.0918859437086843E-9</c:v>
                </c:pt>
                <c:pt idx="267">
                  <c:v>1.4258699387302832E-9</c:v>
                </c:pt>
                <c:pt idx="268">
                  <c:v>1.0764178798840557E-9</c:v>
                </c:pt>
                <c:pt idx="269">
                  <c:v>1.3094905182160442E-9</c:v>
                </c:pt>
                <c:pt idx="270">
                  <c:v>1.0610242425618201E-9</c:v>
                </c:pt>
                <c:pt idx="271">
                  <c:v>1.2734204200689318E-9</c:v>
                </c:pt>
                <c:pt idx="272">
                  <c:v>1.1597894058143683E-9</c:v>
                </c:pt>
                <c:pt idx="273">
                  <c:v>1.4281276617718203E-9</c:v>
                </c:pt>
                <c:pt idx="274">
                  <c:v>1.2835183206458925E-9</c:v>
                </c:pt>
                <c:pt idx="275">
                  <c:v>1.0191511116174251E-9</c:v>
                </c:pt>
                <c:pt idx="276">
                  <c:v>1.3372944080717663E-9</c:v>
                </c:pt>
                <c:pt idx="277">
                  <c:v>1.4054644705954485E-9</c:v>
                </c:pt>
                <c:pt idx="278">
                  <c:v>1.0424047045788619E-9</c:v>
                </c:pt>
                <c:pt idx="279">
                  <c:v>1.1492256622756225E-9</c:v>
                </c:pt>
                <c:pt idx="280">
                  <c:v>1.1728694339108792E-9</c:v>
                </c:pt>
                <c:pt idx="281">
                  <c:v>1.3515962823964629E-9</c:v>
                </c:pt>
                <c:pt idx="282">
                  <c:v>9.0639249197119357E-10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7.79E-03</c:v>
                </c:pt>
                <c:pt idx="1">
                  <c:v>7.86E-03</c:v>
                </c:pt>
                <c:pt idx="2">
                  <c:v>7.94E-03</c:v>
                </c:pt>
                <c:pt idx="3">
                  <c:v>8.02E-03</c:v>
                </c:pt>
                <c:pt idx="4">
                  <c:v>8.10E-03</c:v>
                </c:pt>
                <c:pt idx="5">
                  <c:v>8.18E-03</c:v>
                </c:pt>
                <c:pt idx="6">
                  <c:v>8.26E-03</c:v>
                </c:pt>
                <c:pt idx="7">
                  <c:v>8.35E-03</c:v>
                </c:pt>
                <c:pt idx="8">
                  <c:v>8.43E-03</c:v>
                </c:pt>
                <c:pt idx="9">
                  <c:v>8.51E-03</c:v>
                </c:pt>
                <c:pt idx="10">
                  <c:v>8.60E-03</c:v>
                </c:pt>
                <c:pt idx="11">
                  <c:v>8.69E-03</c:v>
                </c:pt>
                <c:pt idx="12">
                  <c:v>8.77E-03</c:v>
                </c:pt>
                <c:pt idx="13">
                  <c:v>8.86E-03</c:v>
                </c:pt>
                <c:pt idx="14">
                  <c:v>8.95E-03</c:v>
                </c:pt>
                <c:pt idx="15">
                  <c:v>9.04E-03</c:v>
                </c:pt>
                <c:pt idx="16">
                  <c:v>9.13E-03</c:v>
                </c:pt>
                <c:pt idx="17">
                  <c:v>9.22E-03</c:v>
                </c:pt>
                <c:pt idx="18">
                  <c:v>9.31E-03</c:v>
                </c:pt>
                <c:pt idx="19">
                  <c:v>9.41E-03</c:v>
                </c:pt>
                <c:pt idx="20">
                  <c:v>9.50E-03</c:v>
                </c:pt>
                <c:pt idx="21">
                  <c:v>9.59E-03</c:v>
                </c:pt>
                <c:pt idx="22">
                  <c:v>9.69E-03</c:v>
                </c:pt>
                <c:pt idx="23">
                  <c:v>9.79E-03</c:v>
                </c:pt>
                <c:pt idx="24">
                  <c:v>9.89E-03</c:v>
                </c:pt>
                <c:pt idx="25">
                  <c:v>9.98E-03</c:v>
                </c:pt>
                <c:pt idx="26">
                  <c:v>1.01E-02</c:v>
                </c:pt>
                <c:pt idx="27">
                  <c:v>1.02E-02</c:v>
                </c:pt>
                <c:pt idx="28">
                  <c:v>1.03E-02</c:v>
                </c:pt>
                <c:pt idx="29">
                  <c:v>1.04E-02</c:v>
                </c:pt>
                <c:pt idx="30">
                  <c:v>1.05E-02</c:v>
                </c:pt>
                <c:pt idx="31">
                  <c:v>1.06E-02</c:v>
                </c:pt>
                <c:pt idx="32">
                  <c:v>1.07E-02</c:v>
                </c:pt>
                <c:pt idx="33">
                  <c:v>1.08E-02</c:v>
                </c:pt>
                <c:pt idx="34">
                  <c:v>1.09E-02</c:v>
                </c:pt>
                <c:pt idx="35">
                  <c:v>1.10E-02</c:v>
                </c:pt>
                <c:pt idx="36">
                  <c:v>1.11E-02</c:v>
                </c:pt>
                <c:pt idx="37">
                  <c:v>1.13E-02</c:v>
                </c:pt>
                <c:pt idx="38">
                  <c:v>1.14E-02</c:v>
                </c:pt>
                <c:pt idx="39">
                  <c:v>1.15E-02</c:v>
                </c:pt>
                <c:pt idx="40">
                  <c:v>1.16E-02</c:v>
                </c:pt>
                <c:pt idx="41">
                  <c:v>1.17E-02</c:v>
                </c:pt>
                <c:pt idx="42">
                  <c:v>1.18E-02</c:v>
                </c:pt>
                <c:pt idx="43">
                  <c:v>1.19E-02</c:v>
                </c:pt>
                <c:pt idx="44">
                  <c:v>1.21E-02</c:v>
                </c:pt>
                <c:pt idx="45">
                  <c:v>1.22E-02</c:v>
                </c:pt>
                <c:pt idx="46">
                  <c:v>1.23E-02</c:v>
                </c:pt>
                <c:pt idx="47">
                  <c:v>1.24E-02</c:v>
                </c:pt>
                <c:pt idx="48">
                  <c:v>1.26E-02</c:v>
                </c:pt>
                <c:pt idx="49">
                  <c:v>1.27E-02</c:v>
                </c:pt>
                <c:pt idx="50">
                  <c:v>1.28E-02</c:v>
                </c:pt>
                <c:pt idx="51">
                  <c:v>1.29E-02</c:v>
                </c:pt>
                <c:pt idx="52">
                  <c:v>1.31E-02</c:v>
                </c:pt>
                <c:pt idx="53">
                  <c:v>1.32E-02</c:v>
                </c:pt>
                <c:pt idx="54">
                  <c:v>1.33E-02</c:v>
                </c:pt>
                <c:pt idx="55">
                  <c:v>1.35E-02</c:v>
                </c:pt>
                <c:pt idx="56">
                  <c:v>1.36E-02</c:v>
                </c:pt>
                <c:pt idx="57">
                  <c:v>1.37E-02</c:v>
                </c:pt>
                <c:pt idx="58">
                  <c:v>1.39E-02</c:v>
                </c:pt>
                <c:pt idx="59">
                  <c:v>1.40E-02</c:v>
                </c:pt>
                <c:pt idx="60">
                  <c:v>1.41E-02</c:v>
                </c:pt>
                <c:pt idx="61">
                  <c:v>1.43E-02</c:v>
                </c:pt>
                <c:pt idx="62">
                  <c:v>1.44E-02</c:v>
                </c:pt>
                <c:pt idx="63">
                  <c:v>1.46E-02</c:v>
                </c:pt>
                <c:pt idx="64">
                  <c:v>1.47E-02</c:v>
                </c:pt>
                <c:pt idx="65">
                  <c:v>1.49E-02</c:v>
                </c:pt>
                <c:pt idx="66">
                  <c:v>1.50E-02</c:v>
                </c:pt>
                <c:pt idx="67">
                  <c:v>1.52E-02</c:v>
                </c:pt>
                <c:pt idx="68">
                  <c:v>1.53E-02</c:v>
                </c:pt>
                <c:pt idx="69">
                  <c:v>1.55E-02</c:v>
                </c:pt>
                <c:pt idx="70">
                  <c:v>1.56E-02</c:v>
                </c:pt>
                <c:pt idx="71">
                  <c:v>1.58E-02</c:v>
                </c:pt>
                <c:pt idx="72">
                  <c:v>1.59E-02</c:v>
                </c:pt>
                <c:pt idx="73">
                  <c:v>1.61E-02</c:v>
                </c:pt>
                <c:pt idx="74">
                  <c:v>1.63E-02</c:v>
                </c:pt>
                <c:pt idx="75">
                  <c:v>1.64E-02</c:v>
                </c:pt>
                <c:pt idx="76">
                  <c:v>1.66E-02</c:v>
                </c:pt>
                <c:pt idx="77">
                  <c:v>1.68E-02</c:v>
                </c:pt>
                <c:pt idx="78">
                  <c:v>1.69E-02</c:v>
                </c:pt>
                <c:pt idx="79">
                  <c:v>1.71E-02</c:v>
                </c:pt>
                <c:pt idx="80">
                  <c:v>1.73E-02</c:v>
                </c:pt>
                <c:pt idx="81">
                  <c:v>1.74E-02</c:v>
                </c:pt>
                <c:pt idx="82">
                  <c:v>1.76E-02</c:v>
                </c:pt>
                <c:pt idx="83">
                  <c:v>1.78E-02</c:v>
                </c:pt>
                <c:pt idx="84">
                  <c:v>1.80E-02</c:v>
                </c:pt>
                <c:pt idx="85">
                  <c:v>1.81E-02</c:v>
                </c:pt>
                <c:pt idx="86">
                  <c:v>1.83E-02</c:v>
                </c:pt>
                <c:pt idx="87">
                  <c:v>1.85E-02</c:v>
                </c:pt>
                <c:pt idx="88">
                  <c:v>1.87E-02</c:v>
                </c:pt>
                <c:pt idx="89">
                  <c:v>1.89E-02</c:v>
                </c:pt>
                <c:pt idx="90">
                  <c:v>1.91E-02</c:v>
                </c:pt>
                <c:pt idx="91">
                  <c:v>1.93E-02</c:v>
                </c:pt>
                <c:pt idx="92">
                  <c:v>1.94E-02</c:v>
                </c:pt>
                <c:pt idx="93">
                  <c:v>1.96E-02</c:v>
                </c:pt>
                <c:pt idx="94">
                  <c:v>1.98E-02</c:v>
                </c:pt>
                <c:pt idx="95">
                  <c:v>2.00E-02</c:v>
                </c:pt>
                <c:pt idx="96">
                  <c:v>2.02E-02</c:v>
                </c:pt>
                <c:pt idx="97">
                  <c:v>2.04E-02</c:v>
                </c:pt>
                <c:pt idx="98">
                  <c:v>2.06E-02</c:v>
                </c:pt>
                <c:pt idx="99">
                  <c:v>2.08E-02</c:v>
                </c:pt>
                <c:pt idx="100">
                  <c:v>2.11E-02</c:v>
                </c:pt>
                <c:pt idx="101">
                  <c:v>2.13E-02</c:v>
                </c:pt>
                <c:pt idx="102">
                  <c:v>2.15E-02</c:v>
                </c:pt>
                <c:pt idx="103">
                  <c:v>2.17E-02</c:v>
                </c:pt>
                <c:pt idx="104">
                  <c:v>2.19E-02</c:v>
                </c:pt>
                <c:pt idx="105">
                  <c:v>2.21E-02</c:v>
                </c:pt>
                <c:pt idx="106">
                  <c:v>2.24E-02</c:v>
                </c:pt>
                <c:pt idx="107">
                  <c:v>2.26E-02</c:v>
                </c:pt>
                <c:pt idx="108">
                  <c:v>2.28E-02</c:v>
                </c:pt>
                <c:pt idx="109">
                  <c:v>2.30E-02</c:v>
                </c:pt>
                <c:pt idx="110">
                  <c:v>2.33E-02</c:v>
                </c:pt>
                <c:pt idx="111">
                  <c:v>2.35E-02</c:v>
                </c:pt>
                <c:pt idx="112">
                  <c:v>2.37E-02</c:v>
                </c:pt>
                <c:pt idx="113">
                  <c:v>2.40E-02</c:v>
                </c:pt>
                <c:pt idx="114">
                  <c:v>2.42E-02</c:v>
                </c:pt>
                <c:pt idx="115">
                  <c:v>2.44E-02</c:v>
                </c:pt>
                <c:pt idx="116">
                  <c:v>2.47E-02</c:v>
                </c:pt>
                <c:pt idx="117">
                  <c:v>2.49E-02</c:v>
                </c:pt>
                <c:pt idx="118">
                  <c:v>2.52E-02</c:v>
                </c:pt>
                <c:pt idx="119">
                  <c:v>2.54E-02</c:v>
                </c:pt>
                <c:pt idx="120">
                  <c:v>2.57E-02</c:v>
                </c:pt>
                <c:pt idx="121">
                  <c:v>2.60E-02</c:v>
                </c:pt>
                <c:pt idx="122">
                  <c:v>2.62E-02</c:v>
                </c:pt>
                <c:pt idx="123">
                  <c:v>2.65E-02</c:v>
                </c:pt>
                <c:pt idx="124">
                  <c:v>2.67E-02</c:v>
                </c:pt>
                <c:pt idx="125">
                  <c:v>2.70E-02</c:v>
                </c:pt>
                <c:pt idx="126">
                  <c:v>2.73E-02</c:v>
                </c:pt>
                <c:pt idx="127">
                  <c:v>2.75E-02</c:v>
                </c:pt>
                <c:pt idx="128">
                  <c:v>2.78E-02</c:v>
                </c:pt>
                <c:pt idx="129">
                  <c:v>2.81E-02</c:v>
                </c:pt>
                <c:pt idx="130">
                  <c:v>2.84E-02</c:v>
                </c:pt>
                <c:pt idx="131">
                  <c:v>2.87E-02</c:v>
                </c:pt>
                <c:pt idx="132">
                  <c:v>2.90E-02</c:v>
                </c:pt>
                <c:pt idx="133">
                  <c:v>2.92E-02</c:v>
                </c:pt>
                <c:pt idx="134">
                  <c:v>2.95E-02</c:v>
                </c:pt>
                <c:pt idx="135">
                  <c:v>2.98E-02</c:v>
                </c:pt>
                <c:pt idx="136">
                  <c:v>3.01E-02</c:v>
                </c:pt>
                <c:pt idx="137">
                  <c:v>3.04E-02</c:v>
                </c:pt>
                <c:pt idx="138">
                  <c:v>3.07E-02</c:v>
                </c:pt>
                <c:pt idx="139">
                  <c:v>3.10E-02</c:v>
                </c:pt>
                <c:pt idx="140">
                  <c:v>3.14E-02</c:v>
                </c:pt>
                <c:pt idx="141">
                  <c:v>3.17E-02</c:v>
                </c:pt>
                <c:pt idx="142">
                  <c:v>3.20E-02</c:v>
                </c:pt>
                <c:pt idx="143">
                  <c:v>3.23E-02</c:v>
                </c:pt>
                <c:pt idx="144">
                  <c:v>3.26E-02</c:v>
                </c:pt>
                <c:pt idx="145">
                  <c:v>3.30E-02</c:v>
                </c:pt>
                <c:pt idx="146">
                  <c:v>3.33E-02</c:v>
                </c:pt>
                <c:pt idx="147">
                  <c:v>3.36E-02</c:v>
                </c:pt>
                <c:pt idx="148">
                  <c:v>3.40E-02</c:v>
                </c:pt>
                <c:pt idx="149">
                  <c:v>3.43E-02</c:v>
                </c:pt>
                <c:pt idx="150">
                  <c:v>3.46E-02</c:v>
                </c:pt>
                <c:pt idx="151">
                  <c:v>3.50E-02</c:v>
                </c:pt>
                <c:pt idx="152">
                  <c:v>3.53E-02</c:v>
                </c:pt>
                <c:pt idx="153">
                  <c:v>3.57E-02</c:v>
                </c:pt>
                <c:pt idx="154">
                  <c:v>3.60E-02</c:v>
                </c:pt>
                <c:pt idx="155">
                  <c:v>3.64E-02</c:v>
                </c:pt>
                <c:pt idx="156">
                  <c:v>3.68E-02</c:v>
                </c:pt>
                <c:pt idx="157">
                  <c:v>3.71E-02</c:v>
                </c:pt>
                <c:pt idx="158">
                  <c:v>3.75E-02</c:v>
                </c:pt>
                <c:pt idx="159">
                  <c:v>3.79E-02</c:v>
                </c:pt>
                <c:pt idx="160">
                  <c:v>3.83E-02</c:v>
                </c:pt>
                <c:pt idx="161">
                  <c:v>3.86E-02</c:v>
                </c:pt>
                <c:pt idx="162">
                  <c:v>3.90E-02</c:v>
                </c:pt>
                <c:pt idx="163">
                  <c:v>3.94E-02</c:v>
                </c:pt>
                <c:pt idx="164">
                  <c:v>3.98E-02</c:v>
                </c:pt>
                <c:pt idx="165">
                  <c:v>4.02E-02</c:v>
                </c:pt>
                <c:pt idx="166">
                  <c:v>4.06E-02</c:v>
                </c:pt>
                <c:pt idx="167">
                  <c:v>4.10E-02</c:v>
                </c:pt>
                <c:pt idx="168">
                  <c:v>4.14E-02</c:v>
                </c:pt>
                <c:pt idx="169">
                  <c:v>4.18E-02</c:v>
                </c:pt>
                <c:pt idx="170">
                  <c:v>4.23E-02</c:v>
                </c:pt>
                <c:pt idx="171">
                  <c:v>4.27E-02</c:v>
                </c:pt>
                <c:pt idx="172">
                  <c:v>4.31E-02</c:v>
                </c:pt>
                <c:pt idx="173">
                  <c:v>4.35E-02</c:v>
                </c:pt>
                <c:pt idx="174">
                  <c:v>4.40E-02</c:v>
                </c:pt>
                <c:pt idx="175">
                  <c:v>4.44E-02</c:v>
                </c:pt>
                <c:pt idx="176">
                  <c:v>4.49E-02</c:v>
                </c:pt>
                <c:pt idx="177">
                  <c:v>4.53E-02</c:v>
                </c:pt>
                <c:pt idx="178">
                  <c:v>4.58E-02</c:v>
                </c:pt>
                <c:pt idx="179">
                  <c:v>4.62E-02</c:v>
                </c:pt>
                <c:pt idx="180">
                  <c:v>4.67E-02</c:v>
                </c:pt>
                <c:pt idx="181">
                  <c:v>4.71E-02</c:v>
                </c:pt>
                <c:pt idx="182">
                  <c:v>4.76E-02</c:v>
                </c:pt>
                <c:pt idx="183">
                  <c:v>4.81E-02</c:v>
                </c:pt>
                <c:pt idx="184">
                  <c:v>4.86E-02</c:v>
                </c:pt>
                <c:pt idx="185">
                  <c:v>4.91E-02</c:v>
                </c:pt>
                <c:pt idx="186">
                  <c:v>4.96E-02</c:v>
                </c:pt>
                <c:pt idx="187">
                  <c:v>5.00E-02</c:v>
                </c:pt>
                <c:pt idx="188">
                  <c:v>5.05E-02</c:v>
                </c:pt>
                <c:pt idx="189">
                  <c:v>5.11E-02</c:v>
                </c:pt>
                <c:pt idx="190">
                  <c:v>5.16E-02</c:v>
                </c:pt>
                <c:pt idx="191">
                  <c:v>5.21E-02</c:v>
                </c:pt>
                <c:pt idx="192">
                  <c:v>5.26E-02</c:v>
                </c:pt>
                <c:pt idx="193">
                  <c:v>5.31E-02</c:v>
                </c:pt>
                <c:pt idx="194">
                  <c:v>5.37E-02</c:v>
                </c:pt>
                <c:pt idx="195">
                  <c:v>5.42E-02</c:v>
                </c:pt>
                <c:pt idx="196">
                  <c:v>5.47E-02</c:v>
                </c:pt>
                <c:pt idx="197">
                  <c:v>5.53E-02</c:v>
                </c:pt>
                <c:pt idx="198">
                  <c:v>5.58E-02</c:v>
                </c:pt>
                <c:pt idx="199">
                  <c:v>5.64E-02</c:v>
                </c:pt>
                <c:pt idx="200">
                  <c:v>5.70E-02</c:v>
                </c:pt>
                <c:pt idx="201">
                  <c:v>5.75E-02</c:v>
                </c:pt>
                <c:pt idx="202">
                  <c:v>5.81E-02</c:v>
                </c:pt>
                <c:pt idx="203">
                  <c:v>5.87E-02</c:v>
                </c:pt>
                <c:pt idx="204">
                  <c:v>5.93E-02</c:v>
                </c:pt>
                <c:pt idx="205">
                  <c:v>5.99E-02</c:v>
                </c:pt>
                <c:pt idx="206">
                  <c:v>6.05E-02</c:v>
                </c:pt>
                <c:pt idx="207">
                  <c:v>6.11E-02</c:v>
                </c:pt>
                <c:pt idx="208">
                  <c:v>6.17E-02</c:v>
                </c:pt>
                <c:pt idx="209">
                  <c:v>6.23E-02</c:v>
                </c:pt>
                <c:pt idx="210">
                  <c:v>6.29E-02</c:v>
                </c:pt>
                <c:pt idx="211">
                  <c:v>6.35E-02</c:v>
                </c:pt>
                <c:pt idx="212">
                  <c:v>6.42E-02</c:v>
                </c:pt>
                <c:pt idx="213">
                  <c:v>6.48E-02</c:v>
                </c:pt>
                <c:pt idx="214">
                  <c:v>6.55E-02</c:v>
                </c:pt>
                <c:pt idx="215">
                  <c:v>6.61E-02</c:v>
                </c:pt>
                <c:pt idx="216">
                  <c:v>6.68E-02</c:v>
                </c:pt>
                <c:pt idx="217">
                  <c:v>6.75E-02</c:v>
                </c:pt>
                <c:pt idx="218">
                  <c:v>6.81E-02</c:v>
                </c:pt>
                <c:pt idx="219">
                  <c:v>6.88E-02</c:v>
                </c:pt>
                <c:pt idx="220">
                  <c:v>6.95E-02</c:v>
                </c:pt>
                <c:pt idx="221">
                  <c:v>7.02E-02</c:v>
                </c:pt>
                <c:pt idx="222">
                  <c:v>7.09E-02</c:v>
                </c:pt>
                <c:pt idx="223">
                  <c:v>7.16E-02</c:v>
                </c:pt>
                <c:pt idx="224">
                  <c:v>7.23E-02</c:v>
                </c:pt>
                <c:pt idx="225">
                  <c:v>7.30E-02</c:v>
                </c:pt>
                <c:pt idx="226">
                  <c:v>7.38E-02</c:v>
                </c:pt>
                <c:pt idx="227">
                  <c:v>7.45E-02</c:v>
                </c:pt>
                <c:pt idx="228">
                  <c:v>7.53E-02</c:v>
                </c:pt>
                <c:pt idx="229">
                  <c:v>7.60E-02</c:v>
                </c:pt>
                <c:pt idx="230">
                  <c:v>7.68E-02</c:v>
                </c:pt>
                <c:pt idx="231">
                  <c:v>7.75E-02</c:v>
                </c:pt>
                <c:pt idx="232">
                  <c:v>7.83E-02</c:v>
                </c:pt>
                <c:pt idx="233">
                  <c:v>7.91E-02</c:v>
                </c:pt>
                <c:pt idx="234">
                  <c:v>7.99E-02</c:v>
                </c:pt>
                <c:pt idx="235">
                  <c:v>8.07E-02</c:v>
                </c:pt>
                <c:pt idx="236">
                  <c:v>8.15E-02</c:v>
                </c:pt>
                <c:pt idx="237">
                  <c:v>8.23E-02</c:v>
                </c:pt>
                <c:pt idx="238">
                  <c:v>8.31E-02</c:v>
                </c:pt>
                <c:pt idx="239">
                  <c:v>8.40E-02</c:v>
                </c:pt>
                <c:pt idx="240">
                  <c:v>8.48E-02</c:v>
                </c:pt>
                <c:pt idx="241">
                  <c:v>8.57E-02</c:v>
                </c:pt>
                <c:pt idx="242">
                  <c:v>8.65E-02</c:v>
                </c:pt>
                <c:pt idx="243">
                  <c:v>8.74E-02</c:v>
                </c:pt>
                <c:pt idx="244">
                  <c:v>8.82E-02</c:v>
                </c:pt>
                <c:pt idx="245">
                  <c:v>8.91E-02</c:v>
                </c:pt>
                <c:pt idx="246">
                  <c:v>9.00E-02</c:v>
                </c:pt>
                <c:pt idx="247">
                  <c:v>9.09E-02</c:v>
                </c:pt>
                <c:pt idx="248">
                  <c:v>9.18E-02</c:v>
                </c:pt>
                <c:pt idx="249">
                  <c:v>9.27E-02</c:v>
                </c:pt>
                <c:pt idx="250">
                  <c:v>9.37E-02</c:v>
                </c:pt>
                <c:pt idx="251">
                  <c:v>9.46E-02</c:v>
                </c:pt>
                <c:pt idx="252">
                  <c:v>9.56E-02</c:v>
                </c:pt>
                <c:pt idx="253">
                  <c:v>9.65E-02</c:v>
                </c:pt>
                <c:pt idx="254">
                  <c:v>9.75E-02</c:v>
                </c:pt>
                <c:pt idx="255">
                  <c:v>9.85E-02</c:v>
                </c:pt>
                <c:pt idx="256">
                  <c:v>9.94E-02</c:v>
                </c:pt>
                <c:pt idx="257">
                  <c:v>1.00E-01</c:v>
                </c:pt>
                <c:pt idx="258">
                  <c:v>1.01E-01</c:v>
                </c:pt>
                <c:pt idx="259">
                  <c:v>1.02E-01</c:v>
                </c:pt>
                <c:pt idx="260">
                  <c:v>1.03E-01</c:v>
                </c:pt>
                <c:pt idx="261">
                  <c:v>1.05E-01</c:v>
                </c:pt>
                <c:pt idx="262">
                  <c:v>1.06E-01</c:v>
                </c:pt>
                <c:pt idx="263">
                  <c:v>1.07E-01</c:v>
                </c:pt>
                <c:pt idx="264">
                  <c:v>1.08E-01</c:v>
                </c:pt>
                <c:pt idx="265">
                  <c:v>1.09E-01</c:v>
                </c:pt>
                <c:pt idx="266">
                  <c:v>1.10E-01</c:v>
                </c:pt>
                <c:pt idx="267">
                  <c:v>1.11E-01</c:v>
                </c:pt>
                <c:pt idx="268">
                  <c:v>1.12E-01</c:v>
                </c:pt>
                <c:pt idx="269">
                  <c:v>1.13E-01</c:v>
                </c:pt>
                <c:pt idx="270">
                  <c:v>1.14E-01</c:v>
                </c:pt>
                <c:pt idx="271">
                  <c:v>1.15E-01</c:v>
                </c:pt>
                <c:pt idx="272">
                  <c:v>1.17E-01</c:v>
                </c:pt>
                <c:pt idx="273">
                  <c:v>1.18E-01</c:v>
                </c:pt>
                <c:pt idx="274">
                  <c:v>1.19E-01</c:v>
                </c:pt>
                <c:pt idx="275">
                  <c:v>1.20E-01</c:v>
                </c:pt>
                <c:pt idx="276">
                  <c:v>1.21E-01</c:v>
                </c:pt>
                <c:pt idx="277">
                  <c:v>1.23E-01</c:v>
                </c:pt>
                <c:pt idx="278">
                  <c:v>1.24E-01</c:v>
                </c:pt>
                <c:pt idx="279">
                  <c:v>1.25E-01</c:v>
                </c:pt>
                <c:pt idx="280">
                  <c:v>1.26E-01</c:v>
                </c:pt>
                <c:pt idx="281">
                  <c:v>1.28E-01</c:v>
                </c:pt>
                <c:pt idx="282">
                  <c:v>1.29E-01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7.7853207968699998E-3</c:v>
                </c:pt>
                <c:pt idx="1">
                  <c:v>7.8631740048299998E-3</c:v>
                </c:pt>
                <c:pt idx="2">
                  <c:v>7.9418057448799994E-3</c:v>
                </c:pt>
                <c:pt idx="3">
                  <c:v>8.0212238023300002E-3</c:v>
                </c:pt>
                <c:pt idx="4">
                  <c:v>8.1014360403499994E-3</c:v>
                </c:pt>
                <c:pt idx="5">
                  <c:v>8.1824504007600007E-3</c:v>
                </c:pt>
                <c:pt idx="6">
                  <c:v>8.2642749047700005E-3</c:v>
                </c:pt>
                <c:pt idx="7">
                  <c:v>8.3469176538099998E-3</c:v>
                </c:pt>
                <c:pt idx="8">
                  <c:v>8.4303868303500003E-3</c:v>
                </c:pt>
                <c:pt idx="9">
                  <c:v>8.5146906986500008E-3</c:v>
                </c:pt>
                <c:pt idx="10">
                  <c:v>8.5998376056400008E-3</c:v>
                </c:pt>
                <c:pt idx="11">
                  <c:v>8.6858359817000002E-3</c:v>
                </c:pt>
                <c:pt idx="12">
                  <c:v>8.7726943415100001E-3</c:v>
                </c:pt>
                <c:pt idx="13">
                  <c:v>8.86042128493E-3</c:v>
                </c:pt>
                <c:pt idx="14">
                  <c:v>8.9490254977800006E-3</c:v>
                </c:pt>
                <c:pt idx="15">
                  <c:v>9.0385157527600006E-3</c:v>
                </c:pt>
                <c:pt idx="16">
                  <c:v>9.1289009102799995E-3</c:v>
                </c:pt>
                <c:pt idx="17">
                  <c:v>9.2201899193900001E-3</c:v>
                </c:pt>
                <c:pt idx="18">
                  <c:v>9.3123918185800004E-3</c:v>
                </c:pt>
                <c:pt idx="19">
                  <c:v>9.4055157367700006E-3</c:v>
                </c:pt>
                <c:pt idx="20">
                  <c:v>9.4995708941299998E-3</c:v>
                </c:pt>
                <c:pt idx="21">
                  <c:v>9.5945666030799997E-3</c:v>
                </c:pt>
                <c:pt idx="22">
                  <c:v>9.69051226911E-3</c:v>
                </c:pt>
                <c:pt idx="23">
                  <c:v>9.7874173918000001E-3</c:v>
                </c:pt>
                <c:pt idx="24">
                  <c:v>9.8852915657199995E-3</c:v>
                </c:pt>
                <c:pt idx="25">
                  <c:v>9.9841444813699998E-3</c:v>
                </c:pt>
                <c:pt idx="26">
                  <c:v>1.0083985926200001E-2</c:v>
                </c:pt>
                <c:pt idx="27">
                  <c:v>1.01848257854E-2</c:v>
                </c:pt>
                <c:pt idx="28">
                  <c:v>1.02866740433E-2</c:v>
                </c:pt>
                <c:pt idx="29">
                  <c:v>1.03895407837E-2</c:v>
                </c:pt>
                <c:pt idx="30">
                  <c:v>1.04934361916E-2</c:v>
                </c:pt>
                <c:pt idx="31">
                  <c:v>1.05983705535E-2</c:v>
                </c:pt>
                <c:pt idx="32">
                  <c:v>1.0704354259E-2</c:v>
                </c:pt>
                <c:pt idx="33">
                  <c:v>1.08113978016E-2</c:v>
                </c:pt>
                <c:pt idx="34">
                  <c:v>1.0919511779600001E-2</c:v>
                </c:pt>
                <c:pt idx="35">
                  <c:v>1.1028706897400001E-2</c:v>
                </c:pt>
                <c:pt idx="36">
                  <c:v>1.11389939664E-2</c:v>
                </c:pt>
                <c:pt idx="37">
                  <c:v>1.12503839061E-2</c:v>
                </c:pt>
                <c:pt idx="38">
                  <c:v>1.1362887745099999E-2</c:v>
                </c:pt>
                <c:pt idx="39">
                  <c:v>1.14765166226E-2</c:v>
                </c:pt>
                <c:pt idx="40">
                  <c:v>1.1591281788799999E-2</c:v>
                </c:pt>
                <c:pt idx="41">
                  <c:v>1.17071946067E-2</c:v>
                </c:pt>
                <c:pt idx="42">
                  <c:v>1.18242665528E-2</c:v>
                </c:pt>
                <c:pt idx="43">
                  <c:v>1.19425092183E-2</c:v>
                </c:pt>
                <c:pt idx="44">
                  <c:v>1.2061934310500001E-2</c:v>
                </c:pt>
                <c:pt idx="45">
                  <c:v>1.2182553653599999E-2</c:v>
                </c:pt>
                <c:pt idx="46">
                  <c:v>1.2304379190100001E-2</c:v>
                </c:pt>
                <c:pt idx="47">
                  <c:v>1.2427422981999999E-2</c:v>
                </c:pt>
                <c:pt idx="48">
                  <c:v>1.25516972118E-2</c:v>
                </c:pt>
                <c:pt idx="49">
                  <c:v>1.26772141839E-2</c:v>
                </c:pt>
                <c:pt idx="50">
                  <c:v>1.28039863258E-2</c:v>
                </c:pt>
                <c:pt idx="51">
                  <c:v>1.2932026189000001E-2</c:v>
                </c:pt>
                <c:pt idx="52">
                  <c:v>1.3061346450899999E-2</c:v>
                </c:pt>
                <c:pt idx="53">
                  <c:v>1.31919599154E-2</c:v>
                </c:pt>
                <c:pt idx="54">
                  <c:v>1.33238795146E-2</c:v>
                </c:pt>
                <c:pt idx="55">
                  <c:v>1.3457118309700001E-2</c:v>
                </c:pt>
                <c:pt idx="56">
                  <c:v>1.3591689492799999E-2</c:v>
                </c:pt>
                <c:pt idx="57">
                  <c:v>1.37276063878E-2</c:v>
                </c:pt>
                <c:pt idx="58">
                  <c:v>1.3864882451600001E-2</c:v>
                </c:pt>
                <c:pt idx="59">
                  <c:v>1.40035312762E-2</c:v>
                </c:pt>
                <c:pt idx="60">
                  <c:v>1.41435665889E-2</c:v>
                </c:pt>
                <c:pt idx="61">
                  <c:v>1.42850022548E-2</c:v>
                </c:pt>
                <c:pt idx="62">
                  <c:v>1.44278522774E-2</c:v>
                </c:pt>
                <c:pt idx="63">
                  <c:v>1.4572130800099999E-2</c:v>
                </c:pt>
                <c:pt idx="64">
                  <c:v>1.4717852108099999E-2</c:v>
                </c:pt>
                <c:pt idx="65">
                  <c:v>1.4865030629200001E-2</c:v>
                </c:pt>
                <c:pt idx="66">
                  <c:v>1.50136809355E-2</c:v>
                </c:pt>
                <c:pt idx="67">
                  <c:v>1.5163817744900001E-2</c:v>
                </c:pt>
                <c:pt idx="68">
                  <c:v>1.5315455922300001E-2</c:v>
                </c:pt>
                <c:pt idx="69">
                  <c:v>1.54686104815E-2</c:v>
                </c:pt>
                <c:pt idx="70">
                  <c:v>1.56232965864E-2</c:v>
                </c:pt>
                <c:pt idx="71">
                  <c:v>1.5779529552200001E-2</c:v>
                </c:pt>
                <c:pt idx="72">
                  <c:v>1.59373248477E-2</c:v>
                </c:pt>
                <c:pt idx="73">
                  <c:v>1.6096698096199999E-2</c:v>
                </c:pt>
                <c:pt idx="74">
                  <c:v>1.6257665077200001E-2</c:v>
                </c:pt>
                <c:pt idx="75">
                  <c:v>1.6420241727999999E-2</c:v>
                </c:pt>
                <c:pt idx="76">
                  <c:v>1.6584444145200002E-2</c:v>
                </c:pt>
                <c:pt idx="77">
                  <c:v>1.67502885867E-2</c:v>
                </c:pt>
                <c:pt idx="78">
                  <c:v>1.6917791472599999E-2</c:v>
                </c:pt>
                <c:pt idx="79">
                  <c:v>1.7086969387300002E-2</c:v>
                </c:pt>
                <c:pt idx="80">
                  <c:v>1.7257839081199999E-2</c:v>
                </c:pt>
                <c:pt idx="81">
                  <c:v>1.7430417472000002E-2</c:v>
                </c:pt>
                <c:pt idx="82">
                  <c:v>1.7604721646699999E-2</c:v>
                </c:pt>
                <c:pt idx="83">
                  <c:v>1.77807688631E-2</c:v>
                </c:pt>
                <c:pt idx="84">
                  <c:v>1.7958576551799998E-2</c:v>
                </c:pt>
                <c:pt idx="85">
                  <c:v>1.8138162317300002E-2</c:v>
                </c:pt>
                <c:pt idx="86">
                  <c:v>1.8319543940500001E-2</c:v>
                </c:pt>
                <c:pt idx="87">
                  <c:v>1.8502739379900001E-2</c:v>
                </c:pt>
                <c:pt idx="88">
                  <c:v>1.8687766773700001E-2</c:v>
                </c:pt>
                <c:pt idx="89">
                  <c:v>1.8874644441399999E-2</c:v>
                </c:pt>
                <c:pt idx="90">
                  <c:v>1.9063390885799999E-2</c:v>
                </c:pt>
                <c:pt idx="91">
                  <c:v>1.9254024794699998E-2</c:v>
                </c:pt>
                <c:pt idx="92">
                  <c:v>1.9446565042599999E-2</c:v>
                </c:pt>
                <c:pt idx="93">
                  <c:v>1.9641030693100001E-2</c:v>
                </c:pt>
                <c:pt idx="94">
                  <c:v>1.9837441000000001E-2</c:v>
                </c:pt>
                <c:pt idx="95">
                  <c:v>2.0035815410000001E-2</c:v>
                </c:pt>
                <c:pt idx="96">
                  <c:v>2.0236173564099999E-2</c:v>
                </c:pt>
                <c:pt idx="97">
                  <c:v>2.0438535299700002E-2</c:v>
                </c:pt>
                <c:pt idx="98">
                  <c:v>2.06429206527E-2</c:v>
                </c:pt>
                <c:pt idx="99">
                  <c:v>2.0849349859299999E-2</c:v>
                </c:pt>
                <c:pt idx="100">
                  <c:v>2.1057843357800001E-2</c:v>
                </c:pt>
                <c:pt idx="101">
                  <c:v>2.12684217914E-2</c:v>
                </c:pt>
                <c:pt idx="102">
                  <c:v>2.1481106009300002E-2</c:v>
                </c:pt>
                <c:pt idx="103">
                  <c:v>2.1695917069400002E-2</c:v>
                </c:pt>
                <c:pt idx="104">
                  <c:v>2.19128762401E-2</c:v>
                </c:pt>
                <c:pt idx="105">
                  <c:v>2.21320050025E-2</c:v>
                </c:pt>
                <c:pt idx="106">
                  <c:v>2.2353325052600001E-2</c:v>
                </c:pt>
                <c:pt idx="107">
                  <c:v>2.2576858303100002E-2</c:v>
                </c:pt>
                <c:pt idx="108">
                  <c:v>2.2802626886099998E-2</c:v>
                </c:pt>
                <c:pt idx="109">
                  <c:v>2.3030653155000001E-2</c:v>
                </c:pt>
                <c:pt idx="110">
                  <c:v>2.32609596865E-2</c:v>
                </c:pt>
                <c:pt idx="111">
                  <c:v>2.34935692834E-2</c:v>
                </c:pt>
                <c:pt idx="112">
                  <c:v>2.37285049762E-2</c:v>
                </c:pt>
                <c:pt idx="113">
                  <c:v>2.3965790026000001E-2</c:v>
                </c:pt>
                <c:pt idx="114">
                  <c:v>2.42054479262E-2</c:v>
                </c:pt>
                <c:pt idx="115">
                  <c:v>2.4447502405500001E-2</c:v>
                </c:pt>
                <c:pt idx="116">
                  <c:v>2.4691977429599998E-2</c:v>
                </c:pt>
                <c:pt idx="117">
                  <c:v>2.4938897203899999E-2</c:v>
                </c:pt>
                <c:pt idx="118">
                  <c:v>2.51882861759E-2</c:v>
                </c:pt>
                <c:pt idx="119">
                  <c:v>2.5440169037600002E-2</c:v>
                </c:pt>
                <c:pt idx="120">
                  <c:v>2.5694570728E-2</c:v>
                </c:pt>
                <c:pt idx="121">
                  <c:v>2.5951516435299998E-2</c:v>
                </c:pt>
                <c:pt idx="122">
                  <c:v>2.6211031599700001E-2</c:v>
                </c:pt>
                <c:pt idx="123">
                  <c:v>2.6473141915700001E-2</c:v>
                </c:pt>
                <c:pt idx="124">
                  <c:v>2.6737873334799999E-2</c:v>
                </c:pt>
                <c:pt idx="125">
                  <c:v>2.7005252068200002E-2</c:v>
                </c:pt>
                <c:pt idx="126">
                  <c:v>2.7275304588799999E-2</c:v>
                </c:pt>
                <c:pt idx="127">
                  <c:v>2.7548057634700002E-2</c:v>
                </c:pt>
                <c:pt idx="128">
                  <c:v>2.78235382111E-2</c:v>
                </c:pt>
                <c:pt idx="129">
                  <c:v>2.81017735932E-2</c:v>
                </c:pt>
                <c:pt idx="130">
                  <c:v>2.8382791329100002E-2</c:v>
                </c:pt>
                <c:pt idx="131">
                  <c:v>2.86666192424E-2</c:v>
                </c:pt>
                <c:pt idx="132">
                  <c:v>2.89532854348E-2</c:v>
                </c:pt>
                <c:pt idx="133">
                  <c:v>2.9242818289200001E-2</c:v>
                </c:pt>
                <c:pt idx="134">
                  <c:v>2.9535246472099999E-2</c:v>
                </c:pt>
                <c:pt idx="135">
                  <c:v>2.9830598936799999E-2</c:v>
                </c:pt>
                <c:pt idx="136">
                  <c:v>3.01289049262E-2</c:v>
                </c:pt>
                <c:pt idx="137">
                  <c:v>3.0430193975400002E-2</c:v>
                </c:pt>
                <c:pt idx="138">
                  <c:v>3.07344959152E-2</c:v>
                </c:pt>
                <c:pt idx="139">
                  <c:v>3.1041840874300002E-2</c:v>
                </c:pt>
                <c:pt idx="140">
                  <c:v>3.1352259283100002E-2</c:v>
                </c:pt>
                <c:pt idx="141">
                  <c:v>3.1665781875900002E-2</c:v>
                </c:pt>
                <c:pt idx="142">
                  <c:v>3.19824396947E-2</c:v>
                </c:pt>
                <c:pt idx="143">
                  <c:v>3.2302264091600003E-2</c:v>
                </c:pt>
                <c:pt idx="144">
                  <c:v>3.2625286732500001E-2</c:v>
                </c:pt>
                <c:pt idx="145">
                  <c:v>3.29515395999E-2</c:v>
                </c:pt>
                <c:pt idx="146">
                  <c:v>3.3281054995899999E-2</c:v>
                </c:pt>
                <c:pt idx="147">
                  <c:v>3.3613865545800002E-2</c:v>
                </c:pt>
                <c:pt idx="148">
                  <c:v>3.3950004201300003E-2</c:v>
                </c:pt>
                <c:pt idx="149">
                  <c:v>3.4289504243299997E-2</c:v>
                </c:pt>
                <c:pt idx="150">
                  <c:v>3.46323992857E-2</c:v>
                </c:pt>
                <c:pt idx="151">
                  <c:v>3.49787232786E-2</c:v>
                </c:pt>
                <c:pt idx="152">
                  <c:v>3.5328510511399999E-2</c:v>
                </c:pt>
                <c:pt idx="153">
                  <c:v>3.5681795616499999E-2</c:v>
                </c:pt>
                <c:pt idx="154">
                  <c:v>3.6038613572599999E-2</c:v>
                </c:pt>
                <c:pt idx="155">
                  <c:v>3.63989997084E-2</c:v>
                </c:pt>
                <c:pt idx="156">
                  <c:v>3.6762989705399998E-2</c:v>
                </c:pt>
                <c:pt idx="157">
                  <c:v>3.7130619602499998E-2</c:v>
                </c:pt>
                <c:pt idx="158">
                  <c:v>3.7501925798500001E-2</c:v>
                </c:pt>
                <c:pt idx="159">
                  <c:v>3.7876945056500001E-2</c:v>
                </c:pt>
                <c:pt idx="160">
                  <c:v>3.8255714507099997E-2</c:v>
                </c:pt>
                <c:pt idx="161">
                  <c:v>3.8638271652100001E-2</c:v>
                </c:pt>
                <c:pt idx="162">
                  <c:v>3.90246543687E-2</c:v>
                </c:pt>
                <c:pt idx="163">
                  <c:v>3.9414900912399999E-2</c:v>
                </c:pt>
                <c:pt idx="164">
                  <c:v>3.98090499215E-2</c:v>
                </c:pt>
                <c:pt idx="165">
                  <c:v>4.0207140420699998E-2</c:v>
                </c:pt>
                <c:pt idx="166">
                  <c:v>4.0609211824900002E-2</c:v>
                </c:pt>
                <c:pt idx="167">
                  <c:v>4.1015303943099997E-2</c:v>
                </c:pt>
                <c:pt idx="168">
                  <c:v>4.1425456982600001E-2</c:v>
                </c:pt>
                <c:pt idx="169">
                  <c:v>4.1839711552400002E-2</c:v>
                </c:pt>
                <c:pt idx="170">
                  <c:v>4.2258108667900002E-2</c:v>
                </c:pt>
                <c:pt idx="171">
                  <c:v>4.2680689754600001E-2</c:v>
                </c:pt>
                <c:pt idx="172">
                  <c:v>4.3107496652199997E-2</c:v>
                </c:pt>
                <c:pt idx="173">
                  <c:v>4.3538571618699999E-2</c:v>
                </c:pt>
                <c:pt idx="174">
                  <c:v>4.3973957334899998E-2</c:v>
                </c:pt>
                <c:pt idx="175">
                  <c:v>4.4413696908199997E-2</c:v>
                </c:pt>
                <c:pt idx="176">
                  <c:v>4.4857833877300003E-2</c:v>
                </c:pt>
                <c:pt idx="177">
                  <c:v>4.5306412216100003E-2</c:v>
                </c:pt>
                <c:pt idx="178">
                  <c:v>4.5759476338200003E-2</c:v>
                </c:pt>
                <c:pt idx="179">
                  <c:v>4.6217071101599998E-2</c:v>
                </c:pt>
                <c:pt idx="180">
                  <c:v>4.6679241812599997E-2</c:v>
                </c:pt>
                <c:pt idx="181">
                  <c:v>4.71460342308E-2</c:v>
                </c:pt>
                <c:pt idx="182">
                  <c:v>4.7617494573100001E-2</c:v>
                </c:pt>
                <c:pt idx="183">
                  <c:v>4.8093669518800002E-2</c:v>
                </c:pt>
                <c:pt idx="184">
                  <c:v>4.8574606213999998E-2</c:v>
                </c:pt>
                <c:pt idx="185">
                  <c:v>4.9060352276099999E-2</c:v>
                </c:pt>
                <c:pt idx="186">
                  <c:v>4.9550955798900002E-2</c:v>
                </c:pt>
                <c:pt idx="187">
                  <c:v>5.0046465356900001E-2</c:v>
                </c:pt>
                <c:pt idx="188">
                  <c:v>5.0546930010399997E-2</c:v>
                </c:pt>
                <c:pt idx="189">
                  <c:v>5.1052399310499999E-2</c:v>
                </c:pt>
                <c:pt idx="190">
                  <c:v>5.1562923303600003E-2</c:v>
                </c:pt>
                <c:pt idx="191">
                  <c:v>5.2078552536699997E-2</c:v>
                </c:pt>
                <c:pt idx="192">
                  <c:v>5.2599338062100001E-2</c:v>
                </c:pt>
                <c:pt idx="193">
                  <c:v>5.31253314427E-2</c:v>
                </c:pt>
                <c:pt idx="194">
                  <c:v>5.3656584757100001E-2</c:v>
                </c:pt>
                <c:pt idx="195">
                  <c:v>5.4193150604700001E-2</c:v>
                </c:pt>
                <c:pt idx="196">
                  <c:v>5.4735082110700002E-2</c:v>
                </c:pt>
                <c:pt idx="197">
                  <c:v>5.5282432931799998E-2</c:v>
                </c:pt>
                <c:pt idx="198">
                  <c:v>5.5835257261100002E-2</c:v>
                </c:pt>
                <c:pt idx="199">
                  <c:v>5.6393609833799999E-2</c:v>
                </c:pt>
                <c:pt idx="200">
                  <c:v>5.69575459321E-2</c:v>
                </c:pt>
                <c:pt idx="201">
                  <c:v>5.7527121391400003E-2</c:v>
                </c:pt>
                <c:pt idx="202">
                  <c:v>5.81023926053E-2</c:v>
                </c:pt>
                <c:pt idx="203">
                  <c:v>5.8683416531400003E-2</c:v>
                </c:pt>
                <c:pt idx="204">
                  <c:v>5.92702506967E-2</c:v>
                </c:pt>
                <c:pt idx="205">
                  <c:v>5.9862953203699998E-2</c:v>
                </c:pt>
                <c:pt idx="206">
                  <c:v>6.0461582735700001E-2</c:v>
                </c:pt>
                <c:pt idx="207">
                  <c:v>6.1066198563099999E-2</c:v>
                </c:pt>
                <c:pt idx="208">
                  <c:v>6.1676860548700002E-2</c:v>
                </c:pt>
                <c:pt idx="209">
                  <c:v>6.2293629154200003E-2</c:v>
                </c:pt>
                <c:pt idx="210">
                  <c:v>6.2916565445699998E-2</c:v>
                </c:pt>
                <c:pt idx="211">
                  <c:v>6.3545731100199995E-2</c:v>
                </c:pt>
                <c:pt idx="212">
                  <c:v>6.4181188411200005E-2</c:v>
                </c:pt>
                <c:pt idx="213">
                  <c:v>6.4823000295299998E-2</c:v>
                </c:pt>
                <c:pt idx="214">
                  <c:v>6.5471230298199998E-2</c:v>
                </c:pt>
                <c:pt idx="215">
                  <c:v>6.61259426012E-2</c:v>
                </c:pt>
                <c:pt idx="216">
                  <c:v>6.6787202027199996E-2</c:v>
                </c:pt>
                <c:pt idx="217">
                  <c:v>6.7455074047499994E-2</c:v>
                </c:pt>
                <c:pt idx="218">
                  <c:v>6.8129624787999998E-2</c:v>
                </c:pt>
                <c:pt idx="219">
                  <c:v>6.8810921035900002E-2</c:v>
                </c:pt>
                <c:pt idx="220">
                  <c:v>6.9499030246199994E-2</c:v>
                </c:pt>
                <c:pt idx="221">
                  <c:v>7.0194020548699998E-2</c:v>
                </c:pt>
                <c:pt idx="222">
                  <c:v>7.0895960754200002E-2</c:v>
                </c:pt>
                <c:pt idx="223">
                  <c:v>7.1604920361700006E-2</c:v>
                </c:pt>
                <c:pt idx="224">
                  <c:v>7.23209695653E-2</c:v>
                </c:pt>
                <c:pt idx="225">
                  <c:v>7.3044179261E-2</c:v>
                </c:pt>
                <c:pt idx="226">
                  <c:v>7.3774621053599998E-2</c:v>
                </c:pt>
                <c:pt idx="227">
                  <c:v>7.4512367264100002E-2</c:v>
                </c:pt>
                <c:pt idx="228">
                  <c:v>7.5257490936799995E-2</c:v>
                </c:pt>
                <c:pt idx="229">
                  <c:v>7.6010065846099997E-2</c:v>
                </c:pt>
                <c:pt idx="230">
                  <c:v>7.6770166504600001E-2</c:v>
                </c:pt>
                <c:pt idx="231">
                  <c:v>7.7537868169599997E-2</c:v>
                </c:pt>
                <c:pt idx="232">
                  <c:v>7.8313246851300006E-2</c:v>
                </c:pt>
                <c:pt idx="233">
                  <c:v>7.90963793198E-2</c:v>
                </c:pt>
                <c:pt idx="234">
                  <c:v>7.9887343112999998E-2</c:v>
                </c:pt>
                <c:pt idx="235">
                  <c:v>8.0686216544199996E-2</c:v>
                </c:pt>
                <c:pt idx="236">
                  <c:v>8.14930787096E-2</c:v>
                </c:pt>
                <c:pt idx="237">
                  <c:v>8.2308009496700002E-2</c:v>
                </c:pt>
                <c:pt idx="238">
                  <c:v>8.31310895917E-2</c:v>
                </c:pt>
                <c:pt idx="239">
                  <c:v>8.3962400487599995E-2</c:v>
                </c:pt>
                <c:pt idx="240">
                  <c:v>8.4802024492500003E-2</c:v>
                </c:pt>
                <c:pt idx="241">
                  <c:v>8.5650044737399997E-2</c:v>
                </c:pt>
                <c:pt idx="242">
                  <c:v>8.6506545184799999E-2</c:v>
                </c:pt>
                <c:pt idx="243">
                  <c:v>8.7371610636599997E-2</c:v>
                </c:pt>
                <c:pt idx="244">
                  <c:v>8.8245326742999994E-2</c:v>
                </c:pt>
                <c:pt idx="245">
                  <c:v>8.9127780010400004E-2</c:v>
                </c:pt>
                <c:pt idx="246">
                  <c:v>9.00190578105E-2</c:v>
                </c:pt>
                <c:pt idx="247">
                  <c:v>9.0919248388599994E-2</c:v>
                </c:pt>
                <c:pt idx="248">
                  <c:v>9.18284408725E-2</c:v>
                </c:pt>
                <c:pt idx="249">
                  <c:v>9.2746725281199996E-2</c:v>
                </c:pt>
                <c:pt idx="250">
                  <c:v>9.3674192534E-2</c:v>
                </c:pt>
                <c:pt idx="251">
                  <c:v>9.4610934459399998E-2</c:v>
                </c:pt>
                <c:pt idx="252">
                  <c:v>9.5557043804E-2</c:v>
                </c:pt>
                <c:pt idx="253">
                  <c:v>9.6512614242E-2</c:v>
                </c:pt>
                <c:pt idx="254">
                  <c:v>9.7477740384400005E-2</c:v>
                </c:pt>
                <c:pt idx="255">
                  <c:v>9.8452517788299998E-2</c:v>
                </c:pt>
                <c:pt idx="256">
                  <c:v>9.9437042966199998E-2</c:v>
                </c:pt>
                <c:pt idx="257">
                  <c:v>0.10043141339599999</c:v>
                </c:pt>
                <c:pt idx="258">
                  <c:v>0.10143572753000001</c:v>
                </c:pt>
                <c:pt idx="259">
                  <c:v>0.10245008480499999</c:v>
                </c:pt>
                <c:pt idx="260">
                  <c:v>0.103474585653</c:v>
                </c:pt>
                <c:pt idx="261">
                  <c:v>0.10450933151</c:v>
                </c:pt>
                <c:pt idx="262">
                  <c:v>0.10555442482500001</c:v>
                </c:pt>
                <c:pt idx="263">
                  <c:v>0.10660996907299999</c:v>
                </c:pt>
                <c:pt idx="264">
                  <c:v>0.107676068764</c:v>
                </c:pt>
                <c:pt idx="265">
                  <c:v>0.108752829451</c:v>
                </c:pt>
                <c:pt idx="266">
                  <c:v>0.109840357746</c:v>
                </c:pt>
                <c:pt idx="267">
                  <c:v>0.110938761323</c:v>
                </c:pt>
                <c:pt idx="268">
                  <c:v>0.11204814893700001</c:v>
                </c:pt>
                <c:pt idx="269">
                  <c:v>0.11316863042600001</c:v>
                </c:pt>
                <c:pt idx="270">
                  <c:v>0.11430031673</c:v>
                </c:pt>
                <c:pt idx="271">
                  <c:v>0.115443319898</c:v>
                </c:pt>
                <c:pt idx="272">
                  <c:v>0.116597753096</c:v>
                </c:pt>
                <c:pt idx="273">
                  <c:v>0.117763730627</c:v>
                </c:pt>
                <c:pt idx="274">
                  <c:v>0.11894136793399999</c:v>
                </c:pt>
                <c:pt idx="275">
                  <c:v>0.120130781613</c:v>
                </c:pt>
                <c:pt idx="276">
                  <c:v>0.12133208942900001</c:v>
                </c:pt>
                <c:pt idx="277">
                  <c:v>0.122545410323</c:v>
                </c:pt>
                <c:pt idx="278">
                  <c:v>0.123770864427</c:v>
                </c:pt>
                <c:pt idx="279">
                  <c:v>0.125008573071</c:v>
                </c:pt>
                <c:pt idx="280">
                  <c:v>0.12625865880199999</c:v>
                </c:pt>
                <c:pt idx="281">
                  <c:v>0.12752124539000001</c:v>
                </c:pt>
                <c:pt idx="282">
                  <c:v>0.12879645784400001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3.645791723662438E-9</c:v>
                </c:pt>
                <c:pt idx="1">
                  <c:v>3.792480013009513E-9</c:v>
                </c:pt>
                <c:pt idx="2">
                  <c:v>3.9449310170425505E-9</c:v>
                </c:pt>
                <c:pt idx="3">
                  <c:v>4.1033403923801807E-9</c:v>
                </c:pt>
                <c:pt idx="4">
                  <c:v>4.2679057439738944E-9</c:v>
                </c:pt>
                <c:pt idx="5">
                  <c:v>4.4388222339530978E-9</c:v>
                </c:pt>
                <c:pt idx="6">
                  <c:v>4.6162772723815673E-9</c:v>
                </c:pt>
                <c:pt idx="7">
                  <c:v>4.8004450760682748E-9</c:v>
                </c:pt>
                <c:pt idx="8">
                  <c:v>4.9914790931719404E-9</c:v>
                </c:pt>
                <c:pt idx="9">
                  <c:v>5.1895007039601199E-9</c:v>
                </c:pt>
                <c:pt idx="10">
                  <c:v>5.3945820339810449E-9</c:v>
                </c:pt>
                <c:pt idx="11">
                  <c:v>5.6067197751568382E-9</c:v>
                </c:pt>
                <c:pt idx="12">
                  <c:v>5.8257942938297713E-9</c:v>
                </c:pt>
                <c:pt idx="13">
                  <c:v>6.0515038504582043E-9</c:v>
                </c:pt>
                <c:pt idx="14">
                  <c:v>6.2832551137673643E-9</c:v>
                </c:pt>
                <c:pt idx="15">
                  <c:v>6.5199736735498607E-9</c:v>
                </c:pt>
                <c:pt idx="16">
                  <c:v>6.7597615408853563E-9</c:v>
                </c:pt>
                <c:pt idx="17">
                  <c:v>6.9992504398297804E-9</c:v>
                </c:pt>
                <c:pt idx="18">
                  <c:v>7.2323474456670871E-9</c:v>
                </c:pt>
                <c:pt idx="19">
                  <c:v>7.4479215717791632E-9</c:v>
                </c:pt>
                <c:pt idx="20">
                  <c:v>7.6266701561197611E-9</c:v>
                </c:pt>
                <c:pt idx="21">
                  <c:v>7.7417422408588242E-9</c:v>
                </c:pt>
                <c:pt idx="22">
                  <c:v>7.7766960133103781E-9</c:v>
                </c:pt>
                <c:pt idx="23">
                  <c:v>7.7652837640437375E-9</c:v>
                </c:pt>
                <c:pt idx="24">
                  <c:v>7.7735143005638391E-9</c:v>
                </c:pt>
                <c:pt idx="25">
                  <c:v>7.719627472730667E-9</c:v>
                </c:pt>
                <c:pt idx="26">
                  <c:v>7.2839269089468988E-9</c:v>
                </c:pt>
                <c:pt idx="27">
                  <c:v>6.3175277962527973E-9</c:v>
                </c:pt>
                <c:pt idx="28">
                  <c:v>5.1918636137777715E-9</c:v>
                </c:pt>
                <c:pt idx="29">
                  <c:v>4.373628799487794E-9</c:v>
                </c:pt>
                <c:pt idx="30">
                  <c:v>3.9518601195472412E-9</c:v>
                </c:pt>
                <c:pt idx="31">
                  <c:v>3.7616582580466363E-9</c:v>
                </c:pt>
                <c:pt idx="32">
                  <c:v>3.6524883083326282E-9</c:v>
                </c:pt>
                <c:pt idx="33">
                  <c:v>3.5548485794326379E-9</c:v>
                </c:pt>
                <c:pt idx="34">
                  <c:v>3.4425778743737396E-9</c:v>
                </c:pt>
                <c:pt idx="35">
                  <c:v>3.3073270902538622E-9</c:v>
                </c:pt>
                <c:pt idx="36">
                  <c:v>3.1463587226561083E-9</c:v>
                </c:pt>
                <c:pt idx="37">
                  <c:v>2.9597094016780315E-9</c:v>
                </c:pt>
                <c:pt idx="38">
                  <c:v>2.7492012891358036E-9</c:v>
                </c:pt>
                <c:pt idx="39">
                  <c:v>2.5180400804692402E-9</c:v>
                </c:pt>
                <c:pt idx="40">
                  <c:v>2.2705976636226965E-9</c:v>
                </c:pt>
                <c:pt idx="41">
                  <c:v>2.0122337720247258E-9</c:v>
                </c:pt>
                <c:pt idx="42">
                  <c:v>1.7490962802912413E-9</c:v>
                </c:pt>
                <c:pt idx="43">
                  <c:v>1.4878772144651414E-9</c:v>
                </c:pt>
                <c:pt idx="44">
                  <c:v>1.2355226480504134E-9</c:v>
                </c:pt>
                <c:pt idx="45">
                  <c:v>9.9890863680608376E-10</c:v>
                </c:pt>
                <c:pt idx="46">
                  <c:v>7.8450459845249029E-10</c:v>
                </c:pt>
                <c:pt idx="47">
                  <c:v>5.9805033211446704E-10</c:v>
                </c:pt>
                <c:pt idx="48">
                  <c:v>4.4427308204176747E-10</c:v>
                </c:pt>
                <c:pt idx="49">
                  <c:v>3.2666701973452226E-10</c:v>
                </c:pt>
                <c:pt idx="50">
                  <c:v>2.4735024352245585E-10</c:v>
                </c:pt>
                <c:pt idx="51">
                  <c:v>2.0679599235442995E-10</c:v>
                </c:pt>
                <c:pt idx="52">
                  <c:v>2.0476432852968303E-10</c:v>
                </c:pt>
                <c:pt idx="53">
                  <c:v>2.389132580784994E-10</c:v>
                </c:pt>
                <c:pt idx="54">
                  <c:v>3.0601137562954487E-10</c:v>
                </c:pt>
                <c:pt idx="55">
                  <c:v>4.0183607113528874E-10</c:v>
                </c:pt>
                <c:pt idx="56">
                  <c:v>5.2137823336720979E-10</c:v>
                </c:pt>
                <c:pt idx="57">
                  <c:v>6.5905298513688989E-10</c:v>
                </c:pt>
                <c:pt idx="58">
                  <c:v>8.0890561381265508E-10</c:v>
                </c:pt>
                <c:pt idx="59">
                  <c:v>9.6480583125927364E-10</c:v>
                </c:pt>
                <c:pt idx="60">
                  <c:v>1.120627153734549E-9</c:v>
                </c:pt>
                <c:pt idx="61">
                  <c:v>1.2704111223621379E-9</c:v>
                </c:pt>
                <c:pt idx="62">
                  <c:v>1.4085180403013623E-9</c:v>
                </c:pt>
                <c:pt idx="63">
                  <c:v>1.5297668689248895E-9</c:v>
                </c:pt>
                <c:pt idx="64">
                  <c:v>1.6295669365379787E-9</c:v>
                </c:pt>
                <c:pt idx="65">
                  <c:v>1.7040433163149068E-9</c:v>
                </c:pt>
                <c:pt idx="66">
                  <c:v>1.7501562924265396E-9</c:v>
                </c:pt>
                <c:pt idx="67">
                  <c:v>1.7658134328645233E-9</c:v>
                </c:pt>
                <c:pt idx="68">
                  <c:v>1.7499706445784803E-9</c:v>
                </c:pt>
                <c:pt idx="69">
                  <c:v>1.702716431984772E-9</c:v>
                </c:pt>
                <c:pt idx="70">
                  <c:v>1.6253316836920051E-9</c:v>
                </c:pt>
                <c:pt idx="71">
                  <c:v>1.520315970180613E-9</c:v>
                </c:pt>
                <c:pt idx="72">
                  <c:v>1.3913708484565302E-9</c:v>
                </c:pt>
                <c:pt idx="73">
                  <c:v>1.2433313182683207E-9</c:v>
                </c:pt>
                <c:pt idx="74">
                  <c:v>1.0820385390313438E-9</c:v>
                </c:pt>
                <c:pt idx="75">
                  <c:v>9.1415025794295641E-10</c:v>
                </c:pt>
                <c:pt idx="76">
                  <c:v>7.4688996924325833E-10</c:v>
                </c:pt>
                <c:pt idx="77">
                  <c:v>5.8774126127702026E-10</c:v>
                </c:pt>
                <c:pt idx="78">
                  <c:v>4.4409954875142645E-10</c:v>
                </c:pt>
                <c:pt idx="79">
                  <c:v>3.2289871642054012E-10</c:v>
                </c:pt>
                <c:pt idx="80">
                  <c:v>2.302343940434098E-10</c:v>
                </c:pt>
                <c:pt idx="81">
                  <c:v>1.7100798709927713E-10</c:v>
                </c:pt>
                <c:pt idx="82">
                  <c:v>1.4861580401447006E-10</c:v>
                </c:pt>
                <c:pt idx="83">
                  <c:v>1.6470556060094073E-10</c:v>
                </c:pt>
                <c:pt idx="84">
                  <c:v>2.1901845372326459E-10</c:v>
                </c:pt>
                <c:pt idx="85">
                  <c:v>3.0932942676292302E-10</c:v>
                </c:pt>
                <c:pt idx="86">
                  <c:v>4.3149191780195477E-10</c:v>
                </c:pt>
                <c:pt idx="87">
                  <c:v>5.7958702952389755E-10</c:v>
                </c:pt>
                <c:pt idx="88">
                  <c:v>7.4617131707348897E-10</c:v>
                </c:pt>
                <c:pt idx="89">
                  <c:v>9.2261264522078555E-10</c:v>
                </c:pt>
                <c:pt idx="90">
                  <c:v>1.099499942173928E-9</c:v>
                </c:pt>
                <c:pt idx="91">
                  <c:v>1.2671100270289102E-9</c:v>
                </c:pt>
                <c:pt idx="92">
                  <c:v>1.4159126898553283E-9</c:v>
                </c:pt>
                <c:pt idx="93">
                  <c:v>1.5370934569603057E-9</c:v>
                </c:pt>
                <c:pt idx="94">
                  <c:v>1.6230716353970599E-9</c:v>
                </c:pt>
                <c:pt idx="95">
                  <c:v>1.6679891390795978E-9</c:v>
                </c:pt>
                <c:pt idx="96">
                  <c:v>1.6681433332973139E-9</c:v>
                </c:pt>
                <c:pt idx="97">
                  <c:v>1.6223351115131509E-9</c:v>
                </c:pt>
                <c:pt idx="98">
                  <c:v>1.5321023208268159E-9</c:v>
                </c:pt>
                <c:pt idx="99">
                  <c:v>1.4018093962736456E-9</c:v>
                </c:pt>
                <c:pt idx="100">
                  <c:v>1.2385676118173841E-9</c:v>
                </c:pt>
                <c:pt idx="101">
                  <c:v>1.0519675197220817E-9</c:v>
                </c:pt>
                <c:pt idx="102">
                  <c:v>8.5361634427452564E-10</c:v>
                </c:pt>
                <c:pt idx="103">
                  <c:v>6.5648808506490651E-10</c:v>
                </c:pt>
                <c:pt idx="104">
                  <c:v>4.7411188919114565E-10</c:v>
                </c:pt>
                <c:pt idx="105">
                  <c:v>3.1964307547810232E-10</c:v>
                </c:pt>
                <c:pt idx="106">
                  <c:v>2.0487867999416851E-10</c:v>
                </c:pt>
                <c:pt idx="107">
                  <c:v>1.3929293658434409E-10</c:v>
                </c:pt>
                <c:pt idx="108">
                  <c:v>1.2917535975379088E-10</c:v>
                </c:pt>
                <c:pt idx="109">
                  <c:v>1.7695343821745136E-10</c:v>
                </c:pt>
                <c:pt idx="110">
                  <c:v>2.8077281643492234E-10</c:v>
                </c:pt>
                <c:pt idx="111">
                  <c:v>4.3439087738891773E-10</c:v>
                </c:pt>
                <c:pt idx="112">
                  <c:v>6.2741649182362509E-10</c:v>
                </c:pt>
                <c:pt idx="113">
                  <c:v>8.4590167197489892E-10</c:v>
                </c:pt>
                <c:pt idx="114">
                  <c:v>1.0732624099217231E-9</c:v>
                </c:pt>
                <c:pt idx="115">
                  <c:v>1.2914782864391322E-9</c:v>
                </c:pt>
                <c:pt idx="116">
                  <c:v>1.4824951594489779E-9</c:v>
                </c:pt>
                <c:pt idx="117">
                  <c:v>1.6297335659220293E-9</c:v>
                </c:pt>
                <c:pt idx="118">
                  <c:v>1.7195882972632762E-9</c:v>
                </c:pt>
                <c:pt idx="119">
                  <c:v>1.7427930003327672E-9</c:v>
                </c:pt>
                <c:pt idx="120">
                  <c:v>1.6955191375076426E-9</c:v>
                </c:pt>
                <c:pt idx="121">
                  <c:v>1.5800833497643962E-9</c:v>
                </c:pt>
                <c:pt idx="122">
                  <c:v>1.4051537237571241E-9</c:v>
                </c:pt>
                <c:pt idx="123">
                  <c:v>1.1853759245433393E-9</c:v>
                </c:pt>
                <c:pt idx="124">
                  <c:v>9.4038564605218887E-10</c:v>
                </c:pt>
                <c:pt idx="125">
                  <c:v>6.9323309304568471E-10</c:v>
                </c:pt>
                <c:pt idx="126">
                  <c:v>4.6831388866060472E-10</c:v>
                </c:pt>
                <c:pt idx="127">
                  <c:v>2.8897128652266288E-10</c:v>
                </c:pt>
                <c:pt idx="128">
                  <c:v>1.7499672223691468E-10</c:v>
                </c:pt>
                <c:pt idx="129">
                  <c:v>1.4029849316954628E-10</c:v>
                </c:pt>
                <c:pt idx="130">
                  <c:v>1.9102198989406647E-10</c:v>
                </c:pt>
                <c:pt idx="131">
                  <c:v>3.2438320036650218E-10</c:v>
                </c:pt>
                <c:pt idx="132">
                  <c:v>5.2841908554052043E-10</c:v>
                </c:pt>
                <c:pt idx="133">
                  <c:v>7.8276834757493337E-10</c:v>
                </c:pt>
                <c:pt idx="134">
                  <c:v>1.0604833053888026E-9</c:v>
                </c:pt>
                <c:pt idx="135">
                  <c:v>1.3307504011229412E-9</c:v>
                </c:pt>
                <c:pt idx="136">
                  <c:v>1.5622768338490615E-9</c:v>
                </c:pt>
                <c:pt idx="137">
                  <c:v>1.7269972575228208E-9</c:v>
                </c:pt>
                <c:pt idx="138">
                  <c:v>1.8036796781583946E-9</c:v>
                </c:pt>
                <c:pt idx="139">
                  <c:v>1.7809747648732792E-9</c:v>
                </c:pt>
                <c:pt idx="140">
                  <c:v>1.6594675344399654E-9</c:v>
                </c:pt>
                <c:pt idx="141">
                  <c:v>1.452362249894727E-9</c:v>
                </c:pt>
                <c:pt idx="142">
                  <c:v>1.1845634238410761E-9</c:v>
                </c:pt>
                <c:pt idx="143">
                  <c:v>8.901034393503711E-10</c:v>
                </c:pt>
                <c:pt idx="144">
                  <c:v>6.0809514081381292E-10</c:v>
                </c:pt>
                <c:pt idx="145">
                  <c:v>3.7762823540241707E-10</c:v>
                </c:pt>
                <c:pt idx="146">
                  <c:v>2.3224343640196409E-10</c:v>
                </c:pt>
                <c:pt idx="147">
                  <c:v>1.9476523758490412E-10</c:v>
                </c:pt>
                <c:pt idx="148">
                  <c:v>2.7331450815270209E-10</c:v>
                </c:pt>
                <c:pt idx="149">
                  <c:v>4.5923128903737966E-10</c:v>
                </c:pt>
                <c:pt idx="150">
                  <c:v>7.2741362323835261E-10</c:v>
                </c:pt>
                <c:pt idx="151">
                  <c:v>1.0392422132794377E-9</c:v>
                </c:pt>
                <c:pt idx="152">
                  <c:v>1.3478578603195704E-9</c:v>
                </c:pt>
                <c:pt idx="153">
                  <c:v>1.6051491932355475E-9</c:v>
                </c:pt>
                <c:pt idx="154">
                  <c:v>1.7694587074225541E-9</c:v>
                </c:pt>
                <c:pt idx="155">
                  <c:v>1.8127894463457633E-9</c:v>
                </c:pt>
                <c:pt idx="156">
                  <c:v>1.7267031928459118E-9</c:v>
                </c:pt>
                <c:pt idx="157">
                  <c:v>1.523054150884726E-9</c:v>
                </c:pt>
                <c:pt idx="158">
                  <c:v>1.2356519240334762E-9</c:v>
                </c:pt>
                <c:pt idx="159">
                  <c:v>9.1378083177198651E-10</c:v>
                </c:pt>
                <c:pt idx="160">
                  <c:v>6.1456085639996212E-10</c:v>
                </c:pt>
                <c:pt idx="161">
                  <c:v>3.9287077117588576E-10</c:v>
                </c:pt>
                <c:pt idx="162">
                  <c:v>2.9096429433188803E-10</c:v>
                </c:pt>
                <c:pt idx="163">
                  <c:v>3.2977953546471061E-10</c:v>
                </c:pt>
                <c:pt idx="164">
                  <c:v>5.0382216213009712E-10</c:v>
                </c:pt>
                <c:pt idx="165">
                  <c:v>7.8097008443755555E-10</c:v>
                </c:pt>
                <c:pt idx="166">
                  <c:v>1.1076616428782868E-9</c:v>
                </c:pt>
                <c:pt idx="167">
                  <c:v>1.4188392738056288E-9</c:v>
                </c:pt>
                <c:pt idx="168">
                  <c:v>1.65094065212276E-9</c:v>
                </c:pt>
                <c:pt idx="169">
                  <c:v>1.7553983108578292E-9</c:v>
                </c:pt>
                <c:pt idx="170">
                  <c:v>1.7097421259888818E-9</c:v>
                </c:pt>
                <c:pt idx="171">
                  <c:v>1.523640665910387E-9</c:v>
                </c:pt>
                <c:pt idx="172">
                  <c:v>1.2380977483884681E-9</c:v>
                </c:pt>
                <c:pt idx="173">
                  <c:v>9.1742810670710861E-10</c:v>
                </c:pt>
                <c:pt idx="174">
                  <c:v>6.3531218924543911E-10</c:v>
                </c:pt>
                <c:pt idx="175">
                  <c:v>4.5779975328348345E-10</c:v>
                </c:pt>
                <c:pt idx="176">
                  <c:v>4.2717725387393359E-10</c:v>
                </c:pt>
                <c:pt idx="177">
                  <c:v>5.5078298658561827E-10</c:v>
                </c:pt>
                <c:pt idx="178">
                  <c:v>7.979762152929011E-10</c:v>
                </c:pt>
                <c:pt idx="179">
                  <c:v>1.1066377603658098E-9</c:v>
                </c:pt>
                <c:pt idx="180">
                  <c:v>1.39817765758444E-9</c:v>
                </c:pt>
                <c:pt idx="181">
                  <c:v>1.5976433950351064E-9</c:v>
                </c:pt>
                <c:pt idx="182">
                  <c:v>1.6538277328578601E-9</c:v>
                </c:pt>
                <c:pt idx="183">
                  <c:v>1.5538313466690481E-9</c:v>
                </c:pt>
                <c:pt idx="184">
                  <c:v>1.3276251100748241E-9</c:v>
                </c:pt>
                <c:pt idx="185">
                  <c:v>1.0406557730470984E-9</c:v>
                </c:pt>
                <c:pt idx="186">
                  <c:v>7.7588343672682991E-10</c:v>
                </c:pt>
                <c:pt idx="187">
                  <c:v>6.0991925908451032E-10</c:v>
                </c:pt>
                <c:pt idx="188">
                  <c:v>5.9011582439668914E-10</c:v>
                </c:pt>
                <c:pt idx="189">
                  <c:v>7.1971606186055305E-10</c:v>
                </c:pt>
                <c:pt idx="190">
                  <c:v>9.5616992538915414E-10</c:v>
                </c:pt>
                <c:pt idx="191">
                  <c:v>1.2238736989667118E-9</c:v>
                </c:pt>
                <c:pt idx="192">
                  <c:v>1.4379546182042836E-9</c:v>
                </c:pt>
                <c:pt idx="193">
                  <c:v>1.5318036119614934E-9</c:v>
                </c:pt>
                <c:pt idx="194">
                  <c:v>1.4792836609913781E-9</c:v>
                </c:pt>
                <c:pt idx="195">
                  <c:v>1.3037658449177401E-9</c:v>
                </c:pt>
                <c:pt idx="196">
                  <c:v>1.0702553028471033E-9</c:v>
                </c:pt>
                <c:pt idx="197">
                  <c:v>8.626792274759586E-10</c:v>
                </c:pt>
                <c:pt idx="198">
                  <c:v>7.5394467138246593E-10</c:v>
                </c:pt>
                <c:pt idx="199">
                  <c:v>7.7951327709726013E-10</c:v>
                </c:pt>
                <c:pt idx="200">
                  <c:v>9.2452777022216717E-10</c:v>
                </c:pt>
                <c:pt idx="201">
                  <c:v>1.1298580649984879E-9</c:v>
                </c:pt>
                <c:pt idx="202">
                  <c:v>1.3152978829119858E-9</c:v>
                </c:pt>
                <c:pt idx="203">
                  <c:v>1.4114256864499805E-9</c:v>
                </c:pt>
                <c:pt idx="204">
                  <c:v>1.3861812538796819E-9</c:v>
                </c:pt>
                <c:pt idx="205">
                  <c:v>1.2584147816162993E-9</c:v>
                </c:pt>
                <c:pt idx="206">
                  <c:v>1.0880923848643071E-9</c:v>
                </c:pt>
                <c:pt idx="207">
                  <c:v>9.5016738849236158E-10</c:v>
                </c:pt>
                <c:pt idx="208">
                  <c:v>9.0196084415033165E-10</c:v>
                </c:pt>
                <c:pt idx="209">
                  <c:v>9.5863326047251149E-10</c:v>
                </c:pt>
                <c:pt idx="210">
                  <c:v>1.0879020174868609E-9</c:v>
                </c:pt>
                <c:pt idx="211">
                  <c:v>1.2265586548243454E-9</c:v>
                </c:pt>
                <c:pt idx="212">
                  <c:v>1.3111035997013326E-9</c:v>
                </c:pt>
                <c:pt idx="213">
                  <c:v>1.3078336916145657E-9</c:v>
                </c:pt>
                <c:pt idx="214">
                  <c:v>1.2276850686412037E-9</c:v>
                </c:pt>
                <c:pt idx="215">
                  <c:v>1.1185132205790024E-9</c:v>
                </c:pt>
                <c:pt idx="216">
                  <c:v>1.0389208567528079E-9</c:v>
                </c:pt>
                <c:pt idx="217">
                  <c:v>1.027428659836746E-9</c:v>
                </c:pt>
                <c:pt idx="218">
                  <c:v>1.0834072107389292E-9</c:v>
                </c:pt>
                <c:pt idx="219">
                  <c:v>1.1699190036419533E-9</c:v>
                </c:pt>
                <c:pt idx="220">
                  <c:v>1.2365006781429815E-9</c:v>
                </c:pt>
                <c:pt idx="221">
                  <c:v>1.2485835134095963E-9</c:v>
                </c:pt>
                <c:pt idx="222">
                  <c:v>1.2063650182490956E-9</c:v>
                </c:pt>
                <c:pt idx="223">
                  <c:v>1.1421840549002201E-9</c:v>
                </c:pt>
                <c:pt idx="224">
                  <c:v>1.0984940883992093E-9</c:v>
                </c:pt>
                <c:pt idx="225">
                  <c:v>1.1005752268178122E-9</c:v>
                </c:pt>
                <c:pt idx="226">
                  <c:v>1.1414727434684355E-9</c:v>
                </c:pt>
                <c:pt idx="227">
                  <c:v>1.1887222092042809E-9</c:v>
                </c:pt>
                <c:pt idx="228">
                  <c:v>1.2079523601471287E-9</c:v>
                </c:pt>
                <c:pt idx="229">
                  <c:v>1.1869418979712029E-9</c:v>
                </c:pt>
                <c:pt idx="230">
                  <c:v>1.1432626138433726E-9</c:v>
                </c:pt>
                <c:pt idx="231">
                  <c:v>1.1101440805556421E-9</c:v>
                </c:pt>
                <c:pt idx="232">
                  <c:v>1.1109726145093902E-9</c:v>
                </c:pt>
                <c:pt idx="233">
                  <c:v>1.1415014374035103E-9</c:v>
                </c:pt>
                <c:pt idx="234">
                  <c:v>1.1734722429455551E-9</c:v>
                </c:pt>
                <c:pt idx="235">
                  <c:v>1.1771869723668736E-9</c:v>
                </c:pt>
                <c:pt idx="236">
                  <c:v>1.1455412916817137E-9</c:v>
                </c:pt>
                <c:pt idx="237">
                  <c:v>1.1001577218976018E-9</c:v>
                </c:pt>
                <c:pt idx="238">
                  <c:v>1.0739831628549602E-9</c:v>
                </c:pt>
                <c:pt idx="239">
                  <c:v>1.083911478644713E-9</c:v>
                </c:pt>
                <c:pt idx="240">
                  <c:v>1.11605322991763E-9</c:v>
                </c:pt>
                <c:pt idx="241">
                  <c:v>1.1367390985442856E-9</c:v>
                </c:pt>
                <c:pt idx="242">
                  <c:v>1.1209292203501437E-9</c:v>
                </c:pt>
                <c:pt idx="243">
                  <c:v>1.0740991817279533E-9</c:v>
                </c:pt>
                <c:pt idx="244">
                  <c:v>1.0281039706291001E-9</c:v>
                </c:pt>
                <c:pt idx="245">
                  <c:v>1.0136150281458546E-9</c:v>
                </c:pt>
                <c:pt idx="246">
                  <c:v>1.0329011288528972E-9</c:v>
                </c:pt>
                <c:pt idx="247">
                  <c:v>1.057560434638972E-9</c:v>
                </c:pt>
                <c:pt idx="248">
                  <c:v>1.0540421830306165E-9</c:v>
                </c:pt>
                <c:pt idx="249">
                  <c:v>1.0141799241046495E-9</c:v>
                </c:pt>
                <c:pt idx="250">
                  <c:v>9.6244639316041679E-10</c:v>
                </c:pt>
                <c:pt idx="251">
                  <c:v>9.3275386211907826E-10</c:v>
                </c:pt>
                <c:pt idx="252">
                  <c:v>9.3650952380154512E-10</c:v>
                </c:pt>
                <c:pt idx="253">
                  <c:v>9.5250193945197168E-10</c:v>
                </c:pt>
                <c:pt idx="254">
                  <c:v>9.4834508571207767E-10</c:v>
                </c:pt>
                <c:pt idx="255">
                  <c:v>9.1220804198183578E-10</c:v>
                </c:pt>
                <c:pt idx="256">
                  <c:v>8.6331028216458008E-10</c:v>
                </c:pt>
                <c:pt idx="257">
                  <c:v>8.3120610807172165E-10</c:v>
                </c:pt>
                <c:pt idx="258">
                  <c:v>8.2572170508884867E-10</c:v>
                </c:pt>
                <c:pt idx="259">
                  <c:v>8.2854830361242509E-10</c:v>
                </c:pt>
                <c:pt idx="260">
                  <c:v>8.1414904626105629E-10</c:v>
                </c:pt>
                <c:pt idx="261">
                  <c:v>7.7663726008102339E-10</c:v>
                </c:pt>
                <c:pt idx="262">
                  <c:v>7.3399959335526613E-10</c:v>
                </c:pt>
                <c:pt idx="263">
                  <c:v>7.0677935882466057E-10</c:v>
                </c:pt>
                <c:pt idx="264">
                  <c:v>6.960999426237179E-10</c:v>
                </c:pt>
                <c:pt idx="265">
                  <c:v>6.8488187891331692E-10</c:v>
                </c:pt>
                <c:pt idx="266">
                  <c:v>6.5867838443203338E-10</c:v>
                </c:pt>
                <c:pt idx="267">
                  <c:v>6.2106877123799605E-10</c:v>
                </c:pt>
                <c:pt idx="268">
                  <c:v>5.8710729887122998E-10</c:v>
                </c:pt>
                <c:pt idx="269">
                  <c:v>5.6491689221630405E-10</c:v>
                </c:pt>
                <c:pt idx="270">
                  <c:v>5.4784336241231883E-10</c:v>
                </c:pt>
                <c:pt idx="271">
                  <c:v>5.2459022395531081E-10</c:v>
                </c:pt>
                <c:pt idx="272">
                  <c:v>4.9292917854390377E-10</c:v>
                </c:pt>
                <c:pt idx="273">
                  <c:v>4.6055686241434983E-10</c:v>
                </c:pt>
                <c:pt idx="274">
                  <c:v>4.3433539396563105E-10</c:v>
                </c:pt>
                <c:pt idx="275">
                  <c:v>4.1262532059994178E-10</c:v>
                </c:pt>
                <c:pt idx="276">
                  <c:v>3.8912404882660123E-10</c:v>
                </c:pt>
                <c:pt idx="277">
                  <c:v>3.6135986745581662E-10</c:v>
                </c:pt>
                <c:pt idx="278">
                  <c:v>3.3279162008102102E-10</c:v>
                </c:pt>
                <c:pt idx="279">
                  <c:v>3.0739691253175478E-10</c:v>
                </c:pt>
                <c:pt idx="280">
                  <c:v>2.8488958270568848E-10</c:v>
                </c:pt>
                <c:pt idx="281">
                  <c:v>2.6215901946481686E-10</c:v>
                </c:pt>
                <c:pt idx="282">
                  <c:v>2.3786358286507847E-10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1072</c:v>
                </c:pt>
                <c:pt idx="1">
                  <c:v>1076</c:v>
                </c:pt>
                <c:pt idx="2">
                  <c:v>1080</c:v>
                </c:pt>
                <c:pt idx="3">
                  <c:v>1084</c:v>
                </c:pt>
                <c:pt idx="4">
                  <c:v>1088</c:v>
                </c:pt>
                <c:pt idx="5">
                  <c:v>1092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4.6577150624502099</c:v>
                </c:pt>
                <c:pt idx="1">
                  <c:v>3.5600603937980821</c:v>
                </c:pt>
                <c:pt idx="2">
                  <c:v>2.9774134728824269</c:v>
                </c:pt>
                <c:pt idx="3">
                  <c:v>2.9064035097321854</c:v>
                </c:pt>
                <c:pt idx="4">
                  <c:v>3.3387192257920386</c:v>
                </c:pt>
                <c:pt idx="5">
                  <c:v>4.2615903914319668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4.1309698924517608</c:v>
                </c:pt>
                <c:pt idx="1">
                  <c:v>3.6050273614877186</c:v>
                </c:pt>
                <c:pt idx="2">
                  <c:v>3.1879163080294539</c:v>
                </c:pt>
                <c:pt idx="3">
                  <c:v>2.9455370265777958</c:v>
                </c:pt>
                <c:pt idx="4">
                  <c:v>2.9173378874735514</c:v>
                </c:pt>
                <c:pt idx="5">
                  <c:v>3.1049148387969101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0.03</c:v>
                </c:pt>
                <c:pt idx="1">
                  <c:v>7.0000000000000007E-2</c:v>
                </c:pt>
                <c:pt idx="2">
                  <c:v>0.11</c:v>
                </c:pt>
                <c:pt idx="3">
                  <c:v>0.15</c:v>
                </c:pt>
                <c:pt idx="4">
                  <c:v>0.19</c:v>
                </c:pt>
                <c:pt idx="5">
                  <c:v>0.23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5.4437713207022327</c:v>
                </c:pt>
                <c:pt idx="1">
                  <c:v>3.8807771904373212</c:v>
                </c:pt>
                <c:pt idx="2">
                  <c:v>2.9967675783889329</c:v>
                </c:pt>
                <c:pt idx="3">
                  <c:v>3.1073232018859436</c:v>
                </c:pt>
                <c:pt idx="4">
                  <c:v>4.5925739541291453</c:v>
                </c:pt>
                <c:pt idx="5">
                  <c:v>7.8994313583661784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3.4747348551462456</c:v>
                </c:pt>
                <c:pt idx="1">
                  <c:v>2.9446062266525628</c:v>
                </c:pt>
                <c:pt idx="2">
                  <c:v>2.9283009611079645</c:v>
                </c:pt>
                <c:pt idx="3">
                  <c:v>3.4518842436515649</c:v>
                </c:pt>
                <c:pt idx="4">
                  <c:v>4.5480701902494882</c:v>
                </c:pt>
                <c:pt idx="5">
                  <c:v>6.2424631552721577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43</c:v>
                </c:pt>
                <c:pt idx="1">
                  <c:v>49</c:v>
                </c:pt>
                <c:pt idx="2">
                  <c:v>55</c:v>
                </c:pt>
                <c:pt idx="3">
                  <c:v>61</c:v>
                </c:pt>
                <c:pt idx="4">
                  <c:v>67</c:v>
                </c:pt>
                <c:pt idx="5">
                  <c:v>73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3.4840630353853332</c:v>
                </c:pt>
                <c:pt idx="1">
                  <c:v>3.019162192709802</c:v>
                </c:pt>
                <c:pt idx="2">
                  <c:v>2.8685265777517546</c:v>
                </c:pt>
                <c:pt idx="3">
                  <c:v>2.9992789389984966</c:v>
                </c:pt>
                <c:pt idx="4">
                  <c:v>3.370407186402236</c:v>
                </c:pt>
                <c:pt idx="5">
                  <c:v>3.9400749309398417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2.8711584838063322</c:v>
                </c:pt>
                <c:pt idx="1">
                  <c:v>2.8699133440353166</c:v>
                </c:pt>
                <c:pt idx="2">
                  <c:v>2.8758149001702105</c:v>
                </c:pt>
                <c:pt idx="3">
                  <c:v>2.9399192487018988</c:v>
                </c:pt>
                <c:pt idx="4">
                  <c:v>3.0380891129755274</c:v>
                </c:pt>
                <c:pt idx="5">
                  <c:v>3.1493407745927118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3.4042614466108261</c:v>
                </c:pt>
                <c:pt idx="1">
                  <c:v>2.9952029188764224</c:v>
                </c:pt>
                <c:pt idx="2">
                  <c:v>2.8781223023460831</c:v>
                </c:pt>
                <c:pt idx="3">
                  <c:v>3.0090509625033164</c:v>
                </c:pt>
                <c:pt idx="4">
                  <c:v>3.2642379738043745</c:v>
                </c:pt>
                <c:pt idx="5">
                  <c:v>3.9026613097666876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1.7999999999999999E-6</c:v>
                </c:pt>
                <c:pt idx="1">
                  <c:v>1.84E-6</c:v>
                </c:pt>
                <c:pt idx="2">
                  <c:v>1.88E-6</c:v>
                </c:pt>
                <c:pt idx="3">
                  <c:v>1.9199999999999998E-6</c:v>
                </c:pt>
                <c:pt idx="4">
                  <c:v>1.9599999999999999E-6</c:v>
                </c:pt>
                <c:pt idx="5">
                  <c:v>1.9999999999999999E-6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3.1969593584789058</c:v>
                </c:pt>
                <c:pt idx="1">
                  <c:v>2.9800831019208593</c:v>
                </c:pt>
                <c:pt idx="2">
                  <c:v>2.9424307934521909</c:v>
                </c:pt>
                <c:pt idx="3">
                  <c:v>3.1102424948855401</c:v>
                </c:pt>
                <c:pt idx="4">
                  <c:v>3.5116550787829057</c:v>
                </c:pt>
                <c:pt idx="5">
                  <c:v>4.1767317684395557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1.5799999999999999E-6</c:v>
                </c:pt>
                <c:pt idx="1">
                  <c:v>1.5999999999999999E-6</c:v>
                </c:pt>
                <c:pt idx="2">
                  <c:v>1.6199999999999999E-6</c:v>
                </c:pt>
                <c:pt idx="3">
                  <c:v>1.64E-6</c:v>
                </c:pt>
                <c:pt idx="4">
                  <c:v>1.66E-6</c:v>
                </c:pt>
                <c:pt idx="5">
                  <c:v>1.68E-6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4.1277414919308981</c:v>
                </c:pt>
                <c:pt idx="1">
                  <c:v>3.5366351934032303</c:v>
                </c:pt>
                <c:pt idx="2">
                  <c:v>3.1464466307956469</c:v>
                </c:pt>
                <c:pt idx="3">
                  <c:v>2.9591081414230693</c:v>
                </c:pt>
                <c:pt idx="4">
                  <c:v>2.9784114764112939</c:v>
                </c:pt>
                <c:pt idx="5">
                  <c:v>3.209834459687499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D9238BB2-B9B2-46AE-A890-D577D14FBE8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F13" sqref="F13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SUM(Y3:Y285)/282</f>
        <v>2.8735019431193951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7.7853207968699998E-3</v>
      </c>
      <c r="J3" s="109">
        <v>4.645586285372174E-9</v>
      </c>
      <c r="K3" s="109">
        <v>6.3898051308561932E-10</v>
      </c>
      <c r="L3" s="152">
        <v>3.6457909093026779E-9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3.6456090491231673E-9</v>
      </c>
      <c r="V3" s="127">
        <v>3.6457909093026779E-9</v>
      </c>
      <c r="W3" s="128">
        <v>3.645976026921229E-9</v>
      </c>
      <c r="X3" s="128">
        <f t="shared" ref="X3:X66" si="0">(U3+2*V3+W3)/4</f>
        <v>3.645791723662438E-9</v>
      </c>
      <c r="Y3" s="139">
        <f t="shared" ref="Y3:Y66" si="1">(J3-X3)*(J3-X3)/(K3*K3)</f>
        <v>2.4481967257698289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1.9107582571480411E-6</v>
      </c>
      <c r="D4" s="19">
        <v>9.9999999999999994E-12</v>
      </c>
      <c r="E4" s="19">
        <v>5.0000000000000001E-9</v>
      </c>
      <c r="F4" s="149">
        <f>H4*H8</f>
        <v>86.610958089002196</v>
      </c>
      <c r="G4" s="107">
        <v>55.709358471235909</v>
      </c>
      <c r="H4" s="107">
        <v>86.610958089002196</v>
      </c>
      <c r="I4" s="109">
        <v>7.8631740048299998E-3</v>
      </c>
      <c r="J4" s="109">
        <v>4.4056018791193826E-9</v>
      </c>
      <c r="K4" s="109">
        <v>4.5793293931858935E-10</v>
      </c>
      <c r="L4" s="152">
        <v>3.7924789965363514E-9</v>
      </c>
      <c r="M4" s="27"/>
      <c r="N4" s="18">
        <v>7.4750122206381245E-9</v>
      </c>
      <c r="O4" s="18">
        <v>3.9120658998460512E-14</v>
      </c>
      <c r="P4" s="18">
        <v>1.9560329499230255E-11</v>
      </c>
      <c r="Q4" s="28">
        <v>19.176070229653067</v>
      </c>
      <c r="R4" s="60">
        <v>100</v>
      </c>
      <c r="S4" s="57">
        <v>0</v>
      </c>
      <c r="U4" s="127">
        <v>3.7922936104731722E-9</v>
      </c>
      <c r="V4" s="127">
        <v>3.7924789965363514E-9</v>
      </c>
      <c r="W4" s="128">
        <v>3.7926684484921769E-9</v>
      </c>
      <c r="X4" s="128">
        <f t="shared" si="0"/>
        <v>3.792480013009513E-9</v>
      </c>
      <c r="Y4" s="139">
        <f t="shared" si="1"/>
        <v>1.7926266249845559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1.6525243810859722E-6</v>
      </c>
      <c r="D5" s="101">
        <v>1.5392483148537927E-10</v>
      </c>
      <c r="E5" s="101">
        <v>5.0509225500401457E-8</v>
      </c>
      <c r="F5" s="149">
        <f>(H10-H4)*H8</f>
        <v>996.00264221291491</v>
      </c>
      <c r="G5" s="107">
        <v>25.429732576720873</v>
      </c>
      <c r="H5" s="111" t="s">
        <v>599</v>
      </c>
      <c r="I5" s="109">
        <v>7.9418057448799994E-3</v>
      </c>
      <c r="J5" s="109">
        <v>4.6932050963070847E-9</v>
      </c>
      <c r="K5" s="109">
        <v>3.8842062908009947E-10</v>
      </c>
      <c r="L5" s="152">
        <v>3.9449297573070487E-9</v>
      </c>
      <c r="M5" s="27"/>
      <c r="N5" s="18">
        <v>6.1573837560833693E-8</v>
      </c>
      <c r="O5" s="18">
        <v>3.2224818252381934E-13</v>
      </c>
      <c r="P5" s="18">
        <v>1.6112409126190968E-10</v>
      </c>
      <c r="Q5" s="28">
        <v>14.279298814190401</v>
      </c>
      <c r="R5" s="60">
        <v>100</v>
      </c>
      <c r="S5" s="57">
        <v>7.4750122206381245E-9</v>
      </c>
      <c r="U5" s="127">
        <v>3.9447426972286205E-9</v>
      </c>
      <c r="V5" s="127">
        <v>3.9449297573070487E-9</v>
      </c>
      <c r="W5" s="128">
        <v>3.9451218563274841E-9</v>
      </c>
      <c r="X5" s="128">
        <f t="shared" si="0"/>
        <v>3.9449310170425505E-9</v>
      </c>
      <c r="Y5" s="139">
        <f t="shared" si="1"/>
        <v>3.7112210928770102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1.7243969448656413E-6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8.0212238023300002E-3</v>
      </c>
      <c r="J6" s="109">
        <v>3.85451784041732E-9</v>
      </c>
      <c r="K6" s="109">
        <v>3.2584663756305394E-10</v>
      </c>
      <c r="L6" s="152">
        <v>4.1033388397481825E-9</v>
      </c>
      <c r="M6" s="27"/>
      <c r="N6" s="18">
        <v>1.3983591170416163E-7</v>
      </c>
      <c r="O6" s="18">
        <v>7.318346587332186E-13</v>
      </c>
      <c r="P6" s="18">
        <v>3.6591732936660931E-10</v>
      </c>
      <c r="Q6" s="28">
        <v>7.9461287242217171</v>
      </c>
      <c r="R6" s="60">
        <v>119.17607022965306</v>
      </c>
      <c r="S6" s="57">
        <v>7.4750122206381245E-9</v>
      </c>
      <c r="U6" s="127">
        <v>4.1031527595546023E-9</v>
      </c>
      <c r="V6" s="127">
        <v>4.1033388397481825E-9</v>
      </c>
      <c r="W6" s="128">
        <v>4.103531130469758E-9</v>
      </c>
      <c r="X6" s="128">
        <f t="shared" si="0"/>
        <v>4.1033403923801807E-9</v>
      </c>
      <c r="Y6" s="139">
        <f t="shared" si="1"/>
        <v>0.58311336051153717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41.262845079762997</v>
      </c>
      <c r="G7" s="102">
        <v>5</v>
      </c>
      <c r="H7" s="134" t="s">
        <v>600</v>
      </c>
      <c r="I7" s="109">
        <v>8.1014360403499994E-3</v>
      </c>
      <c r="J7" s="109">
        <v>4.2392745795367972E-9</v>
      </c>
      <c r="K7" s="109">
        <v>3.2256108021045385E-10</v>
      </c>
      <c r="L7" s="152">
        <v>4.26790383925629E-9</v>
      </c>
      <c r="M7" s="27"/>
      <c r="N7" s="18">
        <v>2.2839354298355608E-7</v>
      </c>
      <c r="O7" s="18">
        <v>1.1953031846344163E-12</v>
      </c>
      <c r="P7" s="18">
        <v>5.9765159231720819E-10</v>
      </c>
      <c r="Q7" s="28">
        <v>5.8218809906643472</v>
      </c>
      <c r="R7" s="60">
        <v>119.17607022965306</v>
      </c>
      <c r="S7" s="57">
        <v>6.1573837560833693E-8</v>
      </c>
      <c r="U7" s="127">
        <v>4.267722492625429E-9</v>
      </c>
      <c r="V7" s="127">
        <v>4.26790383925629E-9</v>
      </c>
      <c r="W7" s="128">
        <v>4.2680928047575694E-9</v>
      </c>
      <c r="X7" s="128">
        <f t="shared" si="0"/>
        <v>4.2679057439738944E-9</v>
      </c>
      <c r="Y7" s="139">
        <f t="shared" si="1"/>
        <v>7.8786914527269273E-3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2.0502093461023852E-6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8.1824504007600007E-3</v>
      </c>
      <c r="J8" s="109">
        <v>4.4406413888544862E-9</v>
      </c>
      <c r="K8" s="109">
        <v>3.3195292851381747E-10</v>
      </c>
      <c r="L8" s="152">
        <v>4.4388199071792078E-9</v>
      </c>
      <c r="M8" s="27"/>
      <c r="N8" s="18">
        <v>3.2185285554999635E-7</v>
      </c>
      <c r="O8" s="18">
        <v>1.6844247792517059E-12</v>
      </c>
      <c r="P8" s="18">
        <v>8.422123896258529E-10</v>
      </c>
      <c r="Q8" s="28">
        <v>4.7377670493767035</v>
      </c>
      <c r="R8" s="60">
        <v>133.45536904384346</v>
      </c>
      <c r="S8" s="57">
        <v>6.1573837560833693E-8</v>
      </c>
      <c r="U8" s="127">
        <v>4.4386485752456356E-9</v>
      </c>
      <c r="V8" s="127">
        <v>4.4388199071792078E-9</v>
      </c>
      <c r="W8" s="128">
        <v>4.4390005462083416E-9</v>
      </c>
      <c r="X8" s="128">
        <f t="shared" si="0"/>
        <v>4.4388222339530978E-9</v>
      </c>
      <c r="Y8" s="139">
        <f t="shared" si="1"/>
        <v>3.0032145062929588E-5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8.2642749047700005E-3</v>
      </c>
      <c r="J9" s="109">
        <v>5.1645288011609436E-9</v>
      </c>
      <c r="K9" s="109">
        <v>3.5072558888276679E-10</v>
      </c>
      <c r="L9" s="152">
        <v>4.6162744417271603E-9</v>
      </c>
      <c r="M9" s="27"/>
      <c r="N9" s="18">
        <v>4.1774457585510592E-7</v>
      </c>
      <c r="O9" s="18">
        <v>2.1862764391693533E-12</v>
      </c>
      <c r="P9" s="18">
        <v>1.0931382195846767E-9</v>
      </c>
      <c r="Q9" s="28">
        <v>4.0910881504481784</v>
      </c>
      <c r="R9" s="60">
        <v>133.45536904384346</v>
      </c>
      <c r="S9" s="57">
        <v>1.3983591170416163E-7</v>
      </c>
      <c r="U9" s="127">
        <v>4.6161205577411881E-9</v>
      </c>
      <c r="V9" s="127">
        <v>4.6162744417271603E-9</v>
      </c>
      <c r="W9" s="128">
        <v>4.6164396483307621E-9</v>
      </c>
      <c r="X9" s="128">
        <f t="shared" si="0"/>
        <v>4.6162772723815673E-9</v>
      </c>
      <c r="Y9" s="139">
        <f t="shared" si="1"/>
        <v>2.4435700671636469</v>
      </c>
      <c r="AA9" s="73"/>
      <c r="AB9" s="176"/>
      <c r="AC9" s="176"/>
      <c r="AD9" s="176"/>
      <c r="AJ9" s="135"/>
    </row>
    <row r="10" spans="1:36" x14ac:dyDescent="0.35">
      <c r="A10" s="69">
        <v>4.2171478419762538</v>
      </c>
      <c r="B10" s="101"/>
      <c r="C10" s="101"/>
      <c r="D10" s="101"/>
      <c r="E10" s="101"/>
      <c r="F10" s="102"/>
      <c r="G10" s="102"/>
      <c r="H10" s="107">
        <v>1082.6136003019171</v>
      </c>
      <c r="I10" s="109">
        <v>8.3469176538099998E-3</v>
      </c>
      <c r="J10" s="109">
        <v>5.073888668687526E-9</v>
      </c>
      <c r="K10" s="109">
        <v>3.3502370131116165E-10</v>
      </c>
      <c r="L10" s="152">
        <v>4.8004416477962421E-9</v>
      </c>
      <c r="M10" s="27"/>
      <c r="N10" s="18">
        <v>5.1483774252671901E-7</v>
      </c>
      <c r="O10" s="18">
        <v>2.694415897985731E-12</v>
      </c>
      <c r="P10" s="18">
        <v>1.3472079489928657E-9</v>
      </c>
      <c r="Q10" s="28">
        <v>3.6752004129441169</v>
      </c>
      <c r="R10" s="60">
        <v>141.40149776806518</v>
      </c>
      <c r="S10" s="57">
        <v>1.3983591170416163E-7</v>
      </c>
      <c r="U10" s="127">
        <v>4.8003157138036713E-9</v>
      </c>
      <c r="V10" s="127">
        <v>4.8004416477962421E-9</v>
      </c>
      <c r="W10" s="128">
        <v>4.8005812948769454E-9</v>
      </c>
      <c r="X10" s="128">
        <f t="shared" si="0"/>
        <v>4.8004450760682748E-9</v>
      </c>
      <c r="Y10" s="139">
        <f t="shared" si="1"/>
        <v>0.66616902906726239</v>
      </c>
      <c r="AA10" s="73"/>
      <c r="AB10" s="176"/>
      <c r="AC10" s="176"/>
      <c r="AD10" s="176"/>
      <c r="AJ10" s="135"/>
    </row>
    <row r="11" spans="1:36" x14ac:dyDescent="0.35">
      <c r="B11" s="101"/>
      <c r="C11" s="142"/>
      <c r="D11" s="180"/>
      <c r="E11" s="180"/>
      <c r="F11" s="102"/>
      <c r="G11" s="180"/>
      <c r="H11" s="180"/>
      <c r="I11" s="109">
        <v>8.4303868303500003E-3</v>
      </c>
      <c r="J11" s="109">
        <v>4.9175071705506106E-9</v>
      </c>
      <c r="K11" s="109">
        <v>3.1792387525674225E-10</v>
      </c>
      <c r="L11" s="152">
        <v>4.9914749640086088E-9</v>
      </c>
      <c r="M11" s="27"/>
      <c r="N11" s="18">
        <v>6.1249654038475689E-7</v>
      </c>
      <c r="O11" s="18">
        <v>3.2055156014291243E-12</v>
      </c>
      <c r="P11" s="18">
        <v>1.6027578007145623E-9</v>
      </c>
      <c r="Q11" s="28">
        <v>3.3995617602817156</v>
      </c>
      <c r="R11" s="60">
        <v>141.40149776806518</v>
      </c>
      <c r="S11" s="57">
        <v>2.2839354298355608E-7</v>
      </c>
      <c r="U11" s="127">
        <v>4.991391915999228E-9</v>
      </c>
      <c r="V11" s="127">
        <v>4.9914749640086088E-9</v>
      </c>
      <c r="W11" s="128">
        <v>4.991574528671316E-9</v>
      </c>
      <c r="X11" s="128">
        <f t="shared" si="0"/>
        <v>4.9914790931719404E-9</v>
      </c>
      <c r="Y11" s="139">
        <f t="shared" si="1"/>
        <v>5.4136169885204782E-2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8.5146906986500008E-3</v>
      </c>
      <c r="J12" s="109">
        <v>5.5234653511727787E-9</v>
      </c>
      <c r="K12" s="109">
        <v>3.4123911437181877E-10</v>
      </c>
      <c r="L12" s="152">
        <v>5.1894957687231565E-9</v>
      </c>
      <c r="M12" s="27"/>
      <c r="N12" s="18">
        <v>7.1039514078601297E-7</v>
      </c>
      <c r="O12" s="18">
        <v>3.7178703173384912E-12</v>
      </c>
      <c r="P12" s="18">
        <v>1.8589351586692456E-9</v>
      </c>
      <c r="Q12" s="28">
        <v>3.2188364031823102</v>
      </c>
      <c r="R12" s="60">
        <v>147.22337875872952</v>
      </c>
      <c r="S12" s="57">
        <v>2.2839354298355608E-7</v>
      </c>
      <c r="U12" s="127">
        <v>5.1894770485409362E-9</v>
      </c>
      <c r="V12" s="127">
        <v>5.1894957687231565E-9</v>
      </c>
      <c r="W12" s="128">
        <v>5.1895342298532329E-9</v>
      </c>
      <c r="X12" s="128">
        <f t="shared" si="0"/>
        <v>5.1895007039601199E-9</v>
      </c>
      <c r="Y12" s="139">
        <f t="shared" si="1"/>
        <v>0.95781884878725143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8.5998376056400008E-3</v>
      </c>
      <c r="J13" s="109">
        <v>5.1696264501310016E-9</v>
      </c>
      <c r="K13" s="109">
        <v>3.26984937944581E-10</v>
      </c>
      <c r="L13" s="152">
        <v>5.3945762042170108E-9</v>
      </c>
      <c r="M13" s="27"/>
      <c r="N13" s="18">
        <v>8.0837680794293338E-7</v>
      </c>
      <c r="O13" s="18">
        <v>4.2306597651421388E-12</v>
      </c>
      <c r="P13" s="18">
        <v>2.1153298825710695E-9</v>
      </c>
      <c r="Q13" s="28">
        <v>3.1087808136042794</v>
      </c>
      <c r="R13" s="60">
        <v>147.22337875872952</v>
      </c>
      <c r="S13" s="57">
        <v>3.2185285554999635E-7</v>
      </c>
      <c r="U13" s="127">
        <v>5.3946529747757525E-9</v>
      </c>
      <c r="V13" s="127">
        <v>5.3945762042170108E-9</v>
      </c>
      <c r="W13" s="128">
        <v>5.3945227527144037E-9</v>
      </c>
      <c r="X13" s="128">
        <f t="shared" si="0"/>
        <v>5.3945820339810449E-9</v>
      </c>
      <c r="Y13" s="139">
        <f t="shared" si="1"/>
        <v>0.47330169454640914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1.3644558148159582</v>
      </c>
      <c r="I14" s="109">
        <v>8.6858359817000002E-3</v>
      </c>
      <c r="J14" s="109">
        <v>5.0460653978565049E-9</v>
      </c>
      <c r="K14" s="109">
        <v>3.2364768069642762E-10</v>
      </c>
      <c r="L14" s="152">
        <v>5.6067130208544414E-9</v>
      </c>
      <c r="M14" s="27"/>
      <c r="N14" s="18">
        <v>9.0637764307206156E-7</v>
      </c>
      <c r="O14" s="18">
        <v>4.7435495289964222E-12</v>
      </c>
      <c r="P14" s="18">
        <v>2.3717747644982111E-9</v>
      </c>
      <c r="Q14" s="28">
        <v>3.056558561222706</v>
      </c>
      <c r="R14" s="60">
        <v>151.96114580810624</v>
      </c>
      <c r="S14" s="57">
        <v>3.2185285554999635E-7</v>
      </c>
      <c r="U14" s="127">
        <v>5.6069312786669001E-9</v>
      </c>
      <c r="V14" s="127">
        <v>5.6067130208544414E-9</v>
      </c>
      <c r="W14" s="128">
        <v>5.6065217802515707E-9</v>
      </c>
      <c r="X14" s="128">
        <f t="shared" si="0"/>
        <v>5.6067197751568382E-9</v>
      </c>
      <c r="Y14" s="139">
        <f t="shared" si="1"/>
        <v>3.0008579378973934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636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8.7726943415100001E-3</v>
      </c>
      <c r="J15" s="109">
        <v>5.8746037918395695E-9</v>
      </c>
      <c r="K15" s="109">
        <v>3.4666055230695011E-10</v>
      </c>
      <c r="L15" s="152">
        <v>5.8257867339643397E-9</v>
      </c>
      <c r="M15" s="27"/>
      <c r="N15" s="18">
        <v>9.870808950778799E-7</v>
      </c>
      <c r="O15" s="18">
        <v>5.1659119691633664E-12</v>
      </c>
      <c r="P15" s="18">
        <v>2.5829559845816833E-9</v>
      </c>
      <c r="Q15" s="28">
        <v>1.9684308656591407</v>
      </c>
      <c r="R15" s="60">
        <v>151.96114580810624</v>
      </c>
      <c r="S15" s="57">
        <v>4.1774457585510592E-7</v>
      </c>
      <c r="U15" s="127">
        <v>5.8262156677564051E-9</v>
      </c>
      <c r="V15" s="127">
        <v>5.8257867339643397E-9</v>
      </c>
      <c r="W15" s="128">
        <v>5.8253880396340022E-9</v>
      </c>
      <c r="X15" s="128">
        <f t="shared" si="0"/>
        <v>5.8257942938297713E-9</v>
      </c>
      <c r="Y15" s="139">
        <f t="shared" si="1"/>
        <v>1.9824390004608481E-2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1.4899999999999999E-6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0.33941491614281738</v>
      </c>
      <c r="I16" s="109">
        <v>8.86042128493E-3</v>
      </c>
      <c r="J16" s="109">
        <v>6.2991188811455368E-9</v>
      </c>
      <c r="K16" s="109">
        <v>2.9153137302200912E-10</v>
      </c>
      <c r="L16" s="152">
        <v>6.0514959490954226E-9</v>
      </c>
      <c r="M16" s="27"/>
      <c r="N16" s="18">
        <v>1.0816393629370287E-6</v>
      </c>
      <c r="O16" s="18">
        <v>5.6607860198467055E-12</v>
      </c>
      <c r="P16" s="18">
        <v>2.8303930099233528E-9</v>
      </c>
      <c r="Q16" s="28">
        <v>3.9368617313182814</v>
      </c>
      <c r="R16" s="60">
        <v>156.05223395855441</v>
      </c>
      <c r="S16" s="57">
        <v>4.1774457585510592E-7</v>
      </c>
      <c r="U16" s="127">
        <v>6.0522420475288281E-9</v>
      </c>
      <c r="V16" s="127">
        <v>6.0514959490954226E-9</v>
      </c>
      <c r="W16" s="128">
        <v>6.0507814561131415E-9</v>
      </c>
      <c r="X16" s="128">
        <f t="shared" si="0"/>
        <v>6.0515038504582043E-9</v>
      </c>
      <c r="Y16" s="139">
        <f t="shared" si="1"/>
        <v>0.72141208153098035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637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8.9490254977800006E-3</v>
      </c>
      <c r="J17" s="109">
        <v>6.0134762305220913E-9</v>
      </c>
      <c r="K17" s="109">
        <v>2.7822697336853291E-10</v>
      </c>
      <c r="L17" s="152">
        <v>6.2832481115187146E-9</v>
      </c>
      <c r="M17" s="27"/>
      <c r="N17" s="18">
        <v>1.204459271171208E-6</v>
      </c>
      <c r="O17" s="18">
        <v>6.3035670088845218E-12</v>
      </c>
      <c r="P17" s="18">
        <v>3.1517835044422613E-9</v>
      </c>
      <c r="Q17" s="28">
        <v>3.9368617313182814</v>
      </c>
      <c r="R17" s="60">
        <v>156.05223395855441</v>
      </c>
      <c r="S17" s="57">
        <v>5.1483774252671901E-7</v>
      </c>
      <c r="U17" s="127">
        <v>6.2844798596761149E-9</v>
      </c>
      <c r="V17" s="127">
        <v>6.2832481115187146E-9</v>
      </c>
      <c r="W17" s="128">
        <v>6.2820443723559123E-9</v>
      </c>
      <c r="X17" s="128">
        <f t="shared" si="0"/>
        <v>6.2832551137673643E-9</v>
      </c>
      <c r="Y17" s="139">
        <f t="shared" si="1"/>
        <v>0.94019392855715345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207.25</v>
      </c>
      <c r="D18" s="159">
        <v>44.06</v>
      </c>
      <c r="E18" s="159">
        <v>48.06</v>
      </c>
      <c r="F18" s="104"/>
      <c r="G18" s="104"/>
      <c r="H18" s="160">
        <v>0.11625992534652416</v>
      </c>
      <c r="I18" s="109">
        <v>9.0385157527600006E-3</v>
      </c>
      <c r="J18" s="109">
        <v>6.9263526821576325E-9</v>
      </c>
      <c r="K18" s="109">
        <v>2.986263616334381E-10</v>
      </c>
      <c r="L18" s="152">
        <v>6.5199705641829045E-9</v>
      </c>
      <c r="N18" s="18">
        <v>1.3206777221019347E-6</v>
      </c>
      <c r="O18" s="18">
        <v>6.9117991102315181E-12</v>
      </c>
      <c r="P18" s="18">
        <v>3.455899555058199E-9</v>
      </c>
      <c r="Q18" s="28">
        <v>3.9368617313182814</v>
      </c>
      <c r="R18" s="60">
        <v>159.72743437149853</v>
      </c>
      <c r="S18" s="57">
        <v>5.1483774252671901E-7</v>
      </c>
      <c r="U18" s="127">
        <v>6.5219635140414947E-9</v>
      </c>
      <c r="V18" s="127">
        <v>6.5199705641829045E-9</v>
      </c>
      <c r="W18" s="128">
        <v>6.5179900517921391E-9</v>
      </c>
      <c r="X18" s="128">
        <f t="shared" si="0"/>
        <v>6.5199736735498607E-9</v>
      </c>
      <c r="Y18" s="139">
        <f t="shared" si="1"/>
        <v>1.8518518809567479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9.1289009102799995E-3</v>
      </c>
      <c r="J19" s="109">
        <v>7.0070302495897714E-9</v>
      </c>
      <c r="K19" s="109">
        <v>3.0163622152587724E-10</v>
      </c>
      <c r="L19" s="152">
        <v>6.7597693613885696E-9</v>
      </c>
      <c r="N19" s="18">
        <v>1.4276529201856933E-6</v>
      </c>
      <c r="O19" s="18">
        <v>7.4716564253354363E-12</v>
      </c>
      <c r="P19" s="18">
        <v>3.7358282119600483E-9</v>
      </c>
      <c r="Q19" s="28">
        <v>3.9368617313182814</v>
      </c>
      <c r="R19" s="60">
        <v>159.72743437149853</v>
      </c>
      <c r="S19" s="57">
        <v>6.1249654038475689E-7</v>
      </c>
      <c r="U19" s="127">
        <v>6.7629922667284705E-9</v>
      </c>
      <c r="V19" s="127">
        <v>6.7597693613885696E-9</v>
      </c>
      <c r="W19" s="128">
        <v>6.7565151740358162E-9</v>
      </c>
      <c r="X19" s="128">
        <f t="shared" si="0"/>
        <v>6.7597615408853563E-9</v>
      </c>
      <c r="Y19" s="139">
        <f t="shared" si="1"/>
        <v>0.67200319497243766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1.8180686502929699E-2</v>
      </c>
      <c r="I20" s="109">
        <v>9.2201899193900001E-3</v>
      </c>
      <c r="J20" s="109">
        <v>7.6280019335917181E-9</v>
      </c>
      <c r="K20" s="109">
        <v>5.505107939376592E-10</v>
      </c>
      <c r="L20" s="152">
        <v>6.9992857857237085E-9</v>
      </c>
      <c r="N20" s="18">
        <v>1.5234369616477708E-6</v>
      </c>
      <c r="O20" s="18">
        <v>7.9729445834666835E-12</v>
      </c>
      <c r="P20" s="18">
        <v>3.9864722840938877E-9</v>
      </c>
      <c r="Q20" s="28">
        <v>3.9368617313182814</v>
      </c>
      <c r="R20" s="60">
        <v>163.12699613178026</v>
      </c>
      <c r="S20" s="57">
        <v>6.1249654038475689E-7</v>
      </c>
      <c r="U20" s="127">
        <v>7.0045729309795311E-9</v>
      </c>
      <c r="V20" s="127">
        <v>6.9992857857237085E-9</v>
      </c>
      <c r="W20" s="128">
        <v>6.9938572568921727E-9</v>
      </c>
      <c r="X20" s="128">
        <f t="shared" si="0"/>
        <v>6.9992504398297804E-9</v>
      </c>
      <c r="Y20" s="139">
        <f t="shared" si="1"/>
        <v>1.3044468319897697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9.3123918185800004E-3</v>
      </c>
      <c r="J21" s="109">
        <v>7.1171738509415707E-9</v>
      </c>
      <c r="K21" s="109">
        <v>5.1687057416318281E-10</v>
      </c>
      <c r="L21" s="152">
        <v>7.2324492783924955E-9</v>
      </c>
      <c r="M21" s="31"/>
      <c r="N21" s="18">
        <v>1.6068638382359107E-6</v>
      </c>
      <c r="O21" s="18">
        <v>8.4095615352398235E-12</v>
      </c>
      <c r="P21" s="30">
        <v>4.2047806951854282E-9</v>
      </c>
      <c r="Q21" s="65">
        <v>3.9368617313182814</v>
      </c>
      <c r="R21" s="62">
        <v>163.12699613178026</v>
      </c>
      <c r="S21" s="61">
        <v>7.1039514078601297E-7</v>
      </c>
      <c r="T21" s="75"/>
      <c r="U21" s="127">
        <v>7.2413540581349479E-9</v>
      </c>
      <c r="V21" s="127">
        <v>7.2324492783924955E-9</v>
      </c>
      <c r="W21" s="128">
        <v>7.2231371677484094E-9</v>
      </c>
      <c r="X21" s="128">
        <f t="shared" si="0"/>
        <v>7.2323474456670871E-9</v>
      </c>
      <c r="Y21" s="139">
        <f t="shared" si="1"/>
        <v>4.9652626626343871E-2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9.4055157367700006E-3</v>
      </c>
      <c r="J22" s="109">
        <v>8.2119901563452151E-9</v>
      </c>
      <c r="K22" s="109">
        <v>5.5973860476077281E-10</v>
      </c>
      <c r="L22" s="152">
        <v>7.4481740915514924E-9</v>
      </c>
      <c r="N22" s="18">
        <v>1.677547971966727E-6</v>
      </c>
      <c r="O22" s="18">
        <v>8.779491591374259E-12</v>
      </c>
      <c r="P22" s="18">
        <v>4.3897451922581344E-9</v>
      </c>
      <c r="Q22" s="28">
        <v>3.9368617313182814</v>
      </c>
      <c r="R22" s="60">
        <v>166.34583253496257</v>
      </c>
      <c r="S22" s="57">
        <v>7.1039514078601297E-7</v>
      </c>
      <c r="U22" s="127">
        <v>7.4636497917187366E-9</v>
      </c>
      <c r="V22" s="127">
        <v>7.4481740915514924E-9</v>
      </c>
      <c r="W22" s="128">
        <v>7.4316883122949313E-9</v>
      </c>
      <c r="X22" s="128">
        <f t="shared" si="0"/>
        <v>7.4479215717791632E-9</v>
      </c>
      <c r="Y22" s="139">
        <f t="shared" si="1"/>
        <v>1.8633488315627473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9.4995708941299998E-3</v>
      </c>
      <c r="J23" s="109">
        <v>8.7616451861053811E-9</v>
      </c>
      <c r="K23" s="109">
        <v>5.6783375585888373E-10</v>
      </c>
      <c r="L23" s="152">
        <v>7.6272133463574808E-9</v>
      </c>
      <c r="N23" s="18">
        <v>1.735803989868474E-6</v>
      </c>
      <c r="O23" s="18">
        <v>9.0843968354225292E-12</v>
      </c>
      <c r="P23" s="18">
        <v>4.542193999206154E-9</v>
      </c>
      <c r="Q23" s="28">
        <v>3.9368617313182814</v>
      </c>
      <c r="R23" s="60">
        <v>166.34583253496257</v>
      </c>
      <c r="S23" s="57">
        <v>8.0837680794293338E-7</v>
      </c>
      <c r="U23" s="127">
        <v>7.6545603106954852E-9</v>
      </c>
      <c r="V23" s="127">
        <v>7.6272133463574808E-9</v>
      </c>
      <c r="W23" s="128">
        <v>7.5976936210685975E-9</v>
      </c>
      <c r="X23" s="128">
        <f t="shared" si="0"/>
        <v>7.6266701561197611E-9</v>
      </c>
      <c r="Y23" s="139">
        <f t="shared" si="1"/>
        <v>3.9951234275732634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9.5945666030799997E-3</v>
      </c>
      <c r="J24" s="109">
        <v>8.9290256079629435E-9</v>
      </c>
      <c r="K24" s="109">
        <v>5.6808190597923075E-10</v>
      </c>
      <c r="L24" s="152">
        <v>7.7426593687690077E-9</v>
      </c>
      <c r="N24" s="18">
        <v>1.782508712867583E-6</v>
      </c>
      <c r="O24" s="18">
        <v>9.3289591242064084E-12</v>
      </c>
      <c r="P24" s="18">
        <v>4.6644511114385756E-9</v>
      </c>
      <c r="Q24" s="28">
        <v>3.9368617313182814</v>
      </c>
      <c r="R24" s="60">
        <v>169.45461334856685</v>
      </c>
      <c r="S24" s="57">
        <v>8.0837680794293338E-7</v>
      </c>
      <c r="U24" s="127">
        <v>7.7893931681210092E-9</v>
      </c>
      <c r="V24" s="127">
        <v>7.7426593687690077E-9</v>
      </c>
      <c r="W24" s="128">
        <v>7.692257057776274E-9</v>
      </c>
      <c r="X24" s="128">
        <f t="shared" si="0"/>
        <v>7.7417422408588242E-9</v>
      </c>
      <c r="Y24" s="139">
        <f t="shared" si="1"/>
        <v>4.3680424864396388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1.6046562573069151E-6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43.928417817474397</v>
      </c>
      <c r="H25" s="149">
        <v>200</v>
      </c>
      <c r="I25" s="109">
        <v>9.69051226911E-3</v>
      </c>
      <c r="J25" s="109">
        <v>9.543693508577303E-9</v>
      </c>
      <c r="K25" s="109">
        <v>5.8469934944107898E-10</v>
      </c>
      <c r="L25" s="152">
        <v>7.7776558056775226E-9</v>
      </c>
      <c r="N25" s="18">
        <v>1.8189313890864191E-6</v>
      </c>
      <c r="O25" s="18">
        <v>9.5203070189846135E-12</v>
      </c>
      <c r="P25" s="18">
        <v>4.7599923289484438E-9</v>
      </c>
      <c r="Q25" s="28">
        <v>3.9368617313182814</v>
      </c>
      <c r="R25" s="60">
        <v>169.45461334856685</v>
      </c>
      <c r="S25" s="57">
        <v>9.0637764307206156E-7</v>
      </c>
      <c r="U25" s="127">
        <v>7.8481674014624096E-9</v>
      </c>
      <c r="V25" s="127">
        <v>7.7776558056775226E-9</v>
      </c>
      <c r="W25" s="128">
        <v>7.7033050404240626E-9</v>
      </c>
      <c r="X25" s="128">
        <f t="shared" si="0"/>
        <v>7.7766960133103781E-9</v>
      </c>
      <c r="Y25" s="139">
        <f t="shared" si="1"/>
        <v>9.1328567667141236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1.6046562573069151E-6</v>
      </c>
      <c r="D26" s="101">
        <v>1.5392483148537927E-10</v>
      </c>
      <c r="E26" s="101">
        <v>5.0509225500401457E-8</v>
      </c>
      <c r="F26" s="149">
        <f>(H31-H25)*H29</f>
        <v>874.52688970033137</v>
      </c>
      <c r="G26" s="149">
        <v>55.42680874121109</v>
      </c>
      <c r="H26" s="111" t="s">
        <v>599</v>
      </c>
      <c r="I26" s="109">
        <v>9.7874173918000001E-3</v>
      </c>
      <c r="J26" s="109">
        <v>8.6419312421384334E-9</v>
      </c>
      <c r="K26" s="109">
        <v>5.5050034732733179E-10</v>
      </c>
      <c r="L26" s="152">
        <v>7.7653477349228776E-9</v>
      </c>
      <c r="N26" s="18">
        <v>1.8465572019691578E-6</v>
      </c>
      <c r="O26" s="18">
        <v>9.6684172298980908E-12</v>
      </c>
      <c r="P26" s="18">
        <v>4.8334046891903518E-9</v>
      </c>
      <c r="Q26" s="28">
        <v>3.9368617313182814</v>
      </c>
      <c r="R26" s="60">
        <v>172.51117190978957</v>
      </c>
      <c r="S26" s="57">
        <v>9.0637764307206156E-7</v>
      </c>
      <c r="U26" s="127">
        <v>7.8480688624567145E-9</v>
      </c>
      <c r="V26" s="127">
        <v>7.7653477349228776E-9</v>
      </c>
      <c r="W26" s="128">
        <v>7.6823707238724817E-9</v>
      </c>
      <c r="X26" s="128">
        <f t="shared" si="0"/>
        <v>7.7652837640437375E-9</v>
      </c>
      <c r="Y26" s="139">
        <f t="shared" si="1"/>
        <v>2.535915515980089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1.7243969448656413E-6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9.8852915657199995E-3</v>
      </c>
      <c r="J27" s="109">
        <v>7.852356153774536E-9</v>
      </c>
      <c r="K27" s="109">
        <v>5.2574603638689732E-10</v>
      </c>
      <c r="L27" s="152">
        <v>7.7720554840519441E-9</v>
      </c>
      <c r="N27" s="18">
        <v>1.8669217226842066E-6</v>
      </c>
      <c r="O27" s="18">
        <v>9.7899828284696865E-12</v>
      </c>
      <c r="P27" s="18">
        <v>4.8914584538232796E-9</v>
      </c>
      <c r="Q27" s="28">
        <v>3.9368617313182814</v>
      </c>
      <c r="R27" s="60">
        <v>172.51117190978957</v>
      </c>
      <c r="S27" s="57">
        <v>9.870808950778799E-7</v>
      </c>
      <c r="U27" s="127">
        <v>7.8310885080515883E-9</v>
      </c>
      <c r="V27" s="127">
        <v>7.7720554840519441E-9</v>
      </c>
      <c r="W27" s="128">
        <v>7.7188577260998798E-9</v>
      </c>
      <c r="X27" s="128">
        <f t="shared" si="0"/>
        <v>7.7735143005638391E-9</v>
      </c>
      <c r="Y27" s="139">
        <f t="shared" si="1"/>
        <v>2.2488559287220222E-2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41.262845079762997</v>
      </c>
      <c r="G28" s="102">
        <v>5</v>
      </c>
      <c r="H28" s="134" t="s">
        <v>600</v>
      </c>
      <c r="I28" s="109">
        <v>9.9841444813699998E-3</v>
      </c>
      <c r="J28" s="109">
        <v>7.317277568984529E-9</v>
      </c>
      <c r="K28" s="109">
        <v>5.0029115241738849E-10</v>
      </c>
      <c r="L28" s="152">
        <v>7.7177292293652275E-9</v>
      </c>
      <c r="N28" s="18">
        <v>1.8814602194263004E-6</v>
      </c>
      <c r="O28" s="18">
        <v>9.9218659614716696E-12</v>
      </c>
      <c r="P28" s="18">
        <v>4.9472402737613091E-9</v>
      </c>
      <c r="Q28" s="28">
        <v>3.9368617313182814</v>
      </c>
      <c r="R28" s="60">
        <v>174.47960277544871</v>
      </c>
      <c r="S28" s="57">
        <v>9.870808950778799E-7</v>
      </c>
      <c r="U28" s="127">
        <v>7.7077801045281269E-9</v>
      </c>
      <c r="V28" s="127">
        <v>7.7177292293652275E-9</v>
      </c>
      <c r="W28" s="128">
        <v>7.735271327664086E-9</v>
      </c>
      <c r="X28" s="128">
        <f t="shared" si="0"/>
        <v>7.719627472730667E-9</v>
      </c>
      <c r="Y28" s="139">
        <f t="shared" si="1"/>
        <v>0.64678830495172446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2.0533014161526217E-6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1.0083985926200001E-2</v>
      </c>
      <c r="J29" s="109">
        <v>7.0448803708406628E-9</v>
      </c>
      <c r="K29" s="109">
        <v>4.8668009446035732E-10</v>
      </c>
      <c r="L29" s="152">
        <v>7.2837283100658843E-9</v>
      </c>
      <c r="N29" s="18">
        <v>1.8913577369854864E-6</v>
      </c>
      <c r="O29" s="18">
        <v>1.0155793638059702E-11</v>
      </c>
      <c r="P29" s="18">
        <v>5.0310404988495342E-9</v>
      </c>
      <c r="Q29" s="28">
        <v>3.9368617313182814</v>
      </c>
      <c r="R29" s="60">
        <v>174.47960277544871</v>
      </c>
      <c r="S29" s="57">
        <v>1.0816393629370287E-6</v>
      </c>
      <c r="U29" s="127">
        <v>7.1800266383030414E-9</v>
      </c>
      <c r="V29" s="127">
        <v>7.2837283100658843E-9</v>
      </c>
      <c r="W29" s="128">
        <v>7.3882243773527867E-9</v>
      </c>
      <c r="X29" s="128">
        <f t="shared" si="0"/>
        <v>7.2839269089468988E-9</v>
      </c>
      <c r="Y29" s="139">
        <f t="shared" si="1"/>
        <v>0.24125579270243483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1.01848257854E-2</v>
      </c>
      <c r="J30" s="109">
        <v>5.9706362137022543E-9</v>
      </c>
      <c r="K30" s="109">
        <v>4.4694083435756863E-10</v>
      </c>
      <c r="L30" s="152">
        <v>6.319905163041921E-9</v>
      </c>
      <c r="N30" s="18">
        <v>1.8973740318292804E-6</v>
      </c>
      <c r="O30" s="18">
        <v>1.0708549912657893E-11</v>
      </c>
      <c r="P30" s="18">
        <v>5.212501226914897E-9</v>
      </c>
      <c r="Q30" s="28">
        <v>3.9368617313182814</v>
      </c>
      <c r="R30" s="60">
        <v>178.416464506767</v>
      </c>
      <c r="S30" s="57">
        <v>1.0816393629370287E-6</v>
      </c>
      <c r="U30" s="127">
        <v>6.1350698691018287E-9</v>
      </c>
      <c r="V30" s="127">
        <v>6.319905163041921E-9</v>
      </c>
      <c r="W30" s="128">
        <v>6.4952309898255209E-9</v>
      </c>
      <c r="X30" s="128">
        <f t="shared" si="0"/>
        <v>6.3175277962527973E-9</v>
      </c>
      <c r="Y30" s="139">
        <f t="shared" si="1"/>
        <v>0.60240345287100094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1074.5268897003314</v>
      </c>
      <c r="I31" s="109">
        <v>1.02866740433E-2</v>
      </c>
      <c r="J31" s="109">
        <v>5.4483520362532971E-9</v>
      </c>
      <c r="K31" s="109">
        <v>4.2719547726892544E-10</v>
      </c>
      <c r="L31" s="152">
        <v>5.1959355312293148E-9</v>
      </c>
      <c r="N31" s="18">
        <v>1.8996362917407536E-6</v>
      </c>
      <c r="O31" s="18">
        <v>1.2028519604969037E-11</v>
      </c>
      <c r="P31" s="18">
        <v>5.6342902128154803E-9</v>
      </c>
      <c r="Q31" s="28">
        <v>3.9368617313182814</v>
      </c>
      <c r="R31" s="60">
        <v>178.416464506767</v>
      </c>
      <c r="S31" s="57">
        <v>1.204459271171208E-6</v>
      </c>
      <c r="U31" s="127">
        <v>4.9708028920811497E-9</v>
      </c>
      <c r="V31" s="127">
        <v>5.1959355312293148E-9</v>
      </c>
      <c r="W31" s="128">
        <v>5.4047805005713053E-9</v>
      </c>
      <c r="X31" s="128">
        <f t="shared" si="0"/>
        <v>5.1918636137777715E-9</v>
      </c>
      <c r="Y31" s="139">
        <f t="shared" si="1"/>
        <v>0.3604808849945893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1.03895407837E-2</v>
      </c>
      <c r="J32" s="109">
        <v>4.0626469972622684E-9</v>
      </c>
      <c r="K32" s="109">
        <v>3.6458596194251629E-10</v>
      </c>
      <c r="L32" s="152">
        <v>4.3782623674848359E-9</v>
      </c>
      <c r="N32" s="18">
        <v>1.8974685397025987E-6</v>
      </c>
      <c r="O32" s="18">
        <v>1.489552364441122E-11</v>
      </c>
      <c r="P32" s="18">
        <v>6.5436770687131674E-9</v>
      </c>
      <c r="Q32" s="28">
        <v>3.9368617313182814</v>
      </c>
      <c r="R32" s="60">
        <v>182.35332623808529</v>
      </c>
      <c r="S32" s="57">
        <v>1.204459271171208E-6</v>
      </c>
      <c r="U32" s="127">
        <v>4.1547074248408195E-9</v>
      </c>
      <c r="V32" s="127">
        <v>4.3782623674848359E-9</v>
      </c>
      <c r="W32" s="128">
        <v>4.5832830381406847E-9</v>
      </c>
      <c r="X32" s="128">
        <f t="shared" si="0"/>
        <v>4.373628799487794E-9</v>
      </c>
      <c r="Y32" s="139">
        <f t="shared" si="1"/>
        <v>0.72756209886957002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1.04934361916E-2</v>
      </c>
      <c r="J33" s="109">
        <v>4.3493854454723717E-9</v>
      </c>
      <c r="K33" s="109">
        <v>3.8408117800630816E-10</v>
      </c>
      <c r="L33" s="152">
        <v>3.9565889606526321E-9</v>
      </c>
      <c r="N33" s="18">
        <v>1.8894411409759315E-6</v>
      </c>
      <c r="O33" s="18">
        <v>2.0406698421030877E-11</v>
      </c>
      <c r="P33" s="18">
        <v>8.2880913303708036E-9</v>
      </c>
      <c r="Q33" s="28">
        <v>3.9368617313182814</v>
      </c>
      <c r="R33" s="60">
        <v>182.35332623808529</v>
      </c>
      <c r="S33" s="57">
        <v>1.3206777221019347E-6</v>
      </c>
      <c r="U33" s="127">
        <v>3.758385738171152E-9</v>
      </c>
      <c r="V33" s="127">
        <v>3.9565889606526321E-9</v>
      </c>
      <c r="W33" s="128">
        <v>4.1358768187125479E-9</v>
      </c>
      <c r="X33" s="128">
        <f t="shared" si="0"/>
        <v>3.9518601195472412E-9</v>
      </c>
      <c r="Y33" s="139">
        <f t="shared" si="1"/>
        <v>1.0712320423910509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1.05983705535E-2</v>
      </c>
      <c r="J34" s="109">
        <v>3.4679633509618604E-9</v>
      </c>
      <c r="K34" s="109">
        <v>3.3828677981860261E-10</v>
      </c>
      <c r="L34" s="152">
        <v>3.7664739769326841E-9</v>
      </c>
      <c r="N34" s="18">
        <v>1.8738641720256494E-6</v>
      </c>
      <c r="O34" s="18">
        <v>2.9719220704643496E-11</v>
      </c>
      <c r="P34" s="18">
        <v>1.1233801995366746E-8</v>
      </c>
      <c r="Q34" s="28">
        <v>3.9368617313182814</v>
      </c>
      <c r="R34" s="60">
        <v>186.29018796940358</v>
      </c>
      <c r="S34" s="57">
        <v>1.3206777221019347E-6</v>
      </c>
      <c r="U34" s="127">
        <v>3.6012502893678839E-9</v>
      </c>
      <c r="V34" s="127">
        <v>3.7664739769326841E-9</v>
      </c>
      <c r="W34" s="128">
        <v>3.9124347889532943E-9</v>
      </c>
      <c r="X34" s="128">
        <f t="shared" si="0"/>
        <v>3.7616582580466363E-9</v>
      </c>
      <c r="Y34" s="139">
        <f t="shared" si="1"/>
        <v>0.75374211015418302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1.3644558148159582</v>
      </c>
      <c r="I35" s="109">
        <v>1.0704354259E-2</v>
      </c>
      <c r="J35" s="109">
        <v>3.6920873676936917E-9</v>
      </c>
      <c r="K35" s="109">
        <v>3.5030068226010797E-10</v>
      </c>
      <c r="L35" s="152">
        <v>3.6574788135354538E-9</v>
      </c>
      <c r="N35" s="18">
        <v>1.8497590360281078E-6</v>
      </c>
      <c r="O35" s="18">
        <v>4.3527260005483489E-11</v>
      </c>
      <c r="P35" s="18">
        <v>1.5600560745261198E-8</v>
      </c>
      <c r="Q35" s="28">
        <v>3.9368617313182814</v>
      </c>
      <c r="R35" s="60">
        <v>186.29018796940358</v>
      </c>
      <c r="S35" s="57">
        <v>1.4276529201856933E-6</v>
      </c>
      <c r="U35" s="127">
        <v>3.5262321690628644E-9</v>
      </c>
      <c r="V35" s="127">
        <v>3.6574788135354538E-9</v>
      </c>
      <c r="W35" s="128">
        <v>3.7687634371967392E-9</v>
      </c>
      <c r="X35" s="128">
        <f t="shared" si="0"/>
        <v>3.6524883083326282E-9</v>
      </c>
      <c r="Y35" s="139">
        <f t="shared" si="1"/>
        <v>1.2778732328780129E-2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636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1.08113978016E-2</v>
      </c>
      <c r="J36" s="109">
        <v>3.8256511371274776E-9</v>
      </c>
      <c r="K36" s="109">
        <v>3.5082769953834038E-10</v>
      </c>
      <c r="L36" s="152">
        <v>3.5600715012581663E-9</v>
      </c>
      <c r="N36" s="18">
        <v>1.8179262513265863E-6</v>
      </c>
      <c r="O36" s="18">
        <v>6.1483831155934168E-11</v>
      </c>
      <c r="P36" s="18">
        <v>2.1278819981349063E-8</v>
      </c>
      <c r="Q36" s="28">
        <v>3.9368617313182814</v>
      </c>
      <c r="R36" s="60">
        <v>190.22704970072186</v>
      </c>
      <c r="S36" s="57">
        <v>1.4276529201856933E-6</v>
      </c>
      <c r="U36" s="127">
        <v>3.4625541585934378E-9</v>
      </c>
      <c r="V36" s="127">
        <v>3.5600715012581663E-9</v>
      </c>
      <c r="W36" s="128">
        <v>3.6366971566207826E-9</v>
      </c>
      <c r="X36" s="128">
        <f t="shared" si="0"/>
        <v>3.5548485794326379E-9</v>
      </c>
      <c r="Y36" s="139">
        <f t="shared" si="1"/>
        <v>0.59582369766235777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1.4899999999999999E-6</v>
      </c>
      <c r="D37" s="157">
        <v>5.6499999999999999E-7</v>
      </c>
      <c r="E37" s="157">
        <v>5.7300000000000002E-6</v>
      </c>
      <c r="F37" s="102"/>
      <c r="G37" s="102"/>
      <c r="H37" s="160">
        <v>0.33941491614281738</v>
      </c>
      <c r="I37" s="109">
        <v>1.0919511779600001E-2</v>
      </c>
      <c r="J37" s="109">
        <v>3.53454603041271E-9</v>
      </c>
      <c r="K37" s="109">
        <v>1.952644098606635E-10</v>
      </c>
      <c r="L37" s="152">
        <v>3.4480457033791256E-9</v>
      </c>
      <c r="N37" s="18">
        <v>1.790734540341595E-6</v>
      </c>
      <c r="O37" s="18">
        <v>7.6735492153304104E-11</v>
      </c>
      <c r="P37" s="18">
        <v>2.6101580813084684E-8</v>
      </c>
      <c r="Q37" s="28">
        <v>1.9684308656591407</v>
      </c>
      <c r="R37" s="60">
        <v>190.22704970072186</v>
      </c>
      <c r="S37" s="57">
        <v>1.5234369616477708E-6</v>
      </c>
      <c r="U37" s="127">
        <v>3.3842302054476288E-9</v>
      </c>
      <c r="V37" s="127">
        <v>3.4480457033791256E-9</v>
      </c>
      <c r="W37" s="128">
        <v>3.4899898852890786E-9</v>
      </c>
      <c r="X37" s="128">
        <f t="shared" si="0"/>
        <v>3.4425778743737396E-9</v>
      </c>
      <c r="Y37" s="139">
        <f t="shared" si="1"/>
        <v>0.22183433776532807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637</v>
      </c>
      <c r="D38" s="158" t="s">
        <v>612</v>
      </c>
      <c r="E38" s="158" t="s">
        <v>614</v>
      </c>
      <c r="F38" s="104"/>
      <c r="G38" s="104"/>
      <c r="H38" s="144"/>
      <c r="I38" s="109">
        <v>1.1028706897400001E-2</v>
      </c>
      <c r="J38" s="109">
        <v>3.6312318025007951E-9</v>
      </c>
      <c r="K38" s="109">
        <v>1.9429065828180279E-10</v>
      </c>
      <c r="L38" s="152">
        <v>3.3130098629552166E-9</v>
      </c>
      <c r="N38" s="18">
        <v>1.7748200265218328E-6</v>
      </c>
      <c r="O38" s="18">
        <v>8.5643778242006174E-11</v>
      </c>
      <c r="P38" s="18">
        <v>2.8918458601622728E-8</v>
      </c>
      <c r="Q38" s="28">
        <v>1.3952317698490946</v>
      </c>
      <c r="R38" s="60">
        <v>194.16391143204015</v>
      </c>
      <c r="S38" s="57">
        <v>1.5234369616477708E-6</v>
      </c>
      <c r="U38" s="127">
        <v>3.2829374454617355E-9</v>
      </c>
      <c r="V38" s="127">
        <v>3.3130098629552166E-9</v>
      </c>
      <c r="W38" s="128">
        <v>3.3203511896432806E-9</v>
      </c>
      <c r="X38" s="128">
        <f t="shared" si="0"/>
        <v>3.3073270902538622E-9</v>
      </c>
      <c r="Y38" s="139">
        <f t="shared" si="1"/>
        <v>2.7792697026079765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207.25</v>
      </c>
      <c r="D39" s="159">
        <v>44.06</v>
      </c>
      <c r="E39" s="159">
        <v>48.06</v>
      </c>
      <c r="F39" s="104"/>
      <c r="G39" s="104"/>
      <c r="H39" s="108"/>
      <c r="I39" s="109">
        <v>1.11389939664E-2</v>
      </c>
      <c r="J39" s="109">
        <v>3.6648599069637445E-9</v>
      </c>
      <c r="K39" s="109">
        <v>1.9626758512487791E-10</v>
      </c>
      <c r="L39" s="152">
        <v>3.1521840301678429E-9</v>
      </c>
      <c r="N39" s="18">
        <v>1.761618369828891E-6</v>
      </c>
      <c r="O39" s="18">
        <v>9.3026895268805535E-11</v>
      </c>
      <c r="P39" s="18">
        <v>3.1253053348279608E-8</v>
      </c>
      <c r="Q39" s="28">
        <v>1.4190697379941257</v>
      </c>
      <c r="R39" s="60">
        <v>194.16391143204015</v>
      </c>
      <c r="S39" s="57">
        <v>1.6068638382359107E-6</v>
      </c>
      <c r="U39" s="127">
        <v>3.1557445260448117E-9</v>
      </c>
      <c r="V39" s="127">
        <v>3.1521840301678429E-9</v>
      </c>
      <c r="W39" s="128">
        <v>3.1253223042439362E-9</v>
      </c>
      <c r="X39" s="128">
        <f t="shared" si="0"/>
        <v>3.1463587226561083E-9</v>
      </c>
      <c r="Y39" s="139">
        <f t="shared" si="1"/>
        <v>6.979147026367408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1.12503839061E-2</v>
      </c>
      <c r="J40" s="109">
        <v>2.9376066988824789E-9</v>
      </c>
      <c r="K40" s="109">
        <v>1.7356111383824967E-10</v>
      </c>
      <c r="L40" s="152">
        <v>2.9655605079548586E-9</v>
      </c>
      <c r="N40" s="18">
        <v>1.7484112374781696E-6</v>
      </c>
      <c r="O40" s="18">
        <v>1.0040848814879291E-10</v>
      </c>
      <c r="P40" s="18">
        <v>3.3587158333500852E-8</v>
      </c>
      <c r="Q40" s="28">
        <v>1.4693069744000644</v>
      </c>
      <c r="R40" s="60">
        <v>198.10077316335844</v>
      </c>
      <c r="S40" s="57">
        <v>1.6068638382359107E-6</v>
      </c>
      <c r="U40" s="127">
        <v>3.0022343186857784E-9</v>
      </c>
      <c r="V40" s="127">
        <v>2.9655605079548586E-9</v>
      </c>
      <c r="W40" s="128">
        <v>2.90548227211663E-9</v>
      </c>
      <c r="X40" s="128">
        <f t="shared" si="0"/>
        <v>2.9597094016780315E-9</v>
      </c>
      <c r="Y40" s="139">
        <f t="shared" si="1"/>
        <v>1.6217574841290858E-2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1.1362887745099999E-2</v>
      </c>
      <c r="J41" s="109">
        <v>2.8620728813825416E-9</v>
      </c>
      <c r="K41" s="109">
        <v>2.062649043245422E-10</v>
      </c>
      <c r="L41" s="152">
        <v>2.7549164555791756E-9</v>
      </c>
      <c r="N41" s="18">
        <v>1.7352089648109174E-6</v>
      </c>
      <c r="O41" s="18">
        <v>1.0778374482009881E-10</v>
      </c>
      <c r="P41" s="18">
        <v>3.5919253598228629E-8</v>
      </c>
      <c r="Q41" s="28">
        <v>1.5518029432460023</v>
      </c>
      <c r="R41" s="60">
        <v>198.10077316335844</v>
      </c>
      <c r="S41" s="57">
        <v>1.677547971966727E-6</v>
      </c>
      <c r="U41" s="127">
        <v>2.8235519519957896E-9</v>
      </c>
      <c r="V41" s="127">
        <v>2.7549164555791756E-9</v>
      </c>
      <c r="W41" s="128">
        <v>2.6634202933890741E-9</v>
      </c>
      <c r="X41" s="128">
        <f t="shared" si="0"/>
        <v>2.7492012891358036E-9</v>
      </c>
      <c r="Y41" s="139">
        <f t="shared" si="1"/>
        <v>0.29944607418623398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1.14765166226E-2</v>
      </c>
      <c r="J42" s="109">
        <v>2.4740474934995037E-9</v>
      </c>
      <c r="K42" s="109">
        <v>1.9056481248067974E-10</v>
      </c>
      <c r="L42" s="152">
        <v>2.5234151156745652E-9</v>
      </c>
      <c r="N42" s="18">
        <v>1.7220339756900567E-6</v>
      </c>
      <c r="O42" s="18">
        <v>1.1514085900880505E-10</v>
      </c>
      <c r="P42" s="18">
        <v>3.8245607165120643E-8</v>
      </c>
      <c r="Q42" s="28">
        <v>1.677624123337883</v>
      </c>
      <c r="R42" s="60">
        <v>202.03763489467673</v>
      </c>
      <c r="S42" s="57">
        <v>1.677547971966727E-6</v>
      </c>
      <c r="U42" s="127">
        <v>2.6220455674681167E-9</v>
      </c>
      <c r="V42" s="127">
        <v>2.5234151156745652E-9</v>
      </c>
      <c r="W42" s="128">
        <v>2.4032845230597149E-9</v>
      </c>
      <c r="X42" s="128">
        <f t="shared" si="0"/>
        <v>2.5180400804692402E-9</v>
      </c>
      <c r="Y42" s="139">
        <f t="shared" si="1"/>
        <v>5.3293418492689509E-2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1.1591281788799999E-2</v>
      </c>
      <c r="J43" s="109">
        <v>2.1787060582247071E-9</v>
      </c>
      <c r="K43" s="109">
        <v>1.7809351197482849E-10</v>
      </c>
      <c r="L43" s="152">
        <v>2.2753930780087405E-9</v>
      </c>
      <c r="N43" s="18">
        <v>1.708931225036192E-6</v>
      </c>
      <c r="O43" s="18">
        <v>1.2245528611241337E-10</v>
      </c>
      <c r="P43" s="18">
        <v>4.055845887104359E-8</v>
      </c>
      <c r="Q43" s="28">
        <v>1.8674650089069813</v>
      </c>
      <c r="R43" s="60">
        <v>202.03763489467673</v>
      </c>
      <c r="S43" s="57">
        <v>1.735803989868474E-6</v>
      </c>
      <c r="U43" s="127">
        <v>2.4011023378512759E-9</v>
      </c>
      <c r="V43" s="127">
        <v>2.2753930780087405E-9</v>
      </c>
      <c r="W43" s="128">
        <v>2.1305021606220296E-9</v>
      </c>
      <c r="X43" s="128">
        <f t="shared" si="0"/>
        <v>2.2705976636226965E-9</v>
      </c>
      <c r="Y43" s="139">
        <f t="shared" si="1"/>
        <v>0.2662290739389736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1.17071946067E-2</v>
      </c>
      <c r="J44" s="109">
        <v>2.0097388837038101E-9</v>
      </c>
      <c r="K44" s="109">
        <v>1.6932275533352779E-10</v>
      </c>
      <c r="L44" s="152">
        <v>2.0161872645775998E-9</v>
      </c>
      <c r="N44" s="18">
        <v>1.6959873278474241E-6</v>
      </c>
      <c r="O44" s="18">
        <v>1.2967913008762116E-10</v>
      </c>
      <c r="P44" s="18">
        <v>4.2842664569304086E-8</v>
      </c>
      <c r="Q44" s="28">
        <v>2.1626554744595796</v>
      </c>
      <c r="R44" s="60">
        <v>205.97449662599502</v>
      </c>
      <c r="S44" s="57">
        <v>1.735803989868474E-6</v>
      </c>
      <c r="U44" s="127">
        <v>2.1650368937485921E-9</v>
      </c>
      <c r="V44" s="127">
        <v>2.0161872645775998E-9</v>
      </c>
      <c r="W44" s="128">
        <v>1.8515236651951111E-9</v>
      </c>
      <c r="X44" s="128">
        <f t="shared" si="0"/>
        <v>2.0122337720247258E-9</v>
      </c>
      <c r="Y44" s="139">
        <f t="shared" si="1"/>
        <v>2.1710587008530677E-4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1.18242665528E-2</v>
      </c>
      <c r="J45" s="109">
        <v>2.0549164773990677E-9</v>
      </c>
      <c r="K45" s="109">
        <v>1.7155724484172928E-10</v>
      </c>
      <c r="L45" s="152">
        <v>1.7519404578658157E-9</v>
      </c>
      <c r="N45" s="18">
        <v>1.6833691538960868E-6</v>
      </c>
      <c r="O45" s="18">
        <v>1.3671966337357892E-10</v>
      </c>
      <c r="P45" s="18">
        <v>4.5068904152449857E-8</v>
      </c>
      <c r="Q45" s="28">
        <v>2.6575225554343866</v>
      </c>
      <c r="R45" s="60">
        <v>205.97449662599502</v>
      </c>
      <c r="S45" s="57">
        <v>1.782508712867583E-6</v>
      </c>
      <c r="U45" s="127">
        <v>1.9189709705687901E-9</v>
      </c>
      <c r="V45" s="127">
        <v>1.7519404578658157E-9</v>
      </c>
      <c r="W45" s="128">
        <v>1.5735332348645439E-9</v>
      </c>
      <c r="X45" s="128">
        <f t="shared" si="0"/>
        <v>1.7490962802912413E-9</v>
      </c>
      <c r="Y45" s="139">
        <f t="shared" si="1"/>
        <v>3.1777095693018933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1.19425092183E-2</v>
      </c>
      <c r="J46" s="109">
        <v>1.2163735847326442E-9</v>
      </c>
      <c r="K46" s="109">
        <v>1.3893167181668754E-10</v>
      </c>
      <c r="L46" s="152">
        <v>1.4893614779590812E-9</v>
      </c>
      <c r="N46" s="18">
        <v>1.6714107870375215E-6</v>
      </c>
      <c r="O46" s="18">
        <v>1.4339088022435927E-10</v>
      </c>
      <c r="P46" s="18">
        <v>4.7178362684092088E-8</v>
      </c>
      <c r="Q46" s="28">
        <v>3.6271810342510231</v>
      </c>
      <c r="R46" s="60">
        <v>209.9113583573133</v>
      </c>
      <c r="S46" s="57">
        <v>1.782508712867583E-6</v>
      </c>
      <c r="U46" s="127">
        <v>1.6686768486208526E-9</v>
      </c>
      <c r="V46" s="127">
        <v>1.4893614779590812E-9</v>
      </c>
      <c r="W46" s="128">
        <v>1.3041090533215513E-9</v>
      </c>
      <c r="X46" s="128">
        <f t="shared" si="0"/>
        <v>1.4878772144651414E-9</v>
      </c>
      <c r="Y46" s="139">
        <f t="shared" si="1"/>
        <v>3.8189920697539534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1.2061934310500001E-2</v>
      </c>
      <c r="J47" s="109">
        <v>1.0888394224933147E-9</v>
      </c>
      <c r="K47" s="109">
        <v>1.2701001698676926E-10</v>
      </c>
      <c r="L47" s="152">
        <v>1.2354372269206753E-9</v>
      </c>
      <c r="N47" s="18">
        <v>1.6608415050564678E-6</v>
      </c>
      <c r="O47" s="18">
        <v>1.4928648303423279E-10</v>
      </c>
      <c r="P47" s="18">
        <v>4.9042568588214505E-8</v>
      </c>
      <c r="Q47" s="28">
        <v>6.5180924748116853</v>
      </c>
      <c r="R47" s="60">
        <v>209.9113583573133</v>
      </c>
      <c r="S47" s="57">
        <v>1.8189313890864191E-6</v>
      </c>
      <c r="U47" s="127">
        <v>1.4203751939680556E-9</v>
      </c>
      <c r="V47" s="127">
        <v>1.2354372269206753E-9</v>
      </c>
      <c r="W47" s="128">
        <v>1.0508409443922471E-9</v>
      </c>
      <c r="X47" s="128">
        <f t="shared" si="0"/>
        <v>1.2355226480504134E-9</v>
      </c>
      <c r="Y47" s="139">
        <f t="shared" si="1"/>
        <v>1.3337823153408299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1.2182553653599999E-2</v>
      </c>
      <c r="J48" s="109">
        <v>7.9611710453186868E-10</v>
      </c>
      <c r="K48" s="109">
        <v>1.1409472789582693E-10</v>
      </c>
      <c r="L48" s="152">
        <v>9.971080277428919E-10</v>
      </c>
      <c r="N48" s="18">
        <v>1.6535337072665565E-6</v>
      </c>
      <c r="O48" s="18">
        <v>1.5336170442366526E-10</v>
      </c>
      <c r="P48" s="18">
        <v>5.0331162962924711E-8</v>
      </c>
      <c r="Q48" s="28">
        <v>8.7533289054886083</v>
      </c>
      <c r="R48" s="60">
        <v>213.84822008863159</v>
      </c>
      <c r="S48" s="57">
        <v>1.8189313890864191E-6</v>
      </c>
      <c r="U48" s="127">
        <v>1.1804900086787225E-9</v>
      </c>
      <c r="V48" s="127">
        <v>9.971080277428919E-10</v>
      </c>
      <c r="W48" s="128">
        <v>8.209284830598289E-10</v>
      </c>
      <c r="X48" s="128">
        <f t="shared" si="0"/>
        <v>9.9890863680608376E-10</v>
      </c>
      <c r="Y48" s="139">
        <f t="shared" si="1"/>
        <v>3.1591371418586176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1.2304379190100001E-2</v>
      </c>
      <c r="J49" s="109">
        <v>6.0036863240027803E-10</v>
      </c>
      <c r="K49" s="109">
        <v>9.9719669716724796E-11</v>
      </c>
      <c r="L49" s="152">
        <v>7.8092737159197535E-10</v>
      </c>
      <c r="N49" s="18">
        <v>1.6525243810859722E-6</v>
      </c>
      <c r="O49" s="18">
        <v>1.5392483148537927E-10</v>
      </c>
      <c r="P49" s="18">
        <v>5.0509225500401457E-8</v>
      </c>
      <c r="Q49" s="28">
        <v>949.88738438033829</v>
      </c>
      <c r="R49" s="60">
        <v>213.84822008863159</v>
      </c>
      <c r="S49" s="57">
        <v>1.8465572019691578E-6</v>
      </c>
      <c r="U49" s="127">
        <v>9.553724447994904E-10</v>
      </c>
      <c r="V49" s="127">
        <v>7.8092737159197535E-10</v>
      </c>
      <c r="W49" s="128">
        <v>6.2079120582651977E-10</v>
      </c>
      <c r="X49" s="128">
        <f t="shared" si="0"/>
        <v>7.8450459845249029E-10</v>
      </c>
      <c r="Y49" s="139">
        <f t="shared" si="1"/>
        <v>3.4096954219539533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1.2427422981999999E-2</v>
      </c>
      <c r="J50" s="109">
        <v>6.543411013725205E-10</v>
      </c>
      <c r="K50" s="109">
        <v>1.0272178801922034E-10</v>
      </c>
      <c r="L50" s="152">
        <v>5.9273253337511774E-10</v>
      </c>
      <c r="N50" s="18">
        <v>1.6528055512918691E-6</v>
      </c>
      <c r="O50" s="18">
        <v>1.5392483148537927E-10</v>
      </c>
      <c r="P50" s="18">
        <v>5.0509225500401457E-8</v>
      </c>
      <c r="Q50" s="28">
        <v>3.4421631761482474</v>
      </c>
      <c r="R50" s="60">
        <v>217.78508181994988</v>
      </c>
      <c r="S50" s="57">
        <v>1.8465572019691578E-6</v>
      </c>
      <c r="U50" s="127">
        <v>7.5101168698757474E-10</v>
      </c>
      <c r="V50" s="127">
        <v>5.9273253337511774E-10</v>
      </c>
      <c r="W50" s="128">
        <v>4.5572457472005811E-10</v>
      </c>
      <c r="X50" s="128">
        <f t="shared" si="0"/>
        <v>5.9805033211446704E-10</v>
      </c>
      <c r="Y50" s="139">
        <f t="shared" si="1"/>
        <v>0.30029577831639198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1.25516972118E-2</v>
      </c>
      <c r="J51" s="109">
        <v>3.3963866542954091E-10</v>
      </c>
      <c r="K51" s="109">
        <v>8.3881678576014714E-11</v>
      </c>
      <c r="L51" s="152">
        <v>4.3735327167421995E-10</v>
      </c>
      <c r="N51" s="18">
        <v>1.6548404613911049E-6</v>
      </c>
      <c r="O51" s="18">
        <v>1.5392483148537927E-10</v>
      </c>
      <c r="P51" s="18">
        <v>5.0509225500401457E-8</v>
      </c>
      <c r="Q51" s="28">
        <v>2.563177750747776</v>
      </c>
      <c r="R51" s="60">
        <v>217.78508181994988</v>
      </c>
      <c r="S51" s="57">
        <v>1.8669217226842066E-6</v>
      </c>
      <c r="U51" s="127">
        <v>5.7275461924650786E-10</v>
      </c>
      <c r="V51" s="127">
        <v>4.3735327167421995E-10</v>
      </c>
      <c r="W51" s="128">
        <v>3.2963116557212221E-10</v>
      </c>
      <c r="X51" s="128">
        <f t="shared" si="0"/>
        <v>4.4427308204176747E-10</v>
      </c>
      <c r="Y51" s="139">
        <f t="shared" si="1"/>
        <v>1.5560189767004702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1.26772141839E-2</v>
      </c>
      <c r="J52" s="109">
        <v>2.6758363902606933E-10</v>
      </c>
      <c r="K52" s="109">
        <v>8.0552221811103264E-11</v>
      </c>
      <c r="L52" s="152">
        <v>3.1838218757258155E-10</v>
      </c>
      <c r="N52" s="18">
        <v>1.6577842644045697E-6</v>
      </c>
      <c r="O52" s="18">
        <v>1.5392483148537927E-10</v>
      </c>
      <c r="P52" s="18">
        <v>5.0509225500401457E-8</v>
      </c>
      <c r="Q52" s="28">
        <v>1.4263543760469788</v>
      </c>
      <c r="R52" s="60">
        <v>221.72194355126817</v>
      </c>
      <c r="S52" s="57">
        <v>1.8669217226842066E-6</v>
      </c>
      <c r="U52" s="127">
        <v>4.2505624695450857E-10</v>
      </c>
      <c r="V52" s="127">
        <v>3.1838218757258155E-10</v>
      </c>
      <c r="W52" s="128">
        <v>2.4484745683841741E-10</v>
      </c>
      <c r="X52" s="128">
        <f t="shared" si="0"/>
        <v>3.2666701973452226E-10</v>
      </c>
      <c r="Y52" s="139">
        <f t="shared" si="1"/>
        <v>0.53799176408075222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1.28039863258E-2</v>
      </c>
      <c r="J53" s="109">
        <v>2.0770114409949714E-10</v>
      </c>
      <c r="K53" s="109">
        <v>7.1742742689007971E-11</v>
      </c>
      <c r="L53" s="152">
        <v>2.3802316822894249E-10</v>
      </c>
      <c r="N53" s="18">
        <v>1.66111533152334E-6</v>
      </c>
      <c r="O53" s="18">
        <v>1.5392483148537927E-10</v>
      </c>
      <c r="P53" s="18">
        <v>5.0509225500401457E-8</v>
      </c>
      <c r="Q53" s="28">
        <v>1.0450454197332617</v>
      </c>
      <c r="R53" s="60">
        <v>221.72194355126817</v>
      </c>
      <c r="S53" s="57">
        <v>1.8814602194263004E-6</v>
      </c>
      <c r="U53" s="127">
        <v>3.1127992801274959E-10</v>
      </c>
      <c r="V53" s="127">
        <v>2.3802316822894249E-10</v>
      </c>
      <c r="W53" s="128">
        <v>2.0207470961918874E-10</v>
      </c>
      <c r="X53" s="128">
        <f t="shared" si="0"/>
        <v>2.4735024352245585E-10</v>
      </c>
      <c r="Y53" s="139">
        <f t="shared" si="1"/>
        <v>0.30542930479425157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1.2932026189000001E-2</v>
      </c>
      <c r="J54" s="109">
        <v>1.4868281181226277E-10</v>
      </c>
      <c r="K54" s="109">
        <v>6.8245659242388197E-11</v>
      </c>
      <c r="L54" s="152">
        <v>1.9681415316331849E-10</v>
      </c>
      <c r="N54" s="18">
        <v>1.6646307738238546E-6</v>
      </c>
      <c r="O54" s="18">
        <v>1.5392483148537927E-10</v>
      </c>
      <c r="P54" s="18">
        <v>5.0509225500401457E-8</v>
      </c>
      <c r="Q54" s="28">
        <v>0.8504436560372397</v>
      </c>
      <c r="R54" s="60">
        <v>225.65880528258646</v>
      </c>
      <c r="S54" s="57">
        <v>1.8814602194263004E-6</v>
      </c>
      <c r="U54" s="127">
        <v>2.3329490779291445E-10</v>
      </c>
      <c r="V54" s="127">
        <v>1.9681415316331849E-10</v>
      </c>
      <c r="W54" s="128">
        <v>2.0026075529816831E-10</v>
      </c>
      <c r="X54" s="128">
        <f t="shared" si="0"/>
        <v>2.0679599235442995E-10</v>
      </c>
      <c r="Y54" s="139">
        <f t="shared" si="1"/>
        <v>0.72510220115009705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1.3061346450899999E-2</v>
      </c>
      <c r="J55" s="109">
        <v>2.0085105182934623E-10</v>
      </c>
      <c r="K55" s="109">
        <v>7.5204740389628427E-11</v>
      </c>
      <c r="L55" s="152">
        <v>1.9456161883157027E-10</v>
      </c>
      <c r="N55" s="18">
        <v>1.668237710367391E-6</v>
      </c>
      <c r="O55" s="18">
        <v>1.5392483148537927E-10</v>
      </c>
      <c r="P55" s="18">
        <v>5.0509225500401457E-8</v>
      </c>
      <c r="Q55" s="28">
        <v>0.73436281851289054</v>
      </c>
      <c r="R55" s="60">
        <v>225.65880528258646</v>
      </c>
      <c r="S55" s="57">
        <v>1.8913577369854864E-6</v>
      </c>
      <c r="U55" s="127">
        <v>1.9254416534060458E-10</v>
      </c>
      <c r="V55" s="127">
        <v>1.9456161883157027E-10</v>
      </c>
      <c r="W55" s="128">
        <v>2.3738991111498705E-10</v>
      </c>
      <c r="X55" s="128">
        <f t="shared" si="0"/>
        <v>2.0476432852968303E-10</v>
      </c>
      <c r="Y55" s="139">
        <f t="shared" si="1"/>
        <v>2.7076385046308112E-3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1.31919599154E-2</v>
      </c>
      <c r="J56" s="109">
        <v>1.1698132849047978E-10</v>
      </c>
      <c r="K56" s="109">
        <v>7.0359329205252122E-11</v>
      </c>
      <c r="L56" s="152">
        <v>2.28938527327066E-10</v>
      </c>
      <c r="N56" s="18">
        <v>1.6718898389336656E-6</v>
      </c>
      <c r="O56" s="18">
        <v>1.5392483148537927E-10</v>
      </c>
      <c r="P56" s="18">
        <v>5.0509225500401457E-8</v>
      </c>
      <c r="Q56" s="28">
        <v>0.6597096993751439</v>
      </c>
      <c r="R56" s="60">
        <v>229.59566701390474</v>
      </c>
      <c r="S56" s="57">
        <v>1.8913577369854864E-6</v>
      </c>
      <c r="U56" s="127">
        <v>1.8823739974477586E-10</v>
      </c>
      <c r="V56" s="127">
        <v>2.28938527327066E-10</v>
      </c>
      <c r="W56" s="128">
        <v>3.095385779150898E-10</v>
      </c>
      <c r="X56" s="128">
        <f t="shared" si="0"/>
        <v>2.389132580784994E-10</v>
      </c>
      <c r="Y56" s="139">
        <f t="shared" si="1"/>
        <v>3.0032501858419329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1.33238795146E-2</v>
      </c>
      <c r="J57" s="109">
        <v>3.6747620112094283E-10</v>
      </c>
      <c r="K57" s="109">
        <v>8.6044659771214324E-11</v>
      </c>
      <c r="L57" s="152">
        <v>2.967062287987629E-10</v>
      </c>
      <c r="N57" s="18">
        <v>1.6755632435370162E-6</v>
      </c>
      <c r="O57" s="18">
        <v>1.5392483148537927E-10</v>
      </c>
      <c r="P57" s="18">
        <v>5.0509225500401457E-8</v>
      </c>
      <c r="Q57" s="28">
        <v>0.61023171933257703</v>
      </c>
      <c r="R57" s="60">
        <v>229.59566701390474</v>
      </c>
      <c r="S57" s="57">
        <v>1.8973740318292804E-6</v>
      </c>
      <c r="U57" s="127">
        <v>2.1869514417174784E-10</v>
      </c>
      <c r="V57" s="127">
        <v>2.967062287987629E-10</v>
      </c>
      <c r="W57" s="128">
        <v>4.1193790074890583E-10</v>
      </c>
      <c r="X57" s="128">
        <f t="shared" si="0"/>
        <v>3.0601137562954487E-10</v>
      </c>
      <c r="Y57" s="139">
        <f t="shared" si="1"/>
        <v>0.51027637599195319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1.3457118309700001E-2</v>
      </c>
      <c r="J58" s="109">
        <v>4.478596237270858E-10</v>
      </c>
      <c r="K58" s="109">
        <v>8.9092659504710974E-11</v>
      </c>
      <c r="L58" s="152">
        <v>3.9361340835977492E-10</v>
      </c>
      <c r="N58" s="18">
        <v>1.6792456682367171E-6</v>
      </c>
      <c r="O58" s="18">
        <v>1.5392483148537927E-10</v>
      </c>
      <c r="P58" s="18">
        <v>5.0509225500401457E-8</v>
      </c>
      <c r="Q58" s="28">
        <v>0.57779096573949484</v>
      </c>
      <c r="R58" s="60">
        <v>233.53252874522303</v>
      </c>
      <c r="S58" s="57">
        <v>1.8973740318292804E-6</v>
      </c>
      <c r="U58" s="127">
        <v>2.8112722905675825E-10</v>
      </c>
      <c r="V58" s="127">
        <v>3.9361340835977492E-10</v>
      </c>
      <c r="W58" s="128">
        <v>5.3899023876484703E-10</v>
      </c>
      <c r="X58" s="128">
        <f t="shared" si="0"/>
        <v>4.0183607113528874E-10</v>
      </c>
      <c r="Y58" s="139">
        <f t="shared" si="1"/>
        <v>0.26685566808569094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1.3591689492799999E-2</v>
      </c>
      <c r="J59" s="109">
        <v>5.9279180415497281E-10</v>
      </c>
      <c r="K59" s="109">
        <v>9.6113316030686235E-11</v>
      </c>
      <c r="L59" s="152">
        <v>5.1460488273944816E-10</v>
      </c>
      <c r="N59" s="18">
        <v>1.682931217465998E-6</v>
      </c>
      <c r="O59" s="18">
        <v>1.5392483148537927E-10</v>
      </c>
      <c r="P59" s="18">
        <v>5.0509225500401457E-8</v>
      </c>
      <c r="Q59" s="28">
        <v>0.55803565126484422</v>
      </c>
      <c r="R59" s="60">
        <v>233.53252874522303</v>
      </c>
      <c r="S59" s="57">
        <v>1.8996362917407536E-6</v>
      </c>
      <c r="U59" s="127">
        <v>3.7178529697100213E-10</v>
      </c>
      <c r="V59" s="127">
        <v>5.1460488273944816E-10</v>
      </c>
      <c r="W59" s="128">
        <v>6.8451787101894088E-10</v>
      </c>
      <c r="X59" s="128">
        <f t="shared" si="0"/>
        <v>5.2137823336720979E-10</v>
      </c>
      <c r="Y59" s="139">
        <f t="shared" si="1"/>
        <v>0.55207028953176451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1.37276063878E-2</v>
      </c>
      <c r="J60" s="109">
        <v>7.2144097510051355E-10</v>
      </c>
      <c r="K60" s="109">
        <v>1.0380728096582652E-10</v>
      </c>
      <c r="L60" s="152">
        <v>6.540368222633942E-10</v>
      </c>
      <c r="N60" s="18">
        <v>1.6866174876924538E-6</v>
      </c>
      <c r="O60" s="18">
        <v>1.5392483148537927E-10</v>
      </c>
      <c r="P60" s="18">
        <v>5.0509225500401457E-8</v>
      </c>
      <c r="Q60" s="28">
        <v>0.54866159745868937</v>
      </c>
      <c r="R60" s="60">
        <v>237.46939047654132</v>
      </c>
      <c r="S60" s="57">
        <v>1.8996362917407536E-6</v>
      </c>
      <c r="U60" s="127">
        <v>4.8613797034240634E-10</v>
      </c>
      <c r="V60" s="127">
        <v>6.540368222633942E-10</v>
      </c>
      <c r="W60" s="128">
        <v>8.4200032567836491E-10</v>
      </c>
      <c r="X60" s="128">
        <f t="shared" si="0"/>
        <v>6.5905298513688989E-10</v>
      </c>
      <c r="Y60" s="139">
        <f t="shared" si="1"/>
        <v>0.36119884747597297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1.3864882451600001E-2</v>
      </c>
      <c r="J61" s="109">
        <v>1.0782709408505926E-9</v>
      </c>
      <c r="K61" s="109">
        <v>1.2316220547788343E-10</v>
      </c>
      <c r="L61" s="152">
        <v>8.0588691311784348E-10</v>
      </c>
      <c r="N61" s="18">
        <v>1.6892301782448766E-6</v>
      </c>
      <c r="O61" s="18">
        <v>1.5392462373247677E-10</v>
      </c>
      <c r="P61" s="18">
        <v>5.050914391620612E-8</v>
      </c>
      <c r="Q61" s="28">
        <v>0.22727272727272727</v>
      </c>
      <c r="R61" s="60">
        <v>237.46939047654132</v>
      </c>
      <c r="S61" s="57">
        <v>1.8974685397025987E-6</v>
      </c>
      <c r="U61" s="127">
        <v>6.19056092534981E-10</v>
      </c>
      <c r="V61" s="127">
        <v>8.0588691311784348E-10</v>
      </c>
      <c r="W61" s="128">
        <v>1.0047925364799525E-9</v>
      </c>
      <c r="X61" s="128">
        <f t="shared" si="0"/>
        <v>8.0890561381265508E-10</v>
      </c>
      <c r="Y61" s="139">
        <f t="shared" si="1"/>
        <v>4.7833093614348972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1.40035312762E-2</v>
      </c>
      <c r="J62" s="109">
        <v>9.7538037294423668E-10</v>
      </c>
      <c r="K62" s="109">
        <v>1.177329625050752E-10</v>
      </c>
      <c r="L62" s="152">
        <v>9.6395215077173245E-10</v>
      </c>
      <c r="N62" s="18">
        <v>1.6915288275565374E-6</v>
      </c>
      <c r="O62" s="18">
        <v>1.5392438425026633E-10</v>
      </c>
      <c r="P62" s="18">
        <v>5.0509049871967987E-8</v>
      </c>
      <c r="Q62" s="28">
        <v>0.45454545454545453</v>
      </c>
      <c r="R62" s="60">
        <v>241.40625220785961</v>
      </c>
      <c r="S62" s="57">
        <v>1.8974685397025987E-6</v>
      </c>
      <c r="U62" s="127">
        <v>7.6499810556116468E-10</v>
      </c>
      <c r="V62" s="127">
        <v>9.6395215077173245E-10</v>
      </c>
      <c r="W62" s="128">
        <v>1.1663209179324655E-9</v>
      </c>
      <c r="X62" s="128">
        <f t="shared" si="0"/>
        <v>9.6480583125927364E-10</v>
      </c>
      <c r="Y62" s="139">
        <f t="shared" si="1"/>
        <v>8.0672768754377986E-3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1.41435665889E-2</v>
      </c>
      <c r="J63" s="109">
        <v>1.0920017442744079E-9</v>
      </c>
      <c r="K63" s="109">
        <v>1.2381013739454282E-10</v>
      </c>
      <c r="L63" s="152">
        <v>1.1220308364644625E-9</v>
      </c>
      <c r="N63" s="18">
        <v>1.6945655886481565E-6</v>
      </c>
      <c r="O63" s="18">
        <v>1.5392363528405696E-10</v>
      </c>
      <c r="P63" s="18">
        <v>5.0508755754269556E-8</v>
      </c>
      <c r="Q63" s="28">
        <v>0.45454545454545453</v>
      </c>
      <c r="R63" s="60">
        <v>241.40625220785961</v>
      </c>
      <c r="S63" s="57">
        <v>1.8894411409759315E-6</v>
      </c>
      <c r="U63" s="127">
        <v>9.1818875000519586E-10</v>
      </c>
      <c r="V63" s="127">
        <v>1.1220308364644625E-9</v>
      </c>
      <c r="W63" s="128">
        <v>1.3202581920040754E-9</v>
      </c>
      <c r="X63" s="128">
        <f t="shared" si="0"/>
        <v>1.120627153734549E-9</v>
      </c>
      <c r="Y63" s="139">
        <f t="shared" si="1"/>
        <v>5.3455328659666838E-2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1.42850022548E-2</v>
      </c>
      <c r="J64" s="109">
        <v>1.2243038998475531E-9</v>
      </c>
      <c r="K64" s="109">
        <v>8.9023214274676555E-11</v>
      </c>
      <c r="L64" s="152">
        <v>1.2740884819989065E-9</v>
      </c>
      <c r="N64" s="18">
        <v>1.6975466434483167E-6</v>
      </c>
      <c r="O64" s="18">
        <v>1.5392176934880552E-10</v>
      </c>
      <c r="P64" s="18">
        <v>5.0508023004814749E-8</v>
      </c>
      <c r="Q64" s="28">
        <v>0.45454545454545453</v>
      </c>
      <c r="R64" s="60">
        <v>245.3431139391779</v>
      </c>
      <c r="S64" s="57">
        <v>1.8894411409759315E-6</v>
      </c>
      <c r="U64" s="127">
        <v>1.072787339184795E-9</v>
      </c>
      <c r="V64" s="127">
        <v>1.2740884819989065E-9</v>
      </c>
      <c r="W64" s="128">
        <v>1.4606801862659435E-9</v>
      </c>
      <c r="X64" s="128">
        <f t="shared" si="0"/>
        <v>1.2704111223621379E-9</v>
      </c>
      <c r="Y64" s="139">
        <f t="shared" si="1"/>
        <v>0.26824484256639997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1.44278522774E-2</v>
      </c>
      <c r="J65" s="109">
        <v>1.5771890356978594E-9</v>
      </c>
      <c r="K65" s="109">
        <v>1.0041936597455719E-10</v>
      </c>
      <c r="L65" s="152">
        <v>1.4144094430186754E-9</v>
      </c>
      <c r="N65" s="18">
        <v>1.7004573598221082E-6</v>
      </c>
      <c r="O65" s="18">
        <v>1.5391732796236246E-10</v>
      </c>
      <c r="P65" s="18">
        <v>5.0506278880257284E-8</v>
      </c>
      <c r="Q65" s="28">
        <v>0.45454545454545453</v>
      </c>
      <c r="R65" s="60">
        <v>245.3431139391779</v>
      </c>
      <c r="S65" s="57">
        <v>1.8738641720256494E-6</v>
      </c>
      <c r="U65" s="127">
        <v>1.2230444406104267E-9</v>
      </c>
      <c r="V65" s="127">
        <v>1.4144094430186754E-9</v>
      </c>
      <c r="W65" s="128">
        <v>1.5822088345576723E-9</v>
      </c>
      <c r="X65" s="128">
        <f t="shared" si="0"/>
        <v>1.4085180403013623E-9</v>
      </c>
      <c r="Y65" s="139">
        <f t="shared" si="1"/>
        <v>2.8212778925469881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1.4572130800099999E-2</v>
      </c>
      <c r="J66" s="109">
        <v>1.4824741684936662E-9</v>
      </c>
      <c r="K66" s="109">
        <v>9.4173786586491706E-11</v>
      </c>
      <c r="L66" s="152">
        <v>1.5377371770640822E-9</v>
      </c>
      <c r="N66" s="18">
        <v>1.7033050365391535E-6</v>
      </c>
      <c r="O66" s="18">
        <v>1.5390722782781785E-10</v>
      </c>
      <c r="P66" s="18">
        <v>5.0502312575384026E-8</v>
      </c>
      <c r="Q66" s="28">
        <v>0.45454545454545453</v>
      </c>
      <c r="R66" s="60">
        <v>249.27997567049619</v>
      </c>
      <c r="S66" s="57">
        <v>1.8738641720256494E-6</v>
      </c>
      <c r="U66" s="127">
        <v>1.3634476859863277E-9</v>
      </c>
      <c r="V66" s="127">
        <v>1.5377371770640822E-9</v>
      </c>
      <c r="W66" s="128">
        <v>1.6801454355850659E-9</v>
      </c>
      <c r="X66" s="128">
        <f t="shared" si="0"/>
        <v>1.5297668689248895E-9</v>
      </c>
      <c r="Y66" s="139">
        <f t="shared" si="1"/>
        <v>0.25219017325112625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1.4717852108099999E-2</v>
      </c>
      <c r="J67" s="109">
        <v>1.5754393502937871E-9</v>
      </c>
      <c r="K67" s="109">
        <v>9.5910159280824073E-11</v>
      </c>
      <c r="L67" s="152">
        <v>1.6394060974505022E-9</v>
      </c>
      <c r="N67" s="18">
        <v>1.7061366655494472E-6</v>
      </c>
      <c r="O67" s="18">
        <v>1.5388528355918637E-10</v>
      </c>
      <c r="P67" s="18">
        <v>5.0493695100118872E-8</v>
      </c>
      <c r="Q67" s="28">
        <v>0.45454545454545453</v>
      </c>
      <c r="R67" s="60">
        <v>249.27997567049619</v>
      </c>
      <c r="S67" s="57">
        <v>1.8497590360281078E-6</v>
      </c>
      <c r="U67" s="127">
        <v>1.4888585009206565E-9</v>
      </c>
      <c r="V67" s="127">
        <v>1.6394060974505022E-9</v>
      </c>
      <c r="W67" s="128">
        <v>1.7505970503302537E-9</v>
      </c>
      <c r="X67" s="128">
        <f t="shared" ref="X67:X130" si="2">(U67+2*V67+W67)/4</f>
        <v>1.6295669365379787E-9</v>
      </c>
      <c r="Y67" s="139">
        <f t="shared" ref="Y67:Y130" si="3">(J67-X67)*(J67-X67)/(K67*K67)</f>
        <v>0.31849901742774051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1.4865030629200001E-2</v>
      </c>
      <c r="J68" s="109">
        <v>1.8583785797994617E-9</v>
      </c>
      <c r="K68" s="109">
        <v>1.0399990083331878E-10</v>
      </c>
      <c r="L68" s="152">
        <v>1.7154672214599855E-9</v>
      </c>
      <c r="N68" s="18">
        <v>1.7090679227258433E-6</v>
      </c>
      <c r="O68" s="18">
        <v>1.5383973244666914E-10</v>
      </c>
      <c r="P68" s="18">
        <v>5.0475807259242999E-8</v>
      </c>
      <c r="Q68" s="28">
        <v>0.45454545454545453</v>
      </c>
      <c r="R68" s="60">
        <v>253.21683740181447</v>
      </c>
      <c r="S68" s="57">
        <v>1.8497590360281078E-6</v>
      </c>
      <c r="U68" s="127">
        <v>1.5946418180121603E-9</v>
      </c>
      <c r="V68" s="127">
        <v>1.7154672214599855E-9</v>
      </c>
      <c r="W68" s="128">
        <v>1.7905970043274957E-9</v>
      </c>
      <c r="X68" s="128">
        <f t="shared" si="2"/>
        <v>1.7040433163149068E-9</v>
      </c>
      <c r="Y68" s="139">
        <f t="shared" si="3"/>
        <v>2.2022391808141171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1.50136809355E-2</v>
      </c>
      <c r="J69" s="109">
        <v>1.8829696972337505E-9</v>
      </c>
      <c r="K69" s="109">
        <v>1.0873787305134612E-10</v>
      </c>
      <c r="L69" s="152">
        <v>1.7628083644911926E-9</v>
      </c>
      <c r="N69" s="18">
        <v>1.7123275482533682E-6</v>
      </c>
      <c r="O69" s="18">
        <v>1.5374939678812531E-10</v>
      </c>
      <c r="P69" s="18">
        <v>5.0440332606788841E-8</v>
      </c>
      <c r="Q69" s="28">
        <v>0.45454545454545453</v>
      </c>
      <c r="R69" s="60">
        <v>253.21683740181447</v>
      </c>
      <c r="S69" s="57">
        <v>1.8179262513265863E-6</v>
      </c>
      <c r="U69" s="127">
        <v>1.6767903898430797E-9</v>
      </c>
      <c r="V69" s="127">
        <v>1.7628083644911926E-9</v>
      </c>
      <c r="W69" s="128">
        <v>1.7982180508806936E-9</v>
      </c>
      <c r="X69" s="128">
        <f t="shared" si="2"/>
        <v>1.7501562924265396E-9</v>
      </c>
      <c r="Y69" s="139">
        <f t="shared" si="3"/>
        <v>1.4918396761802577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1.5163817744900001E-2</v>
      </c>
      <c r="J70" s="109">
        <v>1.9349281143406751E-9</v>
      </c>
      <c r="K70" s="109">
        <v>1.5229030547165344E-10</v>
      </c>
      <c r="L70" s="152">
        <v>1.7792676906465405E-9</v>
      </c>
      <c r="N70" s="18">
        <v>1.7163199368485662E-6</v>
      </c>
      <c r="O70" s="18">
        <v>1.5357823763804676E-10</v>
      </c>
      <c r="P70" s="18">
        <v>5.0373118712948229E-8</v>
      </c>
      <c r="Q70" s="28">
        <v>0.45454545454545453</v>
      </c>
      <c r="R70" s="60">
        <v>257.15369913313276</v>
      </c>
      <c r="S70" s="57">
        <v>1.8179262513265863E-6</v>
      </c>
      <c r="U70" s="127">
        <v>1.7320442551936843E-9</v>
      </c>
      <c r="V70" s="127">
        <v>1.7792676906465405E-9</v>
      </c>
      <c r="W70" s="128">
        <v>1.7726740949713276E-9</v>
      </c>
      <c r="X70" s="128">
        <f t="shared" si="2"/>
        <v>1.7658134328645233E-9</v>
      </c>
      <c r="Y70" s="139">
        <f t="shared" si="3"/>
        <v>1.2331562497275477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1.5315455922300001E-2</v>
      </c>
      <c r="J71" s="109">
        <v>1.8396832702582852E-9</v>
      </c>
      <c r="K71" s="109">
        <v>1.4824940617315874E-10</v>
      </c>
      <c r="L71" s="152">
        <v>1.7637372136039593E-9</v>
      </c>
      <c r="N71" s="18">
        <v>1.7217046864980052E-6</v>
      </c>
      <c r="O71" s="18">
        <v>1.5326841009825541E-10</v>
      </c>
      <c r="P71" s="18">
        <v>5.0251449989079967E-8</v>
      </c>
      <c r="Q71" s="28">
        <v>0.45454545454545453</v>
      </c>
      <c r="R71" s="60">
        <v>257.15369913313276</v>
      </c>
      <c r="S71" s="57">
        <v>1.790734540341595E-6</v>
      </c>
      <c r="U71" s="127">
        <v>1.7580043861357201E-9</v>
      </c>
      <c r="V71" s="127">
        <v>1.7637372136039593E-9</v>
      </c>
      <c r="W71" s="128">
        <v>1.7144037649702828E-9</v>
      </c>
      <c r="X71" s="128">
        <f t="shared" si="2"/>
        <v>1.7499706445784803E-9</v>
      </c>
      <c r="Y71" s="139">
        <f t="shared" si="3"/>
        <v>0.36620242040765527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1.54686104815E-2</v>
      </c>
      <c r="J72" s="109">
        <v>1.9601062339099969E-9</v>
      </c>
      <c r="K72" s="109">
        <v>1.451125560856947E-10</v>
      </c>
      <c r="L72" s="152">
        <v>1.7162505766424133E-9</v>
      </c>
      <c r="N72" s="18">
        <v>1.7294842753388951E-6</v>
      </c>
      <c r="O72" s="18">
        <v>1.5273259210709308E-10</v>
      </c>
      <c r="P72" s="18">
        <v>5.0041035216867413E-8</v>
      </c>
      <c r="Q72" s="28">
        <v>0.45454545454545453</v>
      </c>
      <c r="R72" s="60">
        <v>259.12212999879188</v>
      </c>
      <c r="S72" s="57">
        <v>1.790734540341595E-6</v>
      </c>
      <c r="U72" s="127">
        <v>1.7532377133220597E-9</v>
      </c>
      <c r="V72" s="127">
        <v>1.7162505766424133E-9</v>
      </c>
      <c r="W72" s="128">
        <v>1.6251268613322023E-9</v>
      </c>
      <c r="X72" s="128">
        <f t="shared" si="2"/>
        <v>1.702716431984772E-9</v>
      </c>
      <c r="Y72" s="139">
        <f t="shared" si="3"/>
        <v>3.1461011916910508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1.56232965864E-2</v>
      </c>
      <c r="J73" s="109">
        <v>1.6101511622365955E-9</v>
      </c>
      <c r="K73" s="109">
        <v>1.3444607733404607E-10</v>
      </c>
      <c r="L73" s="152">
        <v>1.6380473953457315E-9</v>
      </c>
      <c r="N73" s="18">
        <v>1.7410803394483634E-6</v>
      </c>
      <c r="O73" s="18">
        <v>1.5184729200633146E-10</v>
      </c>
      <c r="P73" s="18">
        <v>4.9693379441746038E-8</v>
      </c>
      <c r="Q73" s="28">
        <v>0.45454545454545453</v>
      </c>
      <c r="R73" s="60">
        <v>259.12212999879188</v>
      </c>
      <c r="S73" s="57">
        <v>1.7748200265218328E-6</v>
      </c>
      <c r="U73" s="127">
        <v>1.71736878145006E-9</v>
      </c>
      <c r="V73" s="127">
        <v>1.6380473953457315E-9</v>
      </c>
      <c r="W73" s="128">
        <v>1.507863162626497E-9</v>
      </c>
      <c r="X73" s="128">
        <f t="shared" si="2"/>
        <v>1.6253316836920051E-9</v>
      </c>
      <c r="Y73" s="139">
        <f t="shared" si="3"/>
        <v>1.2749028994475801E-2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1.5779529552200001E-2</v>
      </c>
      <c r="J74" s="109">
        <v>1.6991696974380665E-9</v>
      </c>
      <c r="K74" s="109">
        <v>1.4184932396819282E-10</v>
      </c>
      <c r="L74" s="152">
        <v>1.5316049202757669E-9</v>
      </c>
      <c r="N74" s="18">
        <v>1.7583676221503816E-6</v>
      </c>
      <c r="O74" s="18">
        <v>1.5044983463714939E-10</v>
      </c>
      <c r="P74" s="18">
        <v>4.9144600418153815E-8</v>
      </c>
      <c r="Q74" s="28">
        <v>0.45454545454545453</v>
      </c>
      <c r="R74" s="60">
        <v>260.51736176864097</v>
      </c>
      <c r="S74" s="57">
        <v>1.7748200265218328E-6</v>
      </c>
      <c r="U74" s="127">
        <v>1.6511514497451892E-9</v>
      </c>
      <c r="V74" s="127">
        <v>1.5316049202757669E-9</v>
      </c>
      <c r="W74" s="128">
        <v>1.3669025904257299E-9</v>
      </c>
      <c r="X74" s="128">
        <f t="shared" si="2"/>
        <v>1.520315970180613E-9</v>
      </c>
      <c r="Y74" s="139">
        <f t="shared" si="3"/>
        <v>1.5897961816825972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1.59373248477E-2</v>
      </c>
      <c r="J75" s="109">
        <v>1.5318597677053968E-9</v>
      </c>
      <c r="K75" s="109">
        <v>1.3366306244405785E-10</v>
      </c>
      <c r="L75" s="152">
        <v>1.4006270843788979E-9</v>
      </c>
      <c r="N75" s="18">
        <v>1.783627303438762E-6</v>
      </c>
      <c r="O75" s="18">
        <v>1.4834236768904425E-10</v>
      </c>
      <c r="P75" s="18">
        <v>4.8317001895623606E-8</v>
      </c>
      <c r="Q75" s="28">
        <v>0.45454545454545453</v>
      </c>
      <c r="R75" s="60">
        <v>260.51736176864097</v>
      </c>
      <c r="S75" s="57">
        <v>1.761618369828891E-6</v>
      </c>
      <c r="U75" s="127">
        <v>1.5565125713552474E-9</v>
      </c>
      <c r="V75" s="127">
        <v>1.4006270843788979E-9</v>
      </c>
      <c r="W75" s="128">
        <v>1.2077166537130771E-9</v>
      </c>
      <c r="X75" s="128">
        <f t="shared" si="2"/>
        <v>1.3913708484565302E-9</v>
      </c>
      <c r="Y75" s="139">
        <f t="shared" si="3"/>
        <v>1.1047431783603976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1.6096698096199999E-2</v>
      </c>
      <c r="J76" s="109">
        <v>1.4016483339515289E-9</v>
      </c>
      <c r="K76" s="109">
        <v>1.2660752074225946E-10</v>
      </c>
      <c r="L76" s="152">
        <v>1.2499814465963514E-9</v>
      </c>
      <c r="N76" s="18">
        <v>1.8193842652360807E-6</v>
      </c>
      <c r="O76" s="18">
        <v>1.4530598180669824E-10</v>
      </c>
      <c r="P76" s="18">
        <v>4.7124618559637941E-8</v>
      </c>
      <c r="Q76" s="28">
        <v>0.45454545454545453</v>
      </c>
      <c r="R76" s="60">
        <v>261.93643150663507</v>
      </c>
      <c r="S76" s="57">
        <v>1.761618369828891E-6</v>
      </c>
      <c r="U76" s="127">
        <v>1.4365587396538948E-9</v>
      </c>
      <c r="V76" s="127">
        <v>1.2499814465963514E-9</v>
      </c>
      <c r="W76" s="128">
        <v>1.036803640226685E-9</v>
      </c>
      <c r="X76" s="128">
        <f t="shared" si="2"/>
        <v>1.2433313182683207E-9</v>
      </c>
      <c r="Y76" s="139">
        <f t="shared" si="3"/>
        <v>1.5636378716376476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1.6257665077200001E-2</v>
      </c>
      <c r="J77" s="109">
        <v>1.1381927661685818E-9</v>
      </c>
      <c r="K77" s="109">
        <v>1.1516423018229108E-10</v>
      </c>
      <c r="L77" s="152">
        <v>1.0855763466532169E-9</v>
      </c>
      <c r="N77" s="18">
        <v>1.8681110490095441E-6</v>
      </c>
      <c r="O77" s="18">
        <v>1.4112645118160966E-10</v>
      </c>
      <c r="P77" s="18">
        <v>4.5483324316184636E-8</v>
      </c>
      <c r="Q77" s="28">
        <v>0.45454545454545453</v>
      </c>
      <c r="R77" s="60">
        <v>261.93643150663507</v>
      </c>
      <c r="S77" s="57">
        <v>1.7484112374781696E-6</v>
      </c>
      <c r="U77" s="127">
        <v>1.2955372407508504E-9</v>
      </c>
      <c r="V77" s="127">
        <v>1.0855763466532169E-9</v>
      </c>
      <c r="W77" s="128">
        <v>8.6146422206809104E-10</v>
      </c>
      <c r="X77" s="128">
        <f t="shared" si="2"/>
        <v>1.0820385390313438E-9</v>
      </c>
      <c r="Y77" s="139">
        <f t="shared" si="3"/>
        <v>0.23775501748885197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1.6420241727999999E-2</v>
      </c>
      <c r="J78" s="109">
        <v>8.8171016201540678E-10</v>
      </c>
      <c r="K78" s="109">
        <v>1.0498064322440377E-10</v>
      </c>
      <c r="L78" s="152">
        <v>9.141738507343681E-10</v>
      </c>
      <c r="N78" s="18">
        <v>1.9318155034088313E-6</v>
      </c>
      <c r="O78" s="18">
        <v>1.3563011623289256E-10</v>
      </c>
      <c r="P78" s="18">
        <v>4.3324923356691892E-8</v>
      </c>
      <c r="Q78" s="28">
        <v>0.45454545454545453</v>
      </c>
      <c r="R78" s="60">
        <v>263.40573848103514</v>
      </c>
      <c r="S78" s="57">
        <v>1.7484112374781696E-6</v>
      </c>
      <c r="U78" s="127">
        <v>1.1387435312463159E-9</v>
      </c>
      <c r="V78" s="127">
        <v>9.141738507343681E-10</v>
      </c>
      <c r="W78" s="128">
        <v>6.8950979905677326E-10</v>
      </c>
      <c r="X78" s="128">
        <f t="shared" si="2"/>
        <v>9.1415025794295641E-10</v>
      </c>
      <c r="Y78" s="139">
        <f t="shared" si="3"/>
        <v>9.5487341196235045E-2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1.6584444145200002E-2</v>
      </c>
      <c r="J79" s="109">
        <v>8.5528425814061826E-10</v>
      </c>
      <c r="K79" s="109">
        <v>1.0077958916067812E-10</v>
      </c>
      <c r="L79" s="152">
        <v>7.4313868554641474E-10</v>
      </c>
      <c r="N79" s="18">
        <v>2.0115728143493598E-6</v>
      </c>
      <c r="O79" s="18">
        <v>1.2872462070995875E-10</v>
      </c>
      <c r="P79" s="18">
        <v>4.0613147545803174E-8</v>
      </c>
      <c r="Q79" s="28">
        <v>0.45454545454545453</v>
      </c>
      <c r="R79" s="60">
        <v>263.40573848103514</v>
      </c>
      <c r="S79" s="57">
        <v>1.7352089648109174E-6</v>
      </c>
      <c r="U79" s="127">
        <v>9.7236999619846446E-10</v>
      </c>
      <c r="V79" s="127">
        <v>7.4313868554641474E-10</v>
      </c>
      <c r="W79" s="128">
        <v>5.2891250968173895E-10</v>
      </c>
      <c r="X79" s="128">
        <f t="shared" si="2"/>
        <v>7.4688996924325833E-10</v>
      </c>
      <c r="Y79" s="139">
        <f t="shared" si="3"/>
        <v>1.1568249161424575</v>
      </c>
      <c r="AA79" s="73"/>
      <c r="AB79" s="176"/>
      <c r="AC79" s="176"/>
      <c r="AD79" s="176"/>
      <c r="AJ79" s="135"/>
    </row>
    <row r="80" spans="2:36" x14ac:dyDescent="0.35">
      <c r="I80" s="109">
        <v>1.67502885867E-2</v>
      </c>
      <c r="J80" s="109">
        <v>6.49296984612225E-10</v>
      </c>
      <c r="K80" s="109">
        <v>8.6808293016065694E-11</v>
      </c>
      <c r="L80" s="152">
        <v>5.8012899326414061E-10</v>
      </c>
      <c r="N80" s="18">
        <v>2.107101812065581E-6</v>
      </c>
      <c r="O80" s="18">
        <v>1.2043579780249245E-10</v>
      </c>
      <c r="P80" s="18">
        <v>3.7358141531164883E-8</v>
      </c>
      <c r="Q80" s="28">
        <v>0.45454545454545453</v>
      </c>
      <c r="R80" s="60">
        <v>264.95754142428115</v>
      </c>
      <c r="S80" s="57">
        <v>1.7352089648109174E-6</v>
      </c>
      <c r="U80" s="127">
        <v>8.032944164576632E-10</v>
      </c>
      <c r="V80" s="127">
        <v>5.8012899326414061E-10</v>
      </c>
      <c r="W80" s="128">
        <v>3.874126421221365E-10</v>
      </c>
      <c r="X80" s="128">
        <f t="shared" si="2"/>
        <v>5.8774126127702026E-10</v>
      </c>
      <c r="Y80" s="139">
        <f t="shared" si="3"/>
        <v>0.50282220156412516</v>
      </c>
      <c r="AA80" s="73"/>
      <c r="AB80" s="176"/>
      <c r="AC80" s="176"/>
      <c r="AD80" s="176"/>
      <c r="AJ80" s="135"/>
    </row>
    <row r="81" spans="2:36" x14ac:dyDescent="0.35">
      <c r="I81" s="109">
        <v>1.6917791472599999E-2</v>
      </c>
      <c r="J81" s="109">
        <v>5.3082366275470304E-10</v>
      </c>
      <c r="K81" s="109">
        <v>8.5485542532477129E-11</v>
      </c>
      <c r="L81" s="152">
        <v>4.3274082631312441E-10</v>
      </c>
      <c r="N81" s="18">
        <v>2.2165028646504799E-6</v>
      </c>
      <c r="O81" s="18">
        <v>1.1093048112340735E-10</v>
      </c>
      <c r="P81" s="18">
        <v>3.3625420575865659E-8</v>
      </c>
      <c r="Q81" s="28">
        <v>0.45454545454545453</v>
      </c>
      <c r="R81" s="60">
        <v>264.95754142428115</v>
      </c>
      <c r="S81" s="57">
        <v>1.7220339756900567E-6</v>
      </c>
      <c r="U81" s="127">
        <v>6.3881128423175293E-10</v>
      </c>
      <c r="V81" s="127">
        <v>4.3274082631312441E-10</v>
      </c>
      <c r="W81" s="128">
        <v>2.72105258147704E-10</v>
      </c>
      <c r="X81" s="128">
        <f t="shared" si="2"/>
        <v>4.4409954875142645E-10</v>
      </c>
      <c r="Y81" s="139">
        <f t="shared" si="3"/>
        <v>1.0291872533764199</v>
      </c>
      <c r="AA81" s="73"/>
      <c r="AB81" s="176"/>
      <c r="AC81" s="176"/>
      <c r="AD81" s="176"/>
      <c r="AJ81" s="135"/>
    </row>
    <row r="82" spans="2:36" x14ac:dyDescent="0.35">
      <c r="I82" s="109">
        <v>1.7086969387300002E-2</v>
      </c>
      <c r="J82" s="109">
        <v>2.9506506736369686E-10</v>
      </c>
      <c r="K82" s="109">
        <v>6.8626668409465508E-11</v>
      </c>
      <c r="L82" s="152">
        <v>3.0812408501630054E-10</v>
      </c>
      <c r="N82" s="18">
        <v>2.3362570607969361E-6</v>
      </c>
      <c r="O82" s="18">
        <v>1.0051655036892841E-10</v>
      </c>
      <c r="P82" s="18">
        <v>2.9535888489069367E-8</v>
      </c>
      <c r="Q82" s="28">
        <v>0.45454545454545453</v>
      </c>
      <c r="R82" s="60">
        <v>266.63516554761901</v>
      </c>
      <c r="S82" s="57">
        <v>1.7220339756900567E-6</v>
      </c>
      <c r="U82" s="127">
        <v>4.8631443433566246E-10</v>
      </c>
      <c r="V82" s="127">
        <v>3.0812408501630054E-10</v>
      </c>
      <c r="W82" s="128">
        <v>1.8903226131389702E-10</v>
      </c>
      <c r="X82" s="128">
        <f t="shared" si="2"/>
        <v>3.2289871642054012E-10</v>
      </c>
      <c r="Y82" s="139">
        <f t="shared" si="3"/>
        <v>0.16449566691669237</v>
      </c>
      <c r="AA82" s="73"/>
      <c r="AB82" s="176"/>
      <c r="AC82" s="176"/>
      <c r="AD82" s="176"/>
      <c r="AJ82" s="135"/>
    </row>
    <row r="83" spans="2:36" x14ac:dyDescent="0.35">
      <c r="I83" s="109">
        <v>1.7257839081199999E-2</v>
      </c>
      <c r="J83" s="109">
        <v>1.5005079530345006E-10</v>
      </c>
      <c r="K83" s="109">
        <v>5.9147542715948537E-11</v>
      </c>
      <c r="L83" s="152">
        <v>2.125922888458799E-10</v>
      </c>
      <c r="N83" s="18">
        <v>2.4299943522925583E-6</v>
      </c>
      <c r="O83" s="18">
        <v>9.2360844852852474E-11</v>
      </c>
      <c r="P83" s="18">
        <v>2.6333157437289582E-8</v>
      </c>
      <c r="Q83" s="28">
        <v>0.22727272727272727</v>
      </c>
      <c r="R83" s="60">
        <v>266.63516554761901</v>
      </c>
      <c r="S83" s="57">
        <v>1.708931225036192E-6</v>
      </c>
      <c r="U83" s="127">
        <v>3.5294484104801222E-10</v>
      </c>
      <c r="V83" s="127">
        <v>2.125922888458799E-10</v>
      </c>
      <c r="W83" s="128">
        <v>1.4280815743386723E-10</v>
      </c>
      <c r="X83" s="128">
        <f t="shared" si="2"/>
        <v>2.302343940434098E-10</v>
      </c>
      <c r="Y83" s="139">
        <f t="shared" si="3"/>
        <v>1.8377975782563809</v>
      </c>
      <c r="AA83" s="73"/>
      <c r="AB83" s="176"/>
      <c r="AC83" s="176"/>
      <c r="AD83" s="176"/>
      <c r="AJ83" s="135"/>
    </row>
    <row r="84" spans="2:36" x14ac:dyDescent="0.35">
      <c r="I84" s="109">
        <v>1.7430417472000002E-2</v>
      </c>
      <c r="J84" s="109">
        <v>1.4703863531900159E-10</v>
      </c>
      <c r="K84" s="109">
        <v>6.0050877743087775E-11</v>
      </c>
      <c r="L84" s="152">
        <v>1.5125141749455674E-10</v>
      </c>
      <c r="N84" s="18">
        <v>2.5000403822831728E-6</v>
      </c>
      <c r="O84" s="18">
        <v>8.6317846783659503E-11</v>
      </c>
      <c r="P84" s="18">
        <v>2.3960082842590184E-8</v>
      </c>
      <c r="Q84" s="28">
        <v>0.27433079872934468</v>
      </c>
      <c r="R84" s="60">
        <v>268.50263055652601</v>
      </c>
      <c r="S84" s="57">
        <v>1.708931225036192E-6</v>
      </c>
      <c r="U84" s="127">
        <v>2.4522216914939105E-10</v>
      </c>
      <c r="V84" s="127">
        <v>1.5125141749455674E-10</v>
      </c>
      <c r="W84" s="128">
        <v>1.3630694425860399E-10</v>
      </c>
      <c r="X84" s="128">
        <f t="shared" si="2"/>
        <v>1.7100798709927713E-10</v>
      </c>
      <c r="Y84" s="139">
        <f t="shared" si="3"/>
        <v>0.15932130648230938</v>
      </c>
      <c r="AA84" s="73"/>
      <c r="AB84" s="176"/>
      <c r="AC84" s="176"/>
      <c r="AD84" s="176"/>
      <c r="AJ84" s="135"/>
    </row>
    <row r="85" spans="2:36" x14ac:dyDescent="0.35">
      <c r="I85" s="109">
        <v>1.7604721646699999E-2</v>
      </c>
      <c r="J85" s="109">
        <v>1.4944446536574446E-10</v>
      </c>
      <c r="K85" s="109">
        <v>5.8342289558426877E-11</v>
      </c>
      <c r="L85" s="152">
        <v>1.276735709938575E-10</v>
      </c>
      <c r="N85" s="18">
        <v>2.5757225525322249E-6</v>
      </c>
      <c r="O85" s="18">
        <v>7.9721203172187416E-11</v>
      </c>
      <c r="P85" s="18">
        <v>2.1369592628059781E-8</v>
      </c>
      <c r="Q85" s="28">
        <v>0.27901782563242211</v>
      </c>
      <c r="R85" s="60">
        <v>268.50263055652601</v>
      </c>
      <c r="S85" s="57">
        <v>1.6959873278474241E-6</v>
      </c>
      <c r="U85" s="127">
        <v>1.6868209689616962E-10</v>
      </c>
      <c r="V85" s="127">
        <v>1.276735709938575E-10</v>
      </c>
      <c r="W85" s="128">
        <v>1.7043397717399557E-10</v>
      </c>
      <c r="X85" s="128">
        <f t="shared" si="2"/>
        <v>1.4861580401447006E-10</v>
      </c>
      <c r="Y85" s="139">
        <f t="shared" si="3"/>
        <v>2.0173777700688395E-4</v>
      </c>
      <c r="AA85" s="73"/>
      <c r="AB85" s="176"/>
      <c r="AC85" s="176"/>
      <c r="AD85" s="176"/>
      <c r="AJ85" s="135"/>
    </row>
    <row r="86" spans="2:36" x14ac:dyDescent="0.35">
      <c r="I86" s="109">
        <v>1.77807688631E-2</v>
      </c>
      <c r="J86" s="109">
        <v>2.3815429972136837E-10</v>
      </c>
      <c r="K86" s="109">
        <v>6.771175066799236E-11</v>
      </c>
      <c r="L86" s="152">
        <v>1.4363922506129651E-10</v>
      </c>
      <c r="N86" s="18">
        <v>2.6513899201141974E-6</v>
      </c>
      <c r="O86" s="18">
        <v>7.3125849797489764E-11</v>
      </c>
      <c r="P86" s="18">
        <v>1.8779609087216092E-8</v>
      </c>
      <c r="Q86" s="28">
        <v>0.28889548286974742</v>
      </c>
      <c r="R86" s="60">
        <v>270.66528603098561</v>
      </c>
      <c r="S86" s="57">
        <v>1.6959873278474241E-6</v>
      </c>
      <c r="U86" s="127">
        <v>1.2754301292456886E-10</v>
      </c>
      <c r="V86" s="127">
        <v>1.4363922506129651E-10</v>
      </c>
      <c r="W86" s="128">
        <v>2.4400077935660103E-10</v>
      </c>
      <c r="X86" s="128">
        <f t="shared" si="2"/>
        <v>1.6470556060094073E-10</v>
      </c>
      <c r="Y86" s="139">
        <f t="shared" si="3"/>
        <v>1.1766318620533844</v>
      </c>
      <c r="AA86" s="73"/>
      <c r="AB86" s="176"/>
      <c r="AC86" s="176"/>
      <c r="AD86" s="176"/>
      <c r="AJ86" s="135"/>
    </row>
    <row r="87" spans="2:36" x14ac:dyDescent="0.35">
      <c r="I87" s="109">
        <v>1.7958576551799998E-2</v>
      </c>
      <c r="J87" s="109">
        <v>2.0801504069070018E-10</v>
      </c>
      <c r="K87" s="109">
        <v>6.3224797513484023E-11</v>
      </c>
      <c r="L87" s="152">
        <v>1.9896762544309664E-10</v>
      </c>
      <c r="N87" s="18">
        <v>2.7269931385250332E-6</v>
      </c>
      <c r="O87" s="18">
        <v>6.6536087821909837E-11</v>
      </c>
      <c r="P87" s="18">
        <v>1.619182127886201E-8</v>
      </c>
      <c r="Q87" s="28">
        <v>0.30511585966628851</v>
      </c>
      <c r="R87" s="60">
        <v>270.66528603098561</v>
      </c>
      <c r="S87" s="57">
        <v>1.6833691538960868E-6</v>
      </c>
      <c r="U87" s="127">
        <v>1.2442512849539675E-10</v>
      </c>
      <c r="V87" s="127">
        <v>1.9896762544309664E-10</v>
      </c>
      <c r="W87" s="128">
        <v>3.5371343551146832E-10</v>
      </c>
      <c r="X87" s="128">
        <f t="shared" si="2"/>
        <v>2.1901845372326459E-10</v>
      </c>
      <c r="Y87" s="139">
        <f t="shared" si="3"/>
        <v>3.028865136261279E-2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1.8138162317300002E-2</v>
      </c>
      <c r="J88" s="109">
        <v>3.3876047384299634E-10</v>
      </c>
      <c r="K88" s="109">
        <v>7.39942779993485E-11</v>
      </c>
      <c r="L88" s="152">
        <v>2.9144895280038071E-10</v>
      </c>
      <c r="N88" s="18">
        <v>2.802411166912967E-6</v>
      </c>
      <c r="O88" s="18">
        <v>5.9962467463007486E-11</v>
      </c>
      <c r="P88" s="18">
        <v>1.3610372254670404E-8</v>
      </c>
      <c r="Q88" s="28">
        <v>0.32985484968757195</v>
      </c>
      <c r="R88" s="60">
        <v>273.32280858642002</v>
      </c>
      <c r="S88" s="57">
        <v>1.6833691538960868E-6</v>
      </c>
      <c r="U88" s="127">
        <v>1.6014236802978385E-10</v>
      </c>
      <c r="V88" s="127">
        <v>2.9144895280038071E-10</v>
      </c>
      <c r="W88" s="128">
        <v>4.9427743342114674E-10</v>
      </c>
      <c r="X88" s="128">
        <f t="shared" si="2"/>
        <v>3.0932942676292302E-10</v>
      </c>
      <c r="Y88" s="139">
        <f t="shared" si="3"/>
        <v>0.15820315967128512</v>
      </c>
      <c r="AA88" s="73"/>
      <c r="AB88" s="176"/>
      <c r="AC88" s="176"/>
      <c r="AD88" s="176"/>
      <c r="AJ88" s="135"/>
    </row>
    <row r="89" spans="2:36" x14ac:dyDescent="0.35">
      <c r="I89" s="109">
        <v>1.8319543940500001E-2</v>
      </c>
      <c r="J89" s="109">
        <v>5.3192394761358877E-10</v>
      </c>
      <c r="K89" s="109">
        <v>8.7045548116932838E-11</v>
      </c>
      <c r="L89" s="152">
        <v>4.1688509270000529E-10</v>
      </c>
      <c r="N89" s="18">
        <v>2.8773923806993435E-6</v>
      </c>
      <c r="O89" s="18">
        <v>5.3426920936307296E-11</v>
      </c>
      <c r="P89" s="18">
        <v>1.1043874756672797E-8</v>
      </c>
      <c r="Q89" s="28">
        <v>0.36718140925644527</v>
      </c>
      <c r="R89" s="60">
        <v>273.32280858642002</v>
      </c>
      <c r="S89" s="57">
        <v>1.6714107870375215E-6</v>
      </c>
      <c r="U89" s="127">
        <v>2.3358293630529409E-10</v>
      </c>
      <c r="V89" s="127">
        <v>4.1688509270000529E-10</v>
      </c>
      <c r="W89" s="128">
        <v>6.5861454950251442E-10</v>
      </c>
      <c r="X89" s="128">
        <f t="shared" si="2"/>
        <v>4.3149191780195477E-10</v>
      </c>
      <c r="Y89" s="139">
        <f t="shared" si="3"/>
        <v>1.3312246530892773</v>
      </c>
      <c r="AA89" s="73"/>
      <c r="AB89" s="176"/>
      <c r="AC89" s="176"/>
      <c r="AD89" s="176"/>
      <c r="AJ89" s="135"/>
    </row>
    <row r="90" spans="2:36" x14ac:dyDescent="0.35">
      <c r="I90" s="109">
        <v>1.8502739379900001E-2</v>
      </c>
      <c r="J90" s="109">
        <v>6.1483169719717445E-10</v>
      </c>
      <c r="K90" s="109">
        <v>9.2260926241131903E-11</v>
      </c>
      <c r="L90" s="152">
        <v>5.6923900658470683E-10</v>
      </c>
      <c r="N90" s="18">
        <v>2.9514457649592163E-6</v>
      </c>
      <c r="O90" s="18">
        <v>4.69722463071545E-11</v>
      </c>
      <c r="P90" s="18">
        <v>8.5091355090167258E-9</v>
      </c>
      <c r="Q90" s="28">
        <v>0.42522182801861985</v>
      </c>
      <c r="R90" s="60">
        <v>276.94998962067103</v>
      </c>
      <c r="S90" s="57">
        <v>1.6714107870375215E-6</v>
      </c>
      <c r="U90" s="127">
        <v>3.4168879334649257E-10</v>
      </c>
      <c r="V90" s="127">
        <v>5.6923900658470683E-10</v>
      </c>
      <c r="W90" s="128">
        <v>8.3818131157968392E-10</v>
      </c>
      <c r="X90" s="128">
        <f t="shared" si="2"/>
        <v>5.7958702952389755E-10</v>
      </c>
      <c r="Y90" s="139">
        <f t="shared" si="3"/>
        <v>0.14593223004383893</v>
      </c>
      <c r="AA90" s="73"/>
      <c r="AB90" s="176"/>
      <c r="AC90" s="176"/>
      <c r="AD90" s="176"/>
      <c r="AJ90" s="135"/>
    </row>
    <row r="91" spans="2:36" x14ac:dyDescent="0.35">
      <c r="I91" s="109">
        <v>1.8687766773700001E-2</v>
      </c>
      <c r="J91" s="109">
        <v>7.9053055302775962E-10</v>
      </c>
      <c r="K91" s="109">
        <v>1.0315977412857881E-10</v>
      </c>
      <c r="L91" s="152">
        <v>7.4088654823290962E-10</v>
      </c>
      <c r="N91" s="18">
        <v>3.0236206968941626E-6</v>
      </c>
      <c r="O91" s="18">
        <v>4.0681302190590146E-11</v>
      </c>
      <c r="P91" s="18">
        <v>6.038692942470242E-9</v>
      </c>
      <c r="Q91" s="28">
        <v>0.52252270986663085</v>
      </c>
      <c r="R91" s="60">
        <v>276.94998962067103</v>
      </c>
      <c r="S91" s="57">
        <v>1.6608415050564678E-6</v>
      </c>
      <c r="U91" s="127">
        <v>4.7953810319164775E-10</v>
      </c>
      <c r="V91" s="127">
        <v>7.4088654823290962E-10</v>
      </c>
      <c r="W91" s="128">
        <v>1.023374068636489E-9</v>
      </c>
      <c r="X91" s="128">
        <f t="shared" si="2"/>
        <v>7.4617131707348897E-10</v>
      </c>
      <c r="Y91" s="139">
        <f t="shared" si="3"/>
        <v>0.18490444408378051</v>
      </c>
      <c r="AA91" s="73"/>
      <c r="AB91" s="176"/>
      <c r="AC91" s="176"/>
      <c r="AD91" s="176"/>
      <c r="AJ91" s="135"/>
    </row>
    <row r="92" spans="2:36" x14ac:dyDescent="0.35">
      <c r="I92" s="109">
        <v>1.8874644441399999E-2</v>
      </c>
      <c r="J92" s="109">
        <v>9.1242778025426649E-10</v>
      </c>
      <c r="K92" s="109">
        <v>1.0634119184397737E-10</v>
      </c>
      <c r="L92" s="152">
        <v>9.2295956822207002E-10</v>
      </c>
      <c r="N92" s="18">
        <v>3.0920102541720052E-6</v>
      </c>
      <c r="O92" s="18">
        <v>3.4720300614873111E-11</v>
      </c>
      <c r="P92" s="18">
        <v>3.6978182249334949E-9</v>
      </c>
      <c r="Q92" s="28">
        <v>0.71317718802348939</v>
      </c>
      <c r="R92" s="60">
        <v>283.46808209548271</v>
      </c>
      <c r="S92" s="57">
        <v>1.6608415050564678E-6</v>
      </c>
      <c r="U92" s="127">
        <v>6.4052874657192539E-10</v>
      </c>
      <c r="V92" s="127">
        <v>9.2295956822207002E-10</v>
      </c>
      <c r="W92" s="128">
        <v>1.2040026978670765E-9</v>
      </c>
      <c r="X92" s="128">
        <f t="shared" si="2"/>
        <v>9.2261264522078555E-10</v>
      </c>
      <c r="Y92" s="139">
        <f t="shared" si="3"/>
        <v>9.1729178445896231E-3</v>
      </c>
      <c r="AA92" s="73"/>
      <c r="AB92" s="176"/>
      <c r="AC92" s="176"/>
      <c r="AD92" s="176"/>
      <c r="AJ92" s="135"/>
    </row>
    <row r="93" spans="2:36" x14ac:dyDescent="0.35">
      <c r="I93" s="109">
        <v>1.9063390885799999E-2</v>
      </c>
      <c r="J93" s="109">
        <v>9.630577715152654E-10</v>
      </c>
      <c r="K93" s="109">
        <v>1.1267092376664122E-10</v>
      </c>
      <c r="L93" s="152">
        <v>1.105765451339267E-9</v>
      </c>
      <c r="N93" s="18">
        <v>3.1524489597356358E-6</v>
      </c>
      <c r="O93" s="18">
        <v>2.9452314778447387E-11</v>
      </c>
      <c r="P93" s="18">
        <v>1.6290895557337576E-9</v>
      </c>
      <c r="Q93" s="28">
        <v>1.281588875373888</v>
      </c>
      <c r="R93" s="60">
        <v>283.46808209548271</v>
      </c>
      <c r="S93" s="57">
        <v>1.6535337072665565E-6</v>
      </c>
      <c r="U93" s="127">
        <v>8.166557357296592E-10</v>
      </c>
      <c r="V93" s="127">
        <v>1.105765451339267E-9</v>
      </c>
      <c r="W93" s="128">
        <v>1.3698131302875186E-9</v>
      </c>
      <c r="X93" s="128">
        <f t="shared" si="2"/>
        <v>1.099499942173928E-9</v>
      </c>
      <c r="Y93" s="139">
        <f t="shared" si="3"/>
        <v>1.4664711716751855</v>
      </c>
      <c r="AA93" s="73"/>
      <c r="AB93" s="176"/>
      <c r="AC93" s="176"/>
      <c r="AD93" s="176"/>
      <c r="AJ93" s="135"/>
    </row>
    <row r="94" spans="2:36" x14ac:dyDescent="0.35">
      <c r="I94" s="109">
        <v>1.9254024794699998E-2</v>
      </c>
      <c r="J94" s="109">
        <v>1.0965754558625209E-9</v>
      </c>
      <c r="K94" s="109">
        <v>1.1834412697810992E-10</v>
      </c>
      <c r="L94" s="152">
        <v>1.2792656776419414E-9</v>
      </c>
      <c r="N94" s="18">
        <v>3.1942273436063003E-6</v>
      </c>
      <c r="O94" s="18">
        <v>2.5810808355585536E-11</v>
      </c>
      <c r="P94" s="18">
        <v>1.990764596544104E-10</v>
      </c>
      <c r="Q94" s="28">
        <v>1.7210815880741237</v>
      </c>
      <c r="R94" s="60">
        <v>292.22141100097133</v>
      </c>
      <c r="S94" s="57">
        <v>1.6535337072665565E-6</v>
      </c>
      <c r="U94" s="127">
        <v>9.9887113370700635E-10</v>
      </c>
      <c r="V94" s="127">
        <v>1.2792656776419414E-9</v>
      </c>
      <c r="W94" s="128">
        <v>1.5110376191247521E-9</v>
      </c>
      <c r="X94" s="128">
        <f t="shared" si="2"/>
        <v>1.2671100270289102E-9</v>
      </c>
      <c r="Y94" s="139">
        <f t="shared" si="3"/>
        <v>2.0764976619356159</v>
      </c>
      <c r="AA94" s="73"/>
      <c r="AB94" s="176"/>
      <c r="AC94" s="176"/>
      <c r="AD94" s="176"/>
      <c r="AJ94" s="135"/>
    </row>
    <row r="95" spans="2:36" x14ac:dyDescent="0.35">
      <c r="I95" s="109">
        <v>1.9446565042599999E-2</v>
      </c>
      <c r="J95" s="109">
        <v>1.6950511485216233E-9</v>
      </c>
      <c r="K95" s="109">
        <v>1.4606254592852019E-10</v>
      </c>
      <c r="L95" s="152">
        <v>1.4335942129076701E-9</v>
      </c>
      <c r="N95" s="18">
        <v>3.1999999999999999E-6</v>
      </c>
      <c r="O95" s="18">
        <v>2.5307649463664093E-11</v>
      </c>
      <c r="P95" s="18">
        <v>1.486857631694136E-12</v>
      </c>
      <c r="Q95" s="28">
        <v>28.246868249365853</v>
      </c>
      <c r="R95" s="60">
        <v>292.22141100097133</v>
      </c>
      <c r="S95" s="57">
        <v>1.6525243810859722E-6</v>
      </c>
      <c r="U95" s="127">
        <v>1.1775118910834839E-9</v>
      </c>
      <c r="V95" s="127">
        <v>1.4335942129076701E-9</v>
      </c>
      <c r="W95" s="128">
        <v>1.6189504425224893E-9</v>
      </c>
      <c r="X95" s="128">
        <f t="shared" si="2"/>
        <v>1.4159126898553283E-9</v>
      </c>
      <c r="Y95" s="139">
        <f t="shared" si="3"/>
        <v>3.6522594343866102</v>
      </c>
      <c r="AA95" s="73"/>
      <c r="AB95" s="176"/>
      <c r="AC95" s="176"/>
      <c r="AD95" s="176"/>
      <c r="AJ95" s="135"/>
    </row>
    <row r="96" spans="2:36" x14ac:dyDescent="0.35">
      <c r="I96" s="109">
        <v>1.9641030693100001E-2</v>
      </c>
      <c r="J96" s="109">
        <v>1.7130512695365854E-9</v>
      </c>
      <c r="K96" s="109">
        <v>1.4780291403016765E-10</v>
      </c>
      <c r="L96" s="152">
        <v>1.559595038645723E-9</v>
      </c>
      <c r="N96" s="18">
        <v>3.1955019431909251E-6</v>
      </c>
      <c r="O96" s="18">
        <v>2.5394460155846639E-11</v>
      </c>
      <c r="P96" s="18">
        <v>1.4888560802367562E-12</v>
      </c>
      <c r="Q96" s="28">
        <v>1.7210815880741237</v>
      </c>
      <c r="R96" s="60">
        <v>1242.1087953813096</v>
      </c>
      <c r="S96" s="57">
        <v>1.6525243810859722E-6</v>
      </c>
      <c r="U96" s="127">
        <v>1.3427786631410753E-9</v>
      </c>
      <c r="V96" s="127">
        <v>1.559595038645723E-9</v>
      </c>
      <c r="W96" s="128">
        <v>1.6864050874087017E-9</v>
      </c>
      <c r="X96" s="128">
        <f t="shared" si="2"/>
        <v>1.5370934569603057E-9</v>
      </c>
      <c r="Y96" s="139">
        <f t="shared" si="3"/>
        <v>1.417265174766545</v>
      </c>
      <c r="AA96" s="73"/>
      <c r="AB96" s="176"/>
      <c r="AC96" s="176"/>
      <c r="AD96" s="176"/>
      <c r="AJ96" s="135"/>
    </row>
    <row r="97" spans="9:36" x14ac:dyDescent="0.35">
      <c r="I97" s="109">
        <v>1.9837441000000001E-2</v>
      </c>
      <c r="J97" s="109">
        <v>1.6234004472052083E-9</v>
      </c>
      <c r="K97" s="109">
        <v>1.4535009494015349E-10</v>
      </c>
      <c r="L97" s="152">
        <v>1.6493564928898337E-9</v>
      </c>
      <c r="N97" s="18">
        <v>3.1629482051498618E-6</v>
      </c>
      <c r="O97" s="18">
        <v>2.6022734242286083E-11</v>
      </c>
      <c r="P97" s="18">
        <v>1.5033194303246767E-12</v>
      </c>
      <c r="Q97" s="28">
        <v>1.281588875373888</v>
      </c>
      <c r="R97" s="60">
        <v>1242.1087953813096</v>
      </c>
      <c r="S97" s="57">
        <v>1.6528055512918691E-6</v>
      </c>
      <c r="U97" s="127">
        <v>1.4852468050611118E-9</v>
      </c>
      <c r="V97" s="127">
        <v>1.6493564928898337E-9</v>
      </c>
      <c r="W97" s="128">
        <v>1.7083267507474603E-9</v>
      </c>
      <c r="X97" s="128">
        <f t="shared" si="2"/>
        <v>1.6230716353970599E-9</v>
      </c>
      <c r="Y97" s="139">
        <f t="shared" si="3"/>
        <v>5.117574469714637E-6</v>
      </c>
      <c r="AA97" s="73"/>
      <c r="AB97" s="176"/>
      <c r="AC97" s="176"/>
      <c r="AD97" s="176"/>
      <c r="AJ97" s="135"/>
    </row>
    <row r="98" spans="9:36" x14ac:dyDescent="0.35">
      <c r="I98" s="109">
        <v>2.0035815410000001E-2</v>
      </c>
      <c r="J98" s="109">
        <v>1.4891086213555465E-9</v>
      </c>
      <c r="K98" s="109">
        <v>1.3862993226227336E-10</v>
      </c>
      <c r="L98" s="152">
        <v>1.6967180659836326E-9</v>
      </c>
      <c r="N98" s="18">
        <v>3.1158543349190191E-6</v>
      </c>
      <c r="O98" s="18">
        <v>2.6931627047740807E-11</v>
      </c>
      <c r="P98" s="18">
        <v>1.5242428379924715E-12</v>
      </c>
      <c r="Q98" s="28">
        <v>0.71317718802348939</v>
      </c>
      <c r="R98" s="60">
        <v>1245.5509585574578</v>
      </c>
      <c r="S98" s="57">
        <v>1.6528055512918691E-6</v>
      </c>
      <c r="U98" s="127">
        <v>1.5963889867058115E-9</v>
      </c>
      <c r="V98" s="127">
        <v>1.6967180659836326E-9</v>
      </c>
      <c r="W98" s="128">
        <v>1.6821314376453146E-9</v>
      </c>
      <c r="X98" s="128">
        <f t="shared" si="2"/>
        <v>1.6679891390795978E-9</v>
      </c>
      <c r="Y98" s="139">
        <f t="shared" si="3"/>
        <v>1.6649916669356759</v>
      </c>
      <c r="AA98" s="73"/>
      <c r="AB98" s="176"/>
      <c r="AC98" s="176"/>
      <c r="AD98" s="176"/>
      <c r="AJ98" s="135"/>
    </row>
    <row r="99" spans="9:36" x14ac:dyDescent="0.35">
      <c r="I99" s="109">
        <v>2.0236173564099999E-2</v>
      </c>
      <c r="J99" s="109">
        <v>1.5517062079113924E-9</v>
      </c>
      <c r="K99" s="109">
        <v>1.410434387907784E-10</v>
      </c>
      <c r="L99" s="152">
        <v>1.6977228954456367E-9</v>
      </c>
      <c r="N99" s="18">
        <v>3.0625651569733293E-6</v>
      </c>
      <c r="O99" s="18">
        <v>2.7960086807068764E-11</v>
      </c>
      <c r="P99" s="18">
        <v>1.5479187684049419E-12</v>
      </c>
      <c r="Q99" s="28">
        <v>0.52252270986663085</v>
      </c>
      <c r="R99" s="60">
        <v>1245.5509585574578</v>
      </c>
      <c r="S99" s="57">
        <v>1.6548404613911049E-6</v>
      </c>
      <c r="U99" s="127">
        <v>1.6690869061597056E-9</v>
      </c>
      <c r="V99" s="127">
        <v>1.6977228954456367E-9</v>
      </c>
      <c r="W99" s="128">
        <v>1.6080406361382768E-9</v>
      </c>
      <c r="X99" s="128">
        <f t="shared" si="2"/>
        <v>1.6681433332973139E-9</v>
      </c>
      <c r="Y99" s="139">
        <f t="shared" si="3"/>
        <v>0.68151775401394799</v>
      </c>
      <c r="AA99" s="73"/>
      <c r="AB99" s="176"/>
      <c r="AC99" s="176"/>
      <c r="AD99" s="176"/>
      <c r="AJ99" s="135"/>
    </row>
    <row r="100" spans="9:36" x14ac:dyDescent="0.35">
      <c r="I100" s="109">
        <v>2.0438535299700002E-2</v>
      </c>
      <c r="J100" s="109">
        <v>1.4549074604473942E-9</v>
      </c>
      <c r="K100" s="109">
        <v>1.371614540726836E-10</v>
      </c>
      <c r="L100" s="152">
        <v>1.6509868174654723E-9</v>
      </c>
      <c r="N100" s="18">
        <v>3.0063264131622834E-6</v>
      </c>
      <c r="O100" s="18">
        <v>2.9045472004486553E-11</v>
      </c>
      <c r="P100" s="18">
        <v>1.5729051659491501E-12</v>
      </c>
      <c r="Q100" s="28">
        <v>0.42522182801861985</v>
      </c>
      <c r="R100" s="60">
        <v>1248.1141363082056</v>
      </c>
      <c r="S100" s="57">
        <v>1.6548404613911049E-6</v>
      </c>
      <c r="U100" s="127">
        <v>1.6981073294792414E-9</v>
      </c>
      <c r="V100" s="127">
        <v>1.6509868174654723E-9</v>
      </c>
      <c r="W100" s="128">
        <v>1.489259481642417E-9</v>
      </c>
      <c r="X100" s="128">
        <f t="shared" si="2"/>
        <v>1.6223351115131509E-9</v>
      </c>
      <c r="Y100" s="139">
        <f t="shared" si="3"/>
        <v>1.4900135149979408</v>
      </c>
      <c r="AA100" s="73"/>
      <c r="AB100" s="176"/>
      <c r="AC100" s="176"/>
      <c r="AD100" s="176"/>
      <c r="AJ100" s="135"/>
    </row>
    <row r="101" spans="9:36" x14ac:dyDescent="0.35">
      <c r="I101" s="109">
        <v>2.06429206527E-2</v>
      </c>
      <c r="J101" s="109">
        <v>1.6151522940502078E-9</v>
      </c>
      <c r="K101" s="109">
        <v>1.4506283680503468E-10</v>
      </c>
      <c r="L101" s="152">
        <v>1.5579531576732966E-9</v>
      </c>
      <c r="N101" s="18">
        <v>2.9486239783406521E-6</v>
      </c>
      <c r="O101" s="18">
        <v>3.015910585130201E-11</v>
      </c>
      <c r="P101" s="18">
        <v>1.5985418690121882E-12</v>
      </c>
      <c r="Q101" s="28">
        <v>0.36718140925644527</v>
      </c>
      <c r="R101" s="60">
        <v>1248.1141363082056</v>
      </c>
      <c r="S101" s="57">
        <v>1.6577842644045697E-6</v>
      </c>
      <c r="U101" s="127">
        <v>1.6805152959187151E-9</v>
      </c>
      <c r="V101" s="127">
        <v>1.5579531576732966E-9</v>
      </c>
      <c r="W101" s="128">
        <v>1.3319876720419556E-9</v>
      </c>
      <c r="X101" s="128">
        <f t="shared" si="2"/>
        <v>1.5321023208268159E-9</v>
      </c>
      <c r="Y101" s="139">
        <f t="shared" si="3"/>
        <v>0.32776808311421568</v>
      </c>
      <c r="AA101" s="73"/>
      <c r="AB101" s="176"/>
      <c r="AC101" s="176"/>
      <c r="AD101" s="176"/>
      <c r="AJ101" s="135"/>
    </row>
    <row r="102" spans="9:36" x14ac:dyDescent="0.35">
      <c r="I102" s="109">
        <v>2.0849349859299999E-2</v>
      </c>
      <c r="J102" s="109">
        <v>1.4767052690333687E-9</v>
      </c>
      <c r="K102" s="109">
        <v>6.497785107238722E-11</v>
      </c>
      <c r="L102" s="152">
        <v>1.423002468900733E-9</v>
      </c>
      <c r="N102" s="18">
        <v>2.8901985782782855E-6</v>
      </c>
      <c r="O102" s="18">
        <v>3.1286692637272319E-11</v>
      </c>
      <c r="P102" s="18">
        <v>1.6244997794083121E-12</v>
      </c>
      <c r="Q102" s="28">
        <v>0.32985484968757195</v>
      </c>
      <c r="R102" s="60">
        <v>1249.5404906842525</v>
      </c>
      <c r="S102" s="57">
        <v>1.6577842644045697E-6</v>
      </c>
      <c r="U102" s="127">
        <v>1.615995288685977E-9</v>
      </c>
      <c r="V102" s="127">
        <v>1.423002468900733E-9</v>
      </c>
      <c r="W102" s="128">
        <v>1.1452373586071394E-9</v>
      </c>
      <c r="X102" s="128">
        <f t="shared" si="2"/>
        <v>1.4018093962736456E-9</v>
      </c>
      <c r="Y102" s="139">
        <f t="shared" si="3"/>
        <v>1.3285719627044719</v>
      </c>
      <c r="AA102" s="73"/>
      <c r="AB102" s="176"/>
      <c r="AC102" s="176"/>
      <c r="AD102" s="176"/>
      <c r="AJ102" s="135"/>
    </row>
    <row r="103" spans="9:36" x14ac:dyDescent="0.35">
      <c r="I103" s="109">
        <v>2.1057843357800001E-2</v>
      </c>
      <c r="J103" s="109">
        <v>1.3261063095835352E-9</v>
      </c>
      <c r="K103" s="109">
        <v>6.1701824724147949E-11</v>
      </c>
      <c r="L103" s="152">
        <v>1.2533892430527052E-9</v>
      </c>
      <c r="N103" s="18">
        <v>2.83143281205538E-6</v>
      </c>
      <c r="O103" s="18">
        <v>3.242084835361548E-11</v>
      </c>
      <c r="P103" s="18">
        <v>1.6506089116067295E-12</v>
      </c>
      <c r="Q103" s="28">
        <v>0.30511585966628851</v>
      </c>
      <c r="R103" s="60">
        <v>1249.5404906842525</v>
      </c>
      <c r="S103" s="57">
        <v>1.66111533152334E-6</v>
      </c>
      <c r="U103" s="127">
        <v>1.5070502332244698E-9</v>
      </c>
      <c r="V103" s="127">
        <v>1.2533892430527052E-9</v>
      </c>
      <c r="W103" s="128">
        <v>9.4044172793965601E-10</v>
      </c>
      <c r="X103" s="128">
        <f t="shared" si="2"/>
        <v>1.2385676118173841E-9</v>
      </c>
      <c r="Y103" s="139">
        <f t="shared" si="3"/>
        <v>2.0128163335703917</v>
      </c>
      <c r="AA103" s="73"/>
      <c r="AB103" s="176"/>
      <c r="AC103" s="176"/>
      <c r="AD103" s="176"/>
      <c r="AJ103" s="135"/>
    </row>
    <row r="104" spans="9:36" x14ac:dyDescent="0.35">
      <c r="I104" s="109">
        <v>2.12684217914E-2</v>
      </c>
      <c r="J104" s="109">
        <v>1.0702438457321893E-9</v>
      </c>
      <c r="K104" s="109">
        <v>5.2044510915101796E-11</v>
      </c>
      <c r="L104" s="152">
        <v>1.0589842321953961E-9</v>
      </c>
      <c r="N104" s="18">
        <v>2.7725227456720842E-6</v>
      </c>
      <c r="O104" s="18">
        <v>3.3557789005173389E-11</v>
      </c>
      <c r="P104" s="18">
        <v>1.6767821551442145E-12</v>
      </c>
      <c r="Q104" s="28">
        <v>0.28889548286974742</v>
      </c>
      <c r="R104" s="60">
        <v>1250.5855361039858</v>
      </c>
      <c r="S104" s="57">
        <v>1.66111533152334E-6</v>
      </c>
      <c r="U104" s="127">
        <v>1.3590492942984493E-9</v>
      </c>
      <c r="V104" s="127">
        <v>1.0589842321953961E-9</v>
      </c>
      <c r="W104" s="128">
        <v>7.3085232019908574E-10</v>
      </c>
      <c r="X104" s="128">
        <f t="shared" si="2"/>
        <v>1.0519675197220817E-9</v>
      </c>
      <c r="Y104" s="139">
        <f t="shared" si="3"/>
        <v>0.1233184136467612</v>
      </c>
      <c r="AA104" s="73"/>
      <c r="AB104" s="176"/>
      <c r="AC104" s="176"/>
      <c r="AD104" s="176"/>
      <c r="AJ104" s="135"/>
    </row>
    <row r="105" spans="9:36" x14ac:dyDescent="0.35">
      <c r="I105" s="109">
        <v>2.1481106009300002E-2</v>
      </c>
      <c r="J105" s="109">
        <v>8.4925193562626141E-10</v>
      </c>
      <c r="K105" s="109">
        <v>4.4553695988498252E-11</v>
      </c>
      <c r="L105" s="152">
        <v>8.5181202935199335E-10</v>
      </c>
      <c r="N105" s="18">
        <v>2.7135626942218889E-6</v>
      </c>
      <c r="O105" s="18">
        <v>3.4695694348472758E-11</v>
      </c>
      <c r="P105" s="18">
        <v>1.7029776066235592E-12</v>
      </c>
      <c r="Q105" s="28">
        <v>0.27901782563242211</v>
      </c>
      <c r="R105" s="60">
        <v>1250.5855361039858</v>
      </c>
      <c r="S105" s="57">
        <v>1.6646307738238546E-6</v>
      </c>
      <c r="U105" s="127">
        <v>1.1800995800515171E-9</v>
      </c>
      <c r="V105" s="127">
        <v>8.5181202935199335E-10</v>
      </c>
      <c r="W105" s="128">
        <v>5.3074173834259906E-10</v>
      </c>
      <c r="X105" s="128">
        <f t="shared" si="2"/>
        <v>8.5361634427452564E-10</v>
      </c>
      <c r="Y105" s="139">
        <f t="shared" si="3"/>
        <v>9.5958475815306477E-3</v>
      </c>
      <c r="AA105" s="73"/>
      <c r="AB105" s="176"/>
      <c r="AC105" s="176"/>
      <c r="AD105" s="176"/>
      <c r="AJ105" s="135"/>
    </row>
    <row r="106" spans="9:36" x14ac:dyDescent="0.35">
      <c r="I106" s="109">
        <v>2.1695917069400002E-2</v>
      </c>
      <c r="J106" s="109">
        <v>6.4796289057954761E-10</v>
      </c>
      <c r="K106" s="109">
        <v>4.0004463352313311E-11</v>
      </c>
      <c r="L106" s="152">
        <v>6.4538892564680856E-10</v>
      </c>
      <c r="N106" s="18">
        <v>2.6545911085259481E-6</v>
      </c>
      <c r="O106" s="18">
        <v>3.5833822298088476E-11</v>
      </c>
      <c r="P106" s="18">
        <v>1.7291781826705961E-12</v>
      </c>
      <c r="Q106" s="28">
        <v>0.27433079872934468</v>
      </c>
      <c r="R106" s="60">
        <v>1251.435979760023</v>
      </c>
      <c r="S106" s="57">
        <v>1.6646307738238546E-6</v>
      </c>
      <c r="U106" s="127">
        <v>9.8072479965264864E-10</v>
      </c>
      <c r="V106" s="127">
        <v>6.4538892564680856E-10</v>
      </c>
      <c r="W106" s="128">
        <v>3.5444968931336039E-10</v>
      </c>
      <c r="X106" s="128">
        <f t="shared" si="2"/>
        <v>6.5648808506490651E-10</v>
      </c>
      <c r="Y106" s="139">
        <f t="shared" si="3"/>
        <v>4.5414202588487308E-2</v>
      </c>
      <c r="AA106" s="73"/>
      <c r="AB106" s="176"/>
      <c r="AC106" s="176"/>
      <c r="AD106" s="176"/>
      <c r="AJ106" s="135"/>
    </row>
    <row r="107" spans="9:36" x14ac:dyDescent="0.35">
      <c r="I107" s="109">
        <v>2.19128762401E-2</v>
      </c>
      <c r="J107" s="109">
        <v>5.3067576558311128E-10</v>
      </c>
      <c r="K107" s="109">
        <v>3.6156323385689774E-11</v>
      </c>
      <c r="L107" s="152">
        <v>4.5388489358009891E-10</v>
      </c>
      <c r="N107" s="18">
        <v>2.595618237576437E-6</v>
      </c>
      <c r="O107" s="18">
        <v>3.6971975052582559E-11</v>
      </c>
      <c r="P107" s="18">
        <v>1.7553793297449081E-12</v>
      </c>
      <c r="Q107" s="28">
        <v>0.27433079872934468</v>
      </c>
      <c r="R107" s="60">
        <v>1251.435979760023</v>
      </c>
      <c r="S107" s="57">
        <v>1.668237710367391E-6</v>
      </c>
      <c r="U107" s="127">
        <v>7.7334601513740468E-10</v>
      </c>
      <c r="V107" s="127">
        <v>4.5388489358009891E-10</v>
      </c>
      <c r="W107" s="128">
        <v>2.1533175446698017E-10</v>
      </c>
      <c r="X107" s="128">
        <f t="shared" si="2"/>
        <v>4.7411188919114565E-10</v>
      </c>
      <c r="Y107" s="139">
        <f t="shared" si="3"/>
        <v>2.4474273268766344</v>
      </c>
      <c r="AA107" s="73"/>
      <c r="AB107" s="176"/>
      <c r="AC107" s="176"/>
      <c r="AD107" s="176"/>
      <c r="AJ107" s="135"/>
    </row>
    <row r="108" spans="9:36" x14ac:dyDescent="0.35">
      <c r="I108" s="109">
        <v>2.21320050025E-2</v>
      </c>
      <c r="J108" s="109">
        <v>3.6519834711319599E-10</v>
      </c>
      <c r="K108" s="109">
        <v>3.0732826987983228E-11</v>
      </c>
      <c r="L108" s="152">
        <v>2.9115400774757039E-10</v>
      </c>
      <c r="N108" s="18">
        <v>2.5366466518804962E-6</v>
      </c>
      <c r="O108" s="18">
        <v>3.8110103002198277E-11</v>
      </c>
      <c r="P108" s="18">
        <v>1.781579905791945E-12</v>
      </c>
      <c r="Q108" s="28">
        <v>0.27901782563242211</v>
      </c>
      <c r="R108" s="60">
        <v>1252.1703425785358</v>
      </c>
      <c r="S108" s="57">
        <v>1.668237710367391E-6</v>
      </c>
      <c r="U108" s="127">
        <v>5.7157553447009742E-10</v>
      </c>
      <c r="V108" s="127">
        <v>2.9115400774757039E-10</v>
      </c>
      <c r="W108" s="128">
        <v>1.2468875194717109E-10</v>
      </c>
      <c r="X108" s="128">
        <f t="shared" si="2"/>
        <v>3.1964307547810232E-10</v>
      </c>
      <c r="Y108" s="139">
        <f t="shared" si="3"/>
        <v>2.1972135013331138</v>
      </c>
      <c r="AA108" s="73"/>
      <c r="AB108" s="176"/>
      <c r="AC108" s="176"/>
      <c r="AD108" s="176"/>
      <c r="AJ108" s="135"/>
    </row>
    <row r="109" spans="9:36" x14ac:dyDescent="0.35">
      <c r="I109" s="109">
        <v>2.2353325052600001E-2</v>
      </c>
      <c r="J109" s="109">
        <v>2.6396487973006792E-10</v>
      </c>
      <c r="K109" s="109">
        <v>2.7320068335400577E-11</v>
      </c>
      <c r="L109" s="152">
        <v>1.6969714009476687E-10</v>
      </c>
      <c r="N109" s="18">
        <v>2.4776866004303009E-6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1252.1703425785358</v>
      </c>
      <c r="S109" s="57">
        <v>1.6718898389336656E-6</v>
      </c>
      <c r="U109" s="127">
        <v>3.8935357759804884E-10</v>
      </c>
      <c r="V109" s="127">
        <v>1.6969714009476687E-10</v>
      </c>
      <c r="W109" s="128">
        <v>9.0766862189091483E-11</v>
      </c>
      <c r="X109" s="128">
        <f t="shared" si="2"/>
        <v>2.0487867999416851E-10</v>
      </c>
      <c r="Y109" s="139">
        <f t="shared" si="3"/>
        <v>4.6774435387993654</v>
      </c>
      <c r="AA109" s="73"/>
      <c r="AB109" s="176"/>
      <c r="AC109" s="176"/>
      <c r="AD109" s="176"/>
      <c r="AJ109" s="135"/>
    </row>
    <row r="110" spans="9:36" x14ac:dyDescent="0.35">
      <c r="I110" s="109">
        <v>2.2576858303100002E-2</v>
      </c>
      <c r="J110" s="109">
        <v>2.1252924552770032E-10</v>
      </c>
      <c r="K110" s="109">
        <v>2.5003055833118587E-11</v>
      </c>
      <c r="L110" s="152">
        <v>9.9636400022521227E-11</v>
      </c>
      <c r="N110" s="18">
        <v>2.4187765340470051E-6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1252.8300522779109</v>
      </c>
      <c r="S110" s="57">
        <v>1.6718898389336656E-6</v>
      </c>
      <c r="U110" s="127">
        <v>2.3997666741987776E-10</v>
      </c>
      <c r="V110" s="127">
        <v>9.9636400022521227E-11</v>
      </c>
      <c r="W110" s="128">
        <v>1.1792227887245614E-10</v>
      </c>
      <c r="X110" s="128">
        <f t="shared" si="2"/>
        <v>1.3929293658434409E-10</v>
      </c>
      <c r="Y110" s="139">
        <f t="shared" si="3"/>
        <v>8.5795935635547238</v>
      </c>
      <c r="AA110" s="73"/>
      <c r="AB110" s="176"/>
      <c r="AC110" s="176"/>
      <c r="AD110" s="176"/>
      <c r="AJ110" s="135"/>
    </row>
    <row r="111" spans="9:36" x14ac:dyDescent="0.35">
      <c r="I111" s="109">
        <v>2.2802626886099998E-2</v>
      </c>
      <c r="J111" s="109">
        <v>1.9285993852789203E-10</v>
      </c>
      <c r="K111" s="109">
        <v>2.5995726168494984E-11</v>
      </c>
      <c r="L111" s="152">
        <v>8.7789757616161575E-11</v>
      </c>
      <c r="N111" s="18">
        <v>2.3600107678240996E-6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1252.8300522779109</v>
      </c>
      <c r="S111" s="57">
        <v>1.6755632435370162E-6</v>
      </c>
      <c r="U111" s="127">
        <v>1.3508422993526543E-10</v>
      </c>
      <c r="V111" s="127">
        <v>8.7789757616161575E-11</v>
      </c>
      <c r="W111" s="128">
        <v>2.0603769384757496E-10</v>
      </c>
      <c r="X111" s="128">
        <f t="shared" si="2"/>
        <v>1.2917535975379088E-10</v>
      </c>
      <c r="Y111" s="139">
        <f t="shared" si="3"/>
        <v>6.0015669344321605</v>
      </c>
      <c r="AA111" s="73"/>
      <c r="AB111" s="176"/>
      <c r="AC111" s="176"/>
      <c r="AD111" s="176"/>
      <c r="AJ111" s="135"/>
    </row>
    <row r="112" spans="9:36" x14ac:dyDescent="0.35">
      <c r="I112" s="109">
        <v>2.3030653155000001E-2</v>
      </c>
      <c r="J112" s="109">
        <v>2.287168318382357E-10</v>
      </c>
      <c r="K112" s="109">
        <v>2.7366383091791775E-11</v>
      </c>
      <c r="L112" s="152">
        <v>1.3693458619020996E-10</v>
      </c>
      <c r="N112" s="18">
        <v>2.301585367761733E-6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1253.4402839972436</v>
      </c>
      <c r="S112" s="57">
        <v>1.6755632435370162E-6</v>
      </c>
      <c r="U112" s="127">
        <v>8.3682930100200576E-11</v>
      </c>
      <c r="V112" s="127">
        <v>1.3693458619020996E-10</v>
      </c>
      <c r="W112" s="128">
        <v>3.5026165038918496E-10</v>
      </c>
      <c r="X112" s="128">
        <f t="shared" si="2"/>
        <v>1.7695343821745136E-10</v>
      </c>
      <c r="Y112" s="139">
        <f t="shared" si="3"/>
        <v>3.5777556621517341</v>
      </c>
      <c r="AA112" s="73"/>
      <c r="AB112" s="176"/>
      <c r="AC112" s="176"/>
      <c r="AD112" s="176"/>
      <c r="AJ112" s="135"/>
    </row>
    <row r="113" spans="9:36" x14ac:dyDescent="0.35">
      <c r="I113" s="109">
        <v>2.32609596865E-2</v>
      </c>
      <c r="J113" s="109">
        <v>3.4211626321412813E-10</v>
      </c>
      <c r="K113" s="109">
        <v>3.4462736251640827E-11</v>
      </c>
      <c r="L113" s="152">
        <v>2.4533970129644018E-10</v>
      </c>
      <c r="N113" s="18">
        <v>2.2438829329401017E-6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1253.4402839972436</v>
      </c>
      <c r="S113" s="57">
        <v>1.6792456682367171E-6</v>
      </c>
      <c r="U113" s="127">
        <v>9.1294431588484277E-11</v>
      </c>
      <c r="V113" s="127">
        <v>2.4533970129644018E-10</v>
      </c>
      <c r="W113" s="128">
        <v>5.4111743155832475E-10</v>
      </c>
      <c r="X113" s="128">
        <f t="shared" si="2"/>
        <v>2.8077281643492234E-10</v>
      </c>
      <c r="Y113" s="139">
        <f t="shared" si="3"/>
        <v>3.1683768868041571</v>
      </c>
      <c r="AA113" s="73"/>
      <c r="AB113" s="176"/>
      <c r="AC113" s="176"/>
      <c r="AD113" s="176"/>
      <c r="AJ113" s="135"/>
    </row>
    <row r="114" spans="9:36" x14ac:dyDescent="0.35">
      <c r="I114" s="109">
        <v>2.34935692834E-2</v>
      </c>
      <c r="J114" s="109">
        <v>4.6629803515389775E-10</v>
      </c>
      <c r="K114" s="109">
        <v>3.8974012895904062E-11</v>
      </c>
      <c r="L114" s="152">
        <v>4.0662750133403088E-10</v>
      </c>
      <c r="N114" s="18">
        <v>2.1876441891290558E-6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1254.0180749629831</v>
      </c>
      <c r="S114" s="57">
        <v>1.6792456682367171E-6</v>
      </c>
      <c r="U114" s="127">
        <v>1.5931001007212677E-10</v>
      </c>
      <c r="V114" s="127">
        <v>4.0662750133403088E-10</v>
      </c>
      <c r="W114" s="128">
        <v>7.6499849681548242E-10</v>
      </c>
      <c r="X114" s="128">
        <f t="shared" si="2"/>
        <v>4.3439087738891773E-10</v>
      </c>
      <c r="Y114" s="139">
        <f t="shared" si="3"/>
        <v>0.67023328266509408</v>
      </c>
      <c r="AA114" s="73"/>
      <c r="AB114" s="176"/>
      <c r="AC114" s="176"/>
      <c r="AD114" s="176"/>
      <c r="AJ114" s="135"/>
    </row>
    <row r="115" spans="9:36" x14ac:dyDescent="0.35">
      <c r="I115" s="109">
        <v>2.37285049762E-2</v>
      </c>
      <c r="J115" s="109">
        <v>5.9650487934246884E-10</v>
      </c>
      <c r="K115" s="109">
        <v>4.3929305121999095E-11</v>
      </c>
      <c r="L115" s="152">
        <v>6.1000291883341585E-10</v>
      </c>
      <c r="N115" s="18">
        <v>2.1343550111833659E-6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1254.0180749629831</v>
      </c>
      <c r="S115" s="57">
        <v>1.682931217465998E-6</v>
      </c>
      <c r="U115" s="127">
        <v>2.8462439254660725E-10</v>
      </c>
      <c r="V115" s="127">
        <v>6.1000291883341585E-10</v>
      </c>
      <c r="W115" s="128">
        <v>1.0050357370810613E-9</v>
      </c>
      <c r="X115" s="128">
        <f t="shared" si="2"/>
        <v>6.2741649182362509E-10</v>
      </c>
      <c r="Y115" s="139">
        <f t="shared" si="3"/>
        <v>0.49514757154126704</v>
      </c>
      <c r="AA115" s="73"/>
      <c r="AB115" s="176"/>
      <c r="AC115" s="176"/>
      <c r="AD115" s="176"/>
      <c r="AJ115" s="135"/>
    </row>
    <row r="116" spans="9:36" x14ac:dyDescent="0.35">
      <c r="I116" s="109">
        <v>2.3965790026000001E-2</v>
      </c>
      <c r="J116" s="109">
        <v>8.6285847017322192E-10</v>
      </c>
      <c r="K116" s="109">
        <v>5.2857434433094609E-11</v>
      </c>
      <c r="L116" s="152">
        <v>8.4085677660595124E-10</v>
      </c>
      <c r="N116" s="18">
        <v>2.0872611409525232E-6</v>
      </c>
      <c r="O116" s="18">
        <v>4.6783063108384949E-11</v>
      </c>
      <c r="P116" s="18">
        <v>1.9812380820908275E-12</v>
      </c>
      <c r="Q116" s="28">
        <v>1.281588875373888</v>
      </c>
      <c r="R116" s="60">
        <v>1254.5761106142479</v>
      </c>
      <c r="S116" s="57">
        <v>1.682931217465998E-6</v>
      </c>
      <c r="U116" s="127">
        <v>4.5960223030517273E-10</v>
      </c>
      <c r="V116" s="127">
        <v>8.4085677660595124E-10</v>
      </c>
      <c r="W116" s="128">
        <v>1.2422909043825205E-9</v>
      </c>
      <c r="X116" s="128">
        <f t="shared" si="2"/>
        <v>8.4590167197489892E-10</v>
      </c>
      <c r="Y116" s="139">
        <f t="shared" si="3"/>
        <v>0.10291425722012122</v>
      </c>
      <c r="AA116" s="73"/>
      <c r="AB116" s="176"/>
      <c r="AC116" s="176"/>
      <c r="AD116" s="176"/>
      <c r="AJ116" s="135"/>
    </row>
    <row r="117" spans="9:36" x14ac:dyDescent="0.35">
      <c r="I117" s="109">
        <v>2.42054479262E-2</v>
      </c>
      <c r="J117" s="109">
        <v>1.1674990485792104E-9</v>
      </c>
      <c r="K117" s="109">
        <v>6.2710572569618894E-11</v>
      </c>
      <c r="L117" s="152">
        <v>1.0817206865527025E-9</v>
      </c>
      <c r="N117" s="18">
        <v>2.0547074029114599E-6</v>
      </c>
      <c r="O117" s="18">
        <v>4.7411337194824393E-11</v>
      </c>
      <c r="P117" s="18">
        <v>1.995701432178748E-12</v>
      </c>
      <c r="Q117" s="28">
        <v>1.7210815880741237</v>
      </c>
      <c r="R117" s="60">
        <v>1254.5761106142479</v>
      </c>
      <c r="S117" s="57">
        <v>1.6866174876924538E-6</v>
      </c>
      <c r="U117" s="127">
        <v>6.7240567518767914E-10</v>
      </c>
      <c r="V117" s="127">
        <v>1.0817206865527025E-9</v>
      </c>
      <c r="W117" s="128">
        <v>1.4572025913938087E-9</v>
      </c>
      <c r="X117" s="128">
        <f t="shared" si="2"/>
        <v>1.0732624099217231E-9</v>
      </c>
      <c r="Y117" s="139">
        <f t="shared" si="3"/>
        <v>2.258177321192846</v>
      </c>
      <c r="AA117" s="73"/>
      <c r="AB117" s="176"/>
      <c r="AC117" s="176"/>
      <c r="AD117" s="176"/>
      <c r="AJ117" s="135"/>
    </row>
    <row r="118" spans="9:36" x14ac:dyDescent="0.35">
      <c r="I118" s="109">
        <v>2.4447502405500001E-2</v>
      </c>
      <c r="J118" s="109">
        <v>1.2597491673691495E-9</v>
      </c>
      <c r="K118" s="109">
        <v>6.8018734739218867E-11</v>
      </c>
      <c r="L118" s="152">
        <v>1.3135213439905108E-9</v>
      </c>
      <c r="N118" s="18">
        <v>2.0502093461023852E-6</v>
      </c>
      <c r="O118" s="18">
        <v>4.7498147887006942E-11</v>
      </c>
      <c r="P118" s="18">
        <v>1.9976998807213682E-12</v>
      </c>
      <c r="Q118" s="28">
        <v>100</v>
      </c>
      <c r="R118" s="60">
        <v>1255.1247722117066</v>
      </c>
      <c r="S118" s="57">
        <v>1.6866174876924538E-6</v>
      </c>
      <c r="U118" s="127">
        <v>9.0768315212820614E-10</v>
      </c>
      <c r="V118" s="127">
        <v>1.3135213439905108E-9</v>
      </c>
      <c r="W118" s="128">
        <v>1.6311873056473012E-9</v>
      </c>
      <c r="X118" s="128">
        <f t="shared" si="2"/>
        <v>1.2914782864391322E-9</v>
      </c>
      <c r="Y118" s="139">
        <f t="shared" si="3"/>
        <v>0.21760001992912739</v>
      </c>
      <c r="AA118" s="73"/>
      <c r="AB118" s="176"/>
      <c r="AC118" s="176"/>
      <c r="AD118" s="176"/>
      <c r="AJ118" s="135"/>
    </row>
    <row r="119" spans="9:36" x14ac:dyDescent="0.35">
      <c r="I119" s="109">
        <v>2.4691977429599998E-2</v>
      </c>
      <c r="J119" s="109">
        <v>1.3141881134604984E-9</v>
      </c>
      <c r="K119" s="109">
        <v>6.7936500804270252E-11</v>
      </c>
      <c r="L119" s="152">
        <v>1.5170557163250827E-9</v>
      </c>
      <c r="R119" s="60">
        <v>1255.1247722117066</v>
      </c>
      <c r="S119" s="57">
        <v>1.6892301782448766E-6</v>
      </c>
      <c r="U119" s="127">
        <v>1.1475901832920659E-9</v>
      </c>
      <c r="V119" s="127">
        <v>1.5170557163250827E-9</v>
      </c>
      <c r="W119" s="128">
        <v>1.7482790218536808E-9</v>
      </c>
      <c r="X119" s="128">
        <f t="shared" si="2"/>
        <v>1.4824951594489779E-9</v>
      </c>
      <c r="Y119" s="139">
        <f t="shared" si="3"/>
        <v>6.1375952818329607</v>
      </c>
      <c r="AA119" s="73"/>
      <c r="AB119" s="176"/>
      <c r="AC119" s="176"/>
      <c r="AD119" s="176"/>
      <c r="AJ119" s="135"/>
    </row>
    <row r="120" spans="9:36" x14ac:dyDescent="0.35">
      <c r="I120" s="109">
        <v>2.4938897203899999E-2</v>
      </c>
      <c r="J120" s="109">
        <v>1.4238709832090296E-9</v>
      </c>
      <c r="K120" s="109">
        <v>7.2352049057788131E-11</v>
      </c>
      <c r="L120" s="152">
        <v>1.6745862551588206E-9</v>
      </c>
      <c r="R120" s="60">
        <v>1255.3520449389794</v>
      </c>
      <c r="S120" s="57">
        <v>1.6892301782448766E-6</v>
      </c>
      <c r="U120" s="127">
        <v>1.3730852143846396E-9</v>
      </c>
      <c r="V120" s="127">
        <v>1.6745862551588206E-9</v>
      </c>
      <c r="W120" s="128">
        <v>1.7966765389858364E-9</v>
      </c>
      <c r="X120" s="128">
        <f t="shared" si="2"/>
        <v>1.6297335659220293E-9</v>
      </c>
      <c r="Y120" s="139">
        <f t="shared" si="3"/>
        <v>8.0956768396592693</v>
      </c>
      <c r="AA120" s="73"/>
      <c r="AB120" s="176"/>
      <c r="AC120" s="176"/>
      <c r="AD120" s="176"/>
      <c r="AJ120" s="135"/>
    </row>
    <row r="121" spans="9:36" x14ac:dyDescent="0.35">
      <c r="I121" s="109">
        <v>2.51882861759E-2</v>
      </c>
      <c r="J121" s="109">
        <v>1.5892412568134635E-9</v>
      </c>
      <c r="K121" s="109">
        <v>8.0885839110665664E-11</v>
      </c>
      <c r="L121" s="152">
        <v>1.7714374622225833E-9</v>
      </c>
      <c r="R121" s="60">
        <v>1255.3520449389794</v>
      </c>
      <c r="S121" s="57">
        <v>1.6915288275565374E-6</v>
      </c>
      <c r="U121" s="127">
        <v>1.5654183542525771E-9</v>
      </c>
      <c r="V121" s="127">
        <v>1.7714374622225833E-9</v>
      </c>
      <c r="W121" s="128">
        <v>1.7700599103553611E-9</v>
      </c>
      <c r="X121" s="128">
        <f t="shared" si="2"/>
        <v>1.7195882972632762E-9</v>
      </c>
      <c r="Y121" s="139">
        <f t="shared" si="3"/>
        <v>2.5969127541660018</v>
      </c>
      <c r="AA121" s="73"/>
      <c r="AB121" s="176"/>
      <c r="AC121" s="176"/>
      <c r="AD121" s="176"/>
      <c r="AJ121" s="135"/>
    </row>
    <row r="122" spans="9:36" x14ac:dyDescent="0.35">
      <c r="I122" s="109">
        <v>2.5440169037600002E-2</v>
      </c>
      <c r="J122" s="109">
        <v>1.7728517648803341E-9</v>
      </c>
      <c r="K122" s="109">
        <v>8.7490652250804575E-11</v>
      </c>
      <c r="L122" s="152">
        <v>1.7974626114699884E-9</v>
      </c>
      <c r="R122" s="60">
        <v>1255.8065903935249</v>
      </c>
      <c r="S122" s="57">
        <v>1.6915288275565374E-6</v>
      </c>
      <c r="U122" s="127">
        <v>1.7077097542060753E-9</v>
      </c>
      <c r="V122" s="127">
        <v>1.7974626114699884E-9</v>
      </c>
      <c r="W122" s="128">
        <v>1.6685370241850162E-9</v>
      </c>
      <c r="X122" s="128">
        <f t="shared" si="2"/>
        <v>1.7427930003327672E-9</v>
      </c>
      <c r="Y122" s="139">
        <f t="shared" si="3"/>
        <v>0.11803721243520007</v>
      </c>
      <c r="AA122" s="73"/>
      <c r="AB122" s="176"/>
      <c r="AC122" s="176"/>
      <c r="AD122" s="176"/>
      <c r="AJ122" s="135"/>
    </row>
    <row r="123" spans="9:36" x14ac:dyDescent="0.35">
      <c r="I123" s="109">
        <v>2.5694570728E-2</v>
      </c>
      <c r="J123" s="109">
        <v>1.5534452939084164E-9</v>
      </c>
      <c r="K123" s="109">
        <v>7.9741096271882403E-11</v>
      </c>
      <c r="L123" s="152">
        <v>1.7482434390742668E-9</v>
      </c>
      <c r="R123" s="60">
        <v>1255.8065903935249</v>
      </c>
      <c r="S123" s="57">
        <v>1.6945655886481565E-6</v>
      </c>
      <c r="U123" s="127">
        <v>1.7864977506245872E-9</v>
      </c>
      <c r="V123" s="127">
        <v>1.7482434390742668E-9</v>
      </c>
      <c r="W123" s="128">
        <v>1.4990919212574501E-9</v>
      </c>
      <c r="X123" s="128">
        <f t="shared" si="2"/>
        <v>1.6955191375076426E-9</v>
      </c>
      <c r="Y123" s="139">
        <f t="shared" si="3"/>
        <v>3.1744161183038844</v>
      </c>
      <c r="AA123" s="73"/>
      <c r="AB123" s="176"/>
      <c r="AC123" s="176"/>
      <c r="AD123" s="176"/>
      <c r="AJ123" s="135"/>
    </row>
    <row r="124" spans="9:36" x14ac:dyDescent="0.35">
      <c r="I124" s="109">
        <v>2.5951516435299998E-2</v>
      </c>
      <c r="J124" s="109">
        <v>1.4669087960144793E-9</v>
      </c>
      <c r="K124" s="109">
        <v>7.9930023524129511E-11</v>
      </c>
      <c r="L124" s="152">
        <v>1.6258883107544745E-9</v>
      </c>
      <c r="R124" s="60">
        <v>1256.2611358480704</v>
      </c>
      <c r="S124" s="57">
        <v>1.6945655886481565E-6</v>
      </c>
      <c r="U124" s="127">
        <v>1.7931258169561923E-9</v>
      </c>
      <c r="V124" s="127">
        <v>1.6258883107544745E-9</v>
      </c>
      <c r="W124" s="128">
        <v>1.2754309605924443E-9</v>
      </c>
      <c r="X124" s="128">
        <f t="shared" si="2"/>
        <v>1.5800833497643962E-9</v>
      </c>
      <c r="Y124" s="139">
        <f t="shared" si="3"/>
        <v>2.0048306808040017</v>
      </c>
      <c r="AA124" s="73"/>
      <c r="AB124" s="176"/>
      <c r="AC124" s="176"/>
      <c r="AD124" s="176"/>
      <c r="AJ124" s="135"/>
    </row>
    <row r="125" spans="9:36" x14ac:dyDescent="0.35">
      <c r="I125" s="109">
        <v>2.6211031599700001E-2</v>
      </c>
      <c r="J125" s="109">
        <v>1.3812266515536476E-9</v>
      </c>
      <c r="K125" s="109">
        <v>7.7871118762070652E-11</v>
      </c>
      <c r="L125" s="152">
        <v>1.4393086582457368E-9</v>
      </c>
      <c r="R125" s="60">
        <v>1256.2611358480704</v>
      </c>
      <c r="S125" s="57">
        <v>1.6975466434483167E-6</v>
      </c>
      <c r="U125" s="127">
        <v>1.7248333746928717E-9</v>
      </c>
      <c r="V125" s="127">
        <v>1.4393086582457368E-9</v>
      </c>
      <c r="W125" s="128">
        <v>1.0171642038441514E-9</v>
      </c>
      <c r="X125" s="128">
        <f t="shared" si="2"/>
        <v>1.4051537237571241E-9</v>
      </c>
      <c r="Y125" s="139">
        <f t="shared" si="3"/>
        <v>9.4411803087437046E-2</v>
      </c>
      <c r="AA125" s="73"/>
      <c r="AB125" s="176"/>
      <c r="AC125" s="176"/>
      <c r="AD125" s="176"/>
      <c r="AJ125" s="135"/>
    </row>
    <row r="126" spans="9:36" x14ac:dyDescent="0.35">
      <c r="I126" s="109">
        <v>2.6473141915700001E-2</v>
      </c>
      <c r="J126" s="109">
        <v>1.2896263697648935E-9</v>
      </c>
      <c r="K126" s="109">
        <v>7.8991880889051244E-11</v>
      </c>
      <c r="L126" s="152">
        <v>1.2038823489989639E-9</v>
      </c>
      <c r="R126" s="60">
        <v>1256.7156813026158</v>
      </c>
      <c r="S126" s="57">
        <v>1.6975466434483167E-6</v>
      </c>
      <c r="U126" s="127">
        <v>1.5854209128277411E-9</v>
      </c>
      <c r="V126" s="127">
        <v>1.2038823489989639E-9</v>
      </c>
      <c r="W126" s="128">
        <v>7.4831808734768758E-10</v>
      </c>
      <c r="X126" s="128">
        <f t="shared" si="2"/>
        <v>1.1853759245433393E-9</v>
      </c>
      <c r="Y126" s="139">
        <f t="shared" si="3"/>
        <v>1.7417704841000572</v>
      </c>
      <c r="AA126" s="73"/>
      <c r="AB126" s="176"/>
      <c r="AC126" s="176"/>
      <c r="AD126" s="176"/>
      <c r="AJ126" s="135"/>
    </row>
    <row r="127" spans="9:36" x14ac:dyDescent="0.35">
      <c r="I127" s="109">
        <v>2.6737873334799999E-2</v>
      </c>
      <c r="J127" s="109">
        <v>8.8809450948142591E-10</v>
      </c>
      <c r="K127" s="109">
        <v>6.1652879942909529E-11</v>
      </c>
      <c r="L127" s="152">
        <v>9.4045811965725376E-10</v>
      </c>
      <c r="R127" s="60">
        <v>1256.7156813026158</v>
      </c>
      <c r="S127" s="57">
        <v>1.7004573598221082E-6</v>
      </c>
      <c r="U127" s="127">
        <v>1.385377488304852E-9</v>
      </c>
      <c r="V127" s="127">
        <v>9.4045811965725376E-10</v>
      </c>
      <c r="W127" s="128">
        <v>4.9524885658939631E-10</v>
      </c>
      <c r="X127" s="128">
        <f t="shared" si="2"/>
        <v>9.4038564605218887E-10</v>
      </c>
      <c r="Y127" s="139">
        <f t="shared" si="3"/>
        <v>0.71936520319449726</v>
      </c>
      <c r="AA127" s="73"/>
      <c r="AB127" s="176"/>
      <c r="AC127" s="176"/>
      <c r="AD127" s="176"/>
      <c r="AJ127" s="135"/>
    </row>
    <row r="128" spans="9:36" x14ac:dyDescent="0.35">
      <c r="I128" s="109">
        <v>2.7005252068200002E-2</v>
      </c>
      <c r="J128" s="109">
        <v>7.5379928271305451E-10</v>
      </c>
      <c r="K128" s="109">
        <v>6.0017796934093252E-11</v>
      </c>
      <c r="L128" s="152">
        <v>6.7371693553722767E-10</v>
      </c>
      <c r="R128" s="60">
        <v>1257.1702267571613</v>
      </c>
      <c r="S128" s="57">
        <v>1.7004573598221082E-6</v>
      </c>
      <c r="U128" s="127">
        <v>1.1413911375045291E-9</v>
      </c>
      <c r="V128" s="127">
        <v>6.7371693553722767E-10</v>
      </c>
      <c r="W128" s="128">
        <v>2.8410736360375476E-10</v>
      </c>
      <c r="X128" s="128">
        <f t="shared" si="2"/>
        <v>6.9323309304568471E-10</v>
      </c>
      <c r="Y128" s="139">
        <f t="shared" si="3"/>
        <v>1.0183578251740844</v>
      </c>
      <c r="AA128" s="73"/>
      <c r="AB128" s="176"/>
      <c r="AC128" s="176"/>
      <c r="AD128" s="176"/>
      <c r="AJ128" s="135"/>
    </row>
    <row r="129" spans="9:36" x14ac:dyDescent="0.35">
      <c r="I129" s="109">
        <v>2.7275304588799999E-2</v>
      </c>
      <c r="J129" s="109">
        <v>6.4528228509104199E-10</v>
      </c>
      <c r="K129" s="109">
        <v>5.6634727548438011E-11</v>
      </c>
      <c r="L129" s="152">
        <v>4.2998029503719285E-10</v>
      </c>
      <c r="R129" s="60">
        <v>1257.1702267571613</v>
      </c>
      <c r="S129" s="57">
        <v>1.7033050365391535E-6</v>
      </c>
      <c r="U129" s="127">
        <v>8.7521133082463326E-10</v>
      </c>
      <c r="V129" s="127">
        <v>4.2998029503719285E-10</v>
      </c>
      <c r="W129" s="128">
        <v>1.3808363374340012E-10</v>
      </c>
      <c r="X129" s="128">
        <f t="shared" si="2"/>
        <v>4.6831388866060472E-10</v>
      </c>
      <c r="Y129" s="139">
        <f t="shared" si="3"/>
        <v>9.7639556938371683</v>
      </c>
      <c r="AA129" s="73"/>
      <c r="AB129" s="176"/>
      <c r="AC129" s="176"/>
      <c r="AD129" s="176"/>
      <c r="AJ129" s="135"/>
    </row>
    <row r="130" spans="9:36" x14ac:dyDescent="0.35">
      <c r="I130" s="109">
        <v>2.7548057634700002E-2</v>
      </c>
      <c r="J130" s="109">
        <v>3.8187557919912842E-10</v>
      </c>
      <c r="K130" s="109">
        <v>4.4514205870531521E-11</v>
      </c>
      <c r="L130" s="152">
        <v>2.3463421819366034E-10</v>
      </c>
      <c r="R130" s="60">
        <v>1257.6247722117068</v>
      </c>
      <c r="S130" s="57">
        <v>1.7033050365391535E-6</v>
      </c>
      <c r="U130" s="127">
        <v>6.1189613014163871E-10</v>
      </c>
      <c r="V130" s="127">
        <v>2.3463421819366034E-10</v>
      </c>
      <c r="W130" s="127">
        <v>7.4720579561692193E-11</v>
      </c>
      <c r="X130" s="128">
        <f t="shared" si="2"/>
        <v>2.8897128652266288E-10</v>
      </c>
      <c r="Y130" s="139">
        <f t="shared" si="3"/>
        <v>4.355863907095455</v>
      </c>
      <c r="AA130" s="73"/>
      <c r="AB130" s="176"/>
      <c r="AC130" s="176"/>
      <c r="AD130" s="176"/>
      <c r="AJ130" s="135"/>
    </row>
    <row r="131" spans="9:36" x14ac:dyDescent="0.35">
      <c r="I131" s="109">
        <v>2.78235382111E-2</v>
      </c>
      <c r="J131" s="49">
        <v>3.6049145648838628E-10</v>
      </c>
      <c r="K131" s="49">
        <v>4.4216892494988426E-11</v>
      </c>
      <c r="L131" s="152">
        <v>1.094096409711639E-10</v>
      </c>
      <c r="R131" s="60">
        <v>1257.6247722117068</v>
      </c>
      <c r="S131" s="57">
        <v>1.7061366655494472E-6</v>
      </c>
      <c r="U131" s="127">
        <v>3.7755049332506156E-10</v>
      </c>
      <c r="V131" s="127">
        <v>1.094096409711639E-10</v>
      </c>
      <c r="W131" s="127">
        <v>1.0361711368026936E-10</v>
      </c>
      <c r="X131" s="128">
        <f t="shared" ref="X131:X194" si="4">(U131+2*V131+W131)/4</f>
        <v>1.7499672223691468E-10</v>
      </c>
      <c r="Y131" s="139">
        <f t="shared" ref="Y131:Y194" si="5">(J131-X131)*(J131-X131)/(K131*K131)</f>
        <v>17.598949122111073</v>
      </c>
      <c r="AA131" s="73"/>
      <c r="AB131" s="176"/>
      <c r="AC131" s="176"/>
      <c r="AD131" s="176"/>
      <c r="AJ131" s="135"/>
    </row>
    <row r="132" spans="9:36" x14ac:dyDescent="0.35">
      <c r="I132" s="109">
        <v>2.81017735932E-2</v>
      </c>
      <c r="J132" s="49">
        <v>2.8289631880853946E-10</v>
      </c>
      <c r="K132" s="49">
        <v>4.0782615791638391E-11</v>
      </c>
      <c r="L132" s="152">
        <v>6.9812162651365231E-11</v>
      </c>
      <c r="R132" s="60">
        <v>1258.0793176662523</v>
      </c>
      <c r="S132" s="57">
        <v>1.7061366655494472E-6</v>
      </c>
      <c r="U132" s="127">
        <v>1.9673780347109232E-10</v>
      </c>
      <c r="V132" s="127">
        <v>6.9812162651365231E-11</v>
      </c>
      <c r="W132" s="127">
        <v>2.2483184390436235E-10</v>
      </c>
      <c r="X132" s="128">
        <f t="shared" si="4"/>
        <v>1.4029849316954628E-10</v>
      </c>
      <c r="Y132" s="139">
        <f t="shared" si="5"/>
        <v>12.225753942362457</v>
      </c>
      <c r="AA132" s="73"/>
      <c r="AB132" s="176"/>
      <c r="AC132" s="176"/>
      <c r="AD132" s="176"/>
      <c r="AJ132" s="135"/>
    </row>
    <row r="133" spans="9:36" x14ac:dyDescent="0.35">
      <c r="I133" s="109">
        <v>2.8382791329100002E-2</v>
      </c>
      <c r="J133" s="49">
        <v>4.0549364221650231E-10</v>
      </c>
      <c r="K133" s="49">
        <v>5.0439880743030357E-11</v>
      </c>
      <c r="L133" s="152">
        <v>1.2301460613050853E-10</v>
      </c>
      <c r="R133" s="60">
        <v>1258.0793176662523</v>
      </c>
      <c r="S133" s="57">
        <v>1.7090679227258433E-6</v>
      </c>
      <c r="U133" s="127">
        <v>8.9812915958223451E-11</v>
      </c>
      <c r="V133" s="127">
        <v>1.2301460613050853E-10</v>
      </c>
      <c r="W133" s="127">
        <v>4.2824583135702534E-10</v>
      </c>
      <c r="X133" s="128">
        <f t="shared" si="4"/>
        <v>1.9102198989406647E-10</v>
      </c>
      <c r="Y133" s="139">
        <f t="shared" si="5"/>
        <v>18.079719703843971</v>
      </c>
      <c r="AA133" s="73"/>
      <c r="AB133" s="176"/>
      <c r="AC133" s="176"/>
      <c r="AD133" s="176"/>
      <c r="AJ133" s="135"/>
    </row>
    <row r="134" spans="9:36" x14ac:dyDescent="0.35">
      <c r="I134" s="109">
        <v>2.86666192424E-2</v>
      </c>
      <c r="J134" s="49">
        <v>5.0937480998708646E-10</v>
      </c>
      <c r="K134" s="49">
        <v>5.9109770390603254E-11</v>
      </c>
      <c r="L134" s="152">
        <v>2.665065772385813E-10</v>
      </c>
      <c r="R134" s="60">
        <v>1258.5338631207978</v>
      </c>
      <c r="S134" s="57">
        <v>1.7090679227258433E-6</v>
      </c>
      <c r="U134" s="127">
        <v>7.0469481228774228E-11</v>
      </c>
      <c r="V134" s="127">
        <v>2.665065772385813E-10</v>
      </c>
      <c r="W134" s="127">
        <v>6.9405016576007177E-10</v>
      </c>
      <c r="X134" s="128">
        <f t="shared" si="4"/>
        <v>3.2438320036650218E-10</v>
      </c>
      <c r="Y134" s="139">
        <f t="shared" si="5"/>
        <v>9.7945732325886095</v>
      </c>
      <c r="AA134" s="73"/>
      <c r="AB134" s="176"/>
      <c r="AC134" s="176"/>
      <c r="AD134" s="176"/>
      <c r="AJ134" s="135"/>
    </row>
    <row r="135" spans="9:36" x14ac:dyDescent="0.35">
      <c r="I135" s="109">
        <v>2.89532854348E-2</v>
      </c>
      <c r="J135" s="49">
        <v>7.0271616686291363E-10</v>
      </c>
      <c r="K135" s="49">
        <v>6.7078254291923893E-11</v>
      </c>
      <c r="L135" s="152">
        <v>4.8773422314148608E-10</v>
      </c>
      <c r="R135" s="60">
        <v>1258.5338631207978</v>
      </c>
      <c r="S135" s="57">
        <v>1.7123275482533682E-6</v>
      </c>
      <c r="U135" s="127">
        <v>1.4380626522834582E-10</v>
      </c>
      <c r="V135" s="127">
        <v>4.8773422314148608E-10</v>
      </c>
      <c r="W135" s="127">
        <v>9.944016306507639E-10</v>
      </c>
      <c r="X135" s="128">
        <f t="shared" si="4"/>
        <v>5.2841908554052043E-10</v>
      </c>
      <c r="Y135" s="139">
        <f t="shared" si="5"/>
        <v>6.751755801522652</v>
      </c>
      <c r="AA135" s="73"/>
      <c r="AB135" s="176"/>
      <c r="AC135" s="176"/>
      <c r="AD135" s="176"/>
      <c r="AJ135" s="135"/>
    </row>
    <row r="136" spans="9:36" x14ac:dyDescent="0.35">
      <c r="I136" s="109">
        <v>2.9242818289200001E-2</v>
      </c>
      <c r="J136" s="49">
        <v>7.9390885587167018E-10</v>
      </c>
      <c r="K136" s="49">
        <v>7.059824704906574E-11</v>
      </c>
      <c r="L136" s="152">
        <v>7.6486561207665125E-10</v>
      </c>
      <c r="R136" s="60">
        <v>1258.9884085753433</v>
      </c>
      <c r="S136" s="57">
        <v>1.7123275482533682E-6</v>
      </c>
      <c r="U136" s="127">
        <v>3.0519007385888137E-10</v>
      </c>
      <c r="V136" s="127">
        <v>7.6486561207665125E-10</v>
      </c>
      <c r="W136" s="127">
        <v>1.2961520922875495E-9</v>
      </c>
      <c r="X136" s="128">
        <f t="shared" si="4"/>
        <v>7.8276834757493337E-10</v>
      </c>
      <c r="Y136" s="139">
        <f t="shared" si="5"/>
        <v>2.4901308999003658E-2</v>
      </c>
      <c r="AA136" s="73"/>
      <c r="AB136" s="176"/>
      <c r="AC136" s="176"/>
      <c r="AD136" s="176"/>
      <c r="AJ136" s="135"/>
    </row>
    <row r="137" spans="9:36" x14ac:dyDescent="0.35">
      <c r="I137" s="109">
        <v>2.9535246472099999E-2</v>
      </c>
      <c r="J137" s="49">
        <v>1.073915350040467E-9</v>
      </c>
      <c r="K137" s="49">
        <v>8.363690836230231E-11</v>
      </c>
      <c r="L137" s="152">
        <v>1.0686933639258704E-9</v>
      </c>
      <c r="R137" s="60">
        <v>1258.9884085753433</v>
      </c>
      <c r="S137" s="57">
        <v>1.7163199368485662E-6</v>
      </c>
      <c r="U137" s="127">
        <v>5.4012607637389588E-10</v>
      </c>
      <c r="V137" s="127">
        <v>1.0686933639258704E-9</v>
      </c>
      <c r="W137" s="127">
        <v>1.5644204173295734E-9</v>
      </c>
      <c r="X137" s="128">
        <f t="shared" si="4"/>
        <v>1.0604833053888026E-9</v>
      </c>
      <c r="Y137" s="139">
        <f t="shared" si="5"/>
        <v>2.5792195510437502E-2</v>
      </c>
      <c r="AA137" s="73"/>
      <c r="AB137" s="176"/>
      <c r="AC137" s="176"/>
      <c r="AD137" s="176"/>
      <c r="AJ137" s="135"/>
    </row>
    <row r="138" spans="9:36" x14ac:dyDescent="0.35">
      <c r="I138" s="109">
        <v>2.9830598936799999E-2</v>
      </c>
      <c r="J138" s="49">
        <v>1.2060894722408087E-9</v>
      </c>
      <c r="K138" s="49">
        <v>9.3894924580629761E-11</v>
      </c>
      <c r="L138" s="152">
        <v>1.3655507186781625E-9</v>
      </c>
      <c r="R138" s="60">
        <v>1259.4429540298888</v>
      </c>
      <c r="S138" s="57">
        <v>1.7163199368485662E-6</v>
      </c>
      <c r="U138" s="127">
        <v>8.2524555776091751E-10</v>
      </c>
      <c r="V138" s="127">
        <v>1.3655507186781625E-9</v>
      </c>
      <c r="W138" s="127">
        <v>1.7666546093745226E-9</v>
      </c>
      <c r="X138" s="128">
        <f t="shared" si="4"/>
        <v>1.3307504011229412E-9</v>
      </c>
      <c r="Y138" s="139">
        <f t="shared" si="5"/>
        <v>1.762692198401637</v>
      </c>
      <c r="AA138" s="73"/>
      <c r="AB138" s="176"/>
      <c r="AC138" s="176"/>
      <c r="AD138" s="176"/>
      <c r="AJ138" s="135"/>
    </row>
    <row r="139" spans="9:36" x14ac:dyDescent="0.35">
      <c r="I139" s="109">
        <v>3.01289049262E-2</v>
      </c>
      <c r="J139" s="49">
        <v>1.5001069370288131E-9</v>
      </c>
      <c r="K139" s="49">
        <v>1.0827821712311132E-10</v>
      </c>
      <c r="L139" s="152">
        <v>1.6209854111448953E-9</v>
      </c>
      <c r="R139" s="60">
        <v>1259.4429540298888</v>
      </c>
      <c r="S139" s="57">
        <v>1.7217046864980052E-6</v>
      </c>
      <c r="U139" s="127">
        <v>1.1303973657730035E-9</v>
      </c>
      <c r="V139" s="127">
        <v>1.6209854111448953E-9</v>
      </c>
      <c r="W139" s="127">
        <v>1.8767391473334518E-9</v>
      </c>
      <c r="X139" s="128">
        <f t="shared" si="4"/>
        <v>1.5622768338490615E-9</v>
      </c>
      <c r="Y139" s="139">
        <f t="shared" si="5"/>
        <v>0.32966899245695724</v>
      </c>
      <c r="AA139" s="73"/>
      <c r="AB139" s="176"/>
      <c r="AC139" s="176"/>
      <c r="AD139" s="176"/>
      <c r="AJ139" s="135"/>
    </row>
    <row r="140" spans="9:36" x14ac:dyDescent="0.35">
      <c r="I140" s="109">
        <v>3.0430193975400002E-2</v>
      </c>
      <c r="J140" s="49">
        <v>1.5156833291856159E-9</v>
      </c>
      <c r="K140" s="49">
        <v>1.0947577854252613E-10</v>
      </c>
      <c r="L140" s="152">
        <v>1.8038217211327824E-9</v>
      </c>
      <c r="R140" s="60">
        <v>1259.8974994844343</v>
      </c>
      <c r="S140" s="57">
        <v>1.7217046864980052E-6</v>
      </c>
      <c r="U140" s="127">
        <v>1.4216965529374504E-9</v>
      </c>
      <c r="V140" s="127">
        <v>1.8038217211327824E-9</v>
      </c>
      <c r="W140" s="127">
        <v>1.8786490348882689E-9</v>
      </c>
      <c r="X140" s="128">
        <f t="shared" si="4"/>
        <v>1.7269972575228208E-9</v>
      </c>
      <c r="Y140" s="139">
        <f t="shared" si="5"/>
        <v>3.7258053547610799</v>
      </c>
      <c r="AA140" s="73"/>
      <c r="AB140" s="176"/>
      <c r="AC140" s="176"/>
      <c r="AD140" s="176"/>
      <c r="AJ140" s="135"/>
    </row>
    <row r="141" spans="9:36" x14ac:dyDescent="0.35">
      <c r="I141" s="109">
        <v>3.07344959152E-2</v>
      </c>
      <c r="J141" s="49">
        <v>1.5411778679003741E-9</v>
      </c>
      <c r="K141" s="49">
        <v>1.1508609561519557E-10</v>
      </c>
      <c r="L141" s="152">
        <v>1.8901571974981719E-9</v>
      </c>
      <c r="R141" s="60">
        <v>1259.8974994844343</v>
      </c>
      <c r="S141" s="57">
        <v>1.7294842753388951E-6</v>
      </c>
      <c r="U141" s="127">
        <v>1.6652566267739842E-9</v>
      </c>
      <c r="V141" s="127">
        <v>1.8901571974981719E-9</v>
      </c>
      <c r="W141" s="127">
        <v>1.7691476908632497E-9</v>
      </c>
      <c r="X141" s="128">
        <f t="shared" si="4"/>
        <v>1.8036796781583946E-9</v>
      </c>
      <c r="Y141" s="139">
        <f t="shared" si="5"/>
        <v>5.2025815009605125</v>
      </c>
      <c r="AA141" s="73"/>
      <c r="AB141" s="176"/>
      <c r="AC141" s="176"/>
      <c r="AD141" s="176"/>
      <c r="AJ141" s="135"/>
    </row>
    <row r="142" spans="9:36" x14ac:dyDescent="0.35">
      <c r="I142" s="109">
        <v>3.1041840874300002E-2</v>
      </c>
      <c r="J142" s="49">
        <v>1.8208465904960601E-9</v>
      </c>
      <c r="K142" s="49">
        <v>1.2609718050139047E-10</v>
      </c>
      <c r="L142" s="152">
        <v>1.8667975958773954E-9</v>
      </c>
      <c r="R142" s="60">
        <v>1260.3520449389798</v>
      </c>
      <c r="S142" s="57">
        <v>1.7294842753388951E-6</v>
      </c>
      <c r="U142" s="127">
        <v>1.8312240879616798E-9</v>
      </c>
      <c r="V142" s="127">
        <v>1.8667975958773954E-9</v>
      </c>
      <c r="W142" s="127">
        <v>1.559079779776647E-9</v>
      </c>
      <c r="X142" s="128">
        <f t="shared" si="4"/>
        <v>1.7809747648732792E-9</v>
      </c>
      <c r="Y142" s="139">
        <f t="shared" si="5"/>
        <v>9.9981924180628942E-2</v>
      </c>
      <c r="AA142" s="73"/>
      <c r="AB142" s="176"/>
      <c r="AC142" s="176"/>
      <c r="AD142" s="176"/>
      <c r="AJ142" s="135"/>
    </row>
    <row r="143" spans="9:36" x14ac:dyDescent="0.35">
      <c r="I143" s="109">
        <v>3.1352259283100002E-2</v>
      </c>
      <c r="J143" s="49">
        <v>1.6832796951476519E-9</v>
      </c>
      <c r="K143" s="49">
        <v>1.2520274515884382E-10</v>
      </c>
      <c r="L143" s="152">
        <v>1.7336414475846794E-9</v>
      </c>
      <c r="R143" s="60">
        <v>1260.3520449389798</v>
      </c>
      <c r="S143" s="57">
        <v>1.7410803394483634E-6</v>
      </c>
      <c r="U143" s="127">
        <v>1.8976576727807227E-9</v>
      </c>
      <c r="V143" s="127">
        <v>1.7336414475846794E-9</v>
      </c>
      <c r="W143" s="127">
        <v>1.2729295698097803E-9</v>
      </c>
      <c r="X143" s="128">
        <f t="shared" si="4"/>
        <v>1.6594675344399654E-9</v>
      </c>
      <c r="Y143" s="139">
        <f t="shared" si="5"/>
        <v>3.6171782225450255E-2</v>
      </c>
      <c r="AA143" s="73"/>
      <c r="AB143" s="176"/>
      <c r="AC143" s="176"/>
      <c r="AD143" s="176"/>
      <c r="AJ143" s="135"/>
    </row>
    <row r="144" spans="9:36" x14ac:dyDescent="0.35">
      <c r="I144" s="109">
        <v>3.1665781875900002E-2</v>
      </c>
      <c r="J144" s="49">
        <v>1.2434383832478951E-9</v>
      </c>
      <c r="K144" s="49">
        <v>1.055456838582013E-10</v>
      </c>
      <c r="L144" s="152">
        <v>1.5045932286457808E-9</v>
      </c>
      <c r="O144" s="30"/>
      <c r="R144" s="60">
        <v>1260.8065903935253</v>
      </c>
      <c r="S144" s="57">
        <v>1.7410803394483634E-6</v>
      </c>
      <c r="U144" s="127">
        <v>1.8537607139072431E-9</v>
      </c>
      <c r="V144" s="127">
        <v>1.5045932286457808E-9</v>
      </c>
      <c r="W144" s="127">
        <v>9.4650182838010271E-10</v>
      </c>
      <c r="X144" s="128">
        <f t="shared" si="4"/>
        <v>1.452362249894727E-9</v>
      </c>
      <c r="Y144" s="139">
        <f t="shared" si="5"/>
        <v>3.9182771681900559</v>
      </c>
      <c r="AA144" s="73"/>
      <c r="AB144" s="176"/>
      <c r="AC144" s="176"/>
      <c r="AD144" s="176"/>
      <c r="AJ144" s="135"/>
    </row>
    <row r="145" spans="9:36" x14ac:dyDescent="0.35">
      <c r="I145" s="109">
        <v>3.19824396947E-2</v>
      </c>
      <c r="J145" s="49">
        <v>1.0455454928040814E-9</v>
      </c>
      <c r="K145" s="49">
        <v>9.8408340187807349E-11</v>
      </c>
      <c r="L145" s="152">
        <v>1.206717141007561E-9</v>
      </c>
      <c r="R145" s="60">
        <v>1260.8065903935253</v>
      </c>
      <c r="S145" s="57">
        <v>1.7583676221503816E-6</v>
      </c>
      <c r="U145" s="127">
        <v>1.7019931740761849E-9</v>
      </c>
      <c r="V145" s="127">
        <v>1.206717141007561E-9</v>
      </c>
      <c r="W145" s="127">
        <v>6.2282623927299666E-10</v>
      </c>
      <c r="X145" s="128">
        <f t="shared" si="4"/>
        <v>1.1845634238410761E-9</v>
      </c>
      <c r="Y145" s="139">
        <f t="shared" si="5"/>
        <v>1.9956199086121109</v>
      </c>
      <c r="AA145" s="73"/>
      <c r="AB145" s="176"/>
      <c r="AC145" s="176"/>
      <c r="AD145" s="176"/>
      <c r="AJ145" s="135"/>
    </row>
    <row r="146" spans="9:36" x14ac:dyDescent="0.35">
      <c r="I146" s="109">
        <v>3.2302264091600003E-2</v>
      </c>
      <c r="J146" s="49">
        <v>9.6759139660261392E-10</v>
      </c>
      <c r="K146" s="49">
        <v>9.7672646879957372E-11</v>
      </c>
      <c r="L146" s="152">
        <v>8.7754096006953682E-10</v>
      </c>
      <c r="R146" s="60">
        <v>1261.2611358480708</v>
      </c>
      <c r="S146" s="57">
        <v>1.7583676221503816E-6</v>
      </c>
      <c r="U146" s="127">
        <v>1.4586684610530303E-9</v>
      </c>
      <c r="V146" s="127">
        <v>8.7754096006953682E-10</v>
      </c>
      <c r="W146" s="127">
        <v>3.4666337620938061E-10</v>
      </c>
      <c r="X146" s="128">
        <f t="shared" si="4"/>
        <v>8.901034393503711E-10</v>
      </c>
      <c r="Y146" s="139">
        <f t="shared" si="5"/>
        <v>0.62939387199005159</v>
      </c>
      <c r="AA146" s="73"/>
      <c r="AB146" s="176"/>
      <c r="AC146" s="176"/>
      <c r="AD146" s="176"/>
      <c r="AJ146" s="135"/>
    </row>
    <row r="147" spans="9:36" x14ac:dyDescent="0.35">
      <c r="I147" s="109">
        <v>3.2625286732500001E-2</v>
      </c>
      <c r="J147" s="49">
        <v>5.8948575151228209E-10</v>
      </c>
      <c r="K147" s="49">
        <v>7.8448971359905281E-11</v>
      </c>
      <c r="L147" s="152">
        <v>5.6066856600688747E-10</v>
      </c>
      <c r="R147" s="60">
        <v>1261.2611358480708</v>
      </c>
      <c r="S147" s="57">
        <v>1.783627303438762E-6</v>
      </c>
      <c r="U147" s="127">
        <v>1.1527835148744585E-9</v>
      </c>
      <c r="V147" s="127">
        <v>5.6066856600688747E-10</v>
      </c>
      <c r="W147" s="127">
        <v>1.5825991636701855E-10</v>
      </c>
      <c r="X147" s="128">
        <f t="shared" si="4"/>
        <v>6.0809514081381292E-10</v>
      </c>
      <c r="Y147" s="139">
        <f t="shared" si="5"/>
        <v>5.6271661140800476E-2</v>
      </c>
      <c r="AA147" s="73"/>
      <c r="AB147" s="176"/>
      <c r="AC147" s="176"/>
      <c r="AD147" s="176"/>
      <c r="AJ147" s="135"/>
    </row>
    <row r="148" spans="9:36" x14ac:dyDescent="0.35">
      <c r="I148" s="109">
        <v>3.29515395999E-2</v>
      </c>
      <c r="J148" s="49">
        <v>6.1991699871533696E-10</v>
      </c>
      <c r="K148" s="49">
        <v>8.0037660052389286E-11</v>
      </c>
      <c r="L148" s="152">
        <v>3.0013303818843871E-10</v>
      </c>
      <c r="R148" s="60">
        <v>1261.7156813026163</v>
      </c>
      <c r="S148" s="57">
        <v>1.783627303438762E-6</v>
      </c>
      <c r="U148" s="127">
        <v>8.2303552551668989E-10</v>
      </c>
      <c r="V148" s="127">
        <v>3.0013303818843871E-10</v>
      </c>
      <c r="W148" s="127">
        <v>8.7211339716100964E-11</v>
      </c>
      <c r="X148" s="128">
        <f t="shared" si="4"/>
        <v>3.7762823540241707E-10</v>
      </c>
      <c r="Y148" s="139">
        <f t="shared" si="5"/>
        <v>9.1638459505992085</v>
      </c>
      <c r="AA148" s="73"/>
      <c r="AB148" s="176"/>
      <c r="AC148" s="176"/>
      <c r="AD148" s="176"/>
      <c r="AJ148" s="135"/>
    </row>
    <row r="149" spans="9:36" x14ac:dyDescent="0.35">
      <c r="I149" s="109">
        <v>3.3281054995899999E-2</v>
      </c>
      <c r="J149" s="49">
        <v>4.8377052802412686E-10</v>
      </c>
      <c r="K149" s="49">
        <v>7.1237359371964301E-11</v>
      </c>
      <c r="L149" s="152">
        <v>1.3417733705711491E-10</v>
      </c>
      <c r="R149" s="60">
        <v>1261.7156813026163</v>
      </c>
      <c r="S149" s="57">
        <v>1.8193842652360807E-6</v>
      </c>
      <c r="U149" s="127">
        <v>5.1322966953412193E-10</v>
      </c>
      <c r="V149" s="127">
        <v>1.3417733705711491E-10</v>
      </c>
      <c r="W149" s="127">
        <v>1.4738940195950454E-10</v>
      </c>
      <c r="X149" s="128">
        <f t="shared" si="4"/>
        <v>2.3224343640196409E-10</v>
      </c>
      <c r="Y149" s="139">
        <f t="shared" si="5"/>
        <v>12.466769017019541</v>
      </c>
      <c r="AA149" s="73"/>
      <c r="AB149" s="176"/>
      <c r="AC149" s="176"/>
      <c r="AD149" s="176"/>
      <c r="AJ149" s="135"/>
    </row>
    <row r="150" spans="9:36" x14ac:dyDescent="0.35">
      <c r="I150" s="109">
        <v>3.3613865545800002E-2</v>
      </c>
      <c r="J150" s="49">
        <v>4.9650995604135833E-10</v>
      </c>
      <c r="K150" s="49">
        <v>7.5635479000589887E-11</v>
      </c>
      <c r="L150" s="152">
        <v>8.9335683728227795E-11</v>
      </c>
      <c r="R150" s="60">
        <v>1262.1702267571618</v>
      </c>
      <c r="S150" s="57">
        <v>1.8193842652360807E-6</v>
      </c>
      <c r="U150" s="127">
        <v>2.665496366095299E-10</v>
      </c>
      <c r="V150" s="127">
        <v>8.9335683728227795E-11</v>
      </c>
      <c r="W150" s="127">
        <v>3.33839946273631E-10</v>
      </c>
      <c r="X150" s="128">
        <f t="shared" si="4"/>
        <v>1.9476523758490412E-10</v>
      </c>
      <c r="Y150" s="139">
        <f t="shared" si="5"/>
        <v>15.915791134087957</v>
      </c>
      <c r="AA150" s="73"/>
      <c r="AB150" s="176"/>
      <c r="AC150" s="176"/>
      <c r="AD150" s="176"/>
      <c r="AJ150" s="135"/>
    </row>
    <row r="151" spans="9:36" x14ac:dyDescent="0.35">
      <c r="I151" s="109">
        <v>3.3950004201300003E-2</v>
      </c>
      <c r="J151" s="49">
        <v>5.9890310541505746E-10</v>
      </c>
      <c r="K151" s="49">
        <v>8.350202462010555E-11</v>
      </c>
      <c r="L151" s="152">
        <v>1.7575694516056205E-10</v>
      </c>
      <c r="R151" s="60">
        <v>1262.1702267571618</v>
      </c>
      <c r="S151" s="57">
        <v>1.8681110490095441E-6</v>
      </c>
      <c r="U151" s="127">
        <v>1.1940352038035392E-10</v>
      </c>
      <c r="V151" s="127">
        <v>1.7575694516056205E-10</v>
      </c>
      <c r="W151" s="127">
        <v>6.2234062190933036E-10</v>
      </c>
      <c r="X151" s="128">
        <f t="shared" si="4"/>
        <v>2.7331450815270209E-10</v>
      </c>
      <c r="Y151" s="139">
        <f t="shared" si="5"/>
        <v>15.203527428965863</v>
      </c>
      <c r="AA151" s="73"/>
      <c r="AB151" s="176"/>
      <c r="AC151" s="176"/>
      <c r="AD151" s="176"/>
      <c r="AJ151" s="135"/>
    </row>
    <row r="152" spans="9:36" x14ac:dyDescent="0.35">
      <c r="I152" s="109">
        <v>3.4289504243299997E-2</v>
      </c>
      <c r="J152" s="49">
        <v>6.6516674188962116E-10</v>
      </c>
      <c r="K152" s="49">
        <v>8.9152476698860154E-11</v>
      </c>
      <c r="L152" s="152">
        <v>3.8462811267338064E-10</v>
      </c>
      <c r="R152" s="60">
        <v>1262.6247722117073</v>
      </c>
      <c r="S152" s="57">
        <v>1.8681110490095441E-6</v>
      </c>
      <c r="U152" s="127">
        <v>9.5722302243043543E-11</v>
      </c>
      <c r="V152" s="127">
        <v>3.8462811267338064E-10</v>
      </c>
      <c r="W152" s="127">
        <v>9.7194662855971376E-10</v>
      </c>
      <c r="X152" s="128">
        <f t="shared" si="4"/>
        <v>4.5923128903737966E-10</v>
      </c>
      <c r="Y152" s="139">
        <f t="shared" si="5"/>
        <v>5.3357492623027802</v>
      </c>
      <c r="AA152" s="73"/>
      <c r="AB152" s="176"/>
      <c r="AC152" s="176"/>
      <c r="AD152" s="176"/>
      <c r="AJ152" s="135"/>
    </row>
    <row r="153" spans="9:36" x14ac:dyDescent="0.35">
      <c r="I153" s="109">
        <v>3.46323992857E-2</v>
      </c>
      <c r="J153" s="49">
        <v>9.6425342479330712E-10</v>
      </c>
      <c r="K153" s="49">
        <v>1.0735557584137113E-10</v>
      </c>
      <c r="L153" s="152">
        <v>6.8831416344852993E-10</v>
      </c>
      <c r="R153" s="60">
        <v>1262.6247722117073</v>
      </c>
      <c r="S153" s="57">
        <v>1.9318155034088313E-6</v>
      </c>
      <c r="U153" s="127">
        <v>2.0263135660433995E-10</v>
      </c>
      <c r="V153" s="127">
        <v>6.8831416344852993E-10</v>
      </c>
      <c r="W153" s="127">
        <v>1.3303948094520105E-9</v>
      </c>
      <c r="X153" s="128">
        <f t="shared" si="4"/>
        <v>7.2741362323835261E-10</v>
      </c>
      <c r="Y153" s="139">
        <f t="shared" si="5"/>
        <v>4.8669867676943914</v>
      </c>
      <c r="AA153" s="73"/>
      <c r="AB153" s="176"/>
      <c r="AC153" s="176"/>
      <c r="AD153" s="176"/>
      <c r="AJ153" s="135"/>
    </row>
    <row r="154" spans="9:36" x14ac:dyDescent="0.35">
      <c r="I154" s="109">
        <v>3.49787232786E-2</v>
      </c>
      <c r="J154" s="49">
        <v>1.1012913093660474E-9</v>
      </c>
      <c r="K154" s="49">
        <v>1.2039349585362327E-10</v>
      </c>
      <c r="L154" s="152">
        <v>1.0434541825829266E-9</v>
      </c>
      <c r="R154" s="60">
        <v>1263.0793176662528</v>
      </c>
      <c r="S154" s="57">
        <v>1.9318155034088313E-6</v>
      </c>
      <c r="U154" s="127">
        <v>4.2830844425035965E-10</v>
      </c>
      <c r="V154" s="127">
        <v>1.0434541825829266E-9</v>
      </c>
      <c r="W154" s="127">
        <v>1.6417520437015377E-9</v>
      </c>
      <c r="X154" s="128">
        <f t="shared" si="4"/>
        <v>1.0392422132794377E-9</v>
      </c>
      <c r="Y154" s="139">
        <f t="shared" si="5"/>
        <v>0.26562250495878498</v>
      </c>
      <c r="AA154" s="73"/>
      <c r="AB154" s="176"/>
      <c r="AC154" s="176"/>
      <c r="AD154" s="176"/>
      <c r="AJ154" s="135"/>
    </row>
    <row r="155" spans="9:36" x14ac:dyDescent="0.35">
      <c r="I155" s="109">
        <v>3.5328510511399999E-2</v>
      </c>
      <c r="J155" s="49">
        <v>1.4680844347810335E-9</v>
      </c>
      <c r="K155" s="49">
        <v>1.3638471045406598E-10</v>
      </c>
      <c r="L155" s="152">
        <v>1.3967944530824299E-9</v>
      </c>
      <c r="R155" s="60">
        <v>1263.0793176662528</v>
      </c>
      <c r="S155" s="57">
        <v>2.0115728143493598E-6</v>
      </c>
      <c r="U155" s="127">
        <v>7.4258213402844931E-10</v>
      </c>
      <c r="V155" s="127">
        <v>1.3967944530824299E-9</v>
      </c>
      <c r="W155" s="127">
        <v>1.8552604010849721E-9</v>
      </c>
      <c r="X155" s="128">
        <f t="shared" si="4"/>
        <v>1.3478578603195704E-9</v>
      </c>
      <c r="Y155" s="139">
        <f t="shared" si="5"/>
        <v>0.77708687603813809</v>
      </c>
      <c r="AA155" s="73"/>
      <c r="AB155" s="176"/>
      <c r="AC155" s="176"/>
      <c r="AD155" s="176"/>
      <c r="AJ155" s="135"/>
    </row>
    <row r="156" spans="9:36" x14ac:dyDescent="0.35">
      <c r="I156" s="109">
        <v>3.5681795616499999E-2</v>
      </c>
      <c r="J156" s="49">
        <v>1.5678089454730883E-9</v>
      </c>
      <c r="K156" s="49">
        <v>1.4330883916147034E-10</v>
      </c>
      <c r="L156" s="152">
        <v>1.6930672726827211E-9</v>
      </c>
      <c r="R156" s="60">
        <v>1263.5338631207983</v>
      </c>
      <c r="S156" s="57">
        <v>2.0115728143493598E-6</v>
      </c>
      <c r="U156" s="127">
        <v>1.1004399179597789E-9</v>
      </c>
      <c r="V156" s="127">
        <v>1.6930672726827211E-9</v>
      </c>
      <c r="W156" s="127">
        <v>1.9340223096169683E-9</v>
      </c>
      <c r="X156" s="128">
        <f t="shared" si="4"/>
        <v>1.6051491932355475E-9</v>
      </c>
      <c r="Y156" s="139">
        <f t="shared" si="5"/>
        <v>6.7890410449291616E-2</v>
      </c>
      <c r="AA156" s="73"/>
      <c r="AB156" s="176"/>
      <c r="AC156" s="176"/>
      <c r="AD156" s="176"/>
      <c r="AJ156" s="135"/>
    </row>
    <row r="157" spans="9:36" x14ac:dyDescent="0.35">
      <c r="I157" s="109">
        <v>3.6038613572599999E-2</v>
      </c>
      <c r="J157" s="49">
        <v>1.7621499809768288E-9</v>
      </c>
      <c r="K157" s="49">
        <v>1.5191744904745023E-10</v>
      </c>
      <c r="L157" s="152">
        <v>1.8838153403852554E-9</v>
      </c>
      <c r="R157" s="60">
        <v>1263.5338631207983</v>
      </c>
      <c r="S157" s="57">
        <v>2.107101812065581E-6</v>
      </c>
      <c r="U157" s="127">
        <v>1.4481587178755353E-9</v>
      </c>
      <c r="V157" s="127">
        <v>1.8838153403852554E-9</v>
      </c>
      <c r="W157" s="127">
        <v>1.8620454310441701E-9</v>
      </c>
      <c r="X157" s="128">
        <f t="shared" si="4"/>
        <v>1.7694587074225541E-9</v>
      </c>
      <c r="Y157" s="139">
        <f t="shared" si="5"/>
        <v>2.3145581481732909E-3</v>
      </c>
      <c r="AA157" s="73"/>
      <c r="AB157" s="176"/>
      <c r="AC157" s="176"/>
      <c r="AD157" s="176"/>
      <c r="AJ157" s="135"/>
    </row>
    <row r="158" spans="9:36" x14ac:dyDescent="0.35">
      <c r="I158" s="109">
        <v>3.63989997084E-2</v>
      </c>
      <c r="J158" s="49">
        <v>1.3751674584273344E-9</v>
      </c>
      <c r="K158" s="49">
        <v>1.3679462215536995E-10</v>
      </c>
      <c r="L158" s="152">
        <v>1.9357865738081516E-9</v>
      </c>
      <c r="R158" s="60">
        <v>1263.9884085753438</v>
      </c>
      <c r="S158" s="57">
        <v>2.107101812065581E-6</v>
      </c>
      <c r="U158" s="127">
        <v>1.7313115428171678E-9</v>
      </c>
      <c r="V158" s="127">
        <v>1.9357865738081516E-9</v>
      </c>
      <c r="W158" s="127">
        <v>1.6482730949495819E-9</v>
      </c>
      <c r="X158" s="128">
        <f t="shared" si="4"/>
        <v>1.8127894463457633E-9</v>
      </c>
      <c r="Y158" s="139">
        <f t="shared" si="5"/>
        <v>10.234348956332845</v>
      </c>
      <c r="AA158" s="73"/>
      <c r="AB158" s="176"/>
      <c r="AC158" s="176"/>
      <c r="AD158" s="176"/>
      <c r="AJ158" s="135"/>
    </row>
    <row r="159" spans="9:36" x14ac:dyDescent="0.35">
      <c r="I159" s="109">
        <v>3.6762989705399998E-2</v>
      </c>
      <c r="J159" s="49">
        <v>1.4620878608619566E-9</v>
      </c>
      <c r="K159" s="49">
        <v>1.4700887086163847E-10</v>
      </c>
      <c r="L159" s="152">
        <v>1.8379661499183246E-9</v>
      </c>
      <c r="R159" s="60">
        <v>1263.9884085753438</v>
      </c>
      <c r="S159" s="57">
        <v>2.2165028646504799E-6</v>
      </c>
      <c r="U159" s="127">
        <v>1.9038308288299801E-9</v>
      </c>
      <c r="V159" s="127">
        <v>1.8379661499183246E-9</v>
      </c>
      <c r="W159" s="127">
        <v>1.3270496427170182E-9</v>
      </c>
      <c r="X159" s="128">
        <f t="shared" si="4"/>
        <v>1.7267031928459118E-9</v>
      </c>
      <c r="Y159" s="139">
        <f t="shared" si="5"/>
        <v>3.2399844360519374</v>
      </c>
      <c r="AA159" s="73"/>
      <c r="AB159" s="176"/>
      <c r="AC159" s="176"/>
      <c r="AD159" s="176"/>
      <c r="AJ159" s="135"/>
    </row>
    <row r="160" spans="9:36" x14ac:dyDescent="0.35">
      <c r="I160" s="109">
        <v>3.7130619602499998E-2</v>
      </c>
      <c r="J160" s="49">
        <v>1.2054681599930755E-9</v>
      </c>
      <c r="K160" s="49">
        <v>1.3633588679487516E-10</v>
      </c>
      <c r="L160" s="153">
        <v>1.6027867516074148E-9</v>
      </c>
      <c r="M160" s="32"/>
      <c r="R160" s="60">
        <v>1264.4429540298893</v>
      </c>
      <c r="S160" s="57">
        <v>2.2165028646504799E-6</v>
      </c>
      <c r="U160" s="127">
        <v>1.9349996567627577E-9</v>
      </c>
      <c r="V160" s="127">
        <v>1.6027867516074148E-9</v>
      </c>
      <c r="W160" s="127">
        <v>9.5164344356131679E-10</v>
      </c>
      <c r="X160" s="128">
        <f t="shared" si="4"/>
        <v>1.523054150884726E-9</v>
      </c>
      <c r="Y160" s="139">
        <f t="shared" si="5"/>
        <v>5.4262812396083921</v>
      </c>
      <c r="AA160" s="73"/>
      <c r="AB160" s="176"/>
      <c r="AC160" s="176"/>
      <c r="AD160" s="176"/>
      <c r="AJ160" s="135"/>
    </row>
    <row r="161" spans="1:36" x14ac:dyDescent="0.35">
      <c r="I161" s="109">
        <v>3.7501925798500001E-2</v>
      </c>
      <c r="J161" s="49">
        <v>1.0894916477464401E-9</v>
      </c>
      <c r="K161" s="49">
        <v>1.2890941344239228E-10</v>
      </c>
      <c r="L161" s="153">
        <v>1.2684099617440483E-9</v>
      </c>
      <c r="M161" s="32"/>
      <c r="R161" s="60">
        <v>1264.4429540298893</v>
      </c>
      <c r="S161" s="57">
        <v>2.3362570607969361E-6</v>
      </c>
      <c r="U161" s="127">
        <v>1.8169090032938898E-9</v>
      </c>
      <c r="V161" s="127">
        <v>1.2684099617440483E-9</v>
      </c>
      <c r="W161" s="127">
        <v>5.8887876935191851E-10</v>
      </c>
      <c r="X161" s="128">
        <f t="shared" si="4"/>
        <v>1.2356519240334762E-9</v>
      </c>
      <c r="Y161" s="139">
        <f t="shared" si="5"/>
        <v>1.2855514009725315</v>
      </c>
      <c r="AA161" s="73"/>
      <c r="AB161" s="176"/>
      <c r="AC161" s="176"/>
      <c r="AD161" s="176"/>
      <c r="AJ161" s="135"/>
    </row>
    <row r="162" spans="1:36" x14ac:dyDescent="0.35">
      <c r="I162" s="109">
        <v>3.7876945056500001E-2</v>
      </c>
      <c r="J162" s="49">
        <v>8.9045383205555743E-10</v>
      </c>
      <c r="K162" s="49">
        <v>1.1863763511905034E-10</v>
      </c>
      <c r="L162" s="153">
        <v>8.9160753580034425E-10</v>
      </c>
      <c r="M162" s="32"/>
      <c r="R162" s="60">
        <v>1264.8974994844348</v>
      </c>
      <c r="S162" s="57">
        <v>2.3362570607969361E-6</v>
      </c>
      <c r="U162" s="127">
        <v>1.5664615927611144E-9</v>
      </c>
      <c r="V162" s="127">
        <v>8.9160753580034425E-10</v>
      </c>
      <c r="W162" s="127">
        <v>3.0544666272614294E-10</v>
      </c>
      <c r="X162" s="128">
        <f t="shared" si="4"/>
        <v>9.1378083177198651E-10</v>
      </c>
      <c r="Y162" s="139">
        <f t="shared" si="5"/>
        <v>3.8660975329216758E-2</v>
      </c>
      <c r="AA162" s="73"/>
      <c r="AB162" s="176"/>
      <c r="AC162" s="176"/>
      <c r="AD162" s="176"/>
      <c r="AJ162" s="135"/>
    </row>
    <row r="163" spans="1:36" x14ac:dyDescent="0.35">
      <c r="I163" s="109">
        <v>3.8255714507099997E-2</v>
      </c>
      <c r="J163" s="49">
        <v>5.5384271034767435E-10</v>
      </c>
      <c r="K163" s="49">
        <v>9.9724546921460907E-11</v>
      </c>
      <c r="L163" s="153">
        <v>5.3911011421223455E-10</v>
      </c>
      <c r="M163" s="32"/>
      <c r="R163" s="60">
        <v>1264.8974994844348</v>
      </c>
      <c r="S163" s="57">
        <v>2.4299943522925583E-6</v>
      </c>
      <c r="U163" s="127">
        <v>1.2241068955741063E-9</v>
      </c>
      <c r="V163" s="127">
        <v>5.3911011421223455E-10</v>
      </c>
      <c r="W163" s="127">
        <v>1.559163016012729E-10</v>
      </c>
      <c r="X163" s="128">
        <f t="shared" si="4"/>
        <v>6.1456085639996212E-10</v>
      </c>
      <c r="Y163" s="139">
        <f t="shared" si="5"/>
        <v>0.37070877071489333</v>
      </c>
      <c r="AA163" s="73"/>
      <c r="AB163" s="176"/>
      <c r="AC163" s="176"/>
      <c r="AD163" s="176"/>
      <c r="AJ163" s="135"/>
    </row>
    <row r="164" spans="1:36" x14ac:dyDescent="0.35">
      <c r="I164" s="109">
        <v>3.8638271652100001E-2</v>
      </c>
      <c r="J164" s="49">
        <v>5.199315248871234E-10</v>
      </c>
      <c r="K164" s="49">
        <v>1.0017373252015752E-10</v>
      </c>
      <c r="L164" s="153">
        <v>2.7590456876216065E-10</v>
      </c>
      <c r="M164" s="32"/>
      <c r="R164" s="60">
        <v>1265.1247722117075</v>
      </c>
      <c r="S164" s="57">
        <v>2.4299943522925583E-6</v>
      </c>
      <c r="U164" s="127">
        <v>8.4812442212447362E-10</v>
      </c>
      <c r="V164" s="127">
        <v>2.7590456876216065E-10</v>
      </c>
      <c r="W164" s="127">
        <v>1.7154952505474803E-10</v>
      </c>
      <c r="X164" s="128">
        <f t="shared" si="4"/>
        <v>3.9287077117588576E-10</v>
      </c>
      <c r="Y164" s="139">
        <f t="shared" si="5"/>
        <v>1.6088484713915496</v>
      </c>
      <c r="AA164" s="73"/>
      <c r="AB164" s="176"/>
      <c r="AC164" s="176"/>
      <c r="AD164" s="176"/>
      <c r="AJ164" s="135"/>
    </row>
    <row r="165" spans="1:36" x14ac:dyDescent="0.35">
      <c r="I165" s="109">
        <v>3.90246543687E-2</v>
      </c>
      <c r="J165" s="49">
        <v>5.2380260607846869E-10</v>
      </c>
      <c r="K165" s="49">
        <v>1.0044622783999098E-10</v>
      </c>
      <c r="L165" s="153">
        <v>1.529125118533555E-10</v>
      </c>
      <c r="M165" s="32"/>
      <c r="R165" s="60">
        <v>1265.1247722117075</v>
      </c>
      <c r="S165" s="57">
        <v>2.5000403822831728E-6</v>
      </c>
      <c r="U165" s="127">
        <v>5.0518754828405232E-10</v>
      </c>
      <c r="V165" s="127">
        <v>1.529125118533555E-10</v>
      </c>
      <c r="W165" s="127">
        <v>3.5284460533678874E-10</v>
      </c>
      <c r="X165" s="128">
        <f t="shared" si="4"/>
        <v>2.9096429433188803E-10</v>
      </c>
      <c r="Y165" s="139">
        <f t="shared" si="5"/>
        <v>5.3733065691244812</v>
      </c>
      <c r="AA165" s="73"/>
      <c r="AB165" s="176"/>
      <c r="AC165" s="176"/>
      <c r="AD165" s="176"/>
      <c r="AJ165" s="135"/>
    </row>
    <row r="166" spans="1:36" x14ac:dyDescent="0.35">
      <c r="I166" s="109">
        <v>3.9414900912399999E-2</v>
      </c>
      <c r="J166" s="49">
        <v>6.3173498525187032E-10</v>
      </c>
      <c r="K166" s="49">
        <v>1.1339304561719344E-10</v>
      </c>
      <c r="L166" s="153">
        <v>1.9641443124411742E-10</v>
      </c>
      <c r="M166" s="32"/>
      <c r="R166" s="60">
        <v>1265.3991030104369</v>
      </c>
      <c r="S166" s="57">
        <v>2.5000403822831728E-6</v>
      </c>
      <c r="U166" s="127">
        <v>2.5859579064801125E-10</v>
      </c>
      <c r="V166" s="127">
        <v>1.9641443124411742E-10</v>
      </c>
      <c r="W166" s="127">
        <v>6.6769348872259639E-10</v>
      </c>
      <c r="X166" s="128">
        <f t="shared" si="4"/>
        <v>3.2977953546471061E-10</v>
      </c>
      <c r="Y166" s="139">
        <f t="shared" si="5"/>
        <v>7.0910884790016091</v>
      </c>
      <c r="AA166" s="73"/>
      <c r="AB166" s="176"/>
      <c r="AC166" s="176"/>
      <c r="AD166" s="176"/>
      <c r="AJ166" s="135"/>
    </row>
    <row r="167" spans="1:36" x14ac:dyDescent="0.35">
      <c r="I167" s="109">
        <v>3.98090499215E-2</v>
      </c>
      <c r="J167" s="49">
        <v>6.495537197046283E-10</v>
      </c>
      <c r="K167" s="49">
        <v>1.2016768266425633E-10</v>
      </c>
      <c r="L167" s="153">
        <v>4.0151408948580433E-10</v>
      </c>
      <c r="M167" s="32"/>
      <c r="R167" s="60">
        <v>1265.3991030104369</v>
      </c>
      <c r="S167" s="57">
        <v>2.5757225525322249E-6</v>
      </c>
      <c r="U167" s="127">
        <v>1.5620125874948023E-10</v>
      </c>
      <c r="V167" s="127">
        <v>4.0151408948580433E-10</v>
      </c>
      <c r="W167" s="127">
        <v>1.0560592107992994E-9</v>
      </c>
      <c r="X167" s="128">
        <f t="shared" si="4"/>
        <v>5.0382216213009712E-10</v>
      </c>
      <c r="Y167" s="139">
        <f t="shared" si="5"/>
        <v>1.47072623953974</v>
      </c>
      <c r="AA167" s="73"/>
      <c r="AB167" s="176"/>
      <c r="AC167" s="176"/>
      <c r="AD167" s="176"/>
      <c r="AJ167" s="135"/>
    </row>
    <row r="168" spans="1:36" x14ac:dyDescent="0.35">
      <c r="I168" s="109">
        <v>4.0207140420699998E-2</v>
      </c>
      <c r="J168" s="49">
        <v>1.0945707470420798E-9</v>
      </c>
      <c r="K168" s="49">
        <v>1.4825315191092848E-10</v>
      </c>
      <c r="L168" s="153">
        <v>7.3136231970951996E-10</v>
      </c>
      <c r="M168" s="32"/>
      <c r="R168" s="60">
        <v>1265.6781208360692</v>
      </c>
      <c r="S168" s="57">
        <v>2.5757225525322249E-6</v>
      </c>
      <c r="U168" s="127">
        <v>2.203710995458127E-10</v>
      </c>
      <c r="V168" s="127">
        <v>7.3136231970951996E-10</v>
      </c>
      <c r="W168" s="127">
        <v>1.4407845987853693E-9</v>
      </c>
      <c r="X168" s="128">
        <f t="shared" si="4"/>
        <v>7.8097008443755555E-10</v>
      </c>
      <c r="Y168" s="139">
        <f t="shared" si="5"/>
        <v>4.4745160734790552</v>
      </c>
      <c r="AA168" s="73"/>
      <c r="AB168" s="176"/>
      <c r="AC168" s="176"/>
      <c r="AD168" s="176"/>
      <c r="AJ168" s="135"/>
    </row>
    <row r="169" spans="1:36" x14ac:dyDescent="0.35">
      <c r="I169" s="109">
        <v>4.0609211824900002E-2</v>
      </c>
      <c r="J169" s="49">
        <v>1.3575378985133689E-9</v>
      </c>
      <c r="K169" s="49">
        <v>1.7730038698213835E-10</v>
      </c>
      <c r="L169" s="153">
        <v>1.1228351562927016E-9</v>
      </c>
      <c r="M169" s="32"/>
      <c r="R169" s="60">
        <v>1265.6781208360692</v>
      </c>
      <c r="S169" s="57">
        <v>2.6513899201141974E-6</v>
      </c>
      <c r="U169" s="127">
        <v>4.4219354691329308E-10</v>
      </c>
      <c r="V169" s="127">
        <v>1.1228351562927016E-9</v>
      </c>
      <c r="W169" s="127">
        <v>1.7427827120144511E-9</v>
      </c>
      <c r="X169" s="128">
        <f t="shared" si="4"/>
        <v>1.1076616428782868E-9</v>
      </c>
      <c r="Y169" s="139">
        <f t="shared" si="5"/>
        <v>1.9862349153157832</v>
      </c>
      <c r="AA169" s="73"/>
      <c r="AB169" s="176"/>
      <c r="AC169" s="176"/>
      <c r="AD169" s="176"/>
      <c r="AJ169" s="135"/>
    </row>
    <row r="170" spans="1:36" x14ac:dyDescent="0.35">
      <c r="I170" s="109">
        <v>4.1015303943099997E-2</v>
      </c>
      <c r="J170" s="49">
        <v>1.4256228704869143E-9</v>
      </c>
      <c r="K170" s="49">
        <v>1.7867804438308787E-10</v>
      </c>
      <c r="L170" s="153">
        <v>1.498061117883982E-9</v>
      </c>
      <c r="M170" s="32"/>
      <c r="R170" s="60">
        <v>1265.9670163189389</v>
      </c>
      <c r="S170" s="57">
        <v>2.6513899201141974E-6</v>
      </c>
      <c r="U170" s="127">
        <v>7.8150807931941228E-10</v>
      </c>
      <c r="V170" s="127">
        <v>1.498061117883982E-9</v>
      </c>
      <c r="W170" s="127">
        <v>1.8977267801351393E-9</v>
      </c>
      <c r="X170" s="128">
        <f t="shared" si="4"/>
        <v>1.4188392738056288E-9</v>
      </c>
      <c r="Y170" s="139">
        <f t="shared" si="5"/>
        <v>1.4413772300210072E-3</v>
      </c>
      <c r="AA170" s="73"/>
      <c r="AB170" s="176"/>
      <c r="AC170" s="176"/>
      <c r="AD170" s="176"/>
      <c r="AJ170" s="135"/>
    </row>
    <row r="171" spans="1:36" x14ac:dyDescent="0.35">
      <c r="I171" s="109">
        <v>4.1425456982600001E-2</v>
      </c>
      <c r="J171" s="49">
        <v>1.4108371281079558E-9</v>
      </c>
      <c r="K171" s="49">
        <v>1.8743948638319863E-10</v>
      </c>
      <c r="L171" s="153">
        <v>1.7798730918302139E-9</v>
      </c>
      <c r="M171" s="32"/>
      <c r="R171" s="60">
        <v>1265.9670163189389</v>
      </c>
      <c r="S171" s="57">
        <v>2.7269931385250332E-6</v>
      </c>
      <c r="U171" s="127">
        <v>1.1732904726062735E-9</v>
      </c>
      <c r="V171" s="127">
        <v>1.7798730918302139E-9</v>
      </c>
      <c r="W171" s="127">
        <v>1.8707259522243385E-9</v>
      </c>
      <c r="X171" s="128">
        <f t="shared" si="4"/>
        <v>1.65094065212276E-9</v>
      </c>
      <c r="Y171" s="139">
        <f t="shared" si="5"/>
        <v>1.6408727300116139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4.1839711552400002E-2</v>
      </c>
      <c r="J172" s="49">
        <v>1.7094390287643792E-9</v>
      </c>
      <c r="K172" s="49">
        <v>2.0986173610716663E-10</v>
      </c>
      <c r="L172" s="153">
        <v>1.908209361305186E-9</v>
      </c>
      <c r="M172" s="32"/>
      <c r="N172" s="18"/>
      <c r="O172" s="18"/>
      <c r="P172" s="30"/>
      <c r="Q172" s="65"/>
      <c r="R172" s="62">
        <v>1266.2721321786053</v>
      </c>
      <c r="S172" s="61">
        <v>2.7269931385250332E-6</v>
      </c>
      <c r="T172" s="75"/>
      <c r="U172" s="127">
        <v>1.5396313851030804E-9</v>
      </c>
      <c r="V172" s="127">
        <v>1.908209361305186E-9</v>
      </c>
      <c r="W172" s="127">
        <v>1.6655431357178646E-9</v>
      </c>
      <c r="X172" s="128">
        <f t="shared" si="4"/>
        <v>1.7553983108578292E-9</v>
      </c>
      <c r="Y172" s="139">
        <f t="shared" si="5"/>
        <v>4.796008562165989E-2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4.2258108667900002E-2</v>
      </c>
      <c r="J173" s="49">
        <v>1.4397566795933831E-9</v>
      </c>
      <c r="K173" s="49">
        <v>1.9459012101476423E-10</v>
      </c>
      <c r="L173" s="153">
        <v>1.8539666541749447E-9</v>
      </c>
      <c r="M173" s="32"/>
      <c r="R173" s="60">
        <v>1266.2721321786053</v>
      </c>
      <c r="S173" s="57">
        <v>2.802411166912967E-6</v>
      </c>
      <c r="U173" s="127">
        <v>1.8052694328621068E-9</v>
      </c>
      <c r="V173" s="127">
        <v>1.8539666541749447E-9</v>
      </c>
      <c r="W173" s="127">
        <v>1.3257657627435308E-9</v>
      </c>
      <c r="X173" s="128">
        <f t="shared" si="4"/>
        <v>1.7097421259888818E-9</v>
      </c>
      <c r="Y173" s="139">
        <f t="shared" si="5"/>
        <v>1.925037224357667</v>
      </c>
      <c r="AA173" s="73"/>
      <c r="AB173" s="176"/>
      <c r="AC173" s="176"/>
      <c r="AD173" s="176"/>
      <c r="AJ173" s="135"/>
    </row>
    <row r="174" spans="1:36" x14ac:dyDescent="0.35">
      <c r="I174" s="109">
        <v>4.2680689754600001E-2</v>
      </c>
      <c r="J174" s="49">
        <v>1.4371147191612256E-9</v>
      </c>
      <c r="K174" s="49">
        <v>8.3661384873415455E-11</v>
      </c>
      <c r="L174" s="153">
        <v>1.6269976840713901E-9</v>
      </c>
      <c r="M174" s="32"/>
      <c r="R174" s="60">
        <v>1266.6019870282928</v>
      </c>
      <c r="S174" s="57">
        <v>2.802411166912967E-6</v>
      </c>
      <c r="U174" s="127">
        <v>1.9136580160614077E-9</v>
      </c>
      <c r="V174" s="127">
        <v>1.6269976840713901E-9</v>
      </c>
      <c r="W174" s="127">
        <v>9.2690927943736028E-10</v>
      </c>
      <c r="X174" s="128">
        <f t="shared" si="4"/>
        <v>1.523640665910387E-9</v>
      </c>
      <c r="Y174" s="139">
        <f t="shared" si="5"/>
        <v>1.0696522801283956</v>
      </c>
      <c r="AA174" s="73"/>
      <c r="AB174" s="176"/>
      <c r="AC174" s="176"/>
      <c r="AD174" s="176"/>
      <c r="AJ174" s="135"/>
    </row>
    <row r="175" spans="1:36" x14ac:dyDescent="0.35">
      <c r="I175" s="109">
        <v>4.3107496652199997E-2</v>
      </c>
      <c r="J175" s="49">
        <v>1.4156901032863798E-9</v>
      </c>
      <c r="K175" s="49">
        <v>8.3574755019874165E-11</v>
      </c>
      <c r="L175" s="153">
        <v>1.275906570079751E-9</v>
      </c>
      <c r="M175" s="32"/>
      <c r="R175" s="60">
        <v>1266.6019870282928</v>
      </c>
      <c r="S175" s="57">
        <v>2.8773923806993435E-6</v>
      </c>
      <c r="U175" s="127">
        <v>1.8401092453971228E-9</v>
      </c>
      <c r="V175" s="127">
        <v>1.275906570079751E-9</v>
      </c>
      <c r="W175" s="127">
        <v>5.6046860799724802E-10</v>
      </c>
      <c r="X175" s="128">
        <f t="shared" si="4"/>
        <v>1.2380977483884681E-9</v>
      </c>
      <c r="Y175" s="139">
        <f t="shared" si="5"/>
        <v>4.5154216160270479</v>
      </c>
      <c r="AA175" s="73"/>
      <c r="AB175" s="176"/>
      <c r="AC175" s="176"/>
      <c r="AD175" s="176"/>
      <c r="AJ175" s="135"/>
    </row>
    <row r="176" spans="1:36" x14ac:dyDescent="0.35">
      <c r="I176" s="109">
        <v>4.3538571618699999E-2</v>
      </c>
      <c r="J176" s="49">
        <v>1.0495831783107716E-9</v>
      </c>
      <c r="K176" s="49">
        <v>6.7694500071143854E-11</v>
      </c>
      <c r="L176" s="153">
        <v>8.7893095124643191E-10</v>
      </c>
      <c r="M176" s="32"/>
      <c r="R176" s="60">
        <v>1266.9691684375493</v>
      </c>
      <c r="S176" s="57">
        <v>2.8773923806993435E-6</v>
      </c>
      <c r="U176" s="127">
        <v>1.5988353796720236E-9</v>
      </c>
      <c r="V176" s="127">
        <v>8.7893095124643191E-10</v>
      </c>
      <c r="W176" s="127">
        <v>3.1301514466354662E-10</v>
      </c>
      <c r="X176" s="128">
        <f t="shared" si="4"/>
        <v>9.1742810670710861E-10</v>
      </c>
      <c r="Y176" s="139">
        <f t="shared" si="5"/>
        <v>3.8111926135396712</v>
      </c>
      <c r="AA176" s="73"/>
      <c r="AB176" s="176"/>
      <c r="AC176" s="176"/>
      <c r="AD176" s="176"/>
      <c r="AJ176" s="135"/>
    </row>
    <row r="177" spans="9:36" x14ac:dyDescent="0.35">
      <c r="I177" s="109">
        <v>4.3973957334899998E-2</v>
      </c>
      <c r="J177" s="49">
        <v>6.9935465405537951E-10</v>
      </c>
      <c r="K177" s="49">
        <v>5.3599359635000887E-11</v>
      </c>
      <c r="L177" s="152">
        <v>5.2723645076899036E-10</v>
      </c>
      <c r="M177" s="33"/>
      <c r="R177" s="60">
        <v>1266.9691684375493</v>
      </c>
      <c r="S177" s="57">
        <v>2.9514457649592163E-6</v>
      </c>
      <c r="U177" s="127">
        <v>1.2417401826543683E-9</v>
      </c>
      <c r="V177" s="127">
        <v>5.2723645076899036E-10</v>
      </c>
      <c r="W177" s="127">
        <v>2.4503567278940736E-10</v>
      </c>
      <c r="X177" s="128">
        <f t="shared" si="4"/>
        <v>6.3531218924543911E-10</v>
      </c>
      <c r="Y177" s="139">
        <f t="shared" si="5"/>
        <v>1.4276339737827983</v>
      </c>
      <c r="AA177" s="73"/>
      <c r="AB177" s="176"/>
      <c r="AC177" s="176"/>
      <c r="AD177" s="176"/>
      <c r="AJ177" s="135"/>
    </row>
    <row r="178" spans="9:36" x14ac:dyDescent="0.35">
      <c r="I178" s="109">
        <v>4.4413696908199997E-2</v>
      </c>
      <c r="J178" s="49">
        <v>6.0601314574846322E-10</v>
      </c>
      <c r="K178" s="49">
        <v>5.2849681137897884E-11</v>
      </c>
      <c r="L178" s="152">
        <v>3.0395289363681244E-10</v>
      </c>
      <c r="M178" s="33"/>
      <c r="R178" s="60">
        <v>1267.3943902655681</v>
      </c>
      <c r="S178" s="57">
        <v>2.9514457649592163E-6</v>
      </c>
      <c r="U178" s="127">
        <v>8.4848304472634805E-10</v>
      </c>
      <c r="V178" s="127">
        <v>3.0395289363681244E-10</v>
      </c>
      <c r="W178" s="127">
        <v>3.7481018113396081E-10</v>
      </c>
      <c r="X178" s="128">
        <f t="shared" si="4"/>
        <v>4.5779975328348345E-10</v>
      </c>
      <c r="Y178" s="139">
        <f t="shared" si="5"/>
        <v>7.8648447319214077</v>
      </c>
      <c r="AA178" s="73"/>
      <c r="AB178" s="176"/>
      <c r="AC178" s="176"/>
      <c r="AD178" s="176"/>
      <c r="AJ178" s="135"/>
    </row>
    <row r="179" spans="9:36" x14ac:dyDescent="0.35">
      <c r="I179" s="109">
        <v>4.4857833877300003E-2</v>
      </c>
      <c r="J179" s="49">
        <v>4.5356643274170377E-10</v>
      </c>
      <c r="K179" s="49">
        <v>4.6024114741363283E-11</v>
      </c>
      <c r="L179" s="152">
        <v>2.6372743477089861E-10</v>
      </c>
      <c r="M179" s="33"/>
      <c r="R179" s="60">
        <v>1267.3943902655681</v>
      </c>
      <c r="S179" s="57">
        <v>3.0236206968941626E-6</v>
      </c>
      <c r="U179" s="127">
        <v>5.0935775676697878E-10</v>
      </c>
      <c r="V179" s="127">
        <v>2.6372743477089861E-10</v>
      </c>
      <c r="W179" s="127">
        <v>6.7189638918695836E-10</v>
      </c>
      <c r="X179" s="128">
        <f t="shared" si="4"/>
        <v>4.2717725387393359E-10</v>
      </c>
      <c r="Y179" s="139">
        <f t="shared" si="5"/>
        <v>0.328761434033079</v>
      </c>
      <c r="AA179" s="73"/>
      <c r="AB179" s="176"/>
      <c r="AC179" s="176"/>
      <c r="AD179" s="176"/>
      <c r="AJ179" s="135"/>
    </row>
    <row r="180" spans="9:36" x14ac:dyDescent="0.35">
      <c r="I180" s="109">
        <v>4.5306412216100003E-2</v>
      </c>
      <c r="J180" s="49">
        <v>6.6746739603525505E-10</v>
      </c>
      <c r="K180" s="49">
        <v>5.5428605438110433E-11</v>
      </c>
      <c r="L180" s="152">
        <v>4.1797365482382925E-10</v>
      </c>
      <c r="M180" s="33"/>
      <c r="R180" s="60">
        <v>1267.9169129754348</v>
      </c>
      <c r="S180" s="57">
        <v>3.0236206968941626E-6</v>
      </c>
      <c r="U180" s="127">
        <v>3.0445442632836741E-10</v>
      </c>
      <c r="V180" s="127">
        <v>4.1797365482382925E-10</v>
      </c>
      <c r="W180" s="127">
        <v>1.0627302103664472E-9</v>
      </c>
      <c r="X180" s="128">
        <f t="shared" si="4"/>
        <v>5.5078298658561827E-10</v>
      </c>
      <c r="Y180" s="139">
        <f t="shared" si="5"/>
        <v>4.4315715029091773</v>
      </c>
      <c r="AA180" s="73"/>
      <c r="AB180" s="176"/>
      <c r="AC180" s="176"/>
      <c r="AD180" s="176"/>
      <c r="AJ180" s="135"/>
    </row>
    <row r="181" spans="9:36" x14ac:dyDescent="0.35">
      <c r="I181" s="109">
        <v>4.5759476338200003E-2</v>
      </c>
      <c r="J181" s="49">
        <v>8.7455676670685968E-10</v>
      </c>
      <c r="K181" s="49">
        <v>6.5236059948887656E-11</v>
      </c>
      <c r="L181" s="152">
        <v>7.3007739564301599E-10</v>
      </c>
      <c r="M181" s="33"/>
      <c r="R181" s="60">
        <v>1267.9169129754348</v>
      </c>
      <c r="S181" s="57">
        <v>3.0920102541720052E-6</v>
      </c>
      <c r="U181" s="127">
        <v>2.8389254860685251E-10</v>
      </c>
      <c r="V181" s="127">
        <v>7.3007739564301599E-10</v>
      </c>
      <c r="W181" s="127">
        <v>1.4478575212787198E-9</v>
      </c>
      <c r="X181" s="128">
        <f t="shared" si="4"/>
        <v>7.979762152929011E-10</v>
      </c>
      <c r="Y181" s="139">
        <f t="shared" si="5"/>
        <v>1.3780390736746377</v>
      </c>
      <c r="AA181" s="73"/>
      <c r="AB181" s="176"/>
      <c r="AC181" s="176"/>
      <c r="AD181" s="176"/>
      <c r="AJ181" s="135"/>
    </row>
    <row r="182" spans="9:36" x14ac:dyDescent="0.35">
      <c r="I182" s="109">
        <v>4.6217071101599998E-2</v>
      </c>
      <c r="J182" s="49">
        <v>1.0626593606849312E-9</v>
      </c>
      <c r="K182" s="49">
        <v>7.2425808688674052E-11</v>
      </c>
      <c r="L182" s="152">
        <v>1.1226368162235157E-9</v>
      </c>
      <c r="M182" s="33"/>
      <c r="R182" s="60">
        <v>1268.6300901634584</v>
      </c>
      <c r="S182" s="57">
        <v>3.0920102541720052E-6</v>
      </c>
      <c r="U182" s="127">
        <v>4.5417045518560284E-10</v>
      </c>
      <c r="V182" s="127">
        <v>1.1226368162235157E-9</v>
      </c>
      <c r="W182" s="127">
        <v>1.7271069538306051E-9</v>
      </c>
      <c r="X182" s="128">
        <f t="shared" si="4"/>
        <v>1.1066377603658098E-9</v>
      </c>
      <c r="Y182" s="139">
        <f t="shared" si="5"/>
        <v>0.36871613056210695</v>
      </c>
      <c r="AA182" s="73"/>
      <c r="AB182" s="176"/>
      <c r="AC182" s="176"/>
      <c r="AD182" s="176"/>
      <c r="AJ182" s="135"/>
    </row>
    <row r="183" spans="9:36" x14ac:dyDescent="0.35">
      <c r="I183" s="109">
        <v>4.6679241812599997E-2</v>
      </c>
      <c r="J183" s="49">
        <v>1.253019895729377E-9</v>
      </c>
      <c r="K183" s="49">
        <v>7.8594677528534848E-11</v>
      </c>
      <c r="L183" s="152">
        <v>1.4958032826814533E-9</v>
      </c>
      <c r="M183" s="33"/>
      <c r="R183" s="60">
        <v>1268.6300901634584</v>
      </c>
      <c r="S183" s="57">
        <v>3.1524489597356358E-6</v>
      </c>
      <c r="U183" s="127">
        <v>7.7463150963694882E-10</v>
      </c>
      <c r="V183" s="127">
        <v>1.4958032826814533E-9</v>
      </c>
      <c r="W183" s="127">
        <v>1.826472555337905E-9</v>
      </c>
      <c r="X183" s="128">
        <f t="shared" si="4"/>
        <v>1.39817765758444E-9</v>
      </c>
      <c r="Y183" s="139">
        <f t="shared" si="5"/>
        <v>3.4110984484646467</v>
      </c>
      <c r="AA183" s="73"/>
      <c r="AB183" s="176"/>
      <c r="AC183" s="176"/>
      <c r="AD183" s="176"/>
      <c r="AJ183" s="135"/>
    </row>
    <row r="184" spans="9:36" x14ac:dyDescent="0.35">
      <c r="I184" s="109">
        <v>4.71460342308E-2</v>
      </c>
      <c r="J184" s="49">
        <v>1.6111269594277766E-9</v>
      </c>
      <c r="K184" s="49">
        <v>9.0897310191382402E-11</v>
      </c>
      <c r="L184" s="152">
        <v>1.7526902018449026E-9</v>
      </c>
      <c r="M184" s="33"/>
      <c r="R184" s="60">
        <v>1269.9116790388323</v>
      </c>
      <c r="S184" s="57">
        <v>3.1524489597356358E-6</v>
      </c>
      <c r="U184" s="127">
        <v>1.1657974335065483E-9</v>
      </c>
      <c r="V184" s="127">
        <v>1.7526902018449026E-9</v>
      </c>
      <c r="W184" s="127">
        <v>1.7193957429440724E-9</v>
      </c>
      <c r="X184" s="128">
        <f t="shared" si="4"/>
        <v>1.5976433950351064E-9</v>
      </c>
      <c r="Y184" s="139">
        <f t="shared" si="5"/>
        <v>2.2004290166245062E-2</v>
      </c>
      <c r="AA184" s="73"/>
      <c r="AB184" s="176"/>
      <c r="AC184" s="176"/>
      <c r="AD184" s="176"/>
      <c r="AJ184" s="135"/>
    </row>
    <row r="185" spans="9:36" x14ac:dyDescent="0.35">
      <c r="I185" s="109">
        <v>4.7617494573100001E-2</v>
      </c>
      <c r="J185" s="49">
        <v>1.5124812927729359E-9</v>
      </c>
      <c r="K185" s="49">
        <v>9.5675418531513088E-11</v>
      </c>
      <c r="L185" s="152">
        <v>1.8254878092275666E-9</v>
      </c>
      <c r="M185" s="33"/>
      <c r="R185" s="60">
        <v>1269.9116790388323</v>
      </c>
      <c r="S185" s="57">
        <v>3.1942273436063003E-6</v>
      </c>
      <c r="U185" s="127">
        <v>1.528326814564812E-9</v>
      </c>
      <c r="V185" s="127">
        <v>1.8254878092275666E-9</v>
      </c>
      <c r="W185" s="127">
        <v>1.4360084984114956E-9</v>
      </c>
      <c r="X185" s="128">
        <f t="shared" si="4"/>
        <v>1.6538277328578601E-9</v>
      </c>
      <c r="Y185" s="139">
        <f t="shared" si="5"/>
        <v>2.1825741562072443</v>
      </c>
      <c r="AA185" s="73"/>
      <c r="AB185" s="176"/>
      <c r="AC185" s="176"/>
      <c r="AD185" s="176"/>
      <c r="AJ185" s="135"/>
    </row>
    <row r="186" spans="9:36" x14ac:dyDescent="0.35">
      <c r="I186" s="109">
        <v>4.8093669518800002E-2</v>
      </c>
      <c r="J186" s="49">
        <v>1.4776117536186271E-9</v>
      </c>
      <c r="K186" s="49">
        <v>9.2498724509063975E-11</v>
      </c>
      <c r="L186" s="152">
        <v>1.6951131394748612E-9</v>
      </c>
      <c r="M186" s="33"/>
      <c r="R186" s="60">
        <v>1271.6327606269065</v>
      </c>
      <c r="S186" s="57">
        <v>3.1942273436063003E-6</v>
      </c>
      <c r="U186" s="127">
        <v>1.7683635733675435E-9</v>
      </c>
      <c r="V186" s="127">
        <v>1.6951131394748612E-9</v>
      </c>
      <c r="W186" s="127">
        <v>1.056735534358926E-9</v>
      </c>
      <c r="X186" s="128">
        <f t="shared" si="4"/>
        <v>1.5538313466690481E-9</v>
      </c>
      <c r="Y186" s="139">
        <f t="shared" si="5"/>
        <v>0.67898747482899391</v>
      </c>
      <c r="AA186" s="73"/>
      <c r="AB186" s="176"/>
      <c r="AC186" s="176"/>
      <c r="AD186" s="176"/>
      <c r="AJ186" s="135"/>
    </row>
    <row r="187" spans="9:36" x14ac:dyDescent="0.35">
      <c r="I187" s="109">
        <v>4.8574606213999998E-2</v>
      </c>
      <c r="J187" s="49">
        <v>1.2939509983430631E-9</v>
      </c>
      <c r="K187" s="49">
        <v>8.6404423227236874E-11</v>
      </c>
      <c r="L187" s="152">
        <v>1.3983590763287441E-9</v>
      </c>
      <c r="M187" s="33"/>
      <c r="R187" s="60">
        <v>1271.6327606269065</v>
      </c>
      <c r="S187" s="57">
        <v>3.1999999999999999E-6</v>
      </c>
      <c r="U187" s="127">
        <v>1.8228836282631338E-9</v>
      </c>
      <c r="V187" s="127">
        <v>1.3983590763287441E-9</v>
      </c>
      <c r="W187" s="127">
        <v>6.9089865937867392E-10</v>
      </c>
      <c r="X187" s="128">
        <f t="shared" si="4"/>
        <v>1.3276251100748241E-9</v>
      </c>
      <c r="Y187" s="139">
        <f t="shared" si="5"/>
        <v>0.15188690973198127</v>
      </c>
      <c r="AA187" s="73"/>
      <c r="AB187" s="176"/>
      <c r="AC187" s="176"/>
      <c r="AD187" s="176"/>
      <c r="AJ187" s="135"/>
    </row>
    <row r="188" spans="9:36" x14ac:dyDescent="0.35">
      <c r="I188" s="109">
        <v>4.9060352276099999E-2</v>
      </c>
      <c r="J188" s="49">
        <v>1.0906698112895629E-9</v>
      </c>
      <c r="K188" s="49">
        <v>7.8788024658255588E-11</v>
      </c>
      <c r="L188" s="152">
        <v>1.0195198979515021E-9</v>
      </c>
      <c r="M188" s="33"/>
      <c r="R188" s="60">
        <v>1299.8796288762724</v>
      </c>
      <c r="S188" s="57">
        <v>3.1999999999999999E-6</v>
      </c>
      <c r="U188" s="127">
        <v>1.6780376816781854E-9</v>
      </c>
      <c r="V188" s="127">
        <v>1.0195198979515021E-9</v>
      </c>
      <c r="W188" s="127">
        <v>4.4554561460720381E-10</v>
      </c>
      <c r="X188" s="128">
        <f t="shared" si="4"/>
        <v>1.0406557730470984E-9</v>
      </c>
      <c r="Y188" s="139">
        <f t="shared" si="5"/>
        <v>0.40296137463562653</v>
      </c>
      <c r="AA188" s="73"/>
      <c r="AB188" s="176"/>
      <c r="AC188" s="176"/>
      <c r="AD188" s="176"/>
      <c r="AJ188" s="135"/>
    </row>
    <row r="189" spans="9:36" x14ac:dyDescent="0.35">
      <c r="I189" s="109">
        <v>4.9550955798900002E-2</v>
      </c>
      <c r="J189" s="49">
        <v>9.0795602228480519E-10</v>
      </c>
      <c r="K189" s="49">
        <v>7.2944916580774523E-11</v>
      </c>
      <c r="L189" s="152">
        <v>6.6774231223539115E-10</v>
      </c>
      <c r="M189" s="33"/>
      <c r="R189" s="60">
        <v>1299.8796288762724</v>
      </c>
      <c r="S189" s="57">
        <v>3.1955019431909251E-6</v>
      </c>
      <c r="U189" s="127">
        <v>1.3747951521810347E-9</v>
      </c>
      <c r="V189" s="127">
        <v>6.6774231223539115E-10</v>
      </c>
      <c r="W189" s="127">
        <v>3.9325397025550246E-10</v>
      </c>
      <c r="X189" s="128">
        <f t="shared" si="4"/>
        <v>7.7588343672682991E-10</v>
      </c>
      <c r="Y189" s="139">
        <f t="shared" si="5"/>
        <v>3.2781988688482606</v>
      </c>
      <c r="AA189" s="73"/>
      <c r="AB189" s="176"/>
      <c r="AC189" s="176"/>
      <c r="AD189" s="176"/>
      <c r="AJ189" s="135"/>
    </row>
    <row r="190" spans="9:36" x14ac:dyDescent="0.35">
      <c r="I190" s="109">
        <v>5.0046465356900001E-2</v>
      </c>
      <c r="J190" s="49">
        <v>7.9768011216827526E-10</v>
      </c>
      <c r="K190" s="49">
        <v>7.0122557802950342E-11</v>
      </c>
      <c r="L190" s="152">
        <v>4.457693992883146E-10</v>
      </c>
      <c r="M190" s="33"/>
      <c r="R190" s="60">
        <v>1301.6007104643465</v>
      </c>
      <c r="S190" s="57">
        <v>3.1955019431909251E-6</v>
      </c>
      <c r="U190" s="127">
        <v>9.993006045769525E-10</v>
      </c>
      <c r="V190" s="127">
        <v>4.457693992883146E-10</v>
      </c>
      <c r="W190" s="127">
        <v>5.4883763318445938E-10</v>
      </c>
      <c r="X190" s="128">
        <f t="shared" si="4"/>
        <v>6.0991925908451032E-10</v>
      </c>
      <c r="Y190" s="139">
        <f t="shared" si="5"/>
        <v>7.1695946312670582</v>
      </c>
      <c r="AA190" s="73"/>
      <c r="AB190" s="176"/>
      <c r="AC190" s="176"/>
      <c r="AD190" s="176"/>
      <c r="AJ190" s="135"/>
    </row>
    <row r="191" spans="9:36" x14ac:dyDescent="0.35">
      <c r="I191" s="109">
        <v>5.0546930010399997E-2</v>
      </c>
      <c r="J191" s="49">
        <v>7.0707668857108586E-10</v>
      </c>
      <c r="K191" s="49">
        <v>6.4692044449056582E-11</v>
      </c>
      <c r="L191" s="152">
        <v>4.1894621742799412E-10</v>
      </c>
      <c r="M191" s="33"/>
      <c r="R191" s="60">
        <v>1301.6007104643465</v>
      </c>
      <c r="S191" s="57">
        <v>3.1629482051498618E-6</v>
      </c>
      <c r="U191" s="127">
        <v>6.5959736894263678E-10</v>
      </c>
      <c r="V191" s="127">
        <v>4.1894621742799412E-10</v>
      </c>
      <c r="W191" s="127">
        <v>8.6297349378813142E-10</v>
      </c>
      <c r="X191" s="128">
        <f t="shared" si="4"/>
        <v>5.9011582439668914E-10</v>
      </c>
      <c r="Y191" s="139">
        <f t="shared" si="5"/>
        <v>3.2687325243020138</v>
      </c>
      <c r="AA191" s="73"/>
      <c r="AB191" s="176"/>
      <c r="AC191" s="176"/>
      <c r="AD191" s="176"/>
      <c r="AJ191" s="135"/>
    </row>
    <row r="192" spans="9:36" x14ac:dyDescent="0.35">
      <c r="I192" s="109">
        <v>5.1052399310499999E-2</v>
      </c>
      <c r="J192" s="49">
        <v>7.3691233334746514E-10</v>
      </c>
      <c r="K192" s="49">
        <v>6.7395785976363448E-11</v>
      </c>
      <c r="L192" s="152">
        <v>5.9412424481909705E-10</v>
      </c>
      <c r="M192" s="33"/>
      <c r="R192" s="60">
        <v>1302.8822993397205</v>
      </c>
      <c r="S192" s="57">
        <v>3.1629482051498618E-6</v>
      </c>
      <c r="U192" s="127">
        <v>4.5463014488097433E-10</v>
      </c>
      <c r="V192" s="127">
        <v>5.9412424481909705E-10</v>
      </c>
      <c r="W192" s="127">
        <v>1.235985612923044E-9</v>
      </c>
      <c r="X192" s="128">
        <f t="shared" si="4"/>
        <v>7.1971606186055305E-10</v>
      </c>
      <c r="Y192" s="139">
        <f t="shared" si="5"/>
        <v>6.5103314693828546E-2</v>
      </c>
      <c r="AA192" s="73"/>
      <c r="AB192" s="176"/>
      <c r="AC192" s="176"/>
      <c r="AD192" s="176"/>
      <c r="AJ192" s="135"/>
    </row>
    <row r="193" spans="9:36" x14ac:dyDescent="0.35">
      <c r="I193" s="109">
        <v>5.1562923303600003E-2</v>
      </c>
      <c r="J193" s="49">
        <v>9.5095535342180523E-10</v>
      </c>
      <c r="K193" s="49">
        <v>8.3283897221060803E-11</v>
      </c>
      <c r="L193" s="152">
        <v>9.1583301871479236E-10</v>
      </c>
      <c r="M193" s="33"/>
      <c r="R193" s="60">
        <v>1302.8822993397205</v>
      </c>
      <c r="S193" s="57">
        <v>3.1158543349190191E-6</v>
      </c>
      <c r="U193" s="127">
        <v>4.4437687600295412E-10</v>
      </c>
      <c r="V193" s="127">
        <v>9.1583301871479236E-10</v>
      </c>
      <c r="W193" s="127">
        <v>1.5486367881240775E-9</v>
      </c>
      <c r="X193" s="128">
        <f t="shared" si="4"/>
        <v>9.5616992538915414E-10</v>
      </c>
      <c r="Y193" s="139">
        <f t="shared" si="5"/>
        <v>3.9202634379442792E-3</v>
      </c>
      <c r="AA193" s="73"/>
      <c r="AB193" s="176"/>
      <c r="AC193" s="176"/>
      <c r="AD193" s="176"/>
      <c r="AJ193" s="135"/>
    </row>
    <row r="194" spans="9:36" x14ac:dyDescent="0.35">
      <c r="I194" s="109">
        <v>5.2078552536699997E-2</v>
      </c>
      <c r="J194" s="49">
        <v>1.3988162176494747E-9</v>
      </c>
      <c r="K194" s="49">
        <v>1.0037300404230876E-10</v>
      </c>
      <c r="L194" s="152">
        <v>1.2821321164846544E-9</v>
      </c>
      <c r="M194" s="33"/>
      <c r="R194" s="60">
        <v>1303.595476527744</v>
      </c>
      <c r="S194" s="57">
        <v>3.1158543349190191E-6</v>
      </c>
      <c r="U194" s="127">
        <v>6.3043961723771928E-10</v>
      </c>
      <c r="V194" s="127">
        <v>1.2821321164846544E-9</v>
      </c>
      <c r="W194" s="127">
        <v>1.7007909456598187E-9</v>
      </c>
      <c r="X194" s="128">
        <f t="shared" si="4"/>
        <v>1.2238736989667118E-9</v>
      </c>
      <c r="Y194" s="139">
        <f t="shared" si="5"/>
        <v>3.0377841039953264</v>
      </c>
      <c r="AA194" s="73"/>
      <c r="AB194" s="176"/>
      <c r="AC194" s="176"/>
      <c r="AD194" s="176"/>
      <c r="AJ194" s="135"/>
    </row>
    <row r="195" spans="9:36" x14ac:dyDescent="0.35">
      <c r="I195" s="109">
        <v>5.2599338062100001E-2</v>
      </c>
      <c r="J195" s="49">
        <v>1.3086001287420572E-9</v>
      </c>
      <c r="K195" s="49">
        <v>9.4407660801118368E-11</v>
      </c>
      <c r="L195" s="152">
        <v>1.5762616609362986E-9</v>
      </c>
      <c r="M195" s="33"/>
      <c r="R195" s="60">
        <v>1303.595476527744</v>
      </c>
      <c r="S195" s="57">
        <v>3.0625651569733293E-6</v>
      </c>
      <c r="U195" s="127">
        <v>9.5393923445516914E-10</v>
      </c>
      <c r="V195" s="127">
        <v>1.5762616609362986E-9</v>
      </c>
      <c r="W195" s="127">
        <v>1.6453559164893682E-9</v>
      </c>
      <c r="X195" s="128">
        <f t="shared" ref="X195:X254" si="6">(U195+2*V195+W195)/4</f>
        <v>1.4379546182042836E-9</v>
      </c>
      <c r="Y195" s="139">
        <f t="shared" ref="Y195:Y254" si="7">(J195-X195)*(J195-X195)/(K195*K195)</f>
        <v>1.8773642284382135</v>
      </c>
      <c r="AA195" s="73"/>
      <c r="AB195" s="176"/>
      <c r="AC195" s="176"/>
      <c r="AD195" s="176"/>
      <c r="AJ195" s="135"/>
    </row>
    <row r="196" spans="9:36" x14ac:dyDescent="0.35">
      <c r="I196" s="109">
        <v>5.31253314427E-2</v>
      </c>
      <c r="J196" s="49">
        <v>1.6858854873098205E-9</v>
      </c>
      <c r="K196" s="49">
        <v>1.1179285851848475E-10</v>
      </c>
      <c r="L196" s="152">
        <v>1.7045802391497817E-9</v>
      </c>
      <c r="M196" s="33"/>
      <c r="R196" s="60">
        <v>1304.1179992376108</v>
      </c>
      <c r="S196" s="57">
        <v>3.0625651569733293E-6</v>
      </c>
      <c r="U196" s="127">
        <v>1.3125469870678065E-9</v>
      </c>
      <c r="V196" s="127">
        <v>1.7045802391497817E-9</v>
      </c>
      <c r="W196" s="127">
        <v>1.4055069824786033E-9</v>
      </c>
      <c r="X196" s="128">
        <f t="shared" si="6"/>
        <v>1.5318036119614934E-9</v>
      </c>
      <c r="Y196" s="139">
        <f t="shared" si="7"/>
        <v>1.8996561112393038</v>
      </c>
      <c r="AA196" s="73"/>
      <c r="AB196" s="176"/>
      <c r="AC196" s="176"/>
      <c r="AD196" s="176"/>
      <c r="AJ196" s="135"/>
    </row>
    <row r="197" spans="9:36" x14ac:dyDescent="0.35">
      <c r="I197" s="109">
        <v>5.3656584757100001E-2</v>
      </c>
      <c r="J197" s="49">
        <v>1.5854135111733918E-9</v>
      </c>
      <c r="K197" s="49">
        <v>1.1155778058321045E-10</v>
      </c>
      <c r="L197" s="152">
        <v>1.6283497896863484E-9</v>
      </c>
      <c r="M197" s="33"/>
      <c r="R197" s="60">
        <v>1304.1179992376108</v>
      </c>
      <c r="S197" s="57">
        <v>3.0063264131622834E-6</v>
      </c>
      <c r="U197" s="127">
        <v>1.5923322437741026E-9</v>
      </c>
      <c r="V197" s="127">
        <v>1.6283497896863484E-9</v>
      </c>
      <c r="W197" s="127">
        <v>1.068102820818713E-9</v>
      </c>
      <c r="X197" s="128">
        <f t="shared" si="6"/>
        <v>1.4792836609913781E-9</v>
      </c>
      <c r="Y197" s="139">
        <f t="shared" si="7"/>
        <v>0.90505583222974706</v>
      </c>
      <c r="AA197" s="73"/>
      <c r="AB197" s="176"/>
      <c r="AC197" s="176"/>
      <c r="AD197" s="176"/>
      <c r="AJ197" s="135"/>
    </row>
    <row r="198" spans="9:36" x14ac:dyDescent="0.35">
      <c r="I198" s="109">
        <v>5.4193150604700001E-2</v>
      </c>
      <c r="J198" s="49">
        <v>1.1869620972369081E-9</v>
      </c>
      <c r="K198" s="49">
        <v>9.4810136917969147E-11</v>
      </c>
      <c r="L198" s="152">
        <v>1.3780430543759838E-9</v>
      </c>
      <c r="M198" s="33"/>
      <c r="R198" s="60">
        <v>1304.5432210656295</v>
      </c>
      <c r="S198" s="57">
        <v>3.0063264131622834E-6</v>
      </c>
      <c r="U198" s="127">
        <v>1.7047857655175474E-9</v>
      </c>
      <c r="V198" s="127">
        <v>1.3780430543759838E-9</v>
      </c>
      <c r="W198" s="127">
        <v>7.541915054014463E-10</v>
      </c>
      <c r="X198" s="128">
        <f t="shared" si="6"/>
        <v>1.3037658449177401E-9</v>
      </c>
      <c r="Y198" s="139">
        <f t="shared" si="7"/>
        <v>1.5177631608157767</v>
      </c>
      <c r="AA198" s="73"/>
      <c r="AB198" s="176"/>
      <c r="AC198" s="176"/>
      <c r="AD198" s="176"/>
      <c r="AJ198" s="135"/>
    </row>
    <row r="199" spans="9:36" x14ac:dyDescent="0.35">
      <c r="I199" s="109">
        <v>5.4735082110700002E-2</v>
      </c>
      <c r="J199" s="49">
        <v>9.8685995224546162E-10</v>
      </c>
      <c r="K199" s="49">
        <v>8.7548669454664682E-11</v>
      </c>
      <c r="L199" s="152">
        <v>1.0440967151933904E-9</v>
      </c>
      <c r="M199" s="33"/>
      <c r="R199" s="60">
        <v>1304.5432210656295</v>
      </c>
      <c r="S199" s="57">
        <v>2.9486239783406521E-6</v>
      </c>
      <c r="U199" s="127">
        <v>1.6168342067402986E-9</v>
      </c>
      <c r="V199" s="127">
        <v>1.0440967151933904E-9</v>
      </c>
      <c r="W199" s="127">
        <v>5.7599357426133422E-10</v>
      </c>
      <c r="X199" s="128">
        <f t="shared" si="6"/>
        <v>1.0702553028471033E-9</v>
      </c>
      <c r="Y199" s="139">
        <f t="shared" si="7"/>
        <v>0.90737033655678923</v>
      </c>
      <c r="AA199" s="73"/>
      <c r="AB199" s="176"/>
      <c r="AC199" s="176"/>
      <c r="AD199" s="176"/>
      <c r="AJ199" s="135"/>
    </row>
    <row r="200" spans="9:36" x14ac:dyDescent="0.35">
      <c r="I200" s="109">
        <v>5.5282432931799998E-2</v>
      </c>
      <c r="J200" s="49">
        <v>7.9805238176004948E-10</v>
      </c>
      <c r="K200" s="49">
        <v>8.3523702670331598E-11</v>
      </c>
      <c r="L200" s="152">
        <v>7.4601570726719646E-10</v>
      </c>
      <c r="M200" s="33"/>
      <c r="R200" s="60">
        <v>1304.910402474886</v>
      </c>
      <c r="S200" s="57">
        <v>2.9486239783406521E-6</v>
      </c>
      <c r="U200" s="127">
        <v>1.3631095325024867E-9</v>
      </c>
      <c r="V200" s="127">
        <v>7.4601570726719646E-10</v>
      </c>
      <c r="W200" s="127">
        <v>5.9557596286695498E-10</v>
      </c>
      <c r="X200" s="128">
        <f t="shared" si="6"/>
        <v>8.626792274759586E-10</v>
      </c>
      <c r="Y200" s="139">
        <f t="shared" si="7"/>
        <v>0.59869611739133377</v>
      </c>
      <c r="AA200" s="73"/>
      <c r="AB200" s="176"/>
      <c r="AC200" s="176"/>
      <c r="AD200" s="176"/>
      <c r="AJ200" s="135"/>
    </row>
    <row r="201" spans="9:36" x14ac:dyDescent="0.35">
      <c r="I201" s="109">
        <v>5.5835257261100002E-2</v>
      </c>
      <c r="J201" s="49">
        <v>8.0882477001283687E-10</v>
      </c>
      <c r="K201" s="49">
        <v>8.6777551633634254E-11</v>
      </c>
      <c r="L201" s="152">
        <v>5.8983192872732703E-10</v>
      </c>
      <c r="M201" s="33"/>
      <c r="R201" s="60">
        <v>1304.910402474886</v>
      </c>
      <c r="S201" s="57">
        <v>2.8901985782782855E-6</v>
      </c>
      <c r="U201" s="127">
        <v>1.0351347695277722E-9</v>
      </c>
      <c r="V201" s="127">
        <v>5.8983192872732703E-10</v>
      </c>
      <c r="W201" s="127">
        <v>8.0098005854743757E-10</v>
      </c>
      <c r="X201" s="128">
        <f t="shared" si="6"/>
        <v>7.5394467138246593E-10</v>
      </c>
      <c r="Y201" s="139">
        <f t="shared" si="7"/>
        <v>0.39995854620266291</v>
      </c>
      <c r="AA201" s="73"/>
      <c r="AB201" s="176"/>
      <c r="AC201" s="176"/>
      <c r="AD201" s="176"/>
      <c r="AJ201" s="135"/>
    </row>
    <row r="202" spans="9:36" x14ac:dyDescent="0.35">
      <c r="I202" s="109">
        <v>5.6393609833799999E-2</v>
      </c>
      <c r="J202" s="49">
        <v>7.9121466678001285E-10</v>
      </c>
      <c r="K202" s="49">
        <v>8.5273545355120739E-11</v>
      </c>
      <c r="L202" s="152">
        <v>6.290669401763151E-10</v>
      </c>
      <c r="M202" s="33"/>
      <c r="R202" s="60">
        <v>1305.2402573245736</v>
      </c>
      <c r="S202" s="57">
        <v>2.8901985782782855E-6</v>
      </c>
      <c r="U202" s="127">
        <v>7.4995646817279706E-10</v>
      </c>
      <c r="V202" s="127">
        <v>6.290669401763151E-10</v>
      </c>
      <c r="W202" s="127">
        <v>1.1099627598636135E-9</v>
      </c>
      <c r="X202" s="128">
        <f t="shared" si="6"/>
        <v>7.7951327709726013E-10</v>
      </c>
      <c r="Y202" s="139">
        <f t="shared" si="7"/>
        <v>1.8829823350269875E-2</v>
      </c>
      <c r="AA202" s="73"/>
      <c r="AB202" s="176"/>
      <c r="AC202" s="176"/>
      <c r="AD202" s="176"/>
      <c r="AJ202" s="135"/>
    </row>
    <row r="203" spans="9:36" x14ac:dyDescent="0.35">
      <c r="I203" s="109">
        <v>5.69575459321E-2</v>
      </c>
      <c r="J203" s="49">
        <v>9.1451771727738613E-10</v>
      </c>
      <c r="K203" s="49">
        <v>9.4462496501439985E-11</v>
      </c>
      <c r="L203" s="152">
        <v>8.4416705204048167E-10</v>
      </c>
      <c r="M203" s="33"/>
      <c r="R203" s="60">
        <v>1305.2402573245736</v>
      </c>
      <c r="S203" s="57">
        <v>2.83143281205538E-6</v>
      </c>
      <c r="U203" s="127">
        <v>6.0848100546551748E-10</v>
      </c>
      <c r="V203" s="127">
        <v>8.4416705204048167E-10</v>
      </c>
      <c r="W203" s="127">
        <v>1.4012959713421878E-9</v>
      </c>
      <c r="X203" s="128">
        <f t="shared" si="6"/>
        <v>9.2452777022216717E-10</v>
      </c>
      <c r="Y203" s="139">
        <f t="shared" si="7"/>
        <v>1.1229331707034584E-2</v>
      </c>
      <c r="AA203" s="73"/>
      <c r="AB203" s="176"/>
      <c r="AC203" s="176"/>
      <c r="AD203" s="176"/>
      <c r="AJ203" s="135"/>
    </row>
    <row r="204" spans="9:36" x14ac:dyDescent="0.35">
      <c r="I204" s="109">
        <v>5.7527121391400003E-2</v>
      </c>
      <c r="J204" s="49">
        <v>1.0251942968747875E-9</v>
      </c>
      <c r="K204" s="49">
        <v>1.0155304848648343E-10</v>
      </c>
      <c r="L204" s="152">
        <v>1.1492943692847941E-9</v>
      </c>
      <c r="M204" s="33"/>
      <c r="R204" s="60">
        <v>1305.5453731842399</v>
      </c>
      <c r="S204" s="57">
        <v>2.83143281205538E-6</v>
      </c>
      <c r="U204" s="127">
        <v>6.5840248809112197E-10</v>
      </c>
      <c r="V204" s="127">
        <v>1.1492943692847941E-9</v>
      </c>
      <c r="W204" s="127">
        <v>1.5624410333332414E-9</v>
      </c>
      <c r="X204" s="128">
        <f t="shared" si="6"/>
        <v>1.1298580649984879E-9</v>
      </c>
      <c r="Y204" s="139">
        <f t="shared" si="7"/>
        <v>1.0622012366787383</v>
      </c>
      <c r="AA204" s="73"/>
      <c r="AB204" s="176"/>
      <c r="AC204" s="176"/>
      <c r="AD204" s="176"/>
      <c r="AJ204" s="135"/>
    </row>
    <row r="205" spans="9:36" x14ac:dyDescent="0.35">
      <c r="I205" s="109">
        <v>5.81023926053E-2</v>
      </c>
      <c r="J205" s="49">
        <v>1.3052333439323294E-9</v>
      </c>
      <c r="K205" s="49">
        <v>1.1956234287915872E-10</v>
      </c>
      <c r="L205" s="152">
        <v>1.4251496305153085E-9</v>
      </c>
      <c r="M205" s="33"/>
      <c r="R205" s="60">
        <v>1305.5453731842399</v>
      </c>
      <c r="S205" s="57">
        <v>2.7725227456720842E-6</v>
      </c>
      <c r="U205" s="127">
        <v>8.7596340978069884E-10</v>
      </c>
      <c r="V205" s="127">
        <v>1.4251496305153085E-9</v>
      </c>
      <c r="W205" s="127">
        <v>1.5349288608366277E-9</v>
      </c>
      <c r="X205" s="128">
        <f t="shared" si="6"/>
        <v>1.3152978829119858E-9</v>
      </c>
      <c r="Y205" s="139">
        <f t="shared" si="7"/>
        <v>7.0859639598113994E-3</v>
      </c>
      <c r="AA205" s="73"/>
      <c r="AB205" s="176"/>
      <c r="AC205" s="176"/>
      <c r="AD205" s="176"/>
      <c r="AJ205" s="135"/>
    </row>
    <row r="206" spans="9:36" x14ac:dyDescent="0.35">
      <c r="I206" s="109">
        <v>5.8683416531400003E-2</v>
      </c>
      <c r="J206" s="49">
        <v>1.3950125158501356E-9</v>
      </c>
      <c r="K206" s="49">
        <v>1.2608155888373862E-10</v>
      </c>
      <c r="L206" s="152">
        <v>1.5662758774106517E-9</v>
      </c>
      <c r="M206" s="33"/>
      <c r="R206" s="60">
        <v>1305.8342686671097</v>
      </c>
      <c r="S206" s="57">
        <v>2.7725227456720842E-6</v>
      </c>
      <c r="U206" s="127">
        <v>1.1746536709776587E-9</v>
      </c>
      <c r="V206" s="127">
        <v>1.5662758774106517E-9</v>
      </c>
      <c r="W206" s="127">
        <v>1.3384973200009597E-9</v>
      </c>
      <c r="X206" s="128">
        <f t="shared" si="6"/>
        <v>1.4114256864499805E-9</v>
      </c>
      <c r="Y206" s="139">
        <f t="shared" si="7"/>
        <v>1.694657069032433E-2</v>
      </c>
      <c r="AA206" s="73"/>
      <c r="AB206" s="176"/>
      <c r="AC206" s="176"/>
      <c r="AD206" s="176"/>
      <c r="AJ206" s="135"/>
    </row>
    <row r="207" spans="9:36" x14ac:dyDescent="0.35">
      <c r="I207" s="109">
        <v>5.92702506967E-2</v>
      </c>
      <c r="J207" s="49">
        <v>1.3623682775859978E-9</v>
      </c>
      <c r="K207" s="49">
        <v>1.2356417264639852E-10</v>
      </c>
      <c r="L207" s="152">
        <v>1.5220797805561245E-9</v>
      </c>
      <c r="M207" s="33"/>
      <c r="R207" s="60">
        <v>1305.8342686671097</v>
      </c>
      <c r="S207" s="57">
        <v>2.7135626942218889E-6</v>
      </c>
      <c r="U207" s="127">
        <v>1.4379677973014637E-9</v>
      </c>
      <c r="V207" s="127">
        <v>1.5220797805561245E-9</v>
      </c>
      <c r="W207" s="127">
        <v>1.062597657105015E-9</v>
      </c>
      <c r="X207" s="128">
        <f t="shared" si="6"/>
        <v>1.3861812538796819E-9</v>
      </c>
      <c r="Y207" s="139">
        <f t="shared" si="7"/>
        <v>3.7140028105041432E-2</v>
      </c>
      <c r="AA207" s="73"/>
      <c r="AB207" s="176"/>
      <c r="AC207" s="176"/>
      <c r="AD207" s="176"/>
      <c r="AJ207" s="135"/>
    </row>
    <row r="208" spans="9:36" x14ac:dyDescent="0.35">
      <c r="I208" s="109">
        <v>5.9862953203699998E-2</v>
      </c>
      <c r="J208" s="49">
        <v>1.3642378524361261E-9</v>
      </c>
      <c r="K208" s="49">
        <v>1.2184353183202023E-10</v>
      </c>
      <c r="L208" s="152">
        <v>1.319676726288956E-9</v>
      </c>
      <c r="M208" s="33"/>
      <c r="R208" s="60">
        <v>1306.113286492742</v>
      </c>
      <c r="S208" s="57">
        <v>2.7135626942218889E-6</v>
      </c>
      <c r="U208" s="127">
        <v>1.5654612579444838E-9</v>
      </c>
      <c r="V208" s="127">
        <v>1.319676726288956E-9</v>
      </c>
      <c r="W208" s="127">
        <v>8.2884441594280177E-10</v>
      </c>
      <c r="X208" s="128">
        <f t="shared" si="6"/>
        <v>1.2584147816162993E-9</v>
      </c>
      <c r="Y208" s="139">
        <f t="shared" si="7"/>
        <v>0.75432024080578719</v>
      </c>
      <c r="AA208" s="73"/>
      <c r="AB208" s="176"/>
      <c r="AC208" s="176"/>
      <c r="AD208" s="176"/>
      <c r="AJ208" s="135"/>
    </row>
    <row r="209" spans="9:36" x14ac:dyDescent="0.35">
      <c r="I209" s="109">
        <v>6.0461582735700001E-2</v>
      </c>
      <c r="J209" s="49">
        <v>9.0574957580683432E-10</v>
      </c>
      <c r="K209" s="49">
        <v>1.0861551452401176E-10</v>
      </c>
      <c r="L209" s="152">
        <v>1.0509975012483405E-9</v>
      </c>
      <c r="M209" s="33"/>
      <c r="R209" s="60">
        <v>1306.113286492742</v>
      </c>
      <c r="S209" s="57">
        <v>2.6545911085259481E-6</v>
      </c>
      <c r="U209" s="127">
        <v>1.5131519878100636E-9</v>
      </c>
      <c r="V209" s="127">
        <v>1.0509975012483405E-9</v>
      </c>
      <c r="W209" s="127">
        <v>7.3722254915048432E-10</v>
      </c>
      <c r="X209" s="128">
        <f t="shared" si="6"/>
        <v>1.0880923848643071E-9</v>
      </c>
      <c r="Y209" s="139">
        <f t="shared" si="7"/>
        <v>2.8183411016027886</v>
      </c>
      <c r="AA209" s="73"/>
      <c r="AB209" s="176"/>
      <c r="AC209" s="176"/>
      <c r="AD209" s="176"/>
      <c r="AJ209" s="135"/>
    </row>
    <row r="210" spans="9:36" x14ac:dyDescent="0.35">
      <c r="I210" s="109">
        <v>6.1066198563099999E-2</v>
      </c>
      <c r="J210" s="49">
        <v>7.8041909638593551E-10</v>
      </c>
      <c r="K210" s="49">
        <v>1.0148876776751418E-10</v>
      </c>
      <c r="L210" s="153">
        <v>8.336584740101682E-10</v>
      </c>
      <c r="M210" s="18"/>
      <c r="R210" s="60">
        <v>1306.3876172914713</v>
      </c>
      <c r="S210" s="57">
        <v>2.6545911085259481E-6</v>
      </c>
      <c r="U210" s="127">
        <v>1.311245085548887E-9</v>
      </c>
      <c r="V210" s="127">
        <v>8.336584740101682E-10</v>
      </c>
      <c r="W210" s="127">
        <v>8.2210752040022336E-10</v>
      </c>
      <c r="X210" s="128">
        <f t="shared" si="6"/>
        <v>9.5016738849236158E-10</v>
      </c>
      <c r="Y210" s="139">
        <f t="shared" si="7"/>
        <v>2.7975307423900171</v>
      </c>
      <c r="AA210" s="73"/>
      <c r="AB210" s="176"/>
      <c r="AC210" s="176"/>
      <c r="AD210" s="176"/>
      <c r="AJ210" s="135"/>
    </row>
    <row r="211" spans="9:36" x14ac:dyDescent="0.35">
      <c r="I211" s="49">
        <v>6.1676860548700002E-2</v>
      </c>
      <c r="J211" s="49">
        <v>7.0126311020019716E-10</v>
      </c>
      <c r="K211" s="49">
        <v>1.0520752989235205E-10</v>
      </c>
      <c r="L211" s="153">
        <v>7.5969164532261727E-10</v>
      </c>
      <c r="M211" s="18"/>
      <c r="R211" s="60">
        <v>1306.3876172914713</v>
      </c>
      <c r="S211" s="57">
        <v>2.595618237576437E-6</v>
      </c>
      <c r="U211" s="127">
        <v>1.0511671149313141E-9</v>
      </c>
      <c r="V211" s="127">
        <v>7.5969164532261727E-10</v>
      </c>
      <c r="W211" s="127">
        <v>1.037292971024778E-9</v>
      </c>
      <c r="X211" s="128">
        <f t="shared" si="6"/>
        <v>9.0196084415033165E-10</v>
      </c>
      <c r="Y211" s="139">
        <f t="shared" si="7"/>
        <v>3.6390773734310331</v>
      </c>
      <c r="AA211" s="73"/>
      <c r="AB211" s="176"/>
      <c r="AC211" s="176"/>
      <c r="AD211" s="176"/>
      <c r="AJ211" s="135"/>
    </row>
    <row r="212" spans="9:36" x14ac:dyDescent="0.35">
      <c r="I212" s="49">
        <v>6.2293629154200003E-2</v>
      </c>
      <c r="J212" s="49">
        <v>8.3019077828935024E-10</v>
      </c>
      <c r="K212" s="49">
        <v>1.0962963373115132E-10</v>
      </c>
      <c r="L212" s="153">
        <v>8.5502267739220947E-10</v>
      </c>
      <c r="M212" s="18"/>
      <c r="R212" s="60">
        <v>1306.6619480902007</v>
      </c>
      <c r="S212" s="57">
        <v>2.595618237576437E-6</v>
      </c>
      <c r="U212" s="127">
        <v>8.462598935967012E-10</v>
      </c>
      <c r="V212" s="127">
        <v>8.5502267739220947E-10</v>
      </c>
      <c r="W212" s="127">
        <v>1.2782277935089257E-9</v>
      </c>
      <c r="X212" s="128">
        <f t="shared" si="6"/>
        <v>9.5863326047251149E-10</v>
      </c>
      <c r="Y212" s="139">
        <f t="shared" si="7"/>
        <v>1.3726551801402425</v>
      </c>
      <c r="AA212" s="73"/>
      <c r="AB212" s="176"/>
      <c r="AC212" s="176"/>
      <c r="AD212" s="176"/>
      <c r="AJ212" s="135"/>
    </row>
    <row r="213" spans="9:36" x14ac:dyDescent="0.35">
      <c r="I213" s="49">
        <v>6.2916565445699998E-2</v>
      </c>
      <c r="J213" s="49">
        <v>1.1826301717555405E-9</v>
      </c>
      <c r="K213" s="49">
        <v>1.2973563299324766E-10</v>
      </c>
      <c r="L213" s="153">
        <v>1.0685555338364393E-9</v>
      </c>
      <c r="M213" s="18"/>
      <c r="R213" s="60">
        <v>1306.6619480902007</v>
      </c>
      <c r="S213" s="57">
        <v>2.5366466518804962E-6</v>
      </c>
      <c r="U213" s="127">
        <v>7.824583278362712E-10</v>
      </c>
      <c r="V213" s="127">
        <v>1.0685555338364393E-9</v>
      </c>
      <c r="W213" s="127">
        <v>1.4320386744382936E-9</v>
      </c>
      <c r="X213" s="128">
        <f t="shared" si="6"/>
        <v>1.0879020174868609E-9</v>
      </c>
      <c r="Y213" s="139">
        <f t="shared" si="7"/>
        <v>0.53313795338846071</v>
      </c>
      <c r="AA213" s="73"/>
      <c r="AB213" s="176"/>
      <c r="AC213" s="176"/>
      <c r="AD213" s="176"/>
      <c r="AJ213" s="135"/>
    </row>
    <row r="214" spans="9:36" x14ac:dyDescent="0.35">
      <c r="I214" s="49">
        <v>6.3545731100199995E-2</v>
      </c>
      <c r="J214" s="49">
        <v>1.2537135765775237E-9</v>
      </c>
      <c r="K214" s="49">
        <v>1.3883734126098711E-10</v>
      </c>
      <c r="L214" s="153">
        <v>1.2968384968666892E-9</v>
      </c>
      <c r="M214" s="18"/>
      <c r="R214" s="60">
        <v>1306.940965915833</v>
      </c>
      <c r="S214" s="57">
        <v>2.5366466518804962E-6</v>
      </c>
      <c r="U214" s="127">
        <v>8.8067418300372455E-10</v>
      </c>
      <c r="V214" s="127">
        <v>1.2968384968666892E-9</v>
      </c>
      <c r="W214" s="127">
        <v>1.4318834425602783E-9</v>
      </c>
      <c r="X214" s="128">
        <f t="shared" si="6"/>
        <v>1.2265586548243454E-9</v>
      </c>
      <c r="Y214" s="139">
        <f t="shared" si="7"/>
        <v>3.8254676593184676E-2</v>
      </c>
      <c r="AA214" s="73"/>
      <c r="AB214" s="176"/>
      <c r="AC214" s="176"/>
      <c r="AD214" s="176"/>
      <c r="AJ214" s="135"/>
    </row>
    <row r="215" spans="9:36" x14ac:dyDescent="0.35">
      <c r="I215" s="49">
        <v>6.4181188411200005E-2</v>
      </c>
      <c r="J215" s="49">
        <v>1.1582445307140865E-9</v>
      </c>
      <c r="K215" s="49">
        <v>1.351889444621078E-10</v>
      </c>
      <c r="L215" s="153">
        <v>1.433583949660688E-9</v>
      </c>
      <c r="M215" s="18"/>
      <c r="R215" s="60">
        <v>1306.940965915833</v>
      </c>
      <c r="S215" s="57">
        <v>2.4776866004303009E-6</v>
      </c>
      <c r="U215" s="127">
        <v>1.0883712088141994E-9</v>
      </c>
      <c r="V215" s="127">
        <v>1.433583949660688E-9</v>
      </c>
      <c r="W215" s="127">
        <v>1.2888752906697552E-9</v>
      </c>
      <c r="X215" s="128">
        <f t="shared" si="6"/>
        <v>1.3111035997013326E-9</v>
      </c>
      <c r="Y215" s="139">
        <f t="shared" si="7"/>
        <v>1.2784980381750592</v>
      </c>
      <c r="AA215" s="73"/>
      <c r="AB215" s="176"/>
      <c r="AC215" s="176"/>
      <c r="AD215" s="176"/>
      <c r="AJ215" s="135"/>
    </row>
    <row r="216" spans="9:36" x14ac:dyDescent="0.35">
      <c r="I216" s="49">
        <v>6.4823000295299998E-2</v>
      </c>
      <c r="J216" s="49">
        <v>1.4250464405055997E-9</v>
      </c>
      <c r="K216" s="49">
        <v>1.4901658742541518E-10</v>
      </c>
      <c r="L216" s="153">
        <v>1.4206956864707788E-9</v>
      </c>
      <c r="M216" s="18"/>
      <c r="R216" s="60">
        <v>1307.2298613987027</v>
      </c>
      <c r="S216" s="57">
        <v>2.4776866004303009E-6</v>
      </c>
      <c r="U216" s="127">
        <v>1.305029541370002E-9</v>
      </c>
      <c r="V216" s="127">
        <v>1.4206956864707788E-9</v>
      </c>
      <c r="W216" s="127">
        <v>1.0849138521467032E-9</v>
      </c>
      <c r="X216" s="128">
        <f t="shared" si="6"/>
        <v>1.3078336916145657E-9</v>
      </c>
      <c r="Y216" s="139">
        <f t="shared" si="7"/>
        <v>0.61870051182742136</v>
      </c>
      <c r="AA216" s="73"/>
      <c r="AB216" s="176"/>
      <c r="AC216" s="176"/>
      <c r="AD216" s="176"/>
      <c r="AJ216" s="135"/>
    </row>
    <row r="217" spans="9:36" x14ac:dyDescent="0.35">
      <c r="I217" s="49">
        <v>6.5471230298199998E-2</v>
      </c>
      <c r="J217" s="49">
        <v>1.1066615842137348E-9</v>
      </c>
      <c r="K217" s="49">
        <v>1.3443545430201838E-10</v>
      </c>
      <c r="L217" s="153">
        <v>1.2756382722054607E-9</v>
      </c>
      <c r="M217" s="18"/>
      <c r="R217" s="60">
        <v>1307.2298613987027</v>
      </c>
      <c r="S217" s="57">
        <v>2.4187765340470051E-6</v>
      </c>
      <c r="U217" s="127">
        <v>1.4302590356943262E-9</v>
      </c>
      <c r="V217" s="127">
        <v>1.2756382722054607E-9</v>
      </c>
      <c r="W217" s="127">
        <v>9.2920469445956773E-10</v>
      </c>
      <c r="X217" s="128">
        <f t="shared" si="6"/>
        <v>1.2276850686412037E-9</v>
      </c>
      <c r="Y217" s="139">
        <f t="shared" si="7"/>
        <v>0.81042283054559383</v>
      </c>
      <c r="AA217" s="73"/>
      <c r="AB217" s="176"/>
      <c r="AC217" s="176"/>
      <c r="AD217" s="176"/>
      <c r="AJ217" s="135"/>
    </row>
    <row r="218" spans="9:36" x14ac:dyDescent="0.35">
      <c r="I218" s="49">
        <v>6.61259426012E-2</v>
      </c>
      <c r="J218" s="49">
        <v>1.2408915815473663E-9</v>
      </c>
      <c r="K218" s="49">
        <v>1.4902053250734259E-10</v>
      </c>
      <c r="L218" s="153">
        <v>1.0808515752337537E-9</v>
      </c>
      <c r="M218" s="18"/>
      <c r="R218" s="60">
        <v>1307.5349772583691</v>
      </c>
      <c r="S218" s="57">
        <v>2.4187765340470051E-6</v>
      </c>
      <c r="U218" s="127">
        <v>1.4118124639719719E-9</v>
      </c>
      <c r="V218" s="127">
        <v>1.0808515752337537E-9</v>
      </c>
      <c r="W218" s="127">
        <v>9.0053726787653008E-10</v>
      </c>
      <c r="X218" s="128">
        <f t="shared" si="6"/>
        <v>1.1185132205790024E-9</v>
      </c>
      <c r="Y218" s="139">
        <f t="shared" si="7"/>
        <v>0.67439919423800332</v>
      </c>
      <c r="AA218" s="73"/>
      <c r="AB218" s="176"/>
      <c r="AC218" s="176"/>
      <c r="AD218" s="176"/>
      <c r="AJ218" s="135"/>
    </row>
    <row r="219" spans="9:36" x14ac:dyDescent="0.35">
      <c r="I219" s="49">
        <v>6.6787202027199996E-2</v>
      </c>
      <c r="J219" s="49">
        <v>6.9325549886516264E-10</v>
      </c>
      <c r="K219" s="49">
        <v>1.1775935277804102E-10</v>
      </c>
      <c r="L219" s="153">
        <v>9.3991383012299247E-10</v>
      </c>
      <c r="M219" s="18"/>
      <c r="R219" s="60">
        <v>1307.5349772583691</v>
      </c>
      <c r="S219" s="57">
        <v>2.3600107678240996E-6</v>
      </c>
      <c r="U219" s="127">
        <v>1.2698348020592194E-9</v>
      </c>
      <c r="V219" s="127">
        <v>9.3991383012299247E-10</v>
      </c>
      <c r="W219" s="127">
        <v>1.0060209647060269E-9</v>
      </c>
      <c r="X219" s="128">
        <f t="shared" si="6"/>
        <v>1.0389208567528079E-9</v>
      </c>
      <c r="Y219" s="139">
        <f t="shared" si="7"/>
        <v>8.6163016432749728</v>
      </c>
      <c r="AA219" s="73"/>
      <c r="AB219" s="176"/>
      <c r="AC219" s="176"/>
      <c r="AD219" s="176"/>
      <c r="AJ219" s="135"/>
    </row>
    <row r="220" spans="9:36" x14ac:dyDescent="0.35">
      <c r="I220" s="49">
        <v>6.7455074047499994E-2</v>
      </c>
      <c r="J220" s="49">
        <v>6.6039050641954833E-10</v>
      </c>
      <c r="K220" s="49">
        <v>1.2339043253141954E-10</v>
      </c>
      <c r="L220" s="153">
        <v>9.2288517997395336E-10</v>
      </c>
      <c r="M220" s="18"/>
      <c r="R220" s="60">
        <v>1307.8648321080566</v>
      </c>
      <c r="S220" s="57">
        <v>2.3600107678240996E-6</v>
      </c>
      <c r="U220" s="127">
        <v>1.0847368398481616E-9</v>
      </c>
      <c r="V220" s="127">
        <v>9.2288517997395336E-10</v>
      </c>
      <c r="W220" s="127">
        <v>1.1792074395509155E-9</v>
      </c>
      <c r="X220" s="128">
        <f t="shared" si="6"/>
        <v>1.027428659836746E-9</v>
      </c>
      <c r="Y220" s="139">
        <f t="shared" si="7"/>
        <v>8.8482920635099784</v>
      </c>
      <c r="AA220" s="73"/>
      <c r="AB220" s="176"/>
      <c r="AC220" s="176"/>
      <c r="AD220" s="176"/>
      <c r="AJ220" s="135"/>
    </row>
    <row r="221" spans="9:36" x14ac:dyDescent="0.35">
      <c r="I221" s="49">
        <v>6.8129624787999998E-2</v>
      </c>
      <c r="J221" s="49">
        <v>9.0949851249646655E-10</v>
      </c>
      <c r="K221" s="49">
        <v>1.3989408034505617E-10</v>
      </c>
      <c r="L221" s="153">
        <v>1.0299748598229842E-9</v>
      </c>
      <c r="M221" s="18"/>
      <c r="R221" s="60">
        <v>1307.8648321080566</v>
      </c>
      <c r="S221" s="57">
        <v>2.301585367761733E-6</v>
      </c>
      <c r="U221" s="127">
        <v>9.5435235110125041E-10</v>
      </c>
      <c r="V221" s="127">
        <v>1.0299748598229842E-9</v>
      </c>
      <c r="W221" s="127">
        <v>1.3193267722084977E-9</v>
      </c>
      <c r="X221" s="128">
        <f t="shared" si="6"/>
        <v>1.0834072107389292E-9</v>
      </c>
      <c r="Y221" s="139">
        <f t="shared" si="7"/>
        <v>1.5454107658921092</v>
      </c>
      <c r="AA221" s="73"/>
      <c r="AB221" s="176"/>
      <c r="AC221" s="176"/>
      <c r="AD221" s="176"/>
      <c r="AJ221" s="135"/>
    </row>
    <row r="222" spans="9:36" x14ac:dyDescent="0.35">
      <c r="I222" s="49">
        <v>6.8810921035900002E-2</v>
      </c>
      <c r="J222" s="49">
        <v>1.1943435408770156E-9</v>
      </c>
      <c r="K222" s="49">
        <v>1.5363638252324557E-10</v>
      </c>
      <c r="L222" s="153">
        <v>1.1937030603175882E-9</v>
      </c>
      <c r="M222" s="18"/>
      <c r="R222" s="60">
        <v>1308.2320135173131</v>
      </c>
      <c r="S222" s="57">
        <v>2.301585367761733E-6</v>
      </c>
      <c r="U222" s="127">
        <v>9.424196552081432E-10</v>
      </c>
      <c r="V222" s="127">
        <v>1.1937030603175882E-9</v>
      </c>
      <c r="W222" s="127">
        <v>1.3498502387244936E-9</v>
      </c>
      <c r="X222" s="128">
        <f t="shared" si="6"/>
        <v>1.1699190036419533E-9</v>
      </c>
      <c r="Y222" s="139">
        <f t="shared" si="7"/>
        <v>2.5273450708799283E-2</v>
      </c>
      <c r="AA222" s="73"/>
      <c r="AB222" s="176"/>
      <c r="AC222" s="176"/>
      <c r="AD222" s="176"/>
      <c r="AJ222" s="135"/>
    </row>
    <row r="223" spans="9:36" x14ac:dyDescent="0.35">
      <c r="I223" s="49">
        <v>6.9499030246199994E-2</v>
      </c>
      <c r="J223" s="49">
        <v>9.2409625718821368E-10</v>
      </c>
      <c r="K223" s="49">
        <v>1.386804572622062E-10</v>
      </c>
      <c r="L223" s="153">
        <v>1.3188456700138325E-9</v>
      </c>
      <c r="M223" s="18"/>
      <c r="R223" s="60">
        <v>1308.2320135173131</v>
      </c>
      <c r="S223" s="57">
        <v>2.2438829329401017E-6</v>
      </c>
      <c r="U223" s="127">
        <v>1.0458721711641088E-9</v>
      </c>
      <c r="V223" s="127">
        <v>1.3188456700138325E-9</v>
      </c>
      <c r="W223" s="127">
        <v>1.2624392013801523E-9</v>
      </c>
      <c r="X223" s="128">
        <f t="shared" si="6"/>
        <v>1.2365006781429815E-9</v>
      </c>
      <c r="Y223" s="139">
        <f t="shared" si="7"/>
        <v>5.07462333658665</v>
      </c>
      <c r="AA223" s="73"/>
      <c r="AB223" s="176"/>
      <c r="AC223" s="176"/>
      <c r="AD223" s="176"/>
      <c r="AJ223" s="135"/>
    </row>
    <row r="224" spans="9:36" x14ac:dyDescent="0.35">
      <c r="I224" s="49">
        <v>7.0194020548699998E-2</v>
      </c>
      <c r="J224" s="49">
        <v>1.3120407335778609E-9</v>
      </c>
      <c r="K224" s="49">
        <v>1.6755207334247617E-10</v>
      </c>
      <c r="L224" s="153">
        <v>1.3377576397754684E-9</v>
      </c>
      <c r="M224" s="18"/>
      <c r="R224" s="60">
        <v>1308.6572353453319</v>
      </c>
      <c r="S224" s="57">
        <v>2.2438829329401017E-6</v>
      </c>
      <c r="U224" s="127">
        <v>1.1990200677660504E-9</v>
      </c>
      <c r="V224" s="127">
        <v>1.3377576397754684E-9</v>
      </c>
      <c r="W224" s="127">
        <v>1.1197987063213976E-9</v>
      </c>
      <c r="X224" s="128">
        <f t="shared" si="6"/>
        <v>1.2485835134095963E-9</v>
      </c>
      <c r="Y224" s="139">
        <f t="shared" si="7"/>
        <v>0.1434374229773048</v>
      </c>
      <c r="AA224" s="73"/>
      <c r="AB224" s="176"/>
      <c r="AC224" s="176"/>
      <c r="AD224" s="176"/>
      <c r="AJ224" s="135"/>
    </row>
    <row r="225" spans="9:36" x14ac:dyDescent="0.35">
      <c r="I225" s="49">
        <v>7.0895960754200002E-2</v>
      </c>
      <c r="J225" s="49">
        <v>1.2264718232961202E-9</v>
      </c>
      <c r="K225" s="49">
        <v>1.6035684664146934E-10</v>
      </c>
      <c r="L225" s="153">
        <v>1.2488968678734975E-9</v>
      </c>
      <c r="M225" s="18"/>
      <c r="R225" s="60">
        <v>1308.6572353453319</v>
      </c>
      <c r="S225" s="57">
        <v>2.1876441891290558E-6</v>
      </c>
      <c r="U225" s="127">
        <v>1.3125953083409693E-9</v>
      </c>
      <c r="V225" s="127">
        <v>1.2488968678734975E-9</v>
      </c>
      <c r="W225" s="127">
        <v>1.0150710289084176E-9</v>
      </c>
      <c r="X225" s="128">
        <f t="shared" si="6"/>
        <v>1.2063650182490956E-9</v>
      </c>
      <c r="Y225" s="139">
        <f t="shared" si="7"/>
        <v>1.5722120455844982E-2</v>
      </c>
      <c r="AA225" s="73"/>
      <c r="AB225" s="176"/>
      <c r="AC225" s="176"/>
      <c r="AD225" s="176"/>
      <c r="AJ225" s="135"/>
    </row>
    <row r="226" spans="9:36" x14ac:dyDescent="0.35">
      <c r="I226" s="49">
        <v>7.1604920361700006E-2</v>
      </c>
      <c r="J226" s="49">
        <v>1.0065613087784994E-9</v>
      </c>
      <c r="K226" s="49">
        <v>1.5899456917791565E-10</v>
      </c>
      <c r="L226" s="153">
        <v>1.1153390454650376E-9</v>
      </c>
      <c r="M226" s="18"/>
      <c r="R226" s="60">
        <v>1309.1797580551986</v>
      </c>
      <c r="S226" s="57">
        <v>2.1876441891290558E-6</v>
      </c>
      <c r="U226" s="127">
        <v>1.32559717481332E-9</v>
      </c>
      <c r="V226" s="127">
        <v>1.1153390454650376E-9</v>
      </c>
      <c r="W226" s="127">
        <v>1.0124609538574856E-9</v>
      </c>
      <c r="X226" s="128">
        <f t="shared" si="6"/>
        <v>1.1421840549002201E-9</v>
      </c>
      <c r="Y226" s="139">
        <f t="shared" si="7"/>
        <v>0.72761306249479107</v>
      </c>
      <c r="AA226" s="73"/>
      <c r="AB226" s="176"/>
      <c r="AC226" s="176"/>
      <c r="AD226" s="176"/>
      <c r="AJ226" s="135"/>
    </row>
    <row r="227" spans="9:36" x14ac:dyDescent="0.35">
      <c r="I227" s="49">
        <v>7.23209695653E-2</v>
      </c>
      <c r="J227" s="49">
        <v>9.4758791054956725E-10</v>
      </c>
      <c r="K227" s="49">
        <v>1.5209557103212817E-10</v>
      </c>
      <c r="L227" s="153">
        <v>1.0237619648445762E-9</v>
      </c>
      <c r="M227" s="18"/>
      <c r="R227" s="60">
        <v>1309.1797580551986</v>
      </c>
      <c r="S227" s="57">
        <v>2.1343550111833659E-6</v>
      </c>
      <c r="U227" s="127">
        <v>1.2397260141574741E-9</v>
      </c>
      <c r="V227" s="127">
        <v>1.0237619648445762E-9</v>
      </c>
      <c r="W227" s="127">
        <v>1.10672640975021E-9</v>
      </c>
      <c r="X227" s="128">
        <f t="shared" si="6"/>
        <v>1.0984940883992093E-9</v>
      </c>
      <c r="Y227" s="139">
        <f t="shared" si="7"/>
        <v>0.98442107650659061</v>
      </c>
      <c r="AA227" s="73"/>
      <c r="AB227" s="176"/>
      <c r="AC227" s="176"/>
      <c r="AD227" s="176"/>
      <c r="AJ227" s="135"/>
    </row>
    <row r="228" spans="9:36" x14ac:dyDescent="0.35">
      <c r="I228" s="49">
        <v>7.3044179261E-2</v>
      </c>
      <c r="J228" s="49">
        <v>9.0775376151490436E-10</v>
      </c>
      <c r="K228" s="49">
        <v>1.4743534138331498E-10</v>
      </c>
      <c r="L228" s="153">
        <v>1.0291107669157298E-9</v>
      </c>
      <c r="M228" s="18"/>
      <c r="R228" s="60">
        <v>1309.8929352432222</v>
      </c>
      <c r="S228" s="57">
        <v>2.1343550111833659E-6</v>
      </c>
      <c r="U228" s="127">
        <v>1.1157244767609405E-9</v>
      </c>
      <c r="V228" s="127">
        <v>1.0291107669157298E-9</v>
      </c>
      <c r="W228" s="127">
        <v>1.228354896678848E-9</v>
      </c>
      <c r="X228" s="128">
        <f t="shared" si="6"/>
        <v>1.1005752268178122E-9</v>
      </c>
      <c r="Y228" s="139">
        <f t="shared" si="7"/>
        <v>1.7104388734755964</v>
      </c>
      <c r="AA228" s="73"/>
      <c r="AB228" s="176"/>
      <c r="AC228" s="176"/>
      <c r="AD228" s="176"/>
      <c r="AJ228" s="135"/>
    </row>
    <row r="229" spans="9:36" x14ac:dyDescent="0.35">
      <c r="I229" s="49">
        <v>7.3774621053599998E-2</v>
      </c>
      <c r="J229" s="49">
        <v>8.5589980315385578E-10</v>
      </c>
      <c r="K229" s="49">
        <v>1.5017687807283427E-10</v>
      </c>
      <c r="L229" s="153">
        <v>1.1201877020127423E-9</v>
      </c>
      <c r="M229" s="18"/>
      <c r="R229" s="60">
        <v>1309.8929352432222</v>
      </c>
      <c r="S229" s="57">
        <v>2.0872611409525232E-6</v>
      </c>
      <c r="U229" s="127">
        <v>1.0336377141449207E-9</v>
      </c>
      <c r="V229" s="127">
        <v>1.1201877020127423E-9</v>
      </c>
      <c r="W229" s="127">
        <v>1.2918778557033365E-9</v>
      </c>
      <c r="X229" s="128">
        <f t="shared" si="6"/>
        <v>1.1414727434684355E-9</v>
      </c>
      <c r="Y229" s="139">
        <f t="shared" si="7"/>
        <v>3.6159961768821356</v>
      </c>
      <c r="AA229" s="73"/>
      <c r="AB229" s="176"/>
      <c r="AC229" s="176"/>
      <c r="AD229" s="176"/>
      <c r="AJ229" s="135"/>
    </row>
    <row r="230" spans="9:36" x14ac:dyDescent="0.35">
      <c r="I230" s="49">
        <v>7.4512367264100002E-2</v>
      </c>
      <c r="J230" s="49">
        <v>1.2349690519355801E-9</v>
      </c>
      <c r="K230" s="49">
        <v>1.7442737002892108E-10</v>
      </c>
      <c r="L230" s="153">
        <v>1.2289982860495143E-9</v>
      </c>
      <c r="M230" s="27"/>
      <c r="R230" s="60">
        <v>1311.1745241185961</v>
      </c>
      <c r="S230" s="57">
        <v>2.0872611409525232E-6</v>
      </c>
      <c r="U230" s="127">
        <v>1.0416301141308952E-9</v>
      </c>
      <c r="V230" s="127">
        <v>1.2289982860495143E-9</v>
      </c>
      <c r="W230" s="127">
        <v>1.2552621505871999E-9</v>
      </c>
      <c r="X230" s="128">
        <f t="shared" si="6"/>
        <v>1.1887222092042809E-9</v>
      </c>
      <c r="Y230" s="139">
        <f t="shared" si="7"/>
        <v>7.0296695842846826E-2</v>
      </c>
      <c r="AA230" s="73"/>
      <c r="AB230" s="176"/>
      <c r="AC230" s="176"/>
      <c r="AD230" s="176"/>
      <c r="AJ230" s="135"/>
    </row>
    <row r="231" spans="9:36" x14ac:dyDescent="0.35">
      <c r="I231" s="49">
        <v>7.5257490936799995E-2</v>
      </c>
      <c r="J231" s="49">
        <v>1.2138251756341217E-9</v>
      </c>
      <c r="K231" s="49">
        <v>1.7919785065611025E-10</v>
      </c>
      <c r="L231" s="153">
        <v>1.2782969566691868E-9</v>
      </c>
      <c r="M231" s="27"/>
      <c r="R231" s="60">
        <v>1311.1745241185961</v>
      </c>
      <c r="S231" s="57">
        <v>2.0547074029114599E-6</v>
      </c>
      <c r="U231" s="127">
        <v>1.126066704332029E-9</v>
      </c>
      <c r="V231" s="127">
        <v>1.2782969566691868E-9</v>
      </c>
      <c r="W231" s="127">
        <v>1.1491488229181119E-9</v>
      </c>
      <c r="X231" s="128">
        <f t="shared" si="6"/>
        <v>1.2079523601471287E-9</v>
      </c>
      <c r="Y231" s="139">
        <f t="shared" si="7"/>
        <v>1.0740564809277806E-3</v>
      </c>
      <c r="AA231" s="73"/>
      <c r="AB231" s="176"/>
      <c r="AC231" s="176"/>
      <c r="AD231" s="176"/>
      <c r="AJ231" s="135"/>
    </row>
    <row r="232" spans="9:36" x14ac:dyDescent="0.35">
      <c r="I232" s="49">
        <v>7.6010065846099997E-2</v>
      </c>
      <c r="J232" s="49">
        <v>1.2117823401508263E-9</v>
      </c>
      <c r="K232" s="49">
        <v>1.7572437500416277E-10</v>
      </c>
      <c r="L232" s="153">
        <v>1.2354553271572198E-9</v>
      </c>
      <c r="M232" s="27"/>
      <c r="R232" s="60">
        <v>1312.8956057066703</v>
      </c>
      <c r="S232" s="57">
        <v>2.0547074029114599E-6</v>
      </c>
      <c r="U232" s="127">
        <v>1.2226881827377639E-9</v>
      </c>
      <c r="V232" s="127">
        <v>1.2354553271572198E-9</v>
      </c>
      <c r="W232" s="127">
        <v>1.0541687548326082E-9</v>
      </c>
      <c r="X232" s="128">
        <f t="shared" si="6"/>
        <v>1.1869418979712029E-9</v>
      </c>
      <c r="Y232" s="139">
        <f t="shared" si="7"/>
        <v>1.9982721242081749E-2</v>
      </c>
      <c r="AA232" s="73"/>
      <c r="AB232" s="176"/>
      <c r="AC232" s="176"/>
      <c r="AD232" s="176"/>
      <c r="AJ232" s="135"/>
    </row>
    <row r="233" spans="9:36" x14ac:dyDescent="0.35">
      <c r="I233" s="49">
        <v>7.6770166504600001E-2</v>
      </c>
      <c r="J233" s="49">
        <v>9.8043528962200088E-10</v>
      </c>
      <c r="K233" s="49">
        <v>1.7223018490052034E-10</v>
      </c>
      <c r="L233" s="153">
        <v>1.1350131655506445E-9</v>
      </c>
      <c r="M233" s="27"/>
      <c r="R233" s="60">
        <v>1312.8956057066703</v>
      </c>
      <c r="S233" s="57">
        <v>2.0502093461023852E-6</v>
      </c>
      <c r="U233" s="127">
        <v>1.2618649448467493E-9</v>
      </c>
      <c r="V233" s="127">
        <v>1.1350131655506445E-9</v>
      </c>
      <c r="W233" s="127">
        <v>1.0411591794254513E-9</v>
      </c>
      <c r="X233" s="128">
        <f t="shared" si="6"/>
        <v>1.1432626138433726E-9</v>
      </c>
      <c r="Y233" s="139">
        <f t="shared" si="7"/>
        <v>0.89379112194568533</v>
      </c>
      <c r="AA233" s="73"/>
      <c r="AB233" s="176"/>
      <c r="AC233" s="176"/>
      <c r="AD233" s="176"/>
      <c r="AJ233" s="135"/>
    </row>
    <row r="234" spans="9:36" x14ac:dyDescent="0.35">
      <c r="I234" s="49">
        <v>7.7537868169599997E-2</v>
      </c>
      <c r="J234" s="49">
        <v>6.4216795390380801E-10</v>
      </c>
      <c r="K234" s="49">
        <v>1.4459871174192505E-10</v>
      </c>
      <c r="L234" s="153">
        <v>1.0529066674597888E-9</v>
      </c>
      <c r="M234" s="27"/>
      <c r="R234" s="60">
        <v>1412.8956057066703</v>
      </c>
      <c r="S234" s="57">
        <v>2.0502093461023852E-6</v>
      </c>
      <c r="U234" s="127">
        <v>1.2173329594710982E-9</v>
      </c>
      <c r="V234" s="127">
        <v>1.0529066674597888E-9</v>
      </c>
      <c r="W234" s="127">
        <v>1.1174300278318927E-9</v>
      </c>
      <c r="X234" s="128">
        <f t="shared" si="6"/>
        <v>1.1101440805556421E-9</v>
      </c>
      <c r="Y234" s="139">
        <f t="shared" si="7"/>
        <v>10.474144221489647</v>
      </c>
      <c r="AA234" s="73"/>
      <c r="AB234" s="176"/>
      <c r="AC234" s="176"/>
      <c r="AD234" s="176"/>
      <c r="AJ234" s="135"/>
    </row>
    <row r="235" spans="9:36" x14ac:dyDescent="0.35">
      <c r="I235" s="49">
        <v>7.8313246851300006E-2</v>
      </c>
      <c r="J235" s="49">
        <v>7.3862971648840784E-10</v>
      </c>
      <c r="K235" s="49">
        <v>1.528718732427094E-10</v>
      </c>
      <c r="L235" s="153">
        <v>1.0497539922030622E-9</v>
      </c>
      <c r="M235" s="27"/>
      <c r="U235" s="127">
        <v>1.1241868335982034E-9</v>
      </c>
      <c r="V235" s="127">
        <v>1.0497539922030622E-9</v>
      </c>
      <c r="W235" s="127">
        <v>1.2201956400332332E-9</v>
      </c>
      <c r="X235" s="128">
        <f t="shared" si="6"/>
        <v>1.1109726145093902E-9</v>
      </c>
      <c r="Y235" s="139">
        <f t="shared" si="7"/>
        <v>5.9324074910818219</v>
      </c>
      <c r="AA235" s="73"/>
      <c r="AB235" s="176"/>
      <c r="AC235" s="176"/>
      <c r="AD235" s="176"/>
      <c r="AJ235" s="135"/>
    </row>
    <row r="236" spans="9:36" x14ac:dyDescent="0.35">
      <c r="I236" s="49">
        <v>7.90963793198E-2</v>
      </c>
      <c r="J236" s="49">
        <v>7.8913843963276056E-10</v>
      </c>
      <c r="K236" s="49">
        <v>1.6698468469815832E-10</v>
      </c>
      <c r="L236" s="153">
        <v>1.1245299956785122E-9</v>
      </c>
      <c r="M236" s="27"/>
      <c r="U236" s="127">
        <v>1.0524498713123831E-9</v>
      </c>
      <c r="V236" s="127">
        <v>1.1245299956785122E-9</v>
      </c>
      <c r="W236" s="127">
        <v>1.2644958869446343E-9</v>
      </c>
      <c r="X236" s="128">
        <f t="shared" si="6"/>
        <v>1.1415014374035103E-9</v>
      </c>
      <c r="Y236" s="139">
        <f t="shared" si="7"/>
        <v>4.4527397289703501</v>
      </c>
      <c r="AA236" s="73"/>
      <c r="AB236" s="176"/>
      <c r="AC236" s="176"/>
      <c r="AD236" s="176"/>
      <c r="AJ236" s="135"/>
    </row>
    <row r="237" spans="9:36" x14ac:dyDescent="0.35">
      <c r="I237" s="49">
        <v>7.9887343112999998E-2</v>
      </c>
      <c r="J237" s="49">
        <v>9.7115532513948141E-10</v>
      </c>
      <c r="K237" s="49">
        <v>1.8431310338366167E-10</v>
      </c>
      <c r="L237" s="153">
        <v>1.2144480000840718E-9</v>
      </c>
      <c r="M237" s="27"/>
      <c r="U237" s="127">
        <v>1.054386210772309E-9</v>
      </c>
      <c r="V237" s="127">
        <v>1.2144480000840718E-9</v>
      </c>
      <c r="W237" s="127">
        <v>1.2106067608417686E-9</v>
      </c>
      <c r="X237" s="128">
        <f t="shared" si="6"/>
        <v>1.1734722429455551E-9</v>
      </c>
      <c r="Y237" s="139">
        <f t="shared" si="7"/>
        <v>1.2049026983780162</v>
      </c>
      <c r="AA237" s="73"/>
      <c r="AB237" s="176"/>
      <c r="AC237" s="176"/>
      <c r="AD237" s="176"/>
      <c r="AJ237" s="135"/>
    </row>
    <row r="238" spans="9:36" x14ac:dyDescent="0.35">
      <c r="I238" s="49">
        <v>8.0686216544199996E-2</v>
      </c>
      <c r="J238" s="49">
        <v>8.4807557692531258E-10</v>
      </c>
      <c r="K238" s="49">
        <v>1.9077105082844566E-10</v>
      </c>
      <c r="L238" s="153">
        <v>1.2433055161000326E-9</v>
      </c>
      <c r="M238" s="27"/>
      <c r="U238" s="127">
        <v>1.1242596244272944E-9</v>
      </c>
      <c r="V238" s="127">
        <v>1.2433055161000326E-9</v>
      </c>
      <c r="W238" s="127">
        <v>1.0978772328401344E-9</v>
      </c>
      <c r="X238" s="128">
        <f t="shared" si="6"/>
        <v>1.1771869723668736E-9</v>
      </c>
      <c r="Y238" s="139">
        <f t="shared" si="7"/>
        <v>2.9761916644719308</v>
      </c>
      <c r="AA238" s="73"/>
      <c r="AB238" s="176"/>
      <c r="AC238" s="176"/>
      <c r="AD238" s="176"/>
      <c r="AJ238" s="135"/>
    </row>
    <row r="239" spans="9:36" x14ac:dyDescent="0.35">
      <c r="I239" s="49">
        <v>8.14930787096E-2</v>
      </c>
      <c r="J239" s="49">
        <v>9.7288903039084528E-10</v>
      </c>
      <c r="K239" s="49">
        <v>1.9486932154796963E-10</v>
      </c>
      <c r="L239" s="153">
        <v>1.1824720113839975E-9</v>
      </c>
      <c r="M239" s="27"/>
      <c r="U239" s="127">
        <v>1.2019242092845062E-9</v>
      </c>
      <c r="V239" s="127">
        <v>1.1824720113839975E-9</v>
      </c>
      <c r="W239" s="127">
        <v>1.015296934674354E-9</v>
      </c>
      <c r="X239" s="128">
        <f t="shared" si="6"/>
        <v>1.1455412916817137E-9</v>
      </c>
      <c r="Y239" s="139">
        <f t="shared" si="7"/>
        <v>0.78497819910333744</v>
      </c>
      <c r="AA239" s="73"/>
      <c r="AB239" s="176"/>
      <c r="AC239" s="176"/>
      <c r="AD239" s="176"/>
      <c r="AJ239" s="135"/>
    </row>
    <row r="240" spans="9:36" x14ac:dyDescent="0.35">
      <c r="I240" s="49">
        <v>8.2308009496700002E-2</v>
      </c>
      <c r="J240" s="49">
        <v>9.4174245269044904E-10</v>
      </c>
      <c r="K240" s="49">
        <v>1.9657724435894962E-10</v>
      </c>
      <c r="L240" s="153">
        <v>1.0760180184669405E-9</v>
      </c>
      <c r="M240" s="27"/>
      <c r="U240" s="127">
        <v>1.2194774329894999E-9</v>
      </c>
      <c r="V240" s="127">
        <v>1.0760180184669405E-9</v>
      </c>
      <c r="W240" s="127">
        <v>1.0291174176670262E-9</v>
      </c>
      <c r="X240" s="128">
        <f t="shared" si="6"/>
        <v>1.1001577218976018E-9</v>
      </c>
      <c r="Y240" s="139">
        <f t="shared" si="7"/>
        <v>0.64942289275654608</v>
      </c>
      <c r="AA240" s="73"/>
      <c r="AB240" s="176"/>
      <c r="AC240" s="176"/>
      <c r="AD240" s="176"/>
      <c r="AJ240" s="135"/>
    </row>
    <row r="241" spans="9:36" x14ac:dyDescent="0.35">
      <c r="I241" s="49">
        <v>8.31310895917E-2</v>
      </c>
      <c r="J241" s="49">
        <v>8.7304942594963325E-10</v>
      </c>
      <c r="K241" s="49">
        <v>2.1390123315225579E-10</v>
      </c>
      <c r="L241" s="153">
        <v>1.0071477057941252E-9</v>
      </c>
      <c r="M241" s="27"/>
      <c r="U241" s="127">
        <v>1.1560572240440811E-9</v>
      </c>
      <c r="V241" s="127">
        <v>1.0071477057941252E-9</v>
      </c>
      <c r="W241" s="127">
        <v>1.1255800157875096E-9</v>
      </c>
      <c r="X241" s="128">
        <f t="shared" si="6"/>
        <v>1.0739831628549602E-9</v>
      </c>
      <c r="Y241" s="139">
        <f t="shared" si="7"/>
        <v>0.88242772708706418</v>
      </c>
      <c r="AA241" s="73"/>
      <c r="AB241" s="176"/>
      <c r="AC241" s="176"/>
      <c r="AD241" s="176"/>
      <c r="AJ241" s="135"/>
    </row>
    <row r="242" spans="9:36" x14ac:dyDescent="0.35">
      <c r="I242" s="49">
        <v>8.3962400487599995E-2</v>
      </c>
      <c r="J242" s="49">
        <v>1.0218447182353545E-9</v>
      </c>
      <c r="K242" s="49">
        <v>2.199155769095517E-10</v>
      </c>
      <c r="L242" s="153">
        <v>1.0300229485128726E-9</v>
      </c>
      <c r="M242" s="27"/>
      <c r="U242" s="127">
        <v>1.0568332231732607E-9</v>
      </c>
      <c r="V242" s="127">
        <v>1.0300229485128726E-9</v>
      </c>
      <c r="W242" s="127">
        <v>1.2187667943798458E-9</v>
      </c>
      <c r="X242" s="128">
        <f t="shared" si="6"/>
        <v>1.083911478644713E-9</v>
      </c>
      <c r="Y242" s="139">
        <f t="shared" si="7"/>
        <v>7.9653739887401709E-2</v>
      </c>
      <c r="AA242" s="73"/>
      <c r="AB242" s="176"/>
      <c r="AC242" s="176"/>
      <c r="AD242" s="176"/>
      <c r="AJ242" s="135"/>
    </row>
    <row r="243" spans="9:36" x14ac:dyDescent="0.35">
      <c r="I243" s="49">
        <v>8.4802024492500003E-2</v>
      </c>
      <c r="J243" s="49">
        <v>7.1149681286744654E-10</v>
      </c>
      <c r="K243" s="49">
        <v>1.889573659761694E-10</v>
      </c>
      <c r="L243" s="153">
        <v>1.1222057350607598E-9</v>
      </c>
      <c r="M243" s="27"/>
      <c r="U243" s="127">
        <v>9.9828340458666753E-10</v>
      </c>
      <c r="V243" s="127">
        <v>1.1222057350607598E-9</v>
      </c>
      <c r="W243" s="127">
        <v>1.2215180449623325E-9</v>
      </c>
      <c r="X243" s="128">
        <f t="shared" si="6"/>
        <v>1.11605322991763E-9</v>
      </c>
      <c r="Y243" s="139">
        <f t="shared" si="7"/>
        <v>4.5838514610692878</v>
      </c>
      <c r="AA243" s="73"/>
      <c r="AB243" s="176"/>
      <c r="AC243" s="176"/>
      <c r="AD243" s="176"/>
      <c r="AJ243" s="135"/>
    </row>
    <row r="244" spans="9:36" x14ac:dyDescent="0.35">
      <c r="I244" s="49">
        <v>8.5650044737399997E-2</v>
      </c>
      <c r="J244" s="49">
        <v>1.1076829133009068E-9</v>
      </c>
      <c r="K244" s="49">
        <v>1.2099119427995469E-10</v>
      </c>
      <c r="L244" s="153">
        <v>1.1999723061838079E-9</v>
      </c>
      <c r="M244" s="27"/>
      <c r="U244" s="127">
        <v>1.0251562960581869E-9</v>
      </c>
      <c r="V244" s="127">
        <v>1.1999723061838079E-9</v>
      </c>
      <c r="W244" s="127">
        <v>1.1218554857513399E-9</v>
      </c>
      <c r="X244" s="128">
        <f t="shared" si="6"/>
        <v>1.1367390985442856E-9</v>
      </c>
      <c r="Y244" s="139">
        <f t="shared" si="7"/>
        <v>5.7672617708190592E-2</v>
      </c>
      <c r="AA244" s="73"/>
      <c r="AB244" s="176"/>
      <c r="AC244" s="176"/>
      <c r="AD244" s="176"/>
      <c r="AJ244" s="135"/>
    </row>
    <row r="245" spans="9:36" x14ac:dyDescent="0.35">
      <c r="I245" s="49">
        <v>8.6506545184799999E-2</v>
      </c>
      <c r="J245" s="49">
        <v>1.2699803064314505E-9</v>
      </c>
      <c r="K245" s="49">
        <v>1.3253986253214188E-10</v>
      </c>
      <c r="L245" s="153">
        <v>1.1878747079506475E-9</v>
      </c>
      <c r="M245" s="27"/>
      <c r="U245" s="127">
        <v>1.1105578222388271E-9</v>
      </c>
      <c r="V245" s="127">
        <v>1.1878747079506475E-9</v>
      </c>
      <c r="W245" s="127">
        <v>9.9740964326045317E-10</v>
      </c>
      <c r="X245" s="128">
        <f t="shared" si="6"/>
        <v>1.1209292203501437E-9</v>
      </c>
      <c r="Y245" s="139">
        <f t="shared" si="7"/>
        <v>1.264670121454601</v>
      </c>
      <c r="AA245" s="73"/>
      <c r="AB245" s="176"/>
      <c r="AC245" s="176"/>
      <c r="AD245" s="176"/>
      <c r="AJ245" s="135"/>
    </row>
    <row r="246" spans="9:36" x14ac:dyDescent="0.35">
      <c r="I246" s="49">
        <v>8.7371610636599997E-2</v>
      </c>
      <c r="J246" s="49">
        <v>1.062756110889373E-9</v>
      </c>
      <c r="K246" s="49">
        <v>1.1742853484361302E-10</v>
      </c>
      <c r="L246" s="153">
        <v>1.0854847208197761E-9</v>
      </c>
      <c r="M246" s="27"/>
      <c r="U246" s="127">
        <v>1.1751798453695577E-9</v>
      </c>
      <c r="V246" s="127">
        <v>1.0854847208197761E-9</v>
      </c>
      <c r="W246" s="127">
        <v>9.5024743990270358E-10</v>
      </c>
      <c r="X246" s="128">
        <f t="shared" si="6"/>
        <v>1.0740991817279533E-9</v>
      </c>
      <c r="Y246" s="139">
        <f t="shared" si="7"/>
        <v>9.3306952285527062E-3</v>
      </c>
      <c r="AA246" s="73"/>
      <c r="AB246" s="176"/>
      <c r="AC246" s="176"/>
      <c r="AD246" s="176"/>
      <c r="AJ246" s="135"/>
    </row>
    <row r="247" spans="9:36" x14ac:dyDescent="0.35">
      <c r="I247" s="49">
        <v>8.8245326742999994E-2</v>
      </c>
      <c r="J247" s="49">
        <v>1.3319713517098151E-9</v>
      </c>
      <c r="K247" s="49">
        <v>1.266532484340856E-10</v>
      </c>
      <c r="L247" s="153">
        <v>9.7170953745724449E-10</v>
      </c>
      <c r="M247" s="27"/>
      <c r="U247" s="127">
        <v>1.1534475537985015E-9</v>
      </c>
      <c r="V247" s="127">
        <v>9.7170953745724449E-10</v>
      </c>
      <c r="W247" s="127">
        <v>1.0155492538034098E-9</v>
      </c>
      <c r="X247" s="128">
        <f t="shared" si="6"/>
        <v>1.0281039706291001E-9</v>
      </c>
      <c r="Y247" s="139">
        <f t="shared" si="7"/>
        <v>5.7561950193420843</v>
      </c>
      <c r="AA247" s="73"/>
      <c r="AB247" s="176"/>
      <c r="AC247" s="176"/>
      <c r="AD247" s="176"/>
      <c r="AJ247" s="135"/>
    </row>
    <row r="248" spans="9:36" x14ac:dyDescent="0.35">
      <c r="I248" s="49">
        <v>8.9127780010400004E-2</v>
      </c>
      <c r="J248" s="49">
        <v>8.2390462230276538E-10</v>
      </c>
      <c r="K248" s="49">
        <v>1.061367650790477E-10</v>
      </c>
      <c r="L248" s="153">
        <v>9.3806811848615396E-10</v>
      </c>
      <c r="M248" s="27"/>
      <c r="U248" s="127">
        <v>1.0519654722456867E-9</v>
      </c>
      <c r="V248" s="127">
        <v>9.3806811848615396E-10</v>
      </c>
      <c r="W248" s="127">
        <v>1.126358403365424E-9</v>
      </c>
      <c r="X248" s="128">
        <f t="shared" si="6"/>
        <v>1.0136150281458546E-9</v>
      </c>
      <c r="Y248" s="139">
        <f t="shared" si="7"/>
        <v>3.1948510312432226</v>
      </c>
      <c r="AA248" s="73"/>
      <c r="AB248" s="176"/>
      <c r="AC248" s="176"/>
      <c r="AD248" s="176"/>
      <c r="AJ248" s="135"/>
    </row>
    <row r="249" spans="9:36" x14ac:dyDescent="0.35">
      <c r="I249" s="49">
        <v>9.00190578105E-2</v>
      </c>
      <c r="J249" s="49">
        <v>1.0006996781468686E-9</v>
      </c>
      <c r="K249" s="49">
        <v>1.1352629388272429E-10</v>
      </c>
      <c r="L249" s="153">
        <v>1.0063955363280143E-9</v>
      </c>
      <c r="M249" s="27"/>
      <c r="U249" s="127">
        <v>9.4760196349711031E-10</v>
      </c>
      <c r="V249" s="127">
        <v>1.0063955363280143E-9</v>
      </c>
      <c r="W249" s="127">
        <v>1.1712114792584501E-9</v>
      </c>
      <c r="X249" s="128">
        <f t="shared" si="6"/>
        <v>1.0329011288528972E-9</v>
      </c>
      <c r="Y249" s="139">
        <f t="shared" si="7"/>
        <v>8.0455910562153024E-2</v>
      </c>
      <c r="AA249" s="73"/>
      <c r="AB249" s="176"/>
      <c r="AC249" s="176"/>
      <c r="AD249" s="176"/>
      <c r="AJ249" s="135"/>
    </row>
    <row r="250" spans="9:36" x14ac:dyDescent="0.35">
      <c r="I250" s="49">
        <v>9.0919248388599994E-2</v>
      </c>
      <c r="J250" s="49">
        <v>1.085076577987776E-9</v>
      </c>
      <c r="K250" s="49">
        <v>1.2440933292251169E-10</v>
      </c>
      <c r="L250" s="153">
        <v>1.1056516548963727E-9</v>
      </c>
      <c r="M250" s="27"/>
      <c r="U250" s="127">
        <v>9.2228571023773341E-10</v>
      </c>
      <c r="V250" s="127">
        <v>1.1056516548963727E-9</v>
      </c>
      <c r="W250" s="127">
        <v>1.0966527185254094E-9</v>
      </c>
      <c r="X250" s="128">
        <f t="shared" si="6"/>
        <v>1.057560434638972E-9</v>
      </c>
      <c r="Y250" s="139">
        <f t="shared" si="7"/>
        <v>4.8918057562406622E-2</v>
      </c>
      <c r="AA250" s="73"/>
      <c r="AB250" s="176"/>
      <c r="AC250" s="176"/>
      <c r="AD250" s="176"/>
      <c r="AJ250" s="135"/>
    </row>
    <row r="251" spans="9:36" x14ac:dyDescent="0.35">
      <c r="I251" s="49">
        <v>9.18284408725E-2</v>
      </c>
      <c r="J251" s="49">
        <v>1.1466663406416324E-9</v>
      </c>
      <c r="K251" s="49">
        <v>1.2886758695860695E-10</v>
      </c>
      <c r="L251" s="153">
        <v>1.133630643730365E-9</v>
      </c>
      <c r="M251" s="27"/>
      <c r="U251" s="127">
        <v>9.8910513368339053E-10</v>
      </c>
      <c r="V251" s="127">
        <v>1.133630643730365E-9</v>
      </c>
      <c r="W251" s="127">
        <v>9.5980231097834548E-10</v>
      </c>
      <c r="X251" s="128">
        <f t="shared" si="6"/>
        <v>1.0540421830306165E-9</v>
      </c>
      <c r="Y251" s="139">
        <f t="shared" si="7"/>
        <v>0.51660802658937166</v>
      </c>
      <c r="AA251" s="73"/>
      <c r="AB251" s="176"/>
      <c r="AC251" s="176"/>
      <c r="AD251" s="176"/>
      <c r="AJ251" s="135"/>
    </row>
    <row r="252" spans="9:36" x14ac:dyDescent="0.35">
      <c r="I252" s="49">
        <v>9.2746725281199996E-2</v>
      </c>
      <c r="J252" s="49">
        <v>1.1232922002475291E-9</v>
      </c>
      <c r="K252" s="49">
        <v>1.2927319207447522E-10</v>
      </c>
      <c r="L252" s="153">
        <v>1.0512167218723972E-9</v>
      </c>
      <c r="M252" s="27"/>
      <c r="U252" s="127">
        <v>1.0771177213200091E-9</v>
      </c>
      <c r="V252" s="127">
        <v>1.0512167218723972E-9</v>
      </c>
      <c r="W252" s="127">
        <v>8.7716853135379372E-10</v>
      </c>
      <c r="X252" s="128">
        <f t="shared" si="6"/>
        <v>1.0141799241046495E-9</v>
      </c>
      <c r="Y252" s="139">
        <f t="shared" si="7"/>
        <v>0.71241045690329929</v>
      </c>
      <c r="AA252" s="73"/>
      <c r="AB252" s="176"/>
      <c r="AC252" s="176"/>
      <c r="AD252" s="176"/>
      <c r="AJ252" s="135"/>
    </row>
    <row r="253" spans="9:36" x14ac:dyDescent="0.35">
      <c r="I253" s="49">
        <v>9.3674192534E-2</v>
      </c>
      <c r="J253" s="49">
        <v>1.0674666456075287E-9</v>
      </c>
      <c r="K253" s="49">
        <v>1.263237654138419E-10</v>
      </c>
      <c r="L253" s="153">
        <v>9.214919891445427E-10</v>
      </c>
      <c r="M253" s="27"/>
      <c r="U253" s="127">
        <v>1.093199563143994E-9</v>
      </c>
      <c r="V253" s="127">
        <v>9.214919891445427E-10</v>
      </c>
      <c r="W253" s="127">
        <v>9.1360203120858767E-10</v>
      </c>
      <c r="X253" s="128">
        <f t="shared" si="6"/>
        <v>9.6244639316041679E-10</v>
      </c>
      <c r="Y253" s="139">
        <f t="shared" si="7"/>
        <v>0.69115585407538194</v>
      </c>
      <c r="AA253" s="73"/>
      <c r="AB253" s="176"/>
      <c r="AC253" s="176"/>
      <c r="AD253" s="176"/>
      <c r="AJ253" s="135"/>
    </row>
    <row r="254" spans="9:36" x14ac:dyDescent="0.35">
      <c r="I254" s="49">
        <v>9.4610934459399998E-2</v>
      </c>
      <c r="J254" s="49">
        <v>1.0988550964018145E-9</v>
      </c>
      <c r="K254" s="49">
        <v>1.3315803371926118E-10</v>
      </c>
      <c r="L254" s="153">
        <v>8.5262326089685212E-10</v>
      </c>
      <c r="M254" s="27"/>
      <c r="U254" s="127">
        <v>1.007993256076697E-9</v>
      </c>
      <c r="V254" s="127">
        <v>8.5262326089685212E-10</v>
      </c>
      <c r="W254" s="127">
        <v>1.017775670605912E-9</v>
      </c>
      <c r="X254" s="128">
        <f t="shared" si="6"/>
        <v>9.3275386211907826E-10</v>
      </c>
      <c r="Y254" s="139">
        <f t="shared" si="7"/>
        <v>1.5560049430437954</v>
      </c>
      <c r="AA254" s="73"/>
      <c r="AB254" s="176"/>
      <c r="AC254" s="176"/>
      <c r="AD254" s="176"/>
      <c r="AJ254" s="135"/>
    </row>
    <row r="255" spans="9:36" x14ac:dyDescent="0.35">
      <c r="I255" s="49">
        <v>9.5557043804E-2</v>
      </c>
      <c r="J255" s="49">
        <v>1.2330315332684795E-9</v>
      </c>
      <c r="K255" s="49">
        <v>1.4108280664098347E-10</v>
      </c>
      <c r="L255" s="153">
        <v>8.9466056015210032E-10</v>
      </c>
      <c r="M255" s="27"/>
      <c r="U255" s="127">
        <v>8.8574476982029846E-10</v>
      </c>
      <c r="V255" s="127">
        <v>8.9466056015210032E-10</v>
      </c>
      <c r="W255" s="127">
        <v>1.0709722050816819E-9</v>
      </c>
      <c r="X255" s="128">
        <f t="shared" ref="X255:X277" si="8">(U255+2*V255+W255)/4</f>
        <v>9.3650952380154512E-10</v>
      </c>
      <c r="Y255" s="139">
        <f t="shared" ref="Y255:Y277" si="9">(J255-X255)*(J255-X255)/(K255*K255)</f>
        <v>4.4173894300890346</v>
      </c>
      <c r="AA255" s="73"/>
      <c r="AB255" s="176"/>
      <c r="AC255" s="176"/>
      <c r="AD255" s="176"/>
      <c r="AJ255" s="135"/>
    </row>
    <row r="256" spans="9:36" x14ac:dyDescent="0.35">
      <c r="I256" s="49">
        <v>9.6512614242E-2</v>
      </c>
      <c r="J256" s="49">
        <v>9.2124217246917359E-10</v>
      </c>
      <c r="K256" s="49">
        <v>1.2407531314838871E-10</v>
      </c>
      <c r="L256" s="153">
        <v>9.895329654836776E-10</v>
      </c>
      <c r="M256" s="27"/>
      <c r="U256" s="127">
        <v>8.2591022291732327E-10</v>
      </c>
      <c r="V256" s="127">
        <v>9.895329654836776E-10</v>
      </c>
      <c r="W256" s="127">
        <v>1.0050316039232083E-9</v>
      </c>
      <c r="X256" s="128">
        <f t="shared" si="8"/>
        <v>9.5250193945197168E-10</v>
      </c>
      <c r="Y256" s="139">
        <f t="shared" si="9"/>
        <v>6.3474708163199042E-2</v>
      </c>
      <c r="AA256" s="73"/>
      <c r="AB256" s="176"/>
      <c r="AC256" s="176"/>
      <c r="AD256" s="176"/>
      <c r="AJ256" s="135"/>
    </row>
    <row r="257" spans="9:36" x14ac:dyDescent="0.35">
      <c r="I257" s="49">
        <v>9.7477740384400005E-2</v>
      </c>
      <c r="J257" s="49">
        <v>1.1974153307344761E-9</v>
      </c>
      <c r="K257" s="49">
        <v>1.5446252470224753E-10</v>
      </c>
      <c r="L257" s="153">
        <v>1.026694801804443E-9</v>
      </c>
      <c r="M257" s="27"/>
      <c r="U257" s="127">
        <v>8.6833199252924298E-10</v>
      </c>
      <c r="V257" s="127">
        <v>1.026694801804443E-9</v>
      </c>
      <c r="W257" s="127">
        <v>8.7165874671018212E-10</v>
      </c>
      <c r="X257" s="128">
        <f t="shared" si="8"/>
        <v>9.4834508571207767E-10</v>
      </c>
      <c r="Y257" s="139">
        <f t="shared" si="9"/>
        <v>2.6001442225436509</v>
      </c>
      <c r="AA257" s="73"/>
      <c r="AB257" s="176"/>
      <c r="AC257" s="176"/>
      <c r="AD257" s="176"/>
      <c r="AJ257" s="136"/>
    </row>
    <row r="258" spans="9:36" x14ac:dyDescent="0.35">
      <c r="I258" s="49">
        <v>9.8452517788299998E-2</v>
      </c>
      <c r="J258" s="49">
        <v>1.1966604894613222E-9</v>
      </c>
      <c r="K258" s="49">
        <v>1.5056535951266699E-10</v>
      </c>
      <c r="L258" s="153">
        <v>9.5291657972847085E-10</v>
      </c>
      <c r="M258" s="27"/>
      <c r="U258" s="127">
        <v>9.5336021456159234E-10</v>
      </c>
      <c r="V258" s="127">
        <v>9.5291657972847085E-10</v>
      </c>
      <c r="W258" s="127">
        <v>7.8963879390880927E-10</v>
      </c>
      <c r="X258" s="128">
        <f t="shared" si="8"/>
        <v>9.1220804198183578E-10</v>
      </c>
      <c r="Y258" s="139">
        <f t="shared" si="9"/>
        <v>3.5691863121295864</v>
      </c>
      <c r="AA258" s="73"/>
      <c r="AB258" s="176"/>
      <c r="AC258" s="176"/>
      <c r="AD258" s="176"/>
      <c r="AJ258" s="136"/>
    </row>
    <row r="259" spans="9:36" x14ac:dyDescent="0.35">
      <c r="I259" s="49">
        <v>9.9437042966199998E-2</v>
      </c>
      <c r="J259" s="49">
        <v>1.0003317118469365E-9</v>
      </c>
      <c r="K259" s="49">
        <v>1.4200881270485486E-10</v>
      </c>
      <c r="L259" s="153">
        <v>8.262708823361886E-10</v>
      </c>
      <c r="M259" s="27"/>
      <c r="U259" s="127">
        <v>9.7918529561848298E-10</v>
      </c>
      <c r="V259" s="127">
        <v>8.262708823361886E-10</v>
      </c>
      <c r="W259" s="127">
        <v>8.2151406836746003E-10</v>
      </c>
      <c r="X259" s="128">
        <f t="shared" si="8"/>
        <v>8.6331028216458008E-10</v>
      </c>
      <c r="Y259" s="139">
        <f t="shared" si="9"/>
        <v>0.93099295889211564</v>
      </c>
      <c r="AA259" s="73"/>
      <c r="AB259" s="176"/>
      <c r="AC259" s="176"/>
      <c r="AD259" s="176"/>
      <c r="AJ259" s="136"/>
    </row>
    <row r="260" spans="9:36" x14ac:dyDescent="0.35">
      <c r="I260" s="49">
        <v>0.10043141339599999</v>
      </c>
      <c r="J260" s="49">
        <v>1.1384586949354051E-9</v>
      </c>
      <c r="K260" s="49">
        <v>1.5507562324056696E-10</v>
      </c>
      <c r="L260" s="153">
        <v>7.5670630402485885E-10</v>
      </c>
      <c r="M260" s="27"/>
      <c r="U260" s="127">
        <v>9.0278363584014762E-10</v>
      </c>
      <c r="V260" s="127">
        <v>7.5670630402485885E-10</v>
      </c>
      <c r="W260" s="127">
        <v>9.0862818839702106E-10</v>
      </c>
      <c r="X260" s="128">
        <f t="shared" si="8"/>
        <v>8.3120610807172165E-10</v>
      </c>
      <c r="Y260" s="139">
        <f t="shared" si="9"/>
        <v>3.9255817468697294</v>
      </c>
      <c r="AA260" s="73"/>
      <c r="AB260" s="176"/>
      <c r="AC260" s="176"/>
      <c r="AD260" s="176"/>
      <c r="AJ260" s="136"/>
    </row>
    <row r="261" spans="9:36" x14ac:dyDescent="0.35">
      <c r="I261" s="49">
        <v>0.10143572753000001</v>
      </c>
      <c r="J261" s="49">
        <v>1.4544285423227151E-9</v>
      </c>
      <c r="K261" s="49">
        <v>1.6745846275908588E-10</v>
      </c>
      <c r="L261" s="153">
        <v>7.9212321188901714E-10</v>
      </c>
      <c r="M261" s="27"/>
      <c r="U261" s="127">
        <v>7.8333721770542955E-10</v>
      </c>
      <c r="V261" s="127">
        <v>7.9212321188901714E-10</v>
      </c>
      <c r="W261" s="127">
        <v>9.3530317887193096E-10</v>
      </c>
      <c r="X261" s="128">
        <f t="shared" si="8"/>
        <v>8.2572170508884867E-10</v>
      </c>
      <c r="Y261" s="139">
        <f t="shared" si="9"/>
        <v>14.09555454360415</v>
      </c>
      <c r="AA261" s="73"/>
      <c r="AB261" s="176"/>
      <c r="AC261" s="176"/>
      <c r="AD261" s="176"/>
      <c r="AJ261" s="136"/>
    </row>
    <row r="262" spans="9:36" x14ac:dyDescent="0.35">
      <c r="I262" s="49">
        <v>0.10245008480499999</v>
      </c>
      <c r="J262" s="49">
        <v>1.1552457732406716E-9</v>
      </c>
      <c r="K262" s="49">
        <v>1.5735893036538147E-10</v>
      </c>
      <c r="L262" s="153">
        <v>8.6915547874012716E-10</v>
      </c>
      <c r="M262" s="27"/>
      <c r="U262" s="127">
        <v>7.2163425671329076E-10</v>
      </c>
      <c r="V262" s="127">
        <v>8.6915547874012716E-10</v>
      </c>
      <c r="W262" s="127">
        <v>8.542480002561552E-10</v>
      </c>
      <c r="X262" s="128">
        <f t="shared" si="8"/>
        <v>8.2854830361242509E-10</v>
      </c>
      <c r="Y262" s="139">
        <f t="shared" si="9"/>
        <v>4.3103124396801888</v>
      </c>
      <c r="AA262" s="73"/>
      <c r="AB262" s="176"/>
      <c r="AC262" s="176"/>
      <c r="AD262" s="176"/>
      <c r="AJ262" s="136"/>
    </row>
    <row r="263" spans="9:36" x14ac:dyDescent="0.35">
      <c r="I263" s="49">
        <v>0.103474585653</v>
      </c>
      <c r="J263" s="49">
        <v>1.0999397926469725E-9</v>
      </c>
      <c r="K263" s="49">
        <v>1.6638632203464596E-10</v>
      </c>
      <c r="L263" s="153">
        <v>8.8234129385286092E-10</v>
      </c>
      <c r="M263" s="27"/>
      <c r="U263" s="127">
        <v>7.5593297116790478E-10</v>
      </c>
      <c r="V263" s="127">
        <v>8.8234129385286092E-10</v>
      </c>
      <c r="W263" s="127">
        <v>7.3598062617059857E-10</v>
      </c>
      <c r="X263" s="128">
        <f t="shared" si="8"/>
        <v>8.1414904626105629E-10</v>
      </c>
      <c r="Y263" s="139">
        <f t="shared" si="9"/>
        <v>2.9502653712926308</v>
      </c>
      <c r="AA263" s="73"/>
      <c r="AB263" s="176"/>
      <c r="AC263" s="176"/>
      <c r="AD263" s="176"/>
      <c r="AJ263" s="136"/>
    </row>
    <row r="264" spans="9:36" x14ac:dyDescent="0.35">
      <c r="I264" s="49">
        <v>0.10450933151</v>
      </c>
      <c r="J264" s="49">
        <v>1.0934069703779409E-9</v>
      </c>
      <c r="K264" s="49">
        <v>1.6759543466551887E-10</v>
      </c>
      <c r="L264" s="153">
        <v>7.9803504226254318E-10</v>
      </c>
      <c r="M264" s="27"/>
      <c r="U264" s="127">
        <v>8.2316977140668109E-10</v>
      </c>
      <c r="V264" s="127">
        <v>7.9803504226254318E-10</v>
      </c>
      <c r="W264" s="127">
        <v>6.87309184392326E-10</v>
      </c>
      <c r="X264" s="128">
        <f t="shared" si="8"/>
        <v>7.7663726008102339E-10</v>
      </c>
      <c r="Y264" s="139">
        <f t="shared" si="9"/>
        <v>3.5724234086407161</v>
      </c>
      <c r="AA264" s="73"/>
      <c r="AB264" s="176"/>
      <c r="AC264" s="176"/>
      <c r="AD264" s="176"/>
      <c r="AJ264" s="136"/>
    </row>
    <row r="265" spans="9:36" x14ac:dyDescent="0.35">
      <c r="I265" s="49">
        <v>0.10555442482500001</v>
      </c>
      <c r="J265" s="49">
        <v>1.3467166746654903E-9</v>
      </c>
      <c r="K265" s="49">
        <v>1.7440820813093713E-10</v>
      </c>
      <c r="L265" s="153">
        <v>6.885407479398824E-10</v>
      </c>
      <c r="M265" s="27"/>
      <c r="U265" s="127">
        <v>8.277127396883372E-10</v>
      </c>
      <c r="V265" s="127">
        <v>6.885407479398824E-10</v>
      </c>
      <c r="W265" s="127">
        <v>7.3120413785296251E-10</v>
      </c>
      <c r="X265" s="128">
        <f t="shared" si="8"/>
        <v>7.3399959335526613E-10</v>
      </c>
      <c r="Y265" s="139">
        <f t="shared" si="9"/>
        <v>12.342016854380001</v>
      </c>
      <c r="AA265" s="73"/>
      <c r="AB265" s="176"/>
      <c r="AC265" s="176"/>
      <c r="AD265" s="176"/>
      <c r="AJ265" s="136"/>
    </row>
    <row r="266" spans="9:36" x14ac:dyDescent="0.35">
      <c r="I266" s="49">
        <v>0.10660996907299999</v>
      </c>
      <c r="J266" s="49">
        <v>1.0485488838881214E-9</v>
      </c>
      <c r="K266" s="49">
        <v>1.6705660573282638E-10</v>
      </c>
      <c r="L266" s="153">
        <v>6.4890604350239834E-10</v>
      </c>
      <c r="M266" s="27"/>
      <c r="U266" s="127">
        <v>7.4423974554477651E-10</v>
      </c>
      <c r="V266" s="127">
        <v>6.4890604350239834E-10</v>
      </c>
      <c r="W266" s="127">
        <v>7.8506560274906921E-10</v>
      </c>
      <c r="X266" s="128">
        <f t="shared" si="8"/>
        <v>7.0677935882466057E-10</v>
      </c>
      <c r="Y266" s="139">
        <f t="shared" si="9"/>
        <v>4.1854230673456039</v>
      </c>
      <c r="AA266" s="73"/>
      <c r="AB266" s="176"/>
      <c r="AC266" s="176"/>
      <c r="AD266" s="176"/>
      <c r="AJ266" s="136"/>
    </row>
    <row r="267" spans="9:36" x14ac:dyDescent="0.35">
      <c r="I267" s="49">
        <v>0.107676068764</v>
      </c>
      <c r="J267" s="49">
        <v>9.7620725323428843E-10</v>
      </c>
      <c r="K267" s="49">
        <v>1.623849191123262E-10</v>
      </c>
      <c r="L267" s="152">
        <v>6.9070986194729481E-10</v>
      </c>
      <c r="M267" s="34"/>
      <c r="U267" s="127">
        <v>6.4253571553727519E-10</v>
      </c>
      <c r="V267" s="127">
        <v>6.9070986194729481E-10</v>
      </c>
      <c r="W267" s="127">
        <v>7.6044433106300667E-10</v>
      </c>
      <c r="X267" s="128">
        <f t="shared" si="8"/>
        <v>6.960999426237179E-10</v>
      </c>
      <c r="Y267" s="139">
        <f t="shared" si="9"/>
        <v>2.9754831888852875</v>
      </c>
      <c r="AA267" s="73"/>
      <c r="AB267" s="176"/>
      <c r="AC267" s="176"/>
      <c r="AD267" s="176"/>
      <c r="AJ267" s="136"/>
    </row>
    <row r="268" spans="9:36" x14ac:dyDescent="0.35">
      <c r="I268" s="49">
        <v>0.108752829451</v>
      </c>
      <c r="J268" s="49">
        <v>1.1983060179713363E-9</v>
      </c>
      <c r="K268" s="49">
        <v>1.9184667829973915E-10</v>
      </c>
      <c r="L268" s="152">
        <v>7.3353504160100866E-10</v>
      </c>
      <c r="M268" s="34"/>
      <c r="U268" s="127">
        <v>6.073970733297753E-10</v>
      </c>
      <c r="V268" s="127">
        <v>7.3353504160100866E-10</v>
      </c>
      <c r="W268" s="127">
        <v>6.6506035912147518E-10</v>
      </c>
      <c r="X268" s="128">
        <f t="shared" si="8"/>
        <v>6.8488187891331692E-10</v>
      </c>
      <c r="Y268" s="139">
        <f t="shared" si="9"/>
        <v>7.1621596725837078</v>
      </c>
      <c r="AA268" s="73"/>
      <c r="AB268" s="176"/>
      <c r="AC268" s="176"/>
      <c r="AD268" s="176"/>
      <c r="AJ268" s="136"/>
    </row>
    <row r="269" spans="9:36" x14ac:dyDescent="0.35">
      <c r="I269" s="49">
        <v>0.109840357746</v>
      </c>
      <c r="J269" s="49">
        <v>1.0918859437086843E-9</v>
      </c>
      <c r="K269" s="49">
        <v>1.7221270744165805E-10</v>
      </c>
      <c r="L269" s="152">
        <v>7.0153166025381262E-10</v>
      </c>
      <c r="M269" s="33"/>
      <c r="U269" s="127">
        <v>6.4447221567333266E-10</v>
      </c>
      <c r="V269" s="127">
        <v>7.0153166025381262E-10</v>
      </c>
      <c r="W269" s="127">
        <v>5.8717800154717559E-10</v>
      </c>
      <c r="X269" s="128">
        <f t="shared" si="8"/>
        <v>6.5867838443203338E-10</v>
      </c>
      <c r="Y269" s="139">
        <f t="shared" si="9"/>
        <v>6.3279299577519366</v>
      </c>
      <c r="AA269" s="73"/>
      <c r="AB269" s="176"/>
      <c r="AC269" s="176"/>
      <c r="AD269" s="176"/>
      <c r="AJ269" s="136"/>
    </row>
    <row r="270" spans="9:36" x14ac:dyDescent="0.35">
      <c r="I270" s="49">
        <v>0.110938761323</v>
      </c>
      <c r="J270" s="49">
        <v>1.4258699387302832E-9</v>
      </c>
      <c r="K270" s="49">
        <v>1.9909818670323278E-10</v>
      </c>
      <c r="L270" s="152">
        <v>6.0992802778535057E-10</v>
      </c>
      <c r="M270" s="34"/>
      <c r="U270" s="127">
        <v>6.7855177215079432E-10</v>
      </c>
      <c r="V270" s="127">
        <v>6.0992802778535057E-10</v>
      </c>
      <c r="W270" s="127">
        <v>5.8586725723048863E-10</v>
      </c>
      <c r="X270" s="128">
        <f t="shared" si="8"/>
        <v>6.2106877123799605E-10</v>
      </c>
      <c r="Y270" s="139">
        <f t="shared" si="9"/>
        <v>16.339643848373633</v>
      </c>
      <c r="AA270" s="73"/>
      <c r="AB270" s="176"/>
      <c r="AC270" s="176"/>
      <c r="AD270" s="176"/>
      <c r="AJ270" s="136"/>
    </row>
    <row r="271" spans="9:36" x14ac:dyDescent="0.35">
      <c r="I271" s="49">
        <v>0.11204814893700001</v>
      </c>
      <c r="J271" s="49">
        <v>1.0764178798840557E-9</v>
      </c>
      <c r="K271" s="49">
        <v>1.8364908963868605E-10</v>
      </c>
      <c r="L271" s="152">
        <v>5.4065522857835448E-10</v>
      </c>
      <c r="M271" s="35"/>
      <c r="U271" s="127">
        <v>6.4356693820869654E-10</v>
      </c>
      <c r="V271" s="127">
        <v>5.4065522857835448E-10</v>
      </c>
      <c r="W271" s="127">
        <v>6.2355180011951471E-10</v>
      </c>
      <c r="X271" s="128">
        <f t="shared" si="8"/>
        <v>5.8710729887122998E-10</v>
      </c>
      <c r="Y271" s="139">
        <f t="shared" si="9"/>
        <v>7.0989097455991823</v>
      </c>
      <c r="AA271" s="73"/>
      <c r="AB271" s="176"/>
      <c r="AC271" s="176"/>
      <c r="AD271" s="176"/>
      <c r="AJ271" s="136"/>
    </row>
    <row r="272" spans="9:36" x14ac:dyDescent="0.35">
      <c r="I272" s="49">
        <v>0.11316863042600001</v>
      </c>
      <c r="J272" s="49">
        <v>1.3094905182160442E-9</v>
      </c>
      <c r="K272" s="49">
        <v>2.0134735477288905E-10</v>
      </c>
      <c r="L272" s="152">
        <v>5.4121277917084585E-10</v>
      </c>
      <c r="M272" s="34"/>
      <c r="U272" s="127">
        <v>5.5717500343339614E-10</v>
      </c>
      <c r="V272" s="127">
        <v>5.4121277917084585E-10</v>
      </c>
      <c r="W272" s="127">
        <v>6.2006700709012825E-10</v>
      </c>
      <c r="X272" s="128">
        <f t="shared" si="8"/>
        <v>5.6491689221630405E-10</v>
      </c>
      <c r="Y272" s="139">
        <f t="shared" si="9"/>
        <v>13.674877378015967</v>
      </c>
      <c r="AA272" s="73"/>
      <c r="AB272" s="176"/>
      <c r="AC272" s="176"/>
      <c r="AD272" s="176"/>
      <c r="AJ272" s="136"/>
    </row>
    <row r="273" spans="9:36" x14ac:dyDescent="0.35">
      <c r="I273" s="49">
        <v>0.11430031673</v>
      </c>
      <c r="J273" s="49">
        <v>1.0610242425618201E-9</v>
      </c>
      <c r="K273" s="49">
        <v>1.9539735333189268E-10</v>
      </c>
      <c r="L273" s="152">
        <v>5.7186733451008453E-10</v>
      </c>
      <c r="M273" s="33"/>
      <c r="U273" s="127">
        <v>4.9377870421823144E-10</v>
      </c>
      <c r="V273" s="127">
        <v>5.7186733451008453E-10</v>
      </c>
      <c r="W273" s="127">
        <v>5.5386007641087473E-10</v>
      </c>
      <c r="X273" s="128">
        <f t="shared" si="8"/>
        <v>5.4784336241231883E-10</v>
      </c>
      <c r="Y273" s="139">
        <f t="shared" si="9"/>
        <v>6.8976885486299722</v>
      </c>
      <c r="AA273" s="73"/>
      <c r="AB273" s="176"/>
      <c r="AC273" s="176"/>
      <c r="AD273" s="176"/>
      <c r="AJ273" s="136"/>
    </row>
    <row r="274" spans="9:36" x14ac:dyDescent="0.35">
      <c r="I274" s="49">
        <v>0.115443319898</v>
      </c>
      <c r="J274" s="49">
        <v>1.2734204200689318E-9</v>
      </c>
      <c r="K274" s="49">
        <v>2.0605982636129556E-10</v>
      </c>
      <c r="L274" s="152">
        <v>5.6167861897746623E-10</v>
      </c>
      <c r="M274" s="34"/>
      <c r="U274" s="127">
        <v>4.9318158622477115E-10</v>
      </c>
      <c r="V274" s="127">
        <v>5.6167861897746623E-10</v>
      </c>
      <c r="W274" s="127">
        <v>4.8182207164153973E-10</v>
      </c>
      <c r="X274" s="128">
        <f t="shared" si="8"/>
        <v>5.2459022395531081E-10</v>
      </c>
      <c r="Y274" s="139">
        <f t="shared" si="9"/>
        <v>13.206265934934043</v>
      </c>
      <c r="AA274" s="73"/>
      <c r="AB274" s="176"/>
      <c r="AC274" s="176"/>
      <c r="AD274" s="176"/>
      <c r="AJ274" s="136"/>
    </row>
    <row r="275" spans="9:36" x14ac:dyDescent="0.35">
      <c r="I275" s="49">
        <v>0.116597753096</v>
      </c>
      <c r="J275" s="49">
        <v>1.1597894058143683E-9</v>
      </c>
      <c r="K275" s="49">
        <v>2.1389848722942867E-10</v>
      </c>
      <c r="L275" s="152">
        <v>4.9709383481948428E-10</v>
      </c>
      <c r="M275" s="34"/>
      <c r="U275" s="127">
        <v>5.1738248310670727E-10</v>
      </c>
      <c r="V275" s="127">
        <v>4.9709383481948428E-10</v>
      </c>
      <c r="W275" s="127">
        <v>4.6014656142993925E-10</v>
      </c>
      <c r="X275" s="128">
        <f t="shared" si="8"/>
        <v>4.9292917854390377E-10</v>
      </c>
      <c r="Y275" s="139">
        <f t="shared" si="9"/>
        <v>9.7197301117255943</v>
      </c>
      <c r="AA275" s="73"/>
      <c r="AB275" s="176"/>
      <c r="AC275" s="176"/>
      <c r="AD275" s="176"/>
      <c r="AJ275" s="136"/>
    </row>
    <row r="276" spans="9:36" x14ac:dyDescent="0.35">
      <c r="I276" s="49">
        <v>0.117763730627</v>
      </c>
      <c r="J276" s="49">
        <v>1.4281276617718203E-9</v>
      </c>
      <c r="K276" s="49">
        <v>2.4339888879738891E-10</v>
      </c>
      <c r="L276" s="152">
        <v>4.3169925863758569E-10</v>
      </c>
      <c r="M276" s="33"/>
      <c r="U276" s="127">
        <v>5.038125212918031E-10</v>
      </c>
      <c r="V276" s="127">
        <v>4.3169925863758569E-10</v>
      </c>
      <c r="W276" s="127">
        <v>4.7501641109042476E-10</v>
      </c>
      <c r="X276" s="128">
        <f t="shared" si="8"/>
        <v>4.6055686241434983E-10</v>
      </c>
      <c r="Y276" s="139">
        <f t="shared" si="9"/>
        <v>15.802591874964717</v>
      </c>
      <c r="AA276" s="73"/>
      <c r="AB276" s="176"/>
      <c r="AC276" s="176"/>
      <c r="AD276" s="176"/>
      <c r="AJ276" s="136"/>
    </row>
    <row r="277" spans="9:36" x14ac:dyDescent="0.35">
      <c r="I277" s="49">
        <v>0.11894136793399999</v>
      </c>
      <c r="J277" s="49">
        <v>1.2835183206458925E-9</v>
      </c>
      <c r="K277" s="49">
        <v>2.2857335436112565E-10</v>
      </c>
      <c r="L277" s="152">
        <v>4.1249941538911621E-10</v>
      </c>
      <c r="M277" s="34"/>
      <c r="U277" s="127">
        <v>4.4280418532859521E-10</v>
      </c>
      <c r="V277" s="127">
        <v>4.1249941538911621E-10</v>
      </c>
      <c r="W277" s="127">
        <v>4.6953855975569666E-10</v>
      </c>
      <c r="X277" s="128">
        <f t="shared" si="8"/>
        <v>4.3433539396563105E-10</v>
      </c>
      <c r="Y277" s="139">
        <f t="shared" si="9"/>
        <v>13.802294962374495</v>
      </c>
      <c r="AA277" s="73"/>
      <c r="AB277" s="176"/>
      <c r="AC277" s="176"/>
      <c r="AD277" s="176"/>
      <c r="AJ277" s="136"/>
    </row>
    <row r="278" spans="9:36" x14ac:dyDescent="0.35">
      <c r="I278" s="49">
        <v>0.120130781613</v>
      </c>
      <c r="J278" s="49">
        <v>1.0191511116174251E-9</v>
      </c>
      <c r="K278" s="49">
        <v>2.0789788169912976E-10</v>
      </c>
      <c r="L278" s="152">
        <v>4.2321208512474459E-10</v>
      </c>
      <c r="M278" s="34"/>
      <c r="U278" s="127">
        <v>3.8271324820642579E-10</v>
      </c>
      <c r="V278" s="127">
        <v>4.2321208512474459E-10</v>
      </c>
      <c r="W278" s="127">
        <v>4.2136386394385205E-10</v>
      </c>
      <c r="X278" s="128">
        <f t="shared" ref="X278:X279" si="10">(U278+2*V278+W278)/4</f>
        <v>4.1262532059994178E-10</v>
      </c>
      <c r="Y278" s="139">
        <f t="shared" ref="Y278:Y279" si="11">(J278-X278)*(J278-X278)/(K278*K278)</f>
        <v>8.5113493634056372</v>
      </c>
      <c r="AA278" s="73"/>
      <c r="AB278" s="176"/>
      <c r="AC278" s="176"/>
      <c r="AD278" s="176"/>
      <c r="AJ278" s="136"/>
    </row>
    <row r="279" spans="9:36" x14ac:dyDescent="0.35">
      <c r="I279" s="49">
        <v>0.12133208942900001</v>
      </c>
      <c r="J279" s="49">
        <v>1.3372944080717663E-9</v>
      </c>
      <c r="K279" s="49">
        <v>2.3756024997059769E-10</v>
      </c>
      <c r="L279" s="152">
        <v>4.1362479627756611E-10</v>
      </c>
      <c r="M279" s="35"/>
      <c r="U279" s="127">
        <v>3.6379381559233223E-10</v>
      </c>
      <c r="V279" s="127">
        <v>4.1362479627756611E-10</v>
      </c>
      <c r="W279" s="127">
        <v>3.6545278715894059E-10</v>
      </c>
      <c r="X279" s="128">
        <f t="shared" si="10"/>
        <v>3.8912404882660123E-10</v>
      </c>
      <c r="Y279" s="139">
        <f t="shared" si="11"/>
        <v>15.930345767757203</v>
      </c>
      <c r="AA279" s="73"/>
      <c r="AB279" s="176"/>
      <c r="AC279" s="176"/>
      <c r="AD279" s="176"/>
      <c r="AJ279" s="136"/>
    </row>
    <row r="280" spans="9:36" x14ac:dyDescent="0.35">
      <c r="I280" s="49">
        <v>0.122545410323</v>
      </c>
      <c r="J280" s="49">
        <v>1.4054644705954485E-9</v>
      </c>
      <c r="K280" s="49">
        <v>2.5629771748364142E-10</v>
      </c>
      <c r="L280" s="152">
        <v>3.6719351020162049E-10</v>
      </c>
      <c r="M280" s="33"/>
      <c r="U280" s="127">
        <v>3.7048553489541836E-10</v>
      </c>
      <c r="V280" s="127">
        <v>3.6719351020162049E-10</v>
      </c>
      <c r="W280" s="127">
        <v>3.4056691452460716E-10</v>
      </c>
      <c r="X280" s="128">
        <f t="shared" ref="X280:X285" si="12">(U280+2*V280+W280)/4</f>
        <v>3.6135986745581662E-10</v>
      </c>
      <c r="Y280" s="139">
        <f t="shared" ref="Y280:Y285" si="13">(J280-X280)*(J280-X280)/(K280*K280)</f>
        <v>16.595813431444778</v>
      </c>
      <c r="AA280" s="73"/>
      <c r="AB280" s="176"/>
      <c r="AC280" s="176"/>
      <c r="AD280" s="176"/>
      <c r="AJ280" s="136"/>
    </row>
    <row r="281" spans="9:36" x14ac:dyDescent="0.35">
      <c r="I281" s="49">
        <v>0.123770864427</v>
      </c>
      <c r="J281" s="49">
        <v>1.0424047045788619E-9</v>
      </c>
      <c r="K281" s="49">
        <v>2.4492228118254799E-10</v>
      </c>
      <c r="L281" s="152">
        <v>3.1622432956545806E-10</v>
      </c>
      <c r="M281" s="34"/>
      <c r="U281" s="127">
        <v>3.5903639287694976E-10</v>
      </c>
      <c r="V281" s="127">
        <v>3.1622432956545806E-10</v>
      </c>
      <c r="W281" s="127">
        <v>3.3968142831621826E-10</v>
      </c>
      <c r="X281" s="128">
        <f t="shared" si="12"/>
        <v>3.3279162008102102E-10</v>
      </c>
      <c r="Y281" s="139">
        <f t="shared" si="13"/>
        <v>8.3943415935837837</v>
      </c>
      <c r="AA281" s="73"/>
      <c r="AB281" s="176"/>
      <c r="AC281" s="176"/>
      <c r="AD281" s="176"/>
      <c r="AJ281" s="136"/>
    </row>
    <row r="282" spans="9:36" x14ac:dyDescent="0.35">
      <c r="I282" s="49">
        <v>0.125008573071</v>
      </c>
      <c r="J282" s="49">
        <v>1.1492256622756225E-9</v>
      </c>
      <c r="K282" s="49">
        <v>2.5029298183690749E-10</v>
      </c>
      <c r="L282" s="152">
        <v>2.9321858600357362E-10</v>
      </c>
      <c r="M282" s="34"/>
      <c r="U282" s="127">
        <v>3.1586006447126425E-10</v>
      </c>
      <c r="V282" s="127">
        <v>2.9321858600357362E-10</v>
      </c>
      <c r="W282" s="127">
        <v>3.2729041364860774E-10</v>
      </c>
      <c r="X282" s="128">
        <f t="shared" si="12"/>
        <v>3.0739691253175478E-10</v>
      </c>
      <c r="Y282" s="139">
        <f t="shared" si="13"/>
        <v>11.312280424297585</v>
      </c>
      <c r="AA282" s="73"/>
      <c r="AB282" s="176"/>
      <c r="AC282" s="176"/>
      <c r="AD282" s="176"/>
      <c r="AJ282" s="136"/>
    </row>
    <row r="283" spans="9:36" x14ac:dyDescent="0.35">
      <c r="I283" s="49">
        <v>0.12625865880199999</v>
      </c>
      <c r="J283" s="49">
        <v>1.1728694339108792E-9</v>
      </c>
      <c r="K283" s="49">
        <v>2.5136920366111931E-10</v>
      </c>
      <c r="L283" s="152">
        <v>2.9026179043793521E-10</v>
      </c>
      <c r="M283" s="33"/>
      <c r="U283" s="127">
        <v>2.6919892046972589E-10</v>
      </c>
      <c r="V283" s="127">
        <v>2.9026179043793521E-10</v>
      </c>
      <c r="W283" s="127">
        <v>2.8983582947715758E-10</v>
      </c>
      <c r="X283" s="128">
        <f t="shared" si="12"/>
        <v>2.8488958270568848E-10</v>
      </c>
      <c r="Y283" s="139">
        <f t="shared" si="13"/>
        <v>12.479066078832659</v>
      </c>
      <c r="AA283" s="73"/>
      <c r="AB283" s="176"/>
      <c r="AC283" s="176"/>
      <c r="AD283" s="176"/>
      <c r="AJ283" s="136"/>
    </row>
    <row r="284" spans="9:36" x14ac:dyDescent="0.35">
      <c r="I284" s="49">
        <v>0.12752124539000001</v>
      </c>
      <c r="J284" s="49">
        <v>1.3515962823964629E-9</v>
      </c>
      <c r="K284" s="49">
        <v>2.8798584657901805E-10</v>
      </c>
      <c r="L284" s="152">
        <v>2.7648368396909011E-10</v>
      </c>
      <c r="M284" s="34"/>
      <c r="U284" s="127">
        <v>2.468746466455454E-10</v>
      </c>
      <c r="V284" s="127">
        <v>2.7648368396909011E-10</v>
      </c>
      <c r="W284" s="127">
        <v>2.4879406327554167E-10</v>
      </c>
      <c r="X284" s="128">
        <f t="shared" si="12"/>
        <v>2.6215901946481686E-10</v>
      </c>
      <c r="Y284" s="139">
        <f t="shared" si="13"/>
        <v>14.310742349908839</v>
      </c>
      <c r="AA284" s="73"/>
      <c r="AB284" s="176"/>
      <c r="AC284" s="176"/>
      <c r="AD284" s="176"/>
      <c r="AJ284" s="136"/>
    </row>
    <row r="285" spans="9:36" x14ac:dyDescent="0.35">
      <c r="I285" s="49">
        <v>0.12879645784400001</v>
      </c>
      <c r="J285" s="49">
        <v>9.0639249197119357E-10</v>
      </c>
      <c r="K285" s="49">
        <v>2.6409425625218042E-10</v>
      </c>
      <c r="L285" s="152">
        <v>2.4127718917816624E-10</v>
      </c>
      <c r="M285" s="34"/>
      <c r="U285" s="127">
        <v>2.4204208621317639E-10</v>
      </c>
      <c r="V285" s="127">
        <v>2.4127718917816624E-10</v>
      </c>
      <c r="W285" s="127">
        <v>2.2685786689080505E-10</v>
      </c>
      <c r="X285" s="128">
        <f t="shared" si="12"/>
        <v>2.3786358286507847E-10</v>
      </c>
      <c r="Y285" s="139">
        <f t="shared" si="13"/>
        <v>6.4079995485693395</v>
      </c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8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8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8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8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8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8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8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8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8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8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8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8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8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8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8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8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8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8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8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8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8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8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8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A66" sqref="A66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86.610958089002196</v>
      </c>
      <c r="C2" s="165">
        <f>dDstack!D4</f>
        <v>33.061415843719992</v>
      </c>
      <c r="D2" s="169"/>
    </row>
    <row r="3" spans="1:4" ht="18" x14ac:dyDescent="0.35">
      <c r="A3" s="93" t="s">
        <v>628</v>
      </c>
      <c r="B3" s="165">
        <f>Reflectivity!H10</f>
        <v>1082.6136003019171</v>
      </c>
      <c r="C3" s="165">
        <f>dTotal!D4</f>
        <v>7.9539774309570328</v>
      </c>
      <c r="D3" s="169"/>
    </row>
    <row r="4" spans="1:4" ht="18" x14ac:dyDescent="0.35">
      <c r="A4" s="93" t="s">
        <v>629</v>
      </c>
      <c r="B4" s="165">
        <f>B3-B2</f>
        <v>996.00264221291491</v>
      </c>
      <c r="C4" s="165">
        <f>SQRT(C2^2+C3^2)</f>
        <v>34.004749294231729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55.709358471235909</v>
      </c>
      <c r="C6" s="165">
        <f>sigDstack!D4</f>
        <v>16.664028237346681</v>
      </c>
      <c r="D6" s="169"/>
    </row>
    <row r="7" spans="1:4" ht="18" x14ac:dyDescent="0.35">
      <c r="A7" s="93" t="s">
        <v>624</v>
      </c>
      <c r="B7" s="165">
        <f>Reflectivity!G5</f>
        <v>25.429732576720873</v>
      </c>
      <c r="C7" s="165">
        <f>sigHstack!D4</f>
        <v>193.83368378281654</v>
      </c>
      <c r="D7" s="167"/>
    </row>
    <row r="9" spans="1:4" ht="18" x14ac:dyDescent="0.35">
      <c r="A9" s="93" t="s">
        <v>622</v>
      </c>
      <c r="B9" s="167">
        <f>Reflectivity!H18</f>
        <v>0.11625992534652416</v>
      </c>
      <c r="C9" s="167">
        <f>'f_d^D'!D4</f>
        <v>5.1466752112139733E-2</v>
      </c>
      <c r="D9" s="165"/>
    </row>
    <row r="10" spans="1:4" ht="18" x14ac:dyDescent="0.35">
      <c r="A10" s="93" t="s">
        <v>619</v>
      </c>
      <c r="B10" s="167">
        <f>Reflectivity!H20</f>
        <v>1.8180686502929699E-2</v>
      </c>
      <c r="C10" s="167">
        <f>'f_d^H'!D4</f>
        <v>2.2755955426207796E-2</v>
      </c>
      <c r="D10" s="165"/>
    </row>
    <row r="11" spans="1:4" ht="18" x14ac:dyDescent="0.35">
      <c r="A11" s="93" t="s">
        <v>616</v>
      </c>
      <c r="B11" s="167">
        <f>Reflectivity!H16</f>
        <v>0.33941491614281738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1.3644558148159582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1.9107582571480411E-6</v>
      </c>
      <c r="C14" s="168">
        <f>SQRT(C12^2*B15^2+C11^2*B16^2+C9^2*B17^2)</f>
        <v>1.535884089757201E-7</v>
      </c>
      <c r="D14" s="168">
        <f>NbDstack!D4</f>
        <v>1.2054560720738466E-7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1.4003811896288995E-6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-3.6026969090623014E-7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2.6329106863672814E-6</v>
      </c>
      <c r="C17" s="168"/>
      <c r="D17" s="167"/>
    </row>
    <row r="19" spans="1:4" ht="18" x14ac:dyDescent="0.35">
      <c r="A19" s="93" t="s">
        <v>641</v>
      </c>
      <c r="B19" s="168">
        <f>Reflectivity!C5</f>
        <v>1.6525243810859722E-6</v>
      </c>
      <c r="C19" s="168">
        <f>SQRT(C12^2*B20^2+C11^2*B21^2+C10^2*B22^2)</f>
        <v>1.0197496639689204E-7</v>
      </c>
      <c r="D19" s="168">
        <f>NbHstack!D4</f>
        <v>6.2411827647408363E-8</v>
      </c>
    </row>
    <row r="20" spans="1:4" ht="18" x14ac:dyDescent="0.35">
      <c r="A20" s="93" t="s">
        <v>642</v>
      </c>
      <c r="B20" s="168">
        <f>B19/B12</f>
        <v>1.2111234113571273E-6</v>
      </c>
      <c r="C20" s="168"/>
      <c r="D20" s="167"/>
    </row>
    <row r="21" spans="1:4" ht="18" x14ac:dyDescent="0.35">
      <c r="A21" s="93" t="s">
        <v>643</v>
      </c>
      <c r="B21" s="168">
        <f>B12*(-Reflectivity!C16+(1-B10)*Reflectivity!D16+B10*(Reflectivity!E18/Reflectivity!D18)*Reflectivity!E16)</f>
        <v>-1.1210903377908543E-6</v>
      </c>
      <c r="C21" s="168"/>
      <c r="D21" s="167"/>
    </row>
    <row r="22" spans="1:4" ht="18" x14ac:dyDescent="0.35">
      <c r="A22" s="93" t="s">
        <v>644</v>
      </c>
      <c r="B22" s="168">
        <f>B12*B11*(-Reflectivity!D16+(Reflectivity!E18/Reflectivity!D18)*Reflectivity!E16)</f>
        <v>2.6329106863672814E-6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1072</v>
      </c>
      <c r="C2" s="105">
        <v>1092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1072</v>
      </c>
      <c r="B4" s="94">
        <v>4.6577150624502099</v>
      </c>
      <c r="C4" s="106">
        <v>1082.6136003019171</v>
      </c>
      <c r="D4" s="106">
        <v>7.9539774309570328</v>
      </c>
    </row>
    <row r="5" spans="1:5" x14ac:dyDescent="0.35">
      <c r="A5" s="106">
        <v>1076</v>
      </c>
      <c r="B5" s="94">
        <v>3.5600603937980821</v>
      </c>
      <c r="C5" s="94"/>
      <c r="D5" s="94"/>
    </row>
    <row r="6" spans="1:5" x14ac:dyDescent="0.35">
      <c r="A6" s="106">
        <v>1080</v>
      </c>
      <c r="B6" s="94">
        <v>2.9774134728824269</v>
      </c>
      <c r="C6" s="94"/>
      <c r="D6" s="94"/>
    </row>
    <row r="7" spans="1:5" x14ac:dyDescent="0.35">
      <c r="A7" s="106">
        <v>1084</v>
      </c>
      <c r="B7" s="94">
        <v>2.9064035097321854</v>
      </c>
      <c r="C7" s="94"/>
      <c r="D7" s="94"/>
    </row>
    <row r="8" spans="1:5" x14ac:dyDescent="0.35">
      <c r="A8" s="106">
        <v>1088</v>
      </c>
      <c r="B8" s="94">
        <v>3.3387192257920386</v>
      </c>
      <c r="C8" s="94"/>
      <c r="D8" s="94"/>
    </row>
    <row r="9" spans="1:5" x14ac:dyDescent="0.35">
      <c r="A9" s="106">
        <v>1092</v>
      </c>
      <c r="B9" s="94">
        <v>4.2615903914319668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50</v>
      </c>
      <c r="C2" s="105">
        <v>100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4.1309698924517608</v>
      </c>
      <c r="C4" s="106">
        <v>86.610958089002196</v>
      </c>
      <c r="D4" s="106">
        <v>33.061415843719992</v>
      </c>
    </row>
    <row r="5" spans="1:5" x14ac:dyDescent="0.35">
      <c r="A5" s="106">
        <v>60</v>
      </c>
      <c r="B5" s="94">
        <v>3.6050273614877186</v>
      </c>
      <c r="C5" s="94"/>
      <c r="D5" s="94"/>
    </row>
    <row r="6" spans="1:5" x14ac:dyDescent="0.35">
      <c r="A6" s="106">
        <v>70</v>
      </c>
      <c r="B6" s="94">
        <v>3.1879163080294539</v>
      </c>
      <c r="C6" s="94"/>
      <c r="D6" s="94"/>
    </row>
    <row r="7" spans="1:5" x14ac:dyDescent="0.35">
      <c r="A7" s="106">
        <v>80</v>
      </c>
      <c r="B7" s="94">
        <v>2.9455370265777958</v>
      </c>
      <c r="C7" s="94"/>
      <c r="D7" s="94"/>
    </row>
    <row r="8" spans="1:5" x14ac:dyDescent="0.35">
      <c r="A8" s="106">
        <v>90</v>
      </c>
      <c r="B8" s="94">
        <v>2.9173378874735514</v>
      </c>
      <c r="C8" s="94"/>
      <c r="D8" s="94"/>
    </row>
    <row r="9" spans="1:5" x14ac:dyDescent="0.35">
      <c r="A9" s="106">
        <v>100</v>
      </c>
      <c r="B9" s="94">
        <v>3.1049148387969101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0.03</v>
      </c>
      <c r="C2" s="162">
        <v>0.23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0.03</v>
      </c>
      <c r="B4" s="94">
        <v>5.4437713207022327</v>
      </c>
      <c r="C4" s="161">
        <v>0.11625992534652416</v>
      </c>
      <c r="D4" s="161">
        <v>5.1466752112139733E-2</v>
      </c>
    </row>
    <row r="5" spans="1:5" x14ac:dyDescent="0.35">
      <c r="A5" s="161">
        <v>7.0000000000000007E-2</v>
      </c>
      <c r="B5" s="94">
        <v>3.8807771904373212</v>
      </c>
      <c r="C5" s="94"/>
      <c r="D5" s="94"/>
    </row>
    <row r="6" spans="1:5" x14ac:dyDescent="0.35">
      <c r="A6" s="161">
        <v>0.11</v>
      </c>
      <c r="B6" s="94">
        <v>2.9967675783889329</v>
      </c>
      <c r="C6" s="94"/>
      <c r="D6" s="94"/>
    </row>
    <row r="7" spans="1:5" x14ac:dyDescent="0.35">
      <c r="A7" s="161">
        <v>0.15</v>
      </c>
      <c r="B7" s="94">
        <v>3.1073232018859436</v>
      </c>
      <c r="C7" s="94"/>
      <c r="D7" s="94"/>
    </row>
    <row r="8" spans="1:5" x14ac:dyDescent="0.35">
      <c r="A8" s="161">
        <v>0.19</v>
      </c>
      <c r="B8" s="94">
        <v>4.5925739541291453</v>
      </c>
      <c r="C8" s="94"/>
      <c r="D8" s="94"/>
    </row>
    <row r="9" spans="1:5" x14ac:dyDescent="0.35">
      <c r="A9" s="161">
        <v>0.23</v>
      </c>
      <c r="B9" s="94">
        <v>7.8994313583661784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640</v>
      </c>
      <c r="B2" s="162">
        <v>0</v>
      </c>
      <c r="C2" s="162">
        <v>0.06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</v>
      </c>
      <c r="B4" s="94">
        <v>3.4747348551462456</v>
      </c>
      <c r="C4" s="161">
        <v>1.8180686502929699E-2</v>
      </c>
      <c r="D4" s="161">
        <v>2.2755955426207796E-2</v>
      </c>
    </row>
    <row r="5" spans="1:5" x14ac:dyDescent="0.35">
      <c r="A5" s="161">
        <v>1.2E-2</v>
      </c>
      <c r="B5" s="94">
        <v>2.9446062266525628</v>
      </c>
      <c r="C5" s="94"/>
      <c r="D5" s="94"/>
    </row>
    <row r="6" spans="1:5" x14ac:dyDescent="0.35">
      <c r="A6" s="161">
        <v>2.4E-2</v>
      </c>
      <c r="B6" s="94">
        <v>2.9283009611079645</v>
      </c>
      <c r="C6" s="94"/>
      <c r="D6" s="94"/>
    </row>
    <row r="7" spans="1:5" x14ac:dyDescent="0.35">
      <c r="A7" s="161">
        <v>3.6000000000000004E-2</v>
      </c>
      <c r="B7" s="94">
        <v>3.4518842436515649</v>
      </c>
      <c r="C7" s="94"/>
      <c r="D7" s="94"/>
    </row>
    <row r="8" spans="1:5" x14ac:dyDescent="0.35">
      <c r="A8" s="161">
        <v>4.8000000000000001E-2</v>
      </c>
      <c r="B8" s="94">
        <v>4.5480701902494882</v>
      </c>
      <c r="C8" s="94"/>
      <c r="D8" s="94"/>
    </row>
    <row r="9" spans="1:5" x14ac:dyDescent="0.35">
      <c r="A9" s="161">
        <v>0.06</v>
      </c>
      <c r="B9" s="94">
        <v>6.2424631552721577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43</v>
      </c>
      <c r="C2" s="105">
        <v>73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43</v>
      </c>
      <c r="B4" s="94">
        <v>3.4840630353853332</v>
      </c>
      <c r="C4" s="106">
        <v>55.709358471235909</v>
      </c>
      <c r="D4" s="106">
        <v>16.664028237346681</v>
      </c>
    </row>
    <row r="5" spans="1:5" x14ac:dyDescent="0.35">
      <c r="A5" s="106">
        <v>49</v>
      </c>
      <c r="B5" s="94">
        <v>3.019162192709802</v>
      </c>
      <c r="C5" s="94"/>
      <c r="D5" s="94"/>
    </row>
    <row r="6" spans="1:5" x14ac:dyDescent="0.35">
      <c r="A6" s="106">
        <v>55</v>
      </c>
      <c r="B6" s="94">
        <v>2.8685265777517546</v>
      </c>
      <c r="C6" s="94"/>
      <c r="D6" s="94"/>
    </row>
    <row r="7" spans="1:5" x14ac:dyDescent="0.35">
      <c r="A7" s="106">
        <v>61</v>
      </c>
      <c r="B7" s="94">
        <v>2.9992789389984966</v>
      </c>
      <c r="C7" s="94"/>
      <c r="D7" s="94"/>
    </row>
    <row r="8" spans="1:5" x14ac:dyDescent="0.35">
      <c r="A8" s="106">
        <v>67</v>
      </c>
      <c r="B8" s="94">
        <v>3.370407186402236</v>
      </c>
      <c r="C8" s="94"/>
      <c r="D8" s="94"/>
    </row>
    <row r="9" spans="1:5" x14ac:dyDescent="0.35">
      <c r="A9" s="106">
        <v>73</v>
      </c>
      <c r="B9" s="94">
        <v>3.9400749309398417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2.8711584838063322</v>
      </c>
      <c r="C4" s="106">
        <v>25.429732576720873</v>
      </c>
      <c r="D4" s="106">
        <v>193.83368378281654</v>
      </c>
    </row>
    <row r="5" spans="1:5" x14ac:dyDescent="0.35">
      <c r="A5" s="106">
        <v>30</v>
      </c>
      <c r="B5" s="94">
        <v>2.8699133440353166</v>
      </c>
      <c r="C5" s="94"/>
      <c r="D5" s="94"/>
    </row>
    <row r="6" spans="1:5" x14ac:dyDescent="0.35">
      <c r="A6" s="106">
        <v>55</v>
      </c>
      <c r="B6" s="94">
        <v>2.8758149001702105</v>
      </c>
      <c r="C6" s="94"/>
      <c r="D6" s="94"/>
    </row>
    <row r="7" spans="1:5" x14ac:dyDescent="0.35">
      <c r="A7" s="106">
        <v>80</v>
      </c>
      <c r="B7" s="94">
        <v>2.9399192487018988</v>
      </c>
      <c r="C7" s="94"/>
      <c r="D7" s="94"/>
    </row>
    <row r="8" spans="1:5" x14ac:dyDescent="0.35">
      <c r="A8" s="106">
        <v>105</v>
      </c>
      <c r="B8" s="94">
        <v>3.0380891129755274</v>
      </c>
      <c r="C8" s="94"/>
      <c r="D8" s="94"/>
    </row>
    <row r="9" spans="1:5" x14ac:dyDescent="0.35">
      <c r="A9" s="106">
        <v>130</v>
      </c>
      <c r="B9" s="94">
        <v>3.1493407745927118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3.4042614466108261</v>
      </c>
      <c r="C4" s="99">
        <v>2.0502093461023852E-6</v>
      </c>
      <c r="D4" s="99">
        <v>6.9248653304882375E-8</v>
      </c>
    </row>
    <row r="5" spans="1:5" x14ac:dyDescent="0.35">
      <c r="A5" s="99">
        <v>2.024E-6</v>
      </c>
      <c r="B5" s="94">
        <v>2.9952029188764224</v>
      </c>
      <c r="C5" s="94"/>
      <c r="D5" s="94"/>
    </row>
    <row r="6" spans="1:5" x14ac:dyDescent="0.35">
      <c r="A6" s="99">
        <v>2.0480000000000001E-6</v>
      </c>
      <c r="B6" s="94">
        <v>2.8781223023460831</v>
      </c>
      <c r="C6" s="94"/>
      <c r="D6" s="94"/>
    </row>
    <row r="7" spans="1:5" x14ac:dyDescent="0.35">
      <c r="A7" s="99">
        <v>2.0719999999999998E-6</v>
      </c>
      <c r="B7" s="94">
        <v>3.0090509625033164</v>
      </c>
      <c r="C7" s="94"/>
      <c r="D7" s="94"/>
    </row>
    <row r="8" spans="1:5" x14ac:dyDescent="0.35">
      <c r="A8" s="99">
        <v>2.0959999999999999E-6</v>
      </c>
      <c r="B8" s="94">
        <v>3.2642379738043745</v>
      </c>
      <c r="C8" s="94"/>
      <c r="D8" s="94"/>
    </row>
    <row r="9" spans="1:5" x14ac:dyDescent="0.35">
      <c r="A9" s="99">
        <v>2.12E-6</v>
      </c>
      <c r="B9" s="94">
        <v>3.9026613097666876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1.7999999999999999E-6</v>
      </c>
      <c r="C2" s="119">
        <v>1.9999999999999999E-6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1.7999999999999999E-6</v>
      </c>
      <c r="B4" s="94">
        <v>3.1969593584789058</v>
      </c>
      <c r="C4" s="99">
        <v>1.8654291875133497E-6</v>
      </c>
      <c r="D4" s="99">
        <v>1.2054560720738466E-7</v>
      </c>
    </row>
    <row r="5" spans="1:5" x14ac:dyDescent="0.35">
      <c r="A5" s="99">
        <v>1.84E-6</v>
      </c>
      <c r="B5" s="94">
        <v>2.9800831019208593</v>
      </c>
      <c r="C5" s="94"/>
      <c r="D5" s="94"/>
    </row>
    <row r="6" spans="1:5" x14ac:dyDescent="0.35">
      <c r="A6" s="99">
        <v>1.88E-6</v>
      </c>
      <c r="B6" s="94">
        <v>2.9424307934521909</v>
      </c>
      <c r="C6" s="94"/>
      <c r="D6" s="94"/>
    </row>
    <row r="7" spans="1:5" x14ac:dyDescent="0.35">
      <c r="A7" s="99">
        <v>1.9199999999999998E-6</v>
      </c>
      <c r="B7" s="94">
        <v>3.1102424948855401</v>
      </c>
      <c r="C7" s="94"/>
      <c r="D7" s="94"/>
    </row>
    <row r="8" spans="1:5" x14ac:dyDescent="0.35">
      <c r="A8" s="99">
        <v>1.9599999999999999E-6</v>
      </c>
      <c r="B8" s="94">
        <v>3.5116550787829057</v>
      </c>
      <c r="C8" s="94"/>
      <c r="D8" s="94"/>
    </row>
    <row r="9" spans="1:5" x14ac:dyDescent="0.35">
      <c r="A9" s="99">
        <v>1.9999999999999999E-6</v>
      </c>
      <c r="B9" s="94">
        <v>4.1767317684395557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1.5799999999999999E-6</v>
      </c>
      <c r="C2" s="119">
        <v>1.68E-6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1.5799999999999999E-6</v>
      </c>
      <c r="B4" s="94">
        <v>4.1277414919308981</v>
      </c>
      <c r="C4" s="99">
        <v>1.6479502078940268E-6</v>
      </c>
      <c r="D4" s="99">
        <v>6.2411827647408363E-8</v>
      </c>
    </row>
    <row r="5" spans="1:5" x14ac:dyDescent="0.35">
      <c r="A5" s="99">
        <v>1.5999999999999999E-6</v>
      </c>
      <c r="B5" s="94">
        <v>3.5366351934032303</v>
      </c>
      <c r="C5" s="94"/>
      <c r="D5" s="94"/>
    </row>
    <row r="6" spans="1:5" x14ac:dyDescent="0.35">
      <c r="A6" s="99">
        <v>1.6199999999999999E-6</v>
      </c>
      <c r="B6" s="94">
        <v>3.1464466307956469</v>
      </c>
      <c r="C6" s="94"/>
      <c r="D6" s="94"/>
    </row>
    <row r="7" spans="1:5" x14ac:dyDescent="0.35">
      <c r="A7" s="99">
        <v>1.64E-6</v>
      </c>
      <c r="B7" s="94">
        <v>2.9591081414230693</v>
      </c>
      <c r="C7" s="94"/>
      <c r="D7" s="94"/>
    </row>
    <row r="8" spans="1:5" x14ac:dyDescent="0.35">
      <c r="A8" s="99">
        <v>1.66E-6</v>
      </c>
      <c r="B8" s="94">
        <v>2.9784114764112939</v>
      </c>
      <c r="C8" s="94"/>
      <c r="D8" s="94"/>
    </row>
    <row r="9" spans="1:5" x14ac:dyDescent="0.35">
      <c r="A9" s="99">
        <v>1.68E-6</v>
      </c>
      <c r="B9" s="94">
        <v>3.209834459687499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726A6-0ADE-4BCC-A8BF-0F2D556247A5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40.16406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638</v>
      </c>
      <c r="D1" s="86" t="s">
        <v>547</v>
      </c>
      <c r="E1" s="86">
        <v>174555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645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646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647</v>
      </c>
      <c r="E4" s="1" t="s">
        <v>639</v>
      </c>
      <c r="F4" s="1">
        <v>22</v>
      </c>
      <c r="G4" s="117">
        <v>0.46582175925925928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174555</v>
      </c>
      <c r="C8" s="1">
        <v>174452</v>
      </c>
      <c r="D8" s="1">
        <v>1.1228499999999999</v>
      </c>
      <c r="E8" s="1">
        <v>13.2996</v>
      </c>
      <c r="F8" s="1">
        <v>16.700600000000001</v>
      </c>
      <c r="G8" s="1">
        <v>7.3000000000000001E-3</v>
      </c>
      <c r="H8" s="1">
        <v>9.1999999999999998E-3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174556</v>
      </c>
      <c r="C9" s="1">
        <v>174453</v>
      </c>
      <c r="D9" s="1">
        <v>1.12195</v>
      </c>
      <c r="E9" s="1">
        <v>10.685600000000001</v>
      </c>
      <c r="F9" s="1">
        <v>14.086499999999999</v>
      </c>
      <c r="G9" s="1">
        <v>8.6999999999999994E-3</v>
      </c>
      <c r="H9" s="1">
        <v>1.15E-2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174557</v>
      </c>
      <c r="C10" s="1">
        <v>174454</v>
      </c>
      <c r="D10" s="1">
        <v>1.12195</v>
      </c>
      <c r="E10" s="1">
        <v>8.0395699999999994</v>
      </c>
      <c r="F10" s="1">
        <v>11.4405</v>
      </c>
      <c r="G10" s="1">
        <v>1.0699999999999999E-2</v>
      </c>
      <c r="H10" s="1">
        <v>1.5299999999999999E-2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174558</v>
      </c>
      <c r="C11" s="1">
        <v>174455</v>
      </c>
      <c r="D11" s="1">
        <v>1.12195</v>
      </c>
      <c r="E11" s="1">
        <v>5.3425500000000001</v>
      </c>
      <c r="F11" s="1">
        <v>8.7435200000000002</v>
      </c>
      <c r="G11" s="1">
        <v>1.4E-2</v>
      </c>
      <c r="H11" s="1">
        <v>2.3E-2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174559</v>
      </c>
      <c r="C12" s="1">
        <v>174456</v>
      </c>
      <c r="D12" s="1">
        <v>1.12195</v>
      </c>
      <c r="E12" s="1">
        <v>2.5495399999999999</v>
      </c>
      <c r="F12" s="1">
        <v>5.9504999999999999</v>
      </c>
      <c r="G12" s="1">
        <v>2.06E-2</v>
      </c>
      <c r="H12" s="1">
        <v>4.82E-2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174560</v>
      </c>
      <c r="C13" s="1">
        <v>174456</v>
      </c>
      <c r="D13" s="1">
        <v>2.2892700000000001</v>
      </c>
      <c r="E13" s="1">
        <v>2.5495399999999999</v>
      </c>
      <c r="F13" s="1">
        <v>5.9504999999999999</v>
      </c>
      <c r="G13" s="1">
        <v>4.2099999999999999E-2</v>
      </c>
      <c r="H13" s="1">
        <v>9.8400000000000001E-2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174561</v>
      </c>
      <c r="C14" s="1">
        <v>174456</v>
      </c>
      <c r="D14" s="1">
        <v>4.6097900000000003</v>
      </c>
      <c r="E14" s="1">
        <v>3.83812</v>
      </c>
      <c r="F14" s="1">
        <v>5.9516400000000003</v>
      </c>
      <c r="G14" s="1">
        <v>8.4900000000000003E-2</v>
      </c>
      <c r="H14" s="1">
        <v>0.13159999999999999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174555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1.04274395579</v>
      </c>
      <c r="K22" s="1">
        <v>5964</v>
      </c>
      <c r="L22" s="1">
        <v>40.544303999999997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174556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1.04274395579</v>
      </c>
      <c r="K23" s="1">
        <v>6003</v>
      </c>
      <c r="L23" s="1">
        <v>20.760031000000001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174557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1.04274395579</v>
      </c>
      <c r="K24" s="1">
        <v>6025</v>
      </c>
      <c r="L24" s="1">
        <v>48.066553999999996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174558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1.04274395579</v>
      </c>
      <c r="K25" s="1">
        <v>6053</v>
      </c>
      <c r="L25" s="1">
        <v>54.803972999999999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174559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5.1700000000000003E-2</v>
      </c>
      <c r="J26" s="1">
        <v>1.04274395579</v>
      </c>
      <c r="K26" s="1">
        <v>18025</v>
      </c>
      <c r="L26" s="1">
        <v>267.20443999999998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174560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1.04274395579</v>
      </c>
      <c r="K27" s="1">
        <v>18013</v>
      </c>
      <c r="L27" s="1">
        <v>763.59329400000001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174561</v>
      </c>
      <c r="D28" s="1">
        <v>174456</v>
      </c>
      <c r="E28" s="1">
        <v>4.6900000000000004</v>
      </c>
      <c r="F28" s="1">
        <v>3.84</v>
      </c>
      <c r="G28" s="1">
        <v>5.95</v>
      </c>
      <c r="H28" s="1">
        <v>8.6400000000000005E-2</v>
      </c>
      <c r="I28" s="1">
        <v>0.13389999999999999</v>
      </c>
      <c r="J28" s="1">
        <v>1.04274395579</v>
      </c>
      <c r="K28" s="1">
        <v>36019</v>
      </c>
      <c r="L28" s="1">
        <v>1013.385193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7.7082384127400002E-3</v>
      </c>
      <c r="B41" s="1">
        <v>1.9816628407400001</v>
      </c>
      <c r="C41" s="1">
        <v>0.39756468318799998</v>
      </c>
      <c r="D41" s="1">
        <v>5.7728948349300001E-4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7.7853207968699998E-3</v>
      </c>
      <c r="B42" s="1">
        <v>1.2645455592499999</v>
      </c>
      <c r="C42" s="1">
        <v>0.17393283013899999</v>
      </c>
      <c r="D42" s="1">
        <v>5.7906237832799998E-4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7.8631740048299998E-3</v>
      </c>
      <c r="B43" s="1">
        <v>1.15242773964</v>
      </c>
      <c r="C43" s="1">
        <v>0.11978717928800001</v>
      </c>
      <c r="D43" s="1">
        <v>5.8085300211099995E-4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7.9418057448799994E-3</v>
      </c>
      <c r="B44" s="1">
        <v>1.1797568107800001</v>
      </c>
      <c r="C44" s="1">
        <v>9.7639432584200006E-2</v>
      </c>
      <c r="D44" s="1">
        <v>5.8266153213199997E-4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8.0212238023300002E-3</v>
      </c>
      <c r="B45" s="1">
        <v>0.93112400803899997</v>
      </c>
      <c r="C45" s="1">
        <v>7.8713769071799999E-2</v>
      </c>
      <c r="D45" s="1">
        <v>5.8448814745400005E-4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8.1014360403499994E-3</v>
      </c>
      <c r="B46" s="1">
        <v>0.98410970853599999</v>
      </c>
      <c r="C46" s="1">
        <v>7.4879672140899994E-2</v>
      </c>
      <c r="D46" s="1">
        <v>5.8633302892800005E-4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8.1824504007600007E-3</v>
      </c>
      <c r="B47" s="1">
        <v>0.99063159843299997</v>
      </c>
      <c r="C47" s="1">
        <v>7.4053054813999999E-2</v>
      </c>
      <c r="D47" s="1">
        <v>5.8819635921700004E-4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8.2642749047700005E-3</v>
      </c>
      <c r="B48" s="1">
        <v>1.1071633034499999</v>
      </c>
      <c r="C48" s="1">
        <v>7.5187982590899996E-2</v>
      </c>
      <c r="D48" s="1">
        <v>5.9007832281000004E-4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8.3469176538099998E-3</v>
      </c>
      <c r="B49" s="1">
        <v>1.0452890902700001</v>
      </c>
      <c r="C49" s="1">
        <v>6.9019374059899996E-2</v>
      </c>
      <c r="D49" s="1">
        <v>5.9197910603799996E-4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8.4303868303500003E-3</v>
      </c>
      <c r="B50" s="1">
        <v>0.97354266881999996</v>
      </c>
      <c r="C50" s="1">
        <v>6.2940926624900001E-2</v>
      </c>
      <c r="D50" s="1">
        <v>5.9389889709799998E-4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8.5146906986500008E-3</v>
      </c>
      <c r="B51" s="1">
        <v>1.05083886753</v>
      </c>
      <c r="C51" s="1">
        <v>6.49207158378E-2</v>
      </c>
      <c r="D51" s="1">
        <v>5.9583788606899996E-4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8.5998376056400008E-3</v>
      </c>
      <c r="B52" s="1">
        <v>0.94514439092400004</v>
      </c>
      <c r="C52" s="1">
        <v>5.9781491563500003E-2</v>
      </c>
      <c r="D52" s="1">
        <v>5.9779626492999997E-4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8.6858359817000002E-3</v>
      </c>
      <c r="B53" s="1">
        <v>0.88655641816099995</v>
      </c>
      <c r="C53" s="1">
        <v>5.6862506908099998E-2</v>
      </c>
      <c r="D53" s="1">
        <v>5.9977422757899999E-4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8.7726943415100001E-3</v>
      </c>
      <c r="B54" s="1">
        <v>0.99185135186399997</v>
      </c>
      <c r="C54" s="1">
        <v>5.8529179094800002E-2</v>
      </c>
      <c r="D54" s="1">
        <v>6.0177196985499999E-4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8.86042128493E-3</v>
      </c>
      <c r="B55" s="1">
        <v>1.02202687934</v>
      </c>
      <c r="C55" s="1">
        <v>4.7300726501799999E-2</v>
      </c>
      <c r="D55" s="1">
        <v>6.0378968955299996E-4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8.9490254977800006E-3</v>
      </c>
      <c r="B56" s="1">
        <v>0.93761083356200003</v>
      </c>
      <c r="C56" s="1">
        <v>4.3380669419700001E-2</v>
      </c>
      <c r="D56" s="1">
        <v>6.0582758644900001E-4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9.0385157527600006E-3</v>
      </c>
      <c r="B57" s="1">
        <v>1.03780587403</v>
      </c>
      <c r="C57" s="1">
        <v>4.47445006723E-2</v>
      </c>
      <c r="D57" s="1">
        <v>6.0788586231300004E-4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9.1289009102799995E-3</v>
      </c>
      <c r="B58" s="1">
        <v>1.0089276406500001</v>
      </c>
      <c r="C58" s="1">
        <v>4.3431969105099999E-2</v>
      </c>
      <c r="D58" s="1">
        <v>6.0996472093700004E-4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9.2201899193900001E-3</v>
      </c>
      <c r="B59" s="1">
        <v>1.05548320496</v>
      </c>
      <c r="C59" s="1">
        <v>7.6173931549699994E-2</v>
      </c>
      <c r="D59" s="1">
        <v>6.1206436814599996E-4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9.3123918185800004E-3</v>
      </c>
      <c r="B60" s="1">
        <v>0.94637358966899998</v>
      </c>
      <c r="C60" s="1">
        <v>6.8728496859799995E-2</v>
      </c>
      <c r="D60" s="1">
        <v>6.1418501182700005E-4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9.4055157367700006E-3</v>
      </c>
      <c r="B61" s="1">
        <v>1.0493441906100001</v>
      </c>
      <c r="C61" s="1">
        <v>7.1524495522199999E-2</v>
      </c>
      <c r="D61" s="1">
        <v>6.1632686194599997E-4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9.4995708941299998E-3</v>
      </c>
      <c r="B62" s="1">
        <v>1.07589455394</v>
      </c>
      <c r="C62" s="1">
        <v>6.9727686124599994E-2</v>
      </c>
      <c r="D62" s="1">
        <v>6.1849013056499997E-4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9.5945666030799997E-3</v>
      </c>
      <c r="B63" s="1">
        <v>1.0536651612900001</v>
      </c>
      <c r="C63" s="1">
        <v>6.7036218661500002E-2</v>
      </c>
      <c r="D63" s="1">
        <v>6.2067503187099998E-4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9.69051226911E-3</v>
      </c>
      <c r="B64" s="1">
        <v>1.08225484999</v>
      </c>
      <c r="C64" s="1">
        <v>6.6304906601399996E-2</v>
      </c>
      <c r="D64" s="1">
        <v>6.2288178218900003E-4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9.7874173918000001E-3</v>
      </c>
      <c r="B65" s="1">
        <v>0.94175594076199998</v>
      </c>
      <c r="C65" s="1">
        <v>5.99908698601E-2</v>
      </c>
      <c r="D65" s="1">
        <v>6.2511060001099999E-4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9.8852915657199995E-3</v>
      </c>
      <c r="B66" s="1">
        <v>0.82232227795500001</v>
      </c>
      <c r="C66" s="1">
        <v>5.5057701128300003E-2</v>
      </c>
      <c r="D66" s="1">
        <v>6.2736170601099999E-4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9.9841444813699998E-3</v>
      </c>
      <c r="B67" s="1">
        <v>0.73638698007799996</v>
      </c>
      <c r="C67" s="1">
        <v>5.0347671987999998E-2</v>
      </c>
      <c r="D67" s="1">
        <v>6.2963532307199995E-4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1.0083985926200001E-2</v>
      </c>
      <c r="B68" s="1">
        <v>0.68130989936099995</v>
      </c>
      <c r="C68" s="1">
        <v>4.7066798685499997E-2</v>
      </c>
      <c r="D68" s="1">
        <v>6.3193167630200004E-4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1.01848257854E-2</v>
      </c>
      <c r="B69" s="1">
        <v>0.55488909785200002</v>
      </c>
      <c r="C69" s="1">
        <v>4.1537046889700002E-2</v>
      </c>
      <c r="D69" s="1">
        <v>6.3425099306499996E-4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1.02866740433E-2</v>
      </c>
      <c r="B70" s="1">
        <v>0.48659231684299997</v>
      </c>
      <c r="C70" s="1">
        <v>3.8152827799300001E-2</v>
      </c>
      <c r="D70" s="1">
        <v>6.3659350299599996E-4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1.03895407837E-2</v>
      </c>
      <c r="B71" s="1">
        <v>0.34867730397199997</v>
      </c>
      <c r="C71" s="1">
        <v>3.1290646310600002E-2</v>
      </c>
      <c r="D71" s="1">
        <v>6.3895943802600005E-4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1.04934361916E-2</v>
      </c>
      <c r="B72" s="1">
        <v>0.358721157939</v>
      </c>
      <c r="C72" s="1">
        <v>3.1677589085700002E-2</v>
      </c>
      <c r="D72" s="1">
        <v>6.4134903240600002E-4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1.05983705535E-2</v>
      </c>
      <c r="B73" s="1">
        <v>0.27486415047000001</v>
      </c>
      <c r="C73" s="1">
        <v>2.6811963951199998E-2</v>
      </c>
      <c r="D73" s="1">
        <v>6.4376252273E-4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1.0704354259E-2</v>
      </c>
      <c r="B74" s="1">
        <v>0.28120955626900002</v>
      </c>
      <c r="C74" s="1">
        <v>2.6680814836900001E-2</v>
      </c>
      <c r="D74" s="1">
        <v>6.46200147958E-4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1.08113978016E-2</v>
      </c>
      <c r="B75" s="1">
        <v>0.28001285816499999</v>
      </c>
      <c r="C75" s="1">
        <v>2.5678312880600001E-2</v>
      </c>
      <c r="D75" s="1">
        <v>6.4866214943700004E-4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1.0919511779600001E-2</v>
      </c>
      <c r="B76" s="1">
        <v>0.24861123862699999</v>
      </c>
      <c r="C76" s="1">
        <v>1.37344163515E-2</v>
      </c>
      <c r="D76" s="1">
        <v>6.5114877093200004E-4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1.1028706897400001E-2</v>
      </c>
      <c r="B77" s="1">
        <v>0.24544579359599999</v>
      </c>
      <c r="C77" s="1">
        <v>1.31326853817E-2</v>
      </c>
      <c r="D77" s="1">
        <v>6.5366025864100003E-4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1.11389939664E-2</v>
      </c>
      <c r="B78" s="1">
        <v>0.2380529146</v>
      </c>
      <c r="C78" s="1">
        <v>1.2748664851199999E-2</v>
      </c>
      <c r="D78" s="1">
        <v>6.5619686122700004E-4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1.12503839061E-2</v>
      </c>
      <c r="B79" s="1">
        <v>0.18336830897299999</v>
      </c>
      <c r="C79" s="1">
        <v>1.08338559958E-2</v>
      </c>
      <c r="D79" s="1">
        <v>6.5875882983899999E-4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1.1362887745099999E-2</v>
      </c>
      <c r="B80" s="1">
        <v>0.17168241889800001</v>
      </c>
      <c r="C80" s="1">
        <v>1.2372870704499999E-2</v>
      </c>
      <c r="D80" s="1">
        <v>6.6134641813799997E-4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1.14765166226E-2</v>
      </c>
      <c r="B81" s="1">
        <v>0.142615809766</v>
      </c>
      <c r="C81" s="1">
        <v>1.09850579329E-2</v>
      </c>
      <c r="D81" s="1">
        <v>6.6395988231899997E-4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1.1591281788799999E-2</v>
      </c>
      <c r="B82" s="1">
        <v>0.120690416405</v>
      </c>
      <c r="C82" s="1">
        <v>9.8655713734899994E-3</v>
      </c>
      <c r="D82" s="1">
        <v>6.6659948114199997E-4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1.17071946067E-2</v>
      </c>
      <c r="B83" s="1">
        <v>0.106986328699</v>
      </c>
      <c r="C83" s="1">
        <v>9.0137182025100005E-3</v>
      </c>
      <c r="D83" s="1">
        <v>6.69265475954E-4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1.18242665528E-2</v>
      </c>
      <c r="B84" s="1">
        <v>0.10512289898299999</v>
      </c>
      <c r="C84" s="1">
        <v>8.7763152992600003E-3</v>
      </c>
      <c r="D84" s="1">
        <v>6.7195813071299995E-4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1.19425092183E-2</v>
      </c>
      <c r="B85" s="1">
        <v>5.9797721960400001E-2</v>
      </c>
      <c r="C85" s="1">
        <v>6.8299719650800001E-3</v>
      </c>
      <c r="D85" s="1">
        <v>6.7467771202100004E-4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1.2061934310500001E-2</v>
      </c>
      <c r="B86" s="1">
        <v>5.1439412605599998E-2</v>
      </c>
      <c r="C86" s="1">
        <v>6.0002609511199999E-3</v>
      </c>
      <c r="D86" s="1">
        <v>6.7742448914099999E-4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1.2182553653599999E-2</v>
      </c>
      <c r="B87" s="1">
        <v>3.6142952237099998E-2</v>
      </c>
      <c r="C87" s="1">
        <v>5.1797911103399997E-3</v>
      </c>
      <c r="D87" s="1">
        <v>6.8019873403200003E-4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1.2304379190100001E-2</v>
      </c>
      <c r="B88" s="1">
        <v>2.61926335745E-2</v>
      </c>
      <c r="C88" s="1">
        <v>4.3505283722400003E-3</v>
      </c>
      <c r="D88" s="1">
        <v>6.8300072137200002E-4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1.2427422981999999E-2</v>
      </c>
      <c r="B89" s="1">
        <v>2.7433415382699999E-2</v>
      </c>
      <c r="C89" s="1">
        <v>4.3066368193500001E-3</v>
      </c>
      <c r="D89" s="1">
        <v>6.8583072858600003E-4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1.25516972118E-2</v>
      </c>
      <c r="B90" s="1">
        <v>1.36838186319E-2</v>
      </c>
      <c r="C90" s="1">
        <v>3.3795377058199998E-3</v>
      </c>
      <c r="D90" s="1">
        <v>6.8868903587199996E-4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1.26772141839E-2</v>
      </c>
      <c r="B91" s="1">
        <v>1.03601070787E-2</v>
      </c>
      <c r="C91" s="1">
        <v>3.1187618436900001E-3</v>
      </c>
      <c r="D91" s="1">
        <v>6.9157592623100004E-4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1.28039863258E-2</v>
      </c>
      <c r="B92" s="1">
        <v>7.7278392962600003E-3</v>
      </c>
      <c r="C92" s="1">
        <v>2.6692986626399998E-3</v>
      </c>
      <c r="D92" s="86">
        <v>6.9449168549300003E-4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1.2932026189000001E-2</v>
      </c>
      <c r="B93" s="1">
        <v>5.31611618378E-3</v>
      </c>
      <c r="C93" s="1">
        <v>2.4401062177200001E-3</v>
      </c>
      <c r="D93" s="1">
        <v>6.9743660234799999E-4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1.3061346450899999E-2</v>
      </c>
      <c r="B94" s="1">
        <v>6.90116344963E-3</v>
      </c>
      <c r="C94" s="1">
        <v>2.5840054153999999E-3</v>
      </c>
      <c r="D94" s="1">
        <v>7.0041096837200004E-4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1.31919599154E-2</v>
      </c>
      <c r="B95" s="1">
        <v>3.8625957389399998E-3</v>
      </c>
      <c r="C95" s="1">
        <v>2.3231882274700002E-3</v>
      </c>
      <c r="D95" s="1">
        <v>7.0341507805499995E-4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1.33238795146E-2</v>
      </c>
      <c r="B96" s="1">
        <v>1.1660211578899999E-2</v>
      </c>
      <c r="C96" s="1">
        <v>2.7302419452100001E-3</v>
      </c>
      <c r="D96" s="1">
        <v>7.0644922883600001E-4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1.3457118309700001E-2</v>
      </c>
      <c r="B97" s="1">
        <v>1.36563182334E-2</v>
      </c>
      <c r="C97" s="1">
        <v>2.7166496955699998E-3</v>
      </c>
      <c r="D97" s="1">
        <v>7.0951372112399997E-4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1.3591689492799999E-2</v>
      </c>
      <c r="B98" s="1">
        <v>1.7370343754500001E-2</v>
      </c>
      <c r="C98" s="1">
        <v>2.8163704814000001E-3</v>
      </c>
      <c r="D98" s="1">
        <v>7.1260885833499996E-4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1.37276063878E-2</v>
      </c>
      <c r="B99" s="1">
        <v>2.03152201213E-2</v>
      </c>
      <c r="C99" s="1">
        <v>2.9231327798100002E-3</v>
      </c>
      <c r="D99" s="1">
        <v>7.1573494691900001E-4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1.3864882451600001E-2</v>
      </c>
      <c r="B100" s="1">
        <v>2.9178511522799998E-2</v>
      </c>
      <c r="C100" s="1">
        <v>3.3328263756E-3</v>
      </c>
      <c r="D100" s="1">
        <v>7.1889229638800003E-4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1.40035312762E-2</v>
      </c>
      <c r="B101" s="1">
        <v>2.5364350707000001E-2</v>
      </c>
      <c r="C101" s="1">
        <v>3.06159548991E-3</v>
      </c>
      <c r="D101" s="1">
        <v>7.2208121935199996E-4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1.41435665889E-2</v>
      </c>
      <c r="B102" s="1">
        <v>2.7288997034399999E-2</v>
      </c>
      <c r="C102" s="1">
        <v>3.0940009848000002E-3</v>
      </c>
      <c r="D102" s="1">
        <v>7.2530203154500005E-4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1.42850022548E-2</v>
      </c>
      <c r="B103" s="1">
        <v>2.94013979143E-2</v>
      </c>
      <c r="C103" s="1">
        <v>2.1378735678499999E-3</v>
      </c>
      <c r="D103" s="1">
        <v>7.2855505186099996E-4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1.44278522774E-2</v>
      </c>
      <c r="B104" s="1">
        <v>3.63979564534E-2</v>
      </c>
      <c r="C104" s="1">
        <v>2.3174518888299999E-3</v>
      </c>
      <c r="D104" s="1">
        <v>7.3184060237899997E-4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1.4572130800099999E-2</v>
      </c>
      <c r="B105" s="1">
        <v>3.2877205131400002E-2</v>
      </c>
      <c r="C105" s="1">
        <v>2.0885159184599999E-3</v>
      </c>
      <c r="D105" s="1">
        <v>7.3515900840299996E-4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1.4717852108099999E-2</v>
      </c>
      <c r="B106" s="1">
        <v>3.3575612989799997E-2</v>
      </c>
      <c r="C106" s="1">
        <v>2.0440281558300002E-3</v>
      </c>
      <c r="D106" s="1">
        <v>7.3851059848700003E-4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1.4865030629200001E-2</v>
      </c>
      <c r="B107" s="1">
        <v>3.8060190475399998E-2</v>
      </c>
      <c r="C107" s="1">
        <v>2.1299513878199998E-3</v>
      </c>
      <c r="D107" s="1">
        <v>7.4189570447199995E-4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1.50136809355E-2</v>
      </c>
      <c r="B108" s="1">
        <v>3.7059077316399999E-2</v>
      </c>
      <c r="C108" s="1">
        <v>2.1400903320699998E-3</v>
      </c>
      <c r="D108" s="1">
        <v>7.4531466151699999E-4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1.5163817744900001E-2</v>
      </c>
      <c r="B109" s="1">
        <v>3.6595746541799999E-2</v>
      </c>
      <c r="C109" s="1">
        <v>2.8803020528299999E-3</v>
      </c>
      <c r="D109" s="1">
        <v>7.4876780813200002E-4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1.5315455922300001E-2</v>
      </c>
      <c r="B110" s="1">
        <v>3.3436694713899998E-2</v>
      </c>
      <c r="C110" s="1">
        <v>2.6944693229899999E-3</v>
      </c>
      <c r="D110" s="1">
        <v>7.5225548621300005E-4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1.54686104815E-2</v>
      </c>
      <c r="B111" s="1">
        <v>3.42353203294E-2</v>
      </c>
      <c r="C111" s="1">
        <v>2.5345436668E-3</v>
      </c>
      <c r="D111" s="1">
        <v>7.5577804107499998E-4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1.56232965864E-2</v>
      </c>
      <c r="B112" s="1">
        <v>2.70256370889E-2</v>
      </c>
      <c r="C112" s="1">
        <v>2.2566147696399998E-3</v>
      </c>
      <c r="D112" s="1">
        <v>7.5933582148599997E-4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1.5779529552200001E-2</v>
      </c>
      <c r="B113" s="1">
        <v>2.7406940060699998E-2</v>
      </c>
      <c r="C113" s="1">
        <v>2.2879739001399999E-3</v>
      </c>
      <c r="D113" s="1">
        <v>7.6292917970100004E-4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1.59373248477E-2</v>
      </c>
      <c r="B114" s="1">
        <v>2.3744187365299999E-2</v>
      </c>
      <c r="C114" s="1">
        <v>2.0718089641099998E-3</v>
      </c>
      <c r="D114" s="1">
        <v>7.6655847149800001E-4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1.6096698096199999E-2</v>
      </c>
      <c r="B115" s="1">
        <v>2.0878143126799999E-2</v>
      </c>
      <c r="C115" s="1">
        <v>1.88587242246E-3</v>
      </c>
      <c r="D115" s="1">
        <v>7.7022405621299998E-4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1.6257665077200001E-2</v>
      </c>
      <c r="B116" s="1">
        <v>1.6292327494699999E-2</v>
      </c>
      <c r="C116" s="1">
        <v>1.6484846939599999E-3</v>
      </c>
      <c r="D116" s="1">
        <v>7.7392629677499995E-4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1.6420241727999999E-2</v>
      </c>
      <c r="B117" s="1">
        <v>1.21285158838E-2</v>
      </c>
      <c r="C117" s="1">
        <v>1.44407930598E-3</v>
      </c>
      <c r="D117" s="1">
        <v>7.7766555974299997E-4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1.6584444145200002E-2</v>
      </c>
      <c r="B118" s="1">
        <v>1.1305943185E-2</v>
      </c>
      <c r="C118" s="1">
        <v>1.33219838716E-3</v>
      </c>
      <c r="D118" s="1">
        <v>7.8144221533999999E-4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1.67502885867E-2</v>
      </c>
      <c r="B119" s="1">
        <v>8.24810556678E-3</v>
      </c>
      <c r="C119" s="1">
        <v>1.1027372401799999E-3</v>
      </c>
      <c r="D119" s="1">
        <v>7.8525663749399999E-4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1.6917791472599999E-2</v>
      </c>
      <c r="B120" s="1">
        <v>6.4800089253100003E-3</v>
      </c>
      <c r="C120" s="1">
        <v>1.0435613885799999E-3</v>
      </c>
      <c r="D120" s="1">
        <v>7.8910920386899999E-4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1.7086969387300002E-2</v>
      </c>
      <c r="B121" s="1">
        <v>3.4614465605799999E-3</v>
      </c>
      <c r="C121" s="1">
        <v>8.0506834459399997E-4</v>
      </c>
      <c r="D121" s="1">
        <v>7.9300029590700005E-4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1.7257839081199999E-2</v>
      </c>
      <c r="B122" s="1">
        <v>1.69158038691E-3</v>
      </c>
      <c r="C122" s="1">
        <v>6.6679302158899995E-4</v>
      </c>
      <c r="D122" s="1">
        <v>7.9693029886600004E-4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1.7430417472000002E-2</v>
      </c>
      <c r="B123" s="1">
        <v>1.5929432634900001E-3</v>
      </c>
      <c r="C123" s="1">
        <v>6.5056126887999999E-4</v>
      </c>
      <c r="D123" s="1">
        <v>8.0089960185499996E-4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1.7604721646699999E-2</v>
      </c>
      <c r="B124" s="1">
        <v>1.55583373805E-3</v>
      </c>
      <c r="C124" s="1">
        <v>6.0738885329700005E-4</v>
      </c>
      <c r="D124" s="1">
        <v>8.0490859787399999E-4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1.77807688631E-2</v>
      </c>
      <c r="B125" s="1">
        <v>2.3826282177300002E-3</v>
      </c>
      <c r="C125" s="1">
        <v>6.7742605530200003E-4</v>
      </c>
      <c r="D125" s="1">
        <v>8.08957683852E-4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1.7958576551799998E-2</v>
      </c>
      <c r="B126" s="1">
        <v>1.9998945506100002E-3</v>
      </c>
      <c r="C126" s="1">
        <v>6.0785473776699996E-4</v>
      </c>
      <c r="D126" s="1">
        <v>8.1304726069100005E-4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1.8138162317300002E-2</v>
      </c>
      <c r="B127" s="1">
        <v>3.1298216865500001E-3</v>
      </c>
      <c r="C127" s="1">
        <v>6.8363612004599999E-4</v>
      </c>
      <c r="D127" s="1">
        <v>8.17177733298E-4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1.8319543940500001E-2</v>
      </c>
      <c r="B128" s="1">
        <v>4.7227060125199999E-3</v>
      </c>
      <c r="C128" s="1">
        <v>7.7283704803900004E-4</v>
      </c>
      <c r="D128" s="1">
        <v>8.2134951063100002E-4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1.8502739379900001E-2</v>
      </c>
      <c r="B129" s="1">
        <v>5.2458047577499996E-3</v>
      </c>
      <c r="C129" s="1">
        <v>7.8717933385099995E-4</v>
      </c>
      <c r="D129" s="1">
        <v>8.2556300573700004E-4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1.8687766773700001E-2</v>
      </c>
      <c r="B130" s="1">
        <v>6.4817016673900003E-3</v>
      </c>
      <c r="C130" s="1">
        <v>8.4582547431699998E-4</v>
      </c>
      <c r="D130" s="1">
        <v>8.2981863579399998E-4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1.8874644441399999E-2</v>
      </c>
      <c r="B131" s="1">
        <v>7.1892466352000001E-3</v>
      </c>
      <c r="C131" s="1">
        <v>8.3788884138800003E-4</v>
      </c>
      <c r="D131" s="1">
        <v>8.34116822152E-4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1.9063390885799999E-2</v>
      </c>
      <c r="B132" s="1">
        <v>7.2920851001799999E-3</v>
      </c>
      <c r="C132" s="1">
        <v>8.5312219964699999E-4</v>
      </c>
      <c r="D132" s="1">
        <v>8.3845799037399996E-4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1.9254024794699998E-2</v>
      </c>
      <c r="B133" s="1">
        <v>7.9790725521600003E-3</v>
      </c>
      <c r="C133" s="1">
        <v>8.6111390714799999E-4</v>
      </c>
      <c r="D133" s="1">
        <v>8.4284257027799996E-4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1.9446565042599999E-2</v>
      </c>
      <c r="B134" s="1">
        <v>1.1852533883600001E-2</v>
      </c>
      <c r="C134" s="1">
        <v>1.02133276406E-3</v>
      </c>
      <c r="D134" s="1">
        <v>8.4727099597999998E-4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1.9641030693100001E-2</v>
      </c>
      <c r="B135" s="1">
        <v>1.1511005563E-2</v>
      </c>
      <c r="C135" s="1">
        <v>9.9317527495199997E-4</v>
      </c>
      <c r="D135" s="1">
        <v>8.5174370594E-4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1.9837441000000001E-2</v>
      </c>
      <c r="B136" s="1">
        <v>1.0482939246800001E-2</v>
      </c>
      <c r="C136" s="1">
        <v>9.3858309414499995E-4</v>
      </c>
      <c r="D136" s="1">
        <v>8.5626114299999995E-4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2.0035815410000001E-2</v>
      </c>
      <c r="B137" s="1">
        <v>9.2405599831900005E-3</v>
      </c>
      <c r="C137" s="1">
        <v>8.6025840302299999E-4</v>
      </c>
      <c r="D137" s="1">
        <v>8.6082375442999995E-4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2.0236173564099999E-2</v>
      </c>
      <c r="B138" s="1">
        <v>9.2532844966999993E-3</v>
      </c>
      <c r="C138" s="1">
        <v>8.4108387197900003E-4</v>
      </c>
      <c r="D138" s="1">
        <v>8.6543199197399996E-4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2.0438535299700002E-2</v>
      </c>
      <c r="B139" s="1">
        <v>8.3375085650699999E-3</v>
      </c>
      <c r="C139" s="1">
        <v>7.8601892506399999E-4</v>
      </c>
      <c r="D139" s="1">
        <v>8.7008631189400005E-4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2.06429206527E-2</v>
      </c>
      <c r="B140" s="1">
        <v>8.8946508640599994E-3</v>
      </c>
      <c r="C140" s="1">
        <v>7.9886168721300004E-4</v>
      </c>
      <c r="D140" s="1">
        <v>8.7478717501299999E-4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2.0849349859299999E-2</v>
      </c>
      <c r="B141" s="1">
        <v>7.8149059618400005E-3</v>
      </c>
      <c r="C141" s="1">
        <v>3.43870782059E-4</v>
      </c>
      <c r="D141" s="1">
        <v>8.7953504676300002E-4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2.1057843357800001E-2</v>
      </c>
      <c r="B142" s="1">
        <v>6.7440810077799996E-3</v>
      </c>
      <c r="C142" s="1">
        <v>3.1379241713900001E-4</v>
      </c>
      <c r="D142" s="1">
        <v>8.8433039722999999E-4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2.12684217914E-2</v>
      </c>
      <c r="B143" s="1">
        <v>5.2304816266799999E-3</v>
      </c>
      <c r="C143" s="1">
        <v>2.5435124826599998E-4</v>
      </c>
      <c r="D143" s="1">
        <v>8.8917370120300001E-4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2.1481106009300002E-2</v>
      </c>
      <c r="B144" s="1">
        <v>3.9885036329099996E-3</v>
      </c>
      <c r="C144" s="1">
        <v>2.0924600917E-4</v>
      </c>
      <c r="D144" s="1">
        <v>8.9406543821499997E-4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2.1695917069400002E-2</v>
      </c>
      <c r="B145" s="1">
        <v>2.9244088234999998E-3</v>
      </c>
      <c r="C145" s="1">
        <v>1.8054954582700001E-4</v>
      </c>
      <c r="D145" s="1">
        <v>8.9900609259699999E-4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2.19128762401E-2</v>
      </c>
      <c r="B146" s="1">
        <v>2.3016098708100001E-3</v>
      </c>
      <c r="C146" s="1">
        <v>1.56814680816E-4</v>
      </c>
      <c r="D146" s="1">
        <v>9.0399615352299999E-4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2.21320050025E-2</v>
      </c>
      <c r="B147" s="1">
        <v>1.52210903696E-3</v>
      </c>
      <c r="C147" s="1">
        <v>1.2809125249200001E-4</v>
      </c>
      <c r="D147" s="1">
        <v>9.0903611505800002E-4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2.2353325052600001E-2</v>
      </c>
      <c r="B148" s="1">
        <v>1.0572498064100001E-3</v>
      </c>
      <c r="C148" s="1">
        <v>1.09424166534E-4</v>
      </c>
      <c r="D148" s="1">
        <v>9.1412647620899999E-4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2.2576858303100002E-2</v>
      </c>
      <c r="B149" s="1">
        <v>8.1802141157000002E-4</v>
      </c>
      <c r="C149" s="1">
        <v>9.6236331971100001E-5</v>
      </c>
      <c r="D149" s="1">
        <v>9.1926774097100003E-4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2.2802626886099998E-2</v>
      </c>
      <c r="B150" s="1">
        <v>7.1334972767199997E-4</v>
      </c>
      <c r="C150" s="1">
        <v>9.6152909331399998E-5</v>
      </c>
      <c r="D150" s="1">
        <v>9.2446041838000002E-4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2.3030653155000001E-2</v>
      </c>
      <c r="B151" s="1">
        <v>8.1296735602700003E-4</v>
      </c>
      <c r="C151" s="1">
        <v>9.7273016276700001E-5</v>
      </c>
      <c r="D151" s="1">
        <v>9.29705022564E-4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2.32609596865E-2</v>
      </c>
      <c r="B152" s="1">
        <v>1.16859279762E-3</v>
      </c>
      <c r="C152" s="1">
        <v>1.17717015238E-4</v>
      </c>
      <c r="D152" s="1">
        <v>9.3500207279000004E-4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2.34935692834E-2</v>
      </c>
      <c r="B153" s="1">
        <v>1.53062067694E-3</v>
      </c>
      <c r="C153" s="1">
        <v>1.2793197805800001E-4</v>
      </c>
      <c r="D153" s="86">
        <v>9.4035209351799997E-4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2.37285049762E-2</v>
      </c>
      <c r="B154" s="1">
        <v>1.88162249196E-3</v>
      </c>
      <c r="C154" s="1">
        <v>1.3857115245200001E-4</v>
      </c>
      <c r="D154" s="1">
        <v>9.4575561445300004E-4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2.3965790026000001E-2</v>
      </c>
      <c r="B155" s="1">
        <v>2.6156074567099999E-3</v>
      </c>
      <c r="C155" s="1">
        <v>1.60228246491E-4</v>
      </c>
      <c r="D155" s="1">
        <v>9.5121317059800004E-4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2.42054479262E-2</v>
      </c>
      <c r="B156" s="1">
        <v>3.4009797049400002E-3</v>
      </c>
      <c r="C156" s="1">
        <v>1.8267885087699999E-4</v>
      </c>
      <c r="D156" s="1">
        <v>9.5672530230299997E-4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2.4447502405500001E-2</v>
      </c>
      <c r="B157" s="1">
        <v>3.5265178777500001E-3</v>
      </c>
      <c r="C157" s="1">
        <v>1.90410353341E-4</v>
      </c>
      <c r="D157" s="1">
        <v>9.62292555327E-4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2.4691977429599998E-2</v>
      </c>
      <c r="B158" s="1">
        <v>3.53536330194E-3</v>
      </c>
      <c r="C158" s="1">
        <v>1.82759385316E-4</v>
      </c>
      <c r="D158" s="1">
        <v>9.6791548087999996E-4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2.4938897203899999E-2</v>
      </c>
      <c r="B159" s="1">
        <v>3.6809647566000002E-3</v>
      </c>
      <c r="C159" s="1">
        <v>1.87043170196E-4</v>
      </c>
      <c r="D159" s="1">
        <v>9.7359463568899996E-4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2.51882861759E-2</v>
      </c>
      <c r="B160" s="1">
        <v>3.9481655554400004E-3</v>
      </c>
      <c r="C160" s="1">
        <v>2.0094537725500001E-4</v>
      </c>
      <c r="D160" s="1">
        <v>9.7933058204499992E-4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2.5440169037600002E-2</v>
      </c>
      <c r="B161" s="1">
        <v>4.2324560141799999E-3</v>
      </c>
      <c r="C161" s="1">
        <v>2.08872701395E-4</v>
      </c>
      <c r="D161" s="1">
        <v>9.8512388786599998E-4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2.5694570728E-2</v>
      </c>
      <c r="B162" s="1">
        <v>3.5639409357299998E-3</v>
      </c>
      <c r="C162" s="1">
        <v>1.8294339580400001E-4</v>
      </c>
      <c r="D162" s="1">
        <v>9.9097512674499997E-4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2.5951516435299998E-2</v>
      </c>
      <c r="B163" s="1">
        <v>3.2340903746200002E-3</v>
      </c>
      <c r="C163" s="1">
        <v>1.7622153498899999E-4</v>
      </c>
      <c r="D163" s="1">
        <v>9.9688487801200009E-4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2.6211031599700001E-2</v>
      </c>
      <c r="B164" s="1">
        <v>2.9263649984399998E-3</v>
      </c>
      <c r="C164" s="1">
        <v>1.6498328936700001E-4</v>
      </c>
      <c r="D164" s="1">
        <v>1.0028537267900001E-3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2.6473141915700001E-2</v>
      </c>
      <c r="B165" s="1">
        <v>2.6256809524E-3</v>
      </c>
      <c r="C165" s="1">
        <v>1.6082757138600001E-4</v>
      </c>
      <c r="D165" s="1">
        <v>1.00888226406E-3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2.6737873334799999E-2</v>
      </c>
      <c r="B166" s="1">
        <v>1.73760772546E-3</v>
      </c>
      <c r="C166" s="1">
        <v>1.20627387448E-4</v>
      </c>
      <c r="D166" s="1">
        <v>1.0149710867E-3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2.7005252068200002E-2</v>
      </c>
      <c r="B167" s="1">
        <v>1.41730323504E-3</v>
      </c>
      <c r="C167" s="1">
        <v>1.12846243961E-4</v>
      </c>
      <c r="D167" s="1">
        <v>1.02112079757E-3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2.7275304588799999E-2</v>
      </c>
      <c r="B168" s="1">
        <v>1.16592685618E-3</v>
      </c>
      <c r="C168" s="1">
        <v>1.0233033103000001E-4</v>
      </c>
      <c r="D168" s="1">
        <v>1.02733200554E-3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2.7548057634700002E-2</v>
      </c>
      <c r="B169" s="1">
        <v>6.6306782511E-4</v>
      </c>
      <c r="C169" s="1">
        <v>7.7292027248700005E-5</v>
      </c>
      <c r="D169" s="1">
        <v>1.0336053256E-3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2.78235382111E-2</v>
      </c>
      <c r="B170" s="1">
        <v>6.0151373671400005E-4</v>
      </c>
      <c r="C170" s="1">
        <v>7.3780023775399999E-5</v>
      </c>
      <c r="D170" s="1">
        <v>1.0399413788499999E-3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2.81017735932E-2</v>
      </c>
      <c r="B171" s="1">
        <v>4.53620188034E-4</v>
      </c>
      <c r="C171" s="1">
        <v>6.5394339247099994E-5</v>
      </c>
      <c r="D171" s="1">
        <v>1.0463407926400001E-3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2.8382791329100002E-2</v>
      </c>
      <c r="B172" s="1">
        <v>6.2483253069300004E-4</v>
      </c>
      <c r="C172" s="1">
        <v>7.7723729921500007E-5</v>
      </c>
      <c r="D172" s="1">
        <v>1.0528042005699999E-3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2.86666192424E-2</v>
      </c>
      <c r="B173" s="1">
        <v>7.54278192802E-4</v>
      </c>
      <c r="C173" s="1">
        <v>8.7529280822300006E-5</v>
      </c>
      <c r="D173" s="1">
        <v>1.05933224258E-3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2.89532854348E-2</v>
      </c>
      <c r="B174" s="1">
        <v>9.9997360763600003E-4</v>
      </c>
      <c r="C174" s="1">
        <v>9.5453167439800004E-5</v>
      </c>
      <c r="D174" s="1">
        <v>1.065925565E-3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2.9242818289200001E-2</v>
      </c>
      <c r="B175" s="1">
        <v>1.0856597673799999E-3</v>
      </c>
      <c r="C175" s="1">
        <v>9.6542160856199994E-5</v>
      </c>
      <c r="D175" s="1">
        <v>1.0725848206499999E-3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2.9535246472099999E-2</v>
      </c>
      <c r="B176" s="1">
        <v>1.4112620150899999E-3</v>
      </c>
      <c r="C176" s="1">
        <v>1.0990958628799999E-4</v>
      </c>
      <c r="D176" s="1">
        <v>1.0793106688599999E-3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2.9830598936799999E-2</v>
      </c>
      <c r="B177" s="1">
        <v>1.52311127781E-3</v>
      </c>
      <c r="C177" s="1">
        <v>1.18575297977E-4</v>
      </c>
      <c r="D177" s="1">
        <v>1.08610377555E-3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3.01289049262E-2</v>
      </c>
      <c r="B178" s="1">
        <v>1.8204922377399999E-3</v>
      </c>
      <c r="C178" s="1">
        <v>1.3140373457600001E-4</v>
      </c>
      <c r="D178" s="1">
        <v>1.0929648132999999E-3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3.0430193975400002E-2</v>
      </c>
      <c r="B179" s="1">
        <v>1.76762278426E-3</v>
      </c>
      <c r="C179" s="1">
        <v>1.27673028231E-4</v>
      </c>
      <c r="D179" s="1">
        <v>1.09989446143E-3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3.07344959152E-2</v>
      </c>
      <c r="B180" s="1">
        <v>1.7272228928399999E-3</v>
      </c>
      <c r="C180" s="1">
        <v>1.2897884347699999E-4</v>
      </c>
      <c r="D180" s="1">
        <v>1.1068934060499999E-3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3.1041840874300002E-2</v>
      </c>
      <c r="B181" s="1">
        <v>1.9610265972300001E-3</v>
      </c>
      <c r="C181" s="1">
        <v>1.35804919585E-4</v>
      </c>
      <c r="D181" s="1">
        <v>1.1139623401100001E-3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3.1352259283100002E-2</v>
      </c>
      <c r="B182" s="1">
        <v>1.7421314312999999E-3</v>
      </c>
      <c r="C182" s="1">
        <v>1.2958015132899999E-4</v>
      </c>
      <c r="D182" s="1">
        <v>1.1211019635100001E-3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3.1665781875900002E-2</v>
      </c>
      <c r="B183" s="1">
        <v>1.23669728055E-3</v>
      </c>
      <c r="C183" s="1">
        <v>1.04973484782E-4</v>
      </c>
      <c r="D183" s="1">
        <v>1.12831298315E-3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3.19824396947E-2</v>
      </c>
      <c r="B184" s="1">
        <v>9.9930158333299992E-4</v>
      </c>
      <c r="C184" s="1">
        <v>9.4055792731799996E-5</v>
      </c>
      <c r="D184" s="1">
        <v>1.1355961129799999E-3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3.2302264091600003E-2</v>
      </c>
      <c r="B185" s="1">
        <v>8.8871015833100002E-4</v>
      </c>
      <c r="C185" s="1">
        <v>8.9710050934800004E-5</v>
      </c>
      <c r="D185" s="1">
        <v>1.1429520741100001E-3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3.2625286732500001E-2</v>
      </c>
      <c r="B186" s="1">
        <v>5.2030256067900002E-4</v>
      </c>
      <c r="C186" s="1">
        <v>6.9242047965500006E-5</v>
      </c>
      <c r="D186" s="1">
        <v>1.15038159485E-3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3.29515395999E-2</v>
      </c>
      <c r="B187" s="1">
        <v>5.2581225176900003E-4</v>
      </c>
      <c r="C187" s="1">
        <v>6.7887769404099998E-5</v>
      </c>
      <c r="D187" s="1">
        <v>1.1578854107999999E-3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3.3281054995899999E-2</v>
      </c>
      <c r="B188" s="1">
        <v>3.9432205441599998E-4</v>
      </c>
      <c r="C188" s="1">
        <v>5.8065674263899997E-5</v>
      </c>
      <c r="D188" s="1">
        <v>1.1654642648999999E-3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3.3613865545800002E-2</v>
      </c>
      <c r="B189" s="1">
        <v>3.8891449260399999E-4</v>
      </c>
      <c r="C189" s="1">
        <v>5.9245003207799999E-5</v>
      </c>
      <c r="D189" s="1">
        <v>1.1731189075499999E-3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3.3950004201300003E-2</v>
      </c>
      <c r="B190" s="1">
        <v>4.5081383491999999E-4</v>
      </c>
      <c r="C190" s="1">
        <v>6.2854688182800003E-5</v>
      </c>
      <c r="D190" s="1">
        <v>1.18085009663E-3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3.4289504243299997E-2</v>
      </c>
      <c r="B191" s="1">
        <v>4.8115577414400003E-4</v>
      </c>
      <c r="C191" s="1">
        <v>6.4489437371800004E-5</v>
      </c>
      <c r="D191" s="1">
        <v>1.1886585976000001E-3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3.46323992857E-2</v>
      </c>
      <c r="B192" s="1">
        <v>6.70287114018E-4</v>
      </c>
      <c r="C192" s="1">
        <v>7.4626708346799998E-5</v>
      </c>
      <c r="D192" s="1">
        <v>1.1965451835699999E-3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3.49787232786E-2</v>
      </c>
      <c r="B193" s="1">
        <v>7.3567567643899995E-4</v>
      </c>
      <c r="C193" s="1">
        <v>8.0424285334599997E-5</v>
      </c>
      <c r="D193" s="1">
        <v>1.20451063541E-3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3.5328510511399999E-2</v>
      </c>
      <c r="B194" s="1">
        <v>9.4243134926800002E-4</v>
      </c>
      <c r="C194" s="1">
        <v>8.75516582341E-5</v>
      </c>
      <c r="D194" s="1">
        <v>1.2125557417599999E-3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3.5681795616499999E-2</v>
      </c>
      <c r="B195" s="1">
        <v>9.6717783016399999E-4</v>
      </c>
      <c r="C195" s="1">
        <v>8.8406902195400006E-5</v>
      </c>
      <c r="D195" s="1">
        <v>1.2206812991799999E-3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3.6038613572599999E-2</v>
      </c>
      <c r="B196" s="1">
        <v>1.0446494244199999E-3</v>
      </c>
      <c r="C196" s="1">
        <v>9.0060708464099996E-5</v>
      </c>
      <c r="D196" s="1">
        <v>1.2288881121700001E-3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3.63989997084E-2</v>
      </c>
      <c r="B197" s="1">
        <v>7.8342565869600001E-4</v>
      </c>
      <c r="C197" s="1">
        <v>7.7931175808000004E-5</v>
      </c>
      <c r="D197" s="1">
        <v>1.2371769932899999E-3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3.6762989705399998E-2</v>
      </c>
      <c r="B198" s="1">
        <v>8.0044257584700003E-4</v>
      </c>
      <c r="C198" s="1">
        <v>8.0482276349300004E-5</v>
      </c>
      <c r="D198" s="1">
        <v>1.24554876323E-3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3.7130619602499998E-2</v>
      </c>
      <c r="B199" s="1">
        <v>6.3420105221600001E-4</v>
      </c>
      <c r="C199" s="1">
        <v>7.1726791075600002E-5</v>
      </c>
      <c r="D199" s="1">
        <v>1.2540042508600001E-3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3.7501925798500001E-2</v>
      </c>
      <c r="B200" s="1">
        <v>5.5081990307299998E-4</v>
      </c>
      <c r="C200" s="1">
        <v>6.5173396018600001E-5</v>
      </c>
      <c r="D200" s="1">
        <v>1.2625442933699999E-3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3.7876945056500001E-2</v>
      </c>
      <c r="B201" s="1">
        <v>4.32625018981E-4</v>
      </c>
      <c r="C201" s="1">
        <v>5.76398318448E-5</v>
      </c>
      <c r="D201" s="1">
        <v>1.2711697363000001E-3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3.8255714507099997E-2</v>
      </c>
      <c r="B202" s="1">
        <v>2.5858371640700002E-4</v>
      </c>
      <c r="C202" s="1">
        <v>4.6560410524800001E-5</v>
      </c>
      <c r="D202" s="1">
        <v>1.2798814336599999E-3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3.8638271652100001E-2</v>
      </c>
      <c r="B203" s="1">
        <v>2.3327886014200001E-4</v>
      </c>
      <c r="C203" s="1">
        <v>4.4945176470200002E-5</v>
      </c>
      <c r="D203" s="1">
        <v>1.288680248E-3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3.90246543687E-2</v>
      </c>
      <c r="B204" s="1">
        <v>2.2584547501900001E-4</v>
      </c>
      <c r="C204" s="1">
        <v>4.3308921676100003E-5</v>
      </c>
      <c r="D204" s="1">
        <v>1.2975670504800001E-3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3.9414900912399999E-2</v>
      </c>
      <c r="B205" s="1">
        <v>2.61753906668E-4</v>
      </c>
      <c r="C205" s="1">
        <v>4.6983424018299998E-5</v>
      </c>
      <c r="D205" s="1">
        <v>1.30654272098E-3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3.98090499215E-2</v>
      </c>
      <c r="B206" s="1">
        <v>2.5863531372899998E-4</v>
      </c>
      <c r="C206" s="1">
        <v>4.7847630400899997E-5</v>
      </c>
      <c r="D206" s="1">
        <v>1.31560814819E-3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4.0207140420699998E-2</v>
      </c>
      <c r="B207" s="1">
        <v>4.1882354706300001E-4</v>
      </c>
      <c r="C207" s="1">
        <v>5.6727179229300002E-5</v>
      </c>
      <c r="D207" s="1">
        <v>1.32476422968E-3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4.0609211824900002E-2</v>
      </c>
      <c r="B208" s="1">
        <v>4.9917602787299996E-4</v>
      </c>
      <c r="C208" s="1">
        <v>6.5194572476399997E-5</v>
      </c>
      <c r="D208" s="1">
        <v>1.3340118719700001E-3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4.1015303943099997E-2</v>
      </c>
      <c r="B209" s="1">
        <v>5.0375679470200001E-4</v>
      </c>
      <c r="C209" s="1">
        <v>6.31375104773E-5</v>
      </c>
      <c r="D209" s="1">
        <v>1.3433519906900001E-3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4.1425456982600001E-2</v>
      </c>
      <c r="B210" s="1">
        <v>4.7907956676399997E-4</v>
      </c>
      <c r="C210" s="1">
        <v>6.3649039383699996E-5</v>
      </c>
      <c r="D210" s="1">
        <v>1.3527855106E-3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4.1839711552400002E-2</v>
      </c>
      <c r="B211" s="1">
        <v>5.5782617393600002E-4</v>
      </c>
      <c r="C211" s="1">
        <v>6.8482330950899999E-5</v>
      </c>
      <c r="D211" s="1">
        <v>1.36231336571E-3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4.2258108667900002E-2</v>
      </c>
      <c r="B212" s="1">
        <v>4.5149077360400001E-4</v>
      </c>
      <c r="C212" s="1">
        <v>6.1021174979000003E-5</v>
      </c>
      <c r="D212" s="1">
        <v>1.37193649936E-3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4.2680689754600001E-2</v>
      </c>
      <c r="B213" s="1">
        <v>4.33077598713E-4</v>
      </c>
      <c r="C213" s="1">
        <v>2.5211537522299999E-5</v>
      </c>
      <c r="D213" s="1">
        <v>1.3816558643600001E-3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4.3107496652199997E-2</v>
      </c>
      <c r="B214" s="1">
        <v>4.0997463081900002E-4</v>
      </c>
      <c r="C214" s="1">
        <v>2.4202704571800002E-5</v>
      </c>
      <c r="D214" s="1">
        <v>1.391472423E-3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4.3538571618699999E-2</v>
      </c>
      <c r="B215" s="1">
        <v>2.9209233058799999E-4</v>
      </c>
      <c r="C215" s="1">
        <v>1.8838949310899998E-5</v>
      </c>
      <c r="D215" s="1">
        <v>1.4013871472299999E-3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4.3973957334899998E-2</v>
      </c>
      <c r="B216" s="1">
        <v>1.8703171946E-4</v>
      </c>
      <c r="C216" s="1">
        <v>1.43343299946E-5</v>
      </c>
      <c r="D216" s="1">
        <v>1.4114010186999999E-3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4.4413696908199997E-2</v>
      </c>
      <c r="B217" s="1">
        <v>1.55745083927E-4</v>
      </c>
      <c r="C217" s="1">
        <v>1.35823423668E-5</v>
      </c>
      <c r="D217" s="1">
        <v>1.4215150288899999E-3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4.4857833877300003E-2</v>
      </c>
      <c r="B218" s="1">
        <v>1.12017973845E-4</v>
      </c>
      <c r="C218" s="1">
        <v>1.1366643801600001E-5</v>
      </c>
      <c r="D218" s="1">
        <v>1.43173017918E-3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4.5306412216100003E-2</v>
      </c>
      <c r="B219" s="1">
        <v>1.5841320046399999E-4</v>
      </c>
      <c r="C219" s="1">
        <v>1.31551336243E-5</v>
      </c>
      <c r="D219" s="1">
        <v>1.4420474809700001E-3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4.5759476338200003E-2</v>
      </c>
      <c r="B220" s="1">
        <v>1.9946367713499999E-4</v>
      </c>
      <c r="C220" s="1">
        <v>1.4878650414199999E-5</v>
      </c>
      <c r="D220" s="1">
        <v>1.4524679557800001E-3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4.6217071101599998E-2</v>
      </c>
      <c r="B221" s="1">
        <v>2.3290799334599999E-4</v>
      </c>
      <c r="C221" s="1">
        <v>1.5873901263399999E-5</v>
      </c>
      <c r="D221" s="1">
        <v>1.46299263534E-3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4.6679241812599997E-2</v>
      </c>
      <c r="B222" s="1">
        <v>2.6391422129000002E-4</v>
      </c>
      <c r="C222" s="1">
        <v>1.6553809870200002E-5</v>
      </c>
      <c r="D222" s="1">
        <v>1.47362256169E-3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4.71460342308E-2</v>
      </c>
      <c r="B223" s="1">
        <v>3.2609872150899999E-4</v>
      </c>
      <c r="C223" s="1">
        <v>1.83979893506E-5</v>
      </c>
      <c r="D223" s="1">
        <v>1.48435878731E-3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4.7617494573100001E-2</v>
      </c>
      <c r="B224" s="1">
        <v>2.9418725087300001E-4</v>
      </c>
      <c r="C224" s="1">
        <v>1.8609478668200001E-5</v>
      </c>
      <c r="D224" s="1">
        <v>1.4952023751800001E-3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4.8093669518800002E-2</v>
      </c>
      <c r="B225" s="1">
        <v>2.7619046295599998E-4</v>
      </c>
      <c r="C225" s="1">
        <v>1.7289565735000001E-5</v>
      </c>
      <c r="D225" s="1">
        <v>1.5061543989299999E-3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4.8574606213999998E-2</v>
      </c>
      <c r="B226" s="1">
        <v>2.3242384199999999E-4</v>
      </c>
      <c r="C226" s="1">
        <v>1.55202538875E-5</v>
      </c>
      <c r="D226" s="1">
        <v>1.51721594292E-3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4.9060352276099999E-2</v>
      </c>
      <c r="B227" s="1">
        <v>1.8826545713900001E-4</v>
      </c>
      <c r="C227" s="1">
        <v>1.35999578661E-5</v>
      </c>
      <c r="D227" s="1">
        <v>1.5283881023500001E-3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4.9550955798900002E-2</v>
      </c>
      <c r="B228" s="1">
        <v>1.5061099205099999E-4</v>
      </c>
      <c r="C228" s="1">
        <v>1.2100042272599999E-5</v>
      </c>
      <c r="D228" s="1">
        <v>1.5396719833700001E-3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5.0046465356900001E-2</v>
      </c>
      <c r="B229" s="1">
        <v>1.2715549263300001E-4</v>
      </c>
      <c r="C229" s="1">
        <v>1.11780001107E-5</v>
      </c>
      <c r="D229" s="1">
        <v>1.5510687032100001E-3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5.0546930010399997E-2</v>
      </c>
      <c r="B230" s="1">
        <v>1.0831469588299999E-4</v>
      </c>
      <c r="C230" s="1">
        <v>9.9099563510000006E-6</v>
      </c>
      <c r="D230" s="1">
        <v>1.56257939024E-3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5.1052399310499999E-2</v>
      </c>
      <c r="B231" s="1">
        <v>1.08480379385E-4</v>
      </c>
      <c r="C231" s="1">
        <v>9.9212892780000005E-6</v>
      </c>
      <c r="D231" s="1">
        <v>1.5742051841400001E-3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5.1562923303600003E-2</v>
      </c>
      <c r="B232" s="1">
        <v>1.34527168925E-4</v>
      </c>
      <c r="C232" s="1">
        <v>1.17817801539E-5</v>
      </c>
      <c r="D232" s="1">
        <v>1.58594723598E-3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5.2078552536699997E-2</v>
      </c>
      <c r="B233" s="1">
        <v>1.90162570267E-4</v>
      </c>
      <c r="C233" s="1">
        <v>1.36452438807E-5</v>
      </c>
      <c r="D233" s="1">
        <v>1.5978067083399999E-3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5.2599338062100001E-2</v>
      </c>
      <c r="B234" s="1">
        <v>1.7095658879999999E-4</v>
      </c>
      <c r="C234" s="1">
        <v>1.2333493855499999E-5</v>
      </c>
      <c r="D234" s="1">
        <v>1.6097847754299999E-3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5.31253314427E-2</v>
      </c>
      <c r="B235" s="1">
        <v>2.1165155413499999E-4</v>
      </c>
      <c r="C235" s="1">
        <v>1.4034839509999999E-5</v>
      </c>
      <c r="D235" s="1">
        <v>1.6218826231800001E-3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5.3656584757100001E-2</v>
      </c>
      <c r="B236" s="1">
        <v>1.91271581844E-4</v>
      </c>
      <c r="C236" s="1">
        <v>1.34588440232E-5</v>
      </c>
      <c r="D236" s="1">
        <v>1.6341014494100001E-3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5.4193150604700001E-2</v>
      </c>
      <c r="B237" s="1">
        <v>1.3761293275E-4</v>
      </c>
      <c r="C237" s="1">
        <v>1.0992011477100001E-5</v>
      </c>
      <c r="D237" s="1">
        <v>1.64644246391E-3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5.4735082110700002E-2</v>
      </c>
      <c r="B238" s="1">
        <v>1.09949290072E-4</v>
      </c>
      <c r="C238" s="1">
        <v>9.7540831719699996E-6</v>
      </c>
      <c r="D238" s="1">
        <v>1.65890688855E-3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5.5282432931799998E-2</v>
      </c>
      <c r="B239" s="1">
        <v>8.5444243151300002E-5</v>
      </c>
      <c r="C239" s="1">
        <v>8.9425452801999992E-6</v>
      </c>
      <c r="D239" s="1">
        <v>1.6714959574299999E-3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5.5835257261100002E-2</v>
      </c>
      <c r="B240" s="1">
        <v>8.3218590734200002E-5</v>
      </c>
      <c r="C240" s="1">
        <v>8.9283931724799993E-6</v>
      </c>
      <c r="D240" s="1">
        <v>1.6842109170100001E-3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5.6393609833799999E-2</v>
      </c>
      <c r="B241" s="1">
        <v>7.8230255400000006E-5</v>
      </c>
      <c r="C241" s="1">
        <v>8.4313038067700001E-6</v>
      </c>
      <c r="D241" s="1">
        <v>1.69705302618E-3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5.69575459321E-2</v>
      </c>
      <c r="B242" s="1">
        <v>8.6893451340599995E-5</v>
      </c>
      <c r="C242" s="1">
        <v>8.97541096054E-6</v>
      </c>
      <c r="D242" s="1">
        <v>1.7100235564399999E-3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5.7527121391400003E-2</v>
      </c>
      <c r="B243" s="1">
        <v>9.3608569858999997E-5</v>
      </c>
      <c r="C243" s="1">
        <v>9.2726185296000006E-6</v>
      </c>
      <c r="D243" s="1">
        <v>1.7231237920000001E-3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5.81023926053E-2</v>
      </c>
      <c r="B244" s="1">
        <v>1.14528109886E-4</v>
      </c>
      <c r="C244" s="1">
        <v>1.04910353441E-5</v>
      </c>
      <c r="D244" s="1">
        <v>1.73635502992E-3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5.8683416531400003E-2</v>
      </c>
      <c r="B245" s="1">
        <v>1.1762957893600001E-4</v>
      </c>
      <c r="C245" s="1">
        <v>1.06313889765E-5</v>
      </c>
      <c r="D245" s="1">
        <v>1.74971858022E-3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5.92702506967E-2</v>
      </c>
      <c r="B246" s="1">
        <v>1.1039450739E-4</v>
      </c>
      <c r="C246" s="1">
        <v>1.00125686973E-5</v>
      </c>
      <c r="D246" s="1">
        <v>1.7632157660200001E-3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5.9862953203699998E-2</v>
      </c>
      <c r="B247" s="1">
        <v>1.0623253462E-4</v>
      </c>
      <c r="C247" s="1">
        <v>9.4878962568400003E-6</v>
      </c>
      <c r="D247" s="1">
        <v>1.7768479236799999E-3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6.0461582735700001E-2</v>
      </c>
      <c r="B248" s="1">
        <v>6.7778209565999998E-5</v>
      </c>
      <c r="C248" s="1">
        <v>8.1278151292200004E-6</v>
      </c>
      <c r="D248" s="1">
        <v>1.79061640292E-3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6.1066198563099999E-2</v>
      </c>
      <c r="B249" s="1">
        <v>5.6120863626800002E-5</v>
      </c>
      <c r="C249" s="1">
        <v>7.2981777635999998E-6</v>
      </c>
      <c r="D249" s="1">
        <v>1.80452256695E-3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6.1676860548700002E-2</v>
      </c>
      <c r="B250" s="1">
        <v>4.8460953650599997E-5</v>
      </c>
      <c r="C250" s="1">
        <v>7.2703913205300001E-6</v>
      </c>
      <c r="D250" s="1">
        <v>1.8185677926199999E-3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6.2293629154200003E-2</v>
      </c>
      <c r="B251" s="1">
        <v>5.51319524036E-5</v>
      </c>
      <c r="C251" s="1">
        <v>7.28036965352E-6</v>
      </c>
      <c r="D251" s="1">
        <v>1.8327534705499999E-3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6.2916565445699998E-2</v>
      </c>
      <c r="B252" s="1">
        <v>7.54725332081E-5</v>
      </c>
      <c r="C252" s="1">
        <v>8.2794072933399998E-6</v>
      </c>
      <c r="D252" s="1">
        <v>1.8470810052500001E-3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6.3545731100199995E-2</v>
      </c>
      <c r="B253" s="1">
        <v>7.6886980602599997E-5</v>
      </c>
      <c r="C253" s="1">
        <v>8.5145316792300006E-6</v>
      </c>
      <c r="D253" s="1">
        <v>1.8615518153E-3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6.4181188411200005E-2</v>
      </c>
      <c r="B254" s="1">
        <v>6.8260464669199996E-5</v>
      </c>
      <c r="C254" s="1">
        <v>7.9672814525900008E-6</v>
      </c>
      <c r="D254" s="1">
        <v>1.87616733346E-3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6.4823000295299998E-2</v>
      </c>
      <c r="B255" s="1">
        <v>8.0707241685199995E-5</v>
      </c>
      <c r="C255" s="1">
        <v>8.4395268775800001E-6</v>
      </c>
      <c r="D255" s="1">
        <v>1.8909290067899999E-3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6.5471230298199998E-2</v>
      </c>
      <c r="B256" s="1">
        <v>6.0229994899400002E-5</v>
      </c>
      <c r="C256" s="1">
        <v>7.31664209042E-6</v>
      </c>
      <c r="D256" s="1">
        <v>1.9058382968600001E-3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6.61259426012E-2</v>
      </c>
      <c r="B257" s="1">
        <v>6.4900244816200006E-5</v>
      </c>
      <c r="C257" s="1">
        <v>7.7939678100699998E-6</v>
      </c>
      <c r="D257" s="1">
        <v>1.9208966798300001E-3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6.6787202027199996E-2</v>
      </c>
      <c r="B258" s="1">
        <v>3.48433838035E-5</v>
      </c>
      <c r="C258" s="1">
        <v>5.9186466346300002E-6</v>
      </c>
      <c r="D258" s="1">
        <v>1.93610564663E-3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6.7455074047499994E-2</v>
      </c>
      <c r="B259" s="1">
        <v>3.1896448391999997E-5</v>
      </c>
      <c r="C259" s="1">
        <v>5.9596807117099998E-6</v>
      </c>
      <c r="D259" s="1">
        <v>1.9514667030900001E-3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6.8129624787999998E-2</v>
      </c>
      <c r="B260" s="1">
        <v>4.2214145677499997E-5</v>
      </c>
      <c r="C260" s="1">
        <v>6.4931487033399998E-6</v>
      </c>
      <c r="D260" s="1">
        <v>1.9669813701200002E-3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6.8810921035900002E-2</v>
      </c>
      <c r="B261" s="1">
        <v>5.3272095627900002E-5</v>
      </c>
      <c r="C261" s="1">
        <v>6.8527452793800002E-6</v>
      </c>
      <c r="D261" s="1">
        <v>1.9826511838199998E-3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6.9499030246199994E-2</v>
      </c>
      <c r="B262" s="1">
        <v>3.9609761955199998E-5</v>
      </c>
      <c r="C262" s="1">
        <v>5.9442940681400002E-6</v>
      </c>
      <c r="D262" s="1">
        <v>1.9984776956599999E-3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7.0194020548699998E-2</v>
      </c>
      <c r="B263" s="1">
        <v>5.4043920240999997E-5</v>
      </c>
      <c r="C263" s="1">
        <v>6.9015928059199999E-6</v>
      </c>
      <c r="D263" s="1">
        <v>2.0144624726199998E-3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7.0895960754200002E-2</v>
      </c>
      <c r="B264" s="1">
        <v>4.8548029388100003E-5</v>
      </c>
      <c r="C264" s="1">
        <v>6.3474828817600002E-6</v>
      </c>
      <c r="D264" s="1">
        <v>2.0306070973499998E-3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7.1604920361700006E-2</v>
      </c>
      <c r="B265" s="1">
        <v>3.8288536644700001E-5</v>
      </c>
      <c r="C265" s="1">
        <v>6.0479866801799999E-6</v>
      </c>
      <c r="D265" s="1">
        <v>2.0469131683199999E-3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7.23209695653E-2</v>
      </c>
      <c r="B266" s="1">
        <v>3.4638777164799999E-5</v>
      </c>
      <c r="C266" s="1">
        <v>5.5598056223399998E-6</v>
      </c>
      <c r="D266" s="1">
        <v>2.0633823E-3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7.3044179261E-2</v>
      </c>
      <c r="B267" s="1">
        <v>3.1887876745700001E-5</v>
      </c>
      <c r="C267" s="1">
        <v>5.1791578215500002E-6</v>
      </c>
      <c r="D267" s="1">
        <v>2.080016123E-3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7.3774621053599998E-2</v>
      </c>
      <c r="B268" s="1">
        <v>2.88931556301E-5</v>
      </c>
      <c r="C268" s="1">
        <v>5.0696166703300001E-6</v>
      </c>
      <c r="D268" s="1">
        <v>2.0968162842299998E-3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7.4512367264100002E-2</v>
      </c>
      <c r="B269" s="1">
        <v>4.0062922751999997E-5</v>
      </c>
      <c r="C269" s="1">
        <v>5.6584982760100003E-6</v>
      </c>
      <c r="D269" s="1">
        <v>2.11378444707E-3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7.5257490936799995E-2</v>
      </c>
      <c r="B270" s="1">
        <v>3.7840529162399998E-5</v>
      </c>
      <c r="C270" s="1">
        <v>5.5864235062099997E-6</v>
      </c>
      <c r="D270" s="1">
        <v>2.1309222915499998E-3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7.6010065846099997E-2</v>
      </c>
      <c r="B271" s="1">
        <v>3.6302805097299997E-5</v>
      </c>
      <c r="C271" s="1">
        <v>5.2643841433000001E-6</v>
      </c>
      <c r="D271" s="1">
        <v>2.1482315144599998E-3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7.6770166504600001E-2</v>
      </c>
      <c r="B272" s="1">
        <v>2.8225978385999999E-5</v>
      </c>
      <c r="C272" s="1">
        <v>4.9583746401999999E-6</v>
      </c>
      <c r="D272" s="1">
        <v>2.1657138296100002E-3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7.7537868169599997E-2</v>
      </c>
      <c r="B273" s="1">
        <v>1.7766145064800001E-5</v>
      </c>
      <c r="C273" s="1">
        <v>4.0004513980699998E-6</v>
      </c>
      <c r="D273" s="1">
        <v>2.1833709679000002E-3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7.8313246851300006E-2</v>
      </c>
      <c r="B274" s="1">
        <v>1.9637484522699999E-5</v>
      </c>
      <c r="C274" s="1">
        <v>4.06430851311E-6</v>
      </c>
      <c r="D274" s="1">
        <v>2.2012046775799999E-3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7.90963793198E-2</v>
      </c>
      <c r="B275" s="1">
        <v>2.0161683052699999E-5</v>
      </c>
      <c r="C275" s="1">
        <v>4.2662885476799999E-6</v>
      </c>
      <c r="D275" s="1">
        <v>2.2192167243599999E-3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7.9887343112999998E-2</v>
      </c>
      <c r="B276" s="1">
        <v>2.38438721894E-5</v>
      </c>
      <c r="C276" s="1">
        <v>4.5252679629600002E-6</v>
      </c>
      <c r="D276" s="1">
        <v>2.2374088916000002E-3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8.0686216544199996E-2</v>
      </c>
      <c r="B277" s="1">
        <v>2.00095421165E-5</v>
      </c>
      <c r="C277" s="1">
        <v>4.50106273547E-6</v>
      </c>
      <c r="D277" s="1">
        <v>2.2557829805199998E-3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8.14930787096E-2</v>
      </c>
      <c r="B278" s="1">
        <v>2.20587249592E-5</v>
      </c>
      <c r="C278" s="1">
        <v>4.41835464553E-6</v>
      </c>
      <c r="D278" s="1">
        <v>2.27434081032E-3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8.2308009496700002E-2</v>
      </c>
      <c r="B279" s="1">
        <v>2.0519357227799998E-5</v>
      </c>
      <c r="C279" s="1">
        <v>4.2831654114499997E-6</v>
      </c>
      <c r="D279" s="1">
        <v>2.2930842184199999E-3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8.31310895917E-2</v>
      </c>
      <c r="B280" s="1">
        <v>1.8280368240199998E-5</v>
      </c>
      <c r="C280" s="1">
        <v>4.47877656503E-6</v>
      </c>
      <c r="D280" s="1">
        <v>2.3120150606099998E-3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8.3962400487599995E-2</v>
      </c>
      <c r="B281" s="1">
        <v>2.0561060839599999E-5</v>
      </c>
      <c r="C281" s="1">
        <v>4.4250339368799997E-6</v>
      </c>
      <c r="D281" s="1">
        <v>2.3311352112099998E-3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8.4802024492500003E-2</v>
      </c>
      <c r="B282" s="1">
        <v>1.3757771040500001E-5</v>
      </c>
      <c r="C282" s="1">
        <v>3.6537509803299999E-6</v>
      </c>
      <c r="D282" s="1">
        <v>2.3504465633299998E-3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8.5650044737399997E-2</v>
      </c>
      <c r="B283" s="1">
        <v>2.0582829660200002E-5</v>
      </c>
      <c r="C283" s="1">
        <v>2.2482437097699999E-6</v>
      </c>
      <c r="D283" s="1">
        <v>2.3699510289600001E-3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8.6506545184799999E-2</v>
      </c>
      <c r="B284" s="1">
        <v>2.26778101223E-5</v>
      </c>
      <c r="C284" s="1">
        <v>2.3667405084299998E-6</v>
      </c>
      <c r="D284" s="1">
        <v>2.3896505392499998E-3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8.7371610636599997E-2</v>
      </c>
      <c r="B285" s="1">
        <v>1.8236951537199999E-5</v>
      </c>
      <c r="C285" s="1">
        <v>2.0150799201099999E-6</v>
      </c>
      <c r="D285" s="1">
        <v>2.4095470446400002E-3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8.8245326742999994E-2</v>
      </c>
      <c r="B286" s="1">
        <v>2.1964838888400001E-5</v>
      </c>
      <c r="C286" s="1">
        <v>2.08857209502E-6</v>
      </c>
      <c r="D286" s="1">
        <v>2.4296425150899998E-3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8.9127780010400004E-2</v>
      </c>
      <c r="B287" s="1">
        <v>1.30564341359E-5</v>
      </c>
      <c r="C287" s="1">
        <v>1.6819515817000001E-6</v>
      </c>
      <c r="D287" s="1">
        <v>2.44993894024E-3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9.00190578105E-2</v>
      </c>
      <c r="B288" s="1">
        <v>1.5239331203000001E-5</v>
      </c>
      <c r="C288" s="1">
        <v>1.72885515056E-6</v>
      </c>
      <c r="D288" s="1">
        <v>2.4704383296399999E-3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9.0919248388599994E-2</v>
      </c>
      <c r="B289" s="1">
        <v>1.5879507974600001E-5</v>
      </c>
      <c r="C289" s="1">
        <v>1.82066319957E-6</v>
      </c>
      <c r="D289" s="1">
        <v>2.49114271294E-3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9.18284408725E-2</v>
      </c>
      <c r="B290" s="1">
        <v>1.61260581633E-5</v>
      </c>
      <c r="C290" s="1">
        <v>1.81231987807E-6</v>
      </c>
      <c r="D290" s="1">
        <v>2.51205414007E-3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9.2746725281199996E-2</v>
      </c>
      <c r="B291" s="1">
        <v>1.51809309773E-5</v>
      </c>
      <c r="C291" s="1">
        <v>1.7470854027699999E-6</v>
      </c>
      <c r="D291" s="1">
        <v>2.5331746814699998E-3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9.3674192534E-2</v>
      </c>
      <c r="B292" s="1">
        <v>1.38635508931E-5</v>
      </c>
      <c r="C292" s="1">
        <v>1.6406095291400001E-6</v>
      </c>
      <c r="D292" s="1">
        <v>2.5545064282799998E-3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9.4610934459399998E-2</v>
      </c>
      <c r="B293" s="1">
        <v>1.3714345897300001E-5</v>
      </c>
      <c r="C293" s="1">
        <v>1.6618891238800001E-6</v>
      </c>
      <c r="D293" s="1">
        <v>2.5760514925700002E-3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9.5557043804E-2</v>
      </c>
      <c r="B294" s="1">
        <v>1.4788473936699999E-5</v>
      </c>
      <c r="C294" s="1">
        <v>1.69208925533E-6</v>
      </c>
      <c r="D294" s="1">
        <v>2.5978120074900001E-3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9.6512614242E-2</v>
      </c>
      <c r="B295" s="1">
        <v>1.06178721737E-5</v>
      </c>
      <c r="C295" s="1">
        <v>1.4300428858900001E-6</v>
      </c>
      <c r="D295" s="1">
        <v>2.61979012757E-3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9.7477740384400005E-2</v>
      </c>
      <c r="B296" s="1">
        <v>1.32624268314E-5</v>
      </c>
      <c r="C296" s="1">
        <v>1.71080817113E-6</v>
      </c>
      <c r="D296" s="1">
        <v>2.6419880288399999E-3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9.8452517788299998E-2</v>
      </c>
      <c r="B297" s="1">
        <v>1.27368971998E-5</v>
      </c>
      <c r="C297" s="1">
        <v>1.6025727621600001E-6</v>
      </c>
      <c r="D297" s="1">
        <v>2.6644079091300002E-3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9.9437042966199998E-2</v>
      </c>
      <c r="B298" s="1">
        <v>1.02317809345E-5</v>
      </c>
      <c r="C298" s="1">
        <v>1.4525212438599999E-6</v>
      </c>
      <c r="D298" s="1">
        <v>2.68705198822E-3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0.10043141339599999</v>
      </c>
      <c r="B299" s="1">
        <v>1.11902291426E-5</v>
      </c>
      <c r="C299" s="1">
        <v>1.52428170316E-6</v>
      </c>
      <c r="D299" s="1">
        <v>2.7099225081E-3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0.10143572753000001</v>
      </c>
      <c r="B300" s="1">
        <v>1.3738160787699999E-5</v>
      </c>
      <c r="C300" s="1">
        <v>1.5817698977300001E-6</v>
      </c>
      <c r="D300" s="1">
        <v>2.73302173319E-3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0.10245008480499999</v>
      </c>
      <c r="B301" s="1">
        <v>1.04863681175E-5</v>
      </c>
      <c r="C301" s="1">
        <v>1.4283745577E-6</v>
      </c>
      <c r="D301" s="1">
        <v>2.7563519505200001E-3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0.103474585653</v>
      </c>
      <c r="B302" s="1">
        <v>9.5947603065399994E-6</v>
      </c>
      <c r="C302" s="1">
        <v>1.4513856930000001E-6</v>
      </c>
      <c r="D302" s="1">
        <v>2.7799154700199999E-3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0.10450933151</v>
      </c>
      <c r="B303" s="1">
        <v>9.1656139052000005E-6</v>
      </c>
      <c r="C303" s="1">
        <v>1.4048886535699999E-6</v>
      </c>
      <c r="D303" s="1">
        <v>2.8037146247199998E-3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0.10555442482500001</v>
      </c>
      <c r="B304" s="1">
        <v>1.08485192297E-5</v>
      </c>
      <c r="C304" s="1">
        <v>1.40495089674E-6</v>
      </c>
      <c r="D304" s="1">
        <v>2.82775177097E-3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0.10660996907299999</v>
      </c>
      <c r="B305" s="1">
        <v>8.1170348922800006E-6</v>
      </c>
      <c r="C305" s="1">
        <v>1.2932199142599999E-6</v>
      </c>
      <c r="D305" s="1">
        <v>2.8520292886799999E-3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0.107676068764</v>
      </c>
      <c r="B306" s="1">
        <v>7.2621508447399998E-6</v>
      </c>
      <c r="C306" s="1">
        <v>1.20800554759E-6</v>
      </c>
      <c r="D306" s="1">
        <v>2.87654958157E-3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0.108752829451</v>
      </c>
      <c r="B307" s="1">
        <v>8.5665406623399994E-6</v>
      </c>
      <c r="C307" s="1">
        <v>1.3714880389E-6</v>
      </c>
      <c r="D307" s="1">
        <v>2.9013150773800002E-3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0.109840357746</v>
      </c>
      <c r="B308" s="1">
        <v>7.5011788481800002E-6</v>
      </c>
      <c r="C308" s="1">
        <v>1.1830890633700001E-6</v>
      </c>
      <c r="D308" s="1">
        <v>2.9263282281600002E-3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0.110938761323</v>
      </c>
      <c r="B309" s="1">
        <v>9.4134032431399997E-6</v>
      </c>
      <c r="C309" s="1">
        <v>1.3144196854900001E-6</v>
      </c>
      <c r="D309" s="1">
        <v>2.9515915104400001E-3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0.11204814893700001</v>
      </c>
      <c r="B310" s="1">
        <v>6.8290793327399997E-6</v>
      </c>
      <c r="C310" s="1">
        <v>1.1651183299400001E-6</v>
      </c>
      <c r="D310" s="1">
        <v>2.97710742554E-3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0.11316863042600001</v>
      </c>
      <c r="B311" s="1">
        <v>7.9835880215500003E-6</v>
      </c>
      <c r="C311" s="1">
        <v>1.22755705931E-6</v>
      </c>
      <c r="D311" s="1">
        <v>3.0028784998000001E-3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0.11430031673</v>
      </c>
      <c r="B312" s="1">
        <v>6.2163516160300004E-6</v>
      </c>
      <c r="C312" s="1">
        <v>1.1447982095299999E-6</v>
      </c>
      <c r="D312" s="1">
        <v>3.0289072847900001E-3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0.115443319898</v>
      </c>
      <c r="B313" s="1">
        <v>7.1696272835599996E-6</v>
      </c>
      <c r="C313" s="1">
        <v>1.16016056429E-6</v>
      </c>
      <c r="D313" s="1">
        <v>3.0551963576400001E-3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0.116597753096</v>
      </c>
      <c r="B314" s="1">
        <v>6.27506764289E-6</v>
      </c>
      <c r="C314" s="1">
        <v>1.1573027563E-6</v>
      </c>
      <c r="D314" s="1">
        <v>3.0817483212199999E-3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0.117763730627</v>
      </c>
      <c r="B315" s="1">
        <v>7.4254163581299996E-6</v>
      </c>
      <c r="C315" s="1">
        <v>1.26552978337E-6</v>
      </c>
      <c r="D315" s="1">
        <v>3.1085658044299998E-3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0.11894136793399999</v>
      </c>
      <c r="B316" s="1">
        <v>6.4131346164499996E-6</v>
      </c>
      <c r="C316" s="1">
        <v>1.14207305628E-6</v>
      </c>
      <c r="D316" s="1">
        <v>3.1356514624800002E-3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0.120130781613</v>
      </c>
      <c r="B317" s="1">
        <v>4.8935200434200002E-6</v>
      </c>
      <c r="C317" s="1">
        <v>9.9823513852100003E-7</v>
      </c>
      <c r="D317" s="1">
        <v>3.1630079771000001E-3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0.12133208942900001</v>
      </c>
      <c r="B318" s="1">
        <v>6.1705563467199997E-6</v>
      </c>
      <c r="C318" s="1">
        <v>1.0961527239899999E-6</v>
      </c>
      <c r="D318" s="1">
        <v>3.19063805687E-3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0.122545410323</v>
      </c>
      <c r="B319" s="1">
        <v>6.2320606336300001E-6</v>
      </c>
      <c r="C319" s="1">
        <v>1.1364662352100001E-6</v>
      </c>
      <c r="D319" s="1">
        <v>3.2185444374399999E-3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0.123770864427</v>
      </c>
      <c r="B320" s="1">
        <v>4.4418375005800004E-6</v>
      </c>
      <c r="C320" s="1">
        <v>1.04364933169E-6</v>
      </c>
      <c r="D320" s="1">
        <v>3.2467298818099999E-3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0.125008573071</v>
      </c>
      <c r="B321" s="1">
        <v>4.7059371611900002E-6</v>
      </c>
      <c r="C321" s="1">
        <v>1.0249188502099999E-6</v>
      </c>
      <c r="D321" s="1">
        <v>3.2751971806300002E-3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0.12625865880199999</v>
      </c>
      <c r="B322" s="1">
        <v>4.61535362146E-6</v>
      </c>
      <c r="C322" s="1">
        <v>9.8916190574799995E-7</v>
      </c>
      <c r="D322" s="1">
        <v>3.3039491524399999E-3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0.12752124539000001</v>
      </c>
      <c r="B323" s="1">
        <v>5.1111285820400001E-6</v>
      </c>
      <c r="C323" s="1">
        <v>1.0890328057600001E-6</v>
      </c>
      <c r="D323" s="1">
        <v>3.3329886439600002E-3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0.12879645784400001</v>
      </c>
      <c r="B324" s="1">
        <v>3.2938257658899998E-6</v>
      </c>
      <c r="C324" s="1">
        <v>9.5971720151299992E-7</v>
      </c>
      <c r="D324" s="1">
        <v>3.3623185304E-3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2021-06-28T15:30:50Z</dcterms:modified>
</cp:coreProperties>
</file>