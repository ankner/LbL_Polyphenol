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8_{719446D1-1DF7-4699-B501-2A0ECC7A5776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82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ScaledCombined!$A$1:$M$278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4" i="1"/>
  <c r="F7" i="1"/>
  <c r="G27" i="1" l="1"/>
  <c r="F26" i="1"/>
  <c r="C26" i="1"/>
  <c r="C25" i="1" s="1"/>
  <c r="F25" i="1"/>
  <c r="D19" i="69" l="1"/>
  <c r="B10" i="69"/>
  <c r="C10" i="69"/>
  <c r="C6" i="1"/>
  <c r="H6" i="1" l="1"/>
  <c r="H14" i="1"/>
  <c r="H16" i="1"/>
  <c r="B19" i="69" l="1"/>
  <c r="F5" i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C19" i="69" l="1"/>
  <c r="B7" i="69"/>
  <c r="C14" i="69"/>
  <c r="X3" i="1" l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177" i="1"/>
  <c r="Y34" i="1"/>
  <c r="Y138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162" i="1"/>
  <c r="Y21" i="1"/>
  <c r="Y22" i="1"/>
  <c r="Y196" i="1"/>
  <c r="Y195" i="1"/>
  <c r="Y226" i="1"/>
  <c r="Y17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571_offmin0.03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<sst xmlns="http://schemas.openxmlformats.org/spreadsheetml/2006/main" count="1166" uniqueCount="649">
  <si>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</si>
  <si>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</si>
  <si>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</si>
  <si>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</si>
  <si>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</si>
  <si>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</si>
  <si>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</si>
  <si>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</si>
  <si>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</si>
  <si>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</si>
  <si>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</si>
  <si>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</si>
  <si>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</si>
  <si>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</si>
  <si>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</si>
  <si>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</si>
  <si>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</si>
  <si>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</si>
  <si>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</si>
  <si>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</si>
  <si>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</si>
  <si>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</si>
  <si>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</si>
  <si>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</si>
  <si>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</si>
  <si>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</si>
  <si>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</si>
  <si>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</si>
  <si>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</si>
  <si>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</si>
  <si>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</si>
  <si>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</si>
  <si>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</si>
  <si>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</si>
  <si>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</si>
  <si>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</si>
  <si>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</si>
  <si>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</si>
  <si>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</si>
  <si>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</si>
  <si>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</si>
  <si>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</si>
  <si>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</si>
  <si>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</si>
  <si>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</si>
  <si>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</si>
  <si>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</si>
  <si>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</si>
  <si>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</si>
  <si>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</si>
  <si>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</si>
  <si>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</si>
  <si>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</si>
  <si>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</si>
  <si>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</si>
  <si>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</si>
  <si>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</si>
  <si>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</si>
  <si>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</si>
  <si>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</si>
  <si>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</si>
  <si>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</si>
  <si>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</si>
  <si>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</si>
  <si>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</si>
  <si>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</si>
  <si>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</si>
  <si>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</si>
  <si>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</si>
  <si>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</si>
  <si>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</si>
  <si>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</si>
  <si>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</si>
  <si>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</si>
  <si>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</si>
  <si>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</si>
  <si>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</si>
  <si>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</si>
  <si>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</si>
  <si>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</si>
  <si>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</si>
  <si>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</si>
  <si>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</si>
  <si>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</si>
  <si>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</si>
  <si>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</si>
  <si>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</si>
  <si>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</si>
  <si>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</si>
  <si>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</si>
  <si>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</si>
  <si>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</si>
  <si>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</si>
  <si>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</si>
  <si>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</si>
  <si>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</si>
  <si>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</si>
  <si>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</si>
  <si>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</si>
  <si>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</si>
  <si>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</si>
  <si>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</si>
  <si>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</si>
  <si>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</si>
  <si>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</si>
  <si>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</si>
  <si>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</si>
  <si>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</si>
  <si>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</si>
  <si>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</si>
  <si>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</si>
  <si>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</si>
  <si>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</si>
  <si>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</si>
  <si>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</si>
  <si>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</si>
  <si>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</si>
  <si>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</si>
  <si>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</si>
  <si>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</si>
  <si>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</si>
  <si>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</si>
  <si>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</si>
  <si>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</si>
  <si>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</si>
  <si>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</si>
  <si>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</si>
  <si>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</si>
  <si>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</si>
  <si>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</si>
  <si>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</si>
  <si>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</si>
  <si>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</si>
  <si>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</si>
  <si>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</si>
  <si>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</si>
  <si>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</si>
  <si>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</si>
  <si>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</si>
  <si>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</si>
  <si>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</si>
  <si>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</si>
  <si>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</si>
  <si>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</si>
  <si>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</si>
  <si>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</si>
  <si>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</si>
  <si>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</si>
  <si>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</si>
  <si>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</si>
  <si>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</si>
  <si>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</si>
  <si>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</si>
  <si>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</si>
  <si>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</si>
  <si>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</si>
  <si>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</si>
  <si>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</si>
  <si>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</si>
  <si>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</si>
  <si>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</si>
  <si>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</si>
  <si>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</si>
  <si>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</si>
  <si>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</si>
  <si>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</si>
  <si>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</si>
  <si>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</si>
  <si>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</si>
  <si>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</si>
  <si>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</si>
  <si>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</si>
  <si>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</si>
  <si>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</si>
  <si>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</si>
  <si>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</si>
  <si>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</si>
  <si>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</si>
  <si>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</si>
  <si>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</si>
  <si>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</si>
  <si>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</si>
  <si>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</si>
  <si>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</si>
  <si>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</si>
  <si>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</si>
  <si>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</si>
  <si>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</si>
  <si>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</si>
  <si>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</si>
  <si>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</si>
  <si>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</si>
  <si>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</si>
  <si>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</si>
  <si>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</si>
  <si>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</si>
  <si>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</si>
  <si>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</si>
  <si>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</si>
  <si>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</si>
  <si>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</si>
  <si>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</si>
  <si>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</si>
  <si>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</si>
  <si>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</si>
  <si>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</si>
  <si>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</si>
  <si>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</si>
  <si>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</si>
  <si>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</si>
  <si>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</si>
  <si>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</si>
  <si>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</si>
  <si>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</si>
  <si>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</si>
  <si>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</si>
  <si>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</si>
  <si>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</si>
  <si>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</si>
  <si>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</si>
  <si>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</si>
  <si>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</si>
  <si>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</si>
  <si>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</si>
  <si>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</si>
  <si>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</si>
  <si>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</si>
  <si>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</si>
  <si>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</si>
  <si>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</si>
  <si>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</si>
  <si>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</si>
  <si>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</si>
  <si>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</si>
  <si>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</si>
  <si>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</si>
  <si>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</si>
  <si>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</si>
  <si>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</si>
  <si>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</si>
  <si>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</si>
  <si>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</si>
  <si>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</si>
  <si>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</si>
  <si>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</si>
  <si>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</si>
  <si>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</si>
  <si>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</si>
  <si>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</si>
  <si>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</si>
  <si>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</si>
  <si>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</si>
  <si>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</si>
  <si>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</si>
  <si>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</si>
  <si>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</si>
  <si>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</si>
  <si>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</si>
  <si>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</si>
  <si>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</si>
  <si>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</si>
  <si>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</si>
  <si>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</si>
  <si>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</si>
  <si>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</si>
  <si>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</si>
  <si>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</si>
  <si>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</si>
  <si>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</si>
  <si>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</si>
  <si>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</si>
  <si>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</si>
  <si>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</si>
  <si>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</si>
  <si>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</si>
  <si>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</si>
  <si>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</si>
  <si>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</si>
  <si>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</si>
  <si>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</si>
  <si>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</si>
  <si>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</si>
  <si>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</si>
  <si>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</si>
  <si>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</si>
  <si>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</si>
  <si>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</si>
  <si>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</si>
  <si>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</si>
  <si>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</si>
  <si>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</si>
  <si>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</si>
  <si>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</si>
  <si>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</si>
  <si>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</si>
  <si>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</si>
  <si>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</si>
  <si>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</si>
  <si>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</si>
  <si>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</si>
  <si>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</si>
  <si>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</si>
  <si>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</si>
  <si>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</si>
  <si>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</si>
  <si>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</si>
  <si>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</si>
  <si>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</si>
  <si>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</si>
  <si>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</si>
  <si>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</si>
  <si>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</si>
  <si>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</si>
  <si>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</si>
  <si>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</si>
  <si>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</si>
  <si>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</si>
  <si>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</si>
  <si>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</si>
  <si>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</si>
  <si>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</si>
  <si>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</si>
  <si>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</si>
  <si>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</si>
  <si>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</si>
  <si>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</si>
  <si>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</si>
  <si>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</si>
  <si>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</si>
  <si>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</si>
  <si>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</si>
  <si>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</si>
  <si>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</si>
  <si>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</si>
  <si>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</si>
  <si>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</si>
  <si>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</si>
  <si>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</si>
  <si>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</si>
  <si>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</si>
  <si>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</si>
  <si>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</si>
  <si>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</si>
  <si>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</si>
  <si>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</si>
  <si>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</si>
  <si>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</si>
  <si>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</si>
  <si>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</si>
  <si>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</si>
  <si>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</si>
  <si>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</si>
  <si>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</si>
  <si>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</si>
  <si>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</si>
  <si>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</si>
  <si>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</si>
  <si>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</si>
  <si>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</si>
  <si>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</si>
  <si>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</si>
  <si>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</si>
  <si>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</si>
  <si>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</si>
  <si>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</si>
  <si>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</si>
  <si>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</si>
  <si>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</si>
  <si>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</si>
  <si>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</si>
  <si>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</si>
  <si>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</si>
  <si>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</si>
  <si>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</si>
  <si>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</si>
  <si>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</si>
  <si>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</si>
  <si>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</si>
  <si>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</si>
  <si>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</si>
  <si>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</si>
  <si>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</si>
  <si>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</si>
  <si>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</si>
  <si>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</si>
  <si>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</si>
  <si>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</si>
  <si>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</si>
  <si>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</si>
  <si>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</si>
  <si>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</si>
  <si>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</si>
  <si>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</si>
  <si>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</si>
  <si>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</si>
  <si>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</si>
  <si>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</si>
  <si>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</si>
  <si>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</si>
  <si>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</si>
  <si>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</si>
  <si>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</si>
  <si>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</si>
  <si>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</si>
  <si>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</si>
  <si>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</si>
  <si>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</si>
  <si>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</si>
  <si>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</si>
  <si>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</si>
  <si>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</si>
  <si>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</si>
  <si>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</si>
  <si>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</si>
  <si>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</si>
  <si>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</si>
  <si>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</si>
  <si>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</si>
  <si>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</si>
  <si>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</si>
  <si>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</si>
  <si>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</si>
  <si>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</si>
  <si>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</si>
  <si>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</si>
  <si>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</si>
  <si>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</si>
  <si>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</si>
  <si>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</si>
  <si>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</si>
  <si>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</si>
  <si>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</si>
  <si>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</si>
  <si>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</si>
  <si>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</si>
  <si>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</si>
  <si>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</si>
  <si>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</si>
  <si>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</si>
  <si>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</si>
  <si>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</si>
  <si>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</si>
  <si>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</si>
  <si>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</si>
  <si>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</si>
  <si>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</si>
  <si>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</si>
  <si>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</si>
  <si>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</si>
  <si>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</si>
  <si>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</si>
  <si>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</si>
  <si>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</si>
  <si>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</si>
  <si>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</si>
  <si>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</si>
  <si>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</si>
  <si>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</si>
  <si>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</si>
  <si>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</si>
  <si>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</si>
  <si>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</si>
  <si>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</si>
  <si>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</si>
  <si>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</si>
  <si>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</si>
  <si>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</si>
  <si>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</si>
  <si>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</si>
  <si>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</si>
  <si>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</si>
  <si>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</si>
  <si>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</si>
  <si>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</si>
  <si>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</si>
  <si>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</si>
  <si>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</si>
  <si>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</si>
  <si>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</si>
  <si>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</si>
  <si>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</si>
  <si>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</si>
  <si>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</si>
  <si>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</si>
  <si>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</si>
  <si>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</si>
  <si>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</si>
  <si>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</si>
  <si>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</si>
  <si>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</si>
  <si>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</si>
  <si>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</si>
  <si>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</si>
  <si>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</si>
  <si>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</si>
  <si>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</si>
  <si>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</si>
  <si>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</si>
  <si>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</si>
  <si>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</si>
  <si>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</si>
  <si>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</si>
  <si>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</si>
  <si>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</si>
  <si>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</si>
  <si>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</si>
  <si>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</si>
  <si>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</si>
  <si>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</si>
  <si>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</si>
  <si>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</si>
  <si>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</si>
  <si>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</si>
  <si>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</si>
  <si>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</si>
  <si>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</si>
  <si>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</si>
  <si>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</si>
  <si>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</si>
  <si>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</si>
  <si>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</si>
  <si>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</si>
  <si>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</si>
  <si>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</si>
  <si>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</si>
  <si>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</si>
  <si>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</si>
  <si>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</si>
  <si>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</si>
  <si>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</si>
  <si>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</si>
  <si>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</si>
  <si>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</si>
  <si>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</si>
  <si>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</si>
  <si>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</si>
  <si>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</si>
  <si>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</si>
  <si>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</si>
  <si>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</si>
  <si>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</si>
  <si>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</si>
  <si>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</si>
  <si>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</si>
  <si>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</si>
  <si>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</si>
  <si>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</si>
  <si>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</si>
  <si>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</si>
  <si>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</si>
  <si>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</si>
  <si>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</si>
  <si>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</si>
  <si>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</si>
  <si>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</si>
  <si>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</si>
  <si>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</si>
  <si>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</si>
  <si>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</si>
  <si>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</si>
  <si>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</si>
  <si>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</si>
  <si>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</si>
  <si>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</si>
  <si>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</si>
  <si>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</si>
  <si>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</si>
  <si>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</si>
  <si>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</si>
  <si>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</si>
  <si>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</si>
  <si>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</si>
  <si>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</si>
  <si>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</si>
  <si>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</si>
  <si>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</si>
  <si>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</si>
  <si>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</si>
  <si>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</si>
  <si>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</si>
  <si>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</si>
  <si>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</si>
  <si>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</si>
  <si>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</si>
  <si>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</si>
  <si>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</si>
  <si>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</si>
  <si>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</si>
  <si>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</si>
  <si>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</si>
  <si>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</si>
  <si>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</si>
  <si>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</si>
  <si>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</si>
  <si>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</si>
  <si>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</si>
  <si>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</si>
  <si>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</si>
  <si>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</si>
  <si>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</si>
  <si>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</si>
  <si>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</si>
  <si>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</si>
  <si>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</si>
  <si>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</si>
  <si>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</si>
  <si>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</si>
  <si>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</si>
  <si>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</si>
  <si>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</si>
  <si>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</si>
  <si>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</si>
  <si>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</si>
  <si>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</si>
  <si>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</si>
  <si>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</si>
  <si>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</si>
  <si>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</si>
  <si>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</si>
  <si>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</si>
  <si>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</si>
  <si>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</si>
  <si>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</si>
  <si>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</si>
  <si>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</si>
  <si>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</si>
  <si>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</si>
  <si>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</si>
  <si>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</si>
  <si>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</si>
  <si>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</si>
  <si>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</si>
  <si>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</si>
  <si>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</si>
  <si>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</si>
  <si>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</si>
  <si>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t>IPTS-23087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</si>
  <si>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</si>
  <si>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</si>
  <si>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</si>
  <si>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</si>
  <si>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</si>
  <si>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Sat</t>
  </si>
  <si>
    <t>Apr</t>
  </si>
  <si>
    <t>10_04_2021</t>
  </si>
  <si>
    <r>
      <t>S</t>
    </r>
    <r>
      <rPr>
        <b/>
        <vertAlign val="subscript"/>
        <sz val="12"/>
        <rFont val="Times New Roman"/>
        <family val="1"/>
      </rPr>
      <t>P3HAA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</si>
  <si>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P3HAA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</si>
  <si>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3_p3haa_57h62d_43h108h_2min-174571-1.</t>
  </si>
  <si>
    <t>2019-11-20T08:01:59.244689667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</si>
</sst>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3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9" borderId="0" applyNumberFormat="0" applyBorder="0" applyAlignment="0" applyProtection="0"/>
    <xf numFmtId="0" fontId="30" fillId="3" borderId="0" applyNumberFormat="0" applyBorder="0" applyAlignment="0" applyProtection="0"/>
    <xf numFmtId="0" fontId="31" fillId="20" borderId="1" applyNumberFormat="0" applyAlignment="0" applyProtection="0"/>
    <xf numFmtId="0" fontId="32" fillId="21" borderId="2" applyNumberFormat="0" applyAlignment="0" applyProtection="0"/>
    <xf numFmtId="0" fontId="33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35" fillId="0" borderId="3" applyNumberFormat="0" applyFill="0" applyAlignment="0" applyProtection="0"/>
    <xf numFmtId="0" fontId="36" fillId="0" borderId="4" applyNumberFormat="0" applyFill="0" applyAlignment="0" applyProtection="0"/>
    <xf numFmtId="0" fontId="37" fillId="0" borderId="5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1" applyNumberFormat="0" applyAlignment="0" applyProtection="0"/>
    <xf numFmtId="0" fontId="39" fillId="0" borderId="6" applyNumberFormat="0" applyFill="0" applyAlignment="0" applyProtection="0"/>
    <xf numFmtId="0" fontId="40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1" fillId="20" borderId="8" applyNumberForma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5" fillId="29" borderId="0" xfId="0" applyNumberFormat="1" applyFont="1" applyFill="1" applyAlignment="1">
      <alignment horizontal="center"/>
    </xf>
    <xf numFmtId="2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right"/>
    </xf>
    <xf numFmtId="167" fontId="47" fillId="29" borderId="0" xfId="0" applyNumberFormat="1" applyFont="1" applyFill="1"/>
    <xf numFmtId="9" fontId="0" fillId="0" borderId="0" xfId="0" applyNumberFormat="1"/>
    <xf numFmtId="166" fontId="52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left"/>
    </xf>
    <xf numFmtId="166" fontId="27" fillId="29" borderId="0" xfId="0" applyNumberFormat="1" applyFont="1" applyFill="1" applyAlignment="1">
      <alignment horizontal="center"/>
    </xf>
    <xf numFmtId="166" fontId="27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7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109.9730440653839</c:v>
                </c:pt>
                <c:pt idx="4">
                  <c:v>109.9730440653839</c:v>
                </c:pt>
                <c:pt idx="5">
                  <c:v>117.39938713730753</c:v>
                </c:pt>
                <c:pt idx="6">
                  <c:v>117.39938713730753</c:v>
                </c:pt>
                <c:pt idx="7">
                  <c:v>121.53199047922331</c:v>
                </c:pt>
                <c:pt idx="8">
                  <c:v>121.53199047922331</c:v>
                </c:pt>
                <c:pt idx="9">
                  <c:v>124.55982021534578</c:v>
                </c:pt>
                <c:pt idx="10">
                  <c:v>124.55982021534578</c:v>
                </c:pt>
                <c:pt idx="11">
                  <c:v>127.02382660399012</c:v>
                </c:pt>
                <c:pt idx="12">
                  <c:v>127.02382660399012</c:v>
                </c:pt>
                <c:pt idx="13">
                  <c:v>129.15150980034684</c:v>
                </c:pt>
                <c:pt idx="14">
                  <c:v>129.15150980034684</c:v>
                </c:pt>
                <c:pt idx="15">
                  <c:v>131.06289911152751</c:v>
                </c:pt>
                <c:pt idx="16">
                  <c:v>131.06289911152751</c:v>
                </c:pt>
                <c:pt idx="17">
                  <c:v>132.83093494119692</c:v>
                </c:pt>
                <c:pt idx="18">
                  <c:v>132.83093494119692</c:v>
                </c:pt>
                <c:pt idx="19">
                  <c:v>134.50497956576021</c:v>
                </c:pt>
                <c:pt idx="20">
                  <c:v>134.50497956576021</c:v>
                </c:pt>
                <c:pt idx="21">
                  <c:v>136.12178674639685</c:v>
                </c:pt>
                <c:pt idx="22">
                  <c:v>136.12178674639685</c:v>
                </c:pt>
                <c:pt idx="23">
                  <c:v>137.71143430475647</c:v>
                </c:pt>
                <c:pt idx="24">
                  <c:v>137.71143430475647</c:v>
                </c:pt>
                <c:pt idx="25">
                  <c:v>141.37750570105717</c:v>
                </c:pt>
                <c:pt idx="26">
                  <c:v>141.37750570105717</c:v>
                </c:pt>
                <c:pt idx="27">
                  <c:v>148.70964849365856</c:v>
                </c:pt>
                <c:pt idx="28">
                  <c:v>148.70964849365856</c:v>
                </c:pt>
                <c:pt idx="29">
                  <c:v>156.04179128625995</c:v>
                </c:pt>
                <c:pt idx="30">
                  <c:v>156.04179128625995</c:v>
                </c:pt>
                <c:pt idx="31">
                  <c:v>163.37393407886134</c:v>
                </c:pt>
                <c:pt idx="32">
                  <c:v>163.37393407886134</c:v>
                </c:pt>
                <c:pt idx="33">
                  <c:v>170.70607687146273</c:v>
                </c:pt>
                <c:pt idx="34">
                  <c:v>170.70607687146273</c:v>
                </c:pt>
                <c:pt idx="35">
                  <c:v>178.03821966406412</c:v>
                </c:pt>
                <c:pt idx="36">
                  <c:v>178.03821966406412</c:v>
                </c:pt>
                <c:pt idx="37">
                  <c:v>185.3703624566655</c:v>
                </c:pt>
                <c:pt idx="38">
                  <c:v>185.3703624566655</c:v>
                </c:pt>
                <c:pt idx="39">
                  <c:v>192.70250524926689</c:v>
                </c:pt>
                <c:pt idx="40">
                  <c:v>192.70250524926689</c:v>
                </c:pt>
                <c:pt idx="41">
                  <c:v>200.03464804186828</c:v>
                </c:pt>
                <c:pt idx="42">
                  <c:v>200.03464804186828</c:v>
                </c:pt>
                <c:pt idx="43">
                  <c:v>207.36679083446967</c:v>
                </c:pt>
                <c:pt idx="44">
                  <c:v>207.36679083446967</c:v>
                </c:pt>
                <c:pt idx="45">
                  <c:v>214.69893362707106</c:v>
                </c:pt>
                <c:pt idx="46">
                  <c:v>214.69893362707106</c:v>
                </c:pt>
                <c:pt idx="47">
                  <c:v>222.03107641967244</c:v>
                </c:pt>
                <c:pt idx="48">
                  <c:v>222.03107641967244</c:v>
                </c:pt>
                <c:pt idx="49">
                  <c:v>229.36321921227383</c:v>
                </c:pt>
                <c:pt idx="50">
                  <c:v>229.36321921227383</c:v>
                </c:pt>
                <c:pt idx="51">
                  <c:v>236.69536200487522</c:v>
                </c:pt>
                <c:pt idx="52">
                  <c:v>236.69536200487522</c:v>
                </c:pt>
                <c:pt idx="53">
                  <c:v>244.02750479747661</c:v>
                </c:pt>
                <c:pt idx="54">
                  <c:v>244.02750479747661</c:v>
                </c:pt>
                <c:pt idx="55">
                  <c:v>251.359647590078</c:v>
                </c:pt>
                <c:pt idx="56">
                  <c:v>251.359647590078</c:v>
                </c:pt>
                <c:pt idx="57">
                  <c:v>258.69179038267941</c:v>
                </c:pt>
                <c:pt idx="58">
                  <c:v>258.69179038267941</c:v>
                </c:pt>
                <c:pt idx="59">
                  <c:v>266.02393317528083</c:v>
                </c:pt>
                <c:pt idx="60">
                  <c:v>266.02393317528083</c:v>
                </c:pt>
                <c:pt idx="61">
                  <c:v>273.35607596788225</c:v>
                </c:pt>
                <c:pt idx="62">
                  <c:v>273.35607596788225</c:v>
                </c:pt>
                <c:pt idx="63">
                  <c:v>280.68821876048366</c:v>
                </c:pt>
                <c:pt idx="64">
                  <c:v>280.68821876048366</c:v>
                </c:pt>
                <c:pt idx="65">
                  <c:v>288.02036155308508</c:v>
                </c:pt>
                <c:pt idx="66">
                  <c:v>288.02036155308508</c:v>
                </c:pt>
                <c:pt idx="67">
                  <c:v>295.3525043456865</c:v>
                </c:pt>
                <c:pt idx="68">
                  <c:v>295.3525043456865</c:v>
                </c:pt>
                <c:pt idx="69">
                  <c:v>299.01857574198721</c:v>
                </c:pt>
                <c:pt idx="70">
                  <c:v>299.01857574198721</c:v>
                </c:pt>
                <c:pt idx="71">
                  <c:v>304.6609011096067</c:v>
                </c:pt>
                <c:pt idx="72">
                  <c:v>304.6609011096067</c:v>
                </c:pt>
                <c:pt idx="73">
                  <c:v>310.39962735863082</c:v>
                </c:pt>
                <c:pt idx="74">
                  <c:v>310.39962735863082</c:v>
                </c:pt>
                <c:pt idx="75">
                  <c:v>316.34151328298469</c:v>
                </c:pt>
                <c:pt idx="76">
                  <c:v>316.34151328298469</c:v>
                </c:pt>
                <c:pt idx="77">
                  <c:v>322.61701338371023</c:v>
                </c:pt>
                <c:pt idx="78">
                  <c:v>322.61701338371023</c:v>
                </c:pt>
                <c:pt idx="79">
                  <c:v>329.40133506631031</c:v>
                </c:pt>
                <c:pt idx="80">
                  <c:v>329.40133506631031</c:v>
                </c:pt>
                <c:pt idx="81">
                  <c:v>336.95337439095761</c:v>
                </c:pt>
                <c:pt idx="82">
                  <c:v>336.95337439095761</c:v>
                </c:pt>
                <c:pt idx="83">
                  <c:v>345.69916566998234</c:v>
                </c:pt>
                <c:pt idx="84">
                  <c:v>345.69916566998234</c:v>
                </c:pt>
                <c:pt idx="85">
                  <c:v>356.44620229399078</c:v>
                </c:pt>
                <c:pt idx="86">
                  <c:v>356.44620229399078</c:v>
                </c:pt>
                <c:pt idx="87">
                  <c:v>371.11454342896673</c:v>
                </c:pt>
                <c:pt idx="88">
                  <c:v>371.11454342896673</c:v>
                </c:pt>
                <c:pt idx="89">
                  <c:v>397.47374719272369</c:v>
                </c:pt>
                <c:pt idx="90">
                  <c:v>397.47374719272369</c:v>
                </c:pt>
                <c:pt idx="91">
                  <c:v>432.8722600433141</c:v>
                </c:pt>
                <c:pt idx="92">
                  <c:v>432.8722600433141</c:v>
                </c:pt>
                <c:pt idx="93">
                  <c:v>1137.9665532136632</c:v>
                </c:pt>
                <c:pt idx="94">
                  <c:v>1137.9665532136632</c:v>
                </c:pt>
                <c:pt idx="95">
                  <c:v>1141.4087163898114</c:v>
                </c:pt>
                <c:pt idx="96">
                  <c:v>1141.4087163898114</c:v>
                </c:pt>
                <c:pt idx="97">
                  <c:v>1143.9718941405592</c:v>
                </c:pt>
                <c:pt idx="98">
                  <c:v>1143.9718941405592</c:v>
                </c:pt>
                <c:pt idx="99">
                  <c:v>1145.3982485166061</c:v>
                </c:pt>
                <c:pt idx="100">
                  <c:v>1145.3982485166061</c:v>
                </c:pt>
                <c:pt idx="101">
                  <c:v>1146.4432939363394</c:v>
                </c:pt>
                <c:pt idx="102">
                  <c:v>1146.4432939363394</c:v>
                </c:pt>
                <c:pt idx="103">
                  <c:v>1147.2937375923766</c:v>
                </c:pt>
                <c:pt idx="104">
                  <c:v>1147.2937375923766</c:v>
                </c:pt>
                <c:pt idx="105">
                  <c:v>1148.0281004108895</c:v>
                </c:pt>
                <c:pt idx="106">
                  <c:v>1148.0281004108895</c:v>
                </c:pt>
                <c:pt idx="107">
                  <c:v>1148.6878101102645</c:v>
                </c:pt>
                <c:pt idx="108">
                  <c:v>1148.6878101102645</c:v>
                </c:pt>
                <c:pt idx="109">
                  <c:v>1149.2980418295972</c:v>
                </c:pt>
                <c:pt idx="110">
                  <c:v>1149.2980418295972</c:v>
                </c:pt>
                <c:pt idx="111">
                  <c:v>1149.8758327953367</c:v>
                </c:pt>
                <c:pt idx="112">
                  <c:v>1149.8758327953367</c:v>
                </c:pt>
                <c:pt idx="113">
                  <c:v>1150.4338684466015</c:v>
                </c:pt>
                <c:pt idx="114">
                  <c:v>1150.4338684466015</c:v>
                </c:pt>
                <c:pt idx="115">
                  <c:v>1150.9825300440602</c:v>
                </c:pt>
                <c:pt idx="116">
                  <c:v>1150.9825300440602</c:v>
                </c:pt>
                <c:pt idx="117">
                  <c:v>1151.209802771333</c:v>
                </c:pt>
                <c:pt idx="118">
                  <c:v>1151.209802771333</c:v>
                </c:pt>
                <c:pt idx="119">
                  <c:v>1151.6643482258785</c:v>
                </c:pt>
                <c:pt idx="120">
                  <c:v>1151.6643482258785</c:v>
                </c:pt>
                <c:pt idx="121">
                  <c:v>1152.118893680424</c:v>
                </c:pt>
                <c:pt idx="122">
                  <c:v>1152.118893680424</c:v>
                </c:pt>
                <c:pt idx="123">
                  <c:v>1152.5734391349695</c:v>
                </c:pt>
                <c:pt idx="124">
                  <c:v>1152.5734391349695</c:v>
                </c:pt>
                <c:pt idx="125">
                  <c:v>1153.027984589515</c:v>
                </c:pt>
                <c:pt idx="126">
                  <c:v>1153.027984589515</c:v>
                </c:pt>
                <c:pt idx="127">
                  <c:v>1153.4825300440605</c:v>
                </c:pt>
                <c:pt idx="128">
                  <c:v>1153.4825300440605</c:v>
                </c:pt>
                <c:pt idx="129">
                  <c:v>1153.937075498606</c:v>
                </c:pt>
                <c:pt idx="130">
                  <c:v>1153.937075498606</c:v>
                </c:pt>
                <c:pt idx="131">
                  <c:v>1154.3916209531515</c:v>
                </c:pt>
                <c:pt idx="132">
                  <c:v>1154.3916209531515</c:v>
                </c:pt>
                <c:pt idx="133">
                  <c:v>1154.846166407697</c:v>
                </c:pt>
                <c:pt idx="134">
                  <c:v>1154.846166407697</c:v>
                </c:pt>
                <c:pt idx="135">
                  <c:v>1155.3007118622425</c:v>
                </c:pt>
                <c:pt idx="136">
                  <c:v>1155.3007118622425</c:v>
                </c:pt>
                <c:pt idx="137">
                  <c:v>1155.7552573167879</c:v>
                </c:pt>
                <c:pt idx="138">
                  <c:v>1155.7552573167879</c:v>
                </c:pt>
                <c:pt idx="139">
                  <c:v>1156.2098027713334</c:v>
                </c:pt>
                <c:pt idx="140">
                  <c:v>1156.2098027713334</c:v>
                </c:pt>
                <c:pt idx="141">
                  <c:v>1156.6643482258789</c:v>
                </c:pt>
                <c:pt idx="142">
                  <c:v>1156.6643482258789</c:v>
                </c:pt>
                <c:pt idx="143">
                  <c:v>1157.1188936804244</c:v>
                </c:pt>
                <c:pt idx="144">
                  <c:v>1157.1188936804244</c:v>
                </c:pt>
                <c:pt idx="145">
                  <c:v>1157.5734391349699</c:v>
                </c:pt>
                <c:pt idx="146">
                  <c:v>1157.5734391349699</c:v>
                </c:pt>
                <c:pt idx="147">
                  <c:v>1158.0279845895154</c:v>
                </c:pt>
                <c:pt idx="148">
                  <c:v>1158.0279845895154</c:v>
                </c:pt>
                <c:pt idx="149">
                  <c:v>1158.4825300440609</c:v>
                </c:pt>
                <c:pt idx="150">
                  <c:v>1158.4825300440609</c:v>
                </c:pt>
                <c:pt idx="151">
                  <c:v>1158.9370754986064</c:v>
                </c:pt>
                <c:pt idx="152">
                  <c:v>1158.9370754986064</c:v>
                </c:pt>
                <c:pt idx="153">
                  <c:v>1159.3916209531519</c:v>
                </c:pt>
                <c:pt idx="154">
                  <c:v>1159.3916209531519</c:v>
                </c:pt>
                <c:pt idx="155">
                  <c:v>1159.8461664076974</c:v>
                </c:pt>
                <c:pt idx="156">
                  <c:v>1159.8461664076974</c:v>
                </c:pt>
                <c:pt idx="157">
                  <c:v>1160.3007118622429</c:v>
                </c:pt>
                <c:pt idx="158">
                  <c:v>1160.3007118622429</c:v>
                </c:pt>
                <c:pt idx="159">
                  <c:v>1160.7552573167884</c:v>
                </c:pt>
                <c:pt idx="160">
                  <c:v>1160.7552573167884</c:v>
                </c:pt>
                <c:pt idx="161">
                  <c:v>1160.9825300440611</c:v>
                </c:pt>
                <c:pt idx="162">
                  <c:v>1160.9825300440611</c:v>
                </c:pt>
                <c:pt idx="163">
                  <c:v>1161.188064832533</c:v>
                </c:pt>
                <c:pt idx="164">
                  <c:v>1161.188064832533</c:v>
                </c:pt>
                <c:pt idx="165">
                  <c:v>1161.5991344094764</c:v>
                </c:pt>
                <c:pt idx="166">
                  <c:v>1161.5991344094764</c:v>
                </c:pt>
                <c:pt idx="167">
                  <c:v>1162.0102039864198</c:v>
                </c:pt>
                <c:pt idx="168">
                  <c:v>1162.0102039864198</c:v>
                </c:pt>
                <c:pt idx="169">
                  <c:v>1162.4212735633632</c:v>
                </c:pt>
                <c:pt idx="170">
                  <c:v>1162.4212735633632</c:v>
                </c:pt>
                <c:pt idx="171">
                  <c:v>1162.8323431403066</c:v>
                </c:pt>
                <c:pt idx="172">
                  <c:v>1162.8323431403066</c:v>
                </c:pt>
                <c:pt idx="173">
                  <c:v>1163.2434127172501</c:v>
                </c:pt>
                <c:pt idx="174">
                  <c:v>1163.2434127172501</c:v>
                </c:pt>
                <c:pt idx="175">
                  <c:v>1163.6544822941935</c:v>
                </c:pt>
                <c:pt idx="176">
                  <c:v>1163.6544822941935</c:v>
                </c:pt>
                <c:pt idx="177">
                  <c:v>1164.0655518711369</c:v>
                </c:pt>
                <c:pt idx="178">
                  <c:v>1164.0655518711369</c:v>
                </c:pt>
                <c:pt idx="179">
                  <c:v>1164.4766214480803</c:v>
                </c:pt>
                <c:pt idx="180">
                  <c:v>1164.4766214480803</c:v>
                </c:pt>
                <c:pt idx="181">
                  <c:v>1164.8876910250237</c:v>
                </c:pt>
                <c:pt idx="182">
                  <c:v>1164.8876910250237</c:v>
                </c:pt>
                <c:pt idx="183">
                  <c:v>1165.2987606019672</c:v>
                </c:pt>
                <c:pt idx="184">
                  <c:v>1165.2987606019672</c:v>
                </c:pt>
                <c:pt idx="185">
                  <c:v>1165.7098301789106</c:v>
                </c:pt>
                <c:pt idx="186">
                  <c:v>1165.7098301789106</c:v>
                </c:pt>
                <c:pt idx="187">
                  <c:v>1166.120899755854</c:v>
                </c:pt>
                <c:pt idx="188">
                  <c:v>1166.120899755854</c:v>
                </c:pt>
                <c:pt idx="189">
                  <c:v>1166.5319693327974</c:v>
                </c:pt>
                <c:pt idx="190">
                  <c:v>1166.5319693327974</c:v>
                </c:pt>
                <c:pt idx="191">
                  <c:v>1166.9430389097408</c:v>
                </c:pt>
                <c:pt idx="192">
                  <c:v>1166.9430389097408</c:v>
                </c:pt>
                <c:pt idx="193">
                  <c:v>1167.3541084866843</c:v>
                </c:pt>
                <c:pt idx="194">
                  <c:v>1167.3541084866843</c:v>
                </c:pt>
                <c:pt idx="195">
                  <c:v>1167.7651780636277</c:v>
                </c:pt>
                <c:pt idx="196">
                  <c:v>1167.7651780636277</c:v>
                </c:pt>
                <c:pt idx="197">
                  <c:v>1168.1762476405711</c:v>
                </c:pt>
                <c:pt idx="198">
                  <c:v>1168.1762476405711</c:v>
                </c:pt>
                <c:pt idx="199">
                  <c:v>1168.5873172175145</c:v>
                </c:pt>
                <c:pt idx="200">
                  <c:v>1168.5873172175145</c:v>
                </c:pt>
                <c:pt idx="201">
                  <c:v>1168.9983867944579</c:v>
                </c:pt>
                <c:pt idx="202">
                  <c:v>1168.9983867944579</c:v>
                </c:pt>
                <c:pt idx="203">
                  <c:v>1169.4094563714013</c:v>
                </c:pt>
                <c:pt idx="204">
                  <c:v>1169.4094563714013</c:v>
                </c:pt>
                <c:pt idx="205">
                  <c:v>1169.8205259483448</c:v>
                </c:pt>
                <c:pt idx="206">
                  <c:v>1169.8205259483448</c:v>
                </c:pt>
                <c:pt idx="207">
                  <c:v>1170.0260607368166</c:v>
                </c:pt>
                <c:pt idx="208">
                  <c:v>1170.0260607368166</c:v>
                </c:pt>
                <c:pt idx="209">
                  <c:v>1170.3003915355459</c:v>
                </c:pt>
                <c:pt idx="210">
                  <c:v>1170.3003915355459</c:v>
                </c:pt>
                <c:pt idx="211">
                  <c:v>1170.5794093611783</c:v>
                </c:pt>
                <c:pt idx="212">
                  <c:v>1170.5794093611783</c:v>
                </c:pt>
                <c:pt idx="213">
                  <c:v>1170.868304844048</c:v>
                </c:pt>
                <c:pt idx="214">
                  <c:v>1170.868304844048</c:v>
                </c:pt>
                <c:pt idx="215">
                  <c:v>1171.1734207037143</c:v>
                </c:pt>
                <c:pt idx="216">
                  <c:v>1171.1734207037143</c:v>
                </c:pt>
                <c:pt idx="217">
                  <c:v>1171.5032755534019</c:v>
                </c:pt>
                <c:pt idx="218">
                  <c:v>1171.5032755534019</c:v>
                </c:pt>
                <c:pt idx="219">
                  <c:v>1171.8704569626584</c:v>
                </c:pt>
                <c:pt idx="220">
                  <c:v>1171.8704569626584</c:v>
                </c:pt>
                <c:pt idx="221">
                  <c:v>1172.2956787906771</c:v>
                </c:pt>
                <c:pt idx="222">
                  <c:v>1172.2956787906771</c:v>
                </c:pt>
                <c:pt idx="223">
                  <c:v>1172.8182015005439</c:v>
                </c:pt>
                <c:pt idx="224">
                  <c:v>1172.8182015005439</c:v>
                </c:pt>
                <c:pt idx="225">
                  <c:v>1173.5313786885674</c:v>
                </c:pt>
                <c:pt idx="226">
                  <c:v>1173.5313786885674</c:v>
                </c:pt>
                <c:pt idx="227">
                  <c:v>1174.8129675639414</c:v>
                </c:pt>
                <c:pt idx="228">
                  <c:v>1174.8129675639414</c:v>
                </c:pt>
                <c:pt idx="229">
                  <c:v>1176.5340491520155</c:v>
                </c:pt>
                <c:pt idx="230">
                  <c:v>1176.5340491520155</c:v>
                </c:pt>
                <c:pt idx="231">
                  <c:v>1276.5340491520155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7.6075658134496804E-9</c:v>
                </c:pt>
                <c:pt idx="3">
                  <c:v>7.6075658134496804E-9</c:v>
                </c:pt>
                <c:pt idx="4">
                  <c:v>6.2665719841554166E-8</c:v>
                </c:pt>
                <c:pt idx="5">
                  <c:v>6.2665719841554166E-8</c:v>
                </c:pt>
                <c:pt idx="6">
                  <c:v>1.4231560698135328E-7</c:v>
                </c:pt>
                <c:pt idx="7">
                  <c:v>1.4231560698135328E-7</c:v>
                </c:pt>
                <c:pt idx="8">
                  <c:v>2.3244362127156812E-7</c:v>
                </c:pt>
                <c:pt idx="9">
                  <c:v>2.3244362127156812E-7</c:v>
                </c:pt>
                <c:pt idx="10">
                  <c:v>3.2756023783922141E-7</c:v>
                </c:pt>
                <c:pt idx="11">
                  <c:v>3.2756023783922141E-7</c:v>
                </c:pt>
                <c:pt idx="12">
                  <c:v>4.2515239577200862E-7</c:v>
                </c:pt>
                <c:pt idx="13">
                  <c:v>4.2515239577200862E-7</c:v>
                </c:pt>
                <c:pt idx="14">
                  <c:v>5.2396730519131114E-7</c:v>
                </c:pt>
                <c:pt idx="15">
                  <c:v>5.2396730519131114E-7</c:v>
                </c:pt>
                <c:pt idx="16">
                  <c:v>6.2335787607441514E-7</c:v>
                </c:pt>
                <c:pt idx="17">
                  <c:v>6.2335787607441514E-7</c:v>
                </c:pt>
                <c:pt idx="18">
                  <c:v>7.2299250189360717E-7</c:v>
                </c:pt>
                <c:pt idx="19">
                  <c:v>7.2299250189360717E-7</c:v>
                </c:pt>
                <c:pt idx="20">
                  <c:v>8.2271166748236393E-7</c:v>
                </c:pt>
                <c:pt idx="21">
                  <c:v>8.2271166748236393E-7</c:v>
                </c:pt>
                <c:pt idx="22">
                  <c:v>9.2245034094693087E-7</c:v>
                </c:pt>
                <c:pt idx="23">
                  <c:v>9.2245034094693087E-7</c:v>
                </c:pt>
                <c:pt idx="24">
                  <c:v>1.087450518613178E-6</c:v>
                </c:pt>
                <c:pt idx="25">
                  <c:v>1.087450518613178E-6</c:v>
                </c:pt>
                <c:pt idx="26">
                  <c:v>1.4086223888732538E-6</c:v>
                </c:pt>
                <c:pt idx="27">
                  <c:v>1.4086223888732538E-6</c:v>
                </c:pt>
                <c:pt idx="28">
                  <c:v>1.7177008273142586E-6</c:v>
                </c:pt>
                <c:pt idx="29">
                  <c:v>1.7177008273142586E-6</c:v>
                </c:pt>
                <c:pt idx="30">
                  <c:v>1.8727646112625075E-6</c:v>
                </c:pt>
                <c:pt idx="31">
                  <c:v>1.8727646112625075E-6</c:v>
                </c:pt>
                <c:pt idx="32">
                  <c:v>1.9278109901780148E-6</c:v>
                </c:pt>
                <c:pt idx="33">
                  <c:v>1.9278109901780148E-6</c:v>
                </c:pt>
                <c:pt idx="34">
                  <c:v>1.9415611176181139E-6</c:v>
                </c:pt>
                <c:pt idx="35">
                  <c:v>1.9415611176181139E-6</c:v>
                </c:pt>
                <c:pt idx="36">
                  <c:v>1.9438452376945802E-6</c:v>
                </c:pt>
                <c:pt idx="37">
                  <c:v>1.9438452376945802E-6</c:v>
                </c:pt>
                <c:pt idx="38">
                  <c:v>1.9438678829544243E-6</c:v>
                </c:pt>
                <c:pt idx="39">
                  <c:v>1.9438678829544243E-6</c:v>
                </c:pt>
                <c:pt idx="40">
                  <c:v>1.9434563304103251E-6</c:v>
                </c:pt>
                <c:pt idx="41">
                  <c:v>1.9434563304103251E-6</c:v>
                </c:pt>
                <c:pt idx="42">
                  <c:v>1.9428069816069822E-6</c:v>
                </c:pt>
                <c:pt idx="43">
                  <c:v>1.9428069816069822E-6</c:v>
                </c:pt>
                <c:pt idx="44">
                  <c:v>1.9418686433757331E-6</c:v>
                </c:pt>
                <c:pt idx="45">
                  <c:v>1.9418686433757331E-6</c:v>
                </c:pt>
                <c:pt idx="46">
                  <c:v>1.9405536087260025E-6</c:v>
                </c:pt>
                <c:pt idx="47">
                  <c:v>1.9405536087260025E-6</c:v>
                </c:pt>
                <c:pt idx="48">
                  <c:v>1.938761896451523E-6</c:v>
                </c:pt>
                <c:pt idx="49">
                  <c:v>1.938761896451523E-6</c:v>
                </c:pt>
                <c:pt idx="50">
                  <c:v>1.9363884140537319E-6</c:v>
                </c:pt>
                <c:pt idx="51">
                  <c:v>1.9363884140537319E-6</c:v>
                </c:pt>
                <c:pt idx="52">
                  <c:v>1.9333314426456302E-6</c:v>
                </c:pt>
                <c:pt idx="53">
                  <c:v>1.9333314426456302E-6</c:v>
                </c:pt>
                <c:pt idx="54">
                  <c:v>1.9295033300068397E-6</c:v>
                </c:pt>
                <c:pt idx="55">
                  <c:v>1.9295033300068397E-6</c:v>
                </c:pt>
                <c:pt idx="56">
                  <c:v>1.924842466147437E-6</c:v>
                </c:pt>
                <c:pt idx="57">
                  <c:v>1.924842466147437E-6</c:v>
                </c:pt>
                <c:pt idx="58">
                  <c:v>1.9193250361290838E-6</c:v>
                </c:pt>
                <c:pt idx="59">
                  <c:v>1.9193250361290838E-6</c:v>
                </c:pt>
                <c:pt idx="60">
                  <c:v>1.9129747102443145E-6</c:v>
                </c:pt>
                <c:pt idx="61">
                  <c:v>1.9129747102443145E-6</c:v>
                </c:pt>
                <c:pt idx="62">
                  <c:v>1.9058684094878453E-6</c:v>
                </c:pt>
                <c:pt idx="63">
                  <c:v>1.9058684094878453E-6</c:v>
                </c:pt>
                <c:pt idx="64">
                  <c:v>1.8981366416487804E-6</c:v>
                </c:pt>
                <c:pt idx="65">
                  <c:v>1.8981366416487804E-6</c:v>
                </c:pt>
                <c:pt idx="66">
                  <c:v>1.889957621018611E-6</c:v>
                </c:pt>
                <c:pt idx="67">
                  <c:v>1.889957621018611E-6</c:v>
                </c:pt>
                <c:pt idx="68">
                  <c:v>1.8836576855297846E-6</c:v>
                </c:pt>
                <c:pt idx="69">
                  <c:v>1.8836576855297846E-6</c:v>
                </c:pt>
                <c:pt idx="70">
                  <c:v>1.8783091359233842E-6</c:v>
                </c:pt>
                <c:pt idx="71">
                  <c:v>1.8783091359233842E-6</c:v>
                </c:pt>
                <c:pt idx="72">
                  <c:v>1.8718368585445226E-6</c:v>
                </c:pt>
                <c:pt idx="73">
                  <c:v>1.8718368585445226E-6</c:v>
                </c:pt>
                <c:pt idx="74">
                  <c:v>1.8653658470776584E-6</c:v>
                </c:pt>
                <c:pt idx="75">
                  <c:v>1.8653658470776584E-6</c:v>
                </c:pt>
                <c:pt idx="76">
                  <c:v>1.8589003215955096E-6</c:v>
                </c:pt>
                <c:pt idx="77">
                  <c:v>1.8589003215955096E-6</c:v>
                </c:pt>
                <c:pt idx="78">
                  <c:v>1.8524506334128473E-6</c:v>
                </c:pt>
                <c:pt idx="79">
                  <c:v>1.8524506334128473E-6</c:v>
                </c:pt>
                <c:pt idx="80">
                  <c:v>1.8460383012580987E-6</c:v>
                </c:pt>
                <c:pt idx="81">
                  <c:v>1.8460383012580987E-6</c:v>
                </c:pt>
                <c:pt idx="82">
                  <c:v>1.8397053163265612E-6</c:v>
                </c:pt>
                <c:pt idx="83">
                  <c:v>1.8397053163265612E-6</c:v>
                </c:pt>
                <c:pt idx="84">
                  <c:v>1.8335329751034411E-6</c:v>
                </c:pt>
                <c:pt idx="85">
                  <c:v>1.8335329751034411E-6</c:v>
                </c:pt>
                <c:pt idx="86">
                  <c:v>1.8276843560289203E-6</c:v>
                </c:pt>
                <c:pt idx="87">
                  <c:v>1.8276843560289203E-6</c:v>
                </c:pt>
                <c:pt idx="88">
                  <c:v>1.822515687298361E-6</c:v>
                </c:pt>
                <c:pt idx="89">
                  <c:v>1.822515687298361E-6</c:v>
                </c:pt>
                <c:pt idx="90">
                  <c:v>1.8189428340363354E-6</c:v>
                </c:pt>
                <c:pt idx="91">
                  <c:v>1.8189428340363354E-6</c:v>
                </c:pt>
                <c:pt idx="92">
                  <c:v>1.8184491611769297E-6</c:v>
                </c:pt>
                <c:pt idx="93">
                  <c:v>1.8184491611769297E-6</c:v>
                </c:pt>
                <c:pt idx="94">
                  <c:v>1.8143745838960903E-6</c:v>
                </c:pt>
                <c:pt idx="95">
                  <c:v>1.8143745838960903E-6</c:v>
                </c:pt>
                <c:pt idx="96">
                  <c:v>1.784885689678277E-6</c:v>
                </c:pt>
                <c:pt idx="97">
                  <c:v>1.784885689678277E-6</c:v>
                </c:pt>
                <c:pt idx="98">
                  <c:v>1.7422255762439009E-6</c:v>
                </c:pt>
                <c:pt idx="99">
                  <c:v>1.7422255762439009E-6</c:v>
                </c:pt>
                <c:pt idx="100">
                  <c:v>1.6939534260713935E-6</c:v>
                </c:pt>
                <c:pt idx="101">
                  <c:v>1.6939534260713935E-6</c:v>
                </c:pt>
                <c:pt idx="102">
                  <c:v>1.6430094034496384E-6</c:v>
                </c:pt>
                <c:pt idx="103">
                  <c:v>1.6430094034496384E-6</c:v>
                </c:pt>
                <c:pt idx="104">
                  <c:v>1.590739492251761E-6</c:v>
                </c:pt>
                <c:pt idx="105">
                  <c:v>1.590739492251761E-6</c:v>
                </c:pt>
                <c:pt idx="106">
                  <c:v>1.5378146809781905E-6</c:v>
                </c:pt>
                <c:pt idx="107">
                  <c:v>1.5378146809781905E-6</c:v>
                </c:pt>
                <c:pt idx="108">
                  <c:v>1.4845815480706863E-6</c:v>
                </c:pt>
                <c:pt idx="109">
                  <c:v>1.4845815480706863E-6</c:v>
                </c:pt>
                <c:pt idx="110">
                  <c:v>1.4312177004612334E-6</c:v>
                </c:pt>
                <c:pt idx="111">
                  <c:v>1.4312177004612334E-6</c:v>
                </c:pt>
                <c:pt idx="112">
                  <c:v>1.3778085737397961E-6</c:v>
                </c:pt>
                <c:pt idx="113">
                  <c:v>1.3778085737397961E-6</c:v>
                </c:pt>
                <c:pt idx="114">
                  <c:v>1.3243889986897445E-6</c:v>
                </c:pt>
                <c:pt idx="115">
                  <c:v>1.3243889986897445E-6</c:v>
                </c:pt>
                <c:pt idx="116">
                  <c:v>1.286565655249171E-6</c:v>
                </c:pt>
                <c:pt idx="117">
                  <c:v>1.286565655249171E-6</c:v>
                </c:pt>
                <c:pt idx="118">
                  <c:v>1.2532991126356073E-6</c:v>
                </c:pt>
                <c:pt idx="119">
                  <c:v>1.2532991126356073E-6</c:v>
                </c:pt>
                <c:pt idx="120">
                  <c:v>1.2094305296471672E-6</c:v>
                </c:pt>
                <c:pt idx="121">
                  <c:v>1.2094305296471672E-6</c:v>
                </c:pt>
                <c:pt idx="122">
                  <c:v>1.1665759630229319E-6</c:v>
                </c:pt>
                <c:pt idx="123">
                  <c:v>1.1665759630229319E-6</c:v>
                </c:pt>
                <c:pt idx="124">
                  <c:v>1.1252174165084522E-6</c:v>
                </c:pt>
                <c:pt idx="125">
                  <c:v>1.1252174165084522E-6</c:v>
                </c:pt>
                <c:pt idx="126">
                  <c:v>1.0858198322492807E-6</c:v>
                </c:pt>
                <c:pt idx="127">
                  <c:v>1.0858198322492807E-6</c:v>
                </c:pt>
                <c:pt idx="128">
                  <c:v>1.0488471294136015E-6</c:v>
                </c:pt>
                <c:pt idx="129">
                  <c:v>1.0488471294136015E-6</c:v>
                </c:pt>
                <c:pt idx="130">
                  <c:v>1.0148002460491962E-6</c:v>
                </c:pt>
                <c:pt idx="131">
                  <c:v>1.0148002460491962E-6</c:v>
                </c:pt>
                <c:pt idx="132">
                  <c:v>9.8428434575277756E-7</c:v>
                </c:pt>
                <c:pt idx="133">
                  <c:v>9.8428434575277756E-7</c:v>
                </c:pt>
                <c:pt idx="134">
                  <c:v>9.5810988212119352E-7</c:v>
                </c:pt>
                <c:pt idx="135">
                  <c:v>9.5810988212119352E-7</c:v>
                </c:pt>
                <c:pt idx="136">
                  <c:v>9.37425270571662E-7</c:v>
                </c:pt>
                <c:pt idx="137">
                  <c:v>9.37425270571662E-7</c:v>
                </c:pt>
                <c:pt idx="138">
                  <c:v>9.2386624523314011E-7</c:v>
                </c:pt>
                <c:pt idx="139">
                  <c:v>9.2386624523314011E-7</c:v>
                </c:pt>
                <c:pt idx="140">
                  <c:v>9.196892359047416E-7</c:v>
                </c:pt>
                <c:pt idx="141">
                  <c:v>9.196892359047416E-7</c:v>
                </c:pt>
                <c:pt idx="142">
                  <c:v>9.2783725960180631E-7</c:v>
                </c:pt>
                <c:pt idx="143">
                  <c:v>9.2783725960180631E-7</c:v>
                </c:pt>
                <c:pt idx="144">
                  <c:v>9.5187467998188344E-7</c:v>
                </c:pt>
                <c:pt idx="145">
                  <c:v>9.5187467998188344E-7</c:v>
                </c:pt>
                <c:pt idx="146">
                  <c:v>9.9573187393029581E-7</c:v>
                </c:pt>
                <c:pt idx="147">
                  <c:v>9.9573187393029581E-7</c:v>
                </c:pt>
                <c:pt idx="148">
                  <c:v>1.0632307977340202E-6</c:v>
                </c:pt>
                <c:pt idx="149">
                  <c:v>1.0632307977340202E-6</c:v>
                </c:pt>
                <c:pt idx="150">
                  <c:v>1.1574187808259523E-6</c:v>
                </c:pt>
                <c:pt idx="151">
                  <c:v>1.1574187808259523E-6</c:v>
                </c:pt>
                <c:pt idx="152">
                  <c:v>1.2798097612415255E-6</c:v>
                </c:pt>
                <c:pt idx="153">
                  <c:v>1.2798097612415255E-6</c:v>
                </c:pt>
                <c:pt idx="154">
                  <c:v>1.4296966928575865E-6</c:v>
                </c:pt>
                <c:pt idx="155">
                  <c:v>1.4296966928575865E-6</c:v>
                </c:pt>
                <c:pt idx="156">
                  <c:v>1.6037275736865943E-6</c:v>
                </c:pt>
                <c:pt idx="157">
                  <c:v>1.6037275736865943E-6</c:v>
                </c:pt>
                <c:pt idx="158">
                  <c:v>1.795908692156091E-6</c:v>
                </c:pt>
                <c:pt idx="159">
                  <c:v>1.795908692156091E-6</c:v>
                </c:pt>
                <c:pt idx="160">
                  <c:v>1.9471201789146957E-6</c:v>
                </c:pt>
                <c:pt idx="161">
                  <c:v>1.9471201789146957E-6</c:v>
                </c:pt>
                <c:pt idx="162">
                  <c:v>2.0352054582129023E-6</c:v>
                </c:pt>
                <c:pt idx="163">
                  <c:v>2.0352054582129023E-6</c:v>
                </c:pt>
                <c:pt idx="164">
                  <c:v>2.1743997803409769E-6</c:v>
                </c:pt>
                <c:pt idx="165">
                  <c:v>2.1743997803409769E-6</c:v>
                </c:pt>
                <c:pt idx="166">
                  <c:v>2.3535192055724809E-6</c:v>
                </c:pt>
                <c:pt idx="167">
                  <c:v>2.3535192055724809E-6</c:v>
                </c:pt>
                <c:pt idx="168">
                  <c:v>2.5197037604360164E-6</c:v>
                </c:pt>
                <c:pt idx="169">
                  <c:v>2.5197037604360164E-6</c:v>
                </c:pt>
                <c:pt idx="170">
                  <c:v>2.6681881341983527E-6</c:v>
                </c:pt>
                <c:pt idx="171">
                  <c:v>2.6681881341983527E-6</c:v>
                </c:pt>
                <c:pt idx="172">
                  <c:v>2.7959041530821431E-6</c:v>
                </c:pt>
                <c:pt idx="173">
                  <c:v>2.7959041530821431E-6</c:v>
                </c:pt>
                <c:pt idx="174">
                  <c:v>2.901561643927129E-6</c:v>
                </c:pt>
                <c:pt idx="175">
                  <c:v>2.901561643927129E-6</c:v>
                </c:pt>
                <c:pt idx="176">
                  <c:v>2.9854615116047395E-6</c:v>
                </c:pt>
                <c:pt idx="177">
                  <c:v>2.9854615116047395E-6</c:v>
                </c:pt>
                <c:pt idx="178">
                  <c:v>3.0491076217270386E-6</c:v>
                </c:pt>
                <c:pt idx="179">
                  <c:v>3.0491076217270386E-6</c:v>
                </c:pt>
                <c:pt idx="180">
                  <c:v>3.0947127479673387E-6</c:v>
                </c:pt>
                <c:pt idx="181">
                  <c:v>3.0947127479673387E-6</c:v>
                </c:pt>
                <c:pt idx="182">
                  <c:v>3.1246979016360707E-6</c:v>
                </c:pt>
                <c:pt idx="183">
                  <c:v>3.1246979016360707E-6</c:v>
                </c:pt>
                <c:pt idx="184">
                  <c:v>3.141268114760232E-6</c:v>
                </c:pt>
                <c:pt idx="185">
                  <c:v>3.141268114760232E-6</c:v>
                </c:pt>
                <c:pt idx="186">
                  <c:v>3.1461199520854667E-6</c:v>
                </c:pt>
                <c:pt idx="187">
                  <c:v>3.1461199520854667E-6</c:v>
                </c:pt>
                <c:pt idx="188">
                  <c:v>3.1403057532479086E-6</c:v>
                </c:pt>
                <c:pt idx="189">
                  <c:v>3.1403057532479086E-6</c:v>
                </c:pt>
                <c:pt idx="190">
                  <c:v>3.1242530904734802E-6</c:v>
                </c:pt>
                <c:pt idx="191">
                  <c:v>3.1242530904734802E-6</c:v>
                </c:pt>
                <c:pt idx="192">
                  <c:v>3.0979175211196874E-6</c:v>
                </c:pt>
                <c:pt idx="193">
                  <c:v>3.0979175211196874E-6</c:v>
                </c:pt>
                <c:pt idx="194">
                  <c:v>3.0610318984894824E-6</c:v>
                </c:pt>
                <c:pt idx="195">
                  <c:v>3.0610318984894824E-6</c:v>
                </c:pt>
                <c:pt idx="196">
                  <c:v>3.0134049928500583E-6</c:v>
                </c:pt>
                <c:pt idx="197">
                  <c:v>3.0134049928500583E-6</c:v>
                </c:pt>
                <c:pt idx="198">
                  <c:v>2.9552157895038072E-6</c:v>
                </c:pt>
                <c:pt idx="199">
                  <c:v>2.9552157895038072E-6</c:v>
                </c:pt>
                <c:pt idx="200">
                  <c:v>2.8872491254690414E-6</c:v>
                </c:pt>
                <c:pt idx="201">
                  <c:v>2.8872491254690414E-6</c:v>
                </c:pt>
                <c:pt idx="202">
                  <c:v>2.8110256872430501E-6</c:v>
                </c:pt>
                <c:pt idx="203">
                  <c:v>2.8110256872430501E-6</c:v>
                </c:pt>
                <c:pt idx="204">
                  <c:v>2.728796171921514E-6</c:v>
                </c:pt>
                <c:pt idx="205">
                  <c:v>2.728796171921514E-6</c:v>
                </c:pt>
                <c:pt idx="206">
                  <c:v>2.664872181892845E-6</c:v>
                </c:pt>
                <c:pt idx="207">
                  <c:v>2.664872181892845E-6</c:v>
                </c:pt>
                <c:pt idx="208">
                  <c:v>2.6148719946480209E-6</c:v>
                </c:pt>
                <c:pt idx="209">
                  <c:v>2.6148719946480209E-6</c:v>
                </c:pt>
                <c:pt idx="210">
                  <c:v>2.5577790635636334E-6</c:v>
                </c:pt>
                <c:pt idx="211">
                  <c:v>2.5577790635636334E-6</c:v>
                </c:pt>
                <c:pt idx="212">
                  <c:v>2.5006972992791491E-6</c:v>
                </c:pt>
                <c:pt idx="213">
                  <c:v>2.5006972992791491E-6</c:v>
                </c:pt>
                <c:pt idx="214">
                  <c:v>2.4436639276899957E-6</c:v>
                </c:pt>
                <c:pt idx="215">
                  <c:v>2.4436639276899957E-6</c:v>
                </c:pt>
                <c:pt idx="216">
                  <c:v>2.3867702592988383E-6</c:v>
                </c:pt>
                <c:pt idx="217">
                  <c:v>2.3867702592988383E-6</c:v>
                </c:pt>
                <c:pt idx="218">
                  <c:v>2.3302061140418787E-6</c:v>
                </c:pt>
                <c:pt idx="219">
                  <c:v>2.3302061140418787E-6</c:v>
                </c:pt>
                <c:pt idx="220">
                  <c:v>2.2743419025611358E-6</c:v>
                </c:pt>
                <c:pt idx="221">
                  <c:v>2.2743419025611358E-6</c:v>
                </c:pt>
                <c:pt idx="222">
                  <c:v>2.2198947533657298E-6</c:v>
                </c:pt>
                <c:pt idx="223">
                  <c:v>2.2198947533657298E-6</c:v>
                </c:pt>
                <c:pt idx="224">
                  <c:v>2.1683032058756586E-6</c:v>
                </c:pt>
                <c:pt idx="225">
                  <c:v>2.1683032058756586E-6</c:v>
                </c:pt>
                <c:pt idx="226">
                  <c:v>2.1227096025181071E-6</c:v>
                </c:pt>
                <c:pt idx="227">
                  <c:v>2.1227096025181071E-6</c:v>
                </c:pt>
                <c:pt idx="228">
                  <c:v>2.0911929271466733E-6</c:v>
                </c:pt>
                <c:pt idx="229">
                  <c:v>2.0911929271466733E-6</c:v>
                </c:pt>
                <c:pt idx="230">
                  <c:v>2.0868381646897462E-6</c:v>
                </c:pt>
                <c:pt idx="231">
                  <c:v>2.0868381646897462E-6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7.9418057448799994E-3</c:v>
                </c:pt>
                <c:pt idx="1">
                  <c:v>8.0212238023300002E-3</c:v>
                </c:pt>
                <c:pt idx="2">
                  <c:v>8.1014360403499994E-3</c:v>
                </c:pt>
                <c:pt idx="3">
                  <c:v>8.1824504007600007E-3</c:v>
                </c:pt>
                <c:pt idx="4">
                  <c:v>8.2642749047700005E-3</c:v>
                </c:pt>
                <c:pt idx="5">
                  <c:v>8.3469176538099998E-3</c:v>
                </c:pt>
                <c:pt idx="6">
                  <c:v>8.4303868303500003E-3</c:v>
                </c:pt>
                <c:pt idx="7">
                  <c:v>8.5146906986500008E-3</c:v>
                </c:pt>
                <c:pt idx="8">
                  <c:v>8.5998376056400008E-3</c:v>
                </c:pt>
                <c:pt idx="9">
                  <c:v>8.6858359817000002E-3</c:v>
                </c:pt>
                <c:pt idx="10">
                  <c:v>8.7726943415100001E-3</c:v>
                </c:pt>
                <c:pt idx="11">
                  <c:v>8.86042128493E-3</c:v>
                </c:pt>
                <c:pt idx="12">
                  <c:v>8.9490254977800006E-3</c:v>
                </c:pt>
                <c:pt idx="13">
                  <c:v>9.0385157527600006E-3</c:v>
                </c:pt>
                <c:pt idx="14">
                  <c:v>9.1289009102799995E-3</c:v>
                </c:pt>
                <c:pt idx="15">
                  <c:v>9.2201899193900001E-3</c:v>
                </c:pt>
                <c:pt idx="16">
                  <c:v>9.3123918185800004E-3</c:v>
                </c:pt>
                <c:pt idx="17">
                  <c:v>9.4055157367700006E-3</c:v>
                </c:pt>
                <c:pt idx="18">
                  <c:v>9.4995708941299998E-3</c:v>
                </c:pt>
                <c:pt idx="19">
                  <c:v>9.5945666030799997E-3</c:v>
                </c:pt>
                <c:pt idx="20">
                  <c:v>9.69051226911E-3</c:v>
                </c:pt>
                <c:pt idx="21">
                  <c:v>9.7874173918000001E-3</c:v>
                </c:pt>
                <c:pt idx="22">
                  <c:v>9.8852915657199995E-3</c:v>
                </c:pt>
                <c:pt idx="23">
                  <c:v>9.9841444813699998E-3</c:v>
                </c:pt>
                <c:pt idx="24">
                  <c:v>1.0083985926200001E-2</c:v>
                </c:pt>
                <c:pt idx="25">
                  <c:v>1.01848257854E-2</c:v>
                </c:pt>
                <c:pt idx="26">
                  <c:v>1.02866740433E-2</c:v>
                </c:pt>
                <c:pt idx="27">
                  <c:v>1.03895407837E-2</c:v>
                </c:pt>
                <c:pt idx="28">
                  <c:v>1.04934361916E-2</c:v>
                </c:pt>
                <c:pt idx="29">
                  <c:v>1.05983705535E-2</c:v>
                </c:pt>
                <c:pt idx="30">
                  <c:v>1.0704354259E-2</c:v>
                </c:pt>
                <c:pt idx="31">
                  <c:v>1.08113978016E-2</c:v>
                </c:pt>
                <c:pt idx="32">
                  <c:v>1.0919511779600001E-2</c:v>
                </c:pt>
                <c:pt idx="33">
                  <c:v>1.1028706897400001E-2</c:v>
                </c:pt>
                <c:pt idx="34">
                  <c:v>1.11389939664E-2</c:v>
                </c:pt>
                <c:pt idx="35">
                  <c:v>1.12503839061E-2</c:v>
                </c:pt>
                <c:pt idx="36">
                  <c:v>1.1362887745099999E-2</c:v>
                </c:pt>
                <c:pt idx="37">
                  <c:v>1.14765166226E-2</c:v>
                </c:pt>
                <c:pt idx="38">
                  <c:v>1.1591281788799999E-2</c:v>
                </c:pt>
                <c:pt idx="39">
                  <c:v>1.17071946067E-2</c:v>
                </c:pt>
                <c:pt idx="40">
                  <c:v>1.18242665528E-2</c:v>
                </c:pt>
                <c:pt idx="41">
                  <c:v>1.19425092183E-2</c:v>
                </c:pt>
                <c:pt idx="42">
                  <c:v>1.2061934310500001E-2</c:v>
                </c:pt>
                <c:pt idx="43">
                  <c:v>1.2182553653599999E-2</c:v>
                </c:pt>
                <c:pt idx="44">
                  <c:v>1.2304379190100001E-2</c:v>
                </c:pt>
                <c:pt idx="45">
                  <c:v>1.2427422981999999E-2</c:v>
                </c:pt>
                <c:pt idx="46">
                  <c:v>1.25516972118E-2</c:v>
                </c:pt>
                <c:pt idx="47">
                  <c:v>1.26772141839E-2</c:v>
                </c:pt>
                <c:pt idx="48">
                  <c:v>1.28039863258E-2</c:v>
                </c:pt>
                <c:pt idx="49">
                  <c:v>1.2932026189000001E-2</c:v>
                </c:pt>
                <c:pt idx="50">
                  <c:v>1.3061346450899999E-2</c:v>
                </c:pt>
                <c:pt idx="51">
                  <c:v>1.31919599154E-2</c:v>
                </c:pt>
                <c:pt idx="52">
                  <c:v>1.33238795146E-2</c:v>
                </c:pt>
                <c:pt idx="53">
                  <c:v>1.3457118309700001E-2</c:v>
                </c:pt>
                <c:pt idx="54">
                  <c:v>1.3591689492799999E-2</c:v>
                </c:pt>
                <c:pt idx="55">
                  <c:v>1.37276063878E-2</c:v>
                </c:pt>
                <c:pt idx="56">
                  <c:v>1.3864882451600001E-2</c:v>
                </c:pt>
                <c:pt idx="57">
                  <c:v>1.40035312762E-2</c:v>
                </c:pt>
                <c:pt idx="58">
                  <c:v>1.41435665889E-2</c:v>
                </c:pt>
                <c:pt idx="59">
                  <c:v>1.42850022548E-2</c:v>
                </c:pt>
                <c:pt idx="60">
                  <c:v>1.44278522774E-2</c:v>
                </c:pt>
                <c:pt idx="61">
                  <c:v>1.4572130800099999E-2</c:v>
                </c:pt>
                <c:pt idx="62">
                  <c:v>1.4717852108099999E-2</c:v>
                </c:pt>
                <c:pt idx="63">
                  <c:v>1.4865030629200001E-2</c:v>
                </c:pt>
                <c:pt idx="64">
                  <c:v>1.50136809355E-2</c:v>
                </c:pt>
                <c:pt idx="65">
                  <c:v>1.5163817744900001E-2</c:v>
                </c:pt>
                <c:pt idx="66">
                  <c:v>1.5315455922300001E-2</c:v>
                </c:pt>
                <c:pt idx="67">
                  <c:v>1.54686104815E-2</c:v>
                </c:pt>
                <c:pt idx="68">
                  <c:v>1.56232965864E-2</c:v>
                </c:pt>
                <c:pt idx="69">
                  <c:v>1.5779529552200001E-2</c:v>
                </c:pt>
                <c:pt idx="70">
                  <c:v>1.59373248477E-2</c:v>
                </c:pt>
                <c:pt idx="71">
                  <c:v>1.6096698096199999E-2</c:v>
                </c:pt>
                <c:pt idx="72">
                  <c:v>1.6257665077200001E-2</c:v>
                </c:pt>
                <c:pt idx="73">
                  <c:v>1.6420241727999999E-2</c:v>
                </c:pt>
                <c:pt idx="74">
                  <c:v>1.6584444145200002E-2</c:v>
                </c:pt>
                <c:pt idx="75">
                  <c:v>1.67502885867E-2</c:v>
                </c:pt>
                <c:pt idx="76">
                  <c:v>1.6917791472599999E-2</c:v>
                </c:pt>
                <c:pt idx="77">
                  <c:v>1.7086969387300002E-2</c:v>
                </c:pt>
                <c:pt idx="78">
                  <c:v>1.7257839081199999E-2</c:v>
                </c:pt>
                <c:pt idx="79">
                  <c:v>1.7430417472000002E-2</c:v>
                </c:pt>
                <c:pt idx="80">
                  <c:v>1.7604721646699999E-2</c:v>
                </c:pt>
                <c:pt idx="81">
                  <c:v>1.77807688631E-2</c:v>
                </c:pt>
                <c:pt idx="82">
                  <c:v>1.7958576551799998E-2</c:v>
                </c:pt>
                <c:pt idx="83">
                  <c:v>1.8138162317300002E-2</c:v>
                </c:pt>
                <c:pt idx="84">
                  <c:v>1.8319543940500001E-2</c:v>
                </c:pt>
                <c:pt idx="85">
                  <c:v>1.8502739379900001E-2</c:v>
                </c:pt>
                <c:pt idx="86">
                  <c:v>1.8687766773700001E-2</c:v>
                </c:pt>
                <c:pt idx="87">
                  <c:v>1.8874644441399999E-2</c:v>
                </c:pt>
                <c:pt idx="88">
                  <c:v>1.9063390885799999E-2</c:v>
                </c:pt>
                <c:pt idx="89">
                  <c:v>1.9254024794699998E-2</c:v>
                </c:pt>
                <c:pt idx="90">
                  <c:v>1.9446565042599999E-2</c:v>
                </c:pt>
                <c:pt idx="91">
                  <c:v>1.9641030693100001E-2</c:v>
                </c:pt>
                <c:pt idx="92">
                  <c:v>1.9837441000000001E-2</c:v>
                </c:pt>
                <c:pt idx="93">
                  <c:v>2.0035815410000001E-2</c:v>
                </c:pt>
                <c:pt idx="94">
                  <c:v>2.0236173564099999E-2</c:v>
                </c:pt>
                <c:pt idx="95">
                  <c:v>2.0438535299700002E-2</c:v>
                </c:pt>
                <c:pt idx="96">
                  <c:v>2.06429206527E-2</c:v>
                </c:pt>
                <c:pt idx="97">
                  <c:v>2.0849349859299999E-2</c:v>
                </c:pt>
                <c:pt idx="98">
                  <c:v>2.1057843357800001E-2</c:v>
                </c:pt>
                <c:pt idx="99">
                  <c:v>2.12684217914E-2</c:v>
                </c:pt>
                <c:pt idx="100">
                  <c:v>2.1481106009300002E-2</c:v>
                </c:pt>
                <c:pt idx="101">
                  <c:v>2.1695917069400002E-2</c:v>
                </c:pt>
                <c:pt idx="102">
                  <c:v>2.19128762401E-2</c:v>
                </c:pt>
                <c:pt idx="103">
                  <c:v>2.21320050025E-2</c:v>
                </c:pt>
                <c:pt idx="104">
                  <c:v>2.2353325052600001E-2</c:v>
                </c:pt>
                <c:pt idx="105">
                  <c:v>2.2576858303100002E-2</c:v>
                </c:pt>
                <c:pt idx="106">
                  <c:v>2.2802626886099998E-2</c:v>
                </c:pt>
                <c:pt idx="107">
                  <c:v>2.3030653155000001E-2</c:v>
                </c:pt>
                <c:pt idx="108">
                  <c:v>2.32609596865E-2</c:v>
                </c:pt>
                <c:pt idx="109">
                  <c:v>2.34935692834E-2</c:v>
                </c:pt>
                <c:pt idx="110">
                  <c:v>2.37285049762E-2</c:v>
                </c:pt>
                <c:pt idx="111">
                  <c:v>2.3965790026000001E-2</c:v>
                </c:pt>
                <c:pt idx="112">
                  <c:v>2.42054479262E-2</c:v>
                </c:pt>
                <c:pt idx="113">
                  <c:v>2.4447502405500001E-2</c:v>
                </c:pt>
                <c:pt idx="114">
                  <c:v>2.4691977429599998E-2</c:v>
                </c:pt>
                <c:pt idx="115">
                  <c:v>2.4938897203899999E-2</c:v>
                </c:pt>
                <c:pt idx="116">
                  <c:v>2.51882861759E-2</c:v>
                </c:pt>
                <c:pt idx="117">
                  <c:v>2.5440169037600002E-2</c:v>
                </c:pt>
                <c:pt idx="118">
                  <c:v>2.5694570728E-2</c:v>
                </c:pt>
                <c:pt idx="119">
                  <c:v>2.5951516435299998E-2</c:v>
                </c:pt>
                <c:pt idx="120">
                  <c:v>2.6211031599700001E-2</c:v>
                </c:pt>
                <c:pt idx="121">
                  <c:v>2.6473141915700001E-2</c:v>
                </c:pt>
                <c:pt idx="122">
                  <c:v>2.6737873334799999E-2</c:v>
                </c:pt>
                <c:pt idx="123">
                  <c:v>2.7005252068200002E-2</c:v>
                </c:pt>
                <c:pt idx="124">
                  <c:v>2.7275304588799999E-2</c:v>
                </c:pt>
                <c:pt idx="125">
                  <c:v>2.7548057634700002E-2</c:v>
                </c:pt>
                <c:pt idx="126">
                  <c:v>2.78235382111E-2</c:v>
                </c:pt>
                <c:pt idx="127">
                  <c:v>2.81017735932E-2</c:v>
                </c:pt>
                <c:pt idx="128">
                  <c:v>2.8382791329100002E-2</c:v>
                </c:pt>
                <c:pt idx="129">
                  <c:v>2.86666192424E-2</c:v>
                </c:pt>
                <c:pt idx="130">
                  <c:v>2.89532854348E-2</c:v>
                </c:pt>
                <c:pt idx="131">
                  <c:v>2.9242818289200001E-2</c:v>
                </c:pt>
                <c:pt idx="132">
                  <c:v>2.9535246472099999E-2</c:v>
                </c:pt>
                <c:pt idx="133">
                  <c:v>2.9830598936799999E-2</c:v>
                </c:pt>
                <c:pt idx="134">
                  <c:v>3.01289049262E-2</c:v>
                </c:pt>
                <c:pt idx="135">
                  <c:v>3.0430193975400002E-2</c:v>
                </c:pt>
                <c:pt idx="136">
                  <c:v>3.07344959152E-2</c:v>
                </c:pt>
                <c:pt idx="137">
                  <c:v>3.1041840874300002E-2</c:v>
                </c:pt>
                <c:pt idx="138">
                  <c:v>3.1352259283100002E-2</c:v>
                </c:pt>
                <c:pt idx="139">
                  <c:v>3.1665781875900002E-2</c:v>
                </c:pt>
                <c:pt idx="140">
                  <c:v>3.19824396947E-2</c:v>
                </c:pt>
                <c:pt idx="141">
                  <c:v>3.2302264091600003E-2</c:v>
                </c:pt>
                <c:pt idx="142">
                  <c:v>3.2625286732500001E-2</c:v>
                </c:pt>
                <c:pt idx="143">
                  <c:v>3.29515395999E-2</c:v>
                </c:pt>
                <c:pt idx="144">
                  <c:v>3.3281054995899999E-2</c:v>
                </c:pt>
                <c:pt idx="145">
                  <c:v>3.3613865545800002E-2</c:v>
                </c:pt>
                <c:pt idx="146">
                  <c:v>3.3950004201300003E-2</c:v>
                </c:pt>
                <c:pt idx="147">
                  <c:v>3.4289504243299997E-2</c:v>
                </c:pt>
                <c:pt idx="148">
                  <c:v>3.46323992857E-2</c:v>
                </c:pt>
                <c:pt idx="149">
                  <c:v>3.49787232786E-2</c:v>
                </c:pt>
                <c:pt idx="150">
                  <c:v>3.5328510511399999E-2</c:v>
                </c:pt>
                <c:pt idx="151">
                  <c:v>3.5681795616499999E-2</c:v>
                </c:pt>
                <c:pt idx="152">
                  <c:v>3.6038613572599999E-2</c:v>
                </c:pt>
                <c:pt idx="153">
                  <c:v>3.63989997084E-2</c:v>
                </c:pt>
                <c:pt idx="154">
                  <c:v>3.6762989705399998E-2</c:v>
                </c:pt>
                <c:pt idx="155">
                  <c:v>3.7130619602499998E-2</c:v>
                </c:pt>
                <c:pt idx="156">
                  <c:v>3.7501925798500001E-2</c:v>
                </c:pt>
                <c:pt idx="157">
                  <c:v>3.7876945056500001E-2</c:v>
                </c:pt>
                <c:pt idx="158">
                  <c:v>3.8255714507099997E-2</c:v>
                </c:pt>
                <c:pt idx="159">
                  <c:v>3.8638271652100001E-2</c:v>
                </c:pt>
                <c:pt idx="160">
                  <c:v>3.90246543687E-2</c:v>
                </c:pt>
                <c:pt idx="161">
                  <c:v>3.9414900912399999E-2</c:v>
                </c:pt>
                <c:pt idx="162">
                  <c:v>3.98090499215E-2</c:v>
                </c:pt>
                <c:pt idx="163">
                  <c:v>4.0207140420699998E-2</c:v>
                </c:pt>
                <c:pt idx="164">
                  <c:v>4.0609211824900002E-2</c:v>
                </c:pt>
                <c:pt idx="165">
                  <c:v>4.1015303943099997E-2</c:v>
                </c:pt>
                <c:pt idx="166">
                  <c:v>4.1425456982600001E-2</c:v>
                </c:pt>
                <c:pt idx="167">
                  <c:v>4.1839711552400002E-2</c:v>
                </c:pt>
                <c:pt idx="168">
                  <c:v>4.2258108667900002E-2</c:v>
                </c:pt>
                <c:pt idx="169">
                  <c:v>4.2680689754600001E-2</c:v>
                </c:pt>
                <c:pt idx="170">
                  <c:v>4.3107496652199997E-2</c:v>
                </c:pt>
                <c:pt idx="171">
                  <c:v>4.3538571618699999E-2</c:v>
                </c:pt>
                <c:pt idx="172">
                  <c:v>4.3973957334899998E-2</c:v>
                </c:pt>
                <c:pt idx="173">
                  <c:v>4.4413696908199997E-2</c:v>
                </c:pt>
                <c:pt idx="174">
                  <c:v>4.4857833877300003E-2</c:v>
                </c:pt>
                <c:pt idx="175">
                  <c:v>4.5306412216100003E-2</c:v>
                </c:pt>
                <c:pt idx="176">
                  <c:v>4.5759476338200003E-2</c:v>
                </c:pt>
                <c:pt idx="177">
                  <c:v>4.6217071101599998E-2</c:v>
                </c:pt>
                <c:pt idx="178">
                  <c:v>4.6679241812599997E-2</c:v>
                </c:pt>
                <c:pt idx="179">
                  <c:v>4.71460342308E-2</c:v>
                </c:pt>
                <c:pt idx="180">
                  <c:v>4.7617494573100001E-2</c:v>
                </c:pt>
                <c:pt idx="181">
                  <c:v>4.8093669518800002E-2</c:v>
                </c:pt>
                <c:pt idx="182">
                  <c:v>4.8574606213999998E-2</c:v>
                </c:pt>
                <c:pt idx="183">
                  <c:v>4.9060352276099999E-2</c:v>
                </c:pt>
                <c:pt idx="184">
                  <c:v>4.9550955798900002E-2</c:v>
                </c:pt>
                <c:pt idx="185">
                  <c:v>5.0046465356900001E-2</c:v>
                </c:pt>
                <c:pt idx="186">
                  <c:v>5.0546930010399997E-2</c:v>
                </c:pt>
                <c:pt idx="187">
                  <c:v>5.1052399310499999E-2</c:v>
                </c:pt>
                <c:pt idx="188">
                  <c:v>5.1562923303600003E-2</c:v>
                </c:pt>
                <c:pt idx="189">
                  <c:v>5.2078552536699997E-2</c:v>
                </c:pt>
                <c:pt idx="190">
                  <c:v>5.2599338062100001E-2</c:v>
                </c:pt>
                <c:pt idx="191">
                  <c:v>5.31253314427E-2</c:v>
                </c:pt>
                <c:pt idx="192">
                  <c:v>5.3656584757100001E-2</c:v>
                </c:pt>
                <c:pt idx="193">
                  <c:v>5.4193150604700001E-2</c:v>
                </c:pt>
                <c:pt idx="194">
                  <c:v>5.4735082110700002E-2</c:v>
                </c:pt>
                <c:pt idx="195">
                  <c:v>5.5282432931799998E-2</c:v>
                </c:pt>
                <c:pt idx="196">
                  <c:v>5.5835257261100002E-2</c:v>
                </c:pt>
                <c:pt idx="197">
                  <c:v>5.6393609833799999E-2</c:v>
                </c:pt>
                <c:pt idx="198">
                  <c:v>5.69575459321E-2</c:v>
                </c:pt>
                <c:pt idx="199">
                  <c:v>5.7527121391400003E-2</c:v>
                </c:pt>
                <c:pt idx="200">
                  <c:v>5.81023926053E-2</c:v>
                </c:pt>
                <c:pt idx="201">
                  <c:v>5.8683416531400003E-2</c:v>
                </c:pt>
                <c:pt idx="202">
                  <c:v>5.92702506967E-2</c:v>
                </c:pt>
                <c:pt idx="203">
                  <c:v>5.9862953203699998E-2</c:v>
                </c:pt>
                <c:pt idx="204">
                  <c:v>6.0461582735700001E-2</c:v>
                </c:pt>
                <c:pt idx="205">
                  <c:v>6.1066198563099999E-2</c:v>
                </c:pt>
                <c:pt idx="206">
                  <c:v>6.1676860548700002E-2</c:v>
                </c:pt>
                <c:pt idx="207">
                  <c:v>6.2293629154200003E-2</c:v>
                </c:pt>
                <c:pt idx="208">
                  <c:v>6.2916565445699998E-2</c:v>
                </c:pt>
                <c:pt idx="209">
                  <c:v>6.3545731100199995E-2</c:v>
                </c:pt>
                <c:pt idx="210">
                  <c:v>6.4181188411200005E-2</c:v>
                </c:pt>
                <c:pt idx="211">
                  <c:v>6.4823000295299998E-2</c:v>
                </c:pt>
                <c:pt idx="212">
                  <c:v>6.5471230298199998E-2</c:v>
                </c:pt>
                <c:pt idx="213">
                  <c:v>6.61259426012E-2</c:v>
                </c:pt>
                <c:pt idx="214">
                  <c:v>6.6787202027199996E-2</c:v>
                </c:pt>
                <c:pt idx="215">
                  <c:v>6.7455074047499994E-2</c:v>
                </c:pt>
                <c:pt idx="216">
                  <c:v>6.8129624787999998E-2</c:v>
                </c:pt>
                <c:pt idx="217">
                  <c:v>6.8810921035900002E-2</c:v>
                </c:pt>
                <c:pt idx="218">
                  <c:v>6.9499030246199994E-2</c:v>
                </c:pt>
                <c:pt idx="219">
                  <c:v>7.0194020548699998E-2</c:v>
                </c:pt>
                <c:pt idx="220">
                  <c:v>7.0895960754200002E-2</c:v>
                </c:pt>
                <c:pt idx="221">
                  <c:v>7.1604920361700006E-2</c:v>
                </c:pt>
                <c:pt idx="222">
                  <c:v>7.23209695653E-2</c:v>
                </c:pt>
                <c:pt idx="223">
                  <c:v>7.3044179261E-2</c:v>
                </c:pt>
                <c:pt idx="224">
                  <c:v>7.3774621053599998E-2</c:v>
                </c:pt>
                <c:pt idx="225">
                  <c:v>7.4512367264100002E-2</c:v>
                </c:pt>
                <c:pt idx="226">
                  <c:v>7.5257490936799995E-2</c:v>
                </c:pt>
                <c:pt idx="227">
                  <c:v>7.6010065846099997E-2</c:v>
                </c:pt>
                <c:pt idx="228">
                  <c:v>7.6770166504600001E-2</c:v>
                </c:pt>
                <c:pt idx="229">
                  <c:v>7.7537868169599997E-2</c:v>
                </c:pt>
                <c:pt idx="230">
                  <c:v>7.8313246851300006E-2</c:v>
                </c:pt>
                <c:pt idx="231">
                  <c:v>8.0686216544199996E-2</c:v>
                </c:pt>
                <c:pt idx="232">
                  <c:v>8.14930787096E-2</c:v>
                </c:pt>
                <c:pt idx="233">
                  <c:v>8.2308009496700002E-2</c:v>
                </c:pt>
                <c:pt idx="234">
                  <c:v>8.31310895917E-2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9.0919248388599994E-2</c:v>
                </c:pt>
                <c:pt idx="238">
                  <c:v>9.18284408725E-2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3.9603783494405548E-9</c:v>
                </c:pt>
                <c:pt idx="1">
                  <c:v>4.1203218747363224E-9</c:v>
                </c:pt>
                <c:pt idx="2">
                  <c:v>4.2866386048921963E-9</c:v>
                </c:pt>
                <c:pt idx="3">
                  <c:v>4.4595642284226074E-9</c:v>
                </c:pt>
                <c:pt idx="4">
                  <c:v>4.6393408120504768E-9</c:v>
                </c:pt>
                <c:pt idx="5">
                  <c:v>4.8262144176572349E-9</c:v>
                </c:pt>
                <c:pt idx="6">
                  <c:v>5.0204323356194346E-9</c:v>
                </c:pt>
                <c:pt idx="7">
                  <c:v>5.2222404771269499E-9</c:v>
                </c:pt>
                <c:pt idx="8">
                  <c:v>5.4318797360668953E-9</c:v>
                </c:pt>
                <c:pt idx="9">
                  <c:v>5.649580506770386E-9</c:v>
                </c:pt>
                <c:pt idx="10">
                  <c:v>5.8755543346554665E-9</c:v>
                </c:pt>
                <c:pt idx="11">
                  <c:v>6.1099812914770557E-9</c:v>
                </c:pt>
                <c:pt idx="12">
                  <c:v>6.3529904468687476E-9</c:v>
                </c:pt>
                <c:pt idx="13">
                  <c:v>6.6046287953110243E-9</c:v>
                </c:pt>
                <c:pt idx="14">
                  <c:v>6.8648100576556025E-9</c:v>
                </c:pt>
                <c:pt idx="15">
                  <c:v>7.1332266078227491E-9</c:v>
                </c:pt>
                <c:pt idx="16">
                  <c:v>7.409189575867126E-9</c:v>
                </c:pt>
                <c:pt idx="17">
                  <c:v>7.6913178727095973E-9</c:v>
                </c:pt>
                <c:pt idx="18">
                  <c:v>7.9768762183504753E-9</c:v>
                </c:pt>
                <c:pt idx="19">
                  <c:v>8.260191370137146E-9</c:v>
                </c:pt>
                <c:pt idx="20">
                  <c:v>8.5286363088086675E-9</c:v>
                </c:pt>
                <c:pt idx="21">
                  <c:v>8.7519301373361523E-9</c:v>
                </c:pt>
                <c:pt idx="22">
                  <c:v>8.8584903025435901E-9</c:v>
                </c:pt>
                <c:pt idx="23">
                  <c:v>8.6898190293400456E-9</c:v>
                </c:pt>
                <c:pt idx="24">
                  <c:v>7.9828599741702409E-9</c:v>
                </c:pt>
                <c:pt idx="25">
                  <c:v>6.5859119348515481E-9</c:v>
                </c:pt>
                <c:pt idx="26">
                  <c:v>4.8732274686411112E-9</c:v>
                </c:pt>
                <c:pt idx="27">
                  <c:v>3.5820947228894721E-9</c:v>
                </c:pt>
                <c:pt idx="28">
                  <c:v>3.0326925566804961E-9</c:v>
                </c:pt>
                <c:pt idx="29">
                  <c:v>2.9661813234185624E-9</c:v>
                </c:pt>
                <c:pt idx="30">
                  <c:v>3.0447817379529706E-9</c:v>
                </c:pt>
                <c:pt idx="31">
                  <c:v>3.1131386252302431E-9</c:v>
                </c:pt>
                <c:pt idx="32">
                  <c:v>3.1356627276328162E-9</c:v>
                </c:pt>
                <c:pt idx="33">
                  <c:v>3.1122051709776904E-9</c:v>
                </c:pt>
                <c:pt idx="34">
                  <c:v>3.0486736852371768E-9</c:v>
                </c:pt>
                <c:pt idx="35">
                  <c:v>2.9508997725288485E-9</c:v>
                </c:pt>
                <c:pt idx="36">
                  <c:v>2.824327735163354E-9</c:v>
                </c:pt>
                <c:pt idx="37">
                  <c:v>2.6742245793482644E-9</c:v>
                </c:pt>
                <c:pt idx="38">
                  <c:v>2.5058334325559852E-9</c:v>
                </c:pt>
                <c:pt idx="39">
                  <c:v>2.3244341424623081E-9</c:v>
                </c:pt>
                <c:pt idx="40">
                  <c:v>2.1353257401440882E-9</c:v>
                </c:pt>
                <c:pt idx="41">
                  <c:v>1.9437506525109665E-9</c:v>
                </c:pt>
                <c:pt idx="42">
                  <c:v>1.7547799515397787E-9</c:v>
                </c:pt>
                <c:pt idx="43">
                  <c:v>1.573177813625846E-9</c:v>
                </c:pt>
                <c:pt idx="44">
                  <c:v>1.4032619593079218E-9</c:v>
                </c:pt>
                <c:pt idx="45">
                  <c:v>1.2487747948858997E-9</c:v>
                </c:pt>
                <c:pt idx="46">
                  <c:v>1.1127771040216666E-9</c:v>
                </c:pt>
                <c:pt idx="47">
                  <c:v>9.9757257763506293E-10</c:v>
                </c:pt>
                <c:pt idx="48">
                  <c:v>9.0466758155074456E-10</c:v>
                </c:pt>
                <c:pt idx="49">
                  <c:v>8.3451398136499152E-10</c:v>
                </c:pt>
                <c:pt idx="50">
                  <c:v>7.8759882295989735E-10</c:v>
                </c:pt>
                <c:pt idx="51">
                  <c:v>7.6283269477365955E-10</c:v>
                </c:pt>
                <c:pt idx="52">
                  <c:v>7.5879436550899735E-10</c:v>
                </c:pt>
                <c:pt idx="53">
                  <c:v>7.735204766478242E-10</c:v>
                </c:pt>
                <c:pt idx="54">
                  <c:v>8.0460826148872635E-10</c:v>
                </c:pt>
                <c:pt idx="55">
                  <c:v>8.4932123387602268E-10</c:v>
                </c:pt>
                <c:pt idx="56">
                  <c:v>9.046934581673945E-10</c:v>
                </c:pt>
                <c:pt idx="57">
                  <c:v>9.6762929325814391E-10</c:v>
                </c:pt>
                <c:pt idx="58">
                  <c:v>1.0349966833591262E-9</c:v>
                </c:pt>
                <c:pt idx="59">
                  <c:v>1.1037130385776774E-9</c:v>
                </c:pt>
                <c:pt idx="60">
                  <c:v>1.1708234398621802E-9</c:v>
                </c:pt>
                <c:pt idx="61">
                  <c:v>1.2335713177266651E-9</c:v>
                </c:pt>
                <c:pt idx="62">
                  <c:v>1.2894619032787835E-9</c:v>
                </c:pt>
                <c:pt idx="63">
                  <c:v>1.3363186828852996E-9</c:v>
                </c:pt>
                <c:pt idx="64">
                  <c:v>1.3723328605462183E-9</c:v>
                </c:pt>
                <c:pt idx="65">
                  <c:v>1.3961054993943008E-9</c:v>
                </c:pt>
                <c:pt idx="66">
                  <c:v>1.4066816415523819E-9</c:v>
                </c:pt>
                <c:pt idx="67">
                  <c:v>1.4035753499072486E-9</c:v>
                </c:pt>
                <c:pt idx="68">
                  <c:v>1.3867843313301189E-9</c:v>
                </c:pt>
                <c:pt idx="69">
                  <c:v>1.3567926386652734E-9</c:v>
                </c:pt>
                <c:pt idx="70">
                  <c:v>1.3145599478650297E-9</c:v>
                </c:pt>
                <c:pt idx="71">
                  <c:v>1.2614960989795327E-9</c:v>
                </c:pt>
                <c:pt idx="72">
                  <c:v>1.1994199860990164E-9</c:v>
                </c:pt>
                <c:pt idx="73">
                  <c:v>1.1305024803054324E-9</c:v>
                </c:pt>
                <c:pt idx="74">
                  <c:v>1.0571938443280181E-9</c:v>
                </c:pt>
                <c:pt idx="75">
                  <c:v>9.8213700049826812E-10</c:v>
                </c:pt>
                <c:pt idx="76">
                  <c:v>9.080689796253774E-10</c:v>
                </c:pt>
                <c:pt idx="77">
                  <c:v>8.3771382267108547E-10</c:v>
                </c:pt>
                <c:pt idx="78">
                  <c:v>7.7367104976795578E-10</c:v>
                </c:pt>
                <c:pt idx="79">
                  <c:v>7.1830446152774201E-10</c:v>
                </c:pt>
                <c:pt idx="80">
                  <c:v>6.7363642910642561E-10</c:v>
                </c:pt>
                <c:pt idx="81">
                  <c:v>6.4125291665832817E-10</c:v>
                </c:pt>
                <c:pt idx="82">
                  <c:v>6.2222424034596448E-10</c:v>
                </c:pt>
                <c:pt idx="83">
                  <c:v>6.1704601680797951E-10</c:v>
                </c:pt>
                <c:pt idx="84">
                  <c:v>6.2560392821690613E-10</c:v>
                </c:pt>
                <c:pt idx="85">
                  <c:v>6.4716489335820329E-10</c:v>
                </c:pt>
                <c:pt idx="86">
                  <c:v>6.8039605401566681E-10</c:v>
                </c:pt>
                <c:pt idx="87">
                  <c:v>7.2341173884908611E-10</c:v>
                </c:pt>
                <c:pt idx="88">
                  <c:v>7.7384731753659288E-10</c:v>
                </c:pt>
                <c:pt idx="89">
                  <c:v>8.289576576116224E-10</c:v>
                </c:pt>
                <c:pt idx="90">
                  <c:v>8.8573678053447656E-10</c:v>
                </c:pt>
                <c:pt idx="91">
                  <c:v>9.4105430128095525E-10</c:v>
                </c:pt>
                <c:pt idx="92">
                  <c:v>9.9180333548306634E-10</c:v>
                </c:pt>
                <c:pt idx="93">
                  <c:v>1.0350537800809116E-9</c:v>
                </c:pt>
                <c:pt idx="94">
                  <c:v>1.0682042246117973E-9</c:v>
                </c:pt>
                <c:pt idx="95">
                  <c:v>1.089125262812255E-9</c:v>
                </c:pt>
                <c:pt idx="96">
                  <c:v>1.09628668666183E-9</c:v>
                </c:pt>
                <c:pt idx="97">
                  <c:v>1.088861023484186E-9</c:v>
                </c:pt>
                <c:pt idx="98">
                  <c:v>1.0667961973745737E-9</c:v>
                </c:pt>
                <c:pt idx="99">
                  <c:v>1.0308508414931826E-9</c:v>
                </c:pt>
                <c:pt idx="100">
                  <c:v>9.8258703201768647E-10</c:v>
                </c:pt>
                <c:pt idx="101">
                  <c:v>9.2431700163500504E-10</c:v>
                </c:pt>
                <c:pt idx="102">
                  <c:v>8.5900272376585084E-10</c:v>
                </c:pt>
                <c:pt idx="103">
                  <c:v>7.9011007426671855E-10</c:v>
                </c:pt>
                <c:pt idx="104">
                  <c:v>7.2142244400323579E-10</c:v>
                </c:pt>
                <c:pt idx="105">
                  <c:v>6.5682198727906505E-10</c:v>
                </c:pt>
                <c:pt idx="106">
                  <c:v>6.0004988059107751E-10</c:v>
                </c:pt>
                <c:pt idx="107">
                  <c:v>5.5445973078720784E-10</c:v>
                </c:pt>
                <c:pt idx="108">
                  <c:v>5.2278029600429859E-10</c:v>
                </c:pt>
                <c:pt idx="109">
                  <c:v>5.0690469032045751E-10</c:v>
                </c:pt>
                <c:pt idx="110">
                  <c:v>5.0772301997028498E-10</c:v>
                </c:pt>
                <c:pt idx="111">
                  <c:v>5.2501382802724624E-10</c:v>
                </c:pt>
                <c:pt idx="112">
                  <c:v>5.57406806453773E-10</c:v>
                </c:pt>
                <c:pt idx="113">
                  <c:v>6.0242508175997054E-10</c:v>
                </c:pt>
                <c:pt idx="114">
                  <c:v>6.5661021380316881E-10</c:v>
                </c:pt>
                <c:pt idx="115">
                  <c:v>7.1572717205745107E-10</c:v>
                </c:pt>
                <c:pt idx="116">
                  <c:v>7.7504033390735468E-10</c:v>
                </c:pt>
                <c:pt idx="117">
                  <c:v>8.2964539063323588E-10</c:v>
                </c:pt>
                <c:pt idx="118">
                  <c:v>8.7483637483815129E-10</c:v>
                </c:pt>
                <c:pt idx="119">
                  <c:v>9.0648227736379232E-10</c:v>
                </c:pt>
                <c:pt idx="120">
                  <c:v>9.213843474120111E-10</c:v>
                </c:pt>
                <c:pt idx="121">
                  <c:v>9.1758360464159482E-10</c:v>
                </c:pt>
                <c:pt idx="122">
                  <c:v>8.9458874746422854E-10</c:v>
                </c:pt>
                <c:pt idx="123">
                  <c:v>8.5349785462220703E-10</c:v>
                </c:pt>
                <c:pt idx="124">
                  <c:v>7.9699325250284935E-10</c:v>
                </c:pt>
                <c:pt idx="125">
                  <c:v>7.2919764934864697E-10</c:v>
                </c:pt>
                <c:pt idx="126">
                  <c:v>6.5539082209649534E-10</c:v>
                </c:pt>
                <c:pt idx="127">
                  <c:v>5.8159912391577112E-10</c:v>
                </c:pt>
                <c:pt idx="128">
                  <c:v>5.1408383613509474E-10</c:v>
                </c:pt>
                <c:pt idx="129">
                  <c:v>4.5876755264820224E-10</c:v>
                </c:pt>
                <c:pt idx="130">
                  <c:v>4.2064877541720081E-10</c:v>
                </c:pt>
                <c:pt idx="131">
                  <c:v>4.0326209516740082E-10</c:v>
                </c:pt>
                <c:pt idx="132">
                  <c:v>4.0824329440657259E-10</c:v>
                </c:pt>
                <c:pt idx="133">
                  <c:v>4.3505442182972135E-10</c:v>
                </c:pt>
                <c:pt idx="134">
                  <c:v>4.8091295224038142E-10</c:v>
                </c:pt>
                <c:pt idx="135">
                  <c:v>5.40951916585466E-10</c:v>
                </c:pt>
                <c:pt idx="136">
                  <c:v>6.0861550800205097E-10</c:v>
                </c:pt>
                <c:pt idx="137">
                  <c:v>6.7626901892701187E-10</c:v>
                </c:pt>
                <c:pt idx="138">
                  <c:v>7.3597552258875693E-10</c:v>
                </c:pt>
                <c:pt idx="139">
                  <c:v>7.8036736109644795E-10</c:v>
                </c:pt>
                <c:pt idx="140">
                  <c:v>8.0352130658998006E-10</c:v>
                </c:pt>
                <c:pt idx="141">
                  <c:v>8.0173518322680603E-10</c:v>
                </c:pt>
                <c:pt idx="142">
                  <c:v>7.7410334656913593E-10</c:v>
                </c:pt>
                <c:pt idx="143">
                  <c:v>7.2280051422128467E-10</c:v>
                </c:pt>
                <c:pt idx="144">
                  <c:v>6.5300867036871252E-10</c:v>
                </c:pt>
                <c:pt idx="145">
                  <c:v>5.724591980162975E-10</c:v>
                </c:pt>
                <c:pt idx="146">
                  <c:v>4.9060921603842366E-10</c:v>
                </c:pt>
                <c:pt idx="147">
                  <c:v>4.1752250851104293E-10</c:v>
                </c:pt>
                <c:pt idx="148">
                  <c:v>3.6257486934721936E-10</c:v>
                </c:pt>
                <c:pt idx="149">
                  <c:v>3.3314348051918311E-10</c:v>
                </c:pt>
                <c:pt idx="150">
                  <c:v>3.3346238549124838E-10</c:v>
                </c:pt>
                <c:pt idx="151">
                  <c:v>3.6382481374529991E-10</c:v>
                </c:pt>
                <c:pt idx="152">
                  <c:v>4.2028435785116096E-10</c:v>
                </c:pt>
                <c:pt idx="153">
                  <c:v>4.9495094904640967E-10</c:v>
                </c:pt>
                <c:pt idx="154">
                  <c:v>5.7687254421026043E-10</c:v>
                </c:pt>
                <c:pt idx="155">
                  <c:v>6.5362599482675683E-10</c:v>
                </c:pt>
                <c:pt idx="156">
                  <c:v>7.128528524425304E-10</c:v>
                </c:pt>
                <c:pt idx="157">
                  <c:v>7.4440854321345361E-10</c:v>
                </c:pt>
                <c:pt idx="158">
                  <c:v>7.4206175747161193E-10</c:v>
                </c:pt>
                <c:pt idx="159">
                  <c:v>7.0476795709966194E-10</c:v>
                </c:pt>
                <c:pt idx="160">
                  <c:v>6.3719439522791388E-10</c:v>
                </c:pt>
                <c:pt idx="161">
                  <c:v>5.4932616810309639E-10</c:v>
                </c:pt>
                <c:pt idx="162">
                  <c:v>4.5512124773497942E-10</c:v>
                </c:pt>
                <c:pt idx="163">
                  <c:v>3.7034801905764502E-10</c:v>
                </c:pt>
                <c:pt idx="164">
                  <c:v>3.0990543573915572E-10</c:v>
                </c:pt>
                <c:pt idx="165">
                  <c:v>2.850616456712738E-10</c:v>
                </c:pt>
                <c:pt idx="166">
                  <c:v>3.0111958511667274E-10</c:v>
                </c:pt>
                <c:pt idx="167">
                  <c:v>3.560019408037374E-10</c:v>
                </c:pt>
                <c:pt idx="168">
                  <c:v>4.4013106242371341E-10</c:v>
                </c:pt>
                <c:pt idx="169">
                  <c:v>5.3776906579027623E-10</c:v>
                </c:pt>
                <c:pt idx="170">
                  <c:v>6.2970799024774031E-10</c:v>
                </c:pt>
                <c:pt idx="171">
                  <c:v>6.9690697742736739E-10</c:v>
                </c:pt>
                <c:pt idx="172">
                  <c:v>7.2442271666786326E-10</c:v>
                </c:pt>
                <c:pt idx="173">
                  <c:v>7.0483207536624515E-10</c:v>
                </c:pt>
                <c:pt idx="174">
                  <c:v>6.4035165018270835E-10</c:v>
                </c:pt>
                <c:pt idx="175">
                  <c:v>5.4304290704652935E-10</c:v>
                </c:pt>
                <c:pt idx="176">
                  <c:v>4.3284277197347542E-10</c:v>
                </c:pt>
                <c:pt idx="177">
                  <c:v>3.3362562020779867E-10</c:v>
                </c:pt>
                <c:pt idx="178">
                  <c:v>2.6799258479782125E-10</c:v>
                </c:pt>
                <c:pt idx="179">
                  <c:v>2.518820796579521E-10</c:v>
                </c:pt>
                <c:pt idx="180">
                  <c:v>2.9028509405729085E-10</c:v>
                </c:pt>
                <c:pt idx="181">
                  <c:v>3.7524465786311896E-10</c:v>
                </c:pt>
                <c:pt idx="182">
                  <c:v>4.8689658103114951E-10</c:v>
                </c:pt>
                <c:pt idx="183">
                  <c:v>5.9762485742629979E-10</c:v>
                </c:pt>
                <c:pt idx="184">
                  <c:v>6.7859862826829264E-10</c:v>
                </c:pt>
                <c:pt idx="185">
                  <c:v>7.0722654854059851E-10</c:v>
                </c:pt>
                <c:pt idx="186">
                  <c:v>6.7362297000967128E-10</c:v>
                </c:pt>
                <c:pt idx="187">
                  <c:v>5.8420160014386356E-10</c:v>
                </c:pt>
                <c:pt idx="188">
                  <c:v>4.6107030082659138E-10</c:v>
                </c:pt>
                <c:pt idx="189">
                  <c:v>3.3692761557577428E-10</c:v>
                </c:pt>
                <c:pt idx="190">
                  <c:v>2.4643609488430525E-10</c:v>
                </c:pt>
                <c:pt idx="191">
                  <c:v>2.1622740429353146E-10</c:v>
                </c:pt>
                <c:pt idx="192">
                  <c:v>2.5639723492944589E-10</c:v>
                </c:pt>
                <c:pt idx="193">
                  <c:v>3.5626725557457808E-10</c:v>
                </c:pt>
                <c:pt idx="194">
                  <c:v>4.8621477987379955E-10</c:v>
                </c:pt>
                <c:pt idx="195">
                  <c:v>6.0566230604007435E-10</c:v>
                </c:pt>
                <c:pt idx="196">
                  <c:v>6.7532073403194067E-10</c:v>
                </c:pt>
                <c:pt idx="197">
                  <c:v>6.701170991191801E-10</c:v>
                </c:pt>
                <c:pt idx="198">
                  <c:v>5.8853797831898134E-10</c:v>
                </c:pt>
                <c:pt idx="199">
                  <c:v>4.5479313637920357E-10</c:v>
                </c:pt>
                <c:pt idx="200">
                  <c:v>3.1224941342291141E-10</c:v>
                </c:pt>
                <c:pt idx="201">
                  <c:v>2.0926589790416093E-10</c:v>
                </c:pt>
                <c:pt idx="202">
                  <c:v>1.8310949902029385E-10</c:v>
                </c:pt>
                <c:pt idx="203">
                  <c:v>2.4424339223137583E-10</c:v>
                </c:pt>
                <c:pt idx="204">
                  <c:v>3.7146303487792603E-10</c:v>
                </c:pt>
                <c:pt idx="205">
                  <c:v>5.1755257581939108E-10</c:v>
                </c:pt>
                <c:pt idx="206">
                  <c:v>6.2575231282211886E-10</c:v>
                </c:pt>
                <c:pt idx="207">
                  <c:v>6.5145000186639042E-10</c:v>
                </c:pt>
                <c:pt idx="208">
                  <c:v>5.8089229053663602E-10</c:v>
                </c:pt>
                <c:pt idx="209">
                  <c:v>4.3888727706616858E-10</c:v>
                </c:pt>
                <c:pt idx="210">
                  <c:v>2.8107528448146975E-10</c:v>
                </c:pt>
                <c:pt idx="211">
                  <c:v>1.7240415470445881E-10</c:v>
                </c:pt>
                <c:pt idx="212">
                  <c:v>1.5969559040051307E-10</c:v>
                </c:pt>
                <c:pt idx="213">
                  <c:v>2.4983898043772102E-10</c:v>
                </c:pt>
                <c:pt idx="214">
                  <c:v>4.0407011574825189E-10</c:v>
                </c:pt>
                <c:pt idx="215">
                  <c:v>5.5268209452350398E-10</c:v>
                </c:pt>
                <c:pt idx="216">
                  <c:v>6.2543938682952521E-10</c:v>
                </c:pt>
                <c:pt idx="217">
                  <c:v>5.8483388608018505E-10</c:v>
                </c:pt>
                <c:pt idx="218">
                  <c:v>4.4631165146424115E-10</c:v>
                </c:pt>
                <c:pt idx="219">
                  <c:v>2.7408369214050209E-10</c:v>
                </c:pt>
                <c:pt idx="220">
                  <c:v>1.5207585561687296E-10</c:v>
                </c:pt>
                <c:pt idx="221">
                  <c:v>1.4235023216441069E-10</c:v>
                </c:pt>
                <c:pt idx="222">
                  <c:v>2.5145974812530356E-10</c:v>
                </c:pt>
                <c:pt idx="223">
                  <c:v>4.2349502411864433E-10</c:v>
                </c:pt>
                <c:pt idx="224">
                  <c:v>5.6634655078730342E-10</c:v>
                </c:pt>
                <c:pt idx="225">
                  <c:v>6.0006250922185797E-10</c:v>
                </c:pt>
                <c:pt idx="226">
                  <c:v>5.0232632942651449E-10</c:v>
                </c:pt>
                <c:pt idx="227">
                  <c:v>3.2468719274570485E-10</c:v>
                </c:pt>
                <c:pt idx="228">
                  <c:v>1.6600931788623794E-10</c:v>
                </c:pt>
                <c:pt idx="229">
                  <c:v>1.0254023356766585E-10</c:v>
                </c:pt>
                <c:pt idx="230">
                  <c:v>1.2001212706423347E-10</c:v>
                </c:pt>
                <c:pt idx="231">
                  <c:v>5.5705313519692871E-10</c:v>
                </c:pt>
                <c:pt idx="232">
                  <c:v>4.4636116227481332E-10</c:v>
                </c:pt>
                <c:pt idx="233">
                  <c:v>2.8036435639624935E-10</c:v>
                </c:pt>
                <c:pt idx="234">
                  <c:v>1.5113757645586035E-10</c:v>
                </c:pt>
                <c:pt idx="235">
                  <c:v>5.9285109591556589E-10</c:v>
                </c:pt>
                <c:pt idx="236">
                  <c:v>6.4642184628195663E-10</c:v>
                </c:pt>
                <c:pt idx="237">
                  <c:v>4.0819130314969627E-10</c:v>
                </c:pt>
                <c:pt idx="238">
                  <c:v>5.166057744689477E-10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5.3524480158098677E-10</c:v>
                  </c:pt>
                  <c:pt idx="1">
                    <c:v>4.1320208823505365E-10</c:v>
                  </c:pt>
                  <c:pt idx="2">
                    <c:v>3.7853921681492209E-10</c:v>
                  </c:pt>
                  <c:pt idx="3">
                    <c:v>3.5920096323549282E-10</c:v>
                  </c:pt>
                  <c:pt idx="4">
                    <c:v>3.1743763027819442E-10</c:v>
                  </c:pt>
                  <c:pt idx="5">
                    <c:v>3.4857760234660165E-10</c:v>
                  </c:pt>
                  <c:pt idx="6">
                    <c:v>3.4899603680791066E-10</c:v>
                  </c:pt>
                  <c:pt idx="7">
                    <c:v>3.324141882740542E-10</c:v>
                  </c:pt>
                  <c:pt idx="8">
                    <c:v>3.4492205271537889E-10</c:v>
                  </c:pt>
                  <c:pt idx="9">
                    <c:v>3.4519082648429173E-10</c:v>
                  </c:pt>
                  <c:pt idx="10">
                    <c:v>3.8533852574382452E-10</c:v>
                  </c:pt>
                  <c:pt idx="11">
                    <c:v>3.601586096840356E-10</c:v>
                  </c:pt>
                  <c:pt idx="12">
                    <c:v>3.1040943688253577E-10</c:v>
                  </c:pt>
                  <c:pt idx="13">
                    <c:v>2.8836578331309232E-10</c:v>
                  </c:pt>
                  <c:pt idx="14">
                    <c:v>2.8439982314266454E-10</c:v>
                  </c:pt>
                  <c:pt idx="15">
                    <c:v>3.0709680218093284E-10</c:v>
                  </c:pt>
                  <c:pt idx="16">
                    <c:v>3.0561005992060783E-10</c:v>
                  </c:pt>
                  <c:pt idx="17">
                    <c:v>5.4242585143000521E-10</c:v>
                  </c:pt>
                  <c:pt idx="18">
                    <c:v>5.3354060121053177E-10</c:v>
                  </c:pt>
                  <c:pt idx="19">
                    <c:v>5.6034215372490691E-10</c:v>
                  </c:pt>
                  <c:pt idx="20">
                    <c:v>5.8333498324332353E-10</c:v>
                  </c:pt>
                  <c:pt idx="21">
                    <c:v>5.4144462533687269E-10</c:v>
                  </c:pt>
                  <c:pt idx="22">
                    <c:v>5.3061637624191E-10</c:v>
                  </c:pt>
                  <c:pt idx="23">
                    <c:v>5.3138750730129547E-10</c:v>
                  </c:pt>
                  <c:pt idx="24">
                    <c:v>4.503671872162131E-10</c:v>
                  </c:pt>
                  <c:pt idx="25">
                    <c:v>4.4930209072748678E-10</c:v>
                  </c:pt>
                  <c:pt idx="26">
                    <c:v>3.7963138728701933E-10</c:v>
                  </c:pt>
                  <c:pt idx="27">
                    <c:v>2.9762306581587689E-10</c:v>
                  </c:pt>
                  <c:pt idx="28">
                    <c:v>3.0226086837649592E-10</c:v>
                  </c:pt>
                  <c:pt idx="29">
                    <c:v>3.0249655966863307E-10</c:v>
                  </c:pt>
                  <c:pt idx="30">
                    <c:v>2.8981766387179123E-10</c:v>
                  </c:pt>
                  <c:pt idx="31">
                    <c:v>2.7883514283501168E-10</c:v>
                  </c:pt>
                  <c:pt idx="32">
                    <c:v>3.1889601217950409E-10</c:v>
                  </c:pt>
                  <c:pt idx="33">
                    <c:v>1.8351458641748942E-10</c:v>
                  </c:pt>
                  <c:pt idx="34">
                    <c:v>1.6775798206273695E-10</c:v>
                  </c:pt>
                  <c:pt idx="35">
                    <c:v>1.7973435769993155E-10</c:v>
                  </c:pt>
                  <c:pt idx="36">
                    <c:v>1.8014214460259532E-10</c:v>
                  </c:pt>
                  <c:pt idx="37">
                    <c:v>1.6061060373524558E-10</c:v>
                  </c:pt>
                  <c:pt idx="38">
                    <c:v>2.0432650834804256E-10</c:v>
                  </c:pt>
                  <c:pt idx="39">
                    <c:v>1.8178221402708431E-10</c:v>
                  </c:pt>
                  <c:pt idx="40">
                    <c:v>1.8784853518961163E-10</c:v>
                  </c:pt>
                  <c:pt idx="41">
                    <c:v>1.8887787810445218E-10</c:v>
                  </c:pt>
                  <c:pt idx="42">
                    <c:v>1.7466699608469882E-10</c:v>
                  </c:pt>
                  <c:pt idx="43">
                    <c:v>1.5924519041231463E-10</c:v>
                  </c:pt>
                  <c:pt idx="44">
                    <c:v>1.4475896276962064E-10</c:v>
                  </c:pt>
                  <c:pt idx="45">
                    <c:v>1.4438330840463491E-10</c:v>
                  </c:pt>
                  <c:pt idx="46">
                    <c:v>1.3438452891649733E-10</c:v>
                  </c:pt>
                  <c:pt idx="47">
                    <c:v>1.1227803965941892E-10</c:v>
                  </c:pt>
                  <c:pt idx="48">
                    <c:v>1.114424149899756E-10</c:v>
                  </c:pt>
                  <c:pt idx="49">
                    <c:v>1.1579969916717911E-10</c:v>
                  </c:pt>
                  <c:pt idx="50">
                    <c:v>1.0806328876409761E-10</c:v>
                  </c:pt>
                  <c:pt idx="51">
                    <c:v>9.9394635841667556E-11</c:v>
                  </c:pt>
                  <c:pt idx="52">
                    <c:v>9.2640056530804639E-11</c:v>
                  </c:pt>
                  <c:pt idx="53">
                    <c:v>8.9560443965887081E-11</c:v>
                  </c:pt>
                  <c:pt idx="54">
                    <c:v>9.353809783922793E-11</c:v>
                  </c:pt>
                  <c:pt idx="55">
                    <c:v>8.963719668864431E-11</c:v>
                  </c:pt>
                  <c:pt idx="56">
                    <c:v>9.3430110943668044E-11</c:v>
                  </c:pt>
                  <c:pt idx="57">
                    <c:v>1.0544886424382614E-10</c:v>
                  </c:pt>
                  <c:pt idx="58">
                    <c:v>1.1007901049189352E-10</c:v>
                  </c:pt>
                  <c:pt idx="59">
                    <c:v>1.1450139178554395E-10</c:v>
                  </c:pt>
                  <c:pt idx="60">
                    <c:v>7.6683310298801042E-11</c:v>
                  </c:pt>
                  <c:pt idx="61">
                    <c:v>7.5073546559460981E-11</c:v>
                  </c:pt>
                  <c:pt idx="62">
                    <c:v>7.7942854719335102E-11</c:v>
                  </c:pt>
                  <c:pt idx="63">
                    <c:v>8.2981938310172918E-11</c:v>
                  </c:pt>
                  <c:pt idx="64">
                    <c:v>8.4487350328216432E-11</c:v>
                  </c:pt>
                  <c:pt idx="65">
                    <c:v>9.1284968638133245E-11</c:v>
                  </c:pt>
                  <c:pt idx="66">
                    <c:v>9.3515848557230786E-11</c:v>
                  </c:pt>
                  <c:pt idx="67">
                    <c:v>1.2544304185008475E-10</c:v>
                  </c:pt>
                  <c:pt idx="68">
                    <c:v>1.1906746573181931E-10</c:v>
                  </c:pt>
                  <c:pt idx="69">
                    <c:v>1.1292569542992845E-10</c:v>
                  </c:pt>
                  <c:pt idx="70">
                    <c:v>1.2715111959938309E-10</c:v>
                  </c:pt>
                  <c:pt idx="71">
                    <c:v>1.1203518495276573E-10</c:v>
                  </c:pt>
                  <c:pt idx="72">
                    <c:v>1.2669800651700751E-10</c:v>
                  </c:pt>
                  <c:pt idx="73">
                    <c:v>1.0786646886968174E-10</c:v>
                  </c:pt>
                  <c:pt idx="74">
                    <c:v>1.0882550707909428E-10</c:v>
                  </c:pt>
                  <c:pt idx="75">
                    <c:v>9.4250048385030538E-11</c:v>
                  </c:pt>
                  <c:pt idx="76">
                    <c:v>9.9575509172130514E-11</c:v>
                  </c:pt>
                  <c:pt idx="77">
                    <c:v>9.5484930157710868E-11</c:v>
                  </c:pt>
                  <c:pt idx="78">
                    <c:v>9.1089717794415087E-11</c:v>
                  </c:pt>
                  <c:pt idx="79">
                    <c:v>8.664607733405151E-11</c:v>
                  </c:pt>
                  <c:pt idx="80">
                    <c:v>7.7303602704251976E-11</c:v>
                  </c:pt>
                  <c:pt idx="81">
                    <c:v>8.1011132006969482E-11</c:v>
                  </c:pt>
                  <c:pt idx="82">
                    <c:v>7.9889830341324887E-11</c:v>
                  </c:pt>
                  <c:pt idx="83">
                    <c:v>7.1746745602567148E-11</c:v>
                  </c:pt>
                  <c:pt idx="84">
                    <c:v>7.5409863498807816E-11</c:v>
                  </c:pt>
                  <c:pt idx="85">
                    <c:v>7.4780657819821856E-11</c:v>
                  </c:pt>
                  <c:pt idx="86">
                    <c:v>8.5329980667412466E-11</c:v>
                  </c:pt>
                  <c:pt idx="87">
                    <c:v>8.5746607967098395E-11</c:v>
                  </c:pt>
                  <c:pt idx="88">
                    <c:v>7.9147109748338252E-11</c:v>
                  </c:pt>
                  <c:pt idx="89">
                    <c:v>8.2141822263741529E-11</c:v>
                  </c:pt>
                  <c:pt idx="90">
                    <c:v>9.4731150594259396E-11</c:v>
                  </c:pt>
                  <c:pt idx="91">
                    <c:v>9.7615356708747506E-11</c:v>
                  </c:pt>
                  <c:pt idx="92">
                    <c:v>9.8857017993937883E-11</c:v>
                  </c:pt>
                  <c:pt idx="93">
                    <c:v>1.0220305682615433E-10</c:v>
                  </c:pt>
                  <c:pt idx="94">
                    <c:v>1.1905060633160553E-10</c:v>
                  </c:pt>
                  <c:pt idx="95">
                    <c:v>1.1321775116888027E-10</c:v>
                  </c:pt>
                  <c:pt idx="96">
                    <c:v>1.0721972298132369E-10</c:v>
                  </c:pt>
                  <c:pt idx="97">
                    <c:v>1.124279601092526E-10</c:v>
                  </c:pt>
                  <c:pt idx="98">
                    <c:v>1.1088520134016159E-10</c:v>
                  </c:pt>
                  <c:pt idx="99">
                    <c:v>5.1440946089935512E-11</c:v>
                  </c:pt>
                  <c:pt idx="100">
                    <c:v>5.2360328700870976E-11</c:v>
                  </c:pt>
                  <c:pt idx="101">
                    <c:v>4.8444238839932248E-11</c:v>
                  </c:pt>
                  <c:pt idx="102">
                    <c:v>4.1931580912988916E-11</c:v>
                  </c:pt>
                  <c:pt idx="103">
                    <c:v>4.3494005850347778E-11</c:v>
                  </c:pt>
                  <c:pt idx="104">
                    <c:v>4.2088696166951527E-11</c:v>
                  </c:pt>
                  <c:pt idx="105">
                    <c:v>3.7271854507937818E-11</c:v>
                  </c:pt>
                  <c:pt idx="106">
                    <c:v>3.5599068902981263E-11</c:v>
                  </c:pt>
                  <c:pt idx="107">
                    <c:v>3.6965125694189337E-11</c:v>
                  </c:pt>
                  <c:pt idx="108">
                    <c:v>3.6295668536278187E-11</c:v>
                  </c:pt>
                  <c:pt idx="109">
                    <c:v>3.3694797526355211E-11</c:v>
                  </c:pt>
                  <c:pt idx="110">
                    <c:v>3.6640281632119116E-11</c:v>
                  </c:pt>
                  <c:pt idx="111">
                    <c:v>3.5123217786710109E-11</c:v>
                  </c:pt>
                  <c:pt idx="112">
                    <c:v>3.6749512673573042E-11</c:v>
                  </c:pt>
                  <c:pt idx="113">
                    <c:v>4.0742384896471561E-11</c:v>
                  </c:pt>
                  <c:pt idx="114">
                    <c:v>4.0435941123134656E-11</c:v>
                  </c:pt>
                  <c:pt idx="115">
                    <c:v>4.6614279382761494E-11</c:v>
                  </c:pt>
                  <c:pt idx="116">
                    <c:v>4.461397381890524E-11</c:v>
                  </c:pt>
                  <c:pt idx="117">
                    <c:v>5.2205678253921416E-11</c:v>
                  </c:pt>
                  <c:pt idx="118">
                    <c:v>5.7913210976103259E-11</c:v>
                  </c:pt>
                  <c:pt idx="119">
                    <c:v>6.0256674535608533E-11</c:v>
                  </c:pt>
                  <c:pt idx="120">
                    <c:v>6.2292488736983766E-11</c:v>
                  </c:pt>
                  <c:pt idx="121">
                    <c:v>6.4156890587211797E-11</c:v>
                  </c:pt>
                  <c:pt idx="122">
                    <c:v>6.3967793436048013E-11</c:v>
                  </c:pt>
                  <c:pt idx="123">
                    <c:v>6.0219004161421111E-11</c:v>
                  </c:pt>
                  <c:pt idx="124">
                    <c:v>5.6241554735650483E-11</c:v>
                  </c:pt>
                  <c:pt idx="125">
                    <c:v>5.7993115113620275E-11</c:v>
                  </c:pt>
                  <c:pt idx="126">
                    <c:v>5.6482076858379886E-11</c:v>
                  </c:pt>
                  <c:pt idx="127">
                    <c:v>5.0573962507536051E-11</c:v>
                  </c:pt>
                  <c:pt idx="128">
                    <c:v>4.6178320371270837E-11</c:v>
                  </c:pt>
                  <c:pt idx="129">
                    <c:v>4.7903228997418925E-11</c:v>
                  </c:pt>
                  <c:pt idx="130">
                    <c:v>4.9177246705685622E-11</c:v>
                  </c:pt>
                  <c:pt idx="131">
                    <c:v>5.023043852528595E-11</c:v>
                  </c:pt>
                  <c:pt idx="132">
                    <c:v>4.7020255744994527E-11</c:v>
                  </c:pt>
                  <c:pt idx="133">
                    <c:v>4.949151569020003E-11</c:v>
                  </c:pt>
                  <c:pt idx="134">
                    <c:v>5.1962890504364255E-11</c:v>
                  </c:pt>
                  <c:pt idx="135">
                    <c:v>6.0273585545711443E-11</c:v>
                  </c:pt>
                  <c:pt idx="136">
                    <c:v>6.8816334046301349E-11</c:v>
                  </c:pt>
                  <c:pt idx="137">
                    <c:v>6.8411214686684143E-11</c:v>
                  </c:pt>
                  <c:pt idx="138">
                    <c:v>7.6367516263735104E-11</c:v>
                  </c:pt>
                  <c:pt idx="139">
                    <c:v>8.6576627491744978E-11</c:v>
                  </c:pt>
                  <c:pt idx="140">
                    <c:v>8.3664112102318539E-11</c:v>
                  </c:pt>
                  <c:pt idx="141">
                    <c:v>8.54914453614784E-11</c:v>
                  </c:pt>
                  <c:pt idx="142">
                    <c:v>8.2371512138205766E-11</c:v>
                  </c:pt>
                  <c:pt idx="143">
                    <c:v>8.659268344943473E-11</c:v>
                  </c:pt>
                  <c:pt idx="144">
                    <c:v>8.3584404579791202E-11</c:v>
                  </c:pt>
                  <c:pt idx="145">
                    <c:v>7.4562209926497501E-11</c:v>
                  </c:pt>
                  <c:pt idx="146">
                    <c:v>6.5664482769606501E-11</c:v>
                  </c:pt>
                  <c:pt idx="147">
                    <c:v>6.4605406235225307E-11</c:v>
                  </c:pt>
                  <c:pt idx="148">
                    <c:v>6.8308904140139513E-11</c:v>
                  </c:pt>
                  <c:pt idx="149">
                    <c:v>6.6174921825992632E-11</c:v>
                  </c:pt>
                  <c:pt idx="150">
                    <c:v>7.3946354411867796E-11</c:v>
                  </c:pt>
                  <c:pt idx="151">
                    <c:v>7.3587432777880175E-11</c:v>
                  </c:pt>
                  <c:pt idx="152">
                    <c:v>7.5276721214328427E-11</c:v>
                  </c:pt>
                  <c:pt idx="153">
                    <c:v>8.3194424533965177E-11</c:v>
                  </c:pt>
                  <c:pt idx="154">
                    <c:v>8.670477411496598E-11</c:v>
                  </c:pt>
                  <c:pt idx="155">
                    <c:v>9.0459118877240457E-11</c:v>
                  </c:pt>
                  <c:pt idx="156">
                    <c:v>9.8307207816782556E-11</c:v>
                  </c:pt>
                  <c:pt idx="157">
                    <c:v>1.0040941465004865E-10</c:v>
                  </c:pt>
                  <c:pt idx="158">
                    <c:v>1.0394866704387153E-10</c:v>
                  </c:pt>
                  <c:pt idx="159">
                    <c:v>9.6711564404192765E-11</c:v>
                  </c:pt>
                  <c:pt idx="160">
                    <c:v>9.8431231946843232E-11</c:v>
                  </c:pt>
                  <c:pt idx="161">
                    <c:v>9.4318508573339532E-11</c:v>
                  </c:pt>
                  <c:pt idx="162">
                    <c:v>9.0472627845495112E-11</c:v>
                  </c:pt>
                  <c:pt idx="163">
                    <c:v>8.3585477474107007E-11</c:v>
                  </c:pt>
                  <c:pt idx="164">
                    <c:v>8.9930865900368721E-11</c:v>
                  </c:pt>
                  <c:pt idx="165">
                    <c:v>1.0184465102018128E-10</c:v>
                  </c:pt>
                  <c:pt idx="166">
                    <c:v>9.5612157094915012E-11</c:v>
                  </c:pt>
                  <c:pt idx="167">
                    <c:v>1.0869587772218184E-10</c:v>
                  </c:pt>
                  <c:pt idx="168">
                    <c:v>1.0941298177471392E-10</c:v>
                  </c:pt>
                  <c:pt idx="169">
                    <c:v>1.3200553494595275E-10</c:v>
                  </c:pt>
                  <c:pt idx="170">
                    <c:v>5.7191057224638345E-11</c:v>
                  </c:pt>
                  <c:pt idx="171">
                    <c:v>5.5239740908724698E-11</c:v>
                  </c:pt>
                  <c:pt idx="172">
                    <c:v>4.727652343963379E-11</c:v>
                  </c:pt>
                  <c:pt idx="173">
                    <c:v>4.2013301731972439E-11</c:v>
                  </c:pt>
                  <c:pt idx="174">
                    <c:v>4.6322176215741173E-11</c:v>
                  </c:pt>
                  <c:pt idx="175">
                    <c:v>3.8094197825418259E-11</c:v>
                  </c:pt>
                  <c:pt idx="176">
                    <c:v>3.7950145085370075E-11</c:v>
                  </c:pt>
                  <c:pt idx="177">
                    <c:v>3.9032950361789061E-11</c:v>
                  </c:pt>
                  <c:pt idx="178">
                    <c:v>3.6954145096381386E-11</c:v>
                  </c:pt>
                  <c:pt idx="179">
                    <c:v>3.7081712949957424E-11</c:v>
                  </c:pt>
                  <c:pt idx="180">
                    <c:v>4.4538374570850072E-11</c:v>
                  </c:pt>
                  <c:pt idx="181">
                    <c:v>4.5954550970443677E-11</c:v>
                  </c:pt>
                  <c:pt idx="182">
                    <c:v>5.1657006491243098E-11</c:v>
                  </c:pt>
                  <c:pt idx="183">
                    <c:v>5.2228621467755058E-11</c:v>
                  </c:pt>
                  <c:pt idx="184">
                    <c:v>5.2574536888790679E-11</c:v>
                  </c:pt>
                  <c:pt idx="185">
                    <c:v>5.4267216781420883E-11</c:v>
                  </c:pt>
                  <c:pt idx="186">
                    <c:v>4.8810879230562593E-11</c:v>
                  </c:pt>
                  <c:pt idx="187">
                    <c:v>4.7606862588878533E-11</c:v>
                  </c:pt>
                  <c:pt idx="188">
                    <c:v>4.4520750879575847E-11</c:v>
                  </c:pt>
                  <c:pt idx="189">
                    <c:v>4.6925516140574023E-11</c:v>
                  </c:pt>
                  <c:pt idx="190">
                    <c:v>4.7001457119648832E-11</c:v>
                  </c:pt>
                  <c:pt idx="191">
                    <c:v>4.5367541253102077E-11</c:v>
                  </c:pt>
                  <c:pt idx="192">
                    <c:v>5.2782237564199814E-11</c:v>
                  </c:pt>
                  <c:pt idx="193">
                    <c:v>5.4533076354189345E-11</c:v>
                  </c:pt>
                  <c:pt idx="194">
                    <c:v>4.9130456017873118E-11</c:v>
                  </c:pt>
                  <c:pt idx="195">
                    <c:v>5.7824667136188321E-11</c:v>
                  </c:pt>
                  <c:pt idx="196">
                    <c:v>5.8346887404687404E-11</c:v>
                  </c:pt>
                  <c:pt idx="197">
                    <c:v>6.4323412558114407E-11</c:v>
                  </c:pt>
                  <c:pt idx="198">
                    <c:v>6.181277453808629E-11</c:v>
                  </c:pt>
                  <c:pt idx="199">
                    <c:v>5.6329476153297456E-11</c:v>
                  </c:pt>
                  <c:pt idx="200">
                    <c:v>5.3127156479581659E-11</c:v>
                  </c:pt>
                  <c:pt idx="201">
                    <c:v>5.7962004707366305E-11</c:v>
                  </c:pt>
                  <c:pt idx="202">
                    <c:v>5.8010377786916646E-11</c:v>
                  </c:pt>
                  <c:pt idx="203">
                    <c:v>6.0815519603158642E-11</c:v>
                  </c:pt>
                  <c:pt idx="204">
                    <c:v>6.1183543665686896E-11</c:v>
                  </c:pt>
                  <c:pt idx="205">
                    <c:v>6.5882625318356814E-11</c:v>
                  </c:pt>
                  <c:pt idx="206">
                    <c:v>6.243836285266547E-11</c:v>
                  </c:pt>
                  <c:pt idx="207">
                    <c:v>7.807381856696615E-11</c:v>
                  </c:pt>
                  <c:pt idx="208">
                    <c:v>6.6230720821239145E-11</c:v>
                  </c:pt>
                  <c:pt idx="209">
                    <c:v>6.8848555258643053E-11</c:v>
                  </c:pt>
                  <c:pt idx="210">
                    <c:v>6.2698890409980845E-11</c:v>
                  </c:pt>
                  <c:pt idx="211">
                    <c:v>6.8491094388560221E-11</c:v>
                  </c:pt>
                  <c:pt idx="212">
                    <c:v>7.6077218701541992E-11</c:v>
                  </c:pt>
                  <c:pt idx="213">
                    <c:v>8.169231789681988E-11</c:v>
                  </c:pt>
                  <c:pt idx="214">
                    <c:v>7.8641433484253095E-11</c:v>
                  </c:pt>
                  <c:pt idx="215">
                    <c:v>7.9192917238644512E-11</c:v>
                  </c:pt>
                  <c:pt idx="216">
                    <c:v>8.5474861265635222E-11</c:v>
                  </c:pt>
                  <c:pt idx="217">
                    <c:v>8.1223572800494692E-11</c:v>
                  </c:pt>
                  <c:pt idx="218">
                    <c:v>7.2936549692882787E-11</c:v>
                  </c:pt>
                  <c:pt idx="219">
                    <c:v>7.9275423060841264E-11</c:v>
                  </c:pt>
                  <c:pt idx="220">
                    <c:v>8.0658245338582122E-11</c:v>
                  </c:pt>
                  <c:pt idx="221">
                    <c:v>6.893679422590143E-11</c:v>
                  </c:pt>
                  <c:pt idx="222">
                    <c:v>8.5648504821295958E-11</c:v>
                  </c:pt>
                  <c:pt idx="223">
                    <c:v>8.3742147712800758E-11</c:v>
                  </c:pt>
                  <c:pt idx="224">
                    <c:v>9.2997156439217682E-11</c:v>
                  </c:pt>
                  <c:pt idx="225">
                    <c:v>9.5802679951512796E-11</c:v>
                  </c:pt>
                  <c:pt idx="226">
                    <c:v>8.0672935628997352E-11</c:v>
                  </c:pt>
                  <c:pt idx="227">
                    <c:v>8.0964691965958046E-11</c:v>
                  </c:pt>
                  <c:pt idx="228">
                    <c:v>8.5075022720157349E-11</c:v>
                  </c:pt>
                  <c:pt idx="229">
                    <c:v>9.6757260897506428E-11</c:v>
                  </c:pt>
                  <c:pt idx="230">
                    <c:v>9.0378376608307687E-11</c:v>
                  </c:pt>
                  <c:pt idx="231">
                    <c:v>1.0494227472618077E-10</c:v>
                  </c:pt>
                  <c:pt idx="232">
                    <c:v>9.6731044274350225E-11</c:v>
                  </c:pt>
                  <c:pt idx="233">
                    <c:v>9.8598961300812943E-11</c:v>
                  </c:pt>
                  <c:pt idx="234">
                    <c:v>9.9790068058420483E-11</c:v>
                  </c:pt>
                  <c:pt idx="235">
                    <c:v>1.2825415067930386E-10</c:v>
                  </c:pt>
                  <c:pt idx="236">
                    <c:v>1.436640257152741E-10</c:v>
                  </c:pt>
                  <c:pt idx="237">
                    <c:v>1.2537378378113405E-10</c:v>
                  </c:pt>
                  <c:pt idx="238">
                    <c:v>1.5528104320123081E-10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5.3524480158098677E-10</c:v>
                  </c:pt>
                  <c:pt idx="1">
                    <c:v>4.1320208823505365E-10</c:v>
                  </c:pt>
                  <c:pt idx="2">
                    <c:v>3.7853921681492209E-10</c:v>
                  </c:pt>
                  <c:pt idx="3">
                    <c:v>3.5920096323549282E-10</c:v>
                  </c:pt>
                  <c:pt idx="4">
                    <c:v>3.1743763027819442E-10</c:v>
                  </c:pt>
                  <c:pt idx="5">
                    <c:v>3.4857760234660165E-10</c:v>
                  </c:pt>
                  <c:pt idx="6">
                    <c:v>3.4899603680791066E-10</c:v>
                  </c:pt>
                  <c:pt idx="7">
                    <c:v>3.324141882740542E-10</c:v>
                  </c:pt>
                  <c:pt idx="8">
                    <c:v>3.4492205271537889E-10</c:v>
                  </c:pt>
                  <c:pt idx="9">
                    <c:v>3.4519082648429173E-10</c:v>
                  </c:pt>
                  <c:pt idx="10">
                    <c:v>3.8533852574382452E-10</c:v>
                  </c:pt>
                  <c:pt idx="11">
                    <c:v>3.601586096840356E-10</c:v>
                  </c:pt>
                  <c:pt idx="12">
                    <c:v>3.1040943688253577E-10</c:v>
                  </c:pt>
                  <c:pt idx="13">
                    <c:v>2.8836578331309232E-10</c:v>
                  </c:pt>
                  <c:pt idx="14">
                    <c:v>2.8439982314266454E-10</c:v>
                  </c:pt>
                  <c:pt idx="15">
                    <c:v>3.0709680218093284E-10</c:v>
                  </c:pt>
                  <c:pt idx="16">
                    <c:v>3.0561005992060783E-10</c:v>
                  </c:pt>
                  <c:pt idx="17">
                    <c:v>5.4242585143000521E-10</c:v>
                  </c:pt>
                  <c:pt idx="18">
                    <c:v>5.3354060121053177E-10</c:v>
                  </c:pt>
                  <c:pt idx="19">
                    <c:v>5.6034215372490691E-10</c:v>
                  </c:pt>
                  <c:pt idx="20">
                    <c:v>5.8333498324332353E-10</c:v>
                  </c:pt>
                  <c:pt idx="21">
                    <c:v>5.4144462533687269E-10</c:v>
                  </c:pt>
                  <c:pt idx="22">
                    <c:v>5.3061637624191E-10</c:v>
                  </c:pt>
                  <c:pt idx="23">
                    <c:v>5.3138750730129547E-10</c:v>
                  </c:pt>
                  <c:pt idx="24">
                    <c:v>4.503671872162131E-10</c:v>
                  </c:pt>
                  <c:pt idx="25">
                    <c:v>4.4930209072748678E-10</c:v>
                  </c:pt>
                  <c:pt idx="26">
                    <c:v>3.7963138728701933E-10</c:v>
                  </c:pt>
                  <c:pt idx="27">
                    <c:v>2.9762306581587689E-10</c:v>
                  </c:pt>
                  <c:pt idx="28">
                    <c:v>3.0226086837649592E-10</c:v>
                  </c:pt>
                  <c:pt idx="29">
                    <c:v>3.0249655966863307E-10</c:v>
                  </c:pt>
                  <c:pt idx="30">
                    <c:v>2.8981766387179123E-10</c:v>
                  </c:pt>
                  <c:pt idx="31">
                    <c:v>2.7883514283501168E-10</c:v>
                  </c:pt>
                  <c:pt idx="32">
                    <c:v>3.1889601217950409E-10</c:v>
                  </c:pt>
                  <c:pt idx="33">
                    <c:v>1.8351458641748942E-10</c:v>
                  </c:pt>
                  <c:pt idx="34">
                    <c:v>1.6775798206273695E-10</c:v>
                  </c:pt>
                  <c:pt idx="35">
                    <c:v>1.7973435769993155E-10</c:v>
                  </c:pt>
                  <c:pt idx="36">
                    <c:v>1.8014214460259532E-10</c:v>
                  </c:pt>
                  <c:pt idx="37">
                    <c:v>1.6061060373524558E-10</c:v>
                  </c:pt>
                  <c:pt idx="38">
                    <c:v>2.0432650834804256E-10</c:v>
                  </c:pt>
                  <c:pt idx="39">
                    <c:v>1.8178221402708431E-10</c:v>
                  </c:pt>
                  <c:pt idx="40">
                    <c:v>1.8784853518961163E-10</c:v>
                  </c:pt>
                  <c:pt idx="41">
                    <c:v>1.8887787810445218E-10</c:v>
                  </c:pt>
                  <c:pt idx="42">
                    <c:v>1.7466699608469882E-10</c:v>
                  </c:pt>
                  <c:pt idx="43">
                    <c:v>1.5924519041231463E-10</c:v>
                  </c:pt>
                  <c:pt idx="44">
                    <c:v>1.4475896276962064E-10</c:v>
                  </c:pt>
                  <c:pt idx="45">
                    <c:v>1.4438330840463491E-10</c:v>
                  </c:pt>
                  <c:pt idx="46">
                    <c:v>1.3438452891649733E-10</c:v>
                  </c:pt>
                  <c:pt idx="47">
                    <c:v>1.1227803965941892E-10</c:v>
                  </c:pt>
                  <c:pt idx="48">
                    <c:v>1.114424149899756E-10</c:v>
                  </c:pt>
                  <c:pt idx="49">
                    <c:v>1.1579969916717911E-10</c:v>
                  </c:pt>
                  <c:pt idx="50">
                    <c:v>1.0806328876409761E-10</c:v>
                  </c:pt>
                  <c:pt idx="51">
                    <c:v>9.9394635841667556E-11</c:v>
                  </c:pt>
                  <c:pt idx="52">
                    <c:v>9.2640056530804639E-11</c:v>
                  </c:pt>
                  <c:pt idx="53">
                    <c:v>8.9560443965887081E-11</c:v>
                  </c:pt>
                  <c:pt idx="54">
                    <c:v>9.353809783922793E-11</c:v>
                  </c:pt>
                  <c:pt idx="55">
                    <c:v>8.963719668864431E-11</c:v>
                  </c:pt>
                  <c:pt idx="56">
                    <c:v>9.3430110943668044E-11</c:v>
                  </c:pt>
                  <c:pt idx="57">
                    <c:v>1.0544886424382614E-10</c:v>
                  </c:pt>
                  <c:pt idx="58">
                    <c:v>1.1007901049189352E-10</c:v>
                  </c:pt>
                  <c:pt idx="59">
                    <c:v>1.1450139178554395E-10</c:v>
                  </c:pt>
                  <c:pt idx="60">
                    <c:v>7.6683310298801042E-11</c:v>
                  </c:pt>
                  <c:pt idx="61">
                    <c:v>7.5073546559460981E-11</c:v>
                  </c:pt>
                  <c:pt idx="62">
                    <c:v>7.7942854719335102E-11</c:v>
                  </c:pt>
                  <c:pt idx="63">
                    <c:v>8.2981938310172918E-11</c:v>
                  </c:pt>
                  <c:pt idx="64">
                    <c:v>8.4487350328216432E-11</c:v>
                  </c:pt>
                  <c:pt idx="65">
                    <c:v>9.1284968638133245E-11</c:v>
                  </c:pt>
                  <c:pt idx="66">
                    <c:v>9.3515848557230786E-11</c:v>
                  </c:pt>
                  <c:pt idx="67">
                    <c:v>1.2544304185008475E-10</c:v>
                  </c:pt>
                  <c:pt idx="68">
                    <c:v>1.1906746573181931E-10</c:v>
                  </c:pt>
                  <c:pt idx="69">
                    <c:v>1.1292569542992845E-10</c:v>
                  </c:pt>
                  <c:pt idx="70">
                    <c:v>1.2715111959938309E-10</c:v>
                  </c:pt>
                  <c:pt idx="71">
                    <c:v>1.1203518495276573E-10</c:v>
                  </c:pt>
                  <c:pt idx="72">
                    <c:v>1.2669800651700751E-10</c:v>
                  </c:pt>
                  <c:pt idx="73">
                    <c:v>1.0786646886968174E-10</c:v>
                  </c:pt>
                  <c:pt idx="74">
                    <c:v>1.0882550707909428E-10</c:v>
                  </c:pt>
                  <c:pt idx="75">
                    <c:v>9.4250048385030538E-11</c:v>
                  </c:pt>
                  <c:pt idx="76">
                    <c:v>9.9575509172130514E-11</c:v>
                  </c:pt>
                  <c:pt idx="77">
                    <c:v>9.5484930157710868E-11</c:v>
                  </c:pt>
                  <c:pt idx="78">
                    <c:v>9.1089717794415087E-11</c:v>
                  </c:pt>
                  <c:pt idx="79">
                    <c:v>8.664607733405151E-11</c:v>
                  </c:pt>
                  <c:pt idx="80">
                    <c:v>7.7303602704251976E-11</c:v>
                  </c:pt>
                  <c:pt idx="81">
                    <c:v>8.1011132006969482E-11</c:v>
                  </c:pt>
                  <c:pt idx="82">
                    <c:v>7.9889830341324887E-11</c:v>
                  </c:pt>
                  <c:pt idx="83">
                    <c:v>7.1746745602567148E-11</c:v>
                  </c:pt>
                  <c:pt idx="84">
                    <c:v>7.5409863498807816E-11</c:v>
                  </c:pt>
                  <c:pt idx="85">
                    <c:v>7.4780657819821856E-11</c:v>
                  </c:pt>
                  <c:pt idx="86">
                    <c:v>8.5329980667412466E-11</c:v>
                  </c:pt>
                  <c:pt idx="87">
                    <c:v>8.5746607967098395E-11</c:v>
                  </c:pt>
                  <c:pt idx="88">
                    <c:v>7.9147109748338252E-11</c:v>
                  </c:pt>
                  <c:pt idx="89">
                    <c:v>8.2141822263741529E-11</c:v>
                  </c:pt>
                  <c:pt idx="90">
                    <c:v>9.4731150594259396E-11</c:v>
                  </c:pt>
                  <c:pt idx="91">
                    <c:v>9.7615356708747506E-11</c:v>
                  </c:pt>
                  <c:pt idx="92">
                    <c:v>9.8857017993937883E-11</c:v>
                  </c:pt>
                  <c:pt idx="93">
                    <c:v>1.0220305682615433E-10</c:v>
                  </c:pt>
                  <c:pt idx="94">
                    <c:v>1.1905060633160553E-10</c:v>
                  </c:pt>
                  <c:pt idx="95">
                    <c:v>1.1321775116888027E-10</c:v>
                  </c:pt>
                  <c:pt idx="96">
                    <c:v>1.0721972298132369E-10</c:v>
                  </c:pt>
                  <c:pt idx="97">
                    <c:v>1.124279601092526E-10</c:v>
                  </c:pt>
                  <c:pt idx="98">
                    <c:v>1.1088520134016159E-10</c:v>
                  </c:pt>
                  <c:pt idx="99">
                    <c:v>5.1440946089935512E-11</c:v>
                  </c:pt>
                  <c:pt idx="100">
                    <c:v>5.2360328700870976E-11</c:v>
                  </c:pt>
                  <c:pt idx="101">
                    <c:v>4.8444238839932248E-11</c:v>
                  </c:pt>
                  <c:pt idx="102">
                    <c:v>4.1931580912988916E-11</c:v>
                  </c:pt>
                  <c:pt idx="103">
                    <c:v>4.3494005850347778E-11</c:v>
                  </c:pt>
                  <c:pt idx="104">
                    <c:v>4.2088696166951527E-11</c:v>
                  </c:pt>
                  <c:pt idx="105">
                    <c:v>3.7271854507937818E-11</c:v>
                  </c:pt>
                  <c:pt idx="106">
                    <c:v>3.5599068902981263E-11</c:v>
                  </c:pt>
                  <c:pt idx="107">
                    <c:v>3.6965125694189337E-11</c:v>
                  </c:pt>
                  <c:pt idx="108">
                    <c:v>3.6295668536278187E-11</c:v>
                  </c:pt>
                  <c:pt idx="109">
                    <c:v>3.3694797526355211E-11</c:v>
                  </c:pt>
                  <c:pt idx="110">
                    <c:v>3.6640281632119116E-11</c:v>
                  </c:pt>
                  <c:pt idx="111">
                    <c:v>3.5123217786710109E-11</c:v>
                  </c:pt>
                  <c:pt idx="112">
                    <c:v>3.6749512673573042E-11</c:v>
                  </c:pt>
                  <c:pt idx="113">
                    <c:v>4.0742384896471561E-11</c:v>
                  </c:pt>
                  <c:pt idx="114">
                    <c:v>4.0435941123134656E-11</c:v>
                  </c:pt>
                  <c:pt idx="115">
                    <c:v>4.6614279382761494E-11</c:v>
                  </c:pt>
                  <c:pt idx="116">
                    <c:v>4.461397381890524E-11</c:v>
                  </c:pt>
                  <c:pt idx="117">
                    <c:v>5.2205678253921416E-11</c:v>
                  </c:pt>
                  <c:pt idx="118">
                    <c:v>5.7913210976103259E-11</c:v>
                  </c:pt>
                  <c:pt idx="119">
                    <c:v>6.0256674535608533E-11</c:v>
                  </c:pt>
                  <c:pt idx="120">
                    <c:v>6.2292488736983766E-11</c:v>
                  </c:pt>
                  <c:pt idx="121">
                    <c:v>6.4156890587211797E-11</c:v>
                  </c:pt>
                  <c:pt idx="122">
                    <c:v>6.3967793436048013E-11</c:v>
                  </c:pt>
                  <c:pt idx="123">
                    <c:v>6.0219004161421111E-11</c:v>
                  </c:pt>
                  <c:pt idx="124">
                    <c:v>5.6241554735650483E-11</c:v>
                  </c:pt>
                  <c:pt idx="125">
                    <c:v>5.7993115113620275E-11</c:v>
                  </c:pt>
                  <c:pt idx="126">
                    <c:v>5.6482076858379886E-11</c:v>
                  </c:pt>
                  <c:pt idx="127">
                    <c:v>5.0573962507536051E-11</c:v>
                  </c:pt>
                  <c:pt idx="128">
                    <c:v>4.6178320371270837E-11</c:v>
                  </c:pt>
                  <c:pt idx="129">
                    <c:v>4.7903228997418925E-11</c:v>
                  </c:pt>
                  <c:pt idx="130">
                    <c:v>4.9177246705685622E-11</c:v>
                  </c:pt>
                  <c:pt idx="131">
                    <c:v>5.023043852528595E-11</c:v>
                  </c:pt>
                  <c:pt idx="132">
                    <c:v>4.7020255744994527E-11</c:v>
                  </c:pt>
                  <c:pt idx="133">
                    <c:v>4.949151569020003E-11</c:v>
                  </c:pt>
                  <c:pt idx="134">
                    <c:v>5.1962890504364255E-11</c:v>
                  </c:pt>
                  <c:pt idx="135">
                    <c:v>6.0273585545711443E-11</c:v>
                  </c:pt>
                  <c:pt idx="136">
                    <c:v>6.8816334046301349E-11</c:v>
                  </c:pt>
                  <c:pt idx="137">
                    <c:v>6.8411214686684143E-11</c:v>
                  </c:pt>
                  <c:pt idx="138">
                    <c:v>7.6367516263735104E-11</c:v>
                  </c:pt>
                  <c:pt idx="139">
                    <c:v>8.6576627491744978E-11</c:v>
                  </c:pt>
                  <c:pt idx="140">
                    <c:v>8.3664112102318539E-11</c:v>
                  </c:pt>
                  <c:pt idx="141">
                    <c:v>8.54914453614784E-11</c:v>
                  </c:pt>
                  <c:pt idx="142">
                    <c:v>8.2371512138205766E-11</c:v>
                  </c:pt>
                  <c:pt idx="143">
                    <c:v>8.659268344943473E-11</c:v>
                  </c:pt>
                  <c:pt idx="144">
                    <c:v>8.3584404579791202E-11</c:v>
                  </c:pt>
                  <c:pt idx="145">
                    <c:v>7.4562209926497501E-11</c:v>
                  </c:pt>
                  <c:pt idx="146">
                    <c:v>6.5664482769606501E-11</c:v>
                  </c:pt>
                  <c:pt idx="147">
                    <c:v>6.4605406235225307E-11</c:v>
                  </c:pt>
                  <c:pt idx="148">
                    <c:v>6.8308904140139513E-11</c:v>
                  </c:pt>
                  <c:pt idx="149">
                    <c:v>6.6174921825992632E-11</c:v>
                  </c:pt>
                  <c:pt idx="150">
                    <c:v>7.3946354411867796E-11</c:v>
                  </c:pt>
                  <c:pt idx="151">
                    <c:v>7.3587432777880175E-11</c:v>
                  </c:pt>
                  <c:pt idx="152">
                    <c:v>7.5276721214328427E-11</c:v>
                  </c:pt>
                  <c:pt idx="153">
                    <c:v>8.3194424533965177E-11</c:v>
                  </c:pt>
                  <c:pt idx="154">
                    <c:v>8.670477411496598E-11</c:v>
                  </c:pt>
                  <c:pt idx="155">
                    <c:v>9.0459118877240457E-11</c:v>
                  </c:pt>
                  <c:pt idx="156">
                    <c:v>9.8307207816782556E-11</c:v>
                  </c:pt>
                  <c:pt idx="157">
                    <c:v>1.0040941465004865E-10</c:v>
                  </c:pt>
                  <c:pt idx="158">
                    <c:v>1.0394866704387153E-10</c:v>
                  </c:pt>
                  <c:pt idx="159">
                    <c:v>9.6711564404192765E-11</c:v>
                  </c:pt>
                  <c:pt idx="160">
                    <c:v>9.8431231946843232E-11</c:v>
                  </c:pt>
                  <c:pt idx="161">
                    <c:v>9.4318508573339532E-11</c:v>
                  </c:pt>
                  <c:pt idx="162">
                    <c:v>9.0472627845495112E-11</c:v>
                  </c:pt>
                  <c:pt idx="163">
                    <c:v>8.3585477474107007E-11</c:v>
                  </c:pt>
                  <c:pt idx="164">
                    <c:v>8.9930865900368721E-11</c:v>
                  </c:pt>
                  <c:pt idx="165">
                    <c:v>1.0184465102018128E-10</c:v>
                  </c:pt>
                  <c:pt idx="166">
                    <c:v>9.5612157094915012E-11</c:v>
                  </c:pt>
                  <c:pt idx="167">
                    <c:v>1.0869587772218184E-10</c:v>
                  </c:pt>
                  <c:pt idx="168">
                    <c:v>1.0941298177471392E-10</c:v>
                  </c:pt>
                  <c:pt idx="169">
                    <c:v>1.3200553494595275E-10</c:v>
                  </c:pt>
                  <c:pt idx="170">
                    <c:v>5.7191057224638345E-11</c:v>
                  </c:pt>
                  <c:pt idx="171">
                    <c:v>5.5239740908724698E-11</c:v>
                  </c:pt>
                  <c:pt idx="172">
                    <c:v>4.727652343963379E-11</c:v>
                  </c:pt>
                  <c:pt idx="173">
                    <c:v>4.2013301731972439E-11</c:v>
                  </c:pt>
                  <c:pt idx="174">
                    <c:v>4.6322176215741173E-11</c:v>
                  </c:pt>
                  <c:pt idx="175">
                    <c:v>3.8094197825418259E-11</c:v>
                  </c:pt>
                  <c:pt idx="176">
                    <c:v>3.7950145085370075E-11</c:v>
                  </c:pt>
                  <c:pt idx="177">
                    <c:v>3.9032950361789061E-11</c:v>
                  </c:pt>
                  <c:pt idx="178">
                    <c:v>3.6954145096381386E-11</c:v>
                  </c:pt>
                  <c:pt idx="179">
                    <c:v>3.7081712949957424E-11</c:v>
                  </c:pt>
                  <c:pt idx="180">
                    <c:v>4.4538374570850072E-11</c:v>
                  </c:pt>
                  <c:pt idx="181">
                    <c:v>4.5954550970443677E-11</c:v>
                  </c:pt>
                  <c:pt idx="182">
                    <c:v>5.1657006491243098E-11</c:v>
                  </c:pt>
                  <c:pt idx="183">
                    <c:v>5.2228621467755058E-11</c:v>
                  </c:pt>
                  <c:pt idx="184">
                    <c:v>5.2574536888790679E-11</c:v>
                  </c:pt>
                  <c:pt idx="185">
                    <c:v>5.4267216781420883E-11</c:v>
                  </c:pt>
                  <c:pt idx="186">
                    <c:v>4.8810879230562593E-11</c:v>
                  </c:pt>
                  <c:pt idx="187">
                    <c:v>4.7606862588878533E-11</c:v>
                  </c:pt>
                  <c:pt idx="188">
                    <c:v>4.4520750879575847E-11</c:v>
                  </c:pt>
                  <c:pt idx="189">
                    <c:v>4.6925516140574023E-11</c:v>
                  </c:pt>
                  <c:pt idx="190">
                    <c:v>4.7001457119648832E-11</c:v>
                  </c:pt>
                  <c:pt idx="191">
                    <c:v>4.5367541253102077E-11</c:v>
                  </c:pt>
                  <c:pt idx="192">
                    <c:v>5.2782237564199814E-11</c:v>
                  </c:pt>
                  <c:pt idx="193">
                    <c:v>5.4533076354189345E-11</c:v>
                  </c:pt>
                  <c:pt idx="194">
                    <c:v>4.9130456017873118E-11</c:v>
                  </c:pt>
                  <c:pt idx="195">
                    <c:v>5.7824667136188321E-11</c:v>
                  </c:pt>
                  <c:pt idx="196">
                    <c:v>5.8346887404687404E-11</c:v>
                  </c:pt>
                  <c:pt idx="197">
                    <c:v>6.4323412558114407E-11</c:v>
                  </c:pt>
                  <c:pt idx="198">
                    <c:v>6.181277453808629E-11</c:v>
                  </c:pt>
                  <c:pt idx="199">
                    <c:v>5.6329476153297456E-11</c:v>
                  </c:pt>
                  <c:pt idx="200">
                    <c:v>5.3127156479581659E-11</c:v>
                  </c:pt>
                  <c:pt idx="201">
                    <c:v>5.7962004707366305E-11</c:v>
                  </c:pt>
                  <c:pt idx="202">
                    <c:v>5.8010377786916646E-11</c:v>
                  </c:pt>
                  <c:pt idx="203">
                    <c:v>6.0815519603158642E-11</c:v>
                  </c:pt>
                  <c:pt idx="204">
                    <c:v>6.1183543665686896E-11</c:v>
                  </c:pt>
                  <c:pt idx="205">
                    <c:v>6.5882625318356814E-11</c:v>
                  </c:pt>
                  <c:pt idx="206">
                    <c:v>6.243836285266547E-11</c:v>
                  </c:pt>
                  <c:pt idx="207">
                    <c:v>7.807381856696615E-11</c:v>
                  </c:pt>
                  <c:pt idx="208">
                    <c:v>6.6230720821239145E-11</c:v>
                  </c:pt>
                  <c:pt idx="209">
                    <c:v>6.8848555258643053E-11</c:v>
                  </c:pt>
                  <c:pt idx="210">
                    <c:v>6.2698890409980845E-11</c:v>
                  </c:pt>
                  <c:pt idx="211">
                    <c:v>6.8491094388560221E-11</c:v>
                  </c:pt>
                  <c:pt idx="212">
                    <c:v>7.6077218701541992E-11</c:v>
                  </c:pt>
                  <c:pt idx="213">
                    <c:v>8.169231789681988E-11</c:v>
                  </c:pt>
                  <c:pt idx="214">
                    <c:v>7.8641433484253095E-11</c:v>
                  </c:pt>
                  <c:pt idx="215">
                    <c:v>7.9192917238644512E-11</c:v>
                  </c:pt>
                  <c:pt idx="216">
                    <c:v>8.5474861265635222E-11</c:v>
                  </c:pt>
                  <c:pt idx="217">
                    <c:v>8.1223572800494692E-11</c:v>
                  </c:pt>
                  <c:pt idx="218">
                    <c:v>7.2936549692882787E-11</c:v>
                  </c:pt>
                  <c:pt idx="219">
                    <c:v>7.9275423060841264E-11</c:v>
                  </c:pt>
                  <c:pt idx="220">
                    <c:v>8.0658245338582122E-11</c:v>
                  </c:pt>
                  <c:pt idx="221">
                    <c:v>6.893679422590143E-11</c:v>
                  </c:pt>
                  <c:pt idx="222">
                    <c:v>8.5648504821295958E-11</c:v>
                  </c:pt>
                  <c:pt idx="223">
                    <c:v>8.3742147712800758E-11</c:v>
                  </c:pt>
                  <c:pt idx="224">
                    <c:v>9.2997156439217682E-11</c:v>
                  </c:pt>
                  <c:pt idx="225">
                    <c:v>9.5802679951512796E-11</c:v>
                  </c:pt>
                  <c:pt idx="226">
                    <c:v>8.0672935628997352E-11</c:v>
                  </c:pt>
                  <c:pt idx="227">
                    <c:v>8.0964691965958046E-11</c:v>
                  </c:pt>
                  <c:pt idx="228">
                    <c:v>8.5075022720157349E-11</c:v>
                  </c:pt>
                  <c:pt idx="229">
                    <c:v>9.6757260897506428E-11</c:v>
                  </c:pt>
                  <c:pt idx="230">
                    <c:v>9.0378376608307687E-11</c:v>
                  </c:pt>
                  <c:pt idx="231">
                    <c:v>1.0494227472618077E-10</c:v>
                  </c:pt>
                  <c:pt idx="232">
                    <c:v>9.6731044274350225E-11</c:v>
                  </c:pt>
                  <c:pt idx="233">
                    <c:v>9.8598961300812943E-11</c:v>
                  </c:pt>
                  <c:pt idx="234">
                    <c:v>9.9790068058420483E-11</c:v>
                  </c:pt>
                  <c:pt idx="235">
                    <c:v>1.2825415067930386E-10</c:v>
                  </c:pt>
                  <c:pt idx="236">
                    <c:v>1.436640257152741E-10</c:v>
                  </c:pt>
                  <c:pt idx="237">
                    <c:v>1.2537378378113405E-10</c:v>
                  </c:pt>
                  <c:pt idx="238">
                    <c:v>1.5528104320123081E-10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7.9418057448799994E-3</c:v>
                </c:pt>
                <c:pt idx="1">
                  <c:v>8.0212238023300002E-3</c:v>
                </c:pt>
                <c:pt idx="2">
                  <c:v>8.1014360403499994E-3</c:v>
                </c:pt>
                <c:pt idx="3">
                  <c:v>8.1824504007600007E-3</c:v>
                </c:pt>
                <c:pt idx="4">
                  <c:v>8.2642749047700005E-3</c:v>
                </c:pt>
                <c:pt idx="5">
                  <c:v>8.3469176538099998E-3</c:v>
                </c:pt>
                <c:pt idx="6">
                  <c:v>8.4303868303500003E-3</c:v>
                </c:pt>
                <c:pt idx="7">
                  <c:v>8.5146906986500008E-3</c:v>
                </c:pt>
                <c:pt idx="8">
                  <c:v>8.5998376056400008E-3</c:v>
                </c:pt>
                <c:pt idx="9">
                  <c:v>8.6858359817000002E-3</c:v>
                </c:pt>
                <c:pt idx="10">
                  <c:v>8.7726943415100001E-3</c:v>
                </c:pt>
                <c:pt idx="11">
                  <c:v>8.86042128493E-3</c:v>
                </c:pt>
                <c:pt idx="12">
                  <c:v>8.9490254977800006E-3</c:v>
                </c:pt>
                <c:pt idx="13">
                  <c:v>9.0385157527600006E-3</c:v>
                </c:pt>
                <c:pt idx="14">
                  <c:v>9.1289009102799995E-3</c:v>
                </c:pt>
                <c:pt idx="15">
                  <c:v>9.2201899193900001E-3</c:v>
                </c:pt>
                <c:pt idx="16">
                  <c:v>9.3123918185800004E-3</c:v>
                </c:pt>
                <c:pt idx="17">
                  <c:v>9.4055157367700006E-3</c:v>
                </c:pt>
                <c:pt idx="18">
                  <c:v>9.4995708941299998E-3</c:v>
                </c:pt>
                <c:pt idx="19">
                  <c:v>9.5945666030799997E-3</c:v>
                </c:pt>
                <c:pt idx="20">
                  <c:v>9.69051226911E-3</c:v>
                </c:pt>
                <c:pt idx="21">
                  <c:v>9.7874173918000001E-3</c:v>
                </c:pt>
                <c:pt idx="22">
                  <c:v>9.8852915657199995E-3</c:v>
                </c:pt>
                <c:pt idx="23">
                  <c:v>9.9841444813699998E-3</c:v>
                </c:pt>
                <c:pt idx="24">
                  <c:v>1.0083985926200001E-2</c:v>
                </c:pt>
                <c:pt idx="25">
                  <c:v>1.01848257854E-2</c:v>
                </c:pt>
                <c:pt idx="26">
                  <c:v>1.02866740433E-2</c:v>
                </c:pt>
                <c:pt idx="27">
                  <c:v>1.03895407837E-2</c:v>
                </c:pt>
                <c:pt idx="28">
                  <c:v>1.04934361916E-2</c:v>
                </c:pt>
                <c:pt idx="29">
                  <c:v>1.05983705535E-2</c:v>
                </c:pt>
                <c:pt idx="30">
                  <c:v>1.0704354259E-2</c:v>
                </c:pt>
                <c:pt idx="31">
                  <c:v>1.08113978016E-2</c:v>
                </c:pt>
                <c:pt idx="32">
                  <c:v>1.0919511779600001E-2</c:v>
                </c:pt>
                <c:pt idx="33">
                  <c:v>1.1028706897400001E-2</c:v>
                </c:pt>
                <c:pt idx="34">
                  <c:v>1.11389939664E-2</c:v>
                </c:pt>
                <c:pt idx="35">
                  <c:v>1.12503839061E-2</c:v>
                </c:pt>
                <c:pt idx="36">
                  <c:v>1.1362887745099999E-2</c:v>
                </c:pt>
                <c:pt idx="37">
                  <c:v>1.14765166226E-2</c:v>
                </c:pt>
                <c:pt idx="38">
                  <c:v>1.1591281788799999E-2</c:v>
                </c:pt>
                <c:pt idx="39">
                  <c:v>1.17071946067E-2</c:v>
                </c:pt>
                <c:pt idx="40">
                  <c:v>1.18242665528E-2</c:v>
                </c:pt>
                <c:pt idx="41">
                  <c:v>1.19425092183E-2</c:v>
                </c:pt>
                <c:pt idx="42">
                  <c:v>1.2061934310500001E-2</c:v>
                </c:pt>
                <c:pt idx="43">
                  <c:v>1.2182553653599999E-2</c:v>
                </c:pt>
                <c:pt idx="44">
                  <c:v>1.2304379190100001E-2</c:v>
                </c:pt>
                <c:pt idx="45">
                  <c:v>1.2427422981999999E-2</c:v>
                </c:pt>
                <c:pt idx="46">
                  <c:v>1.25516972118E-2</c:v>
                </c:pt>
                <c:pt idx="47">
                  <c:v>1.26772141839E-2</c:v>
                </c:pt>
                <c:pt idx="48">
                  <c:v>1.28039863258E-2</c:v>
                </c:pt>
                <c:pt idx="49">
                  <c:v>1.2932026189000001E-2</c:v>
                </c:pt>
                <c:pt idx="50">
                  <c:v>1.3061346450899999E-2</c:v>
                </c:pt>
                <c:pt idx="51">
                  <c:v>1.31919599154E-2</c:v>
                </c:pt>
                <c:pt idx="52">
                  <c:v>1.33238795146E-2</c:v>
                </c:pt>
                <c:pt idx="53">
                  <c:v>1.3457118309700001E-2</c:v>
                </c:pt>
                <c:pt idx="54">
                  <c:v>1.3591689492799999E-2</c:v>
                </c:pt>
                <c:pt idx="55">
                  <c:v>1.37276063878E-2</c:v>
                </c:pt>
                <c:pt idx="56">
                  <c:v>1.3864882451600001E-2</c:v>
                </c:pt>
                <c:pt idx="57">
                  <c:v>1.40035312762E-2</c:v>
                </c:pt>
                <c:pt idx="58">
                  <c:v>1.41435665889E-2</c:v>
                </c:pt>
                <c:pt idx="59">
                  <c:v>1.42850022548E-2</c:v>
                </c:pt>
                <c:pt idx="60">
                  <c:v>1.44278522774E-2</c:v>
                </c:pt>
                <c:pt idx="61">
                  <c:v>1.4572130800099999E-2</c:v>
                </c:pt>
                <c:pt idx="62">
                  <c:v>1.4717852108099999E-2</c:v>
                </c:pt>
                <c:pt idx="63">
                  <c:v>1.4865030629200001E-2</c:v>
                </c:pt>
                <c:pt idx="64">
                  <c:v>1.50136809355E-2</c:v>
                </c:pt>
                <c:pt idx="65">
                  <c:v>1.5163817744900001E-2</c:v>
                </c:pt>
                <c:pt idx="66">
                  <c:v>1.5315455922300001E-2</c:v>
                </c:pt>
                <c:pt idx="67">
                  <c:v>1.54686104815E-2</c:v>
                </c:pt>
                <c:pt idx="68">
                  <c:v>1.56232965864E-2</c:v>
                </c:pt>
                <c:pt idx="69">
                  <c:v>1.5779529552200001E-2</c:v>
                </c:pt>
                <c:pt idx="70">
                  <c:v>1.59373248477E-2</c:v>
                </c:pt>
                <c:pt idx="71">
                  <c:v>1.6096698096199999E-2</c:v>
                </c:pt>
                <c:pt idx="72">
                  <c:v>1.6257665077200001E-2</c:v>
                </c:pt>
                <c:pt idx="73">
                  <c:v>1.6420241727999999E-2</c:v>
                </c:pt>
                <c:pt idx="74">
                  <c:v>1.6584444145200002E-2</c:v>
                </c:pt>
                <c:pt idx="75">
                  <c:v>1.67502885867E-2</c:v>
                </c:pt>
                <c:pt idx="76">
                  <c:v>1.6917791472599999E-2</c:v>
                </c:pt>
                <c:pt idx="77">
                  <c:v>1.7086969387300002E-2</c:v>
                </c:pt>
                <c:pt idx="78">
                  <c:v>1.7257839081199999E-2</c:v>
                </c:pt>
                <c:pt idx="79">
                  <c:v>1.7430417472000002E-2</c:v>
                </c:pt>
                <c:pt idx="80">
                  <c:v>1.7604721646699999E-2</c:v>
                </c:pt>
                <c:pt idx="81">
                  <c:v>1.77807688631E-2</c:v>
                </c:pt>
                <c:pt idx="82">
                  <c:v>1.7958576551799998E-2</c:v>
                </c:pt>
                <c:pt idx="83">
                  <c:v>1.8138162317300002E-2</c:v>
                </c:pt>
                <c:pt idx="84">
                  <c:v>1.8319543940500001E-2</c:v>
                </c:pt>
                <c:pt idx="85">
                  <c:v>1.8502739379900001E-2</c:v>
                </c:pt>
                <c:pt idx="86">
                  <c:v>1.8687766773700001E-2</c:v>
                </c:pt>
                <c:pt idx="87">
                  <c:v>1.8874644441399999E-2</c:v>
                </c:pt>
                <c:pt idx="88">
                  <c:v>1.9063390885799999E-2</c:v>
                </c:pt>
                <c:pt idx="89">
                  <c:v>1.9254024794699998E-2</c:v>
                </c:pt>
                <c:pt idx="90">
                  <c:v>1.9446565042599999E-2</c:v>
                </c:pt>
                <c:pt idx="91">
                  <c:v>1.9641030693100001E-2</c:v>
                </c:pt>
                <c:pt idx="92">
                  <c:v>1.9837441000000001E-2</c:v>
                </c:pt>
                <c:pt idx="93">
                  <c:v>2.0035815410000001E-2</c:v>
                </c:pt>
                <c:pt idx="94">
                  <c:v>2.0236173564099999E-2</c:v>
                </c:pt>
                <c:pt idx="95">
                  <c:v>2.0438535299700002E-2</c:v>
                </c:pt>
                <c:pt idx="96">
                  <c:v>2.06429206527E-2</c:v>
                </c:pt>
                <c:pt idx="97">
                  <c:v>2.0849349859299999E-2</c:v>
                </c:pt>
                <c:pt idx="98">
                  <c:v>2.1057843357800001E-2</c:v>
                </c:pt>
                <c:pt idx="99">
                  <c:v>2.12684217914E-2</c:v>
                </c:pt>
                <c:pt idx="100">
                  <c:v>2.1481106009300002E-2</c:v>
                </c:pt>
                <c:pt idx="101">
                  <c:v>2.1695917069400002E-2</c:v>
                </c:pt>
                <c:pt idx="102">
                  <c:v>2.19128762401E-2</c:v>
                </c:pt>
                <c:pt idx="103">
                  <c:v>2.21320050025E-2</c:v>
                </c:pt>
                <c:pt idx="104">
                  <c:v>2.2353325052600001E-2</c:v>
                </c:pt>
                <c:pt idx="105">
                  <c:v>2.2576858303100002E-2</c:v>
                </c:pt>
                <c:pt idx="106">
                  <c:v>2.2802626886099998E-2</c:v>
                </c:pt>
                <c:pt idx="107">
                  <c:v>2.3030653155000001E-2</c:v>
                </c:pt>
                <c:pt idx="108">
                  <c:v>2.32609596865E-2</c:v>
                </c:pt>
                <c:pt idx="109">
                  <c:v>2.34935692834E-2</c:v>
                </c:pt>
                <c:pt idx="110">
                  <c:v>2.37285049762E-2</c:v>
                </c:pt>
                <c:pt idx="111">
                  <c:v>2.3965790026000001E-2</c:v>
                </c:pt>
                <c:pt idx="112">
                  <c:v>2.42054479262E-2</c:v>
                </c:pt>
                <c:pt idx="113">
                  <c:v>2.4447502405500001E-2</c:v>
                </c:pt>
                <c:pt idx="114">
                  <c:v>2.4691977429599998E-2</c:v>
                </c:pt>
                <c:pt idx="115">
                  <c:v>2.4938897203899999E-2</c:v>
                </c:pt>
                <c:pt idx="116">
                  <c:v>2.51882861759E-2</c:v>
                </c:pt>
                <c:pt idx="117">
                  <c:v>2.5440169037600002E-2</c:v>
                </c:pt>
                <c:pt idx="118">
                  <c:v>2.5694570728E-2</c:v>
                </c:pt>
                <c:pt idx="119">
                  <c:v>2.5951516435299998E-2</c:v>
                </c:pt>
                <c:pt idx="120">
                  <c:v>2.6211031599700001E-2</c:v>
                </c:pt>
                <c:pt idx="121">
                  <c:v>2.6473141915700001E-2</c:v>
                </c:pt>
                <c:pt idx="122">
                  <c:v>2.6737873334799999E-2</c:v>
                </c:pt>
                <c:pt idx="123">
                  <c:v>2.7005252068200002E-2</c:v>
                </c:pt>
                <c:pt idx="124">
                  <c:v>2.7275304588799999E-2</c:v>
                </c:pt>
                <c:pt idx="125">
                  <c:v>2.7548057634700002E-2</c:v>
                </c:pt>
                <c:pt idx="126">
                  <c:v>2.78235382111E-2</c:v>
                </c:pt>
                <c:pt idx="127">
                  <c:v>2.81017735932E-2</c:v>
                </c:pt>
                <c:pt idx="128">
                  <c:v>2.8382791329100002E-2</c:v>
                </c:pt>
                <c:pt idx="129">
                  <c:v>2.86666192424E-2</c:v>
                </c:pt>
                <c:pt idx="130">
                  <c:v>2.89532854348E-2</c:v>
                </c:pt>
                <c:pt idx="131">
                  <c:v>2.9242818289200001E-2</c:v>
                </c:pt>
                <c:pt idx="132">
                  <c:v>2.9535246472099999E-2</c:v>
                </c:pt>
                <c:pt idx="133">
                  <c:v>2.9830598936799999E-2</c:v>
                </c:pt>
                <c:pt idx="134">
                  <c:v>3.01289049262E-2</c:v>
                </c:pt>
                <c:pt idx="135">
                  <c:v>3.0430193975400002E-2</c:v>
                </c:pt>
                <c:pt idx="136">
                  <c:v>3.07344959152E-2</c:v>
                </c:pt>
                <c:pt idx="137">
                  <c:v>3.1041840874300002E-2</c:v>
                </c:pt>
                <c:pt idx="138">
                  <c:v>3.1352259283100002E-2</c:v>
                </c:pt>
                <c:pt idx="139">
                  <c:v>3.1665781875900002E-2</c:v>
                </c:pt>
                <c:pt idx="140">
                  <c:v>3.19824396947E-2</c:v>
                </c:pt>
                <c:pt idx="141">
                  <c:v>3.2302264091600003E-2</c:v>
                </c:pt>
                <c:pt idx="142">
                  <c:v>3.2625286732500001E-2</c:v>
                </c:pt>
                <c:pt idx="143">
                  <c:v>3.29515395999E-2</c:v>
                </c:pt>
                <c:pt idx="144">
                  <c:v>3.3281054995899999E-2</c:v>
                </c:pt>
                <c:pt idx="145">
                  <c:v>3.3613865545800002E-2</c:v>
                </c:pt>
                <c:pt idx="146">
                  <c:v>3.3950004201300003E-2</c:v>
                </c:pt>
                <c:pt idx="147">
                  <c:v>3.4289504243299997E-2</c:v>
                </c:pt>
                <c:pt idx="148">
                  <c:v>3.46323992857E-2</c:v>
                </c:pt>
                <c:pt idx="149">
                  <c:v>3.49787232786E-2</c:v>
                </c:pt>
                <c:pt idx="150">
                  <c:v>3.5328510511399999E-2</c:v>
                </c:pt>
                <c:pt idx="151">
                  <c:v>3.5681795616499999E-2</c:v>
                </c:pt>
                <c:pt idx="152">
                  <c:v>3.6038613572599999E-2</c:v>
                </c:pt>
                <c:pt idx="153">
                  <c:v>3.63989997084E-2</c:v>
                </c:pt>
                <c:pt idx="154">
                  <c:v>3.6762989705399998E-2</c:v>
                </c:pt>
                <c:pt idx="155">
                  <c:v>3.7130619602499998E-2</c:v>
                </c:pt>
                <c:pt idx="156">
                  <c:v>3.7501925798500001E-2</c:v>
                </c:pt>
                <c:pt idx="157">
                  <c:v>3.7876945056500001E-2</c:v>
                </c:pt>
                <c:pt idx="158">
                  <c:v>3.8255714507099997E-2</c:v>
                </c:pt>
                <c:pt idx="159">
                  <c:v>3.8638271652100001E-2</c:v>
                </c:pt>
                <c:pt idx="160">
                  <c:v>3.90246543687E-2</c:v>
                </c:pt>
                <c:pt idx="161">
                  <c:v>3.9414900912399999E-2</c:v>
                </c:pt>
                <c:pt idx="162">
                  <c:v>3.98090499215E-2</c:v>
                </c:pt>
                <c:pt idx="163">
                  <c:v>4.0207140420699998E-2</c:v>
                </c:pt>
                <c:pt idx="164">
                  <c:v>4.0609211824900002E-2</c:v>
                </c:pt>
                <c:pt idx="165">
                  <c:v>4.1015303943099997E-2</c:v>
                </c:pt>
                <c:pt idx="166">
                  <c:v>4.1425456982600001E-2</c:v>
                </c:pt>
                <c:pt idx="167">
                  <c:v>4.1839711552400002E-2</c:v>
                </c:pt>
                <c:pt idx="168">
                  <c:v>4.2258108667900002E-2</c:v>
                </c:pt>
                <c:pt idx="169">
                  <c:v>4.2680689754600001E-2</c:v>
                </c:pt>
                <c:pt idx="170">
                  <c:v>4.3107496652199997E-2</c:v>
                </c:pt>
                <c:pt idx="171">
                  <c:v>4.3538571618699999E-2</c:v>
                </c:pt>
                <c:pt idx="172">
                  <c:v>4.3973957334899998E-2</c:v>
                </c:pt>
                <c:pt idx="173">
                  <c:v>4.4413696908199997E-2</c:v>
                </c:pt>
                <c:pt idx="174">
                  <c:v>4.4857833877300003E-2</c:v>
                </c:pt>
                <c:pt idx="175">
                  <c:v>4.5306412216100003E-2</c:v>
                </c:pt>
                <c:pt idx="176">
                  <c:v>4.5759476338200003E-2</c:v>
                </c:pt>
                <c:pt idx="177">
                  <c:v>4.6217071101599998E-2</c:v>
                </c:pt>
                <c:pt idx="178">
                  <c:v>4.6679241812599997E-2</c:v>
                </c:pt>
                <c:pt idx="179">
                  <c:v>4.71460342308E-2</c:v>
                </c:pt>
                <c:pt idx="180">
                  <c:v>4.7617494573100001E-2</c:v>
                </c:pt>
                <c:pt idx="181">
                  <c:v>4.8093669518800002E-2</c:v>
                </c:pt>
                <c:pt idx="182">
                  <c:v>4.8574606213999998E-2</c:v>
                </c:pt>
                <c:pt idx="183">
                  <c:v>4.9060352276099999E-2</c:v>
                </c:pt>
                <c:pt idx="184">
                  <c:v>4.9550955798900002E-2</c:v>
                </c:pt>
                <c:pt idx="185">
                  <c:v>5.0046465356900001E-2</c:v>
                </c:pt>
                <c:pt idx="186">
                  <c:v>5.0546930010399997E-2</c:v>
                </c:pt>
                <c:pt idx="187">
                  <c:v>5.1052399310499999E-2</c:v>
                </c:pt>
                <c:pt idx="188">
                  <c:v>5.1562923303600003E-2</c:v>
                </c:pt>
                <c:pt idx="189">
                  <c:v>5.2078552536699997E-2</c:v>
                </c:pt>
                <c:pt idx="190">
                  <c:v>5.2599338062100001E-2</c:v>
                </c:pt>
                <c:pt idx="191">
                  <c:v>5.31253314427E-2</c:v>
                </c:pt>
                <c:pt idx="192">
                  <c:v>5.3656584757100001E-2</c:v>
                </c:pt>
                <c:pt idx="193">
                  <c:v>5.4193150604700001E-2</c:v>
                </c:pt>
                <c:pt idx="194">
                  <c:v>5.4735082110700002E-2</c:v>
                </c:pt>
                <c:pt idx="195">
                  <c:v>5.5282432931799998E-2</c:v>
                </c:pt>
                <c:pt idx="196">
                  <c:v>5.5835257261100002E-2</c:v>
                </c:pt>
                <c:pt idx="197">
                  <c:v>5.6393609833799999E-2</c:v>
                </c:pt>
                <c:pt idx="198">
                  <c:v>5.69575459321E-2</c:v>
                </c:pt>
                <c:pt idx="199">
                  <c:v>5.7527121391400003E-2</c:v>
                </c:pt>
                <c:pt idx="200">
                  <c:v>5.81023926053E-2</c:v>
                </c:pt>
                <c:pt idx="201">
                  <c:v>5.8683416531400003E-2</c:v>
                </c:pt>
                <c:pt idx="202">
                  <c:v>5.92702506967E-2</c:v>
                </c:pt>
                <c:pt idx="203">
                  <c:v>5.9862953203699998E-2</c:v>
                </c:pt>
                <c:pt idx="204">
                  <c:v>6.0461582735700001E-2</c:v>
                </c:pt>
                <c:pt idx="205">
                  <c:v>6.1066198563099999E-2</c:v>
                </c:pt>
                <c:pt idx="206">
                  <c:v>6.1676860548700002E-2</c:v>
                </c:pt>
                <c:pt idx="207">
                  <c:v>6.2293629154200003E-2</c:v>
                </c:pt>
                <c:pt idx="208">
                  <c:v>6.2916565445699998E-2</c:v>
                </c:pt>
                <c:pt idx="209">
                  <c:v>6.3545731100199995E-2</c:v>
                </c:pt>
                <c:pt idx="210">
                  <c:v>6.4181188411200005E-2</c:v>
                </c:pt>
                <c:pt idx="211">
                  <c:v>6.4823000295299998E-2</c:v>
                </c:pt>
                <c:pt idx="212">
                  <c:v>6.5471230298199998E-2</c:v>
                </c:pt>
                <c:pt idx="213">
                  <c:v>6.61259426012E-2</c:v>
                </c:pt>
                <c:pt idx="214">
                  <c:v>6.6787202027199996E-2</c:v>
                </c:pt>
                <c:pt idx="215">
                  <c:v>6.7455074047499994E-2</c:v>
                </c:pt>
                <c:pt idx="216">
                  <c:v>6.8129624787999998E-2</c:v>
                </c:pt>
                <c:pt idx="217">
                  <c:v>6.8810921035900002E-2</c:v>
                </c:pt>
                <c:pt idx="218">
                  <c:v>6.9499030246199994E-2</c:v>
                </c:pt>
                <c:pt idx="219">
                  <c:v>7.0194020548699998E-2</c:v>
                </c:pt>
                <c:pt idx="220">
                  <c:v>7.0895960754200002E-2</c:v>
                </c:pt>
                <c:pt idx="221">
                  <c:v>7.1604920361700006E-2</c:v>
                </c:pt>
                <c:pt idx="222">
                  <c:v>7.23209695653E-2</c:v>
                </c:pt>
                <c:pt idx="223">
                  <c:v>7.3044179261E-2</c:v>
                </c:pt>
                <c:pt idx="224">
                  <c:v>7.3774621053599998E-2</c:v>
                </c:pt>
                <c:pt idx="225">
                  <c:v>7.4512367264100002E-2</c:v>
                </c:pt>
                <c:pt idx="226">
                  <c:v>7.5257490936799995E-2</c:v>
                </c:pt>
                <c:pt idx="227">
                  <c:v>7.6010065846099997E-2</c:v>
                </c:pt>
                <c:pt idx="228">
                  <c:v>7.6770166504600001E-2</c:v>
                </c:pt>
                <c:pt idx="229">
                  <c:v>7.7537868169599997E-2</c:v>
                </c:pt>
                <c:pt idx="230">
                  <c:v>7.8313246851300006E-2</c:v>
                </c:pt>
                <c:pt idx="231">
                  <c:v>8.0686216544199996E-2</c:v>
                </c:pt>
                <c:pt idx="232">
                  <c:v>8.14930787096E-2</c:v>
                </c:pt>
                <c:pt idx="233">
                  <c:v>8.2308009496700002E-2</c:v>
                </c:pt>
                <c:pt idx="234">
                  <c:v>8.31310895917E-2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9.0919248388599994E-2</c:v>
                </c:pt>
                <c:pt idx="238">
                  <c:v>9.18284408725E-2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3.4328313191939217E-9</c:v>
                </c:pt>
                <c:pt idx="1">
                  <c:v>4.0207716253842358E-9</c:v>
                </c:pt>
                <c:pt idx="2">
                  <c:v>4.5028241802534444E-9</c:v>
                </c:pt>
                <c:pt idx="3">
                  <c:v>4.8566559325451834E-9</c:v>
                </c:pt>
                <c:pt idx="4">
                  <c:v>4.0740781224928613E-9</c:v>
                </c:pt>
                <c:pt idx="5">
                  <c:v>4.8875447521453237E-9</c:v>
                </c:pt>
                <c:pt idx="6">
                  <c:v>5.1677417746391627E-9</c:v>
                </c:pt>
                <c:pt idx="7">
                  <c:v>4.9721525150240438E-9</c:v>
                </c:pt>
                <c:pt idx="8">
                  <c:v>5.6942342277465467E-9</c:v>
                </c:pt>
                <c:pt idx="9">
                  <c:v>5.5258753477471208E-9</c:v>
                </c:pt>
                <c:pt idx="10">
                  <c:v>6.895396992782696E-9</c:v>
                </c:pt>
                <c:pt idx="11">
                  <c:v>6.2070227586254701E-9</c:v>
                </c:pt>
                <c:pt idx="12">
                  <c:v>6.9335426805090779E-9</c:v>
                </c:pt>
                <c:pt idx="13">
                  <c:v>6.4043083640723594E-9</c:v>
                </c:pt>
                <c:pt idx="14">
                  <c:v>6.4395183513900568E-9</c:v>
                </c:pt>
                <c:pt idx="15">
                  <c:v>7.4167125777129333E-9</c:v>
                </c:pt>
                <c:pt idx="16">
                  <c:v>7.4588022379932333E-9</c:v>
                </c:pt>
                <c:pt idx="17">
                  <c:v>8.1960529159576207E-9</c:v>
                </c:pt>
                <c:pt idx="18">
                  <c:v>8.3120140171646625E-9</c:v>
                </c:pt>
                <c:pt idx="19">
                  <c:v>8.8566384151617277E-9</c:v>
                </c:pt>
                <c:pt idx="20">
                  <c:v>1.0052861211078474E-8</c:v>
                </c:pt>
                <c:pt idx="21">
                  <c:v>9.0056784538543661E-9</c:v>
                </c:pt>
                <c:pt idx="22">
                  <c:v>8.5983603289227781E-9</c:v>
                </c:pt>
                <c:pt idx="23">
                  <c:v>8.7054343412658904E-9</c:v>
                </c:pt>
                <c:pt idx="24">
                  <c:v>6.4673701813128822E-9</c:v>
                </c:pt>
                <c:pt idx="25">
                  <c:v>6.3575567502320605E-9</c:v>
                </c:pt>
                <c:pt idx="26">
                  <c:v>4.6560029801996451E-9</c:v>
                </c:pt>
                <c:pt idx="27">
                  <c:v>2.7532761527134786E-9</c:v>
                </c:pt>
                <c:pt idx="28">
                  <c:v>2.7969983993460575E-9</c:v>
                </c:pt>
                <c:pt idx="29">
                  <c:v>2.8997575228339816E-9</c:v>
                </c:pt>
                <c:pt idx="30">
                  <c:v>2.643223935079127E-9</c:v>
                </c:pt>
                <c:pt idx="31">
                  <c:v>2.4293582759260161E-9</c:v>
                </c:pt>
                <c:pt idx="32">
                  <c:v>3.2122454858709405E-9</c:v>
                </c:pt>
                <c:pt idx="33">
                  <c:v>3.185863217509134E-9</c:v>
                </c:pt>
                <c:pt idx="34">
                  <c:v>2.8344895826955744E-9</c:v>
                </c:pt>
                <c:pt idx="35">
                  <c:v>3.285166684752193E-9</c:v>
                </c:pt>
                <c:pt idx="36">
                  <c:v>3.3179350797852943E-9</c:v>
                </c:pt>
                <c:pt idx="37">
                  <c:v>2.7156166337656399E-9</c:v>
                </c:pt>
                <c:pt idx="38">
                  <c:v>2.9879856851228089E-9</c:v>
                </c:pt>
                <c:pt idx="39">
                  <c:v>2.3997715704814477E-9</c:v>
                </c:pt>
                <c:pt idx="40">
                  <c:v>2.5545692941499814E-9</c:v>
                </c:pt>
                <c:pt idx="41">
                  <c:v>2.5783432836934865E-9</c:v>
                </c:pt>
                <c:pt idx="42">
                  <c:v>2.2520471169063994E-9</c:v>
                </c:pt>
                <c:pt idx="43">
                  <c:v>1.9582419649227777E-9</c:v>
                </c:pt>
                <c:pt idx="44">
                  <c:v>1.6297133094207852E-9</c:v>
                </c:pt>
                <c:pt idx="45">
                  <c:v>1.5915869143004326E-9</c:v>
                </c:pt>
                <c:pt idx="46">
                  <c:v>1.4572961337615208E-9</c:v>
                </c:pt>
                <c:pt idx="47">
                  <c:v>9.7693877026556865E-10</c:v>
                </c:pt>
                <c:pt idx="48">
                  <c:v>9.5273359069424022E-10</c:v>
                </c:pt>
                <c:pt idx="49">
                  <c:v>1.1063620360065601E-9</c:v>
                </c:pt>
                <c:pt idx="50">
                  <c:v>9.3498995003049182E-10</c:v>
                </c:pt>
                <c:pt idx="51">
                  <c:v>7.632029115484591E-10</c:v>
                </c:pt>
                <c:pt idx="52">
                  <c:v>6.8138190720110154E-10</c:v>
                </c:pt>
                <c:pt idx="53">
                  <c:v>5.4130625657464235E-10</c:v>
                </c:pt>
                <c:pt idx="54">
                  <c:v>6.5980236372780234E-10</c:v>
                </c:pt>
                <c:pt idx="55">
                  <c:v>5.9098913967511348E-10</c:v>
                </c:pt>
                <c:pt idx="56">
                  <c:v>6.2196482015856272E-10</c:v>
                </c:pt>
                <c:pt idx="57">
                  <c:v>8.6707736010793114E-10</c:v>
                </c:pt>
                <c:pt idx="58">
                  <c:v>9.432304970515292E-10</c:v>
                </c:pt>
                <c:pt idx="59">
                  <c:v>1.0934485357591245E-9</c:v>
                </c:pt>
                <c:pt idx="60">
                  <c:v>1.0099969291999584E-9</c:v>
                </c:pt>
                <c:pt idx="61">
                  <c:v>9.9236491829064705E-10</c:v>
                </c:pt>
                <c:pt idx="62">
                  <c:v>1.0986405301258189E-9</c:v>
                </c:pt>
                <c:pt idx="63">
                  <c:v>1.2650604916186476E-9</c:v>
                </c:pt>
                <c:pt idx="64">
                  <c:v>1.3773975458369706E-9</c:v>
                </c:pt>
                <c:pt idx="65">
                  <c:v>1.5491973147531684E-9</c:v>
                </c:pt>
                <c:pt idx="66">
                  <c:v>1.5642047351320901E-9</c:v>
                </c:pt>
                <c:pt idx="67">
                  <c:v>1.4839568416152136E-9</c:v>
                </c:pt>
                <c:pt idx="68">
                  <c:v>1.4705957433177024E-9</c:v>
                </c:pt>
                <c:pt idx="69">
                  <c:v>1.3299990783371955E-9</c:v>
                </c:pt>
                <c:pt idx="70">
                  <c:v>1.6193868048485348E-9</c:v>
                </c:pt>
                <c:pt idx="71">
                  <c:v>1.2796555019275609E-9</c:v>
                </c:pt>
                <c:pt idx="72">
                  <c:v>1.497237740245568E-9</c:v>
                </c:pt>
                <c:pt idx="73">
                  <c:v>1.2183589832018322E-9</c:v>
                </c:pt>
                <c:pt idx="74">
                  <c:v>1.1797154780969226E-9</c:v>
                </c:pt>
                <c:pt idx="75">
                  <c:v>8.480940202311112E-10</c:v>
                </c:pt>
                <c:pt idx="76">
                  <c:v>1.0577889933359257E-9</c:v>
                </c:pt>
                <c:pt idx="77">
                  <c:v>9.6917382954724267E-10</c:v>
                </c:pt>
                <c:pt idx="78">
                  <c:v>7.8677341674022317E-10</c:v>
                </c:pt>
                <c:pt idx="79">
                  <c:v>7.1697947347740666E-10</c:v>
                </c:pt>
                <c:pt idx="80">
                  <c:v>5.3225889261491882E-10</c:v>
                </c:pt>
                <c:pt idx="81">
                  <c:v>5.881982125526596E-10</c:v>
                </c:pt>
                <c:pt idx="82">
                  <c:v>5.7827681949680721E-10</c:v>
                </c:pt>
                <c:pt idx="83">
                  <c:v>4.5831778433201142E-10</c:v>
                </c:pt>
                <c:pt idx="84">
                  <c:v>5.2435566716765912E-10</c:v>
                </c:pt>
                <c:pt idx="85">
                  <c:v>5.0676820615200644E-10</c:v>
                </c:pt>
                <c:pt idx="86">
                  <c:v>6.9673904379532083E-10</c:v>
                </c:pt>
                <c:pt idx="87">
                  <c:v>6.8777413513038032E-10</c:v>
                </c:pt>
                <c:pt idx="88">
                  <c:v>5.2041596497544697E-10</c:v>
                </c:pt>
                <c:pt idx="89">
                  <c:v>6.0743332225712292E-10</c:v>
                </c:pt>
                <c:pt idx="90">
                  <c:v>8.1108120513418798E-10</c:v>
                </c:pt>
                <c:pt idx="91">
                  <c:v>8.8600285279228125E-10</c:v>
                </c:pt>
                <c:pt idx="92">
                  <c:v>8.5354089589407883E-10</c:v>
                </c:pt>
                <c:pt idx="93">
                  <c:v>9.0641303570467822E-10</c:v>
                </c:pt>
                <c:pt idx="94">
                  <c:v>1.2311094143436924E-9</c:v>
                </c:pt>
                <c:pt idx="95">
                  <c:v>1.1077214067909709E-9</c:v>
                </c:pt>
                <c:pt idx="96">
                  <c:v>9.7977207225529691E-10</c:v>
                </c:pt>
                <c:pt idx="97">
                  <c:v>1.1238110984526135E-9</c:v>
                </c:pt>
                <c:pt idx="98">
                  <c:v>1.0634962490632138E-9</c:v>
                </c:pt>
                <c:pt idx="99">
                  <c:v>1.1394657006882162E-9</c:v>
                </c:pt>
                <c:pt idx="100">
                  <c:v>1.1579237631670621E-9</c:v>
                </c:pt>
                <c:pt idx="101">
                  <c:v>1.0898412260292491E-9</c:v>
                </c:pt>
                <c:pt idx="102">
                  <c:v>8.9359994169797167E-10</c:v>
                </c:pt>
                <c:pt idx="103">
                  <c:v>8.6801462262976608E-10</c:v>
                </c:pt>
                <c:pt idx="104">
                  <c:v>8.4423756978880828E-10</c:v>
                </c:pt>
                <c:pt idx="105">
                  <c:v>6.3796258480746076E-10</c:v>
                </c:pt>
                <c:pt idx="106">
                  <c:v>5.6761308695793698E-10</c:v>
                </c:pt>
                <c:pt idx="107">
                  <c:v>6.0132602414465338E-10</c:v>
                </c:pt>
                <c:pt idx="108">
                  <c:v>5.1400248863667474E-10</c:v>
                </c:pt>
                <c:pt idx="109">
                  <c:v>4.0147117404978462E-10</c:v>
                </c:pt>
                <c:pt idx="110">
                  <c:v>4.7137107082913328E-10</c:v>
                </c:pt>
                <c:pt idx="111">
                  <c:v>4.5409166311421468E-10</c:v>
                </c:pt>
                <c:pt idx="112">
                  <c:v>4.9550209062959725E-10</c:v>
                </c:pt>
                <c:pt idx="113">
                  <c:v>6.067579008436767E-10</c:v>
                </c:pt>
                <c:pt idx="114">
                  <c:v>5.8046807498922211E-10</c:v>
                </c:pt>
                <c:pt idx="115">
                  <c:v>7.379036894259287E-10</c:v>
                </c:pt>
                <c:pt idx="116">
                  <c:v>7.0061841571115259E-10</c:v>
                </c:pt>
                <c:pt idx="117">
                  <c:v>9.0135149729938295E-10</c:v>
                </c:pt>
                <c:pt idx="118">
                  <c:v>9.8625447412279167E-10</c:v>
                </c:pt>
                <c:pt idx="119">
                  <c:v>1.062181925716437E-9</c:v>
                </c:pt>
                <c:pt idx="120">
                  <c:v>1.1779060560731471E-9</c:v>
                </c:pt>
                <c:pt idx="121">
                  <c:v>1.1447502116576134E-9</c:v>
                </c:pt>
                <c:pt idx="122">
                  <c:v>1.0694025824586854E-9</c:v>
                </c:pt>
                <c:pt idx="123">
                  <c:v>9.5934330388302602E-10</c:v>
                </c:pt>
                <c:pt idx="124">
                  <c:v>8.5992115729733134E-10</c:v>
                </c:pt>
                <c:pt idx="125">
                  <c:v>8.4117519046656012E-10</c:v>
                </c:pt>
                <c:pt idx="126">
                  <c:v>7.4940262921952154E-10</c:v>
                </c:pt>
                <c:pt idx="127">
                  <c:v>5.9677179390242245E-10</c:v>
                </c:pt>
                <c:pt idx="128">
                  <c:v>4.4527214020319606E-10</c:v>
                </c:pt>
                <c:pt idx="129">
                  <c:v>5.0215449425266892E-10</c:v>
                </c:pt>
                <c:pt idx="130">
                  <c:v>4.731901135288265E-10</c:v>
                </c:pt>
                <c:pt idx="131">
                  <c:v>4.3175218343054012E-10</c:v>
                </c:pt>
                <c:pt idx="132">
                  <c:v>3.9984859845938442E-10</c:v>
                </c:pt>
                <c:pt idx="133">
                  <c:v>4.2757107252170219E-10</c:v>
                </c:pt>
                <c:pt idx="134">
                  <c:v>4.4576146259292006E-10</c:v>
                </c:pt>
                <c:pt idx="135">
                  <c:v>6.0033876224471845E-10</c:v>
                </c:pt>
                <c:pt idx="136">
                  <c:v>6.3210944770069601E-10</c:v>
                </c:pt>
                <c:pt idx="137">
                  <c:v>6.8895412261738819E-10</c:v>
                </c:pt>
                <c:pt idx="138">
                  <c:v>8.2225239914458996E-10</c:v>
                </c:pt>
                <c:pt idx="139">
                  <c:v>1.025309661664916E-9</c:v>
                </c:pt>
                <c:pt idx="140">
                  <c:v>9.3440804472947013E-10</c:v>
                </c:pt>
                <c:pt idx="141">
                  <c:v>9.5425637238463301E-10</c:v>
                </c:pt>
                <c:pt idx="142">
                  <c:v>8.3923492361343191E-10</c:v>
                </c:pt>
                <c:pt idx="143">
                  <c:v>8.9139061308864121E-10</c:v>
                </c:pt>
                <c:pt idx="144">
                  <c:v>7.7085062137325315E-10</c:v>
                </c:pt>
                <c:pt idx="145">
                  <c:v>6.1009301057247389E-10</c:v>
                </c:pt>
                <c:pt idx="146">
                  <c:v>4.5416635679157342E-10</c:v>
                </c:pt>
                <c:pt idx="147">
                  <c:v>3.7075078917844121E-10</c:v>
                </c:pt>
                <c:pt idx="148">
                  <c:v>4.1786905790057577E-10</c:v>
                </c:pt>
                <c:pt idx="149">
                  <c:v>4.0955476973179066E-10</c:v>
                </c:pt>
                <c:pt idx="150">
                  <c:v>4.9172350063764305E-10</c:v>
                </c:pt>
                <c:pt idx="151">
                  <c:v>4.4299387688582511E-10</c:v>
                </c:pt>
                <c:pt idx="152">
                  <c:v>4.7637863439926968E-10</c:v>
                </c:pt>
                <c:pt idx="153">
                  <c:v>5.3562557768268598E-10</c:v>
                </c:pt>
                <c:pt idx="154">
                  <c:v>6.4327128778425833E-10</c:v>
                </c:pt>
                <c:pt idx="155">
                  <c:v>6.8077508871452808E-10</c:v>
                </c:pt>
                <c:pt idx="156">
                  <c:v>7.6028605532483328E-10</c:v>
                </c:pt>
                <c:pt idx="157">
                  <c:v>7.9408820492360611E-10</c:v>
                </c:pt>
                <c:pt idx="158">
                  <c:v>7.8427867011683169E-10</c:v>
                </c:pt>
                <c:pt idx="159">
                  <c:v>6.8465819816897185E-10</c:v>
                </c:pt>
                <c:pt idx="160">
                  <c:v>5.8862139947249825E-10</c:v>
                </c:pt>
                <c:pt idx="161">
                  <c:v>4.6614562570859046E-10</c:v>
                </c:pt>
                <c:pt idx="162">
                  <c:v>4.9838625867589618E-10</c:v>
                </c:pt>
                <c:pt idx="163">
                  <c:v>3.4468257212035065E-10</c:v>
                </c:pt>
                <c:pt idx="164">
                  <c:v>3.6034982598267619E-10</c:v>
                </c:pt>
                <c:pt idx="165">
                  <c:v>5.4972942814762287E-10</c:v>
                </c:pt>
                <c:pt idx="166">
                  <c:v>4.0603658706789705E-10</c:v>
                </c:pt>
                <c:pt idx="167">
                  <c:v>4.5642098382112174E-10</c:v>
                </c:pt>
                <c:pt idx="168">
                  <c:v>4.8702403632401892E-10</c:v>
                </c:pt>
                <c:pt idx="169">
                  <c:v>6.7227421460753615E-10</c:v>
                </c:pt>
                <c:pt idx="170">
                  <c:v>8.7616085922514405E-10</c:v>
                </c:pt>
                <c:pt idx="171">
                  <c:v>8.5981714777303836E-10</c:v>
                </c:pt>
                <c:pt idx="172">
                  <c:v>6.9886594039230829E-10</c:v>
                </c:pt>
                <c:pt idx="173">
                  <c:v>5.6247049153717014E-10</c:v>
                </c:pt>
                <c:pt idx="174">
                  <c:v>5.8311040603342622E-10</c:v>
                </c:pt>
                <c:pt idx="175">
                  <c:v>4.3011121481710883E-10</c:v>
                </c:pt>
                <c:pt idx="176">
                  <c:v>3.7198918504830927E-10</c:v>
                </c:pt>
                <c:pt idx="177">
                  <c:v>3.6901152595289575E-10</c:v>
                </c:pt>
                <c:pt idx="178">
                  <c:v>3.5723956592322417E-10</c:v>
                </c:pt>
                <c:pt idx="179">
                  <c:v>3.4353590587768045E-10</c:v>
                </c:pt>
                <c:pt idx="180">
                  <c:v>5.0200749741391188E-10</c:v>
                </c:pt>
                <c:pt idx="181">
                  <c:v>5.1602126683087742E-10</c:v>
                </c:pt>
                <c:pt idx="182">
                  <c:v>6.1437832847017362E-10</c:v>
                </c:pt>
                <c:pt idx="183">
                  <c:v>6.2788077852382089E-10</c:v>
                </c:pt>
                <c:pt idx="184">
                  <c:v>6.5621627519632551E-10</c:v>
                </c:pt>
                <c:pt idx="185">
                  <c:v>6.5842867122137099E-10</c:v>
                </c:pt>
                <c:pt idx="186">
                  <c:v>4.7962989185069684E-10</c:v>
                </c:pt>
                <c:pt idx="187">
                  <c:v>4.6836983690139726E-10</c:v>
                </c:pt>
                <c:pt idx="188">
                  <c:v>3.9512126688152955E-10</c:v>
                </c:pt>
                <c:pt idx="189">
                  <c:v>3.9200051941315137E-10</c:v>
                </c:pt>
                <c:pt idx="190">
                  <c:v>3.9669767101849678E-10</c:v>
                </c:pt>
                <c:pt idx="191">
                  <c:v>3.7607805501793816E-10</c:v>
                </c:pt>
                <c:pt idx="192">
                  <c:v>4.6699394863103819E-10</c:v>
                </c:pt>
                <c:pt idx="193">
                  <c:v>4.8297130974146975E-10</c:v>
                </c:pt>
                <c:pt idx="194">
                  <c:v>3.7786203627410552E-10</c:v>
                </c:pt>
                <c:pt idx="195">
                  <c:v>5.2798967008068602E-10</c:v>
                </c:pt>
                <c:pt idx="196">
                  <c:v>5.1263510162247433E-10</c:v>
                </c:pt>
                <c:pt idx="197">
                  <c:v>5.4947541470414013E-10</c:v>
                </c:pt>
                <c:pt idx="198">
                  <c:v>5.3827699231958376E-10</c:v>
                </c:pt>
                <c:pt idx="199">
                  <c:v>3.8691355478554492E-10</c:v>
                </c:pt>
                <c:pt idx="200">
                  <c:v>3.6495082660917433E-10</c:v>
                </c:pt>
                <c:pt idx="201">
                  <c:v>3.7313014228040086E-10</c:v>
                </c:pt>
                <c:pt idx="202">
                  <c:v>2.8953510571553587E-10</c:v>
                </c:pt>
                <c:pt idx="203">
                  <c:v>3.9802870181131049E-10</c:v>
                </c:pt>
                <c:pt idx="204">
                  <c:v>4.0405840084490575E-10</c:v>
                </c:pt>
                <c:pt idx="205">
                  <c:v>4.795154352628339E-10</c:v>
                </c:pt>
                <c:pt idx="206">
                  <c:v>3.5551006405251773E-10</c:v>
                </c:pt>
                <c:pt idx="207">
                  <c:v>5.3600820899066076E-10</c:v>
                </c:pt>
                <c:pt idx="208">
                  <c:v>3.8085913729563076E-10</c:v>
                </c:pt>
                <c:pt idx="209">
                  <c:v>3.841592403400078E-10</c:v>
                </c:pt>
                <c:pt idx="210">
                  <c:v>1.9058434642496892E-10</c:v>
                </c:pt>
                <c:pt idx="211">
                  <c:v>3.3440952824470037E-10</c:v>
                </c:pt>
                <c:pt idx="212">
                  <c:v>4.0819130069066269E-10</c:v>
                </c:pt>
                <c:pt idx="213">
                  <c:v>4.3459362768771383E-10</c:v>
                </c:pt>
                <c:pt idx="214">
                  <c:v>4.1059922194912347E-10</c:v>
                </c:pt>
                <c:pt idx="215">
                  <c:v>2.7970377625439142E-10</c:v>
                </c:pt>
                <c:pt idx="216">
                  <c:v>4.3558536964985641E-10</c:v>
                </c:pt>
                <c:pt idx="217">
                  <c:v>3.0957753448905034E-10</c:v>
                </c:pt>
                <c:pt idx="218">
                  <c:v>2.1808803277167366E-10</c:v>
                </c:pt>
                <c:pt idx="219">
                  <c:v>3.3886845122049766E-10</c:v>
                </c:pt>
                <c:pt idx="220">
                  <c:v>2.8273522699244294E-10</c:v>
                </c:pt>
                <c:pt idx="221">
                  <c:v>1.6199989645889496E-10</c:v>
                </c:pt>
                <c:pt idx="222">
                  <c:v>3.3629899719108257E-10</c:v>
                </c:pt>
                <c:pt idx="223">
                  <c:v>3.0378394677683949E-10</c:v>
                </c:pt>
                <c:pt idx="224">
                  <c:v>3.3924155320615876E-10</c:v>
                </c:pt>
                <c:pt idx="225">
                  <c:v>3.7202757968475183E-10</c:v>
                </c:pt>
                <c:pt idx="226">
                  <c:v>2.6831271391420713E-10</c:v>
                </c:pt>
                <c:pt idx="227">
                  <c:v>1.4868969096524367E-10</c:v>
                </c:pt>
                <c:pt idx="228">
                  <c:v>2.0953763743983699E-10</c:v>
                </c:pt>
                <c:pt idx="229">
                  <c:v>2.8848556115102123E-10</c:v>
                </c:pt>
                <c:pt idx="230">
                  <c:v>2.9121239202764635E-10</c:v>
                </c:pt>
                <c:pt idx="231">
                  <c:v>2.3771248370426955E-10</c:v>
                </c:pt>
                <c:pt idx="232">
                  <c:v>2.0637787845454039E-10</c:v>
                </c:pt>
                <c:pt idx="233">
                  <c:v>1.30206327694429E-10</c:v>
                </c:pt>
                <c:pt idx="234">
                  <c:v>1.5347355970333338E-10</c:v>
                </c:pt>
                <c:pt idx="235">
                  <c:v>2.4367709278728231E-10</c:v>
                </c:pt>
                <c:pt idx="236">
                  <c:v>3.1837653824641446E-10</c:v>
                </c:pt>
                <c:pt idx="237">
                  <c:v>2.2207200776261629E-10</c:v>
                </c:pt>
                <c:pt idx="238">
                  <c:v>3.9019364571014079E-10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7.94E-03</c:v>
                </c:pt>
                <c:pt idx="1">
                  <c:v>8.02E-03</c:v>
                </c:pt>
                <c:pt idx="2">
                  <c:v>8.10E-03</c:v>
                </c:pt>
                <c:pt idx="3">
                  <c:v>8.18E-03</c:v>
                </c:pt>
                <c:pt idx="4">
                  <c:v>8.26E-03</c:v>
                </c:pt>
                <c:pt idx="5">
                  <c:v>8.35E-03</c:v>
                </c:pt>
                <c:pt idx="6">
                  <c:v>8.43E-03</c:v>
                </c:pt>
                <c:pt idx="7">
                  <c:v>8.51E-03</c:v>
                </c:pt>
                <c:pt idx="8">
                  <c:v>8.60E-03</c:v>
                </c:pt>
                <c:pt idx="9">
                  <c:v>8.69E-03</c:v>
                </c:pt>
                <c:pt idx="10">
                  <c:v>8.77E-03</c:v>
                </c:pt>
                <c:pt idx="11">
                  <c:v>8.86E-03</c:v>
                </c:pt>
                <c:pt idx="12">
                  <c:v>8.95E-03</c:v>
                </c:pt>
                <c:pt idx="13">
                  <c:v>9.04E-03</c:v>
                </c:pt>
                <c:pt idx="14">
                  <c:v>9.13E-03</c:v>
                </c:pt>
                <c:pt idx="15">
                  <c:v>9.22E-03</c:v>
                </c:pt>
                <c:pt idx="16">
                  <c:v>9.31E-03</c:v>
                </c:pt>
                <c:pt idx="17">
                  <c:v>9.41E-03</c:v>
                </c:pt>
                <c:pt idx="18">
                  <c:v>9.50E-03</c:v>
                </c:pt>
                <c:pt idx="19">
                  <c:v>9.59E-03</c:v>
                </c:pt>
                <c:pt idx="20">
                  <c:v>9.69E-03</c:v>
                </c:pt>
                <c:pt idx="21">
                  <c:v>9.79E-03</c:v>
                </c:pt>
                <c:pt idx="22">
                  <c:v>9.89E-03</c:v>
                </c:pt>
                <c:pt idx="23">
                  <c:v>9.98E-03</c:v>
                </c:pt>
                <c:pt idx="24">
                  <c:v>1.01E-02</c:v>
                </c:pt>
                <c:pt idx="25">
                  <c:v>1.02E-02</c:v>
                </c:pt>
                <c:pt idx="26">
                  <c:v>1.03E-02</c:v>
                </c:pt>
                <c:pt idx="27">
                  <c:v>1.04E-02</c:v>
                </c:pt>
                <c:pt idx="28">
                  <c:v>1.05E-02</c:v>
                </c:pt>
                <c:pt idx="29">
                  <c:v>1.06E-02</c:v>
                </c:pt>
                <c:pt idx="30">
                  <c:v>1.07E-02</c:v>
                </c:pt>
                <c:pt idx="31">
                  <c:v>1.08E-02</c:v>
                </c:pt>
                <c:pt idx="32">
                  <c:v>1.09E-02</c:v>
                </c:pt>
                <c:pt idx="33">
                  <c:v>1.10E-02</c:v>
                </c:pt>
                <c:pt idx="34">
                  <c:v>1.11E-02</c:v>
                </c:pt>
                <c:pt idx="35">
                  <c:v>1.13E-02</c:v>
                </c:pt>
                <c:pt idx="36">
                  <c:v>1.14E-02</c:v>
                </c:pt>
                <c:pt idx="37">
                  <c:v>1.15E-02</c:v>
                </c:pt>
                <c:pt idx="38">
                  <c:v>1.16E-02</c:v>
                </c:pt>
                <c:pt idx="39">
                  <c:v>1.17E-02</c:v>
                </c:pt>
                <c:pt idx="40">
                  <c:v>1.18E-02</c:v>
                </c:pt>
                <c:pt idx="41">
                  <c:v>1.19E-02</c:v>
                </c:pt>
                <c:pt idx="42">
                  <c:v>1.21E-02</c:v>
                </c:pt>
                <c:pt idx="43">
                  <c:v>1.22E-02</c:v>
                </c:pt>
                <c:pt idx="44">
                  <c:v>1.23E-02</c:v>
                </c:pt>
                <c:pt idx="45">
                  <c:v>1.24E-02</c:v>
                </c:pt>
                <c:pt idx="46">
                  <c:v>1.26E-02</c:v>
                </c:pt>
                <c:pt idx="47">
                  <c:v>1.27E-02</c:v>
                </c:pt>
                <c:pt idx="48">
                  <c:v>1.28E-02</c:v>
                </c:pt>
                <c:pt idx="49">
                  <c:v>1.29E-02</c:v>
                </c:pt>
                <c:pt idx="50">
                  <c:v>1.31E-02</c:v>
                </c:pt>
                <c:pt idx="51">
                  <c:v>1.32E-02</c:v>
                </c:pt>
                <c:pt idx="52">
                  <c:v>1.33E-02</c:v>
                </c:pt>
                <c:pt idx="53">
                  <c:v>1.35E-02</c:v>
                </c:pt>
                <c:pt idx="54">
                  <c:v>1.36E-02</c:v>
                </c:pt>
                <c:pt idx="55">
                  <c:v>1.37E-02</c:v>
                </c:pt>
                <c:pt idx="56">
                  <c:v>1.39E-02</c:v>
                </c:pt>
                <c:pt idx="57">
                  <c:v>1.40E-02</c:v>
                </c:pt>
                <c:pt idx="58">
                  <c:v>1.41E-02</c:v>
                </c:pt>
                <c:pt idx="59">
                  <c:v>1.43E-02</c:v>
                </c:pt>
                <c:pt idx="60">
                  <c:v>1.44E-02</c:v>
                </c:pt>
                <c:pt idx="61">
                  <c:v>1.46E-02</c:v>
                </c:pt>
                <c:pt idx="62">
                  <c:v>1.47E-02</c:v>
                </c:pt>
                <c:pt idx="63">
                  <c:v>1.49E-02</c:v>
                </c:pt>
                <c:pt idx="64">
                  <c:v>1.50E-02</c:v>
                </c:pt>
                <c:pt idx="65">
                  <c:v>1.52E-02</c:v>
                </c:pt>
                <c:pt idx="66">
                  <c:v>1.53E-02</c:v>
                </c:pt>
                <c:pt idx="67">
                  <c:v>1.55E-02</c:v>
                </c:pt>
                <c:pt idx="68">
                  <c:v>1.56E-02</c:v>
                </c:pt>
                <c:pt idx="69">
                  <c:v>1.58E-02</c:v>
                </c:pt>
                <c:pt idx="70">
                  <c:v>1.59E-02</c:v>
                </c:pt>
                <c:pt idx="71">
                  <c:v>1.61E-02</c:v>
                </c:pt>
                <c:pt idx="72">
                  <c:v>1.63E-02</c:v>
                </c:pt>
                <c:pt idx="73">
                  <c:v>1.64E-02</c:v>
                </c:pt>
                <c:pt idx="74">
                  <c:v>1.66E-02</c:v>
                </c:pt>
                <c:pt idx="75">
                  <c:v>1.68E-02</c:v>
                </c:pt>
                <c:pt idx="76">
                  <c:v>1.69E-02</c:v>
                </c:pt>
                <c:pt idx="77">
                  <c:v>1.71E-02</c:v>
                </c:pt>
                <c:pt idx="78">
                  <c:v>1.73E-02</c:v>
                </c:pt>
                <c:pt idx="79">
                  <c:v>1.74E-02</c:v>
                </c:pt>
                <c:pt idx="80">
                  <c:v>1.76E-02</c:v>
                </c:pt>
                <c:pt idx="81">
                  <c:v>1.78E-02</c:v>
                </c:pt>
                <c:pt idx="82">
                  <c:v>1.80E-02</c:v>
                </c:pt>
                <c:pt idx="83">
                  <c:v>1.81E-02</c:v>
                </c:pt>
                <c:pt idx="84">
                  <c:v>1.83E-02</c:v>
                </c:pt>
                <c:pt idx="85">
                  <c:v>1.85E-02</c:v>
                </c:pt>
                <c:pt idx="86">
                  <c:v>1.87E-02</c:v>
                </c:pt>
                <c:pt idx="87">
                  <c:v>1.89E-02</c:v>
                </c:pt>
                <c:pt idx="88">
                  <c:v>1.91E-02</c:v>
                </c:pt>
                <c:pt idx="89">
                  <c:v>1.93E-02</c:v>
                </c:pt>
                <c:pt idx="90">
                  <c:v>1.94E-02</c:v>
                </c:pt>
                <c:pt idx="91">
                  <c:v>1.96E-02</c:v>
                </c:pt>
                <c:pt idx="92">
                  <c:v>1.98E-02</c:v>
                </c:pt>
                <c:pt idx="93">
                  <c:v>2.00E-02</c:v>
                </c:pt>
                <c:pt idx="94">
                  <c:v>2.02E-02</c:v>
                </c:pt>
                <c:pt idx="95">
                  <c:v>2.04E-02</c:v>
                </c:pt>
                <c:pt idx="96">
                  <c:v>2.06E-02</c:v>
                </c:pt>
                <c:pt idx="97">
                  <c:v>2.08E-02</c:v>
                </c:pt>
                <c:pt idx="98">
                  <c:v>2.11E-02</c:v>
                </c:pt>
                <c:pt idx="99">
                  <c:v>2.13E-02</c:v>
                </c:pt>
                <c:pt idx="100">
                  <c:v>2.15E-02</c:v>
                </c:pt>
                <c:pt idx="101">
                  <c:v>2.17E-02</c:v>
                </c:pt>
                <c:pt idx="102">
                  <c:v>2.19E-02</c:v>
                </c:pt>
                <c:pt idx="103">
                  <c:v>2.21E-02</c:v>
                </c:pt>
                <c:pt idx="104">
                  <c:v>2.24E-02</c:v>
                </c:pt>
                <c:pt idx="105">
                  <c:v>2.26E-02</c:v>
                </c:pt>
                <c:pt idx="106">
                  <c:v>2.28E-02</c:v>
                </c:pt>
                <c:pt idx="107">
                  <c:v>2.30E-02</c:v>
                </c:pt>
                <c:pt idx="108">
                  <c:v>2.33E-02</c:v>
                </c:pt>
                <c:pt idx="109">
                  <c:v>2.35E-02</c:v>
                </c:pt>
                <c:pt idx="110">
                  <c:v>2.37E-02</c:v>
                </c:pt>
                <c:pt idx="111">
                  <c:v>2.40E-02</c:v>
                </c:pt>
                <c:pt idx="112">
                  <c:v>2.42E-02</c:v>
                </c:pt>
                <c:pt idx="113">
                  <c:v>2.44E-02</c:v>
                </c:pt>
                <c:pt idx="114">
                  <c:v>2.47E-02</c:v>
                </c:pt>
                <c:pt idx="115">
                  <c:v>2.49E-02</c:v>
                </c:pt>
                <c:pt idx="116">
                  <c:v>2.52E-02</c:v>
                </c:pt>
                <c:pt idx="117">
                  <c:v>2.54E-02</c:v>
                </c:pt>
                <c:pt idx="118">
                  <c:v>2.57E-02</c:v>
                </c:pt>
                <c:pt idx="119">
                  <c:v>2.60E-02</c:v>
                </c:pt>
                <c:pt idx="120">
                  <c:v>2.62E-02</c:v>
                </c:pt>
                <c:pt idx="121">
                  <c:v>2.65E-02</c:v>
                </c:pt>
                <c:pt idx="122">
                  <c:v>2.67E-02</c:v>
                </c:pt>
                <c:pt idx="123">
                  <c:v>2.70E-02</c:v>
                </c:pt>
                <c:pt idx="124">
                  <c:v>2.73E-02</c:v>
                </c:pt>
                <c:pt idx="125">
                  <c:v>2.75E-02</c:v>
                </c:pt>
                <c:pt idx="126">
                  <c:v>2.78E-02</c:v>
                </c:pt>
                <c:pt idx="127">
                  <c:v>2.81E-02</c:v>
                </c:pt>
                <c:pt idx="128">
                  <c:v>2.84E-02</c:v>
                </c:pt>
                <c:pt idx="129">
                  <c:v>2.87E-02</c:v>
                </c:pt>
                <c:pt idx="130">
                  <c:v>2.90E-02</c:v>
                </c:pt>
                <c:pt idx="131">
                  <c:v>2.92E-02</c:v>
                </c:pt>
                <c:pt idx="132">
                  <c:v>2.95E-02</c:v>
                </c:pt>
                <c:pt idx="133">
                  <c:v>2.98E-02</c:v>
                </c:pt>
                <c:pt idx="134">
                  <c:v>3.01E-02</c:v>
                </c:pt>
                <c:pt idx="135">
                  <c:v>3.04E-02</c:v>
                </c:pt>
                <c:pt idx="136">
                  <c:v>3.07E-02</c:v>
                </c:pt>
                <c:pt idx="137">
                  <c:v>3.10E-02</c:v>
                </c:pt>
                <c:pt idx="138">
                  <c:v>3.14E-02</c:v>
                </c:pt>
                <c:pt idx="139">
                  <c:v>3.17E-02</c:v>
                </c:pt>
                <c:pt idx="140">
                  <c:v>3.20E-02</c:v>
                </c:pt>
                <c:pt idx="141">
                  <c:v>3.23E-02</c:v>
                </c:pt>
                <c:pt idx="142">
                  <c:v>3.26E-02</c:v>
                </c:pt>
                <c:pt idx="143">
                  <c:v>3.30E-02</c:v>
                </c:pt>
                <c:pt idx="144">
                  <c:v>3.33E-02</c:v>
                </c:pt>
                <c:pt idx="145">
                  <c:v>3.36E-02</c:v>
                </c:pt>
                <c:pt idx="146">
                  <c:v>3.40E-02</c:v>
                </c:pt>
                <c:pt idx="147">
                  <c:v>3.43E-02</c:v>
                </c:pt>
                <c:pt idx="148">
                  <c:v>3.46E-02</c:v>
                </c:pt>
                <c:pt idx="149">
                  <c:v>3.50E-02</c:v>
                </c:pt>
                <c:pt idx="150">
                  <c:v>3.53E-02</c:v>
                </c:pt>
                <c:pt idx="151">
                  <c:v>3.57E-02</c:v>
                </c:pt>
                <c:pt idx="152">
                  <c:v>3.60E-02</c:v>
                </c:pt>
                <c:pt idx="153">
                  <c:v>3.64E-02</c:v>
                </c:pt>
                <c:pt idx="154">
                  <c:v>3.68E-02</c:v>
                </c:pt>
                <c:pt idx="155">
                  <c:v>3.71E-02</c:v>
                </c:pt>
                <c:pt idx="156">
                  <c:v>3.75E-02</c:v>
                </c:pt>
                <c:pt idx="157">
                  <c:v>3.79E-02</c:v>
                </c:pt>
                <c:pt idx="158">
                  <c:v>3.83E-02</c:v>
                </c:pt>
                <c:pt idx="159">
                  <c:v>3.86E-02</c:v>
                </c:pt>
                <c:pt idx="160">
                  <c:v>3.90E-02</c:v>
                </c:pt>
                <c:pt idx="161">
                  <c:v>3.94E-02</c:v>
                </c:pt>
                <c:pt idx="162">
                  <c:v>3.98E-02</c:v>
                </c:pt>
                <c:pt idx="163">
                  <c:v>4.02E-02</c:v>
                </c:pt>
                <c:pt idx="164">
                  <c:v>4.06E-02</c:v>
                </c:pt>
                <c:pt idx="165">
                  <c:v>4.10E-02</c:v>
                </c:pt>
                <c:pt idx="166">
                  <c:v>4.14E-02</c:v>
                </c:pt>
                <c:pt idx="167">
                  <c:v>4.18E-02</c:v>
                </c:pt>
                <c:pt idx="168">
                  <c:v>4.23E-02</c:v>
                </c:pt>
                <c:pt idx="169">
                  <c:v>4.27E-02</c:v>
                </c:pt>
                <c:pt idx="170">
                  <c:v>4.31E-02</c:v>
                </c:pt>
                <c:pt idx="171">
                  <c:v>4.35E-02</c:v>
                </c:pt>
                <c:pt idx="172">
                  <c:v>4.40E-02</c:v>
                </c:pt>
                <c:pt idx="173">
                  <c:v>4.44E-02</c:v>
                </c:pt>
                <c:pt idx="174">
                  <c:v>4.49E-02</c:v>
                </c:pt>
                <c:pt idx="175">
                  <c:v>4.53E-02</c:v>
                </c:pt>
                <c:pt idx="176">
                  <c:v>4.58E-02</c:v>
                </c:pt>
                <c:pt idx="177">
                  <c:v>4.62E-02</c:v>
                </c:pt>
                <c:pt idx="178">
                  <c:v>4.67E-02</c:v>
                </c:pt>
                <c:pt idx="179">
                  <c:v>4.71E-02</c:v>
                </c:pt>
                <c:pt idx="180">
                  <c:v>4.76E-02</c:v>
                </c:pt>
                <c:pt idx="181">
                  <c:v>4.81E-02</c:v>
                </c:pt>
                <c:pt idx="182">
                  <c:v>4.86E-02</c:v>
                </c:pt>
                <c:pt idx="183">
                  <c:v>4.91E-02</c:v>
                </c:pt>
                <c:pt idx="184">
                  <c:v>4.96E-02</c:v>
                </c:pt>
                <c:pt idx="185">
                  <c:v>5.00E-02</c:v>
                </c:pt>
                <c:pt idx="186">
                  <c:v>5.05E-02</c:v>
                </c:pt>
                <c:pt idx="187">
                  <c:v>5.11E-02</c:v>
                </c:pt>
                <c:pt idx="188">
                  <c:v>5.16E-02</c:v>
                </c:pt>
                <c:pt idx="189">
                  <c:v>5.21E-02</c:v>
                </c:pt>
                <c:pt idx="190">
                  <c:v>5.26E-02</c:v>
                </c:pt>
                <c:pt idx="191">
                  <c:v>5.31E-02</c:v>
                </c:pt>
                <c:pt idx="192">
                  <c:v>5.37E-02</c:v>
                </c:pt>
                <c:pt idx="193">
                  <c:v>5.42E-02</c:v>
                </c:pt>
                <c:pt idx="194">
                  <c:v>5.47E-02</c:v>
                </c:pt>
                <c:pt idx="195">
                  <c:v>5.53E-02</c:v>
                </c:pt>
                <c:pt idx="196">
                  <c:v>5.58E-02</c:v>
                </c:pt>
                <c:pt idx="197">
                  <c:v>5.64E-02</c:v>
                </c:pt>
                <c:pt idx="198">
                  <c:v>5.70E-02</c:v>
                </c:pt>
                <c:pt idx="199">
                  <c:v>5.75E-02</c:v>
                </c:pt>
                <c:pt idx="200">
                  <c:v>5.81E-02</c:v>
                </c:pt>
                <c:pt idx="201">
                  <c:v>5.87E-02</c:v>
                </c:pt>
                <c:pt idx="202">
                  <c:v>5.93E-02</c:v>
                </c:pt>
                <c:pt idx="203">
                  <c:v>5.99E-02</c:v>
                </c:pt>
                <c:pt idx="204">
                  <c:v>6.05E-02</c:v>
                </c:pt>
                <c:pt idx="205">
                  <c:v>6.11E-02</c:v>
                </c:pt>
                <c:pt idx="206">
                  <c:v>6.17E-02</c:v>
                </c:pt>
                <c:pt idx="207">
                  <c:v>6.23E-02</c:v>
                </c:pt>
                <c:pt idx="208">
                  <c:v>6.29E-02</c:v>
                </c:pt>
                <c:pt idx="209">
                  <c:v>6.35E-02</c:v>
                </c:pt>
                <c:pt idx="210">
                  <c:v>6.42E-02</c:v>
                </c:pt>
                <c:pt idx="211">
                  <c:v>6.48E-02</c:v>
                </c:pt>
                <c:pt idx="212">
                  <c:v>6.55E-02</c:v>
                </c:pt>
                <c:pt idx="213">
                  <c:v>6.61E-02</c:v>
                </c:pt>
                <c:pt idx="214">
                  <c:v>6.68E-02</c:v>
                </c:pt>
                <c:pt idx="215">
                  <c:v>6.75E-02</c:v>
                </c:pt>
                <c:pt idx="216">
                  <c:v>6.81E-02</c:v>
                </c:pt>
                <c:pt idx="217">
                  <c:v>6.88E-02</c:v>
                </c:pt>
                <c:pt idx="218">
                  <c:v>6.95E-02</c:v>
                </c:pt>
                <c:pt idx="219">
                  <c:v>7.02E-02</c:v>
                </c:pt>
                <c:pt idx="220">
                  <c:v>7.09E-02</c:v>
                </c:pt>
                <c:pt idx="221">
                  <c:v>7.16E-02</c:v>
                </c:pt>
                <c:pt idx="222">
                  <c:v>7.23E-02</c:v>
                </c:pt>
                <c:pt idx="223">
                  <c:v>7.30E-02</c:v>
                </c:pt>
                <c:pt idx="224">
                  <c:v>7.38E-02</c:v>
                </c:pt>
                <c:pt idx="225">
                  <c:v>7.45E-02</c:v>
                </c:pt>
                <c:pt idx="226">
                  <c:v>7.53E-02</c:v>
                </c:pt>
                <c:pt idx="227">
                  <c:v>7.60E-02</c:v>
                </c:pt>
                <c:pt idx="228">
                  <c:v>7.68E-02</c:v>
                </c:pt>
                <c:pt idx="229">
                  <c:v>7.75E-02</c:v>
                </c:pt>
                <c:pt idx="230">
                  <c:v>7.83E-02</c:v>
                </c:pt>
                <c:pt idx="231">
                  <c:v>8.07E-02</c:v>
                </c:pt>
                <c:pt idx="232">
                  <c:v>8.15E-02</c:v>
                </c:pt>
                <c:pt idx="233">
                  <c:v>8.23E-02</c:v>
                </c:pt>
                <c:pt idx="234">
                  <c:v>8.31E-02</c:v>
                </c:pt>
                <c:pt idx="235">
                  <c:v>8.57E-02</c:v>
                </c:pt>
                <c:pt idx="236">
                  <c:v>8.65E-02</c:v>
                </c:pt>
                <c:pt idx="237">
                  <c:v>9.09E-02</c:v>
                </c:pt>
                <c:pt idx="238">
                  <c:v>9.18E-02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7.9418057448799994E-3</c:v>
                </c:pt>
                <c:pt idx="1">
                  <c:v>8.0212238023300002E-3</c:v>
                </c:pt>
                <c:pt idx="2">
                  <c:v>8.1014360403499994E-3</c:v>
                </c:pt>
                <c:pt idx="3">
                  <c:v>8.1824504007600007E-3</c:v>
                </c:pt>
                <c:pt idx="4">
                  <c:v>8.2642749047700005E-3</c:v>
                </c:pt>
                <c:pt idx="5">
                  <c:v>8.3469176538099998E-3</c:v>
                </c:pt>
                <c:pt idx="6">
                  <c:v>8.4303868303500003E-3</c:v>
                </c:pt>
                <c:pt idx="7">
                  <c:v>8.5146906986500008E-3</c:v>
                </c:pt>
                <c:pt idx="8">
                  <c:v>8.5998376056400008E-3</c:v>
                </c:pt>
                <c:pt idx="9">
                  <c:v>8.6858359817000002E-3</c:v>
                </c:pt>
                <c:pt idx="10">
                  <c:v>8.7726943415100001E-3</c:v>
                </c:pt>
                <c:pt idx="11">
                  <c:v>8.86042128493E-3</c:v>
                </c:pt>
                <c:pt idx="12">
                  <c:v>8.9490254977800006E-3</c:v>
                </c:pt>
                <c:pt idx="13">
                  <c:v>9.0385157527600006E-3</c:v>
                </c:pt>
                <c:pt idx="14">
                  <c:v>9.1289009102799995E-3</c:v>
                </c:pt>
                <c:pt idx="15">
                  <c:v>9.2201899193900001E-3</c:v>
                </c:pt>
                <c:pt idx="16">
                  <c:v>9.3123918185800004E-3</c:v>
                </c:pt>
                <c:pt idx="17">
                  <c:v>9.4055157367700006E-3</c:v>
                </c:pt>
                <c:pt idx="18">
                  <c:v>9.4995708941299998E-3</c:v>
                </c:pt>
                <c:pt idx="19">
                  <c:v>9.5945666030799997E-3</c:v>
                </c:pt>
                <c:pt idx="20">
                  <c:v>9.69051226911E-3</c:v>
                </c:pt>
                <c:pt idx="21">
                  <c:v>9.7874173918000001E-3</c:v>
                </c:pt>
                <c:pt idx="22">
                  <c:v>9.8852915657199995E-3</c:v>
                </c:pt>
                <c:pt idx="23">
                  <c:v>9.9841444813699998E-3</c:v>
                </c:pt>
                <c:pt idx="24">
                  <c:v>1.0083985926200001E-2</c:v>
                </c:pt>
                <c:pt idx="25">
                  <c:v>1.01848257854E-2</c:v>
                </c:pt>
                <c:pt idx="26">
                  <c:v>1.02866740433E-2</c:v>
                </c:pt>
                <c:pt idx="27">
                  <c:v>1.03895407837E-2</c:v>
                </c:pt>
                <c:pt idx="28">
                  <c:v>1.04934361916E-2</c:v>
                </c:pt>
                <c:pt idx="29">
                  <c:v>1.05983705535E-2</c:v>
                </c:pt>
                <c:pt idx="30">
                  <c:v>1.0704354259E-2</c:v>
                </c:pt>
                <c:pt idx="31">
                  <c:v>1.08113978016E-2</c:v>
                </c:pt>
                <c:pt idx="32">
                  <c:v>1.0919511779600001E-2</c:v>
                </c:pt>
                <c:pt idx="33">
                  <c:v>1.1028706897400001E-2</c:v>
                </c:pt>
                <c:pt idx="34">
                  <c:v>1.11389939664E-2</c:v>
                </c:pt>
                <c:pt idx="35">
                  <c:v>1.12503839061E-2</c:v>
                </c:pt>
                <c:pt idx="36">
                  <c:v>1.1362887745099999E-2</c:v>
                </c:pt>
                <c:pt idx="37">
                  <c:v>1.14765166226E-2</c:v>
                </c:pt>
                <c:pt idx="38">
                  <c:v>1.1591281788799999E-2</c:v>
                </c:pt>
                <c:pt idx="39">
                  <c:v>1.17071946067E-2</c:v>
                </c:pt>
                <c:pt idx="40">
                  <c:v>1.18242665528E-2</c:v>
                </c:pt>
                <c:pt idx="41">
                  <c:v>1.19425092183E-2</c:v>
                </c:pt>
                <c:pt idx="42">
                  <c:v>1.2061934310500001E-2</c:v>
                </c:pt>
                <c:pt idx="43">
                  <c:v>1.2182553653599999E-2</c:v>
                </c:pt>
                <c:pt idx="44">
                  <c:v>1.2304379190100001E-2</c:v>
                </c:pt>
                <c:pt idx="45">
                  <c:v>1.2427422981999999E-2</c:v>
                </c:pt>
                <c:pt idx="46">
                  <c:v>1.25516972118E-2</c:v>
                </c:pt>
                <c:pt idx="47">
                  <c:v>1.26772141839E-2</c:v>
                </c:pt>
                <c:pt idx="48">
                  <c:v>1.28039863258E-2</c:v>
                </c:pt>
                <c:pt idx="49">
                  <c:v>1.2932026189000001E-2</c:v>
                </c:pt>
                <c:pt idx="50">
                  <c:v>1.3061346450899999E-2</c:v>
                </c:pt>
                <c:pt idx="51">
                  <c:v>1.31919599154E-2</c:v>
                </c:pt>
                <c:pt idx="52">
                  <c:v>1.33238795146E-2</c:v>
                </c:pt>
                <c:pt idx="53">
                  <c:v>1.3457118309700001E-2</c:v>
                </c:pt>
                <c:pt idx="54">
                  <c:v>1.3591689492799999E-2</c:v>
                </c:pt>
                <c:pt idx="55">
                  <c:v>1.37276063878E-2</c:v>
                </c:pt>
                <c:pt idx="56">
                  <c:v>1.3864882451600001E-2</c:v>
                </c:pt>
                <c:pt idx="57">
                  <c:v>1.40035312762E-2</c:v>
                </c:pt>
                <c:pt idx="58">
                  <c:v>1.41435665889E-2</c:v>
                </c:pt>
                <c:pt idx="59">
                  <c:v>1.42850022548E-2</c:v>
                </c:pt>
                <c:pt idx="60">
                  <c:v>1.44278522774E-2</c:v>
                </c:pt>
                <c:pt idx="61">
                  <c:v>1.4572130800099999E-2</c:v>
                </c:pt>
                <c:pt idx="62">
                  <c:v>1.4717852108099999E-2</c:v>
                </c:pt>
                <c:pt idx="63">
                  <c:v>1.4865030629200001E-2</c:v>
                </c:pt>
                <c:pt idx="64">
                  <c:v>1.50136809355E-2</c:v>
                </c:pt>
                <c:pt idx="65">
                  <c:v>1.5163817744900001E-2</c:v>
                </c:pt>
                <c:pt idx="66">
                  <c:v>1.5315455922300001E-2</c:v>
                </c:pt>
                <c:pt idx="67">
                  <c:v>1.54686104815E-2</c:v>
                </c:pt>
                <c:pt idx="68">
                  <c:v>1.56232965864E-2</c:v>
                </c:pt>
                <c:pt idx="69">
                  <c:v>1.5779529552200001E-2</c:v>
                </c:pt>
                <c:pt idx="70">
                  <c:v>1.59373248477E-2</c:v>
                </c:pt>
                <c:pt idx="71">
                  <c:v>1.6096698096199999E-2</c:v>
                </c:pt>
                <c:pt idx="72">
                  <c:v>1.6257665077200001E-2</c:v>
                </c:pt>
                <c:pt idx="73">
                  <c:v>1.6420241727999999E-2</c:v>
                </c:pt>
                <c:pt idx="74">
                  <c:v>1.6584444145200002E-2</c:v>
                </c:pt>
                <c:pt idx="75">
                  <c:v>1.67502885867E-2</c:v>
                </c:pt>
                <c:pt idx="76">
                  <c:v>1.6917791472599999E-2</c:v>
                </c:pt>
                <c:pt idx="77">
                  <c:v>1.7086969387300002E-2</c:v>
                </c:pt>
                <c:pt idx="78">
                  <c:v>1.7257839081199999E-2</c:v>
                </c:pt>
                <c:pt idx="79">
                  <c:v>1.7430417472000002E-2</c:v>
                </c:pt>
                <c:pt idx="80">
                  <c:v>1.7604721646699999E-2</c:v>
                </c:pt>
                <c:pt idx="81">
                  <c:v>1.77807688631E-2</c:v>
                </c:pt>
                <c:pt idx="82">
                  <c:v>1.7958576551799998E-2</c:v>
                </c:pt>
                <c:pt idx="83">
                  <c:v>1.8138162317300002E-2</c:v>
                </c:pt>
                <c:pt idx="84">
                  <c:v>1.8319543940500001E-2</c:v>
                </c:pt>
                <c:pt idx="85">
                  <c:v>1.8502739379900001E-2</c:v>
                </c:pt>
                <c:pt idx="86">
                  <c:v>1.8687766773700001E-2</c:v>
                </c:pt>
                <c:pt idx="87">
                  <c:v>1.8874644441399999E-2</c:v>
                </c:pt>
                <c:pt idx="88">
                  <c:v>1.9063390885799999E-2</c:v>
                </c:pt>
                <c:pt idx="89">
                  <c:v>1.9254024794699998E-2</c:v>
                </c:pt>
                <c:pt idx="90">
                  <c:v>1.9446565042599999E-2</c:v>
                </c:pt>
                <c:pt idx="91">
                  <c:v>1.9641030693100001E-2</c:v>
                </c:pt>
                <c:pt idx="92">
                  <c:v>1.9837441000000001E-2</c:v>
                </c:pt>
                <c:pt idx="93">
                  <c:v>2.0035815410000001E-2</c:v>
                </c:pt>
                <c:pt idx="94">
                  <c:v>2.0236173564099999E-2</c:v>
                </c:pt>
                <c:pt idx="95">
                  <c:v>2.0438535299700002E-2</c:v>
                </c:pt>
                <c:pt idx="96">
                  <c:v>2.06429206527E-2</c:v>
                </c:pt>
                <c:pt idx="97">
                  <c:v>2.0849349859299999E-2</c:v>
                </c:pt>
                <c:pt idx="98">
                  <c:v>2.1057843357800001E-2</c:v>
                </c:pt>
                <c:pt idx="99">
                  <c:v>2.12684217914E-2</c:v>
                </c:pt>
                <c:pt idx="100">
                  <c:v>2.1481106009300002E-2</c:v>
                </c:pt>
                <c:pt idx="101">
                  <c:v>2.1695917069400002E-2</c:v>
                </c:pt>
                <c:pt idx="102">
                  <c:v>2.19128762401E-2</c:v>
                </c:pt>
                <c:pt idx="103">
                  <c:v>2.21320050025E-2</c:v>
                </c:pt>
                <c:pt idx="104">
                  <c:v>2.2353325052600001E-2</c:v>
                </c:pt>
                <c:pt idx="105">
                  <c:v>2.2576858303100002E-2</c:v>
                </c:pt>
                <c:pt idx="106">
                  <c:v>2.2802626886099998E-2</c:v>
                </c:pt>
                <c:pt idx="107">
                  <c:v>2.3030653155000001E-2</c:v>
                </c:pt>
                <c:pt idx="108">
                  <c:v>2.32609596865E-2</c:v>
                </c:pt>
                <c:pt idx="109">
                  <c:v>2.34935692834E-2</c:v>
                </c:pt>
                <c:pt idx="110">
                  <c:v>2.37285049762E-2</c:v>
                </c:pt>
                <c:pt idx="111">
                  <c:v>2.3965790026000001E-2</c:v>
                </c:pt>
                <c:pt idx="112">
                  <c:v>2.42054479262E-2</c:v>
                </c:pt>
                <c:pt idx="113">
                  <c:v>2.4447502405500001E-2</c:v>
                </c:pt>
                <c:pt idx="114">
                  <c:v>2.4691977429599998E-2</c:v>
                </c:pt>
                <c:pt idx="115">
                  <c:v>2.4938897203899999E-2</c:v>
                </c:pt>
                <c:pt idx="116">
                  <c:v>2.51882861759E-2</c:v>
                </c:pt>
                <c:pt idx="117">
                  <c:v>2.5440169037600002E-2</c:v>
                </c:pt>
                <c:pt idx="118">
                  <c:v>2.5694570728E-2</c:v>
                </c:pt>
                <c:pt idx="119">
                  <c:v>2.5951516435299998E-2</c:v>
                </c:pt>
                <c:pt idx="120">
                  <c:v>2.6211031599700001E-2</c:v>
                </c:pt>
                <c:pt idx="121">
                  <c:v>2.6473141915700001E-2</c:v>
                </c:pt>
                <c:pt idx="122">
                  <c:v>2.6737873334799999E-2</c:v>
                </c:pt>
                <c:pt idx="123">
                  <c:v>2.7005252068200002E-2</c:v>
                </c:pt>
                <c:pt idx="124">
                  <c:v>2.7275304588799999E-2</c:v>
                </c:pt>
                <c:pt idx="125">
                  <c:v>2.7548057634700002E-2</c:v>
                </c:pt>
                <c:pt idx="126">
                  <c:v>2.78235382111E-2</c:v>
                </c:pt>
                <c:pt idx="127">
                  <c:v>2.81017735932E-2</c:v>
                </c:pt>
                <c:pt idx="128">
                  <c:v>2.8382791329100002E-2</c:v>
                </c:pt>
                <c:pt idx="129">
                  <c:v>2.86666192424E-2</c:v>
                </c:pt>
                <c:pt idx="130">
                  <c:v>2.89532854348E-2</c:v>
                </c:pt>
                <c:pt idx="131">
                  <c:v>2.9242818289200001E-2</c:v>
                </c:pt>
                <c:pt idx="132">
                  <c:v>2.9535246472099999E-2</c:v>
                </c:pt>
                <c:pt idx="133">
                  <c:v>2.9830598936799999E-2</c:v>
                </c:pt>
                <c:pt idx="134">
                  <c:v>3.01289049262E-2</c:v>
                </c:pt>
                <c:pt idx="135">
                  <c:v>3.0430193975400002E-2</c:v>
                </c:pt>
                <c:pt idx="136">
                  <c:v>3.07344959152E-2</c:v>
                </c:pt>
                <c:pt idx="137">
                  <c:v>3.1041840874300002E-2</c:v>
                </c:pt>
                <c:pt idx="138">
                  <c:v>3.1352259283100002E-2</c:v>
                </c:pt>
                <c:pt idx="139">
                  <c:v>3.1665781875900002E-2</c:v>
                </c:pt>
                <c:pt idx="140">
                  <c:v>3.19824396947E-2</c:v>
                </c:pt>
                <c:pt idx="141">
                  <c:v>3.2302264091600003E-2</c:v>
                </c:pt>
                <c:pt idx="142">
                  <c:v>3.2625286732500001E-2</c:v>
                </c:pt>
                <c:pt idx="143">
                  <c:v>3.29515395999E-2</c:v>
                </c:pt>
                <c:pt idx="144">
                  <c:v>3.3281054995899999E-2</c:v>
                </c:pt>
                <c:pt idx="145">
                  <c:v>3.3613865545800002E-2</c:v>
                </c:pt>
                <c:pt idx="146">
                  <c:v>3.3950004201300003E-2</c:v>
                </c:pt>
                <c:pt idx="147">
                  <c:v>3.4289504243299997E-2</c:v>
                </c:pt>
                <c:pt idx="148">
                  <c:v>3.46323992857E-2</c:v>
                </c:pt>
                <c:pt idx="149">
                  <c:v>3.49787232786E-2</c:v>
                </c:pt>
                <c:pt idx="150">
                  <c:v>3.5328510511399999E-2</c:v>
                </c:pt>
                <c:pt idx="151">
                  <c:v>3.5681795616499999E-2</c:v>
                </c:pt>
                <c:pt idx="152">
                  <c:v>3.6038613572599999E-2</c:v>
                </c:pt>
                <c:pt idx="153">
                  <c:v>3.63989997084E-2</c:v>
                </c:pt>
                <c:pt idx="154">
                  <c:v>3.6762989705399998E-2</c:v>
                </c:pt>
                <c:pt idx="155">
                  <c:v>3.7130619602499998E-2</c:v>
                </c:pt>
                <c:pt idx="156">
                  <c:v>3.7501925798500001E-2</c:v>
                </c:pt>
                <c:pt idx="157">
                  <c:v>3.7876945056500001E-2</c:v>
                </c:pt>
                <c:pt idx="158">
                  <c:v>3.8255714507099997E-2</c:v>
                </c:pt>
                <c:pt idx="159">
                  <c:v>3.8638271652100001E-2</c:v>
                </c:pt>
                <c:pt idx="160">
                  <c:v>3.90246543687E-2</c:v>
                </c:pt>
                <c:pt idx="161">
                  <c:v>3.9414900912399999E-2</c:v>
                </c:pt>
                <c:pt idx="162">
                  <c:v>3.98090499215E-2</c:v>
                </c:pt>
                <c:pt idx="163">
                  <c:v>4.0207140420699998E-2</c:v>
                </c:pt>
                <c:pt idx="164">
                  <c:v>4.0609211824900002E-2</c:v>
                </c:pt>
                <c:pt idx="165">
                  <c:v>4.1015303943099997E-2</c:v>
                </c:pt>
                <c:pt idx="166">
                  <c:v>4.1425456982600001E-2</c:v>
                </c:pt>
                <c:pt idx="167">
                  <c:v>4.1839711552400002E-2</c:v>
                </c:pt>
                <c:pt idx="168">
                  <c:v>4.2258108667900002E-2</c:v>
                </c:pt>
                <c:pt idx="169">
                  <c:v>4.2680689754600001E-2</c:v>
                </c:pt>
                <c:pt idx="170">
                  <c:v>4.3107496652199997E-2</c:v>
                </c:pt>
                <c:pt idx="171">
                  <c:v>4.3538571618699999E-2</c:v>
                </c:pt>
                <c:pt idx="172">
                  <c:v>4.3973957334899998E-2</c:v>
                </c:pt>
                <c:pt idx="173">
                  <c:v>4.4413696908199997E-2</c:v>
                </c:pt>
                <c:pt idx="174">
                  <c:v>4.4857833877300003E-2</c:v>
                </c:pt>
                <c:pt idx="175">
                  <c:v>4.5306412216100003E-2</c:v>
                </c:pt>
                <c:pt idx="176">
                  <c:v>4.5759476338200003E-2</c:v>
                </c:pt>
                <c:pt idx="177">
                  <c:v>4.6217071101599998E-2</c:v>
                </c:pt>
                <c:pt idx="178">
                  <c:v>4.6679241812599997E-2</c:v>
                </c:pt>
                <c:pt idx="179">
                  <c:v>4.71460342308E-2</c:v>
                </c:pt>
                <c:pt idx="180">
                  <c:v>4.7617494573100001E-2</c:v>
                </c:pt>
                <c:pt idx="181">
                  <c:v>4.8093669518800002E-2</c:v>
                </c:pt>
                <c:pt idx="182">
                  <c:v>4.8574606213999998E-2</c:v>
                </c:pt>
                <c:pt idx="183">
                  <c:v>4.9060352276099999E-2</c:v>
                </c:pt>
                <c:pt idx="184">
                  <c:v>4.9550955798900002E-2</c:v>
                </c:pt>
                <c:pt idx="185">
                  <c:v>5.0046465356900001E-2</c:v>
                </c:pt>
                <c:pt idx="186">
                  <c:v>5.0546930010399997E-2</c:v>
                </c:pt>
                <c:pt idx="187">
                  <c:v>5.1052399310499999E-2</c:v>
                </c:pt>
                <c:pt idx="188">
                  <c:v>5.1562923303600003E-2</c:v>
                </c:pt>
                <c:pt idx="189">
                  <c:v>5.2078552536699997E-2</c:v>
                </c:pt>
                <c:pt idx="190">
                  <c:v>5.2599338062100001E-2</c:v>
                </c:pt>
                <c:pt idx="191">
                  <c:v>5.31253314427E-2</c:v>
                </c:pt>
                <c:pt idx="192">
                  <c:v>5.3656584757100001E-2</c:v>
                </c:pt>
                <c:pt idx="193">
                  <c:v>5.4193150604700001E-2</c:v>
                </c:pt>
                <c:pt idx="194">
                  <c:v>5.4735082110700002E-2</c:v>
                </c:pt>
                <c:pt idx="195">
                  <c:v>5.5282432931799998E-2</c:v>
                </c:pt>
                <c:pt idx="196">
                  <c:v>5.5835257261100002E-2</c:v>
                </c:pt>
                <c:pt idx="197">
                  <c:v>5.6393609833799999E-2</c:v>
                </c:pt>
                <c:pt idx="198">
                  <c:v>5.69575459321E-2</c:v>
                </c:pt>
                <c:pt idx="199">
                  <c:v>5.7527121391400003E-2</c:v>
                </c:pt>
                <c:pt idx="200">
                  <c:v>5.81023926053E-2</c:v>
                </c:pt>
                <c:pt idx="201">
                  <c:v>5.8683416531400003E-2</c:v>
                </c:pt>
                <c:pt idx="202">
                  <c:v>5.92702506967E-2</c:v>
                </c:pt>
                <c:pt idx="203">
                  <c:v>5.9862953203699998E-2</c:v>
                </c:pt>
                <c:pt idx="204">
                  <c:v>6.0461582735700001E-2</c:v>
                </c:pt>
                <c:pt idx="205">
                  <c:v>6.1066198563099999E-2</c:v>
                </c:pt>
                <c:pt idx="206">
                  <c:v>6.1676860548700002E-2</c:v>
                </c:pt>
                <c:pt idx="207">
                  <c:v>6.2293629154200003E-2</c:v>
                </c:pt>
                <c:pt idx="208">
                  <c:v>6.2916565445699998E-2</c:v>
                </c:pt>
                <c:pt idx="209">
                  <c:v>6.3545731100199995E-2</c:v>
                </c:pt>
                <c:pt idx="210">
                  <c:v>6.4181188411200005E-2</c:v>
                </c:pt>
                <c:pt idx="211">
                  <c:v>6.4823000295299998E-2</c:v>
                </c:pt>
                <c:pt idx="212">
                  <c:v>6.5471230298199998E-2</c:v>
                </c:pt>
                <c:pt idx="213">
                  <c:v>6.61259426012E-2</c:v>
                </c:pt>
                <c:pt idx="214">
                  <c:v>6.6787202027199996E-2</c:v>
                </c:pt>
                <c:pt idx="215">
                  <c:v>6.7455074047499994E-2</c:v>
                </c:pt>
                <c:pt idx="216">
                  <c:v>6.8129624787999998E-2</c:v>
                </c:pt>
                <c:pt idx="217">
                  <c:v>6.8810921035900002E-2</c:v>
                </c:pt>
                <c:pt idx="218">
                  <c:v>6.9499030246199994E-2</c:v>
                </c:pt>
                <c:pt idx="219">
                  <c:v>7.0194020548699998E-2</c:v>
                </c:pt>
                <c:pt idx="220">
                  <c:v>7.0895960754200002E-2</c:v>
                </c:pt>
                <c:pt idx="221">
                  <c:v>7.1604920361700006E-2</c:v>
                </c:pt>
                <c:pt idx="222">
                  <c:v>7.23209695653E-2</c:v>
                </c:pt>
                <c:pt idx="223">
                  <c:v>7.3044179261E-2</c:v>
                </c:pt>
                <c:pt idx="224">
                  <c:v>7.3774621053599998E-2</c:v>
                </c:pt>
                <c:pt idx="225">
                  <c:v>7.4512367264100002E-2</c:v>
                </c:pt>
                <c:pt idx="226">
                  <c:v>7.5257490936799995E-2</c:v>
                </c:pt>
                <c:pt idx="227">
                  <c:v>7.6010065846099997E-2</c:v>
                </c:pt>
                <c:pt idx="228">
                  <c:v>7.6770166504600001E-2</c:v>
                </c:pt>
                <c:pt idx="229">
                  <c:v>7.7537868169599997E-2</c:v>
                </c:pt>
                <c:pt idx="230">
                  <c:v>7.8313246851300006E-2</c:v>
                </c:pt>
                <c:pt idx="231">
                  <c:v>8.0686216544199996E-2</c:v>
                </c:pt>
                <c:pt idx="232">
                  <c:v>8.14930787096E-2</c:v>
                </c:pt>
                <c:pt idx="233">
                  <c:v>8.2308009496700002E-2</c:v>
                </c:pt>
                <c:pt idx="234">
                  <c:v>8.31310895917E-2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9.0919248388599994E-2</c:v>
                </c:pt>
                <c:pt idx="238">
                  <c:v>9.18284408725E-2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3.9603771848264336E-9</c:v>
                </c:pt>
                <c:pt idx="1">
                  <c:v>4.1203208337460304E-9</c:v>
                </c:pt>
                <c:pt idx="2">
                  <c:v>4.2866377318430986E-9</c:v>
                </c:pt>
                <c:pt idx="3">
                  <c:v>4.4595635788944848E-9</c:v>
                </c:pt>
                <c:pt idx="4">
                  <c:v>4.6393404552681896E-9</c:v>
                </c:pt>
                <c:pt idx="5">
                  <c:v>4.8262144397420548E-9</c:v>
                </c:pt>
                <c:pt idx="6">
                  <c:v>5.0204328438689037E-9</c:v>
                </c:pt>
                <c:pt idx="7">
                  <c:v>5.2222416052656213E-9</c:v>
                </c:pt>
                <c:pt idx="8">
                  <c:v>5.4318816504817316E-9</c:v>
                </c:pt>
                <c:pt idx="9">
                  <c:v>5.6495834135607275E-9</c:v>
                </c:pt>
                <c:pt idx="10">
                  <c:v>5.8755584867635607E-9</c:v>
                </c:pt>
                <c:pt idx="11">
                  <c:v>6.1099869936986247E-9</c:v>
                </c:pt>
                <c:pt idx="12">
                  <c:v>6.3529980530999364E-9</c:v>
                </c:pt>
                <c:pt idx="13">
                  <c:v>6.6046386840150648E-9</c:v>
                </c:pt>
                <c:pt idx="14">
                  <c:v>6.8648225504772471E-9</c:v>
                </c:pt>
                <c:pt idx="15">
                  <c:v>7.1332417404972451E-9</c:v>
                </c:pt>
                <c:pt idx="16">
                  <c:v>7.4092064716121416E-9</c:v>
                </c:pt>
                <c:pt idx="17">
                  <c:v>7.6913329688691448E-9</c:v>
                </c:pt>
                <c:pt idx="18">
                  <c:v>7.9768778306342584E-9</c:v>
                </c:pt>
                <c:pt idx="19">
                  <c:v>8.2601417471558128E-9</c:v>
                </c:pt>
                <c:pt idx="20">
                  <c:v>8.5284289159770429E-9</c:v>
                </c:pt>
                <c:pt idx="21">
                  <c:v>8.7513471204413269E-9</c:v>
                </c:pt>
                <c:pt idx="22">
                  <c:v>8.8574776656176964E-9</c:v>
                </c:pt>
                <c:pt idx="23">
                  <c:v>8.6893463064485285E-9</c:v>
                </c:pt>
                <c:pt idx="24">
                  <c:v>7.9847695952059633E-9</c:v>
                </c:pt>
                <c:pt idx="25">
                  <c:v>6.5900870857077395E-9</c:v>
                </c:pt>
                <c:pt idx="26">
                  <c:v>4.8766379320099078E-9</c:v>
                </c:pt>
                <c:pt idx="27">
                  <c:v>3.5825319668271394E-9</c:v>
                </c:pt>
                <c:pt idx="28">
                  <c:v>3.0305565923168326E-9</c:v>
                </c:pt>
                <c:pt idx="29">
                  <c:v>2.9625567797721236E-9</c:v>
                </c:pt>
                <c:pt idx="30">
                  <c:v>3.0402198700589876E-9</c:v>
                </c:pt>
                <c:pt idx="31">
                  <c:v>3.1078238162291576E-9</c:v>
                </c:pt>
                <c:pt idx="32">
                  <c:v>3.1296882590328955E-9</c:v>
                </c:pt>
                <c:pt idx="33">
                  <c:v>3.1056550707765443E-9</c:v>
                </c:pt>
                <c:pt idx="34">
                  <c:v>3.0416537552248819E-9</c:v>
                </c:pt>
                <c:pt idx="35">
                  <c:v>2.9435495345889975E-9</c:v>
                </c:pt>
                <c:pt idx="36">
                  <c:v>2.8168270649186052E-9</c:v>
                </c:pt>
                <c:pt idx="37">
                  <c:v>2.6667945307547119E-9</c:v>
                </c:pt>
                <c:pt idx="38">
                  <c:v>2.4987313075657977E-9</c:v>
                </c:pt>
                <c:pt idx="39">
                  <c:v>2.3179430086242162E-9</c:v>
                </c:pt>
                <c:pt idx="40">
                  <c:v>2.1297390547442185E-9</c:v>
                </c:pt>
                <c:pt idx="41">
                  <c:v>1.9393532460039758E-9</c:v>
                </c:pt>
                <c:pt idx="42">
                  <c:v>1.7518271760312362E-9</c:v>
                </c:pt>
                <c:pt idx="43">
                  <c:v>1.5718750208063314E-9</c:v>
                </c:pt>
                <c:pt idx="44">
                  <c:v>1.4037465325248018E-9</c:v>
                </c:pt>
                <c:pt idx="45">
                  <c:v>1.2511026879457138E-9</c:v>
                </c:pt>
                <c:pt idx="46">
                  <c:v>1.1169152776309671E-9</c:v>
                </c:pt>
                <c:pt idx="47">
                  <c:v>1.0033979795330352E-9</c:v>
                </c:pt>
                <c:pt idx="48">
                  <c:v>9.1197252869218744E-10</c:v>
                </c:pt>
                <c:pt idx="49">
                  <c:v>8.4301945184068974E-10</c:v>
                </c:pt>
                <c:pt idx="50">
                  <c:v>7.9696210946599308E-10</c:v>
                </c:pt>
                <c:pt idx="51">
                  <c:v>7.7267323520518486E-10</c:v>
                </c:pt>
                <c:pt idx="52">
                  <c:v>7.68709924003629E-10</c:v>
                </c:pt>
                <c:pt idx="53">
                  <c:v>7.8310577570079165E-10</c:v>
                </c:pt>
                <c:pt idx="54">
                  <c:v>8.1347224149130049E-10</c:v>
                </c:pt>
                <c:pt idx="55">
                  <c:v>8.5710223785719691E-10</c:v>
                </c:pt>
                <c:pt idx="56">
                  <c:v>9.1107198871675502E-10</c:v>
                </c:pt>
                <c:pt idx="57">
                  <c:v>9.7233827578077996E-10</c:v>
                </c:pt>
                <c:pt idx="58">
                  <c:v>1.0378293709110784E-9</c:v>
                </c:pt>
                <c:pt idx="59">
                  <c:v>1.1045288029835424E-9</c:v>
                </c:pt>
                <c:pt idx="60">
                  <c:v>1.1695517200562973E-9</c:v>
                </c:pt>
                <c:pt idx="61">
                  <c:v>1.2302139557347603E-9</c:v>
                </c:pt>
                <c:pt idx="62">
                  <c:v>1.2840940116569757E-9</c:v>
                </c:pt>
                <c:pt idx="63">
                  <c:v>1.3290880761504236E-9</c:v>
                </c:pt>
                <c:pt idx="64">
                  <c:v>1.3634579675459657E-9</c:v>
                </c:pt>
                <c:pt idx="65">
                  <c:v>1.3858715724403696E-9</c:v>
                </c:pt>
                <c:pt idx="66">
                  <c:v>1.3954350078276473E-9</c:v>
                </c:pt>
                <c:pt idx="67">
                  <c:v>1.39171542494754E-9</c:v>
                </c:pt>
                <c:pt idx="68">
                  <c:v>1.3747531437787126E-9</c:v>
                </c:pt>
                <c:pt idx="69">
                  <c:v>1.3450617060983082E-9</c:v>
                </c:pt>
                <c:pt idx="70">
                  <c:v>1.3036144958558003E-9</c:v>
                </c:pt>
                <c:pt idx="71">
                  <c:v>1.2518168233252909E-9</c:v>
                </c:pt>
                <c:pt idx="72">
                  <c:v>1.1914628072149625E-9</c:v>
                </c:pt>
                <c:pt idx="73">
                  <c:v>1.1246770074629595E-9</c:v>
                </c:pt>
                <c:pt idx="74">
                  <c:v>1.0538415275105765E-9</c:v>
                </c:pt>
                <c:pt idx="75">
                  <c:v>9.8151016725883531E-10</c:v>
                </c:pt>
                <c:pt idx="76">
                  <c:v>9.10312101596895E-10</c:v>
                </c:pt>
                <c:pt idx="77">
                  <c:v>8.4284840430575214E-10</c:v>
                </c:pt>
                <c:pt idx="78">
                  <c:v>7.8158546249624211E-10</c:v>
                </c:pt>
                <c:pt idx="79">
                  <c:v>7.2874985493372202E-10</c:v>
                </c:pt>
                <c:pt idx="80">
                  <c:v>6.8622954649519385E-10</c:v>
                </c:pt>
                <c:pt idx="81">
                  <c:v>6.5548624896145491E-10</c:v>
                </c:pt>
                <c:pt idx="82">
                  <c:v>6.3748350405986948E-10</c:v>
                </c:pt>
                <c:pt idx="83">
                  <c:v>6.3263447863524641E-10</c:v>
                </c:pt>
                <c:pt idx="84">
                  <c:v>6.4077266122312272E-10</c:v>
                </c:pt>
                <c:pt idx="85">
                  <c:v>6.6114767061770157E-10</c:v>
                </c:pt>
                <c:pt idx="86">
                  <c:v>6.9244728950684934E-10</c:v>
                </c:pt>
                <c:pt idx="87">
                  <c:v>7.3284568277653502E-10</c:v>
                </c:pt>
                <c:pt idx="88">
                  <c:v>7.8007660329516177E-10</c:v>
                </c:pt>
                <c:pt idx="89">
                  <c:v>8.3152927002769223E-10</c:v>
                </c:pt>
                <c:pt idx="90">
                  <c:v>8.8436355484089207E-10</c:v>
                </c:pt>
                <c:pt idx="91">
                  <c:v>9.3564015509561531E-10</c:v>
                </c:pt>
                <c:pt idx="92">
                  <c:v>9.8246057296329513E-10</c:v>
                </c:pt>
                <c:pt idx="93">
                  <c:v>1.0221109882226728E-9</c:v>
                </c:pt>
                <c:pt idx="94">
                  <c:v>1.052203516879381E-9</c:v>
                </c:pt>
                <c:pt idx="95">
                  <c:v>1.0708079340292791E-9</c:v>
                </c:pt>
                <c:pt idx="96">
                  <c:v>1.0765667499618824E-9</c:v>
                </c:pt>
                <c:pt idx="97">
                  <c:v>1.0687866281577138E-9</c:v>
                </c:pt>
                <c:pt idx="98">
                  <c:v>1.0474995894316425E-9</c:v>
                </c:pt>
                <c:pt idx="99">
                  <c:v>1.0134883226696056E-9</c:v>
                </c:pt>
                <c:pt idx="100">
                  <c:v>9.6827126850169186E-10</c:v>
                </c:pt>
                <c:pt idx="101">
                  <c:v>9.140449722201907E-10</c:v>
                </c:pt>
                <c:pt idx="102">
                  <c:v>8.535834903132473E-10</c:v>
                </c:pt>
                <c:pt idx="103">
                  <c:v>7.9009729413803689E-10</c:v>
                </c:pt>
                <c:pt idx="104">
                  <c:v>7.2705700248341214E-10</c:v>
                </c:pt>
                <c:pt idx="105">
                  <c:v>6.6799019243796959E-10</c:v>
                </c:pt>
                <c:pt idx="106">
                  <c:v>6.1626224434065255E-10</c:v>
                </c:pt>
                <c:pt idx="107">
                  <c:v>5.7485441351661159E-10</c:v>
                </c:pt>
                <c:pt idx="108">
                  <c:v>5.4615383213229266E-10</c:v>
                </c:pt>
                <c:pt idx="109">
                  <c:v>5.3177071524399977E-10</c:v>
                </c:pt>
                <c:pt idx="110">
                  <c:v>5.3239751995132834E-10</c:v>
                </c:pt>
                <c:pt idx="111">
                  <c:v>5.4772311135578753E-10</c:v>
                </c:pt>
                <c:pt idx="112">
                  <c:v>5.7641214593912392E-10</c:v>
                </c:pt>
                <c:pt idx="113">
                  <c:v>6.1615600313357496E-10</c:v>
                </c:pt>
                <c:pt idx="114">
                  <c:v>6.6379687865448742E-10</c:v>
                </c:pt>
                <c:pt idx="115">
                  <c:v>7.1552137046929009E-10</c:v>
                </c:pt>
                <c:pt idx="116">
                  <c:v>7.6711436698793872E-10</c:v>
                </c:pt>
                <c:pt idx="117">
                  <c:v>8.1425865877717483E-10</c:v>
                </c:pt>
                <c:pt idx="118">
                  <c:v>8.5286083860498079E-10</c:v>
                </c:pt>
                <c:pt idx="119">
                  <c:v>8.7938014511240014E-10</c:v>
                </c:pt>
                <c:pt idx="120">
                  <c:v>8.9113435866598575E-10</c:v>
                </c:pt>
                <c:pt idx="121">
                  <c:v>8.8655606591955976E-10</c:v>
                </c:pt>
                <c:pt idx="122">
                  <c:v>8.6537390953138081E-10</c:v>
                </c:pt>
                <c:pt idx="123">
                  <c:v>8.2869706325787698E-10</c:v>
                </c:pt>
                <c:pt idx="124">
                  <c:v>7.789871946874364E-10</c:v>
                </c:pt>
                <c:pt idx="125">
                  <c:v>7.1991045306101472E-10</c:v>
                </c:pt>
                <c:pt idx="126">
                  <c:v>6.5607214034635201E-10</c:v>
                </c:pt>
                <c:pt idx="127">
                  <c:v>5.9264798716180296E-10</c:v>
                </c:pt>
                <c:pt idx="128">
                  <c:v>5.3493739159338578E-10</c:v>
                </c:pt>
                <c:pt idx="129">
                  <c:v>4.8787440111527971E-10</c:v>
                </c:pt>
                <c:pt idx="130">
                  <c:v>4.5554033908696665E-10</c:v>
                </c:pt>
                <c:pt idx="131">
                  <c:v>4.4072655981470965E-10</c:v>
                </c:pt>
                <c:pt idx="132">
                  <c:v>4.445958367963123E-10</c:v>
                </c:pt>
                <c:pt idx="133">
                  <c:v>4.6648570376628794E-10</c:v>
                </c:pt>
                <c:pt idx="134">
                  <c:v>5.0388655026043744E-10</c:v>
                </c:pt>
                <c:pt idx="135">
                  <c:v>5.526118912021098E-10</c:v>
                </c:pt>
                <c:pt idx="136">
                  <c:v>6.0715907543575618E-10</c:v>
                </c:pt>
                <c:pt idx="137">
                  <c:v>6.6123743773735533E-10</c:v>
                </c:pt>
                <c:pt idx="138">
                  <c:v>7.0841967374724408E-10</c:v>
                </c:pt>
                <c:pt idx="139">
                  <c:v>7.4285347022482224E-10</c:v>
                </c:pt>
                <c:pt idx="140">
                  <c:v>7.5995669399779541E-10</c:v>
                </c:pt>
                <c:pt idx="141">
                  <c:v>7.5701308814361125E-10</c:v>
                </c:pt>
                <c:pt idx="142">
                  <c:v>7.335883246065249E-10</c:v>
                </c:pt>
                <c:pt idx="143">
                  <c:v>6.9169947935221569E-10</c:v>
                </c:pt>
                <c:pt idx="144">
                  <c:v>6.3569446149385874E-10</c:v>
                </c:pt>
                <c:pt idx="145">
                  <c:v>5.7183018622684303E-10</c:v>
                </c:pt>
                <c:pt idx="146">
                  <c:v>5.0757638487681848E-10</c:v>
                </c:pt>
                <c:pt idx="147">
                  <c:v>4.5071154806942473E-10</c:v>
                </c:pt>
                <c:pt idx="148">
                  <c:v>4.0831322511683689E-10</c:v>
                </c:pt>
                <c:pt idx="149">
                  <c:v>3.8577098188662592E-10</c:v>
                </c:pt>
                <c:pt idx="150">
                  <c:v>3.8596142157164761E-10</c:v>
                </c:pt>
                <c:pt idx="151">
                  <c:v>4.0871687027839991E-10</c:v>
                </c:pt>
                <c:pt idx="152">
                  <c:v>4.5069098194035793E-10</c:v>
                </c:pt>
                <c:pt idx="153">
                  <c:v>5.0567694522733383E-10</c:v>
                </c:pt>
                <c:pt idx="154">
                  <c:v>5.6536225842591173E-10</c:v>
                </c:pt>
                <c:pt idx="155">
                  <c:v>6.2053098377843711E-10</c:v>
                </c:pt>
                <c:pt idx="156">
                  <c:v>6.6228212886375937E-10</c:v>
                </c:pt>
                <c:pt idx="157">
                  <c:v>6.8354643904692492E-10</c:v>
                </c:pt>
                <c:pt idx="158">
                  <c:v>6.8026512823630989E-10</c:v>
                </c:pt>
                <c:pt idx="159">
                  <c:v>6.5220041751919217E-10</c:v>
                </c:pt>
                <c:pt idx="160">
                  <c:v>6.0317319701554877E-10</c:v>
                </c:pt>
                <c:pt idx="161">
                  <c:v>5.4063506799333063E-10</c:v>
                </c:pt>
                <c:pt idx="162">
                  <c:v>4.7458769472697816E-10</c:v>
                </c:pt>
                <c:pt idx="163">
                  <c:v>4.1597981828458196E-10</c:v>
                </c:pt>
                <c:pt idx="164">
                  <c:v>3.7482142105767477E-10</c:v>
                </c:pt>
                <c:pt idx="165">
                  <c:v>3.5833339898335821E-10</c:v>
                </c:pt>
                <c:pt idx="166">
                  <c:v>3.6947982719313787E-10</c:v>
                </c:pt>
                <c:pt idx="167">
                  <c:v>4.0619522975642757E-10</c:v>
                </c:pt>
                <c:pt idx="168">
                  <c:v>4.6151854596217174E-10</c:v>
                </c:pt>
                <c:pt idx="169">
                  <c:v>5.2468925763166681E-10</c:v>
                </c:pt>
                <c:pt idx="170">
                  <c:v>5.8307332537190832E-10</c:v>
                </c:pt>
                <c:pt idx="171">
                  <c:v>6.2460183631919043E-10</c:v>
                </c:pt>
                <c:pt idx="172">
                  <c:v>6.4026345254126312E-10</c:v>
                </c:pt>
                <c:pt idx="173">
                  <c:v>6.2613009292031181E-10</c:v>
                </c:pt>
                <c:pt idx="174">
                  <c:v>5.844394710690743E-10</c:v>
                </c:pt>
                <c:pt idx="175">
                  <c:v>5.2341414629803034E-10</c:v>
                </c:pt>
                <c:pt idx="176">
                  <c:v>4.5574567519609342E-10</c:v>
                </c:pt>
                <c:pt idx="177">
                  <c:v>3.9597004829261489E-10</c:v>
                </c:pt>
                <c:pt idx="178">
                  <c:v>3.5724326847563449E-10</c:v>
                </c:pt>
                <c:pt idx="179">
                  <c:v>3.4822287562654066E-10</c:v>
                </c:pt>
                <c:pt idx="180">
                  <c:v>3.7081108244907349E-10</c:v>
                </c:pt>
                <c:pt idx="181">
                  <c:v>4.1938369628225622E-10</c:v>
                </c:pt>
                <c:pt idx="182">
                  <c:v>4.8182311548741547E-10</c:v>
                </c:pt>
                <c:pt idx="183">
                  <c:v>5.4224744109026606E-10</c:v>
                </c:pt>
                <c:pt idx="184">
                  <c:v>5.8487640756145427E-10</c:v>
                </c:pt>
                <c:pt idx="185">
                  <c:v>5.9811636886953864E-10</c:v>
                </c:pt>
                <c:pt idx="186">
                  <c:v>5.7779278162582598E-10</c:v>
                </c:pt>
                <c:pt idx="187">
                  <c:v>5.2858204961654872E-10</c:v>
                </c:pt>
                <c:pt idx="188">
                  <c:v>4.6310004076830123E-10</c:v>
                </c:pt>
                <c:pt idx="189">
                  <c:v>3.9871503825034697E-10</c:v>
                </c:pt>
                <c:pt idx="190">
                  <c:v>3.5281755656971536E-10</c:v>
                </c:pt>
                <c:pt idx="191">
                  <c:v>3.3780653300596602E-10</c:v>
                </c:pt>
                <c:pt idx="192">
                  <c:v>3.5726054957710524E-10</c:v>
                </c:pt>
                <c:pt idx="193">
                  <c:v>4.0454453391217505E-10</c:v>
                </c:pt>
                <c:pt idx="194">
                  <c:v>4.6446661416893646E-10</c:v>
                </c:pt>
                <c:pt idx="195">
                  <c:v>5.1769376090684968E-10</c:v>
                </c:pt>
                <c:pt idx="196">
                  <c:v>5.4671874035973477E-10</c:v>
                </c:pt>
                <c:pt idx="197">
                  <c:v>5.415492937569863E-10</c:v>
                </c:pt>
                <c:pt idx="198">
                  <c:v>5.0321434478635929E-10</c:v>
                </c:pt>
                <c:pt idx="199">
                  <c:v>4.4375056608328786E-10</c:v>
                </c:pt>
                <c:pt idx="200">
                  <c:v>3.8243072270700609E-10</c:v>
                </c:pt>
                <c:pt idx="201">
                  <c:v>3.3917939068959497E-10</c:v>
                </c:pt>
                <c:pt idx="202">
                  <c:v>3.2803187916783744E-10</c:v>
                </c:pt>
                <c:pt idx="203">
                  <c:v>3.5129947275756698E-10</c:v>
                </c:pt>
                <c:pt idx="204">
                  <c:v>3.9889640061432163E-10</c:v>
                </c:pt>
                <c:pt idx="205">
                  <c:v>4.5171780380158224E-10</c:v>
                </c:pt>
                <c:pt idx="206">
                  <c:v>4.8869596937312046E-10</c:v>
                </c:pt>
                <c:pt idx="207">
                  <c:v>4.9488684311341375E-10</c:v>
                </c:pt>
                <c:pt idx="208">
                  <c:v>4.6743639364160571E-10</c:v>
                </c:pt>
                <c:pt idx="209">
                  <c:v>4.1689878752557167E-10</c:v>
                </c:pt>
                <c:pt idx="210">
                  <c:v>3.6311519283212524E-10</c:v>
                </c:pt>
                <c:pt idx="211">
                  <c:v>3.2709788255466461E-10</c:v>
                </c:pt>
                <c:pt idx="212">
                  <c:v>3.221812394798814E-10</c:v>
                </c:pt>
                <c:pt idx="213">
                  <c:v>3.4824617857799397E-10</c:v>
                </c:pt>
                <c:pt idx="214">
                  <c:v>3.9171118087834201E-10</c:v>
                </c:pt>
                <c:pt idx="215">
                  <c:v>4.3154474924229977E-10</c:v>
                </c:pt>
                <c:pt idx="216">
                  <c:v>4.4879319077337965E-10</c:v>
                </c:pt>
                <c:pt idx="217">
                  <c:v>4.3531782757957932E-10</c:v>
                </c:pt>
                <c:pt idx="218">
                  <c:v>3.9756678027204495E-10</c:v>
                </c:pt>
                <c:pt idx="219">
                  <c:v>3.5339180606908765E-10</c:v>
                </c:pt>
                <c:pt idx="220">
                  <c:v>3.2325794451338042E-10</c:v>
                </c:pt>
                <c:pt idx="221">
                  <c:v>3.2008456291174249E-10</c:v>
                </c:pt>
                <c:pt idx="222">
                  <c:v>3.4285693906582907E-10</c:v>
                </c:pt>
                <c:pt idx="223">
                  <c:v>3.7740571141168919E-10</c:v>
                </c:pt>
                <c:pt idx="224">
                  <c:v>4.0408234433265691E-10</c:v>
                </c:pt>
                <c:pt idx="225">
                  <c:v>4.0832069950888851E-10</c:v>
                </c:pt>
                <c:pt idx="226">
                  <c:v>3.8835224787296348E-10</c:v>
                </c:pt>
                <c:pt idx="227">
                  <c:v>3.5576275573542766E-10</c:v>
                </c:pt>
                <c:pt idx="228">
                  <c:v>3.285710016935597E-10</c:v>
                </c:pt>
                <c:pt idx="229">
                  <c:v>3.1954637547716418E-10</c:v>
                </c:pt>
                <c:pt idx="230">
                  <c:v>3.2666408760871257E-10</c:v>
                </c:pt>
                <c:pt idx="231">
                  <c:v>3.6838979497500206E-10</c:v>
                </c:pt>
                <c:pt idx="232">
                  <c:v>3.5991813453301451E-10</c:v>
                </c:pt>
                <c:pt idx="233">
                  <c:v>3.4442318970525981E-10</c:v>
                </c:pt>
                <c:pt idx="234">
                  <c:v>3.3548746764365655E-10</c:v>
                </c:pt>
                <c:pt idx="235">
                  <c:v>3.5777481559623157E-10</c:v>
                </c:pt>
                <c:pt idx="236">
                  <c:v>3.7042974721361456E-10</c:v>
                </c:pt>
                <c:pt idx="237">
                  <c:v>3.381126306984219E-10</c:v>
                </c:pt>
                <c:pt idx="238">
                  <c:v>3.4686979513539042E-10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1000</c:v>
                </c:pt>
                <c:pt idx="1">
                  <c:v>1006</c:v>
                </c:pt>
                <c:pt idx="2">
                  <c:v>1012</c:v>
                </c:pt>
                <c:pt idx="3">
                  <c:v>1018</c:v>
                </c:pt>
                <c:pt idx="4">
                  <c:v>1024</c:v>
                </c:pt>
                <c:pt idx="5">
                  <c:v>1030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3.2864234601798405</c:v>
                </c:pt>
                <c:pt idx="1">
                  <c:v>2.901650783760398</c:v>
                </c:pt>
                <c:pt idx="2">
                  <c:v>2.7297485184195738</c:v>
                </c:pt>
                <c:pt idx="3">
                  <c:v>2.7903695548556775</c:v>
                </c:pt>
                <c:pt idx="4">
                  <c:v>3.0914621515108882</c:v>
                </c:pt>
                <c:pt idx="5">
                  <c:v>3.6288621132602756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50</c:v>
                </c:pt>
                <c:pt idx="1">
                  <c:v>90</c:v>
                </c:pt>
                <c:pt idx="2">
                  <c:v>130</c:v>
                </c:pt>
                <c:pt idx="3">
                  <c:v>170</c:v>
                </c:pt>
                <c:pt idx="4">
                  <c:v>210</c:v>
                </c:pt>
                <c:pt idx="5">
                  <c:v>250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3.8717419773094766</c:v>
                </c:pt>
                <c:pt idx="1">
                  <c:v>3.1187037266019915</c:v>
                </c:pt>
                <c:pt idx="2">
                  <c:v>2.7714049829547913</c:v>
                </c:pt>
                <c:pt idx="3">
                  <c:v>2.7392845763131128</c:v>
                </c:pt>
                <c:pt idx="4">
                  <c:v>2.9995759839552765</c:v>
                </c:pt>
                <c:pt idx="5">
                  <c:v>3.3780664193681842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0.04</c:v>
                </c:pt>
                <c:pt idx="1">
                  <c:v>6.4000000000000001E-2</c:v>
                </c:pt>
                <c:pt idx="2">
                  <c:v>8.7999999999999995E-2</c:v>
                </c:pt>
                <c:pt idx="3">
                  <c:v>0.112</c:v>
                </c:pt>
                <c:pt idx="4">
                  <c:v>0.13600000000000001</c:v>
                </c:pt>
                <c:pt idx="5">
                  <c:v>0.16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5.5406643593549161</c:v>
                </c:pt>
                <c:pt idx="1">
                  <c:v>3.9283167059673492</c:v>
                </c:pt>
                <c:pt idx="2">
                  <c:v>2.9496217832148823</c:v>
                </c:pt>
                <c:pt idx="3">
                  <c:v>2.7120006077363015</c:v>
                </c:pt>
                <c:pt idx="4">
                  <c:v>3.3305427017919635</c:v>
                </c:pt>
                <c:pt idx="5">
                  <c:v>4.9282569265639093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-0.03</c:v>
                </c:pt>
                <c:pt idx="1">
                  <c:v>-3.9999999999999966E-3</c:v>
                </c:pt>
                <c:pt idx="2">
                  <c:v>2.2000000000000006E-2</c:v>
                </c:pt>
                <c:pt idx="3">
                  <c:v>4.8000000000000008E-2</c:v>
                </c:pt>
                <c:pt idx="4">
                  <c:v>7.400000000000001E-2</c:v>
                </c:pt>
                <c:pt idx="5">
                  <c:v>0.1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5.2737142648281958</c:v>
                </c:pt>
                <c:pt idx="1">
                  <c:v>3.7382337894262805</c:v>
                </c:pt>
                <c:pt idx="2">
                  <c:v>2.8679943979627347</c:v>
                </c:pt>
                <c:pt idx="3">
                  <c:v>2.741923935659317</c:v>
                </c:pt>
                <c:pt idx="4">
                  <c:v>3.3061565579223071</c:v>
                </c:pt>
                <c:pt idx="5">
                  <c:v>4.2824155480951989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15</c:v>
                </c:pt>
                <c:pt idx="1">
                  <c:v>19</c:v>
                </c:pt>
                <c:pt idx="2">
                  <c:v>23</c:v>
                </c:pt>
                <c:pt idx="3">
                  <c:v>27</c:v>
                </c:pt>
                <c:pt idx="4">
                  <c:v>31</c:v>
                </c:pt>
                <c:pt idx="5">
                  <c:v>35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5.2386592189183734</c:v>
                </c:pt>
                <c:pt idx="1">
                  <c:v>4.1022280398774473</c:v>
                </c:pt>
                <c:pt idx="2">
                  <c:v>3.2272032292762836</c:v>
                </c:pt>
                <c:pt idx="3">
                  <c:v>2.7609411500398608</c:v>
                </c:pt>
                <c:pt idx="4">
                  <c:v>2.7627129855405896</c:v>
                </c:pt>
                <c:pt idx="5">
                  <c:v>3.249401421241437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30</c:v>
                </c:pt>
                <c:pt idx="1">
                  <c:v>58</c:v>
                </c:pt>
                <c:pt idx="2">
                  <c:v>86</c:v>
                </c:pt>
                <c:pt idx="3">
                  <c:v>114</c:v>
                </c:pt>
                <c:pt idx="4">
                  <c:v>142</c:v>
                </c:pt>
                <c:pt idx="5">
                  <c:v>170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2.829014137574096</c:v>
                </c:pt>
                <c:pt idx="1">
                  <c:v>2.7615575589118713</c:v>
                </c:pt>
                <c:pt idx="2">
                  <c:v>2.7298773549889854</c:v>
                </c:pt>
                <c:pt idx="3">
                  <c:v>2.7331159384214736</c:v>
                </c:pt>
                <c:pt idx="4">
                  <c:v>2.7628309174885546</c:v>
                </c:pt>
                <c:pt idx="5">
                  <c:v>2.8072104323899736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2.04E-6</c:v>
                </c:pt>
                <c:pt idx="1">
                  <c:v>2.0599999999999998E-6</c:v>
                </c:pt>
                <c:pt idx="2">
                  <c:v>2.08E-6</c:v>
                </c:pt>
                <c:pt idx="3">
                  <c:v>2.0999999999999998E-6</c:v>
                </c:pt>
                <c:pt idx="4">
                  <c:v>2.12E-6</c:v>
                </c:pt>
                <c:pt idx="5">
                  <c:v>2.1399999999999998E-6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3.5367113388289892</c:v>
                </c:pt>
                <c:pt idx="1">
                  <c:v>3.0718441303017214</c:v>
                </c:pt>
                <c:pt idx="2">
                  <c:v>2.7758789723006756</c:v>
                </c:pt>
                <c:pt idx="3">
                  <c:v>2.7439093267395567</c:v>
                </c:pt>
                <c:pt idx="4">
                  <c:v>3.2623284468728437</c:v>
                </c:pt>
                <c:pt idx="5">
                  <c:v>3.7447628621883511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1.84E-6</c:v>
                </c:pt>
                <c:pt idx="1">
                  <c:v>1.88E-6</c:v>
                </c:pt>
                <c:pt idx="2">
                  <c:v>1.9199999999999998E-6</c:v>
                </c:pt>
                <c:pt idx="3">
                  <c:v>1.9599999999999999E-6</c:v>
                </c:pt>
                <c:pt idx="4">
                  <c:v>1.9999999999999999E-6</c:v>
                </c:pt>
                <c:pt idx="5">
                  <c:v>2.04E-6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4.9066788277755942</c:v>
                </c:pt>
                <c:pt idx="1">
                  <c:v>3.6544866603450576</c:v>
                </c:pt>
                <c:pt idx="2">
                  <c:v>2.8940266741913039</c:v>
                </c:pt>
                <c:pt idx="3">
                  <c:v>2.6956831090978621</c:v>
                </c:pt>
                <c:pt idx="4">
                  <c:v>3.1341535594130057</c:v>
                </c:pt>
                <c:pt idx="5">
                  <c:v>4.2885706482707118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1.7799999999999999E-6</c:v>
                </c:pt>
                <c:pt idx="1">
                  <c:v>1.792E-6</c:v>
                </c:pt>
                <c:pt idx="2">
                  <c:v>1.804E-6</c:v>
                </c:pt>
                <c:pt idx="3">
                  <c:v>1.8159999999999999E-6</c:v>
                </c:pt>
                <c:pt idx="4">
                  <c:v>1.8279999999999999E-6</c:v>
                </c:pt>
                <c:pt idx="5">
                  <c:v>1.84E-6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2.9184014840013437</c:v>
                </c:pt>
                <c:pt idx="1">
                  <c:v>2.7998684086912289</c:v>
                </c:pt>
                <c:pt idx="2">
                  <c:v>2.7250283821616885</c:v>
                </c:pt>
                <c:pt idx="3">
                  <c:v>2.6945411369587893</c:v>
                </c:pt>
                <c:pt idx="4">
                  <c:v>2.7080317472771567</c:v>
                </c:pt>
                <c:pt idx="5">
                  <c:v>2.7639070999788751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9367E147-5C7F-48CA-A2BF-F8E26CF2113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C10" sqref="C10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SUM(Y3:Y241)/238</f>
        <v>2.6937570381934428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7.9418057448799994E-3</v>
      </c>
      <c r="J3" s="109">
        <v>3.4328313191939217E-9</v>
      </c>
      <c r="K3" s="109">
        <v>5.3524480158098677E-10</v>
      </c>
      <c r="L3" s="152">
        <v>3.9603783494405548E-9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3.9600107753950111E-9</v>
      </c>
      <c r="V3" s="127">
        <v>3.9603783494405548E-9</v>
      </c>
      <c r="W3" s="128">
        <v>3.9607412650296146E-9</v>
      </c>
      <c r="X3" s="128">
        <f t="shared" ref="X3:X66" si="0">(U3+2*V3+W3)/4</f>
        <v>3.9603771848264336E-9</v>
      </c>
      <c r="Y3" s="139">
        <f t="shared" ref="Y3:Y66" si="1">(J3-X3)*(J3-X3)/(K3*K3)</f>
        <v>0.97143899254938637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1.9446415291084581E-6</v>
      </c>
      <c r="D4" s="19">
        <v>9.9999999999999994E-12</v>
      </c>
      <c r="E4" s="19">
        <v>5.0000000000000001E-9</v>
      </c>
      <c r="F4" s="149">
        <f>H4*H8</f>
        <v>161.30714143723077</v>
      </c>
      <c r="G4" s="107">
        <v>28.973187949049098</v>
      </c>
      <c r="H4" s="107">
        <v>161.30714143723077</v>
      </c>
      <c r="I4" s="109">
        <v>8.0212238023300002E-3</v>
      </c>
      <c r="J4" s="109">
        <v>4.0207716253842358E-9</v>
      </c>
      <c r="K4" s="109">
        <v>4.1320208823505365E-10</v>
      </c>
      <c r="L4" s="152">
        <v>4.1203218747363224E-9</v>
      </c>
      <c r="M4" s="27"/>
      <c r="N4" s="18">
        <v>7.6075658134496804E-9</v>
      </c>
      <c r="O4" s="18">
        <v>3.9120658998460512E-14</v>
      </c>
      <c r="P4" s="18">
        <v>1.9560329499230255E-11</v>
      </c>
      <c r="Q4" s="28">
        <v>9.9730440653838972</v>
      </c>
      <c r="R4" s="60">
        <v>100</v>
      </c>
      <c r="S4" s="57">
        <v>0</v>
      </c>
      <c r="U4" s="127">
        <v>4.1199330425778812E-9</v>
      </c>
      <c r="V4" s="127">
        <v>4.1203218747363224E-9</v>
      </c>
      <c r="W4" s="128">
        <v>4.1207065429335971E-9</v>
      </c>
      <c r="X4" s="128">
        <f t="shared" si="0"/>
        <v>4.1203208337460304E-9</v>
      </c>
      <c r="Y4" s="139">
        <f t="shared" si="1"/>
        <v>5.8043100898887673E-2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1.8250459739813562E-6</v>
      </c>
      <c r="D5" s="101">
        <v>1.5392483148537927E-10</v>
      </c>
      <c r="E5" s="101">
        <v>5.0509225500401457E-8</v>
      </c>
      <c r="F5" s="149">
        <f>(H10-H4)*H8</f>
        <v>851.96395430207326</v>
      </c>
      <c r="G5" s="107">
        <v>102.8379859963555</v>
      </c>
      <c r="H5" s="111" t="s">
        <v>599</v>
      </c>
      <c r="I5" s="109">
        <v>8.1014360403499994E-3</v>
      </c>
      <c r="J5" s="109">
        <v>4.5028241802534444E-9</v>
      </c>
      <c r="K5" s="109">
        <v>3.7853921681492209E-10</v>
      </c>
      <c r="L5" s="152">
        <v>4.2866386048921963E-9</v>
      </c>
      <c r="M5" s="27"/>
      <c r="N5" s="18">
        <v>6.2665719841554166E-8</v>
      </c>
      <c r="O5" s="18">
        <v>3.2224818252381934E-13</v>
      </c>
      <c r="P5" s="18">
        <v>1.6112409126190968E-10</v>
      </c>
      <c r="Q5" s="28">
        <v>7.4263430719236236</v>
      </c>
      <c r="R5" s="60">
        <v>100</v>
      </c>
      <c r="S5" s="57">
        <v>7.6075658134496804E-9</v>
      </c>
      <c r="U5" s="127">
        <v>4.2862278581203123E-9</v>
      </c>
      <c r="V5" s="127">
        <v>4.2866386048921963E-9</v>
      </c>
      <c r="W5" s="128">
        <v>4.2870458594676912E-9</v>
      </c>
      <c r="X5" s="128">
        <f t="shared" si="0"/>
        <v>4.2866377318430986E-9</v>
      </c>
      <c r="Y5" s="139">
        <f t="shared" si="1"/>
        <v>0.32616336209211966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7.7690809690198375E-7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0.03</v>
      </c>
      <c r="I6" s="109">
        <v>8.1824504007600007E-3</v>
      </c>
      <c r="J6" s="109">
        <v>4.8566559325451834E-9</v>
      </c>
      <c r="K6" s="109">
        <v>3.5920096323549282E-10</v>
      </c>
      <c r="L6" s="152">
        <v>4.4595642284226074E-9</v>
      </c>
      <c r="M6" s="27"/>
      <c r="N6" s="18">
        <v>1.4231560698135328E-7</v>
      </c>
      <c r="O6" s="18">
        <v>7.318346587332186E-13</v>
      </c>
      <c r="P6" s="18">
        <v>3.6591732936660931E-10</v>
      </c>
      <c r="Q6" s="28">
        <v>4.1326033419157771</v>
      </c>
      <c r="R6" s="60">
        <v>109.9730440653839</v>
      </c>
      <c r="S6" s="57">
        <v>7.6075658134496804E-9</v>
      </c>
      <c r="U6" s="127">
        <v>4.4591311442865659E-9</v>
      </c>
      <c r="V6" s="127">
        <v>4.4595642284226074E-9</v>
      </c>
      <c r="W6" s="128">
        <v>4.4599947144461592E-9</v>
      </c>
      <c r="X6" s="128">
        <f t="shared" si="0"/>
        <v>4.4595635788944848E-9</v>
      </c>
      <c r="Y6" s="139">
        <f t="shared" si="1"/>
        <v>1.2221037132531527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9.0435306927564199</v>
      </c>
      <c r="G7" s="102">
        <v>5</v>
      </c>
      <c r="H7" s="134" t="s">
        <v>600</v>
      </c>
      <c r="I7" s="109">
        <v>8.2642749047700005E-3</v>
      </c>
      <c r="J7" s="109">
        <v>4.0740781224928613E-9</v>
      </c>
      <c r="K7" s="109">
        <v>3.1743763027819442E-10</v>
      </c>
      <c r="L7" s="152">
        <v>4.6393408120504768E-9</v>
      </c>
      <c r="M7" s="27"/>
      <c r="N7" s="18">
        <v>2.3244362127156812E-7</v>
      </c>
      <c r="O7" s="18">
        <v>1.1953031846344163E-12</v>
      </c>
      <c r="P7" s="18">
        <v>5.9765159231720819E-10</v>
      </c>
      <c r="Q7" s="28">
        <v>3.0278297361224698</v>
      </c>
      <c r="R7" s="60">
        <v>109.9730440653839</v>
      </c>
      <c r="S7" s="57">
        <v>6.2665719841554166E-8</v>
      </c>
      <c r="U7" s="127">
        <v>4.638885345638567E-9</v>
      </c>
      <c r="V7" s="127">
        <v>4.6393408120504768E-9</v>
      </c>
      <c r="W7" s="128">
        <v>4.6397948513332394E-9</v>
      </c>
      <c r="X7" s="128">
        <f t="shared" si="0"/>
        <v>4.6393404552681896E-9</v>
      </c>
      <c r="Y7" s="139">
        <f t="shared" si="1"/>
        <v>3.1709053308378388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2.0868381646897462E-6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8.3469176538099998E-3</v>
      </c>
      <c r="J8" s="109">
        <v>4.8875447521453237E-9</v>
      </c>
      <c r="K8" s="109">
        <v>3.4857760234660165E-10</v>
      </c>
      <c r="L8" s="152">
        <v>4.8262144176572349E-9</v>
      </c>
      <c r="M8" s="27"/>
      <c r="N8" s="18">
        <v>3.2756023783922141E-7</v>
      </c>
      <c r="O8" s="18">
        <v>1.6844247792517059E-12</v>
      </c>
      <c r="P8" s="18">
        <v>8.422123896258529E-10</v>
      </c>
      <c r="Q8" s="28">
        <v>2.4640063886443411</v>
      </c>
      <c r="R8" s="60">
        <v>117.39938713730753</v>
      </c>
      <c r="S8" s="57">
        <v>6.2665719841554166E-8</v>
      </c>
      <c r="U8" s="127">
        <v>4.8257370934686971E-9</v>
      </c>
      <c r="V8" s="127">
        <v>4.8262144176572349E-9</v>
      </c>
      <c r="W8" s="128">
        <v>4.8266918301850549E-9</v>
      </c>
      <c r="X8" s="128">
        <f t="shared" si="0"/>
        <v>4.8262144397420548E-9</v>
      </c>
      <c r="Y8" s="139">
        <f t="shared" si="1"/>
        <v>3.0956467531695415E-2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8.4303868303500003E-3</v>
      </c>
      <c r="J9" s="109">
        <v>5.1677417746391627E-9</v>
      </c>
      <c r="K9" s="109">
        <v>3.4899603680791066E-10</v>
      </c>
      <c r="L9" s="152">
        <v>5.0204323356194346E-9</v>
      </c>
      <c r="M9" s="27"/>
      <c r="N9" s="18">
        <v>4.2515239577200862E-7</v>
      </c>
      <c r="O9" s="18">
        <v>2.1862764391693533E-12</v>
      </c>
      <c r="P9" s="18">
        <v>1.0931382195846767E-9</v>
      </c>
      <c r="Q9" s="28">
        <v>2.1276831963567413</v>
      </c>
      <c r="R9" s="60">
        <v>117.39938713730753</v>
      </c>
      <c r="S9" s="57">
        <v>1.4231560698135328E-7</v>
      </c>
      <c r="U9" s="127">
        <v>5.0199345200298793E-9</v>
      </c>
      <c r="V9" s="127">
        <v>5.0204323356194346E-9</v>
      </c>
      <c r="W9" s="128">
        <v>5.020932184206867E-9</v>
      </c>
      <c r="X9" s="128">
        <f t="shared" si="0"/>
        <v>5.0204328438689037E-9</v>
      </c>
      <c r="Y9" s="139">
        <f t="shared" si="1"/>
        <v>0.17816285527396636</v>
      </c>
      <c r="AA9" s="73"/>
      <c r="AB9" s="176"/>
      <c r="AC9" s="176"/>
      <c r="AD9" s="176"/>
      <c r="AJ9" s="135"/>
    </row>
    <row r="10" spans="1:36" x14ac:dyDescent="0.35">
      <c r="A10" s="69">
        <v>3.3492537680164975</v>
      </c>
      <c r="B10" s="100"/>
      <c r="C10" s="101"/>
      <c r="D10" s="101"/>
      <c r="E10" s="101"/>
      <c r="F10" s="102"/>
      <c r="G10" s="102"/>
      <c r="H10" s="107">
        <v>1013.2710957393041</v>
      </c>
      <c r="I10" s="109">
        <v>8.5146906986500008E-3</v>
      </c>
      <c r="J10" s="109">
        <v>4.9721525150240438E-9</v>
      </c>
      <c r="K10" s="109">
        <v>3.324141882740542E-10</v>
      </c>
      <c r="L10" s="152">
        <v>5.2222404771269499E-9</v>
      </c>
      <c r="M10" s="27"/>
      <c r="N10" s="18">
        <v>5.2396730519131114E-7</v>
      </c>
      <c r="O10" s="18">
        <v>2.694415897985731E-12</v>
      </c>
      <c r="P10" s="18">
        <v>1.3472079489928657E-9</v>
      </c>
      <c r="Q10" s="28">
        <v>1.9113893111806723</v>
      </c>
      <c r="R10" s="60">
        <v>121.53199047922331</v>
      </c>
      <c r="S10" s="57">
        <v>1.4231560698135328E-7</v>
      </c>
      <c r="U10" s="127">
        <v>5.2217247834387923E-9</v>
      </c>
      <c r="V10" s="127">
        <v>5.2222404771269499E-9</v>
      </c>
      <c r="W10" s="128">
        <v>5.2227606833697932E-9</v>
      </c>
      <c r="X10" s="128">
        <f t="shared" si="0"/>
        <v>5.2222416052656213E-9</v>
      </c>
      <c r="Y10" s="139">
        <f t="shared" si="1"/>
        <v>0.56601819077148652</v>
      </c>
      <c r="AA10" s="73"/>
      <c r="AB10" s="176"/>
      <c r="AC10" s="176"/>
      <c r="AD10" s="176"/>
      <c r="AJ10" s="135"/>
    </row>
    <row r="11" spans="1:36" x14ac:dyDescent="0.35">
      <c r="B11" s="100"/>
      <c r="C11" s="142"/>
      <c r="D11" s="180"/>
      <c r="E11" s="180"/>
      <c r="F11" s="102"/>
      <c r="G11" s="180"/>
      <c r="H11" s="180"/>
      <c r="I11" s="109">
        <v>8.5998376056400008E-3</v>
      </c>
      <c r="J11" s="109">
        <v>5.6942342277465467E-9</v>
      </c>
      <c r="K11" s="109">
        <v>3.4492205271537889E-10</v>
      </c>
      <c r="L11" s="152">
        <v>5.4318797360668953E-9</v>
      </c>
      <c r="M11" s="27"/>
      <c r="N11" s="18">
        <v>6.2335787607441514E-7</v>
      </c>
      <c r="O11" s="18">
        <v>3.2055156014291243E-12</v>
      </c>
      <c r="P11" s="18">
        <v>1.6027578007145623E-9</v>
      </c>
      <c r="Q11" s="28">
        <v>1.7680358296694134</v>
      </c>
      <c r="R11" s="60">
        <v>121.53199047922331</v>
      </c>
      <c r="S11" s="57">
        <v>2.3244362127156812E-7</v>
      </c>
      <c r="U11" s="127">
        <v>5.4313506327137376E-9</v>
      </c>
      <c r="V11" s="127">
        <v>5.4318797360668953E-9</v>
      </c>
      <c r="W11" s="128">
        <v>5.4324164970793997E-9</v>
      </c>
      <c r="X11" s="128">
        <f t="shared" si="0"/>
        <v>5.4318816504817316E-9</v>
      </c>
      <c r="Y11" s="139">
        <f t="shared" si="1"/>
        <v>0.57853381162633721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8.6858359817000002E-3</v>
      </c>
      <c r="J12" s="109">
        <v>5.5258753477471208E-9</v>
      </c>
      <c r="K12" s="109">
        <v>3.4519082648429173E-10</v>
      </c>
      <c r="L12" s="152">
        <v>5.649580506770386E-9</v>
      </c>
      <c r="M12" s="27"/>
      <c r="N12" s="18">
        <v>7.2299250189360717E-7</v>
      </c>
      <c r="O12" s="18">
        <v>3.7178703173384912E-12</v>
      </c>
      <c r="P12" s="18">
        <v>1.8589351586692456E-9</v>
      </c>
      <c r="Q12" s="28">
        <v>1.6740446245632972</v>
      </c>
      <c r="R12" s="60">
        <v>124.55982021534578</v>
      </c>
      <c r="S12" s="57">
        <v>2.3244362127156812E-7</v>
      </c>
      <c r="U12" s="127">
        <v>5.6490452410334591E-9</v>
      </c>
      <c r="V12" s="127">
        <v>5.649580506770386E-9</v>
      </c>
      <c r="W12" s="128">
        <v>5.6501273996686805E-9</v>
      </c>
      <c r="X12" s="128">
        <f t="shared" si="0"/>
        <v>5.6495834135607275E-9</v>
      </c>
      <c r="Y12" s="139">
        <f t="shared" si="1"/>
        <v>0.12843327054429396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8.7726943415100001E-3</v>
      </c>
      <c r="J13" s="109">
        <v>6.895396992782696E-9</v>
      </c>
      <c r="K13" s="109">
        <v>3.8533852574382452E-10</v>
      </c>
      <c r="L13" s="152">
        <v>5.8755543346554665E-9</v>
      </c>
      <c r="M13" s="27"/>
      <c r="N13" s="18">
        <v>8.2271166748236393E-7</v>
      </c>
      <c r="O13" s="18">
        <v>4.2306597651421388E-12</v>
      </c>
      <c r="P13" s="18">
        <v>2.1153298825710695E-9</v>
      </c>
      <c r="Q13" s="28">
        <v>1.6168071806366349</v>
      </c>
      <c r="R13" s="60">
        <v>124.55982021534578</v>
      </c>
      <c r="S13" s="57">
        <v>3.2756023783922141E-7</v>
      </c>
      <c r="U13" s="127">
        <v>5.875024359413743E-9</v>
      </c>
      <c r="V13" s="127">
        <v>5.8755543346554665E-9</v>
      </c>
      <c r="W13" s="128">
        <v>5.876100918329567E-9</v>
      </c>
      <c r="X13" s="128">
        <f t="shared" si="0"/>
        <v>5.8755584867635607E-9</v>
      </c>
      <c r="Y13" s="139">
        <f t="shared" si="1"/>
        <v>7.0045130409456018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1.2682417448766454</v>
      </c>
      <c r="I14" s="109">
        <v>8.86042128493E-3</v>
      </c>
      <c r="J14" s="109">
        <v>6.2070227586254701E-9</v>
      </c>
      <c r="K14" s="109">
        <v>3.601586096840356E-10</v>
      </c>
      <c r="L14" s="152">
        <v>6.1099812914770557E-9</v>
      </c>
      <c r="M14" s="27"/>
      <c r="N14" s="18">
        <v>9.2245034094693087E-7</v>
      </c>
      <c r="O14" s="18">
        <v>4.7435495289964222E-12</v>
      </c>
      <c r="P14" s="18">
        <v>2.3717747644982111E-9</v>
      </c>
      <c r="Q14" s="28">
        <v>1.5896475583596126</v>
      </c>
      <c r="R14" s="60">
        <v>127.02382660399012</v>
      </c>
      <c r="S14" s="57">
        <v>3.2756023783922141E-7</v>
      </c>
      <c r="U14" s="127">
        <v>6.1094745167857737E-9</v>
      </c>
      <c r="V14" s="127">
        <v>6.1099812914770557E-9</v>
      </c>
      <c r="W14" s="128">
        <v>6.110510875054613E-9</v>
      </c>
      <c r="X14" s="128">
        <f t="shared" si="0"/>
        <v>6.1099869936986247E-9</v>
      </c>
      <c r="Y14" s="139">
        <f t="shared" si="1"/>
        <v>7.2589877772655659E-2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645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8.9490254977800006E-3</v>
      </c>
      <c r="J15" s="109">
        <v>6.9335426805090779E-9</v>
      </c>
      <c r="K15" s="109">
        <v>3.1040943688253577E-10</v>
      </c>
      <c r="L15" s="152">
        <v>6.3529904468687476E-9</v>
      </c>
      <c r="M15" s="27"/>
      <c r="N15" s="18">
        <v>1.087450518613178E-6</v>
      </c>
      <c r="O15" s="18">
        <v>5.6108902318064265E-12</v>
      </c>
      <c r="P15" s="18">
        <v>2.8019952642675993E-9</v>
      </c>
      <c r="Q15" s="28">
        <v>3.6660713963006994</v>
      </c>
      <c r="R15" s="60">
        <v>127.02382660399012</v>
      </c>
      <c r="S15" s="57">
        <v>4.2515239577200862E-7</v>
      </c>
      <c r="U15" s="127">
        <v>6.3525348849689012E-9</v>
      </c>
      <c r="V15" s="127">
        <v>6.3529904468687476E-9</v>
      </c>
      <c r="W15" s="128">
        <v>6.3534764336933497E-9</v>
      </c>
      <c r="X15" s="128">
        <f t="shared" si="0"/>
        <v>6.3529980530999364E-9</v>
      </c>
      <c r="Y15" s="139">
        <f t="shared" si="1"/>
        <v>3.497851668672916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1.6700000000000001E-6</v>
      </c>
      <c r="D16" s="157">
        <v>5.6499999999999999E-7</v>
      </c>
      <c r="E16" s="157">
        <v>5.7300000000000002E-6</v>
      </c>
      <c r="F16" s="102"/>
      <c r="G16" s="102"/>
      <c r="H16" s="159">
        <f>H37</f>
        <v>0.26707440697010099</v>
      </c>
      <c r="I16" s="109">
        <v>9.0385157527600006E-3</v>
      </c>
      <c r="J16" s="109">
        <v>6.4043083640723594E-9</v>
      </c>
      <c r="K16" s="109">
        <v>2.8836578331309232E-10</v>
      </c>
      <c r="L16" s="152">
        <v>6.6046287953110243E-9</v>
      </c>
      <c r="M16" s="27"/>
      <c r="N16" s="18">
        <v>1.4086223888732538E-6</v>
      </c>
      <c r="O16" s="18">
        <v>7.2741653392773797E-12</v>
      </c>
      <c r="P16" s="18">
        <v>3.6314917588855543E-9</v>
      </c>
      <c r="Q16" s="28">
        <v>7.3321427926013989</v>
      </c>
      <c r="R16" s="60">
        <v>129.15150980034684</v>
      </c>
      <c r="S16" s="57">
        <v>4.2515239577200862E-7</v>
      </c>
      <c r="U16" s="127">
        <v>6.6042686436470953E-9</v>
      </c>
      <c r="V16" s="127">
        <v>6.6046287953110243E-9</v>
      </c>
      <c r="W16" s="128">
        <v>6.6050285017911143E-9</v>
      </c>
      <c r="X16" s="128">
        <f t="shared" si="0"/>
        <v>6.6046386840150648E-9</v>
      </c>
      <c r="Y16" s="139">
        <f t="shared" si="1"/>
        <v>0.48262066687306227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646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9.1289009102799995E-3</v>
      </c>
      <c r="J17" s="109">
        <v>6.4395183513900568E-9</v>
      </c>
      <c r="K17" s="109">
        <v>2.8439982314266454E-10</v>
      </c>
      <c r="L17" s="152">
        <v>6.8648100576556025E-9</v>
      </c>
      <c r="M17" s="27"/>
      <c r="N17" s="18">
        <v>1.7177008273142586E-6</v>
      </c>
      <c r="O17" s="18">
        <v>8.8898240470310013E-12</v>
      </c>
      <c r="P17" s="18">
        <v>4.4345137450338642E-9</v>
      </c>
      <c r="Q17" s="28">
        <v>7.3321427926013989</v>
      </c>
      <c r="R17" s="60">
        <v>129.15150980034684</v>
      </c>
      <c r="S17" s="57">
        <v>5.2396730519131114E-7</v>
      </c>
      <c r="U17" s="127">
        <v>6.8646162294505173E-9</v>
      </c>
      <c r="V17" s="127">
        <v>6.8648100576556025E-9</v>
      </c>
      <c r="W17" s="128">
        <v>6.8650538571472677E-9</v>
      </c>
      <c r="X17" s="128">
        <f t="shared" si="0"/>
        <v>6.8648225504772471E-9</v>
      </c>
      <c r="Y17" s="139">
        <f t="shared" si="1"/>
        <v>2.2363547549271092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209.22</v>
      </c>
      <c r="D18" s="159">
        <v>44.06</v>
      </c>
      <c r="E18" s="159">
        <v>48.06</v>
      </c>
      <c r="F18" s="104"/>
      <c r="G18" s="104"/>
      <c r="H18" s="160">
        <v>0.10435777444688281</v>
      </c>
      <c r="I18" s="109">
        <v>9.2201899193900001E-3</v>
      </c>
      <c r="J18" s="109">
        <v>7.4167125777129333E-9</v>
      </c>
      <c r="K18" s="109">
        <v>3.0709680218093284E-10</v>
      </c>
      <c r="L18" s="152">
        <v>7.1332266078227491E-9</v>
      </c>
      <c r="N18" s="18">
        <v>1.8727646112625075E-6</v>
      </c>
      <c r="O18" s="18">
        <v>9.7333183901666056E-12</v>
      </c>
      <c r="P18" s="18">
        <v>4.8478250481184845E-9</v>
      </c>
      <c r="Q18" s="28">
        <v>7.3321427926013989</v>
      </c>
      <c r="R18" s="60">
        <v>131.06289911152751</v>
      </c>
      <c r="S18" s="57">
        <v>5.2396730519131114E-7</v>
      </c>
      <c r="U18" s="127">
        <v>7.1333157972006767E-9</v>
      </c>
      <c r="V18" s="127">
        <v>7.1332266078227491E-9</v>
      </c>
      <c r="W18" s="128">
        <v>7.133197949142803E-9</v>
      </c>
      <c r="X18" s="128">
        <f t="shared" si="0"/>
        <v>7.1332417404972451E-9</v>
      </c>
      <c r="Y18" s="139">
        <f t="shared" si="1"/>
        <v>0.8520521653877815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9.3123918185800004E-3</v>
      </c>
      <c r="J19" s="109">
        <v>7.4588022379932333E-9</v>
      </c>
      <c r="K19" s="109">
        <v>3.0561005992060783E-10</v>
      </c>
      <c r="L19" s="152">
        <v>7.409189575867126E-9</v>
      </c>
      <c r="N19" s="18">
        <v>1.9278109901780148E-6</v>
      </c>
      <c r="O19" s="18">
        <v>1.0095045837221338E-11</v>
      </c>
      <c r="P19" s="18">
        <v>5.0142959759944761E-9</v>
      </c>
      <c r="Q19" s="28">
        <v>7.3321427926013989</v>
      </c>
      <c r="R19" s="60">
        <v>131.06289911152751</v>
      </c>
      <c r="S19" s="57">
        <v>6.2335787607441514E-7</v>
      </c>
      <c r="U19" s="127">
        <v>7.4097607589290455E-9</v>
      </c>
      <c r="V19" s="127">
        <v>7.409189575867126E-9</v>
      </c>
      <c r="W19" s="128">
        <v>7.4086859757852706E-9</v>
      </c>
      <c r="X19" s="128">
        <f t="shared" si="0"/>
        <v>7.4092064716121416E-9</v>
      </c>
      <c r="Y19" s="139">
        <f t="shared" si="1"/>
        <v>2.6336248969753475E-2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4.2251569001878438E-2</v>
      </c>
      <c r="I20" s="109">
        <v>9.4055157367700006E-3</v>
      </c>
      <c r="J20" s="109">
        <v>8.1960529159576207E-9</v>
      </c>
      <c r="K20" s="109">
        <v>5.4242585143000521E-10</v>
      </c>
      <c r="L20" s="152">
        <v>7.6913178727095973E-9</v>
      </c>
      <c r="N20" s="18">
        <v>1.9415611176181139E-6</v>
      </c>
      <c r="O20" s="18">
        <v>1.0296239619642759E-11</v>
      </c>
      <c r="P20" s="18">
        <v>5.0910173636941294E-9</v>
      </c>
      <c r="Q20" s="28">
        <v>7.3321427926013989</v>
      </c>
      <c r="R20" s="60">
        <v>132.83093494119692</v>
      </c>
      <c r="S20" s="57">
        <v>6.2335787607441514E-7</v>
      </c>
      <c r="U20" s="127">
        <v>7.6927273825819046E-9</v>
      </c>
      <c r="V20" s="127">
        <v>7.6913178727095973E-9</v>
      </c>
      <c r="W20" s="128">
        <v>7.6899687474754817E-9</v>
      </c>
      <c r="X20" s="128">
        <f t="shared" si="0"/>
        <v>7.6913329688691448E-9</v>
      </c>
      <c r="Y20" s="139">
        <f t="shared" si="1"/>
        <v>0.86580517842557414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9.4995708941299998E-3</v>
      </c>
      <c r="J21" s="109">
        <v>8.3120140171646625E-9</v>
      </c>
      <c r="K21" s="109">
        <v>5.3354060121053177E-10</v>
      </c>
      <c r="L21" s="152">
        <v>7.9768762183504753E-9</v>
      </c>
      <c r="M21" s="31"/>
      <c r="N21" s="18">
        <v>1.9438452376945802E-6</v>
      </c>
      <c r="O21" s="18">
        <v>1.05184418881258E-11</v>
      </c>
      <c r="P21" s="30">
        <v>5.1636104899932643E-9</v>
      </c>
      <c r="Q21" s="65">
        <v>7.3321427926013989</v>
      </c>
      <c r="R21" s="62">
        <v>132.83093494119692</v>
      </c>
      <c r="S21" s="61">
        <v>7.2299250189360717E-7</v>
      </c>
      <c r="T21" s="75"/>
      <c r="U21" s="127">
        <v>7.979807439250017E-9</v>
      </c>
      <c r="V21" s="127">
        <v>7.9768762183504753E-9</v>
      </c>
      <c r="W21" s="128">
        <v>7.9739514465860695E-9</v>
      </c>
      <c r="X21" s="128">
        <f t="shared" si="0"/>
        <v>7.9768778306342584E-9</v>
      </c>
      <c r="Y21" s="139">
        <f t="shared" si="1"/>
        <v>0.39455513458547492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9.5945666030799997E-3</v>
      </c>
      <c r="J22" s="109">
        <v>8.8566384151617277E-9</v>
      </c>
      <c r="K22" s="109">
        <v>5.6034215372490691E-10</v>
      </c>
      <c r="L22" s="152">
        <v>8.260191370137146E-9</v>
      </c>
      <c r="N22" s="18">
        <v>1.9438678829544243E-6</v>
      </c>
      <c r="O22" s="18">
        <v>1.084858668147661E-11</v>
      </c>
      <c r="P22" s="18">
        <v>5.2682963900851177E-9</v>
      </c>
      <c r="Q22" s="28">
        <v>7.3321427926013989</v>
      </c>
      <c r="R22" s="60">
        <v>134.50497956576021</v>
      </c>
      <c r="S22" s="57">
        <v>7.2299250189360717E-7</v>
      </c>
      <c r="U22" s="127">
        <v>8.2660860714470789E-9</v>
      </c>
      <c r="V22" s="127">
        <v>8.260191370137146E-9</v>
      </c>
      <c r="W22" s="128">
        <v>8.2540981769018819E-9</v>
      </c>
      <c r="X22" s="128">
        <f t="shared" si="0"/>
        <v>8.2601417471558128E-9</v>
      </c>
      <c r="Y22" s="139">
        <f t="shared" si="1"/>
        <v>1.1332075362159737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9.69051226911E-3</v>
      </c>
      <c r="J23" s="109">
        <v>1.0052861211078474E-8</v>
      </c>
      <c r="K23" s="109">
        <v>5.8333498324332353E-10</v>
      </c>
      <c r="L23" s="152">
        <v>8.5286363088086675E-9</v>
      </c>
      <c r="N23" s="18">
        <v>1.9434563304103251E-6</v>
      </c>
      <c r="O23" s="18">
        <v>1.1349657414705825E-11</v>
      </c>
      <c r="P23" s="18">
        <v>5.4267617720023042E-9</v>
      </c>
      <c r="Q23" s="28">
        <v>7.3321427926013989</v>
      </c>
      <c r="R23" s="60">
        <v>134.50497956576021</v>
      </c>
      <c r="S23" s="57">
        <v>8.2271166748236393E-7</v>
      </c>
      <c r="U23" s="127">
        <v>8.5407872466417238E-9</v>
      </c>
      <c r="V23" s="127">
        <v>8.5286363088086675E-9</v>
      </c>
      <c r="W23" s="128">
        <v>8.5156557996491111E-9</v>
      </c>
      <c r="X23" s="128">
        <f t="shared" si="0"/>
        <v>8.5284289159770429E-9</v>
      </c>
      <c r="Y23" s="139">
        <f t="shared" si="1"/>
        <v>6.8293636207988104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9.7874173918000001E-3</v>
      </c>
      <c r="J24" s="109">
        <v>9.0056784538543661E-9</v>
      </c>
      <c r="K24" s="109">
        <v>5.4144462533687269E-10</v>
      </c>
      <c r="L24" s="152">
        <v>8.7519301373361523E-9</v>
      </c>
      <c r="N24" s="18">
        <v>1.9428069816069822E-6</v>
      </c>
      <c r="O24" s="18">
        <v>1.2092245449680551E-11</v>
      </c>
      <c r="P24" s="18">
        <v>5.6615707528578033E-9</v>
      </c>
      <c r="Q24" s="28">
        <v>7.3321427926013989</v>
      </c>
      <c r="R24" s="60">
        <v>136.12178674639685</v>
      </c>
      <c r="S24" s="57">
        <v>8.2271166748236393E-7</v>
      </c>
      <c r="U24" s="127">
        <v>8.7775251450270573E-9</v>
      </c>
      <c r="V24" s="127">
        <v>8.7519301373361523E-9</v>
      </c>
      <c r="W24" s="128">
        <v>8.724003062065944E-9</v>
      </c>
      <c r="X24" s="128">
        <f t="shared" si="0"/>
        <v>8.7513471204413269E-9</v>
      </c>
      <c r="Y24" s="139">
        <f t="shared" si="1"/>
        <v>0.22064375623906629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1.7436837362860377E-6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42.857254117462226</v>
      </c>
      <c r="H25" s="149">
        <v>200</v>
      </c>
      <c r="I25" s="109">
        <v>9.8852915657199995E-3</v>
      </c>
      <c r="J25" s="109">
        <v>8.5983603289227781E-9</v>
      </c>
      <c r="K25" s="109">
        <v>5.3061637624191E-10</v>
      </c>
      <c r="L25" s="152">
        <v>8.8584903025435901E-9</v>
      </c>
      <c r="N25" s="18">
        <v>1.9418686433757331E-6</v>
      </c>
      <c r="O25" s="18">
        <v>1.3162526863324291E-11</v>
      </c>
      <c r="P25" s="18">
        <v>5.9999952499622178E-9</v>
      </c>
      <c r="Q25" s="28">
        <v>7.3321427926013989</v>
      </c>
      <c r="R25" s="60">
        <v>136.12178674639685</v>
      </c>
      <c r="S25" s="57">
        <v>9.2245034094693087E-7</v>
      </c>
      <c r="U25" s="127">
        <v>8.9085170958207796E-9</v>
      </c>
      <c r="V25" s="127">
        <v>8.8584903025435901E-9</v>
      </c>
      <c r="W25" s="128">
        <v>8.804412961562826E-9</v>
      </c>
      <c r="X25" s="128">
        <f t="shared" si="0"/>
        <v>8.8574776656176964E-9</v>
      </c>
      <c r="Y25" s="139">
        <f t="shared" si="1"/>
        <v>0.23846884249262451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1.7436837362860377E-6</v>
      </c>
      <c r="D26" s="101">
        <v>1.5392483148537927E-10</v>
      </c>
      <c r="E26" s="101">
        <v>5.0509225500401457E-8</v>
      </c>
      <c r="F26" s="149">
        <f>(H31-H25)*H29</f>
        <v>821.42409881512742</v>
      </c>
      <c r="G26" s="149">
        <v>55.42680874121109</v>
      </c>
      <c r="H26" s="111" t="s">
        <v>599</v>
      </c>
      <c r="I26" s="109">
        <v>9.9841444813699998E-3</v>
      </c>
      <c r="J26" s="109">
        <v>8.7054343412658904E-9</v>
      </c>
      <c r="K26" s="109">
        <v>5.3138750730129547E-10</v>
      </c>
      <c r="L26" s="152">
        <v>8.6898190293400456E-9</v>
      </c>
      <c r="N26" s="18">
        <v>1.9405536087260025E-6</v>
      </c>
      <c r="O26" s="18">
        <v>1.4662352041887788E-11</v>
      </c>
      <c r="P26" s="18">
        <v>6.4742419931245426E-9</v>
      </c>
      <c r="Q26" s="28">
        <v>7.3321427926013989</v>
      </c>
      <c r="R26" s="60">
        <v>137.71143430475647</v>
      </c>
      <c r="S26" s="57">
        <v>9.2245034094693087E-7</v>
      </c>
      <c r="U26" s="127">
        <v>8.7640415250212589E-9</v>
      </c>
      <c r="V26" s="127">
        <v>8.6898190293400456E-9</v>
      </c>
      <c r="W26" s="128">
        <v>8.613705642092767E-9</v>
      </c>
      <c r="X26" s="128">
        <f t="shared" si="0"/>
        <v>8.6893463064485285E-9</v>
      </c>
      <c r="Y26" s="139">
        <f t="shared" si="1"/>
        <v>9.1660730638647419E-4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7.7690809690198375E-7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0.03</v>
      </c>
      <c r="I27" s="109">
        <v>1.0083985926200001E-2</v>
      </c>
      <c r="J27" s="109">
        <v>6.4673701813128822E-9</v>
      </c>
      <c r="K27" s="109">
        <v>4.503671872162131E-10</v>
      </c>
      <c r="L27" s="152">
        <v>7.9828599741702409E-9</v>
      </c>
      <c r="N27" s="18">
        <v>1.938761896451523E-6</v>
      </c>
      <c r="O27" s="18">
        <v>1.6705834538301825E-11</v>
      </c>
      <c r="P27" s="18">
        <v>7.1203939099484723E-9</v>
      </c>
      <c r="Q27" s="28">
        <v>7.3321427926013989</v>
      </c>
      <c r="R27" s="60">
        <v>137.71143430475647</v>
      </c>
      <c r="S27" s="57">
        <v>1.087450518613178E-6</v>
      </c>
      <c r="U27" s="127">
        <v>8.0358506756642442E-9</v>
      </c>
      <c r="V27" s="127">
        <v>7.9828599741702409E-9</v>
      </c>
      <c r="W27" s="128">
        <v>7.9375077568191305E-9</v>
      </c>
      <c r="X27" s="128">
        <f t="shared" si="0"/>
        <v>7.9847695952059633E-9</v>
      </c>
      <c r="Y27" s="139">
        <f t="shared" si="1"/>
        <v>11.351842096720635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9.0435306927564199</v>
      </c>
      <c r="G28" s="102">
        <v>5</v>
      </c>
      <c r="H28" s="134" t="s">
        <v>600</v>
      </c>
      <c r="I28" s="109">
        <v>1.01848257854E-2</v>
      </c>
      <c r="J28" s="109">
        <v>6.3575567502320605E-9</v>
      </c>
      <c r="K28" s="109">
        <v>4.4930209072748678E-10</v>
      </c>
      <c r="L28" s="152">
        <v>6.5859119348515481E-9</v>
      </c>
      <c r="N28" s="18">
        <v>1.9363884140537319E-6</v>
      </c>
      <c r="O28" s="18">
        <v>1.9412837027715103E-11</v>
      </c>
      <c r="P28" s="18">
        <v>7.9763517418905696E-9</v>
      </c>
      <c r="Q28" s="28">
        <v>7.3321427926013989</v>
      </c>
      <c r="R28" s="60">
        <v>141.37750570105717</v>
      </c>
      <c r="S28" s="57">
        <v>1.087450518613178E-6</v>
      </c>
      <c r="U28" s="127">
        <v>6.5275831383406139E-9</v>
      </c>
      <c r="V28" s="127">
        <v>6.5859119348515481E-9</v>
      </c>
      <c r="W28" s="128">
        <v>6.6609413347872465E-9</v>
      </c>
      <c r="X28" s="128">
        <f t="shared" si="0"/>
        <v>6.5900870857077395E-9</v>
      </c>
      <c r="Y28" s="139">
        <f t="shared" si="1"/>
        <v>0.26784426841590098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79">
        <v>2.0761549145842717E-6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1.02866740433E-2</v>
      </c>
      <c r="J29" s="109">
        <v>4.6560029801996451E-9</v>
      </c>
      <c r="K29" s="109">
        <v>3.7963138728701933E-10</v>
      </c>
      <c r="L29" s="152">
        <v>4.8732274686411112E-9</v>
      </c>
      <c r="N29" s="18">
        <v>1.9333314426456302E-6</v>
      </c>
      <c r="O29" s="18">
        <v>2.2899371926603604E-11</v>
      </c>
      <c r="P29" s="18">
        <v>9.0787987712946293E-9</v>
      </c>
      <c r="Q29" s="28">
        <v>7.3321427926013989</v>
      </c>
      <c r="R29" s="60">
        <v>141.37750570105717</v>
      </c>
      <c r="S29" s="57">
        <v>1.4086223888732538E-6</v>
      </c>
      <c r="U29" s="127">
        <v>4.6543990332320362E-9</v>
      </c>
      <c r="V29" s="127">
        <v>4.8732274686411112E-9</v>
      </c>
      <c r="W29" s="128">
        <v>5.1056977575253732E-9</v>
      </c>
      <c r="X29" s="128">
        <f t="shared" si="0"/>
        <v>4.8766379320099078E-9</v>
      </c>
      <c r="Y29" s="139">
        <f t="shared" si="1"/>
        <v>0.33777258719081005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1.03895407837E-2</v>
      </c>
      <c r="J30" s="109">
        <v>2.7532761527134786E-9</v>
      </c>
      <c r="K30" s="109">
        <v>2.9762306581587689E-10</v>
      </c>
      <c r="L30" s="152">
        <v>3.5820947228894721E-9</v>
      </c>
      <c r="N30" s="18">
        <v>1.9295033300068397E-6</v>
      </c>
      <c r="O30" s="18">
        <v>2.7265408284237229E-11</v>
      </c>
      <c r="P30" s="18">
        <v>1.0459345346141128E-8</v>
      </c>
      <c r="Q30" s="28">
        <v>7.3321427926013989</v>
      </c>
      <c r="R30" s="60">
        <v>148.70964849365856</v>
      </c>
      <c r="S30" s="57">
        <v>1.4086223888732538E-6</v>
      </c>
      <c r="U30" s="127">
        <v>3.2574216028004123E-9</v>
      </c>
      <c r="V30" s="127">
        <v>3.5820947228894721E-9</v>
      </c>
      <c r="W30" s="128">
        <v>3.9085168187292007E-9</v>
      </c>
      <c r="X30" s="128">
        <f t="shared" si="0"/>
        <v>3.5825319668271394E-9</v>
      </c>
      <c r="Y30" s="139">
        <f t="shared" si="1"/>
        <v>7.7632554740582798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1021.4240988151274</v>
      </c>
      <c r="I31" s="109">
        <v>1.04934361916E-2</v>
      </c>
      <c r="J31" s="109">
        <v>2.7969983993460575E-9</v>
      </c>
      <c r="K31" s="109">
        <v>3.0226086837649592E-10</v>
      </c>
      <c r="L31" s="152">
        <v>3.0326925566804961E-9</v>
      </c>
      <c r="N31" s="18">
        <v>1.924842466147437E-6</v>
      </c>
      <c r="O31" s="18">
        <v>3.258121348336634E-11</v>
      </c>
      <c r="P31" s="18">
        <v>1.2140210107465853E-8</v>
      </c>
      <c r="Q31" s="28">
        <v>7.3321427926013989</v>
      </c>
      <c r="R31" s="60">
        <v>148.70964849365856</v>
      </c>
      <c r="S31" s="57">
        <v>1.7177008273142586E-6</v>
      </c>
      <c r="U31" s="127">
        <v>2.6949910183520304E-9</v>
      </c>
      <c r="V31" s="127">
        <v>3.0326925566804961E-9</v>
      </c>
      <c r="W31" s="128">
        <v>3.3618502375543079E-9</v>
      </c>
      <c r="X31" s="128">
        <f t="shared" si="0"/>
        <v>3.0305565923168326E-9</v>
      </c>
      <c r="Y31" s="139">
        <f t="shared" si="1"/>
        <v>0.59707152751344739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1.05983705535E-2</v>
      </c>
      <c r="J32" s="109">
        <v>2.8997575228339816E-9</v>
      </c>
      <c r="K32" s="109">
        <v>3.0249655966863307E-10</v>
      </c>
      <c r="L32" s="152">
        <v>2.9661813234185624E-9</v>
      </c>
      <c r="N32" s="18">
        <v>1.9193250361290838E-6</v>
      </c>
      <c r="O32" s="18">
        <v>3.8873948920859542E-11</v>
      </c>
      <c r="P32" s="18">
        <v>1.4129981525529577E-8</v>
      </c>
      <c r="Q32" s="28">
        <v>7.3321427926013989</v>
      </c>
      <c r="R32" s="60">
        <v>156.04179128625995</v>
      </c>
      <c r="S32" s="57">
        <v>1.7177008273142586E-6</v>
      </c>
      <c r="U32" s="127">
        <v>2.6659910316328686E-9</v>
      </c>
      <c r="V32" s="127">
        <v>2.9661813234185624E-9</v>
      </c>
      <c r="W32" s="128">
        <v>3.2518734406185018E-9</v>
      </c>
      <c r="X32" s="128">
        <f t="shared" si="0"/>
        <v>2.9625567797721236E-9</v>
      </c>
      <c r="Y32" s="139">
        <f t="shared" si="1"/>
        <v>4.3099092990318888E-2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1.0704354259E-2</v>
      </c>
      <c r="J33" s="109">
        <v>2.643223935079127E-9</v>
      </c>
      <c r="K33" s="109">
        <v>2.8981766387179123E-10</v>
      </c>
      <c r="L33" s="152">
        <v>3.0447817379529706E-9</v>
      </c>
      <c r="N33" s="18">
        <v>1.9129747102443145E-6</v>
      </c>
      <c r="O33" s="18">
        <v>4.6116618171178841E-11</v>
      </c>
      <c r="P33" s="18">
        <v>1.6420123294228386E-8</v>
      </c>
      <c r="Q33" s="28">
        <v>7.3321427926013989</v>
      </c>
      <c r="R33" s="60">
        <v>156.04179128625995</v>
      </c>
      <c r="S33" s="57">
        <v>1.8727646112625075E-6</v>
      </c>
      <c r="U33" s="127">
        <v>2.7912500667054211E-9</v>
      </c>
      <c r="V33" s="127">
        <v>3.0447817379529706E-9</v>
      </c>
      <c r="W33" s="128">
        <v>3.2800659376245883E-9</v>
      </c>
      <c r="X33" s="128">
        <f t="shared" si="0"/>
        <v>3.0402198700589876E-9</v>
      </c>
      <c r="Y33" s="139">
        <f t="shared" si="1"/>
        <v>1.8763870062962653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1.08113978016E-2</v>
      </c>
      <c r="J34" s="109">
        <v>2.4293582759260161E-9</v>
      </c>
      <c r="K34" s="109">
        <v>2.7883514283501168E-10</v>
      </c>
      <c r="L34" s="152">
        <v>3.1131386252302431E-9</v>
      </c>
      <c r="N34" s="18">
        <v>1.9058684094878453E-6</v>
      </c>
      <c r="O34" s="18">
        <v>5.4221491355064101E-11</v>
      </c>
      <c r="P34" s="18">
        <v>1.8982895107618075E-8</v>
      </c>
      <c r="Q34" s="28">
        <v>7.3321427926013989</v>
      </c>
      <c r="R34" s="60">
        <v>163.37393407886134</v>
      </c>
      <c r="S34" s="57">
        <v>1.8727646112625075E-6</v>
      </c>
      <c r="U34" s="127">
        <v>2.9029840421267116E-9</v>
      </c>
      <c r="V34" s="127">
        <v>3.1131386252302431E-9</v>
      </c>
      <c r="W34" s="128">
        <v>3.3020339723294326E-9</v>
      </c>
      <c r="X34" s="128">
        <f t="shared" si="0"/>
        <v>3.1078238162291576E-9</v>
      </c>
      <c r="Y34" s="139">
        <f t="shared" si="1"/>
        <v>5.9205297949909639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1.2682417448766454</v>
      </c>
      <c r="I35" s="109">
        <v>1.0919511779600001E-2</v>
      </c>
      <c r="J35" s="109">
        <v>3.2122454858709405E-9</v>
      </c>
      <c r="K35" s="109">
        <v>3.1889601217950409E-10</v>
      </c>
      <c r="L35" s="152">
        <v>3.1356627276328162E-9</v>
      </c>
      <c r="N35" s="18">
        <v>1.8981366416487804E-6</v>
      </c>
      <c r="O35" s="18">
        <v>6.3039721819883416E-11</v>
      </c>
      <c r="P35" s="18">
        <v>2.1771231453724826E-8</v>
      </c>
      <c r="Q35" s="28">
        <v>7.3321427926013989</v>
      </c>
      <c r="R35" s="60">
        <v>163.37393407886134</v>
      </c>
      <c r="S35" s="57">
        <v>1.9278109901780148E-6</v>
      </c>
      <c r="U35" s="127">
        <v>2.965930225153114E-9</v>
      </c>
      <c r="V35" s="127">
        <v>3.1356627276328162E-9</v>
      </c>
      <c r="W35" s="128">
        <v>3.2814973557128347E-9</v>
      </c>
      <c r="X35" s="128">
        <f t="shared" si="0"/>
        <v>3.1296882590328955E-9</v>
      </c>
      <c r="Y35" s="139">
        <f t="shared" si="1"/>
        <v>6.7021171632037302E-2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645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1.1028706897400001E-2</v>
      </c>
      <c r="J36" s="109">
        <v>3.185863217509134E-9</v>
      </c>
      <c r="K36" s="109">
        <v>1.8351458641748942E-10</v>
      </c>
      <c r="L36" s="152">
        <v>3.1122051709776904E-9</v>
      </c>
      <c r="N36" s="18">
        <v>1.889957621018611E-6</v>
      </c>
      <c r="O36" s="18">
        <v>7.2368052726165243E-11</v>
      </c>
      <c r="P36" s="18">
        <v>2.472086224623661E-8</v>
      </c>
      <c r="Q36" s="28">
        <v>7.3321427926013989</v>
      </c>
      <c r="R36" s="60">
        <v>170.70607687146273</v>
      </c>
      <c r="S36" s="57">
        <v>1.9278109901780148E-6</v>
      </c>
      <c r="U36" s="127">
        <v>2.9812524558272659E-9</v>
      </c>
      <c r="V36" s="127">
        <v>3.1122051709776904E-9</v>
      </c>
      <c r="W36" s="128">
        <v>3.2169574853235313E-9</v>
      </c>
      <c r="X36" s="128">
        <f t="shared" si="0"/>
        <v>3.1056550707765443E-9</v>
      </c>
      <c r="Y36" s="139">
        <f t="shared" si="1"/>
        <v>0.19102745288969344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1.6700000000000001E-6</v>
      </c>
      <c r="D37" s="157">
        <v>5.6499999999999999E-7</v>
      </c>
      <c r="E37" s="157">
        <v>5.7300000000000002E-6</v>
      </c>
      <c r="F37" s="102"/>
      <c r="G37" s="102"/>
      <c r="H37" s="160">
        <v>0.26707440697010099</v>
      </c>
      <c r="I37" s="109">
        <v>1.11389939664E-2</v>
      </c>
      <c r="J37" s="109">
        <v>2.8344895826955744E-9</v>
      </c>
      <c r="K37" s="109">
        <v>1.6775798206273695E-10</v>
      </c>
      <c r="L37" s="152">
        <v>3.0486736852371768E-9</v>
      </c>
      <c r="N37" s="18">
        <v>1.8836576855297846E-6</v>
      </c>
      <c r="O37" s="18">
        <v>7.9553250757238693E-11</v>
      </c>
      <c r="P37" s="18">
        <v>2.6992831538028901E-8</v>
      </c>
      <c r="Q37" s="28">
        <v>3.6660713963006994</v>
      </c>
      <c r="R37" s="60">
        <v>170.70607687146273</v>
      </c>
      <c r="S37" s="57">
        <v>1.9415611176181139E-6</v>
      </c>
      <c r="U37" s="127">
        <v>2.9555543103278896E-9</v>
      </c>
      <c r="V37" s="127">
        <v>3.0486736852371768E-9</v>
      </c>
      <c r="W37" s="128">
        <v>3.1137133400972847E-9</v>
      </c>
      <c r="X37" s="128">
        <f t="shared" si="0"/>
        <v>3.0416537552248819E-9</v>
      </c>
      <c r="Y37" s="139">
        <f t="shared" si="1"/>
        <v>1.5249756614842607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646</v>
      </c>
      <c r="D38" s="158" t="s">
        <v>612</v>
      </c>
      <c r="E38" s="158" t="s">
        <v>614</v>
      </c>
      <c r="F38" s="104"/>
      <c r="G38" s="104"/>
      <c r="H38" s="144"/>
      <c r="I38" s="109">
        <v>1.12503839061E-2</v>
      </c>
      <c r="J38" s="109">
        <v>3.285166684752193E-9</v>
      </c>
      <c r="K38" s="109">
        <v>1.7973435769993155E-10</v>
      </c>
      <c r="L38" s="152">
        <v>2.9508997725288485E-9</v>
      </c>
      <c r="N38" s="18">
        <v>1.8783091359233842E-6</v>
      </c>
      <c r="O38" s="18">
        <v>8.5653374825043235E-11</v>
      </c>
      <c r="P38" s="18">
        <v>2.8921698981659327E-8</v>
      </c>
      <c r="Q38" s="28">
        <v>5.6423253676194731</v>
      </c>
      <c r="R38" s="60">
        <v>178.03821966406412</v>
      </c>
      <c r="S38" s="57">
        <v>1.9415611176181139E-6</v>
      </c>
      <c r="U38" s="127">
        <v>2.8947179231423888E-9</v>
      </c>
      <c r="V38" s="127">
        <v>2.9508997725288485E-9</v>
      </c>
      <c r="W38" s="128">
        <v>2.9776806701559032E-9</v>
      </c>
      <c r="X38" s="128">
        <f t="shared" si="0"/>
        <v>2.9435495345889975E-9</v>
      </c>
      <c r="Y38" s="139">
        <f t="shared" si="1"/>
        <v>3.6125770846932106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209.22</v>
      </c>
      <c r="D39" s="159">
        <v>44.06</v>
      </c>
      <c r="E39" s="159">
        <v>48.06</v>
      </c>
      <c r="F39" s="104"/>
      <c r="G39" s="104"/>
      <c r="H39" s="108"/>
      <c r="I39" s="109">
        <v>1.1362887745099999E-2</v>
      </c>
      <c r="J39" s="109">
        <v>3.3179350797852943E-9</v>
      </c>
      <c r="K39" s="109">
        <v>1.8014214460259532E-10</v>
      </c>
      <c r="L39" s="152">
        <v>2.824327735163354E-9</v>
      </c>
      <c r="N39" s="18">
        <v>1.8718368585445226E-6</v>
      </c>
      <c r="O39" s="18">
        <v>9.3035132108373614E-11</v>
      </c>
      <c r="P39" s="18">
        <v>3.1255820573668549E-8</v>
      </c>
      <c r="Q39" s="28">
        <v>5.7387262490241167</v>
      </c>
      <c r="R39" s="60">
        <v>178.03821966406412</v>
      </c>
      <c r="S39" s="57">
        <v>1.9438452376945802E-6</v>
      </c>
      <c r="U39" s="127">
        <v>2.8038709256100106E-9</v>
      </c>
      <c r="V39" s="127">
        <v>2.824327735163354E-9</v>
      </c>
      <c r="W39" s="128">
        <v>2.8147818637377034E-9</v>
      </c>
      <c r="X39" s="128">
        <f t="shared" si="0"/>
        <v>2.8168270649186052E-9</v>
      </c>
      <c r="Y39" s="139">
        <f t="shared" si="1"/>
        <v>7.7380590684030803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1.14765166226E-2</v>
      </c>
      <c r="J40" s="109">
        <v>2.7156166337656399E-9</v>
      </c>
      <c r="K40" s="109">
        <v>1.6061060373524558E-10</v>
      </c>
      <c r="L40" s="152">
        <v>2.6742245793482644E-9</v>
      </c>
      <c r="N40" s="18">
        <v>1.8653658470776584E-6</v>
      </c>
      <c r="O40" s="18">
        <v>1.0041544559463568E-10</v>
      </c>
      <c r="P40" s="18">
        <v>3.3589485635100807E-8</v>
      </c>
      <c r="Q40" s="28">
        <v>5.9418859243538886</v>
      </c>
      <c r="R40" s="60">
        <v>185.3703624566655</v>
      </c>
      <c r="S40" s="57">
        <v>1.9438452376945802E-6</v>
      </c>
      <c r="U40" s="127">
        <v>2.6877299903142938E-9</v>
      </c>
      <c r="V40" s="127">
        <v>2.6742245793482644E-9</v>
      </c>
      <c r="W40" s="128">
        <v>2.6309989740080254E-9</v>
      </c>
      <c r="X40" s="128">
        <f t="shared" si="0"/>
        <v>2.6667945307547119E-9</v>
      </c>
      <c r="Y40" s="139">
        <f t="shared" si="1"/>
        <v>9.2402673347024941E-2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1.1591281788799999E-2</v>
      </c>
      <c r="J41" s="109">
        <v>2.9879856851228089E-9</v>
      </c>
      <c r="K41" s="109">
        <v>2.0432650834804256E-10</v>
      </c>
      <c r="L41" s="152">
        <v>2.5058334325559852E-9</v>
      </c>
      <c r="N41" s="18">
        <v>1.8589003215955096E-6</v>
      </c>
      <c r="O41" s="18">
        <v>1.0778950220943518E-10</v>
      </c>
      <c r="P41" s="18">
        <v>3.5921172265352152E-8</v>
      </c>
      <c r="Q41" s="28">
        <v>6.2755001007255498</v>
      </c>
      <c r="R41" s="60">
        <v>185.3703624566655</v>
      </c>
      <c r="S41" s="57">
        <v>1.9438678829544243E-6</v>
      </c>
      <c r="U41" s="127">
        <v>2.5508423925873448E-9</v>
      </c>
      <c r="V41" s="127">
        <v>2.5058334325559852E-9</v>
      </c>
      <c r="W41" s="128">
        <v>2.4324159725638755E-9</v>
      </c>
      <c r="X41" s="128">
        <f t="shared" si="0"/>
        <v>2.4987313075657977E-9</v>
      </c>
      <c r="Y41" s="139">
        <f t="shared" si="1"/>
        <v>5.7335025914943962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1.17071946067E-2</v>
      </c>
      <c r="J42" s="109">
        <v>2.3997715704814477E-9</v>
      </c>
      <c r="K42" s="109">
        <v>1.8178221402708431E-10</v>
      </c>
      <c r="L42" s="152">
        <v>2.3244341424623081E-9</v>
      </c>
      <c r="N42" s="18">
        <v>1.8524506334128473E-6</v>
      </c>
      <c r="O42" s="18">
        <v>1.1514549607846696E-10</v>
      </c>
      <c r="P42" s="18">
        <v>3.8247147431071527E-8</v>
      </c>
      <c r="Q42" s="28">
        <v>6.7843216826000941</v>
      </c>
      <c r="R42" s="60">
        <v>192.70250524926689</v>
      </c>
      <c r="S42" s="57">
        <v>1.9438678829544243E-6</v>
      </c>
      <c r="U42" s="127">
        <v>2.3977197244585079E-9</v>
      </c>
      <c r="V42" s="127">
        <v>2.3244341424623081E-9</v>
      </c>
      <c r="W42" s="128">
        <v>2.2251840251137398E-9</v>
      </c>
      <c r="X42" s="128">
        <f t="shared" si="0"/>
        <v>2.3179430086242162E-9</v>
      </c>
      <c r="Y42" s="139">
        <f t="shared" si="1"/>
        <v>0.20263154682343495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1.18242665528E-2</v>
      </c>
      <c r="J43" s="109">
        <v>2.5545692941499814E-9</v>
      </c>
      <c r="K43" s="109">
        <v>1.8784853518961163E-10</v>
      </c>
      <c r="L43" s="152">
        <v>2.1353257401440882E-9</v>
      </c>
      <c r="N43" s="18">
        <v>1.8460383012580987E-6</v>
      </c>
      <c r="O43" s="18">
        <v>1.2245888467658885E-10</v>
      </c>
      <c r="P43" s="18">
        <v>4.055965075276417E-8</v>
      </c>
      <c r="Q43" s="28">
        <v>7.5520393246472795</v>
      </c>
      <c r="R43" s="60">
        <v>192.70250524926689</v>
      </c>
      <c r="S43" s="57">
        <v>1.9434563304103251E-6</v>
      </c>
      <c r="U43" s="127">
        <v>2.2328883185621232E-9</v>
      </c>
      <c r="V43" s="127">
        <v>2.1353257401440882E-9</v>
      </c>
      <c r="W43" s="128">
        <v>2.0154164201265746E-9</v>
      </c>
      <c r="X43" s="128">
        <f t="shared" si="0"/>
        <v>2.1297390547442185E-9</v>
      </c>
      <c r="Y43" s="139">
        <f t="shared" si="1"/>
        <v>5.1146417427131503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1.19425092183E-2</v>
      </c>
      <c r="J44" s="109">
        <v>2.5783432836934865E-9</v>
      </c>
      <c r="K44" s="109">
        <v>1.8887787810445218E-10</v>
      </c>
      <c r="L44" s="152">
        <v>1.9437506525109665E-9</v>
      </c>
      <c r="N44" s="18">
        <v>1.8397053163265612E-6</v>
      </c>
      <c r="O44" s="18">
        <v>1.2968177623501939E-10</v>
      </c>
      <c r="P44" s="18">
        <v>4.2843538788658475E-8</v>
      </c>
      <c r="Q44" s="28">
        <v>8.7457912790247025</v>
      </c>
      <c r="R44" s="60">
        <v>200.03464804186828</v>
      </c>
      <c r="S44" s="57">
        <v>1.9434563304103251E-6</v>
      </c>
      <c r="U44" s="127">
        <v>2.0608780303731943E-9</v>
      </c>
      <c r="V44" s="127">
        <v>1.9437506525109665E-9</v>
      </c>
      <c r="W44" s="128">
        <v>1.8090336486207758E-9</v>
      </c>
      <c r="X44" s="128">
        <f t="shared" si="0"/>
        <v>1.9393532460039758E-9</v>
      </c>
      <c r="Y44" s="139">
        <f t="shared" si="1"/>
        <v>11.445268467659021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1.2061934310500001E-2</v>
      </c>
      <c r="J45" s="109">
        <v>2.2520471169063994E-9</v>
      </c>
      <c r="K45" s="109">
        <v>1.7466699608469882E-10</v>
      </c>
      <c r="L45" s="152">
        <v>1.7547799515397787E-9</v>
      </c>
      <c r="N45" s="18">
        <v>1.8335329751034411E-6</v>
      </c>
      <c r="O45" s="18">
        <v>1.3672145054313472E-10</v>
      </c>
      <c r="P45" s="18">
        <v>4.5069493283313893E-8</v>
      </c>
      <c r="Q45" s="28">
        <v>10.747036624008462</v>
      </c>
      <c r="R45" s="60">
        <v>200.03464804186828</v>
      </c>
      <c r="S45" s="57">
        <v>1.9428069816069822E-6</v>
      </c>
      <c r="U45" s="127">
        <v>1.8861667359087414E-9</v>
      </c>
      <c r="V45" s="127">
        <v>1.7547799515397787E-9</v>
      </c>
      <c r="W45" s="128">
        <v>1.6115820651366458E-9</v>
      </c>
      <c r="X45" s="128">
        <f t="shared" si="0"/>
        <v>1.7518271760312362E-9</v>
      </c>
      <c r="Y45" s="139">
        <f t="shared" si="1"/>
        <v>8.2016323672983997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1.2182553653599999E-2</v>
      </c>
      <c r="J46" s="109">
        <v>1.9582419649227777E-9</v>
      </c>
      <c r="K46" s="109">
        <v>1.5924519041231463E-10</v>
      </c>
      <c r="L46" s="152">
        <v>1.573177813625846E-9</v>
      </c>
      <c r="N46" s="18">
        <v>1.8276843560289203E-6</v>
      </c>
      <c r="O46" s="18">
        <v>1.4339191349204541E-10</v>
      </c>
      <c r="P46" s="18">
        <v>4.717870264907152E-8</v>
      </c>
      <c r="Q46" s="28">
        <v>14.668341134975959</v>
      </c>
      <c r="R46" s="60">
        <v>207.36679083446967</v>
      </c>
      <c r="S46" s="57">
        <v>1.9428069816069822E-6</v>
      </c>
      <c r="U46" s="127">
        <v>1.7130952409057542E-9</v>
      </c>
      <c r="V46" s="127">
        <v>1.573177813625846E-9</v>
      </c>
      <c r="W46" s="128">
        <v>1.4280492150678796E-9</v>
      </c>
      <c r="X46" s="128">
        <f t="shared" si="0"/>
        <v>1.5718750208063314E-9</v>
      </c>
      <c r="Y46" s="139">
        <f t="shared" si="1"/>
        <v>5.8866372871930137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1.2304379190100001E-2</v>
      </c>
      <c r="J47" s="109">
        <v>1.6297133094207852E-9</v>
      </c>
      <c r="K47" s="109">
        <v>1.4475896276962064E-10</v>
      </c>
      <c r="L47" s="152">
        <v>1.4032619593079218E-9</v>
      </c>
      <c r="N47" s="18">
        <v>1.822515687298361E-6</v>
      </c>
      <c r="O47" s="18">
        <v>1.4928687994875822E-10</v>
      </c>
      <c r="P47" s="18">
        <v>4.9042698979844353E-8</v>
      </c>
      <c r="Q47" s="28">
        <v>26.359203763756977</v>
      </c>
      <c r="R47" s="60">
        <v>207.36679083446967</v>
      </c>
      <c r="S47" s="57">
        <v>1.9418686433757331E-6</v>
      </c>
      <c r="U47" s="127">
        <v>1.5457657118491582E-9</v>
      </c>
      <c r="V47" s="127">
        <v>1.4032619593079218E-9</v>
      </c>
      <c r="W47" s="128">
        <v>1.2626964996342055E-9</v>
      </c>
      <c r="X47" s="128">
        <f t="shared" si="0"/>
        <v>1.4037465325248018E-9</v>
      </c>
      <c r="Y47" s="139">
        <f t="shared" si="1"/>
        <v>2.4366786430924749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1.2427422981999999E-2</v>
      </c>
      <c r="J48" s="109">
        <v>1.5915869143004326E-9</v>
      </c>
      <c r="K48" s="109">
        <v>1.4438330840463491E-10</v>
      </c>
      <c r="L48" s="152">
        <v>1.2487747948858997E-9</v>
      </c>
      <c r="N48" s="18">
        <v>1.8189428340363354E-6</v>
      </c>
      <c r="O48" s="18">
        <v>1.5336178805998422E-10</v>
      </c>
      <c r="P48" s="18">
        <v>5.0331190411192935E-8</v>
      </c>
      <c r="Q48" s="28">
        <v>35.3985128505904</v>
      </c>
      <c r="R48" s="60">
        <v>214.69893362707106</v>
      </c>
      <c r="S48" s="57">
        <v>1.9418686433757331E-6</v>
      </c>
      <c r="U48" s="127">
        <v>1.3879354762179001E-9</v>
      </c>
      <c r="V48" s="127">
        <v>1.2487747948858997E-9</v>
      </c>
      <c r="W48" s="128">
        <v>1.1189256857931557E-9</v>
      </c>
      <c r="X48" s="128">
        <f t="shared" si="0"/>
        <v>1.2511026879457138E-9</v>
      </c>
      <c r="Y48" s="139">
        <f t="shared" si="1"/>
        <v>5.5610911839385819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1.25516972118E-2</v>
      </c>
      <c r="J49" s="109">
        <v>1.4572961337615208E-9</v>
      </c>
      <c r="K49" s="109">
        <v>1.3438452891649733E-10</v>
      </c>
      <c r="L49" s="152">
        <v>1.1127771040216666E-9</v>
      </c>
      <c r="N49" s="18">
        <v>1.8184491611769297E-6</v>
      </c>
      <c r="O49" s="18">
        <v>1.5392483148537927E-10</v>
      </c>
      <c r="P49" s="18">
        <v>5.0509225500401457E-8</v>
      </c>
      <c r="Q49" s="28">
        <v>705.09429317034926</v>
      </c>
      <c r="R49" s="60">
        <v>214.69893362707106</v>
      </c>
      <c r="S49" s="57">
        <v>1.9405536087260025E-6</v>
      </c>
      <c r="U49" s="127">
        <v>1.2429165870045306E-9</v>
      </c>
      <c r="V49" s="127">
        <v>1.1127771040216666E-9</v>
      </c>
      <c r="W49" s="128">
        <v>9.991903154760046E-10</v>
      </c>
      <c r="X49" s="128">
        <f t="shared" si="0"/>
        <v>1.1169152776309671E-9</v>
      </c>
      <c r="Y49" s="139">
        <f t="shared" si="1"/>
        <v>6.41551767950161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1.26772141839E-2</v>
      </c>
      <c r="J50" s="109">
        <v>9.7693877026556865E-10</v>
      </c>
      <c r="K50" s="109">
        <v>1.1227803965941892E-10</v>
      </c>
      <c r="L50" s="152">
        <v>9.9757257763506293E-10</v>
      </c>
      <c r="N50" s="18">
        <v>1.8143745838960903E-6</v>
      </c>
      <c r="O50" s="18">
        <v>1.5392483148537927E-10</v>
      </c>
      <c r="P50" s="18">
        <v>5.0509225500401457E-8</v>
      </c>
      <c r="Q50" s="28">
        <v>3.4421631761482474</v>
      </c>
      <c r="R50" s="60">
        <v>222.03107641967244</v>
      </c>
      <c r="S50" s="57">
        <v>1.9405536087260025E-6</v>
      </c>
      <c r="U50" s="127">
        <v>1.1134896924745918E-9</v>
      </c>
      <c r="V50" s="127">
        <v>9.9757257763506293E-10</v>
      </c>
      <c r="W50" s="128">
        <v>9.049570703874234E-10</v>
      </c>
      <c r="X50" s="128">
        <f t="shared" si="0"/>
        <v>1.0033979795330352E-9</v>
      </c>
      <c r="Y50" s="139">
        <f t="shared" si="1"/>
        <v>5.5534655173303679E-2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1.28039863258E-2</v>
      </c>
      <c r="J51" s="109">
        <v>9.5273359069424022E-10</v>
      </c>
      <c r="K51" s="109">
        <v>1.114424149899756E-10</v>
      </c>
      <c r="L51" s="152">
        <v>9.0466758155074456E-10</v>
      </c>
      <c r="N51" s="18">
        <v>1.784885689678277E-6</v>
      </c>
      <c r="O51" s="18">
        <v>1.5392483148537927E-10</v>
      </c>
      <c r="P51" s="18">
        <v>5.0509225500401457E-8</v>
      </c>
      <c r="Q51" s="28">
        <v>2.563177750747776</v>
      </c>
      <c r="R51" s="60">
        <v>222.03107641967244</v>
      </c>
      <c r="S51" s="57">
        <v>1.938761896451523E-6</v>
      </c>
      <c r="U51" s="127">
        <v>1.0018385087831231E-9</v>
      </c>
      <c r="V51" s="127">
        <v>9.0466758155074456E-10</v>
      </c>
      <c r="W51" s="128">
        <v>8.3671644288413761E-10</v>
      </c>
      <c r="X51" s="128">
        <f t="shared" si="0"/>
        <v>9.1197252869218744E-10</v>
      </c>
      <c r="Y51" s="139">
        <f t="shared" si="1"/>
        <v>0.13377961810310737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1.2932026189000001E-2</v>
      </c>
      <c r="J52" s="109">
        <v>1.1063620360065601E-9</v>
      </c>
      <c r="K52" s="109">
        <v>1.1579969916717911E-10</v>
      </c>
      <c r="L52" s="152">
        <v>8.3451398136499152E-10</v>
      </c>
      <c r="N52" s="18">
        <v>1.7422255762439009E-6</v>
      </c>
      <c r="O52" s="18">
        <v>1.5392483148537927E-10</v>
      </c>
      <c r="P52" s="18">
        <v>5.0509225500401457E-8</v>
      </c>
      <c r="Q52" s="28">
        <v>1.4263543760469788</v>
      </c>
      <c r="R52" s="60">
        <v>229.36321921227383</v>
      </c>
      <c r="S52" s="57">
        <v>1.938761896451523E-6</v>
      </c>
      <c r="U52" s="127">
        <v>9.0922415415326948E-10</v>
      </c>
      <c r="V52" s="127">
        <v>8.3451398136499152E-10</v>
      </c>
      <c r="W52" s="128">
        <v>7.9382569047950613E-10</v>
      </c>
      <c r="X52" s="128">
        <f t="shared" si="0"/>
        <v>8.4301945184068974E-10</v>
      </c>
      <c r="Y52" s="139">
        <f t="shared" si="1"/>
        <v>5.1716285416276691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1.3061346450899999E-2</v>
      </c>
      <c r="J53" s="109">
        <v>9.3498995003049182E-10</v>
      </c>
      <c r="K53" s="109">
        <v>1.0806328876409761E-10</v>
      </c>
      <c r="L53" s="152">
        <v>7.8759882295989735E-10</v>
      </c>
      <c r="N53" s="18">
        <v>1.6939534260713935E-6</v>
      </c>
      <c r="O53" s="18">
        <v>1.5392483148537927E-10</v>
      </c>
      <c r="P53" s="18">
        <v>5.0509225500401457E-8</v>
      </c>
      <c r="Q53" s="28">
        <v>1.0450454197332617</v>
      </c>
      <c r="R53" s="60">
        <v>229.36321921227383</v>
      </c>
      <c r="S53" s="57">
        <v>1.9363884140537319E-6</v>
      </c>
      <c r="U53" s="127">
        <v>8.3715277206575494E-10</v>
      </c>
      <c r="V53" s="127">
        <v>7.8759882295989735E-10</v>
      </c>
      <c r="W53" s="128">
        <v>7.7549801987842247E-10</v>
      </c>
      <c r="X53" s="128">
        <f t="shared" si="0"/>
        <v>7.9696210946599308E-10</v>
      </c>
      <c r="Y53" s="139">
        <f t="shared" si="1"/>
        <v>1.6314622375457162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1.31919599154E-2</v>
      </c>
      <c r="J54" s="109">
        <v>7.632029115484591E-10</v>
      </c>
      <c r="K54" s="109">
        <v>9.9394635841667556E-11</v>
      </c>
      <c r="L54" s="152">
        <v>7.6283269477365955E-10</v>
      </c>
      <c r="N54" s="18">
        <v>1.6430094034496384E-6</v>
      </c>
      <c r="O54" s="18">
        <v>1.5392483148537927E-10</v>
      </c>
      <c r="P54" s="18">
        <v>5.0509225500401457E-8</v>
      </c>
      <c r="Q54" s="28">
        <v>0.8504436560372397</v>
      </c>
      <c r="R54" s="60">
        <v>236.69536200487522</v>
      </c>
      <c r="S54" s="57">
        <v>1.9363884140537319E-6</v>
      </c>
      <c r="U54" s="127">
        <v>7.8554227561378607E-10</v>
      </c>
      <c r="V54" s="127">
        <v>7.6283269477365955E-10</v>
      </c>
      <c r="W54" s="128">
        <v>7.7948527565963446E-10</v>
      </c>
      <c r="X54" s="128">
        <f t="shared" si="0"/>
        <v>7.7267323520518486E-10</v>
      </c>
      <c r="Y54" s="139">
        <f t="shared" si="1"/>
        <v>9.0782836794718724E-3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1.33238795146E-2</v>
      </c>
      <c r="J55" s="109">
        <v>6.8138190720110154E-10</v>
      </c>
      <c r="K55" s="109">
        <v>9.2640056530804639E-11</v>
      </c>
      <c r="L55" s="152">
        <v>7.5879436550899735E-10</v>
      </c>
      <c r="N55" s="18">
        <v>1.590739492251761E-6</v>
      </c>
      <c r="O55" s="18">
        <v>1.5392483148537927E-10</v>
      </c>
      <c r="P55" s="18">
        <v>5.0509225500401457E-8</v>
      </c>
      <c r="Q55" s="28">
        <v>0.73436281851289054</v>
      </c>
      <c r="R55" s="60">
        <v>236.69536200487522</v>
      </c>
      <c r="S55" s="57">
        <v>1.9333314426456302E-6</v>
      </c>
      <c r="U55" s="127">
        <v>7.5402850463821363E-10</v>
      </c>
      <c r="V55" s="127">
        <v>7.5879436550899735E-10</v>
      </c>
      <c r="W55" s="128">
        <v>8.0322246035830739E-10</v>
      </c>
      <c r="X55" s="128">
        <f t="shared" si="0"/>
        <v>7.68709924003629E-10</v>
      </c>
      <c r="Y55" s="139">
        <f t="shared" si="1"/>
        <v>0.88860667719371578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1.3457118309700001E-2</v>
      </c>
      <c r="J56" s="109">
        <v>5.4130625657464235E-10</v>
      </c>
      <c r="K56" s="109">
        <v>8.9560443965887081E-11</v>
      </c>
      <c r="L56" s="152">
        <v>7.735204766478242E-10</v>
      </c>
      <c r="N56" s="18">
        <v>1.5378146809781905E-6</v>
      </c>
      <c r="O56" s="18">
        <v>1.5392483148537927E-10</v>
      </c>
      <c r="P56" s="18">
        <v>5.0509225500401457E-8</v>
      </c>
      <c r="Q56" s="28">
        <v>0.6597096993751439</v>
      </c>
      <c r="R56" s="60">
        <v>244.02750479747661</v>
      </c>
      <c r="S56" s="57">
        <v>1.9333314426456302E-6</v>
      </c>
      <c r="U56" s="127">
        <v>7.4168624847636029E-10</v>
      </c>
      <c r="V56" s="127">
        <v>7.735204766478242E-10</v>
      </c>
      <c r="W56" s="128">
        <v>8.436959010311578E-10</v>
      </c>
      <c r="X56" s="128">
        <f t="shared" si="0"/>
        <v>7.8310577570079165E-10</v>
      </c>
      <c r="Y56" s="139">
        <f t="shared" si="1"/>
        <v>7.2891752201226483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1.3591689492799999E-2</v>
      </c>
      <c r="J57" s="109">
        <v>6.5980236372780234E-10</v>
      </c>
      <c r="K57" s="109">
        <v>9.353809783922793E-11</v>
      </c>
      <c r="L57" s="152">
        <v>8.0460826148872635E-10</v>
      </c>
      <c r="N57" s="18">
        <v>1.4845815480706863E-6</v>
      </c>
      <c r="O57" s="18">
        <v>1.5392483148537927E-10</v>
      </c>
      <c r="P57" s="18">
        <v>5.0509225500401457E-8</v>
      </c>
      <c r="Q57" s="28">
        <v>0.61023171933257703</v>
      </c>
      <c r="R57" s="60">
        <v>244.02750479747661</v>
      </c>
      <c r="S57" s="57">
        <v>1.9295033300068397E-6</v>
      </c>
      <c r="U57" s="127">
        <v>7.4709395206377693E-10</v>
      </c>
      <c r="V57" s="127">
        <v>8.0460826148872635E-10</v>
      </c>
      <c r="W57" s="128">
        <v>8.9757849092397203E-10</v>
      </c>
      <c r="X57" s="128">
        <f t="shared" si="0"/>
        <v>8.1347224149130049E-10</v>
      </c>
      <c r="Y57" s="139">
        <f t="shared" si="1"/>
        <v>2.698984706299437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1.37276063878E-2</v>
      </c>
      <c r="J58" s="109">
        <v>5.9098913967511348E-10</v>
      </c>
      <c r="K58" s="109">
        <v>8.963719668864431E-11</v>
      </c>
      <c r="L58" s="152">
        <v>8.4932123387602268E-10</v>
      </c>
      <c r="N58" s="18">
        <v>1.4312177004612334E-6</v>
      </c>
      <c r="O58" s="18">
        <v>1.5392483148537927E-10</v>
      </c>
      <c r="P58" s="18">
        <v>5.0509225500401457E-8</v>
      </c>
      <c r="Q58" s="28">
        <v>0.57779096573949484</v>
      </c>
      <c r="R58" s="60">
        <v>251.359647590078</v>
      </c>
      <c r="S58" s="57">
        <v>1.9295033300068397E-6</v>
      </c>
      <c r="U58" s="127">
        <v>7.6840812600971493E-10</v>
      </c>
      <c r="V58" s="127">
        <v>8.4932123387602268E-10</v>
      </c>
      <c r="W58" s="128">
        <v>9.6135835766702746E-10</v>
      </c>
      <c r="X58" s="128">
        <f t="shared" si="0"/>
        <v>8.5710223785719691E-10</v>
      </c>
      <c r="Y58" s="139">
        <f t="shared" si="1"/>
        <v>8.8136534561237276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1.3864882451600001E-2</v>
      </c>
      <c r="J59" s="109">
        <v>6.2196482015856272E-10</v>
      </c>
      <c r="K59" s="109">
        <v>9.3430110943668044E-11</v>
      </c>
      <c r="L59" s="152">
        <v>9.046934581673945E-10</v>
      </c>
      <c r="N59" s="18">
        <v>1.3778085737397961E-6</v>
      </c>
      <c r="O59" s="18">
        <v>1.5392483148537927E-10</v>
      </c>
      <c r="P59" s="18">
        <v>5.0509225500401457E-8</v>
      </c>
      <c r="Q59" s="28">
        <v>0.55803565126484422</v>
      </c>
      <c r="R59" s="60">
        <v>251.359647590078</v>
      </c>
      <c r="S59" s="57">
        <v>1.924842466147437E-6</v>
      </c>
      <c r="U59" s="127">
        <v>8.0344334797019328E-10</v>
      </c>
      <c r="V59" s="127">
        <v>9.046934581673945E-10</v>
      </c>
      <c r="W59" s="128">
        <v>1.0314576905620375E-9</v>
      </c>
      <c r="X59" s="128">
        <f t="shared" si="0"/>
        <v>9.1107198871675502E-10</v>
      </c>
      <c r="Y59" s="139">
        <f t="shared" si="1"/>
        <v>9.5751148440952356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1.40035312762E-2</v>
      </c>
      <c r="J60" s="109">
        <v>8.6707736010793114E-10</v>
      </c>
      <c r="K60" s="109">
        <v>1.0544886424382614E-10</v>
      </c>
      <c r="L60" s="152">
        <v>9.6762929325814391E-10</v>
      </c>
      <c r="N60" s="18">
        <v>1.3243889986897445E-6</v>
      </c>
      <c r="O60" s="18">
        <v>1.5392483148537927E-10</v>
      </c>
      <c r="P60" s="18">
        <v>5.0509225500401457E-8</v>
      </c>
      <c r="Q60" s="28">
        <v>0.54866159745868937</v>
      </c>
      <c r="R60" s="60">
        <v>258.69179038267941</v>
      </c>
      <c r="S60" s="57">
        <v>1.924842466147437E-6</v>
      </c>
      <c r="U60" s="127">
        <v>8.4975436504986885E-10</v>
      </c>
      <c r="V60" s="127">
        <v>9.6762929325814391E-10</v>
      </c>
      <c r="W60" s="128">
        <v>1.1043401515569634E-9</v>
      </c>
      <c r="X60" s="128">
        <f t="shared" si="0"/>
        <v>9.7233827578077996E-10</v>
      </c>
      <c r="Y60" s="139">
        <f t="shared" si="1"/>
        <v>0.99643844292372596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1.41435665889E-2</v>
      </c>
      <c r="J61" s="109">
        <v>9.432304970515292E-10</v>
      </c>
      <c r="K61" s="109">
        <v>1.1007901049189352E-10</v>
      </c>
      <c r="L61" s="152">
        <v>1.0349966833591262E-9</v>
      </c>
      <c r="N61" s="18">
        <v>1.286565655249171E-6</v>
      </c>
      <c r="O61" s="18">
        <v>1.5392462373247677E-10</v>
      </c>
      <c r="P61" s="18">
        <v>5.050914391620612E-8</v>
      </c>
      <c r="Q61" s="28">
        <v>0.22727272727272727</v>
      </c>
      <c r="R61" s="60">
        <v>258.69179038267941</v>
      </c>
      <c r="S61" s="57">
        <v>1.9193250361290838E-6</v>
      </c>
      <c r="U61" s="127">
        <v>9.0471756314264944E-10</v>
      </c>
      <c r="V61" s="127">
        <v>1.0349966833591262E-9</v>
      </c>
      <c r="W61" s="128">
        <v>1.1766065537834117E-9</v>
      </c>
      <c r="X61" s="128">
        <f t="shared" si="0"/>
        <v>1.0378293709110784E-9</v>
      </c>
      <c r="Y61" s="139">
        <f t="shared" si="1"/>
        <v>0.73852108463165089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1.42850022548E-2</v>
      </c>
      <c r="J62" s="109">
        <v>1.0934485357591245E-9</v>
      </c>
      <c r="K62" s="109">
        <v>1.1450139178554395E-10</v>
      </c>
      <c r="L62" s="152">
        <v>1.1037130385776774E-9</v>
      </c>
      <c r="N62" s="18">
        <v>1.2532991126356073E-6</v>
      </c>
      <c r="O62" s="18">
        <v>1.5392438425026633E-10</v>
      </c>
      <c r="P62" s="18">
        <v>5.0509049871967987E-8</v>
      </c>
      <c r="Q62" s="28">
        <v>0.45454545454545453</v>
      </c>
      <c r="R62" s="60">
        <v>266.02393317528083</v>
      </c>
      <c r="S62" s="57">
        <v>1.9193250361290838E-6</v>
      </c>
      <c r="U62" s="127">
        <v>9.6560984294739698E-10</v>
      </c>
      <c r="V62" s="127">
        <v>1.1037130385776774E-9</v>
      </c>
      <c r="W62" s="128">
        <v>1.2450792918314181E-9</v>
      </c>
      <c r="X62" s="128">
        <f t="shared" si="0"/>
        <v>1.1045288029835424E-9</v>
      </c>
      <c r="Y62" s="139">
        <f t="shared" si="1"/>
        <v>9.3643780356744335E-3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1.44278522774E-2</v>
      </c>
      <c r="J63" s="109">
        <v>1.0099969291999584E-9</v>
      </c>
      <c r="K63" s="109">
        <v>7.6683310298801042E-11</v>
      </c>
      <c r="L63" s="152">
        <v>1.1708234398621802E-9</v>
      </c>
      <c r="N63" s="18">
        <v>1.2094305296471672E-6</v>
      </c>
      <c r="O63" s="18">
        <v>1.5392363528405696E-10</v>
      </c>
      <c r="P63" s="18">
        <v>5.0508755754269556E-8</v>
      </c>
      <c r="Q63" s="28">
        <v>0.45454545454545453</v>
      </c>
      <c r="R63" s="60">
        <v>266.02393317528083</v>
      </c>
      <c r="S63" s="57">
        <v>1.9129747102443145E-6</v>
      </c>
      <c r="U63" s="127">
        <v>1.0296836337257951E-9</v>
      </c>
      <c r="V63" s="127">
        <v>1.1708234398621802E-9</v>
      </c>
      <c r="W63" s="128">
        <v>1.306876366775033E-9</v>
      </c>
      <c r="X63" s="128">
        <f t="shared" si="0"/>
        <v>1.1695517200562973E-9</v>
      </c>
      <c r="Y63" s="139">
        <f t="shared" si="1"/>
        <v>4.3293031081367408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1.4572130800099999E-2</v>
      </c>
      <c r="J64" s="109">
        <v>9.9236491829064705E-10</v>
      </c>
      <c r="K64" s="109">
        <v>7.5073546559460981E-11</v>
      </c>
      <c r="L64" s="152">
        <v>1.2335713177266651E-9</v>
      </c>
      <c r="N64" s="18">
        <v>1.1665759630229319E-6</v>
      </c>
      <c r="O64" s="18">
        <v>1.5392176934880552E-10</v>
      </c>
      <c r="P64" s="18">
        <v>5.0508023004814749E-8</v>
      </c>
      <c r="Q64" s="28">
        <v>0.45454545454545453</v>
      </c>
      <c r="R64" s="60">
        <v>273.35607596788225</v>
      </c>
      <c r="S64" s="57">
        <v>1.9129747102443145E-6</v>
      </c>
      <c r="U64" s="127">
        <v>1.0942373336647036E-9</v>
      </c>
      <c r="V64" s="127">
        <v>1.2335713177266651E-9</v>
      </c>
      <c r="W64" s="128">
        <v>1.3594758538210075E-9</v>
      </c>
      <c r="X64" s="128">
        <f t="shared" si="0"/>
        <v>1.2302139557347603E-9</v>
      </c>
      <c r="Y64" s="139">
        <f t="shared" si="1"/>
        <v>10.037577941409349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1.4717852108099999E-2</v>
      </c>
      <c r="J65" s="109">
        <v>1.0986405301258189E-9</v>
      </c>
      <c r="K65" s="109">
        <v>7.7942854719335102E-11</v>
      </c>
      <c r="L65" s="152">
        <v>1.2894619032787835E-9</v>
      </c>
      <c r="N65" s="18">
        <v>1.1252174165084522E-6</v>
      </c>
      <c r="O65" s="18">
        <v>1.5391732796236246E-10</v>
      </c>
      <c r="P65" s="18">
        <v>5.0506278880257284E-8</v>
      </c>
      <c r="Q65" s="28">
        <v>0.45454545454545453</v>
      </c>
      <c r="R65" s="60">
        <v>273.35607596788225</v>
      </c>
      <c r="S65" s="57">
        <v>1.9058684094878453E-6</v>
      </c>
      <c r="U65" s="127">
        <v>1.156680851930031E-9</v>
      </c>
      <c r="V65" s="127">
        <v>1.2894619032787835E-9</v>
      </c>
      <c r="W65" s="128">
        <v>1.4007713881403047E-9</v>
      </c>
      <c r="X65" s="128">
        <f t="shared" si="0"/>
        <v>1.2840940116569757E-9</v>
      </c>
      <c r="Y65" s="139">
        <f t="shared" si="1"/>
        <v>5.661315590004774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1.4865030629200001E-2</v>
      </c>
      <c r="J66" s="109">
        <v>1.2650604916186476E-9</v>
      </c>
      <c r="K66" s="109">
        <v>8.2981938310172918E-11</v>
      </c>
      <c r="L66" s="152">
        <v>1.3363186828852996E-9</v>
      </c>
      <c r="N66" s="18">
        <v>1.0858198322492807E-6</v>
      </c>
      <c r="O66" s="18">
        <v>1.5390722782781785E-10</v>
      </c>
      <c r="P66" s="18">
        <v>5.0502312575384026E-8</v>
      </c>
      <c r="Q66" s="28">
        <v>0.45454545454545453</v>
      </c>
      <c r="R66" s="60">
        <v>280.68821876048366</v>
      </c>
      <c r="S66" s="57">
        <v>1.9058684094878453E-6</v>
      </c>
      <c r="U66" s="127">
        <v>1.2145961405124606E-9</v>
      </c>
      <c r="V66" s="127">
        <v>1.3363186828852996E-9</v>
      </c>
      <c r="W66" s="128">
        <v>1.429118798318634E-9</v>
      </c>
      <c r="X66" s="128">
        <f t="shared" si="0"/>
        <v>1.3290880761504236E-9</v>
      </c>
      <c r="Y66" s="139">
        <f t="shared" si="1"/>
        <v>0.59534277363626986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1.50136809355E-2</v>
      </c>
      <c r="J67" s="109">
        <v>1.3773975458369706E-9</v>
      </c>
      <c r="K67" s="109">
        <v>8.4487350328216432E-11</v>
      </c>
      <c r="L67" s="152">
        <v>1.3723328605462183E-9</v>
      </c>
      <c r="N67" s="18">
        <v>1.0488471294136015E-6</v>
      </c>
      <c r="O67" s="18">
        <v>1.5388528355918637E-10</v>
      </c>
      <c r="P67" s="18">
        <v>5.0493695100118872E-8</v>
      </c>
      <c r="Q67" s="28">
        <v>0.45454545454545453</v>
      </c>
      <c r="R67" s="60">
        <v>280.68821876048366</v>
      </c>
      <c r="S67" s="57">
        <v>1.8981366416487804E-6</v>
      </c>
      <c r="U67" s="127">
        <v>1.2657926591998435E-9</v>
      </c>
      <c r="V67" s="127">
        <v>1.3723328605462183E-9</v>
      </c>
      <c r="W67" s="128">
        <v>1.4433734898915823E-9</v>
      </c>
      <c r="X67" s="128">
        <f t="shared" ref="X67:X130" si="2">(U67+2*V67+W67)/4</f>
        <v>1.3634579675459657E-9</v>
      </c>
      <c r="Y67" s="139">
        <f t="shared" ref="Y67:Y130" si="3">(J67-X67)*(J67-X67)/(K67*K67)</f>
        <v>2.7221740564168841E-2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1.5163817744900001E-2</v>
      </c>
      <c r="J68" s="109">
        <v>1.5491973147531684E-9</v>
      </c>
      <c r="K68" s="109">
        <v>9.1284968638133245E-11</v>
      </c>
      <c r="L68" s="152">
        <v>1.3961054993943008E-9</v>
      </c>
      <c r="N68" s="18">
        <v>1.0148002460491962E-6</v>
      </c>
      <c r="O68" s="18">
        <v>1.5383973244666914E-10</v>
      </c>
      <c r="P68" s="18">
        <v>5.0475807259242999E-8</v>
      </c>
      <c r="Q68" s="28">
        <v>0.45454545454545453</v>
      </c>
      <c r="R68" s="60">
        <v>288.02036155308508</v>
      </c>
      <c r="S68" s="57">
        <v>1.8981366416487804E-6</v>
      </c>
      <c r="U68" s="127">
        <v>1.3083576348389324E-9</v>
      </c>
      <c r="V68" s="127">
        <v>1.3961054993943008E-9</v>
      </c>
      <c r="W68" s="128">
        <v>1.4429176561339447E-9</v>
      </c>
      <c r="X68" s="128">
        <f t="shared" si="2"/>
        <v>1.3858715724403696E-9</v>
      </c>
      <c r="Y68" s="139">
        <f t="shared" si="3"/>
        <v>3.2011847556640949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1.5315455922300001E-2</v>
      </c>
      <c r="J69" s="109">
        <v>1.5642047351320901E-9</v>
      </c>
      <c r="K69" s="109">
        <v>9.3515848557230786E-11</v>
      </c>
      <c r="L69" s="152">
        <v>1.4066816415523819E-9</v>
      </c>
      <c r="N69" s="18">
        <v>9.8428434575277756E-7</v>
      </c>
      <c r="O69" s="18">
        <v>1.5374939678812531E-10</v>
      </c>
      <c r="P69" s="18">
        <v>5.0440332606788841E-8</v>
      </c>
      <c r="Q69" s="28">
        <v>0.45454545454545453</v>
      </c>
      <c r="R69" s="60">
        <v>288.02036155308508</v>
      </c>
      <c r="S69" s="57">
        <v>1.889957621018611E-6</v>
      </c>
      <c r="U69" s="127">
        <v>1.3407007956118161E-9</v>
      </c>
      <c r="V69" s="127">
        <v>1.4066816415523819E-9</v>
      </c>
      <c r="W69" s="128">
        <v>1.4276759525940094E-9</v>
      </c>
      <c r="X69" s="128">
        <f t="shared" si="2"/>
        <v>1.3954350078276473E-9</v>
      </c>
      <c r="Y69" s="139">
        <f t="shared" si="3"/>
        <v>3.2570067556854871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1.54686104815E-2</v>
      </c>
      <c r="J70" s="109">
        <v>1.4839568416152136E-9</v>
      </c>
      <c r="K70" s="109">
        <v>1.2544304185008475E-10</v>
      </c>
      <c r="L70" s="152">
        <v>1.4035753499072486E-9</v>
      </c>
      <c r="N70" s="18">
        <v>9.5810988212119352E-7</v>
      </c>
      <c r="O70" s="18">
        <v>1.5357823763794535E-10</v>
      </c>
      <c r="P70" s="18">
        <v>5.0373118712900074E-8</v>
      </c>
      <c r="Q70" s="28">
        <v>0.45454545454545453</v>
      </c>
      <c r="R70" s="60">
        <v>295.3525043456865</v>
      </c>
      <c r="S70" s="57">
        <v>1.889957621018611E-6</v>
      </c>
      <c r="U70" s="127">
        <v>1.3615930185190064E-9</v>
      </c>
      <c r="V70" s="127">
        <v>1.4035753499072486E-9</v>
      </c>
      <c r="W70" s="128">
        <v>1.3981179814566564E-9</v>
      </c>
      <c r="X70" s="128">
        <f t="shared" si="2"/>
        <v>1.39171542494754E-9</v>
      </c>
      <c r="Y70" s="139">
        <f t="shared" si="3"/>
        <v>0.540702995362211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1.56232965864E-2</v>
      </c>
      <c r="J71" s="109">
        <v>1.4705957433177024E-9</v>
      </c>
      <c r="K71" s="109">
        <v>1.1906746573181931E-10</v>
      </c>
      <c r="L71" s="152">
        <v>1.3867843313301189E-9</v>
      </c>
      <c r="N71" s="18">
        <v>9.37425270571662E-7</v>
      </c>
      <c r="O71" s="18">
        <v>1.5326841009779612E-10</v>
      </c>
      <c r="P71" s="18">
        <v>5.025144998886177E-8</v>
      </c>
      <c r="Q71" s="28">
        <v>0.45454545454545453</v>
      </c>
      <c r="R71" s="60">
        <v>295.3525043456865</v>
      </c>
      <c r="S71" s="57">
        <v>1.8836576855297846E-6</v>
      </c>
      <c r="U71" s="127">
        <v>1.3701980634828553E-9</v>
      </c>
      <c r="V71" s="127">
        <v>1.3867843313301189E-9</v>
      </c>
      <c r="W71" s="128">
        <v>1.3552458489717568E-9</v>
      </c>
      <c r="X71" s="128">
        <f t="shared" si="2"/>
        <v>1.3747531437787126E-9</v>
      </c>
      <c r="Y71" s="139">
        <f t="shared" si="3"/>
        <v>0.64793426718980163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1.5779529552200001E-2</v>
      </c>
      <c r="J72" s="109">
        <v>1.3299990783371955E-9</v>
      </c>
      <c r="K72" s="109">
        <v>1.1292569542992845E-10</v>
      </c>
      <c r="L72" s="152">
        <v>1.3567926386652734E-9</v>
      </c>
      <c r="N72" s="18">
        <v>9.2386624523314011E-7</v>
      </c>
      <c r="O72" s="18">
        <v>1.5273259210510862E-10</v>
      </c>
      <c r="P72" s="18">
        <v>5.0041035215923798E-8</v>
      </c>
      <c r="Q72" s="28">
        <v>0.45454545454545453</v>
      </c>
      <c r="R72" s="60">
        <v>299.01857574198721</v>
      </c>
      <c r="S72" s="57">
        <v>1.8836576855297846E-6</v>
      </c>
      <c r="U72" s="127">
        <v>1.3660963233657894E-9</v>
      </c>
      <c r="V72" s="127">
        <v>1.3567926386652734E-9</v>
      </c>
      <c r="W72" s="128">
        <v>1.300565223696897E-9</v>
      </c>
      <c r="X72" s="128">
        <f t="shared" si="2"/>
        <v>1.3450617060983082E-9</v>
      </c>
      <c r="Y72" s="139">
        <f t="shared" si="3"/>
        <v>1.7791638252506483E-2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1.59373248477E-2</v>
      </c>
      <c r="J73" s="109">
        <v>1.6193868048485348E-9</v>
      </c>
      <c r="K73" s="109">
        <v>1.2715111959938309E-10</v>
      </c>
      <c r="L73" s="152">
        <v>1.3145599478650297E-9</v>
      </c>
      <c r="N73" s="18">
        <v>9.196892359047416E-7</v>
      </c>
      <c r="O73" s="18">
        <v>1.5184729199816057E-10</v>
      </c>
      <c r="P73" s="18">
        <v>4.9693379437855039E-8</v>
      </c>
      <c r="Q73" s="28">
        <v>0.45454545454545453</v>
      </c>
      <c r="R73" s="60">
        <v>299.01857574198721</v>
      </c>
      <c r="S73" s="57">
        <v>1.8783091359233842E-6</v>
      </c>
      <c r="U73" s="127">
        <v>1.3492993326865559E-9</v>
      </c>
      <c r="V73" s="127">
        <v>1.3145599478650297E-9</v>
      </c>
      <c r="W73" s="128">
        <v>1.2360387550065862E-9</v>
      </c>
      <c r="X73" s="128">
        <f t="shared" si="2"/>
        <v>1.3036144958558003E-9</v>
      </c>
      <c r="Y73" s="139">
        <f t="shared" si="3"/>
        <v>6.1674794107844324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1.6096698096199999E-2</v>
      </c>
      <c r="J74" s="109">
        <v>1.2796555019275609E-9</v>
      </c>
      <c r="K74" s="109">
        <v>1.1203518495276573E-10</v>
      </c>
      <c r="L74" s="152">
        <v>1.2614960989795327E-9</v>
      </c>
      <c r="N74" s="18">
        <v>9.2783725960180631E-7</v>
      </c>
      <c r="O74" s="18">
        <v>1.5044983460514194E-10</v>
      </c>
      <c r="P74" s="18">
        <v>4.9144600402875484E-8</v>
      </c>
      <c r="Q74" s="28">
        <v>0.45454545454545453</v>
      </c>
      <c r="R74" s="60">
        <v>304.6609011096067</v>
      </c>
      <c r="S74" s="57">
        <v>1.8783091359233842E-6</v>
      </c>
      <c r="U74" s="127">
        <v>1.3202536869958624E-9</v>
      </c>
      <c r="V74" s="127">
        <v>1.2614960989795327E-9</v>
      </c>
      <c r="W74" s="128">
        <v>1.1640214083462355E-9</v>
      </c>
      <c r="X74" s="128">
        <f t="shared" si="2"/>
        <v>1.2518168233252909E-9</v>
      </c>
      <c r="Y74" s="139">
        <f t="shared" si="3"/>
        <v>6.1743090407726978E-2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1.6257665077200001E-2</v>
      </c>
      <c r="J75" s="109">
        <v>1.497237740245568E-9</v>
      </c>
      <c r="K75" s="109">
        <v>1.2669800651700751E-10</v>
      </c>
      <c r="L75" s="152">
        <v>1.1994199860990164E-9</v>
      </c>
      <c r="N75" s="18">
        <v>9.5187467998188344E-7</v>
      </c>
      <c r="O75" s="18">
        <v>1.4834236757000864E-10</v>
      </c>
      <c r="P75" s="18">
        <v>4.8317001838593011E-8</v>
      </c>
      <c r="Q75" s="28">
        <v>0.45454545454545453</v>
      </c>
      <c r="R75" s="60">
        <v>304.6609011096067</v>
      </c>
      <c r="S75" s="57">
        <v>1.8718368585445226E-6</v>
      </c>
      <c r="U75" s="127">
        <v>1.2798330593718731E-9</v>
      </c>
      <c r="V75" s="127">
        <v>1.1994199860990164E-9</v>
      </c>
      <c r="W75" s="128">
        <v>1.0871781972899446E-9</v>
      </c>
      <c r="X75" s="128">
        <f t="shared" si="2"/>
        <v>1.1914628072149625E-9</v>
      </c>
      <c r="Y75" s="139">
        <f t="shared" si="3"/>
        <v>5.8245743864353958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1.6420241727999999E-2</v>
      </c>
      <c r="J76" s="109">
        <v>1.2183589832018322E-9</v>
      </c>
      <c r="K76" s="109">
        <v>1.0786646886968174E-10</v>
      </c>
      <c r="L76" s="152">
        <v>1.1305024803054324E-9</v>
      </c>
      <c r="N76" s="18">
        <v>9.9573187393029581E-7</v>
      </c>
      <c r="O76" s="18">
        <v>1.4530598138751164E-10</v>
      </c>
      <c r="P76" s="18">
        <v>4.7124618357678949E-8</v>
      </c>
      <c r="Q76" s="28">
        <v>0.45454545454545453</v>
      </c>
      <c r="R76" s="60">
        <v>310.39962735863082</v>
      </c>
      <c r="S76" s="57">
        <v>1.8718368585445226E-6</v>
      </c>
      <c r="U76" s="127">
        <v>1.2293171826975362E-9</v>
      </c>
      <c r="V76" s="127">
        <v>1.1305024803054324E-9</v>
      </c>
      <c r="W76" s="128">
        <v>1.008385886543437E-9</v>
      </c>
      <c r="X76" s="128">
        <f t="shared" si="2"/>
        <v>1.1246770074629595E-9</v>
      </c>
      <c r="Y76" s="139">
        <f t="shared" si="3"/>
        <v>0.75429140499146374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1.6584444145200002E-2</v>
      </c>
      <c r="J77" s="109">
        <v>1.1797154780969226E-9</v>
      </c>
      <c r="K77" s="109">
        <v>1.0882550707909428E-10</v>
      </c>
      <c r="L77" s="152">
        <v>1.0571938443280181E-9</v>
      </c>
      <c r="N77" s="18">
        <v>1.0632307977340202E-6</v>
      </c>
      <c r="O77" s="18">
        <v>1.4112644978819675E-10</v>
      </c>
      <c r="P77" s="18">
        <v>4.5483323639313805E-8</v>
      </c>
      <c r="Q77" s="28">
        <v>0.45454545454545453</v>
      </c>
      <c r="R77" s="60">
        <v>310.39962735863082</v>
      </c>
      <c r="S77" s="57">
        <v>1.8653658470776584E-6</v>
      </c>
      <c r="U77" s="127">
        <v>1.1703570083308236E-9</v>
      </c>
      <c r="V77" s="127">
        <v>1.0571938443280181E-9</v>
      </c>
      <c r="W77" s="128">
        <v>9.3062141305544638E-10</v>
      </c>
      <c r="X77" s="128">
        <f t="shared" si="2"/>
        <v>1.0538415275105765E-9</v>
      </c>
      <c r="Y77" s="139">
        <f t="shared" si="3"/>
        <v>1.3378589452803931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1.67502885867E-2</v>
      </c>
      <c r="J78" s="109">
        <v>8.480940202311112E-10</v>
      </c>
      <c r="K78" s="109">
        <v>9.4250048385030538E-11</v>
      </c>
      <c r="L78" s="152">
        <v>9.8213700049826812E-10</v>
      </c>
      <c r="N78" s="18">
        <v>1.1574187808259523E-6</v>
      </c>
      <c r="O78" s="18">
        <v>1.3563011187666472E-10</v>
      </c>
      <c r="P78" s="18">
        <v>4.3324921215306217E-8</v>
      </c>
      <c r="Q78" s="28">
        <v>0.45454545454545453</v>
      </c>
      <c r="R78" s="60">
        <v>316.34151328298469</v>
      </c>
      <c r="S78" s="57">
        <v>1.8653658470776584E-6</v>
      </c>
      <c r="U78" s="127">
        <v>1.1049257500660205E-9</v>
      </c>
      <c r="V78" s="127">
        <v>9.8213700049826812E-10</v>
      </c>
      <c r="W78" s="128">
        <v>8.5684091797278461E-10</v>
      </c>
      <c r="X78" s="128">
        <f t="shared" si="2"/>
        <v>9.8151016725883531E-10</v>
      </c>
      <c r="Y78" s="139">
        <f t="shared" si="3"/>
        <v>2.0037965523641588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1.6917791472599999E-2</v>
      </c>
      <c r="J79" s="109">
        <v>1.0577889933359257E-9</v>
      </c>
      <c r="K79" s="109">
        <v>9.9575509172130514E-11</v>
      </c>
      <c r="L79" s="152">
        <v>9.080689796253774E-10</v>
      </c>
      <c r="N79" s="18">
        <v>1.2798097612415255E-6</v>
      </c>
      <c r="O79" s="18">
        <v>1.287246079549018E-10</v>
      </c>
      <c r="P79" s="18">
        <v>4.0613141168602355E-8</v>
      </c>
      <c r="Q79" s="28">
        <v>0.45454545454545453</v>
      </c>
      <c r="R79" s="60">
        <v>316.34151328298469</v>
      </c>
      <c r="S79" s="57">
        <v>1.8589003215955096E-6</v>
      </c>
      <c r="U79" s="127">
        <v>1.0352561600412197E-9</v>
      </c>
      <c r="V79" s="127">
        <v>9.080689796253774E-10</v>
      </c>
      <c r="W79" s="128">
        <v>7.898542870956055E-10</v>
      </c>
      <c r="X79" s="128">
        <f t="shared" si="2"/>
        <v>9.10312101596895E-10</v>
      </c>
      <c r="Y79" s="139">
        <f t="shared" si="3"/>
        <v>2.1935264713624827</v>
      </c>
      <c r="AA79" s="73"/>
      <c r="AB79" s="176"/>
      <c r="AC79" s="176"/>
      <c r="AD79" s="176"/>
      <c r="AJ79" s="135"/>
    </row>
    <row r="80" spans="2:36" x14ac:dyDescent="0.35">
      <c r="I80" s="109">
        <v>1.7086969387300002E-2</v>
      </c>
      <c r="J80" s="109">
        <v>9.6917382954724267E-10</v>
      </c>
      <c r="K80" s="109">
        <v>9.5484930157710868E-11</v>
      </c>
      <c r="L80" s="152">
        <v>8.3771382267108547E-10</v>
      </c>
      <c r="N80" s="18">
        <v>1.4296966928575865E-6</v>
      </c>
      <c r="O80" s="18">
        <v>1.2043576299370111E-10</v>
      </c>
      <c r="P80" s="18">
        <v>3.7358123703304822E-8</v>
      </c>
      <c r="Q80" s="28">
        <v>0.45454545454545453</v>
      </c>
      <c r="R80" s="60">
        <v>322.61701338371023</v>
      </c>
      <c r="S80" s="57">
        <v>1.8589003215955096E-6</v>
      </c>
      <c r="U80" s="127">
        <v>9.6376512270987517E-10</v>
      </c>
      <c r="V80" s="127">
        <v>8.3771382267108547E-10</v>
      </c>
      <c r="W80" s="128">
        <v>7.3220084917096245E-10</v>
      </c>
      <c r="X80" s="128">
        <f t="shared" si="2"/>
        <v>8.4284840430575214E-10</v>
      </c>
      <c r="Y80" s="139">
        <f t="shared" si="3"/>
        <v>1.7502974826339044</v>
      </c>
      <c r="AA80" s="73"/>
      <c r="AB80" s="176"/>
      <c r="AC80" s="176"/>
      <c r="AD80" s="176"/>
      <c r="AJ80" s="135"/>
    </row>
    <row r="81" spans="2:36" x14ac:dyDescent="0.35">
      <c r="I81" s="109">
        <v>1.7257839081199999E-2</v>
      </c>
      <c r="J81" s="109">
        <v>7.8677341674022317E-10</v>
      </c>
      <c r="K81" s="109">
        <v>9.1089717794415087E-11</v>
      </c>
      <c r="L81" s="152">
        <v>7.7367104976795578E-10</v>
      </c>
      <c r="N81" s="18">
        <v>1.6037275736865943E-6</v>
      </c>
      <c r="O81" s="18">
        <v>1.1093039310154704E-10</v>
      </c>
      <c r="P81" s="18">
        <v>3.3625373918331868E-8</v>
      </c>
      <c r="Q81" s="28">
        <v>0.45454545454545453</v>
      </c>
      <c r="R81" s="60">
        <v>322.61701338371023</v>
      </c>
      <c r="S81" s="57">
        <v>1.8524506334128473E-6</v>
      </c>
      <c r="U81" s="127">
        <v>8.9296745107096489E-10</v>
      </c>
      <c r="V81" s="127">
        <v>7.7367104976795578E-10</v>
      </c>
      <c r="W81" s="128">
        <v>6.8603229937809198E-10</v>
      </c>
      <c r="X81" s="128">
        <f t="shared" si="2"/>
        <v>7.8158546249624211E-10</v>
      </c>
      <c r="Y81" s="139">
        <f t="shared" si="3"/>
        <v>3.2437962023405356E-3</v>
      </c>
      <c r="AA81" s="73"/>
      <c r="AB81" s="176"/>
      <c r="AC81" s="176"/>
      <c r="AD81" s="176"/>
      <c r="AJ81" s="135"/>
    </row>
    <row r="82" spans="2:36" x14ac:dyDescent="0.35">
      <c r="I82" s="109">
        <v>1.7430417472000002E-2</v>
      </c>
      <c r="J82" s="109">
        <v>7.1697947347740666E-10</v>
      </c>
      <c r="K82" s="109">
        <v>8.664607733405151E-11</v>
      </c>
      <c r="L82" s="152">
        <v>7.1830446152774201E-10</v>
      </c>
      <c r="N82" s="18">
        <v>1.795908692156091E-6</v>
      </c>
      <c r="O82" s="18">
        <v>1.0051634568210329E-10</v>
      </c>
      <c r="P82" s="18">
        <v>2.9535774468313248E-8</v>
      </c>
      <c r="Q82" s="28">
        <v>0.45454545454545453</v>
      </c>
      <c r="R82" s="60">
        <v>329.40133506631031</v>
      </c>
      <c r="S82" s="57">
        <v>1.8524506334128473E-6</v>
      </c>
      <c r="U82" s="127">
        <v>8.2538155993592485E-10</v>
      </c>
      <c r="V82" s="127">
        <v>7.1830446152774201E-10</v>
      </c>
      <c r="W82" s="128">
        <v>6.530089367434792E-10</v>
      </c>
      <c r="X82" s="128">
        <f t="shared" si="2"/>
        <v>7.2874985493372202E-10</v>
      </c>
      <c r="Y82" s="139">
        <f t="shared" si="3"/>
        <v>1.8453691819358704E-2</v>
      </c>
      <c r="AA82" s="73"/>
      <c r="AB82" s="176"/>
      <c r="AC82" s="176"/>
      <c r="AD82" s="176"/>
      <c r="AJ82" s="135"/>
    </row>
    <row r="83" spans="2:36" x14ac:dyDescent="0.35">
      <c r="I83" s="109">
        <v>1.7604721646699999E-2</v>
      </c>
      <c r="J83" s="109">
        <v>5.3225889261491882E-10</v>
      </c>
      <c r="K83" s="109">
        <v>7.7303602704251976E-11</v>
      </c>
      <c r="L83" s="152">
        <v>6.7363642910642561E-10</v>
      </c>
      <c r="N83" s="18">
        <v>1.9471201789146957E-6</v>
      </c>
      <c r="O83" s="18">
        <v>9.2360482362648813E-11</v>
      </c>
      <c r="P83" s="18">
        <v>2.6332944681746528E-8</v>
      </c>
      <c r="Q83" s="28">
        <v>0.22727272727272727</v>
      </c>
      <c r="R83" s="60">
        <v>329.40133506631031</v>
      </c>
      <c r="S83" s="57">
        <v>1.8460383012580987E-6</v>
      </c>
      <c r="U83" s="127">
        <v>7.6343040996763261E-10</v>
      </c>
      <c r="V83" s="127">
        <v>6.7363642910642561E-10</v>
      </c>
      <c r="W83" s="128">
        <v>6.3421491780029154E-10</v>
      </c>
      <c r="X83" s="128">
        <f t="shared" si="2"/>
        <v>6.8622954649519385E-10</v>
      </c>
      <c r="Y83" s="139">
        <f t="shared" si="3"/>
        <v>3.9671300640391491</v>
      </c>
      <c r="AA83" s="73"/>
      <c r="AB83" s="176"/>
      <c r="AC83" s="176"/>
      <c r="AD83" s="176"/>
      <c r="AJ83" s="135"/>
    </row>
    <row r="84" spans="2:36" x14ac:dyDescent="0.35">
      <c r="I84" s="109">
        <v>1.77807688631E-2</v>
      </c>
      <c r="J84" s="109">
        <v>5.881982125526596E-10</v>
      </c>
      <c r="K84" s="109">
        <v>8.1011132006969482E-11</v>
      </c>
      <c r="L84" s="152">
        <v>6.4125291665832817E-10</v>
      </c>
      <c r="N84" s="18">
        <v>2.0352054582129023E-6</v>
      </c>
      <c r="O84" s="18">
        <v>8.7134215629684712E-11</v>
      </c>
      <c r="P84" s="18">
        <v>2.428055835217318E-8</v>
      </c>
      <c r="Q84" s="28">
        <v>0.20553478847173681</v>
      </c>
      <c r="R84" s="60">
        <v>336.95337439095761</v>
      </c>
      <c r="S84" s="57">
        <v>1.8460383012580987E-6</v>
      </c>
      <c r="U84" s="127">
        <v>7.0934170068394796E-10</v>
      </c>
      <c r="V84" s="127">
        <v>6.4125291665832817E-10</v>
      </c>
      <c r="W84" s="128">
        <v>6.3009746184521525E-10</v>
      </c>
      <c r="X84" s="128">
        <f t="shared" si="2"/>
        <v>6.5548624896145491E-10</v>
      </c>
      <c r="Y84" s="139">
        <f t="shared" si="3"/>
        <v>0.6899002594710214</v>
      </c>
      <c r="AA84" s="73"/>
      <c r="AB84" s="176"/>
      <c r="AC84" s="176"/>
      <c r="AD84" s="176"/>
      <c r="AJ84" s="135"/>
    </row>
    <row r="85" spans="2:36" x14ac:dyDescent="0.35">
      <c r="I85" s="109">
        <v>1.7958576551799998E-2</v>
      </c>
      <c r="J85" s="109">
        <v>5.7827681949680721E-10</v>
      </c>
      <c r="K85" s="109">
        <v>7.9889830341324887E-11</v>
      </c>
      <c r="L85" s="152">
        <v>6.2222424034596448E-10</v>
      </c>
      <c r="N85" s="18">
        <v>2.1743997803409769E-6</v>
      </c>
      <c r="O85" s="18">
        <v>7.9745396800384886E-11</v>
      </c>
      <c r="P85" s="18">
        <v>2.1378884325435308E-8</v>
      </c>
      <c r="Q85" s="28">
        <v>0.41106957694347362</v>
      </c>
      <c r="R85" s="60">
        <v>336.95337439095761</v>
      </c>
      <c r="S85" s="57">
        <v>1.8397053163265612E-6</v>
      </c>
      <c r="U85" s="127">
        <v>6.6505167971303981E-10</v>
      </c>
      <c r="V85" s="127">
        <v>6.2222424034596448E-10</v>
      </c>
      <c r="W85" s="128">
        <v>6.4043385583450916E-10</v>
      </c>
      <c r="X85" s="128">
        <f t="shared" si="2"/>
        <v>6.3748350405986948E-10</v>
      </c>
      <c r="Y85" s="139">
        <f t="shared" si="3"/>
        <v>0.54923535658890721</v>
      </c>
      <c r="AA85" s="73"/>
      <c r="AB85" s="176"/>
      <c r="AC85" s="176"/>
      <c r="AD85" s="176"/>
      <c r="AJ85" s="135"/>
    </row>
    <row r="86" spans="2:36" x14ac:dyDescent="0.35">
      <c r="I86" s="109">
        <v>1.8138162317300002E-2</v>
      </c>
      <c r="J86" s="109">
        <v>4.5831778433201142E-10</v>
      </c>
      <c r="K86" s="109">
        <v>7.1746745602567148E-11</v>
      </c>
      <c r="L86" s="152">
        <v>6.1704601680797951E-10</v>
      </c>
      <c r="N86" s="18">
        <v>2.3535192055724809E-6</v>
      </c>
      <c r="O86" s="18">
        <v>7.0236668334364288E-11</v>
      </c>
      <c r="P86" s="18">
        <v>1.7644561653578393E-8</v>
      </c>
      <c r="Q86" s="28">
        <v>0.41106957694347362</v>
      </c>
      <c r="R86" s="60">
        <v>345.69916566998234</v>
      </c>
      <c r="S86" s="57">
        <v>1.8397053163265612E-6</v>
      </c>
      <c r="U86" s="127">
        <v>6.321170908544466E-10</v>
      </c>
      <c r="V86" s="127">
        <v>6.1704601680797951E-10</v>
      </c>
      <c r="W86" s="128">
        <v>6.6432879007058002E-10</v>
      </c>
      <c r="X86" s="128">
        <f t="shared" si="2"/>
        <v>6.3263447863524641E-10</v>
      </c>
      <c r="Y86" s="139">
        <f t="shared" si="3"/>
        <v>5.9030104222238853</v>
      </c>
      <c r="AA86" s="73"/>
      <c r="AB86" s="176"/>
      <c r="AC86" s="176"/>
      <c r="AD86" s="176"/>
      <c r="AJ86" s="135"/>
    </row>
    <row r="87" spans="2:36" x14ac:dyDescent="0.35">
      <c r="I87" s="109">
        <v>1.8319543940500001E-2</v>
      </c>
      <c r="J87" s="109">
        <v>5.2435566716765912E-10</v>
      </c>
      <c r="K87" s="109">
        <v>7.5409863498807816E-11</v>
      </c>
      <c r="L87" s="152">
        <v>6.2560392821690613E-10</v>
      </c>
      <c r="N87" s="18">
        <v>2.5197037604360164E-6</v>
      </c>
      <c r="O87" s="18">
        <v>6.1413287955015704E-11</v>
      </c>
      <c r="P87" s="18">
        <v>1.4179083003548695E-8</v>
      </c>
      <c r="Q87" s="28">
        <v>0.41106957694347362</v>
      </c>
      <c r="R87" s="60">
        <v>345.69916566998234</v>
      </c>
      <c r="S87" s="57">
        <v>1.8335329751034411E-6</v>
      </c>
      <c r="U87" s="127">
        <v>6.1163967968808269E-10</v>
      </c>
      <c r="V87" s="127">
        <v>6.2560392821690613E-10</v>
      </c>
      <c r="W87" s="128">
        <v>7.0024310877059563E-10</v>
      </c>
      <c r="X87" s="128">
        <f t="shared" si="2"/>
        <v>6.4077266122312272E-10</v>
      </c>
      <c r="Y87" s="139">
        <f t="shared" si="3"/>
        <v>2.3832876003206458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1.8502739379900001E-2</v>
      </c>
      <c r="J88" s="109">
        <v>5.0676820615200644E-10</v>
      </c>
      <c r="K88" s="109">
        <v>7.4780657819821856E-11</v>
      </c>
      <c r="L88" s="152">
        <v>6.4716489335820329E-10</v>
      </c>
      <c r="N88" s="18">
        <v>2.6681881341983527E-6</v>
      </c>
      <c r="O88" s="18">
        <v>5.3527009846849074E-11</v>
      </c>
      <c r="P88" s="18">
        <v>1.1081031356073684E-8</v>
      </c>
      <c r="Q88" s="28">
        <v>0.41106957694347362</v>
      </c>
      <c r="R88" s="60">
        <v>356.44620229399078</v>
      </c>
      <c r="S88" s="57">
        <v>1.8335329751034411E-6</v>
      </c>
      <c r="U88" s="127">
        <v>6.0420731655616016E-10</v>
      </c>
      <c r="V88" s="127">
        <v>6.4716489335820329E-10</v>
      </c>
      <c r="W88" s="128">
        <v>7.4605357919823942E-10</v>
      </c>
      <c r="X88" s="128">
        <f t="shared" si="2"/>
        <v>6.6114767061770157E-10</v>
      </c>
      <c r="Y88" s="139">
        <f t="shared" si="3"/>
        <v>4.2618729388600363</v>
      </c>
      <c r="AA88" s="73"/>
      <c r="AB88" s="176"/>
      <c r="AC88" s="176"/>
      <c r="AD88" s="176"/>
      <c r="AJ88" s="135"/>
    </row>
    <row r="89" spans="2:36" x14ac:dyDescent="0.35">
      <c r="I89" s="109">
        <v>1.8687766773700001E-2</v>
      </c>
      <c r="J89" s="109">
        <v>6.9673904379532083E-10</v>
      </c>
      <c r="K89" s="109">
        <v>8.5329980667412466E-11</v>
      </c>
      <c r="L89" s="152">
        <v>6.8039605401566681E-10</v>
      </c>
      <c r="N89" s="18">
        <v>2.7959041530821431E-6</v>
      </c>
      <c r="O89" s="18">
        <v>4.6738546307063201E-11</v>
      </c>
      <c r="P89" s="18">
        <v>8.4130113998131541E-9</v>
      </c>
      <c r="Q89" s="28">
        <v>0.41106957694347362</v>
      </c>
      <c r="R89" s="60">
        <v>356.44620229399078</v>
      </c>
      <c r="S89" s="57">
        <v>1.8276843560289203E-6</v>
      </c>
      <c r="U89" s="127">
        <v>6.09855198426937E-10</v>
      </c>
      <c r="V89" s="127">
        <v>6.8039605401566681E-10</v>
      </c>
      <c r="W89" s="128">
        <v>7.9914185156912684E-10</v>
      </c>
      <c r="X89" s="128">
        <f t="shared" si="2"/>
        <v>6.9244728950684934E-10</v>
      </c>
      <c r="Y89" s="139">
        <f t="shared" si="3"/>
        <v>2.5296847641330419E-3</v>
      </c>
      <c r="AA89" s="73"/>
      <c r="AB89" s="176"/>
      <c r="AC89" s="176"/>
      <c r="AD89" s="176"/>
      <c r="AJ89" s="135"/>
    </row>
    <row r="90" spans="2:36" x14ac:dyDescent="0.35">
      <c r="I90" s="109">
        <v>1.8874644441399999E-2</v>
      </c>
      <c r="J90" s="109">
        <v>6.8777413513038032E-10</v>
      </c>
      <c r="K90" s="109">
        <v>8.5746607967098395E-11</v>
      </c>
      <c r="L90" s="152">
        <v>7.2341173884908611E-10</v>
      </c>
      <c r="N90" s="18">
        <v>2.901561643927129E-6</v>
      </c>
      <c r="O90" s="18">
        <v>4.1112671245169443E-11</v>
      </c>
      <c r="P90" s="18">
        <v>6.1995839734130939E-9</v>
      </c>
      <c r="Q90" s="28">
        <v>0.41106957694347362</v>
      </c>
      <c r="R90" s="60">
        <v>371.11454342896673</v>
      </c>
      <c r="S90" s="57">
        <v>1.8276843560289203E-6</v>
      </c>
      <c r="U90" s="127">
        <v>6.2804979669917056E-10</v>
      </c>
      <c r="V90" s="127">
        <v>7.2341173884908611E-10</v>
      </c>
      <c r="W90" s="128">
        <v>8.5650945670879739E-10</v>
      </c>
      <c r="X90" s="128">
        <f t="shared" si="2"/>
        <v>7.3284568277653502E-10</v>
      </c>
      <c r="Y90" s="139">
        <f t="shared" si="3"/>
        <v>0.2762937392962434</v>
      </c>
      <c r="AA90" s="73"/>
      <c r="AB90" s="176"/>
      <c r="AC90" s="176"/>
      <c r="AD90" s="176"/>
      <c r="AJ90" s="135"/>
    </row>
    <row r="91" spans="2:36" x14ac:dyDescent="0.35">
      <c r="I91" s="109">
        <v>1.9063390885799999E-2</v>
      </c>
      <c r="J91" s="109">
        <v>5.2041596497544697E-10</v>
      </c>
      <c r="K91" s="109">
        <v>7.9147109748338252E-11</v>
      </c>
      <c r="L91" s="152">
        <v>7.7384731753659288E-10</v>
      </c>
      <c r="N91" s="18">
        <v>2.9854615116047395E-6</v>
      </c>
      <c r="O91" s="18">
        <v>3.6627290361972213E-11</v>
      </c>
      <c r="P91" s="18">
        <v>4.4306267800768407E-9</v>
      </c>
      <c r="Q91" s="28">
        <v>0.41106957694347362</v>
      </c>
      <c r="R91" s="60">
        <v>371.11454342896673</v>
      </c>
      <c r="S91" s="57">
        <v>1.822515687298361E-6</v>
      </c>
      <c r="U91" s="127">
        <v>6.5769727420747812E-10</v>
      </c>
      <c r="V91" s="127">
        <v>7.7384731753659288E-10</v>
      </c>
      <c r="W91" s="128">
        <v>9.1491450389998317E-10</v>
      </c>
      <c r="X91" s="128">
        <f t="shared" si="2"/>
        <v>7.8007660329516177E-10</v>
      </c>
      <c r="Y91" s="139">
        <f t="shared" si="3"/>
        <v>10.763217598801205</v>
      </c>
      <c r="AA91" s="73"/>
      <c r="AB91" s="176"/>
      <c r="AC91" s="176"/>
      <c r="AD91" s="176"/>
      <c r="AJ91" s="135"/>
    </row>
    <row r="92" spans="2:36" x14ac:dyDescent="0.35">
      <c r="I92" s="109">
        <v>1.9254024794699998E-2</v>
      </c>
      <c r="J92" s="109">
        <v>6.0743332225712292E-10</v>
      </c>
      <c r="K92" s="109">
        <v>8.2141822263741529E-11</v>
      </c>
      <c r="L92" s="152">
        <v>8.289576576116224E-10</v>
      </c>
      <c r="N92" s="18">
        <v>3.0491076217270386E-6</v>
      </c>
      <c r="O92" s="18">
        <v>3.319293573469829E-11</v>
      </c>
      <c r="P92" s="18">
        <v>3.068728533267934E-9</v>
      </c>
      <c r="Q92" s="28">
        <v>0.41106957694347362</v>
      </c>
      <c r="R92" s="60">
        <v>397.47374719272369</v>
      </c>
      <c r="S92" s="57">
        <v>1.822515687298361E-6</v>
      </c>
      <c r="U92" s="127">
        <v>6.9717705723489134E-10</v>
      </c>
      <c r="V92" s="127">
        <v>8.289576576116224E-10</v>
      </c>
      <c r="W92" s="128">
        <v>9.7102470765263256E-10</v>
      </c>
      <c r="X92" s="128">
        <f t="shared" si="2"/>
        <v>8.3152927002769223E-10</v>
      </c>
      <c r="Y92" s="139">
        <f t="shared" si="3"/>
        <v>7.4428512692476145</v>
      </c>
      <c r="AA92" s="73"/>
      <c r="AB92" s="176"/>
      <c r="AC92" s="176"/>
      <c r="AD92" s="176"/>
      <c r="AJ92" s="135"/>
    </row>
    <row r="93" spans="2:36" x14ac:dyDescent="0.35">
      <c r="I93" s="109">
        <v>1.9446565042599999E-2</v>
      </c>
      <c r="J93" s="109">
        <v>8.1108120513418798E-10</v>
      </c>
      <c r="K93" s="109">
        <v>9.4731150594259396E-11</v>
      </c>
      <c r="L93" s="152">
        <v>8.8573678053447656E-10</v>
      </c>
      <c r="N93" s="18">
        <v>3.0947127479673387E-6</v>
      </c>
      <c r="O93" s="18">
        <v>3.067769052680648E-11</v>
      </c>
      <c r="P93" s="18">
        <v>2.0586699452077588E-9</v>
      </c>
      <c r="Q93" s="28">
        <v>0.41106957694347362</v>
      </c>
      <c r="R93" s="60">
        <v>397.47374719272369</v>
      </c>
      <c r="S93" s="57">
        <v>1.8189428340363354E-6</v>
      </c>
      <c r="U93" s="127">
        <v>7.4440016904701593E-10</v>
      </c>
      <c r="V93" s="127">
        <v>8.8573678053447656E-10</v>
      </c>
      <c r="W93" s="128">
        <v>1.0215804892475994E-9</v>
      </c>
      <c r="X93" s="128">
        <f t="shared" si="2"/>
        <v>8.8436355484089207E-10</v>
      </c>
      <c r="Y93" s="139">
        <f t="shared" si="3"/>
        <v>0.59842971121992028</v>
      </c>
      <c r="AA93" s="73"/>
      <c r="AB93" s="176"/>
      <c r="AC93" s="176"/>
      <c r="AD93" s="176"/>
      <c r="AJ93" s="135"/>
    </row>
    <row r="94" spans="2:36" x14ac:dyDescent="0.35">
      <c r="I94" s="109">
        <v>1.9641030693100001E-2</v>
      </c>
      <c r="J94" s="109">
        <v>8.8600285279228125E-10</v>
      </c>
      <c r="K94" s="109">
        <v>9.7615356708747506E-11</v>
      </c>
      <c r="L94" s="152">
        <v>9.4105430128095525E-10</v>
      </c>
      <c r="N94" s="18">
        <v>3.1246979016360707E-6</v>
      </c>
      <c r="O94" s="18">
        <v>2.8932440208745597E-11</v>
      </c>
      <c r="P94" s="18">
        <v>1.3370270886971167E-9</v>
      </c>
      <c r="Q94" s="28">
        <v>0.41106957694347362</v>
      </c>
      <c r="R94" s="60">
        <v>432.8722600433141</v>
      </c>
      <c r="S94" s="57">
        <v>1.8189428340363354E-6</v>
      </c>
      <c r="U94" s="127">
        <v>7.9689085537021658E-10</v>
      </c>
      <c r="V94" s="127">
        <v>9.4105430128095525E-10</v>
      </c>
      <c r="W94" s="128">
        <v>1.0635611624503342E-9</v>
      </c>
      <c r="X94" s="128">
        <f t="shared" si="2"/>
        <v>9.3564015509561531E-10</v>
      </c>
      <c r="Y94" s="139">
        <f t="shared" si="3"/>
        <v>0.25857113957164718</v>
      </c>
      <c r="AA94" s="73"/>
      <c r="AB94" s="176"/>
      <c r="AC94" s="176"/>
      <c r="AD94" s="176"/>
      <c r="AJ94" s="135"/>
    </row>
    <row r="95" spans="2:36" x14ac:dyDescent="0.35">
      <c r="I95" s="109">
        <v>1.9837441000000001E-2</v>
      </c>
      <c r="J95" s="109">
        <v>8.5354089589407883E-10</v>
      </c>
      <c r="K95" s="109">
        <v>9.8857017993937883E-11</v>
      </c>
      <c r="L95" s="152">
        <v>9.9180333548306634E-10</v>
      </c>
      <c r="N95" s="18">
        <v>3.141268114760232E-6</v>
      </c>
      <c r="O95" s="18">
        <v>2.781233946511218E-11</v>
      </c>
      <c r="P95" s="18">
        <v>8.4035333381133088E-10</v>
      </c>
      <c r="Q95" s="28">
        <v>0.41106957694347362</v>
      </c>
      <c r="R95" s="60">
        <v>432.8722600433141</v>
      </c>
      <c r="S95" s="57">
        <v>1.8184491611769297E-6</v>
      </c>
      <c r="U95" s="127">
        <v>8.5188899250426396E-10</v>
      </c>
      <c r="V95" s="127">
        <v>9.9180333548306634E-10</v>
      </c>
      <c r="W95" s="128">
        <v>1.0943466283827841E-9</v>
      </c>
      <c r="X95" s="128">
        <f t="shared" si="2"/>
        <v>9.8246057296329513E-10</v>
      </c>
      <c r="Y95" s="139">
        <f t="shared" si="3"/>
        <v>1.7006831395094173</v>
      </c>
      <c r="AA95" s="73"/>
      <c r="AB95" s="176"/>
      <c r="AC95" s="176"/>
      <c r="AD95" s="176"/>
      <c r="AJ95" s="135"/>
    </row>
    <row r="96" spans="2:36" x14ac:dyDescent="0.35">
      <c r="I96" s="109">
        <v>2.0035815410000001E-2</v>
      </c>
      <c r="J96" s="109">
        <v>9.0641303570467822E-10</v>
      </c>
      <c r="K96" s="109">
        <v>1.0220305682615433E-10</v>
      </c>
      <c r="L96" s="152">
        <v>1.0350537800809116E-9</v>
      </c>
      <c r="N96" s="18">
        <v>3.1461199520854667E-6</v>
      </c>
      <c r="O96" s="18">
        <v>2.7191982575723531E-11</v>
      </c>
      <c r="P96" s="18">
        <v>5.1105293281778996E-10</v>
      </c>
      <c r="Q96" s="28">
        <v>0.41106957694347362</v>
      </c>
      <c r="R96" s="60">
        <v>1137.9665532136632</v>
      </c>
      <c r="S96" s="57">
        <v>1.8184491611769297E-6</v>
      </c>
      <c r="U96" s="127">
        <v>9.0646979247442433E-10</v>
      </c>
      <c r="V96" s="127">
        <v>1.0350537800809116E-9</v>
      </c>
      <c r="W96" s="128">
        <v>1.111866600254443E-9</v>
      </c>
      <c r="X96" s="128">
        <f t="shared" si="2"/>
        <v>1.0221109882226728E-9</v>
      </c>
      <c r="Y96" s="139">
        <f t="shared" si="3"/>
        <v>1.2815146517288418</v>
      </c>
      <c r="AA96" s="73"/>
      <c r="AB96" s="176"/>
      <c r="AC96" s="176"/>
      <c r="AD96" s="176"/>
      <c r="AJ96" s="135"/>
    </row>
    <row r="97" spans="9:36" x14ac:dyDescent="0.35">
      <c r="I97" s="109">
        <v>2.0236173564099999E-2</v>
      </c>
      <c r="J97" s="109">
        <v>1.2311094143436924E-9</v>
      </c>
      <c r="K97" s="109">
        <v>1.1905060633160553E-10</v>
      </c>
      <c r="L97" s="152">
        <v>1.0682042246117973E-9</v>
      </c>
      <c r="N97" s="18">
        <v>3.1403057532479086E-6</v>
      </c>
      <c r="O97" s="18">
        <v>2.6973437554364176E-11</v>
      </c>
      <c r="P97" s="18">
        <v>3.0073159380766358E-10</v>
      </c>
      <c r="Q97" s="28">
        <v>0.41106957694347362</v>
      </c>
      <c r="R97" s="60">
        <v>1137.9665532136632</v>
      </c>
      <c r="S97" s="57">
        <v>1.8143745838960903E-6</v>
      </c>
      <c r="U97" s="127">
        <v>9.5767641848814806E-10</v>
      </c>
      <c r="V97" s="127">
        <v>1.0682042246117973E-9</v>
      </c>
      <c r="W97" s="128">
        <v>1.1147291998057816E-9</v>
      </c>
      <c r="X97" s="128">
        <f t="shared" si="2"/>
        <v>1.052203516879381E-9</v>
      </c>
      <c r="Y97" s="139">
        <f t="shared" si="3"/>
        <v>2.2583231711419187</v>
      </c>
      <c r="AA97" s="73"/>
      <c r="AB97" s="176"/>
      <c r="AC97" s="176"/>
      <c r="AD97" s="176"/>
      <c r="AJ97" s="135"/>
    </row>
    <row r="98" spans="9:36" x14ac:dyDescent="0.35">
      <c r="I98" s="109">
        <v>2.0438535299700002E-2</v>
      </c>
      <c r="J98" s="109">
        <v>1.1077214067909709E-9</v>
      </c>
      <c r="K98" s="109">
        <v>1.1321775116888027E-10</v>
      </c>
      <c r="L98" s="152">
        <v>1.089125262812255E-9</v>
      </c>
      <c r="N98" s="18">
        <v>3.1242530904734802E-6</v>
      </c>
      <c r="O98" s="18">
        <v>2.7087660939658597E-11</v>
      </c>
      <c r="P98" s="18">
        <v>1.7133011369933121E-10</v>
      </c>
      <c r="Q98" s="28">
        <v>0.41106957694347362</v>
      </c>
      <c r="R98" s="60">
        <v>1141.4087163898114</v>
      </c>
      <c r="S98" s="57">
        <v>1.8143745838960903E-6</v>
      </c>
      <c r="U98" s="127">
        <v>1.0026603172333752E-9</v>
      </c>
      <c r="V98" s="127">
        <v>1.089125262812255E-9</v>
      </c>
      <c r="W98" s="128">
        <v>1.102320893259231E-9</v>
      </c>
      <c r="X98" s="128">
        <f t="shared" si="2"/>
        <v>1.0708079340292791E-9</v>
      </c>
      <c r="Y98" s="139">
        <f t="shared" si="3"/>
        <v>0.10630183492326284</v>
      </c>
      <c r="AA98" s="73"/>
      <c r="AB98" s="176"/>
      <c r="AC98" s="176"/>
      <c r="AD98" s="176"/>
      <c r="AJ98" s="135"/>
    </row>
    <row r="99" spans="9:36" x14ac:dyDescent="0.35">
      <c r="I99" s="109">
        <v>2.06429206527E-2</v>
      </c>
      <c r="J99" s="109">
        <v>9.7977207225529691E-10</v>
      </c>
      <c r="K99" s="109">
        <v>1.0721972298132369E-10</v>
      </c>
      <c r="L99" s="152">
        <v>1.09628668666183E-9</v>
      </c>
      <c r="N99" s="18">
        <v>3.0979175211196874E-6</v>
      </c>
      <c r="O99" s="18">
        <v>2.7490680372100215E-11</v>
      </c>
      <c r="P99" s="18">
        <v>9.4638600416585917E-11</v>
      </c>
      <c r="Q99" s="28">
        <v>0.41106957694347362</v>
      </c>
      <c r="R99" s="60">
        <v>1141.4087163898114</v>
      </c>
      <c r="S99" s="57">
        <v>1.784885689678277E-6</v>
      </c>
      <c r="U99" s="127">
        <v>1.0388233739406223E-9</v>
      </c>
      <c r="V99" s="127">
        <v>1.09628668666183E-9</v>
      </c>
      <c r="W99" s="128">
        <v>1.0748702525832477E-9</v>
      </c>
      <c r="X99" s="128">
        <f t="shared" si="2"/>
        <v>1.0765667499618824E-9</v>
      </c>
      <c r="Y99" s="139">
        <f t="shared" si="3"/>
        <v>0.81499246702724404</v>
      </c>
      <c r="AA99" s="73"/>
      <c r="AB99" s="176"/>
      <c r="AC99" s="176"/>
      <c r="AD99" s="176"/>
      <c r="AJ99" s="135"/>
    </row>
    <row r="100" spans="9:36" x14ac:dyDescent="0.35">
      <c r="I100" s="109">
        <v>2.0849349859299999E-2</v>
      </c>
      <c r="J100" s="109">
        <v>1.1238110984526135E-9</v>
      </c>
      <c r="K100" s="109">
        <v>1.124279601092526E-10</v>
      </c>
      <c r="L100" s="152">
        <v>1.088861023484186E-9</v>
      </c>
      <c r="N100" s="18">
        <v>3.0610318984894824E-6</v>
      </c>
      <c r="O100" s="18">
        <v>2.8156338122499328E-11</v>
      </c>
      <c r="P100" s="18">
        <v>5.0858424887710537E-11</v>
      </c>
      <c r="Q100" s="28">
        <v>0.41106957694347362</v>
      </c>
      <c r="R100" s="60">
        <v>1143.9718941405592</v>
      </c>
      <c r="S100" s="57">
        <v>1.784885689678277E-6</v>
      </c>
      <c r="U100" s="127">
        <v>1.063955429996318E-9</v>
      </c>
      <c r="V100" s="127">
        <v>1.088861023484186E-9</v>
      </c>
      <c r="W100" s="128">
        <v>1.033469035666165E-9</v>
      </c>
      <c r="X100" s="128">
        <f t="shared" si="2"/>
        <v>1.0687866281577138E-9</v>
      </c>
      <c r="Y100" s="139">
        <f t="shared" si="3"/>
        <v>0.23953174536675095</v>
      </c>
      <c r="AA100" s="73"/>
      <c r="AB100" s="176"/>
      <c r="AC100" s="176"/>
      <c r="AD100" s="176"/>
      <c r="AJ100" s="135"/>
    </row>
    <row r="101" spans="9:36" x14ac:dyDescent="0.35">
      <c r="I101" s="109">
        <v>2.1057843357800001E-2</v>
      </c>
      <c r="J101" s="109">
        <v>1.0634962490632138E-9</v>
      </c>
      <c r="K101" s="109">
        <v>1.1088520134016159E-10</v>
      </c>
      <c r="L101" s="152">
        <v>1.0667961973745737E-9</v>
      </c>
      <c r="N101" s="18">
        <v>3.0134049928500583E-6</v>
      </c>
      <c r="O101" s="18">
        <v>2.9067455593454634E-11</v>
      </c>
      <c r="P101" s="18">
        <v>2.6789317350800811E-11</v>
      </c>
      <c r="Q101" s="28">
        <v>0.41106957694347362</v>
      </c>
      <c r="R101" s="60">
        <v>1143.9718941405592</v>
      </c>
      <c r="S101" s="57">
        <v>1.7422255762439009E-6</v>
      </c>
      <c r="U101" s="127">
        <v>1.0763603088566366E-9</v>
      </c>
      <c r="V101" s="127">
        <v>1.0667961973745737E-9</v>
      </c>
      <c r="W101" s="128">
        <v>9.8004565412078675E-10</v>
      </c>
      <c r="X101" s="128">
        <f t="shared" si="2"/>
        <v>1.0474995894316425E-9</v>
      </c>
      <c r="Y101" s="139">
        <f t="shared" si="3"/>
        <v>2.0811885585055753E-2</v>
      </c>
      <c r="AA101" s="73"/>
      <c r="AB101" s="176"/>
      <c r="AC101" s="176"/>
      <c r="AD101" s="176"/>
      <c r="AJ101" s="135"/>
    </row>
    <row r="102" spans="9:36" x14ac:dyDescent="0.35">
      <c r="I102" s="109">
        <v>2.12684217914E-2</v>
      </c>
      <c r="J102" s="109">
        <v>1.1394657006882162E-9</v>
      </c>
      <c r="K102" s="109">
        <v>5.1440946089935512E-11</v>
      </c>
      <c r="L102" s="152">
        <v>1.0308508414931826E-9</v>
      </c>
      <c r="N102" s="18">
        <v>2.9552157895038072E-6</v>
      </c>
      <c r="O102" s="18">
        <v>3.0207137888519079E-11</v>
      </c>
      <c r="P102" s="18">
        <v>1.4050356053370207E-11</v>
      </c>
      <c r="Q102" s="28">
        <v>0.41106957694347362</v>
      </c>
      <c r="R102" s="60">
        <v>1145.3982485166061</v>
      </c>
      <c r="S102" s="57">
        <v>1.7422255762439009E-6</v>
      </c>
      <c r="U102" s="127">
        <v>1.0749633267280874E-9</v>
      </c>
      <c r="V102" s="127">
        <v>1.0308508414931826E-9</v>
      </c>
      <c r="W102" s="128">
        <v>9.1728828096396995E-10</v>
      </c>
      <c r="X102" s="128">
        <f t="shared" si="2"/>
        <v>1.0134883226696056E-9</v>
      </c>
      <c r="Y102" s="139">
        <f t="shared" si="3"/>
        <v>5.9974582763214617</v>
      </c>
      <c r="AA102" s="73"/>
      <c r="AB102" s="176"/>
      <c r="AC102" s="176"/>
      <c r="AD102" s="176"/>
      <c r="AJ102" s="135"/>
    </row>
    <row r="103" spans="9:36" x14ac:dyDescent="0.35">
      <c r="I103" s="109">
        <v>2.1481106009300002E-2</v>
      </c>
      <c r="J103" s="109">
        <v>1.1579237631670621E-9</v>
      </c>
      <c r="K103" s="109">
        <v>5.2360328700870976E-11</v>
      </c>
      <c r="L103" s="152">
        <v>9.8258703201768647E-10</v>
      </c>
      <c r="N103" s="18">
        <v>2.8872491254690414E-6</v>
      </c>
      <c r="O103" s="18">
        <v>3.1551667678995887E-11</v>
      </c>
      <c r="P103" s="18">
        <v>7.5650460290543241E-12</v>
      </c>
      <c r="Q103" s="28">
        <v>0.41106957694347362</v>
      </c>
      <c r="R103" s="60">
        <v>1145.3982485166061</v>
      </c>
      <c r="S103" s="57">
        <v>1.6939534260713935E-6</v>
      </c>
      <c r="U103" s="127">
        <v>1.0593933860176905E-9</v>
      </c>
      <c r="V103" s="127">
        <v>9.8258703201768647E-10</v>
      </c>
      <c r="W103" s="128">
        <v>8.4851762395370405E-10</v>
      </c>
      <c r="X103" s="128">
        <f t="shared" si="2"/>
        <v>9.6827126850169186E-10</v>
      </c>
      <c r="Y103" s="139">
        <f t="shared" si="3"/>
        <v>13.11935219258158</v>
      </c>
      <c r="AA103" s="73"/>
      <c r="AB103" s="176"/>
      <c r="AC103" s="176"/>
      <c r="AD103" s="176"/>
      <c r="AJ103" s="135"/>
    </row>
    <row r="104" spans="9:36" x14ac:dyDescent="0.35">
      <c r="I104" s="109">
        <v>2.1695917069400002E-2</v>
      </c>
      <c r="J104" s="109">
        <v>1.0898412260292491E-9</v>
      </c>
      <c r="K104" s="109">
        <v>4.8444238839932248E-11</v>
      </c>
      <c r="L104" s="152">
        <v>9.2431700163500504E-10</v>
      </c>
      <c r="N104" s="18">
        <v>2.8110256872430501E-6</v>
      </c>
      <c r="O104" s="18">
        <v>3.3066059943651063E-11</v>
      </c>
      <c r="P104" s="18">
        <v>4.3954659473539128E-12</v>
      </c>
      <c r="Q104" s="28">
        <v>0.41106957694347362</v>
      </c>
      <c r="R104" s="60">
        <v>1146.4432939363394</v>
      </c>
      <c r="S104" s="57">
        <v>1.6939534260713935E-6</v>
      </c>
      <c r="U104" s="127">
        <v>1.030033234395446E-9</v>
      </c>
      <c r="V104" s="127">
        <v>9.2431700163500504E-10</v>
      </c>
      <c r="W104" s="128">
        <v>7.7751265121530694E-10</v>
      </c>
      <c r="X104" s="128">
        <f t="shared" si="2"/>
        <v>9.140449722201907E-10</v>
      </c>
      <c r="Y104" s="139">
        <f t="shared" si="3"/>
        <v>13.168459091668424</v>
      </c>
      <c r="AA104" s="73"/>
      <c r="AB104" s="176"/>
      <c r="AC104" s="176"/>
      <c r="AD104" s="176"/>
      <c r="AJ104" s="135"/>
    </row>
    <row r="105" spans="9:36" x14ac:dyDescent="0.35">
      <c r="I105" s="109">
        <v>2.19128762401E-2</v>
      </c>
      <c r="J105" s="109">
        <v>8.9359994169797167E-10</v>
      </c>
      <c r="K105" s="109">
        <v>4.1931580912988916E-11</v>
      </c>
      <c r="L105" s="152">
        <v>8.5900272376585084E-10</v>
      </c>
      <c r="N105" s="18">
        <v>2.728796171921514E-6</v>
      </c>
      <c r="O105" s="18">
        <v>3.4702862999731585E-11</v>
      </c>
      <c r="P105" s="18">
        <v>2.9150810355919265E-12</v>
      </c>
      <c r="Q105" s="28">
        <v>0.41106957694347362</v>
      </c>
      <c r="R105" s="60">
        <v>1146.4432939363394</v>
      </c>
      <c r="S105" s="57">
        <v>1.6430094034496384E-6</v>
      </c>
      <c r="U105" s="127">
        <v>9.8803238760131317E-10</v>
      </c>
      <c r="V105" s="127">
        <v>8.5900272376585084E-10</v>
      </c>
      <c r="W105" s="128">
        <v>7.0829612611997404E-10</v>
      </c>
      <c r="X105" s="128">
        <f t="shared" si="2"/>
        <v>8.535834903132473E-10</v>
      </c>
      <c r="Y105" s="139">
        <f t="shared" si="3"/>
        <v>0.91074054942890603</v>
      </c>
      <c r="AA105" s="73"/>
      <c r="AB105" s="176"/>
      <c r="AC105" s="176"/>
      <c r="AD105" s="176"/>
      <c r="AJ105" s="135"/>
    </row>
    <row r="106" spans="9:36" x14ac:dyDescent="0.35">
      <c r="I106" s="109">
        <v>2.21320050025E-2</v>
      </c>
      <c r="J106" s="109">
        <v>8.6801462262976608E-10</v>
      </c>
      <c r="K106" s="109">
        <v>4.3494005850347778E-11</v>
      </c>
      <c r="L106" s="152">
        <v>7.9011007426671855E-10</v>
      </c>
      <c r="N106" s="18">
        <v>2.664872181892845E-6</v>
      </c>
      <c r="O106" s="18">
        <v>3.5976262375978768E-11</v>
      </c>
      <c r="P106" s="18">
        <v>2.3763076765023303E-12</v>
      </c>
      <c r="Q106" s="28">
        <v>0.20553478847173681</v>
      </c>
      <c r="R106" s="60">
        <v>1147.2937375923766</v>
      </c>
      <c r="S106" s="57">
        <v>1.6430094034496384E-6</v>
      </c>
      <c r="U106" s="127">
        <v>9.3527861178953237E-10</v>
      </c>
      <c r="V106" s="127">
        <v>7.9011007426671855E-10</v>
      </c>
      <c r="W106" s="128">
        <v>6.44890416229178E-10</v>
      </c>
      <c r="X106" s="128">
        <f t="shared" si="2"/>
        <v>7.9009729413803689E-10</v>
      </c>
      <c r="Y106" s="139">
        <f t="shared" si="3"/>
        <v>3.2092924196883597</v>
      </c>
      <c r="AA106" s="73"/>
      <c r="AB106" s="176"/>
      <c r="AC106" s="176"/>
      <c r="AD106" s="176"/>
      <c r="AJ106" s="135"/>
    </row>
    <row r="107" spans="9:36" x14ac:dyDescent="0.35">
      <c r="I107" s="109">
        <v>2.2353325052600001E-2</v>
      </c>
      <c r="J107" s="109">
        <v>8.4423756978880828E-10</v>
      </c>
      <c r="K107" s="109">
        <v>4.2088696166951527E-11</v>
      </c>
      <c r="L107" s="152">
        <v>7.2142244400323579E-10</v>
      </c>
      <c r="N107" s="18">
        <v>2.6148719946480209E-6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1147.2937375923766</v>
      </c>
      <c r="S107" s="57">
        <v>1.590739492251761E-6</v>
      </c>
      <c r="U107" s="127">
        <v>8.7432575879758664E-10</v>
      </c>
      <c r="V107" s="127">
        <v>7.2142244400323579E-10</v>
      </c>
      <c r="W107" s="128">
        <v>5.9105736312959034E-10</v>
      </c>
      <c r="X107" s="128">
        <f t="shared" si="2"/>
        <v>7.2705700248341214E-10</v>
      </c>
      <c r="Y107" s="139">
        <f t="shared" si="3"/>
        <v>7.7514017716014862</v>
      </c>
      <c r="AA107" s="73"/>
      <c r="AB107" s="176"/>
      <c r="AC107" s="176"/>
      <c r="AD107" s="176"/>
      <c r="AJ107" s="135"/>
    </row>
    <row r="108" spans="9:36" x14ac:dyDescent="0.35">
      <c r="I108" s="109">
        <v>2.2576858303100002E-2</v>
      </c>
      <c r="J108" s="109">
        <v>6.3796258480746076E-10</v>
      </c>
      <c r="K108" s="109">
        <v>3.7271854507937818E-11</v>
      </c>
      <c r="L108" s="152">
        <v>6.5682198727906505E-10</v>
      </c>
      <c r="N108" s="18">
        <v>2.5577790635636334E-6</v>
      </c>
      <c r="O108" s="18">
        <v>3.8110103002198277E-11</v>
      </c>
      <c r="P108" s="18">
        <v>1.781579905791945E-12</v>
      </c>
      <c r="Q108" s="28">
        <v>0.27901782563242211</v>
      </c>
      <c r="R108" s="60">
        <v>1148.0281004108895</v>
      </c>
      <c r="S108" s="57">
        <v>1.590739492251761E-6</v>
      </c>
      <c r="U108" s="127">
        <v>8.0827811676298059E-10</v>
      </c>
      <c r="V108" s="127">
        <v>6.5682198727906505E-10</v>
      </c>
      <c r="W108" s="128">
        <v>5.5003867843076746E-10</v>
      </c>
      <c r="X108" s="128">
        <f t="shared" si="2"/>
        <v>6.6799019243796959E-10</v>
      </c>
      <c r="Y108" s="139">
        <f t="shared" si="3"/>
        <v>0.64905195192272658</v>
      </c>
      <c r="AA108" s="73"/>
      <c r="AB108" s="176"/>
      <c r="AC108" s="176"/>
      <c r="AD108" s="176"/>
      <c r="AJ108" s="135"/>
    </row>
    <row r="109" spans="9:36" x14ac:dyDescent="0.35">
      <c r="I109" s="109">
        <v>2.2802626886099998E-2</v>
      </c>
      <c r="J109" s="109">
        <v>5.6761308695793698E-10</v>
      </c>
      <c r="K109" s="109">
        <v>3.5599068902981263E-11</v>
      </c>
      <c r="L109" s="152">
        <v>6.0004988059107751E-10</v>
      </c>
      <c r="N109" s="18">
        <v>2.5006972992791491E-6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1148.0281004108895</v>
      </c>
      <c r="S109" s="57">
        <v>1.5378146809781905E-6</v>
      </c>
      <c r="U109" s="127">
        <v>7.4063419125730068E-10</v>
      </c>
      <c r="V109" s="127">
        <v>6.0004988059107751E-10</v>
      </c>
      <c r="W109" s="128">
        <v>5.2431502492315417E-10</v>
      </c>
      <c r="X109" s="128">
        <f t="shared" si="2"/>
        <v>6.1626224434065255E-10</v>
      </c>
      <c r="Y109" s="139">
        <f t="shared" si="3"/>
        <v>1.8675548544311686</v>
      </c>
      <c r="AA109" s="73"/>
      <c r="AB109" s="176"/>
      <c r="AC109" s="176"/>
      <c r="AD109" s="176"/>
      <c r="AJ109" s="135"/>
    </row>
    <row r="110" spans="9:36" x14ac:dyDescent="0.35">
      <c r="I110" s="109">
        <v>2.3030653155000001E-2</v>
      </c>
      <c r="J110" s="109">
        <v>6.0132602414465338E-10</v>
      </c>
      <c r="K110" s="109">
        <v>3.6965125694189337E-11</v>
      </c>
      <c r="L110" s="152">
        <v>5.5445973078720784E-10</v>
      </c>
      <c r="N110" s="18">
        <v>2.4436639276899957E-6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1148.6878101102645</v>
      </c>
      <c r="S110" s="57">
        <v>1.5378146809781905E-6</v>
      </c>
      <c r="U110" s="127">
        <v>6.750958212885812E-10</v>
      </c>
      <c r="V110" s="127">
        <v>5.5445973078720784E-10</v>
      </c>
      <c r="W110" s="128">
        <v>5.1540237120344947E-10</v>
      </c>
      <c r="X110" s="128">
        <f t="shared" si="2"/>
        <v>5.7485441351661159E-10</v>
      </c>
      <c r="Y110" s="139">
        <f t="shared" si="3"/>
        <v>0.51283346541078811</v>
      </c>
      <c r="AA110" s="73"/>
      <c r="AB110" s="176"/>
      <c r="AC110" s="176"/>
      <c r="AD110" s="176"/>
      <c r="AJ110" s="135"/>
    </row>
    <row r="111" spans="9:36" x14ac:dyDescent="0.35">
      <c r="I111" s="109">
        <v>2.32609596865E-2</v>
      </c>
      <c r="J111" s="109">
        <v>5.1400248863667474E-10</v>
      </c>
      <c r="K111" s="109">
        <v>3.6295668536278187E-11</v>
      </c>
      <c r="L111" s="152">
        <v>5.2278029600429859E-10</v>
      </c>
      <c r="N111" s="18">
        <v>2.3867702592988383E-6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1148.6878101102645</v>
      </c>
      <c r="S111" s="57">
        <v>1.4845815480706863E-6</v>
      </c>
      <c r="U111" s="127">
        <v>6.1535154817800011E-10</v>
      </c>
      <c r="V111" s="127">
        <v>5.2278029600429859E-10</v>
      </c>
      <c r="W111" s="128">
        <v>5.2370318834257335E-10</v>
      </c>
      <c r="X111" s="128">
        <f t="shared" si="2"/>
        <v>5.4615383213229266E-10</v>
      </c>
      <c r="Y111" s="139">
        <f t="shared" si="3"/>
        <v>0.78467289380451499</v>
      </c>
      <c r="AA111" s="73"/>
      <c r="AB111" s="176"/>
      <c r="AC111" s="176"/>
      <c r="AD111" s="176"/>
      <c r="AJ111" s="135"/>
    </row>
    <row r="112" spans="9:36" x14ac:dyDescent="0.35">
      <c r="I112" s="109">
        <v>2.34935692834E-2</v>
      </c>
      <c r="J112" s="109">
        <v>4.0147117404978462E-10</v>
      </c>
      <c r="K112" s="109">
        <v>3.3694797526355211E-11</v>
      </c>
      <c r="L112" s="152">
        <v>5.0690469032045751E-10</v>
      </c>
      <c r="N112" s="18">
        <v>2.3302061140418787E-6</v>
      </c>
      <c r="O112" s="18">
        <v>4.2646691499369025E-11</v>
      </c>
      <c r="P112" s="18">
        <v>1.8860156434033162E-12</v>
      </c>
      <c r="Q112" s="28">
        <v>0.36718140925644527</v>
      </c>
      <c r="R112" s="60">
        <v>1149.2980418295972</v>
      </c>
      <c r="S112" s="57">
        <v>1.4845815480706863E-6</v>
      </c>
      <c r="U112" s="127">
        <v>5.6484594319534647E-10</v>
      </c>
      <c r="V112" s="127">
        <v>5.0690469032045751E-10</v>
      </c>
      <c r="W112" s="128">
        <v>5.484275371397377E-10</v>
      </c>
      <c r="X112" s="128">
        <f t="shared" si="2"/>
        <v>5.3177071524399977E-10</v>
      </c>
      <c r="Y112" s="139">
        <f t="shared" si="3"/>
        <v>14.954092784403882</v>
      </c>
      <c r="AA112" s="73"/>
      <c r="AB112" s="176"/>
      <c r="AC112" s="176"/>
      <c r="AD112" s="176"/>
      <c r="AJ112" s="135"/>
    </row>
    <row r="113" spans="9:36" x14ac:dyDescent="0.35">
      <c r="I113" s="109">
        <v>2.37285049762E-2</v>
      </c>
      <c r="J113" s="109">
        <v>4.7137107082913328E-10</v>
      </c>
      <c r="K113" s="109">
        <v>3.6640281632119116E-11</v>
      </c>
      <c r="L113" s="152">
        <v>5.0772301997028498E-10</v>
      </c>
      <c r="N113" s="18">
        <v>2.2743419025611358E-6</v>
      </c>
      <c r="O113" s="18">
        <v>4.3760325346184482E-11</v>
      </c>
      <c r="P113" s="18">
        <v>1.9116523464663543E-12</v>
      </c>
      <c r="Q113" s="28">
        <v>0.42522182801861985</v>
      </c>
      <c r="R113" s="60">
        <v>1149.2980418295972</v>
      </c>
      <c r="S113" s="57">
        <v>1.4312177004612334E-6</v>
      </c>
      <c r="U113" s="127">
        <v>5.2654888603606988E-10</v>
      </c>
      <c r="V113" s="127">
        <v>5.0772301997028498E-10</v>
      </c>
      <c r="W113" s="128">
        <v>5.8759515382867342E-10</v>
      </c>
      <c r="X113" s="128">
        <f t="shared" si="2"/>
        <v>5.3239751995132834E-10</v>
      </c>
      <c r="Y113" s="139">
        <f t="shared" si="3"/>
        <v>2.7740775353693401</v>
      </c>
      <c r="AA113" s="73"/>
      <c r="AB113" s="176"/>
      <c r="AC113" s="176"/>
      <c r="AD113" s="176"/>
      <c r="AJ113" s="135"/>
    </row>
    <row r="114" spans="9:36" x14ac:dyDescent="0.35">
      <c r="I114" s="109">
        <v>2.3965790026000001E-2</v>
      </c>
      <c r="J114" s="109">
        <v>4.5409166311421468E-10</v>
      </c>
      <c r="K114" s="109">
        <v>3.5123217786710109E-11</v>
      </c>
      <c r="L114" s="152">
        <v>5.2501382802724624E-10</v>
      </c>
      <c r="N114" s="18">
        <v>2.2198947533657298E-6</v>
      </c>
      <c r="O114" s="18">
        <v>4.4845710543602274E-11</v>
      </c>
      <c r="P114" s="18">
        <v>1.9366387440105623E-12</v>
      </c>
      <c r="Q114" s="28">
        <v>0.52252270986663085</v>
      </c>
      <c r="R114" s="60">
        <v>1149.8758327953367</v>
      </c>
      <c r="S114" s="57">
        <v>1.4312177004612334E-6</v>
      </c>
      <c r="U114" s="127">
        <v>5.0274029871525229E-10</v>
      </c>
      <c r="V114" s="127">
        <v>5.2501382802724624E-10</v>
      </c>
      <c r="W114" s="128">
        <v>6.3812449065340538E-10</v>
      </c>
      <c r="X114" s="128">
        <f t="shared" si="2"/>
        <v>5.4772311135578753E-10</v>
      </c>
      <c r="Y114" s="139">
        <f t="shared" si="3"/>
        <v>7.1064857336195999</v>
      </c>
      <c r="AA114" s="73"/>
      <c r="AB114" s="176"/>
      <c r="AC114" s="176"/>
      <c r="AD114" s="176"/>
      <c r="AJ114" s="135"/>
    </row>
    <row r="115" spans="9:36" x14ac:dyDescent="0.35">
      <c r="I115" s="109">
        <v>2.42054479262E-2</v>
      </c>
      <c r="J115" s="109">
        <v>4.9550209062959725E-10</v>
      </c>
      <c r="K115" s="109">
        <v>3.6749512673573042E-11</v>
      </c>
      <c r="L115" s="152">
        <v>5.57406806453773E-10</v>
      </c>
      <c r="N115" s="18">
        <v>2.1683032058756586E-6</v>
      </c>
      <c r="O115" s="18">
        <v>4.5874170302930228E-11</v>
      </c>
      <c r="P115" s="18">
        <v>1.9603146744230327E-12</v>
      </c>
      <c r="Q115" s="28">
        <v>0.71317718802348939</v>
      </c>
      <c r="R115" s="60">
        <v>1149.8758327953367</v>
      </c>
      <c r="S115" s="57">
        <v>1.3778085737397961E-6</v>
      </c>
      <c r="U115" s="127">
        <v>4.9482635261471741E-10</v>
      </c>
      <c r="V115" s="127">
        <v>5.57406806453773E-10</v>
      </c>
      <c r="W115" s="128">
        <v>6.9600861823423214E-10</v>
      </c>
      <c r="X115" s="128">
        <f t="shared" si="2"/>
        <v>5.7641214593912392E-10</v>
      </c>
      <c r="Y115" s="139">
        <f t="shared" si="3"/>
        <v>4.847321521801832</v>
      </c>
      <c r="AA115" s="73"/>
      <c r="AB115" s="176"/>
      <c r="AC115" s="176"/>
      <c r="AD115" s="176"/>
      <c r="AJ115" s="135"/>
    </row>
    <row r="116" spans="9:36" x14ac:dyDescent="0.35">
      <c r="I116" s="109">
        <v>2.4447502405500001E-2</v>
      </c>
      <c r="J116" s="109">
        <v>6.067579008436767E-10</v>
      </c>
      <c r="K116" s="109">
        <v>4.0742384896471561E-11</v>
      </c>
      <c r="L116" s="152">
        <v>6.0242508175997054E-10</v>
      </c>
      <c r="N116" s="18">
        <v>2.1227096025181071E-6</v>
      </c>
      <c r="O116" s="18">
        <v>4.6783063108384949E-11</v>
      </c>
      <c r="P116" s="18">
        <v>1.9812380820908275E-12</v>
      </c>
      <c r="Q116" s="28">
        <v>1.281588875373888</v>
      </c>
      <c r="R116" s="60">
        <v>1150.4338684466015</v>
      </c>
      <c r="S116" s="57">
        <v>1.3778085737397961E-6</v>
      </c>
      <c r="U116" s="127">
        <v>5.0320251230102331E-10</v>
      </c>
      <c r="V116" s="127">
        <v>6.0242508175997054E-10</v>
      </c>
      <c r="W116" s="128">
        <v>7.5657133671333533E-10</v>
      </c>
      <c r="X116" s="128">
        <f t="shared" si="2"/>
        <v>6.1615600313357496E-10</v>
      </c>
      <c r="Y116" s="139">
        <f t="shared" si="3"/>
        <v>5.3209287151532711E-2</v>
      </c>
      <c r="AA116" s="73"/>
      <c r="AB116" s="176"/>
      <c r="AC116" s="176"/>
      <c r="AD116" s="176"/>
      <c r="AJ116" s="135"/>
    </row>
    <row r="117" spans="9:36" x14ac:dyDescent="0.35">
      <c r="I117" s="109">
        <v>2.4691977429599998E-2</v>
      </c>
      <c r="J117" s="109">
        <v>5.8046807498922211E-10</v>
      </c>
      <c r="K117" s="109">
        <v>4.0435941123134656E-11</v>
      </c>
      <c r="L117" s="152">
        <v>6.5661021380316881E-10</v>
      </c>
      <c r="N117" s="18">
        <v>2.0911929271466733E-6</v>
      </c>
      <c r="O117" s="18">
        <v>4.7411337194824393E-11</v>
      </c>
      <c r="P117" s="18">
        <v>1.995701432178748E-12</v>
      </c>
      <c r="Q117" s="28">
        <v>1.7210815880741237</v>
      </c>
      <c r="R117" s="60">
        <v>1150.4338684466015</v>
      </c>
      <c r="S117" s="57">
        <v>1.3243889986897445E-6</v>
      </c>
      <c r="U117" s="127">
        <v>5.2717688807346061E-10</v>
      </c>
      <c r="V117" s="127">
        <v>6.5661021380316881E-10</v>
      </c>
      <c r="W117" s="128">
        <v>8.1479019893815166E-10</v>
      </c>
      <c r="X117" s="128">
        <f t="shared" si="2"/>
        <v>6.6379687865448742E-10</v>
      </c>
      <c r="Y117" s="139">
        <f t="shared" si="3"/>
        <v>4.2467352060582293</v>
      </c>
      <c r="AA117" s="73"/>
      <c r="AB117" s="176"/>
      <c r="AC117" s="176"/>
      <c r="AD117" s="176"/>
      <c r="AJ117" s="135"/>
    </row>
    <row r="118" spans="9:36" x14ac:dyDescent="0.35">
      <c r="I118" s="109">
        <v>2.4938897203899999E-2</v>
      </c>
      <c r="J118" s="109">
        <v>7.379036894259287E-10</v>
      </c>
      <c r="K118" s="109">
        <v>4.6614279382761494E-11</v>
      </c>
      <c r="L118" s="152">
        <v>7.1572717205745107E-10</v>
      </c>
      <c r="N118" s="18">
        <v>2.0868381646897462E-6</v>
      </c>
      <c r="O118" s="18">
        <v>4.7498147887006942E-11</v>
      </c>
      <c r="P118" s="18">
        <v>1.9976998807213682E-12</v>
      </c>
      <c r="Q118" s="28">
        <v>100</v>
      </c>
      <c r="R118" s="60">
        <v>1150.9825300440602</v>
      </c>
      <c r="S118" s="57">
        <v>1.3243889986897445E-6</v>
      </c>
      <c r="U118" s="127">
        <v>5.6496426384864354E-10</v>
      </c>
      <c r="V118" s="127">
        <v>7.1572717205745107E-10</v>
      </c>
      <c r="W118" s="128">
        <v>8.656668739136148E-10</v>
      </c>
      <c r="X118" s="128">
        <f t="shared" si="2"/>
        <v>7.1552137046929009E-10</v>
      </c>
      <c r="Y118" s="139">
        <f t="shared" si="3"/>
        <v>0.23055376091446175</v>
      </c>
      <c r="AA118" s="73"/>
      <c r="AB118" s="176"/>
      <c r="AC118" s="176"/>
      <c r="AD118" s="176"/>
      <c r="AJ118" s="135"/>
    </row>
    <row r="119" spans="9:36" x14ac:dyDescent="0.35">
      <c r="I119" s="109">
        <v>2.51882861759E-2</v>
      </c>
      <c r="J119" s="109">
        <v>7.0061841571115259E-10</v>
      </c>
      <c r="K119" s="109">
        <v>4.461397381890524E-11</v>
      </c>
      <c r="L119" s="152">
        <v>7.7504033390735468E-10</v>
      </c>
      <c r="R119" s="60">
        <v>1150.9825300440602</v>
      </c>
      <c r="S119" s="57">
        <v>1.286565655249171E-6</v>
      </c>
      <c r="U119" s="127">
        <v>6.1375697648008888E-10</v>
      </c>
      <c r="V119" s="127">
        <v>7.7504033390735468E-10</v>
      </c>
      <c r="W119" s="128">
        <v>9.0461982365695644E-10</v>
      </c>
      <c r="X119" s="128">
        <f t="shared" si="2"/>
        <v>7.6711436698793872E-10</v>
      </c>
      <c r="Y119" s="139">
        <f t="shared" si="3"/>
        <v>2.221511626370789</v>
      </c>
      <c r="AA119" s="73"/>
      <c r="AB119" s="176"/>
      <c r="AC119" s="176"/>
      <c r="AD119" s="176"/>
      <c r="AJ119" s="135"/>
    </row>
    <row r="120" spans="9:36" x14ac:dyDescent="0.35">
      <c r="I120" s="109">
        <v>2.5440169037600002E-2</v>
      </c>
      <c r="J120" s="109">
        <v>9.0135149729938295E-10</v>
      </c>
      <c r="K120" s="109">
        <v>5.2205678253921416E-11</v>
      </c>
      <c r="L120" s="152">
        <v>8.2964539063323588E-10</v>
      </c>
      <c r="R120" s="60">
        <v>1151.209802771333</v>
      </c>
      <c r="S120" s="57">
        <v>1.286565655249171E-6</v>
      </c>
      <c r="U120" s="127">
        <v>6.6987376261148859E-10</v>
      </c>
      <c r="V120" s="127">
        <v>8.2964539063323588E-10</v>
      </c>
      <c r="W120" s="128">
        <v>9.2787009123073909E-10</v>
      </c>
      <c r="X120" s="128">
        <f t="shared" si="2"/>
        <v>8.1425865877717483E-10</v>
      </c>
      <c r="Y120" s="139">
        <f t="shared" si="3"/>
        <v>2.7831038083561443</v>
      </c>
      <c r="AA120" s="73"/>
      <c r="AB120" s="176"/>
      <c r="AC120" s="176"/>
      <c r="AD120" s="176"/>
      <c r="AJ120" s="135"/>
    </row>
    <row r="121" spans="9:36" x14ac:dyDescent="0.35">
      <c r="I121" s="109">
        <v>2.5694570728E-2</v>
      </c>
      <c r="J121" s="109">
        <v>9.8625447412279167E-10</v>
      </c>
      <c r="K121" s="109">
        <v>5.7913210976103259E-11</v>
      </c>
      <c r="L121" s="152">
        <v>8.7483637483815129E-10</v>
      </c>
      <c r="R121" s="60">
        <v>1151.209802771333</v>
      </c>
      <c r="S121" s="57">
        <v>1.2532991126356073E-6</v>
      </c>
      <c r="U121" s="127">
        <v>7.2898205086144278E-10</v>
      </c>
      <c r="V121" s="127">
        <v>8.7483637483815129E-10</v>
      </c>
      <c r="W121" s="128">
        <v>9.3278855388217781E-10</v>
      </c>
      <c r="X121" s="128">
        <f t="shared" si="2"/>
        <v>8.5286083860498079E-10</v>
      </c>
      <c r="Y121" s="139">
        <f t="shared" si="3"/>
        <v>5.3053608493731925</v>
      </c>
      <c r="AA121" s="73"/>
      <c r="AB121" s="176"/>
      <c r="AC121" s="176"/>
      <c r="AD121" s="176"/>
      <c r="AJ121" s="135"/>
    </row>
    <row r="122" spans="9:36" x14ac:dyDescent="0.35">
      <c r="I122" s="109">
        <v>2.5951516435299998E-2</v>
      </c>
      <c r="J122" s="109">
        <v>1.062181925716437E-9</v>
      </c>
      <c r="K122" s="109">
        <v>6.0256674535608533E-11</v>
      </c>
      <c r="L122" s="152">
        <v>9.0648227736379232E-10</v>
      </c>
      <c r="R122" s="60">
        <v>1151.6643482258785</v>
      </c>
      <c r="S122" s="57">
        <v>1.2532991126356073E-6</v>
      </c>
      <c r="U122" s="127">
        <v>7.8638330583078192E-10</v>
      </c>
      <c r="V122" s="127">
        <v>9.0648227736379232E-10</v>
      </c>
      <c r="W122" s="128">
        <v>9.1817271989123398E-10</v>
      </c>
      <c r="X122" s="128">
        <f t="shared" si="2"/>
        <v>8.7938014511240014E-10</v>
      </c>
      <c r="Y122" s="139">
        <f t="shared" si="3"/>
        <v>9.2034471636046096</v>
      </c>
      <c r="AA122" s="73"/>
      <c r="AB122" s="176"/>
      <c r="AC122" s="176"/>
      <c r="AD122" s="176"/>
      <c r="AJ122" s="135"/>
    </row>
    <row r="123" spans="9:36" x14ac:dyDescent="0.35">
      <c r="I123" s="109">
        <v>2.6211031599700001E-2</v>
      </c>
      <c r="J123" s="109">
        <v>1.1779060560731471E-9</v>
      </c>
      <c r="K123" s="109">
        <v>6.2292488736983766E-11</v>
      </c>
      <c r="L123" s="152">
        <v>9.213843474120111E-10</v>
      </c>
      <c r="R123" s="60">
        <v>1151.6643482258785</v>
      </c>
      <c r="S123" s="57">
        <v>1.2094305296471672E-6</v>
      </c>
      <c r="U123" s="127">
        <v>8.3734531094751265E-10</v>
      </c>
      <c r="V123" s="127">
        <v>9.213843474120111E-10</v>
      </c>
      <c r="W123" s="128">
        <v>8.8442342889240806E-10</v>
      </c>
      <c r="X123" s="128">
        <f t="shared" si="2"/>
        <v>8.9113435866598575E-10</v>
      </c>
      <c r="Y123" s="139">
        <f t="shared" si="3"/>
        <v>21.193428019760226</v>
      </c>
      <c r="AA123" s="73"/>
      <c r="AB123" s="176"/>
      <c r="AC123" s="176"/>
      <c r="AD123" s="176"/>
      <c r="AJ123" s="135"/>
    </row>
    <row r="124" spans="9:36" x14ac:dyDescent="0.35">
      <c r="I124" s="109">
        <v>2.6473141915700001E-2</v>
      </c>
      <c r="J124" s="109">
        <v>1.1447502116576134E-9</v>
      </c>
      <c r="K124" s="109">
        <v>6.4156890587211797E-11</v>
      </c>
      <c r="L124" s="152">
        <v>9.1758360464159482E-10</v>
      </c>
      <c r="R124" s="60">
        <v>1152.118893680424</v>
      </c>
      <c r="S124" s="57">
        <v>1.2094305296471672E-6</v>
      </c>
      <c r="U124" s="127">
        <v>8.7746011872387973E-10</v>
      </c>
      <c r="V124" s="127">
        <v>9.1758360464159482E-10</v>
      </c>
      <c r="W124" s="128">
        <v>8.3359693567116938E-10</v>
      </c>
      <c r="X124" s="128">
        <f t="shared" si="2"/>
        <v>8.8655606591955976E-10</v>
      </c>
      <c r="Y124" s="139">
        <f t="shared" si="3"/>
        <v>16.19594029327807</v>
      </c>
      <c r="AA124" s="73"/>
      <c r="AB124" s="176"/>
      <c r="AC124" s="176"/>
      <c r="AD124" s="176"/>
      <c r="AJ124" s="135"/>
    </row>
    <row r="125" spans="9:36" x14ac:dyDescent="0.35">
      <c r="I125" s="109">
        <v>2.6737873334799999E-2</v>
      </c>
      <c r="J125" s="109">
        <v>1.0694025824586854E-9</v>
      </c>
      <c r="K125" s="109">
        <v>6.3967793436048013E-11</v>
      </c>
      <c r="L125" s="152">
        <v>8.9458874746422854E-10</v>
      </c>
      <c r="R125" s="60">
        <v>1152.118893680424</v>
      </c>
      <c r="S125" s="57">
        <v>1.1665759630229319E-6</v>
      </c>
      <c r="U125" s="127">
        <v>9.0300222839052831E-10</v>
      </c>
      <c r="V125" s="127">
        <v>8.9458874746422854E-10</v>
      </c>
      <c r="W125" s="128">
        <v>7.6931591480653785E-10</v>
      </c>
      <c r="X125" s="128">
        <f t="shared" si="2"/>
        <v>8.6537390953138081E-10</v>
      </c>
      <c r="Y125" s="139">
        <f t="shared" si="3"/>
        <v>10.173248885295465</v>
      </c>
      <c r="AA125" s="73"/>
      <c r="AB125" s="176"/>
      <c r="AC125" s="176"/>
      <c r="AD125" s="176"/>
      <c r="AJ125" s="135"/>
    </row>
    <row r="126" spans="9:36" x14ac:dyDescent="0.35">
      <c r="I126" s="109">
        <v>2.7005252068200002E-2</v>
      </c>
      <c r="J126" s="109">
        <v>9.5934330388302602E-10</v>
      </c>
      <c r="K126" s="109">
        <v>6.0219004161421111E-11</v>
      </c>
      <c r="L126" s="152">
        <v>8.5349785462220703E-10</v>
      </c>
      <c r="R126" s="60">
        <v>1152.5734391349695</v>
      </c>
      <c r="S126" s="57">
        <v>1.1665759630229319E-6</v>
      </c>
      <c r="U126" s="127">
        <v>9.1125880330603488E-10</v>
      </c>
      <c r="V126" s="127">
        <v>8.5349785462220703E-10</v>
      </c>
      <c r="W126" s="128">
        <v>6.9653374048105897E-10</v>
      </c>
      <c r="X126" s="128">
        <f t="shared" si="2"/>
        <v>8.2869706325787698E-10</v>
      </c>
      <c r="Y126" s="139">
        <f t="shared" si="3"/>
        <v>4.7068103089484401</v>
      </c>
      <c r="AA126" s="73"/>
      <c r="AB126" s="176"/>
      <c r="AC126" s="176"/>
      <c r="AD126" s="176"/>
      <c r="AJ126" s="135"/>
    </row>
    <row r="127" spans="9:36" x14ac:dyDescent="0.35">
      <c r="I127" s="109">
        <v>2.7275304588799999E-2</v>
      </c>
      <c r="J127" s="109">
        <v>8.5992115729733134E-10</v>
      </c>
      <c r="K127" s="109">
        <v>5.6241554735650483E-11</v>
      </c>
      <c r="L127" s="152">
        <v>7.9699325250284935E-10</v>
      </c>
      <c r="R127" s="60">
        <v>1152.5734391349695</v>
      </c>
      <c r="S127" s="57">
        <v>1.1252174165084522E-6</v>
      </c>
      <c r="U127" s="127">
        <v>9.0080283678799509E-10</v>
      </c>
      <c r="V127" s="127">
        <v>7.9699325250284935E-10</v>
      </c>
      <c r="W127" s="128">
        <v>6.211594369560517E-10</v>
      </c>
      <c r="X127" s="128">
        <f t="shared" si="2"/>
        <v>7.789871946874364E-10</v>
      </c>
      <c r="Y127" s="139">
        <f t="shared" si="3"/>
        <v>2.0708420415193345</v>
      </c>
      <c r="AA127" s="73"/>
      <c r="AB127" s="176"/>
      <c r="AC127" s="176"/>
      <c r="AD127" s="176"/>
      <c r="AJ127" s="135"/>
    </row>
    <row r="128" spans="9:36" x14ac:dyDescent="0.35">
      <c r="I128" s="109">
        <v>2.7548057634700002E-2</v>
      </c>
      <c r="J128" s="109">
        <v>8.4117519046656012E-10</v>
      </c>
      <c r="K128" s="109">
        <v>5.7993115113620275E-11</v>
      </c>
      <c r="L128" s="152">
        <v>7.2919764934864697E-10</v>
      </c>
      <c r="R128" s="60">
        <v>1153.027984589515</v>
      </c>
      <c r="S128" s="57">
        <v>1.1252174165084522E-6</v>
      </c>
      <c r="U128" s="127">
        <v>8.7168149397141267E-10</v>
      </c>
      <c r="V128" s="127">
        <v>7.2919764934864697E-10</v>
      </c>
      <c r="W128" s="128">
        <v>5.495650195753523E-10</v>
      </c>
      <c r="X128" s="128">
        <f t="shared" si="2"/>
        <v>7.1991045306101472E-10</v>
      </c>
      <c r="Y128" s="139">
        <f t="shared" si="3"/>
        <v>4.3723627539798429</v>
      </c>
      <c r="AA128" s="73"/>
      <c r="AB128" s="176"/>
      <c r="AC128" s="176"/>
      <c r="AD128" s="176"/>
      <c r="AJ128" s="135"/>
    </row>
    <row r="129" spans="9:36" x14ac:dyDescent="0.35">
      <c r="I129" s="109">
        <v>2.78235382111E-2</v>
      </c>
      <c r="J129" s="109">
        <v>7.4940262921952154E-10</v>
      </c>
      <c r="K129" s="109">
        <v>5.6482076858379886E-11</v>
      </c>
      <c r="L129" s="152">
        <v>6.5539082209649534E-10</v>
      </c>
      <c r="R129" s="60">
        <v>1153.027984589515</v>
      </c>
      <c r="S129" s="57">
        <v>1.0858198322492807E-6</v>
      </c>
      <c r="U129" s="127">
        <v>8.2549568939391135E-10</v>
      </c>
      <c r="V129" s="127">
        <v>6.5539082209649534E-10</v>
      </c>
      <c r="W129" s="128">
        <v>4.8801122779850621E-10</v>
      </c>
      <c r="X129" s="128">
        <f t="shared" si="2"/>
        <v>6.5607214034635201E-10</v>
      </c>
      <c r="Y129" s="139">
        <f t="shared" si="3"/>
        <v>2.730396801566739</v>
      </c>
      <c r="AA129" s="73"/>
      <c r="AB129" s="176"/>
      <c r="AC129" s="176"/>
      <c r="AD129" s="176"/>
      <c r="AJ129" s="135"/>
    </row>
    <row r="130" spans="9:36" x14ac:dyDescent="0.35">
      <c r="I130" s="109">
        <v>2.81017735932E-2</v>
      </c>
      <c r="J130" s="109">
        <v>5.9677179390242245E-10</v>
      </c>
      <c r="K130" s="109">
        <v>5.0573962507536051E-11</v>
      </c>
      <c r="L130" s="152">
        <v>5.8159912391577112E-10</v>
      </c>
      <c r="R130" s="60">
        <v>1153.4825300440605</v>
      </c>
      <c r="S130" s="57">
        <v>1.0858198322492807E-6</v>
      </c>
      <c r="U130" s="127">
        <v>7.6535344252747111E-10</v>
      </c>
      <c r="V130" s="127">
        <v>5.8159912391577112E-10</v>
      </c>
      <c r="W130" s="127">
        <v>4.4204025828819835E-10</v>
      </c>
      <c r="X130" s="128">
        <f t="shared" si="2"/>
        <v>5.9264798716180296E-10</v>
      </c>
      <c r="Y130" s="139">
        <f t="shared" si="3"/>
        <v>6.6487904243458136E-3</v>
      </c>
      <c r="AA130" s="73"/>
      <c r="AB130" s="176"/>
      <c r="AC130" s="176"/>
      <c r="AD130" s="176"/>
      <c r="AJ130" s="135"/>
    </row>
    <row r="131" spans="9:36" x14ac:dyDescent="0.35">
      <c r="I131" s="109">
        <v>2.8382791329100002E-2</v>
      </c>
      <c r="J131" s="49">
        <v>4.4527214020319606E-10</v>
      </c>
      <c r="K131" s="49">
        <v>4.6178320371270837E-11</v>
      </c>
      <c r="L131" s="152">
        <v>5.1408383613509474E-10</v>
      </c>
      <c r="R131" s="60">
        <v>1153.4825300440605</v>
      </c>
      <c r="S131" s="57">
        <v>1.0488471294136015E-6</v>
      </c>
      <c r="U131" s="127">
        <v>6.9568859785701271E-10</v>
      </c>
      <c r="V131" s="127">
        <v>5.1408383613509474E-10</v>
      </c>
      <c r="W131" s="127">
        <v>4.1589329624634094E-10</v>
      </c>
      <c r="X131" s="128">
        <f t="shared" ref="X131:X194" si="4">(U131+2*V131+W131)/4</f>
        <v>5.3493739159338578E-10</v>
      </c>
      <c r="Y131" s="139">
        <f t="shared" ref="Y131:Y194" si="5">(J131-X131)*(J131-X131)/(K131*K131)</f>
        <v>3.7702667324652848</v>
      </c>
      <c r="AA131" s="73"/>
      <c r="AB131" s="176"/>
      <c r="AC131" s="176"/>
      <c r="AD131" s="176"/>
      <c r="AJ131" s="135"/>
    </row>
    <row r="132" spans="9:36" x14ac:dyDescent="0.35">
      <c r="I132" s="109">
        <v>2.86666192424E-2</v>
      </c>
      <c r="J132" s="49">
        <v>5.0215449425266892E-10</v>
      </c>
      <c r="K132" s="49">
        <v>4.7903228997418925E-11</v>
      </c>
      <c r="L132" s="152">
        <v>4.5876755264820224E-10</v>
      </c>
      <c r="R132" s="60">
        <v>1153.937075498606</v>
      </c>
      <c r="S132" s="57">
        <v>1.0488471294136015E-6</v>
      </c>
      <c r="U132" s="127">
        <v>6.2194772065056554E-10</v>
      </c>
      <c r="V132" s="127">
        <v>4.5876755264820224E-10</v>
      </c>
      <c r="W132" s="127">
        <v>4.1201477851414875E-10</v>
      </c>
      <c r="X132" s="128">
        <f t="shared" si="4"/>
        <v>4.8787440111527971E-10</v>
      </c>
      <c r="Y132" s="139">
        <f t="shared" si="5"/>
        <v>8.8865359572859029E-2</v>
      </c>
      <c r="AA132" s="73"/>
      <c r="AB132" s="176"/>
      <c r="AC132" s="176"/>
      <c r="AD132" s="176"/>
      <c r="AJ132" s="135"/>
    </row>
    <row r="133" spans="9:36" x14ac:dyDescent="0.35">
      <c r="I133" s="109">
        <v>2.89532854348E-2</v>
      </c>
      <c r="J133" s="49">
        <v>4.731901135288265E-10</v>
      </c>
      <c r="K133" s="49">
        <v>4.9177246705685622E-11</v>
      </c>
      <c r="L133" s="152">
        <v>4.2064877541720081E-10</v>
      </c>
      <c r="R133" s="60">
        <v>1153.937075498606</v>
      </c>
      <c r="S133" s="57">
        <v>1.0148002460491962E-6</v>
      </c>
      <c r="U133" s="127">
        <v>5.5016066167010726E-10</v>
      </c>
      <c r="V133" s="127">
        <v>4.2064877541720081E-10</v>
      </c>
      <c r="W133" s="127">
        <v>4.3070314384335782E-10</v>
      </c>
      <c r="X133" s="128">
        <f t="shared" si="4"/>
        <v>4.5554033908696665E-10</v>
      </c>
      <c r="Y133" s="139">
        <f t="shared" si="5"/>
        <v>0.128810094518261</v>
      </c>
      <c r="AA133" s="73"/>
      <c r="AB133" s="176"/>
      <c r="AC133" s="176"/>
      <c r="AD133" s="176"/>
      <c r="AJ133" s="135"/>
    </row>
    <row r="134" spans="9:36" x14ac:dyDescent="0.35">
      <c r="I134" s="109">
        <v>2.9242818289200001E-2</v>
      </c>
      <c r="J134" s="49">
        <v>4.3175218343054012E-10</v>
      </c>
      <c r="K134" s="49">
        <v>5.023043852528595E-11</v>
      </c>
      <c r="L134" s="152">
        <v>4.0326209516740082E-10</v>
      </c>
      <c r="R134" s="60">
        <v>1154.3916209531515</v>
      </c>
      <c r="S134" s="57">
        <v>1.0148002460491962E-6</v>
      </c>
      <c r="U134" s="127">
        <v>4.8642336235991107E-10</v>
      </c>
      <c r="V134" s="127">
        <v>4.0326209516740082E-10</v>
      </c>
      <c r="W134" s="127">
        <v>4.6995868656412578E-10</v>
      </c>
      <c r="X134" s="128">
        <f t="shared" si="4"/>
        <v>4.4072655981470965E-10</v>
      </c>
      <c r="Y134" s="139">
        <f t="shared" si="5"/>
        <v>3.1920862709191658E-2</v>
      </c>
      <c r="AA134" s="73"/>
      <c r="AB134" s="176"/>
      <c r="AC134" s="176"/>
      <c r="AD134" s="176"/>
      <c r="AJ134" s="135"/>
    </row>
    <row r="135" spans="9:36" x14ac:dyDescent="0.35">
      <c r="I135" s="109">
        <v>2.9535246472099999E-2</v>
      </c>
      <c r="J135" s="49">
        <v>3.9984859845938442E-10</v>
      </c>
      <c r="K135" s="49">
        <v>4.7020255744994527E-11</v>
      </c>
      <c r="L135" s="152">
        <v>4.0824329440657259E-10</v>
      </c>
      <c r="R135" s="60">
        <v>1154.3916209531515</v>
      </c>
      <c r="S135" s="57">
        <v>9.8428434575277756E-7</v>
      </c>
      <c r="U135" s="127">
        <v>4.3633360005358279E-10</v>
      </c>
      <c r="V135" s="127">
        <v>4.0824329440657259E-10</v>
      </c>
      <c r="W135" s="127">
        <v>5.2556315831852122E-10</v>
      </c>
      <c r="X135" s="128">
        <f t="shared" si="4"/>
        <v>4.445958367963123E-10</v>
      </c>
      <c r="Y135" s="139">
        <f t="shared" si="5"/>
        <v>0.90565439790388491</v>
      </c>
      <c r="AA135" s="73"/>
      <c r="AB135" s="176"/>
      <c r="AC135" s="176"/>
      <c r="AD135" s="176"/>
      <c r="AJ135" s="135"/>
    </row>
    <row r="136" spans="9:36" x14ac:dyDescent="0.35">
      <c r="I136" s="109">
        <v>2.9830598936799999E-2</v>
      </c>
      <c r="J136" s="49">
        <v>4.2757107252170219E-10</v>
      </c>
      <c r="K136" s="49">
        <v>4.949151569020003E-11</v>
      </c>
      <c r="L136" s="152">
        <v>4.3505442182972135E-10</v>
      </c>
      <c r="R136" s="60">
        <v>1154.846166407697</v>
      </c>
      <c r="S136" s="57">
        <v>9.8428434575277756E-7</v>
      </c>
      <c r="U136" s="127">
        <v>4.0443003748598232E-10</v>
      </c>
      <c r="V136" s="127">
        <v>4.3505442182972135E-10</v>
      </c>
      <c r="W136" s="127">
        <v>5.9140393391972683E-10</v>
      </c>
      <c r="X136" s="128">
        <f t="shared" si="4"/>
        <v>4.6648570376628794E-10</v>
      </c>
      <c r="Y136" s="139">
        <f t="shared" si="5"/>
        <v>0.61825029187726621</v>
      </c>
      <c r="AA136" s="73"/>
      <c r="AB136" s="176"/>
      <c r="AC136" s="176"/>
      <c r="AD136" s="176"/>
      <c r="AJ136" s="135"/>
    </row>
    <row r="137" spans="9:36" x14ac:dyDescent="0.35">
      <c r="I137" s="109">
        <v>3.01289049262E-2</v>
      </c>
      <c r="J137" s="49">
        <v>4.4576146259292006E-10</v>
      </c>
      <c r="K137" s="49">
        <v>5.1962890504364255E-11</v>
      </c>
      <c r="L137" s="152">
        <v>4.8091295224038142E-10</v>
      </c>
      <c r="R137" s="60">
        <v>1154.846166407697</v>
      </c>
      <c r="S137" s="57">
        <v>9.5810988212119352E-7</v>
      </c>
      <c r="U137" s="127">
        <v>3.9369064677133676E-10</v>
      </c>
      <c r="V137" s="127">
        <v>4.8091295224038142E-10</v>
      </c>
      <c r="W137" s="127">
        <v>6.6002964978965008E-10</v>
      </c>
      <c r="X137" s="128">
        <f t="shared" si="4"/>
        <v>5.0388655026043744E-10</v>
      </c>
      <c r="Y137" s="139">
        <f t="shared" si="5"/>
        <v>1.2512400567854693</v>
      </c>
      <c r="AA137" s="73"/>
      <c r="AB137" s="176"/>
      <c r="AC137" s="176"/>
      <c r="AD137" s="176"/>
      <c r="AJ137" s="135"/>
    </row>
    <row r="138" spans="9:36" x14ac:dyDescent="0.35">
      <c r="I138" s="109">
        <v>3.0430193975400002E-2</v>
      </c>
      <c r="J138" s="49">
        <v>6.0033876224471845E-10</v>
      </c>
      <c r="K138" s="49">
        <v>6.0273585545711443E-11</v>
      </c>
      <c r="L138" s="152">
        <v>5.40951916585466E-10</v>
      </c>
      <c r="R138" s="60">
        <v>1155.3007118622425</v>
      </c>
      <c r="S138" s="57">
        <v>9.5810988212119352E-7</v>
      </c>
      <c r="U138" s="127">
        <v>4.0514704593655804E-10</v>
      </c>
      <c r="V138" s="127">
        <v>5.40951916585466E-10</v>
      </c>
      <c r="W138" s="127">
        <v>7.2339668570094915E-10</v>
      </c>
      <c r="X138" s="128">
        <f t="shared" si="4"/>
        <v>5.526118912021098E-10</v>
      </c>
      <c r="Y138" s="139">
        <f t="shared" si="5"/>
        <v>0.62700625193966963</v>
      </c>
      <c r="AA138" s="73"/>
      <c r="AB138" s="176"/>
      <c r="AC138" s="176"/>
      <c r="AD138" s="176"/>
      <c r="AJ138" s="135"/>
    </row>
    <row r="139" spans="9:36" x14ac:dyDescent="0.35">
      <c r="I139" s="109">
        <v>3.07344959152E-2</v>
      </c>
      <c r="J139" s="49">
        <v>6.3210944770069601E-10</v>
      </c>
      <c r="K139" s="49">
        <v>6.8816334046301349E-11</v>
      </c>
      <c r="L139" s="152">
        <v>6.0861550800205097E-10</v>
      </c>
      <c r="R139" s="60">
        <v>1155.3007118622425</v>
      </c>
      <c r="S139" s="57">
        <v>9.37425270571662E-7</v>
      </c>
      <c r="U139" s="127">
        <v>4.3766567478896443E-10</v>
      </c>
      <c r="V139" s="127">
        <v>6.0861550800205097E-10</v>
      </c>
      <c r="W139" s="127">
        <v>7.7373961094995859E-10</v>
      </c>
      <c r="X139" s="128">
        <f t="shared" si="4"/>
        <v>6.0715907543575618E-10</v>
      </c>
      <c r="Y139" s="139">
        <f t="shared" si="5"/>
        <v>0.13145314858146318</v>
      </c>
      <c r="AA139" s="73"/>
      <c r="AB139" s="176"/>
      <c r="AC139" s="176"/>
      <c r="AD139" s="176"/>
      <c r="AJ139" s="135"/>
    </row>
    <row r="140" spans="9:36" x14ac:dyDescent="0.35">
      <c r="I140" s="109">
        <v>3.1041840874300002E-2</v>
      </c>
      <c r="J140" s="49">
        <v>6.8895412261738819E-10</v>
      </c>
      <c r="K140" s="49">
        <v>6.8411214686684143E-11</v>
      </c>
      <c r="L140" s="152">
        <v>6.7626901892701187E-10</v>
      </c>
      <c r="R140" s="60">
        <v>1155.7552573167879</v>
      </c>
      <c r="S140" s="57">
        <v>9.37425270571662E-7</v>
      </c>
      <c r="U140" s="127">
        <v>4.8793480937896005E-10</v>
      </c>
      <c r="V140" s="127">
        <v>6.7626901892701187E-10</v>
      </c>
      <c r="W140" s="127">
        <v>8.0447690371643765E-10</v>
      </c>
      <c r="X140" s="128">
        <f t="shared" si="4"/>
        <v>6.6123743773735533E-10</v>
      </c>
      <c r="Y140" s="139">
        <f t="shared" si="5"/>
        <v>0.16414511595950892</v>
      </c>
      <c r="AA140" s="73"/>
      <c r="AB140" s="176"/>
      <c r="AC140" s="176"/>
      <c r="AD140" s="176"/>
      <c r="AJ140" s="135"/>
    </row>
    <row r="141" spans="9:36" x14ac:dyDescent="0.35">
      <c r="I141" s="109">
        <v>3.1352259283100002E-2</v>
      </c>
      <c r="J141" s="49">
        <v>8.2225239914458996E-10</v>
      </c>
      <c r="K141" s="49">
        <v>7.6367516263735104E-11</v>
      </c>
      <c r="L141" s="152">
        <v>7.3597552258875693E-10</v>
      </c>
      <c r="R141" s="60">
        <v>1155.7552573167879</v>
      </c>
      <c r="S141" s="57">
        <v>9.2386624523314011E-7</v>
      </c>
      <c r="U141" s="127">
        <v>5.5067865076526923E-10</v>
      </c>
      <c r="V141" s="127">
        <v>7.3597552258875693E-10</v>
      </c>
      <c r="W141" s="127">
        <v>8.1104899904619334E-10</v>
      </c>
      <c r="X141" s="128">
        <f t="shared" si="4"/>
        <v>7.0841967374724408E-10</v>
      </c>
      <c r="Y141" s="139">
        <f t="shared" si="5"/>
        <v>2.2218612545469476</v>
      </c>
      <c r="AA141" s="73"/>
      <c r="AB141" s="176"/>
      <c r="AC141" s="176"/>
      <c r="AD141" s="176"/>
      <c r="AJ141" s="135"/>
    </row>
    <row r="142" spans="9:36" x14ac:dyDescent="0.35">
      <c r="I142" s="109">
        <v>3.1665781875900002E-2</v>
      </c>
      <c r="J142" s="49">
        <v>1.025309661664916E-9</v>
      </c>
      <c r="K142" s="49">
        <v>8.6576627491744978E-11</v>
      </c>
      <c r="L142" s="152">
        <v>7.8036736109644795E-10</v>
      </c>
      <c r="R142" s="60">
        <v>1156.2098027713334</v>
      </c>
      <c r="S142" s="57">
        <v>9.2386624523314011E-7</v>
      </c>
      <c r="U142" s="127">
        <v>6.1909734499451158E-10</v>
      </c>
      <c r="V142" s="127">
        <v>7.8036736109644795E-10</v>
      </c>
      <c r="W142" s="127">
        <v>7.9158181371188136E-10</v>
      </c>
      <c r="X142" s="128">
        <f t="shared" si="4"/>
        <v>7.4285347022482224E-10</v>
      </c>
      <c r="Y142" s="139">
        <f t="shared" si="5"/>
        <v>10.643902048173537</v>
      </c>
      <c r="AA142" s="73"/>
      <c r="AB142" s="176"/>
      <c r="AC142" s="176"/>
      <c r="AD142" s="176"/>
      <c r="AJ142" s="135"/>
    </row>
    <row r="143" spans="9:36" x14ac:dyDescent="0.35">
      <c r="I143" s="109">
        <v>3.19824396947E-2</v>
      </c>
      <c r="J143" s="49">
        <v>9.3440804472947013E-10</v>
      </c>
      <c r="K143" s="49">
        <v>8.3664112102318539E-11</v>
      </c>
      <c r="L143" s="152">
        <v>8.0352130658998006E-10</v>
      </c>
      <c r="R143" s="60">
        <v>1156.2098027713334</v>
      </c>
      <c r="S143" s="57">
        <v>9.196892359047416E-7</v>
      </c>
      <c r="U143" s="127">
        <v>6.855067044931474E-10</v>
      </c>
      <c r="V143" s="127">
        <v>8.0352130658998006E-10</v>
      </c>
      <c r="W143" s="127">
        <v>7.47277458318074E-10</v>
      </c>
      <c r="X143" s="128">
        <f t="shared" si="4"/>
        <v>7.5995669399779541E-10</v>
      </c>
      <c r="Y143" s="139">
        <f t="shared" si="5"/>
        <v>4.3478070262907833</v>
      </c>
      <c r="AA143" s="73"/>
      <c r="AB143" s="176"/>
      <c r="AC143" s="176"/>
      <c r="AD143" s="176"/>
      <c r="AJ143" s="135"/>
    </row>
    <row r="144" spans="9:36" x14ac:dyDescent="0.35">
      <c r="I144" s="109">
        <v>3.2302264091600003E-2</v>
      </c>
      <c r="J144" s="49">
        <v>9.5425637238463301E-10</v>
      </c>
      <c r="K144" s="49">
        <v>8.54914453614784E-11</v>
      </c>
      <c r="L144" s="152">
        <v>8.0173518322680603E-10</v>
      </c>
      <c r="O144" s="30"/>
      <c r="R144" s="60">
        <v>1156.6643482258789</v>
      </c>
      <c r="S144" s="57">
        <v>9.196892359047416E-7</v>
      </c>
      <c r="U144" s="127">
        <v>7.4212606245484554E-10</v>
      </c>
      <c r="V144" s="127">
        <v>8.0173518322680603E-10</v>
      </c>
      <c r="W144" s="127">
        <v>6.824559236659874E-10</v>
      </c>
      <c r="X144" s="128">
        <f t="shared" si="4"/>
        <v>7.5701308814361125E-10</v>
      </c>
      <c r="Y144" s="139">
        <f t="shared" si="5"/>
        <v>5.3230326665581416</v>
      </c>
      <c r="AA144" s="73"/>
      <c r="AB144" s="176"/>
      <c r="AC144" s="176"/>
      <c r="AD144" s="176"/>
      <c r="AJ144" s="135"/>
    </row>
    <row r="145" spans="9:36" x14ac:dyDescent="0.35">
      <c r="I145" s="109">
        <v>3.2625286732500001E-2</v>
      </c>
      <c r="J145" s="49">
        <v>8.3923492361343191E-10</v>
      </c>
      <c r="K145" s="49">
        <v>8.2371512138205766E-11</v>
      </c>
      <c r="L145" s="152">
        <v>7.7410334656913593E-10</v>
      </c>
      <c r="R145" s="60">
        <v>1156.6643482258789</v>
      </c>
      <c r="S145" s="57">
        <v>9.2783725960180631E-7</v>
      </c>
      <c r="U145" s="127">
        <v>7.8193993299918918E-10</v>
      </c>
      <c r="V145" s="127">
        <v>7.7410334656913593E-10</v>
      </c>
      <c r="W145" s="127">
        <v>6.0420667228863864E-10</v>
      </c>
      <c r="X145" s="128">
        <f t="shared" si="4"/>
        <v>7.335883246065249E-10</v>
      </c>
      <c r="Y145" s="139">
        <f t="shared" si="5"/>
        <v>1.6449661450742299</v>
      </c>
      <c r="AA145" s="73"/>
      <c r="AB145" s="176"/>
      <c r="AC145" s="176"/>
      <c r="AD145" s="176"/>
      <c r="AJ145" s="135"/>
    </row>
    <row r="146" spans="9:36" x14ac:dyDescent="0.35">
      <c r="I146" s="109">
        <v>3.29515395999E-2</v>
      </c>
      <c r="J146" s="49">
        <v>8.9139061308864121E-10</v>
      </c>
      <c r="K146" s="49">
        <v>8.659268344943473E-11</v>
      </c>
      <c r="L146" s="152">
        <v>7.2280051422128467E-10</v>
      </c>
      <c r="R146" s="60">
        <v>1157.1188936804244</v>
      </c>
      <c r="S146" s="57">
        <v>9.2783725960180631E-7</v>
      </c>
      <c r="U146" s="127">
        <v>7.9954193327651672E-10</v>
      </c>
      <c r="V146" s="127">
        <v>7.2280051422128467E-10</v>
      </c>
      <c r="W146" s="127">
        <v>5.2165495568977692E-10</v>
      </c>
      <c r="X146" s="128">
        <f t="shared" si="4"/>
        <v>6.9169947935221569E-10</v>
      </c>
      <c r="Y146" s="139">
        <f t="shared" si="5"/>
        <v>5.3180837042651836</v>
      </c>
      <c r="AA146" s="73"/>
      <c r="AB146" s="176"/>
      <c r="AC146" s="176"/>
      <c r="AD146" s="176"/>
      <c r="AJ146" s="135"/>
    </row>
    <row r="147" spans="9:36" x14ac:dyDescent="0.35">
      <c r="I147" s="109">
        <v>3.3281054995899999E-2</v>
      </c>
      <c r="J147" s="49">
        <v>7.7085062137325315E-10</v>
      </c>
      <c r="K147" s="49">
        <v>8.3584404579791202E-11</v>
      </c>
      <c r="L147" s="152">
        <v>6.5300867036871252E-10</v>
      </c>
      <c r="R147" s="60">
        <v>1157.1188936804244</v>
      </c>
      <c r="S147" s="57">
        <v>9.5187467998188344E-7</v>
      </c>
      <c r="U147" s="127">
        <v>7.9186058858874544E-10</v>
      </c>
      <c r="V147" s="127">
        <v>6.5300867036871252E-10</v>
      </c>
      <c r="W147" s="127">
        <v>4.4489991664926431E-10</v>
      </c>
      <c r="X147" s="128">
        <f t="shared" si="4"/>
        <v>6.3569446149385874E-10</v>
      </c>
      <c r="Y147" s="139">
        <f t="shared" si="5"/>
        <v>2.6146958744604056</v>
      </c>
      <c r="AA147" s="73"/>
      <c r="AB147" s="176"/>
      <c r="AC147" s="176"/>
      <c r="AD147" s="176"/>
      <c r="AJ147" s="135"/>
    </row>
    <row r="148" spans="9:36" x14ac:dyDescent="0.35">
      <c r="I148" s="109">
        <v>3.3613865545800002E-2</v>
      </c>
      <c r="J148" s="49">
        <v>6.1009301057247389E-10</v>
      </c>
      <c r="K148" s="49">
        <v>7.4562209926497501E-11</v>
      </c>
      <c r="L148" s="152">
        <v>5.724591980162975E-10</v>
      </c>
      <c r="R148" s="60">
        <v>1157.5734391349699</v>
      </c>
      <c r="S148" s="57">
        <v>9.5187467998188344E-7</v>
      </c>
      <c r="U148" s="127">
        <v>7.5866857108147523E-10</v>
      </c>
      <c r="V148" s="127">
        <v>5.724591980162975E-10</v>
      </c>
      <c r="W148" s="127">
        <v>3.8373377779330201E-10</v>
      </c>
      <c r="X148" s="128">
        <f t="shared" si="4"/>
        <v>5.7183018622684303E-10</v>
      </c>
      <c r="Y148" s="139">
        <f t="shared" si="5"/>
        <v>0.26333980228781473</v>
      </c>
      <c r="AA148" s="73"/>
      <c r="AB148" s="176"/>
      <c r="AC148" s="176"/>
      <c r="AD148" s="176"/>
      <c r="AJ148" s="135"/>
    </row>
    <row r="149" spans="9:36" x14ac:dyDescent="0.35">
      <c r="I149" s="109">
        <v>3.3950004201300003E-2</v>
      </c>
      <c r="J149" s="49">
        <v>4.5416635679157342E-10</v>
      </c>
      <c r="K149" s="49">
        <v>6.5664482769606501E-11</v>
      </c>
      <c r="L149" s="152">
        <v>4.9060921603842366E-10</v>
      </c>
      <c r="R149" s="60">
        <v>1157.5734391349699</v>
      </c>
      <c r="S149" s="57">
        <v>9.9573187393029581E-7</v>
      </c>
      <c r="U149" s="127">
        <v>7.0279118930613592E-10</v>
      </c>
      <c r="V149" s="127">
        <v>4.9060921603842366E-10</v>
      </c>
      <c r="W149" s="127">
        <v>3.4629591812429037E-10</v>
      </c>
      <c r="X149" s="128">
        <f t="shared" si="4"/>
        <v>5.0757638487681848E-10</v>
      </c>
      <c r="Y149" s="139">
        <f t="shared" si="5"/>
        <v>0.66158333533831992</v>
      </c>
      <c r="AA149" s="73"/>
      <c r="AB149" s="176"/>
      <c r="AC149" s="176"/>
      <c r="AD149" s="176"/>
      <c r="AJ149" s="135"/>
    </row>
    <row r="150" spans="9:36" x14ac:dyDescent="0.35">
      <c r="I150" s="109">
        <v>3.4289504243299997E-2</v>
      </c>
      <c r="J150" s="49">
        <v>3.7075078917844121E-10</v>
      </c>
      <c r="K150" s="49">
        <v>6.4605406235225307E-11</v>
      </c>
      <c r="L150" s="152">
        <v>4.1752250851104293E-10</v>
      </c>
      <c r="R150" s="60">
        <v>1158.0279845895154</v>
      </c>
      <c r="S150" s="57">
        <v>9.9573187393029581E-7</v>
      </c>
      <c r="U150" s="127">
        <v>6.2995690747288522E-10</v>
      </c>
      <c r="V150" s="127">
        <v>4.1752250851104293E-10</v>
      </c>
      <c r="W150" s="127">
        <v>3.3784426778272788E-10</v>
      </c>
      <c r="X150" s="128">
        <f t="shared" si="4"/>
        <v>4.5071154806942473E-10</v>
      </c>
      <c r="Y150" s="139">
        <f t="shared" si="5"/>
        <v>1.5318494720705804</v>
      </c>
      <c r="AA150" s="73"/>
      <c r="AB150" s="176"/>
      <c r="AC150" s="176"/>
      <c r="AD150" s="176"/>
      <c r="AJ150" s="135"/>
    </row>
    <row r="151" spans="9:36" x14ac:dyDescent="0.35">
      <c r="I151" s="109">
        <v>3.46323992857E-2</v>
      </c>
      <c r="J151" s="49">
        <v>4.1786905790057577E-10</v>
      </c>
      <c r="K151" s="49">
        <v>6.8308904140139513E-11</v>
      </c>
      <c r="L151" s="152">
        <v>3.6257486934721936E-10</v>
      </c>
      <c r="R151" s="60">
        <v>1158.0279845895154</v>
      </c>
      <c r="S151" s="57">
        <v>1.0632307977340202E-6</v>
      </c>
      <c r="U151" s="127">
        <v>5.4827109511799186E-10</v>
      </c>
      <c r="V151" s="127">
        <v>3.6257486934721936E-10</v>
      </c>
      <c r="W151" s="127">
        <v>3.5983206665491718E-10</v>
      </c>
      <c r="X151" s="128">
        <f t="shared" si="4"/>
        <v>4.0831322511683689E-10</v>
      </c>
      <c r="Y151" s="139">
        <f t="shared" si="5"/>
        <v>1.9569622434609128E-2</v>
      </c>
      <c r="AA151" s="73"/>
      <c r="AB151" s="176"/>
      <c r="AC151" s="176"/>
      <c r="AD151" s="176"/>
      <c r="AJ151" s="135"/>
    </row>
    <row r="152" spans="9:36" x14ac:dyDescent="0.35">
      <c r="I152" s="109">
        <v>3.49787232786E-2</v>
      </c>
      <c r="J152" s="49">
        <v>4.0955476973179066E-10</v>
      </c>
      <c r="K152" s="49">
        <v>6.6174921825992632E-11</v>
      </c>
      <c r="L152" s="152">
        <v>3.3314348051918311E-10</v>
      </c>
      <c r="R152" s="60">
        <v>1158.4825300440609</v>
      </c>
      <c r="S152" s="57">
        <v>1.0632307977340202E-6</v>
      </c>
      <c r="U152" s="127">
        <v>4.6734100191136673E-10</v>
      </c>
      <c r="V152" s="127">
        <v>3.3314348051918311E-10</v>
      </c>
      <c r="W152" s="127">
        <v>4.0945596459677051E-10</v>
      </c>
      <c r="X152" s="128">
        <f t="shared" si="4"/>
        <v>3.8577098188662592E-10</v>
      </c>
      <c r="Y152" s="139">
        <f t="shared" si="5"/>
        <v>0.12917401858503014</v>
      </c>
      <c r="AA152" s="73"/>
      <c r="AB152" s="176"/>
      <c r="AC152" s="176"/>
      <c r="AD152" s="176"/>
      <c r="AJ152" s="135"/>
    </row>
    <row r="153" spans="9:36" x14ac:dyDescent="0.35">
      <c r="I153" s="109">
        <v>3.5328510511399999E-2</v>
      </c>
      <c r="J153" s="49">
        <v>4.9172350063764305E-10</v>
      </c>
      <c r="K153" s="49">
        <v>7.3946354411867796E-11</v>
      </c>
      <c r="L153" s="152">
        <v>3.3346238549124838E-10</v>
      </c>
      <c r="R153" s="60">
        <v>1158.4825300440609</v>
      </c>
      <c r="S153" s="57">
        <v>1.1574187808259523E-6</v>
      </c>
      <c r="U153" s="127">
        <v>3.9713012823782665E-10</v>
      </c>
      <c r="V153" s="127">
        <v>3.3346238549124838E-10</v>
      </c>
      <c r="W153" s="127">
        <v>4.7979078706626712E-10</v>
      </c>
      <c r="X153" s="128">
        <f t="shared" si="4"/>
        <v>3.8596142157164761E-10</v>
      </c>
      <c r="Y153" s="139">
        <f t="shared" si="5"/>
        <v>2.0456268868257594</v>
      </c>
      <c r="AA153" s="73"/>
      <c r="AB153" s="176"/>
      <c r="AC153" s="176"/>
      <c r="AD153" s="176"/>
      <c r="AJ153" s="135"/>
    </row>
    <row r="154" spans="9:36" x14ac:dyDescent="0.35">
      <c r="I154" s="109">
        <v>3.5681795616499999E-2</v>
      </c>
      <c r="J154" s="49">
        <v>4.4299387688582511E-10</v>
      </c>
      <c r="K154" s="49">
        <v>7.3587432777880175E-11</v>
      </c>
      <c r="L154" s="152">
        <v>3.6382481374529991E-10</v>
      </c>
      <c r="R154" s="60">
        <v>1158.9370754986064</v>
      </c>
      <c r="S154" s="57">
        <v>1.1574187808259523E-6</v>
      </c>
      <c r="U154" s="127">
        <v>3.4666713446210286E-10</v>
      </c>
      <c r="V154" s="127">
        <v>3.6382481374529991E-10</v>
      </c>
      <c r="W154" s="127">
        <v>5.6055071916089702E-10</v>
      </c>
      <c r="X154" s="128">
        <f t="shared" si="4"/>
        <v>4.0871687027839991E-10</v>
      </c>
      <c r="Y154" s="139">
        <f t="shared" si="5"/>
        <v>0.21696939211529315</v>
      </c>
      <c r="AA154" s="73"/>
      <c r="AB154" s="176"/>
      <c r="AC154" s="176"/>
      <c r="AD154" s="176"/>
      <c r="AJ154" s="135"/>
    </row>
    <row r="155" spans="9:36" x14ac:dyDescent="0.35">
      <c r="I155" s="109">
        <v>3.6038613572599999E-2</v>
      </c>
      <c r="J155" s="49">
        <v>4.7637863439926968E-10</v>
      </c>
      <c r="K155" s="49">
        <v>7.5276721214328427E-11</v>
      </c>
      <c r="L155" s="152">
        <v>4.2028435785116096E-10</v>
      </c>
      <c r="R155" s="60">
        <v>1158.9370754986064</v>
      </c>
      <c r="S155" s="57">
        <v>1.2798097612415255E-6</v>
      </c>
      <c r="U155" s="127">
        <v>3.2277071410456752E-10</v>
      </c>
      <c r="V155" s="127">
        <v>4.2028435785116096E-10</v>
      </c>
      <c r="W155" s="127">
        <v>6.3942449795454224E-10</v>
      </c>
      <c r="X155" s="128">
        <f t="shared" si="4"/>
        <v>4.5069098194035793E-10</v>
      </c>
      <c r="Y155" s="139">
        <f t="shared" si="5"/>
        <v>0.11644676946909824</v>
      </c>
      <c r="AA155" s="73"/>
      <c r="AB155" s="176"/>
      <c r="AC155" s="176"/>
      <c r="AD155" s="176"/>
      <c r="AJ155" s="135"/>
    </row>
    <row r="156" spans="9:36" x14ac:dyDescent="0.35">
      <c r="I156" s="109">
        <v>3.63989997084E-2</v>
      </c>
      <c r="J156" s="49">
        <v>5.3562557768268598E-10</v>
      </c>
      <c r="K156" s="49">
        <v>8.3194424533965177E-11</v>
      </c>
      <c r="L156" s="152">
        <v>4.9495094904640967E-10</v>
      </c>
      <c r="R156" s="60">
        <v>1159.3916209531519</v>
      </c>
      <c r="S156" s="57">
        <v>1.2798097612415255E-6</v>
      </c>
      <c r="U156" s="127">
        <v>3.2897012747791247E-10</v>
      </c>
      <c r="V156" s="127">
        <v>4.9495094904640967E-10</v>
      </c>
      <c r="W156" s="127">
        <v>7.0383575533860363E-10</v>
      </c>
      <c r="X156" s="128">
        <f t="shared" si="4"/>
        <v>5.0567694522733383E-10</v>
      </c>
      <c r="Y156" s="139">
        <f t="shared" si="5"/>
        <v>0.12958822698622974</v>
      </c>
      <c r="AA156" s="73"/>
      <c r="AB156" s="176"/>
      <c r="AC156" s="176"/>
      <c r="AD156" s="176"/>
      <c r="AJ156" s="135"/>
    </row>
    <row r="157" spans="9:36" x14ac:dyDescent="0.35">
      <c r="I157" s="109">
        <v>3.6762989705399998E-2</v>
      </c>
      <c r="J157" s="49">
        <v>6.4327128778425833E-10</v>
      </c>
      <c r="K157" s="49">
        <v>8.670477411496598E-11</v>
      </c>
      <c r="L157" s="152">
        <v>5.7687254421026043E-10</v>
      </c>
      <c r="R157" s="60">
        <v>1159.3916209531519</v>
      </c>
      <c r="S157" s="57">
        <v>1.4296966928575865E-6</v>
      </c>
      <c r="U157" s="127">
        <v>3.6471862599800901E-10</v>
      </c>
      <c r="V157" s="127">
        <v>5.7687254421026043E-10</v>
      </c>
      <c r="W157" s="127">
        <v>7.4298531928511688E-10</v>
      </c>
      <c r="X157" s="128">
        <f t="shared" si="4"/>
        <v>5.6536225842591173E-10</v>
      </c>
      <c r="Y157" s="139">
        <f t="shared" si="5"/>
        <v>0.80740152439558033</v>
      </c>
      <c r="AA157" s="73"/>
      <c r="AB157" s="176"/>
      <c r="AC157" s="176"/>
      <c r="AD157" s="176"/>
      <c r="AJ157" s="135"/>
    </row>
    <row r="158" spans="9:36" x14ac:dyDescent="0.35">
      <c r="I158" s="109">
        <v>3.7130619602499998E-2</v>
      </c>
      <c r="J158" s="49">
        <v>6.8077508871452808E-10</v>
      </c>
      <c r="K158" s="49">
        <v>9.0459118877240457E-11</v>
      </c>
      <c r="L158" s="152">
        <v>6.5362599482675683E-10</v>
      </c>
      <c r="R158" s="60">
        <v>1159.8461664076974</v>
      </c>
      <c r="S158" s="57">
        <v>1.4296966928575865E-6</v>
      </c>
      <c r="U158" s="127">
        <v>4.2550713411806279E-10</v>
      </c>
      <c r="V158" s="127">
        <v>6.5362599482675683E-10</v>
      </c>
      <c r="W158" s="127">
        <v>7.4936481134217221E-10</v>
      </c>
      <c r="X158" s="128">
        <f t="shared" si="4"/>
        <v>6.2053098377843711E-10</v>
      </c>
      <c r="Y158" s="139">
        <f t="shared" si="5"/>
        <v>0.44353143575688619</v>
      </c>
      <c r="AA158" s="73"/>
      <c r="AB158" s="176"/>
      <c r="AC158" s="176"/>
      <c r="AD158" s="176"/>
      <c r="AJ158" s="135"/>
    </row>
    <row r="159" spans="9:36" x14ac:dyDescent="0.35">
      <c r="I159" s="109">
        <v>3.7501925798500001E-2</v>
      </c>
      <c r="J159" s="49">
        <v>7.6028605532483328E-10</v>
      </c>
      <c r="K159" s="49">
        <v>9.8307207816782556E-11</v>
      </c>
      <c r="L159" s="152">
        <v>7.128528524425304E-10</v>
      </c>
      <c r="R159" s="60">
        <v>1159.8461664076974</v>
      </c>
      <c r="S159" s="57">
        <v>1.6037275736865943E-6</v>
      </c>
      <c r="U159" s="127">
        <v>5.0280087153076453E-10</v>
      </c>
      <c r="V159" s="127">
        <v>7.128528524425304E-10</v>
      </c>
      <c r="W159" s="127">
        <v>7.2062193903921235E-10</v>
      </c>
      <c r="X159" s="128">
        <f t="shared" si="4"/>
        <v>6.6228212886375937E-10</v>
      </c>
      <c r="Y159" s="139">
        <f t="shared" si="5"/>
        <v>0.99383944381375311</v>
      </c>
      <c r="AA159" s="73"/>
      <c r="AB159" s="176"/>
      <c r="AC159" s="176"/>
      <c r="AD159" s="176"/>
      <c r="AJ159" s="135"/>
    </row>
    <row r="160" spans="9:36" x14ac:dyDescent="0.35">
      <c r="I160" s="109">
        <v>3.7876945056500001E-2</v>
      </c>
      <c r="J160" s="49">
        <v>7.9408820492360611E-10</v>
      </c>
      <c r="K160" s="49">
        <v>1.0040941465004865E-10</v>
      </c>
      <c r="L160" s="153">
        <v>7.4440854321345361E-10</v>
      </c>
      <c r="M160" s="32"/>
      <c r="R160" s="60">
        <v>1160.3007118622429</v>
      </c>
      <c r="S160" s="57">
        <v>1.6037275736865943E-6</v>
      </c>
      <c r="U160" s="127">
        <v>5.8532017356333519E-10</v>
      </c>
      <c r="V160" s="127">
        <v>7.4440854321345361E-10</v>
      </c>
      <c r="W160" s="127">
        <v>6.6004849619745729E-10</v>
      </c>
      <c r="X160" s="128">
        <f t="shared" si="4"/>
        <v>6.8354643904692492E-10</v>
      </c>
      <c r="Y160" s="139">
        <f t="shared" si="5"/>
        <v>1.2120036437123525</v>
      </c>
      <c r="AA160" s="73"/>
      <c r="AB160" s="176"/>
      <c r="AC160" s="176"/>
      <c r="AD160" s="176"/>
      <c r="AJ160" s="135"/>
    </row>
    <row r="161" spans="1:36" x14ac:dyDescent="0.35">
      <c r="I161" s="109">
        <v>3.8255714507099997E-2</v>
      </c>
      <c r="J161" s="49">
        <v>7.8427867011683169E-10</v>
      </c>
      <c r="K161" s="49">
        <v>1.0394866704387153E-10</v>
      </c>
      <c r="L161" s="153">
        <v>7.4206175747161193E-10</v>
      </c>
      <c r="M161" s="32"/>
      <c r="R161" s="60">
        <v>1160.3007118622429</v>
      </c>
      <c r="S161" s="57">
        <v>1.795908692156091E-6</v>
      </c>
      <c r="U161" s="127">
        <v>6.6047786751843966E-10</v>
      </c>
      <c r="V161" s="127">
        <v>7.4206175747161193E-10</v>
      </c>
      <c r="W161" s="127">
        <v>5.7645913048357604E-10</v>
      </c>
      <c r="X161" s="128">
        <f t="shared" si="4"/>
        <v>6.8026512823630989E-10</v>
      </c>
      <c r="Y161" s="139">
        <f t="shared" si="5"/>
        <v>1.0012485986176893</v>
      </c>
      <c r="AA161" s="73"/>
      <c r="AB161" s="176"/>
      <c r="AC161" s="176"/>
      <c r="AD161" s="176"/>
      <c r="AJ161" s="135"/>
    </row>
    <row r="162" spans="1:36" x14ac:dyDescent="0.35">
      <c r="I162" s="109">
        <v>3.8638271652100001E-2</v>
      </c>
      <c r="J162" s="49">
        <v>6.8465819816897185E-10</v>
      </c>
      <c r="K162" s="49">
        <v>9.6711564404192765E-11</v>
      </c>
      <c r="L162" s="153">
        <v>7.0476795709966194E-10</v>
      </c>
      <c r="M162" s="32"/>
      <c r="R162" s="60">
        <v>1160.7552573167884</v>
      </c>
      <c r="S162" s="57">
        <v>1.795908692156091E-6</v>
      </c>
      <c r="U162" s="127">
        <v>7.1621288190684628E-10</v>
      </c>
      <c r="V162" s="127">
        <v>7.0476795709966194E-10</v>
      </c>
      <c r="W162" s="127">
        <v>4.8305287397059853E-10</v>
      </c>
      <c r="X162" s="128">
        <f t="shared" si="4"/>
        <v>6.5220041751919217E-10</v>
      </c>
      <c r="Y162" s="139">
        <f t="shared" si="5"/>
        <v>0.1126369351856623</v>
      </c>
      <c r="AA162" s="73"/>
      <c r="AB162" s="176"/>
      <c r="AC162" s="176"/>
      <c r="AD162" s="176"/>
      <c r="AJ162" s="135"/>
    </row>
    <row r="163" spans="1:36" x14ac:dyDescent="0.35">
      <c r="I163" s="109">
        <v>3.90246543687E-2</v>
      </c>
      <c r="J163" s="49">
        <v>5.8862139947249825E-10</v>
      </c>
      <c r="K163" s="49">
        <v>9.8431231946843232E-11</v>
      </c>
      <c r="L163" s="153">
        <v>6.3719439522791388E-10</v>
      </c>
      <c r="M163" s="32"/>
      <c r="R163" s="60">
        <v>1160.7552573167884</v>
      </c>
      <c r="S163" s="57">
        <v>1.9471201789146957E-6</v>
      </c>
      <c r="U163" s="127">
        <v>7.4290102903656374E-10</v>
      </c>
      <c r="V163" s="127">
        <v>6.3719439522791388E-10</v>
      </c>
      <c r="W163" s="127">
        <v>3.9540296856980342E-10</v>
      </c>
      <c r="X163" s="128">
        <f t="shared" si="4"/>
        <v>6.0317319701554877E-10</v>
      </c>
      <c r="Y163" s="139">
        <f t="shared" si="5"/>
        <v>2.185583716157781E-2</v>
      </c>
      <c r="AA163" s="73"/>
      <c r="AB163" s="176"/>
      <c r="AC163" s="176"/>
      <c r="AD163" s="176"/>
      <c r="AJ163" s="135"/>
    </row>
    <row r="164" spans="1:36" x14ac:dyDescent="0.35">
      <c r="I164" s="109">
        <v>3.9414900912399999E-2</v>
      </c>
      <c r="J164" s="49">
        <v>4.6614562570859046E-10</v>
      </c>
      <c r="K164" s="49">
        <v>9.4318508573339532E-11</v>
      </c>
      <c r="L164" s="153">
        <v>5.4932616810309639E-10</v>
      </c>
      <c r="M164" s="32"/>
      <c r="R164" s="60">
        <v>1160.9825300440611</v>
      </c>
      <c r="S164" s="57">
        <v>1.9471201789146957E-6</v>
      </c>
      <c r="U164" s="127">
        <v>7.3504498315848612E-10</v>
      </c>
      <c r="V164" s="127">
        <v>5.4932616810309639E-10</v>
      </c>
      <c r="W164" s="127">
        <v>3.288429526086436E-10</v>
      </c>
      <c r="X164" s="128">
        <f t="shared" si="4"/>
        <v>5.4063506799333063E-10</v>
      </c>
      <c r="Y164" s="139">
        <f t="shared" si="5"/>
        <v>0.62372851007441865</v>
      </c>
      <c r="AA164" s="73"/>
      <c r="AB164" s="176"/>
      <c r="AC164" s="176"/>
      <c r="AD164" s="176"/>
      <c r="AJ164" s="135"/>
    </row>
    <row r="165" spans="1:36" x14ac:dyDescent="0.35">
      <c r="I165" s="109">
        <v>3.98090499215E-2</v>
      </c>
      <c r="J165" s="49">
        <v>4.9838625867589618E-10</v>
      </c>
      <c r="K165" s="49">
        <v>9.0472627845495112E-11</v>
      </c>
      <c r="L165" s="153">
        <v>4.5512124773497942E-10</v>
      </c>
      <c r="M165" s="32"/>
      <c r="R165" s="60">
        <v>1160.9825300440611</v>
      </c>
      <c r="S165" s="57">
        <v>2.0352054582129023E-6</v>
      </c>
      <c r="U165" s="127">
        <v>6.9244378528605947E-10</v>
      </c>
      <c r="V165" s="127">
        <v>4.5512124773497942E-10</v>
      </c>
      <c r="W165" s="127">
        <v>2.9566449815189449E-10</v>
      </c>
      <c r="X165" s="128">
        <f t="shared" si="4"/>
        <v>4.7458769472697816E-10</v>
      </c>
      <c r="Y165" s="139">
        <f t="shared" si="5"/>
        <v>6.9193785917541967E-2</v>
      </c>
      <c r="AA165" s="73"/>
      <c r="AB165" s="176"/>
      <c r="AC165" s="176"/>
      <c r="AD165" s="176"/>
      <c r="AJ165" s="135"/>
    </row>
    <row r="166" spans="1:36" x14ac:dyDescent="0.35">
      <c r="I166" s="109">
        <v>4.0207140420699998E-2</v>
      </c>
      <c r="J166" s="49">
        <v>3.4468257212035065E-10</v>
      </c>
      <c r="K166" s="49">
        <v>8.3585477474107007E-11</v>
      </c>
      <c r="L166" s="153">
        <v>3.7034801905764502E-10</v>
      </c>
      <c r="M166" s="32"/>
      <c r="R166" s="60">
        <v>1161.188064832533</v>
      </c>
      <c r="S166" s="57">
        <v>2.0352054582129023E-6</v>
      </c>
      <c r="U166" s="127">
        <v>6.2059075109520063E-10</v>
      </c>
      <c r="V166" s="127">
        <v>3.7034801905764502E-10</v>
      </c>
      <c r="W166" s="127">
        <v>3.02632483927837E-10</v>
      </c>
      <c r="X166" s="128">
        <f t="shared" si="4"/>
        <v>4.1597981828458196E-10</v>
      </c>
      <c r="Y166" s="139">
        <f t="shared" si="5"/>
        <v>0.72758519937664168</v>
      </c>
      <c r="AA166" s="73"/>
      <c r="AB166" s="176"/>
      <c r="AC166" s="176"/>
      <c r="AD166" s="176"/>
      <c r="AJ166" s="135"/>
    </row>
    <row r="167" spans="1:36" x14ac:dyDescent="0.35">
      <c r="I167" s="109">
        <v>4.0609211824900002E-2</v>
      </c>
      <c r="J167" s="49">
        <v>3.6034982598267619E-10</v>
      </c>
      <c r="K167" s="49">
        <v>8.9930865900368721E-11</v>
      </c>
      <c r="L167" s="153">
        <v>3.0990543573915572E-10</v>
      </c>
      <c r="M167" s="32"/>
      <c r="R167" s="60">
        <v>1161.188064832533</v>
      </c>
      <c r="S167" s="57">
        <v>2.1743997803409769E-6</v>
      </c>
      <c r="U167" s="127">
        <v>5.3014779265204036E-10</v>
      </c>
      <c r="V167" s="127">
        <v>3.0990543573915572E-10</v>
      </c>
      <c r="W167" s="127">
        <v>3.4932702010034728E-10</v>
      </c>
      <c r="X167" s="128">
        <f t="shared" si="4"/>
        <v>3.7482142105767477E-10</v>
      </c>
      <c r="Y167" s="139">
        <f t="shared" si="5"/>
        <v>2.5894960581531724E-2</v>
      </c>
      <c r="AA167" s="73"/>
      <c r="AB167" s="176"/>
      <c r="AC167" s="176"/>
      <c r="AD167" s="176"/>
      <c r="AJ167" s="135"/>
    </row>
    <row r="168" spans="1:36" x14ac:dyDescent="0.35">
      <c r="I168" s="109">
        <v>4.1015303943099997E-2</v>
      </c>
      <c r="J168" s="49">
        <v>5.4972942814762287E-10</v>
      </c>
      <c r="K168" s="49">
        <v>1.0184465102018128E-10</v>
      </c>
      <c r="L168" s="153">
        <v>2.850616456712738E-10</v>
      </c>
      <c r="M168" s="32"/>
      <c r="R168" s="60">
        <v>1161.5991344094764</v>
      </c>
      <c r="S168" s="57">
        <v>2.1743997803409769E-6</v>
      </c>
      <c r="U168" s="127">
        <v>4.3548529340939888E-10</v>
      </c>
      <c r="V168" s="127">
        <v>2.850616456712738E-10</v>
      </c>
      <c r="W168" s="127">
        <v>4.2772501118148625E-10</v>
      </c>
      <c r="X168" s="128">
        <f t="shared" si="4"/>
        <v>3.5833339898335821E-10</v>
      </c>
      <c r="Y168" s="139">
        <f t="shared" si="5"/>
        <v>3.5317454797034409</v>
      </c>
      <c r="AA168" s="73"/>
      <c r="AB168" s="176"/>
      <c r="AC168" s="176"/>
      <c r="AD168" s="176"/>
      <c r="AJ168" s="135"/>
    </row>
    <row r="169" spans="1:36" x14ac:dyDescent="0.35">
      <c r="I169" s="109">
        <v>4.1425456982600001E-2</v>
      </c>
      <c r="J169" s="49">
        <v>4.0603658706789705E-10</v>
      </c>
      <c r="K169" s="49">
        <v>9.5612157094915012E-11</v>
      </c>
      <c r="L169" s="153">
        <v>3.0111958511667274E-10</v>
      </c>
      <c r="M169" s="32"/>
      <c r="R169" s="60">
        <v>1161.5991344094764</v>
      </c>
      <c r="S169" s="57">
        <v>2.3535192055724809E-6</v>
      </c>
      <c r="U169" s="127">
        <v>3.5244164662861312E-10</v>
      </c>
      <c r="V169" s="127">
        <v>3.0111958511667274E-10</v>
      </c>
      <c r="W169" s="127">
        <v>5.2323849191059297E-10</v>
      </c>
      <c r="X169" s="128">
        <f t="shared" si="4"/>
        <v>3.6947982719313787E-10</v>
      </c>
      <c r="Y169" s="139">
        <f t="shared" si="5"/>
        <v>0.14618713654042473</v>
      </c>
      <c r="AA169" s="73"/>
      <c r="AB169" s="176"/>
      <c r="AC169" s="176"/>
      <c r="AD169" s="176"/>
      <c r="AJ169" s="135"/>
    </row>
    <row r="170" spans="1:36" x14ac:dyDescent="0.35">
      <c r="I170" s="109">
        <v>4.1839711552400002E-2</v>
      </c>
      <c r="J170" s="49">
        <v>4.5642098382112174E-10</v>
      </c>
      <c r="K170" s="49">
        <v>1.0869587772218184E-10</v>
      </c>
      <c r="L170" s="153">
        <v>3.560019408037374E-10</v>
      </c>
      <c r="M170" s="32"/>
      <c r="R170" s="60">
        <v>1162.0102039864198</v>
      </c>
      <c r="S170" s="57">
        <v>2.3535192055724809E-6</v>
      </c>
      <c r="U170" s="127">
        <v>2.9561881905384939E-10</v>
      </c>
      <c r="V170" s="127">
        <v>3.560019408037374E-10</v>
      </c>
      <c r="W170" s="127">
        <v>6.171582183643861E-10</v>
      </c>
      <c r="X170" s="128">
        <f t="shared" si="4"/>
        <v>4.0619522975642757E-10</v>
      </c>
      <c r="Y170" s="139">
        <f t="shared" si="5"/>
        <v>0.21351420996880385</v>
      </c>
      <c r="AA170" s="73"/>
      <c r="AB170" s="176"/>
      <c r="AC170" s="176"/>
      <c r="AD170" s="176"/>
      <c r="AJ170" s="135"/>
    </row>
    <row r="171" spans="1:36" x14ac:dyDescent="0.35">
      <c r="I171" s="109">
        <v>4.2258108667900002E-2</v>
      </c>
      <c r="J171" s="49">
        <v>4.8702403632401892E-10</v>
      </c>
      <c r="K171" s="49">
        <v>1.0941298177471392E-10</v>
      </c>
      <c r="L171" s="153">
        <v>4.4013106242371341E-10</v>
      </c>
      <c r="M171" s="32"/>
      <c r="R171" s="60">
        <v>1162.0102039864198</v>
      </c>
      <c r="S171" s="57">
        <v>2.5197037604360164E-6</v>
      </c>
      <c r="U171" s="127">
        <v>2.7565820817112181E-10</v>
      </c>
      <c r="V171" s="127">
        <v>4.4013106242371341E-10</v>
      </c>
      <c r="W171" s="127">
        <v>6.9015385083013822E-10</v>
      </c>
      <c r="X171" s="128">
        <f t="shared" si="4"/>
        <v>4.6151854596217174E-10</v>
      </c>
      <c r="Y171" s="139">
        <f t="shared" si="5"/>
        <v>5.4341252926610399E-2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4.2680689754600001E-2</v>
      </c>
      <c r="J172" s="49">
        <v>6.7227421460753615E-10</v>
      </c>
      <c r="K172" s="49">
        <v>1.3200553494595275E-10</v>
      </c>
      <c r="L172" s="153">
        <v>5.3776906579027623E-10</v>
      </c>
      <c r="M172" s="32"/>
      <c r="N172" s="18"/>
      <c r="O172" s="18"/>
      <c r="P172" s="30"/>
      <c r="Q172" s="65"/>
      <c r="R172" s="62">
        <v>1162.4212735633632</v>
      </c>
      <c r="S172" s="61">
        <v>2.5197037604360164E-6</v>
      </c>
      <c r="T172" s="75"/>
      <c r="U172" s="127">
        <v>2.9700340143157156E-10</v>
      </c>
      <c r="V172" s="127">
        <v>5.3776906579027623E-10</v>
      </c>
      <c r="W172" s="127">
        <v>7.2621549751454344E-10</v>
      </c>
      <c r="X172" s="128">
        <f t="shared" si="4"/>
        <v>5.2468925763166681E-10</v>
      </c>
      <c r="Y172" s="139">
        <f t="shared" si="5"/>
        <v>1.2499709020678262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4.3107496652199997E-2</v>
      </c>
      <c r="J173" s="49">
        <v>8.7616085922514405E-10</v>
      </c>
      <c r="K173" s="49">
        <v>5.7191057224638345E-11</v>
      </c>
      <c r="L173" s="153">
        <v>6.2970799024774031E-10</v>
      </c>
      <c r="M173" s="32"/>
      <c r="R173" s="60">
        <v>1162.4212735633632</v>
      </c>
      <c r="S173" s="57">
        <v>2.6681881341983527E-6</v>
      </c>
      <c r="U173" s="127">
        <v>3.5662923206099274E-10</v>
      </c>
      <c r="V173" s="127">
        <v>6.2970799024774031E-10</v>
      </c>
      <c r="W173" s="127">
        <v>7.1624808893115997E-10</v>
      </c>
      <c r="X173" s="128">
        <f t="shared" si="4"/>
        <v>5.8307332537190832E-10</v>
      </c>
      <c r="Y173" s="139">
        <f t="shared" si="5"/>
        <v>26.262643799683879</v>
      </c>
      <c r="AA173" s="73"/>
      <c r="AB173" s="176"/>
      <c r="AC173" s="176"/>
      <c r="AD173" s="176"/>
      <c r="AJ173" s="135"/>
    </row>
    <row r="174" spans="1:36" x14ac:dyDescent="0.35">
      <c r="I174" s="109">
        <v>4.3538571618699999E-2</v>
      </c>
      <c r="J174" s="49">
        <v>8.5981714777303836E-10</v>
      </c>
      <c r="K174" s="49">
        <v>5.5239740908724698E-11</v>
      </c>
      <c r="L174" s="153">
        <v>6.9690697742736739E-10</v>
      </c>
      <c r="M174" s="32"/>
      <c r="R174" s="60">
        <v>1162.8323431403066</v>
      </c>
      <c r="S174" s="57">
        <v>2.6681881341983527E-6</v>
      </c>
      <c r="U174" s="127">
        <v>4.4408984818312629E-10</v>
      </c>
      <c r="V174" s="127">
        <v>6.9690697742736739E-10</v>
      </c>
      <c r="W174" s="127">
        <v>6.605035422389007E-10</v>
      </c>
      <c r="X174" s="128">
        <f t="shared" si="4"/>
        <v>6.2460183631919043E-10</v>
      </c>
      <c r="Y174" s="139">
        <f t="shared" si="5"/>
        <v>18.131256923752932</v>
      </c>
      <c r="AA174" s="73"/>
      <c r="AB174" s="176"/>
      <c r="AC174" s="176"/>
      <c r="AD174" s="176"/>
      <c r="AJ174" s="135"/>
    </row>
    <row r="175" spans="1:36" x14ac:dyDescent="0.35">
      <c r="I175" s="109">
        <v>4.3973957334899998E-2</v>
      </c>
      <c r="J175" s="49">
        <v>6.9886594039230829E-10</v>
      </c>
      <c r="K175" s="49">
        <v>4.727652343963379E-11</v>
      </c>
      <c r="L175" s="153">
        <v>7.2442271666786326E-10</v>
      </c>
      <c r="M175" s="32"/>
      <c r="R175" s="60">
        <v>1162.8323431403066</v>
      </c>
      <c r="S175" s="57">
        <v>2.7959041530821431E-6</v>
      </c>
      <c r="U175" s="127">
        <v>5.4302160169200481E-10</v>
      </c>
      <c r="V175" s="127">
        <v>7.2442271666786326E-10</v>
      </c>
      <c r="W175" s="127">
        <v>5.6918677513732106E-10</v>
      </c>
      <c r="X175" s="128">
        <f t="shared" si="4"/>
        <v>6.4026345254126312E-10</v>
      </c>
      <c r="Y175" s="139">
        <f t="shared" si="5"/>
        <v>1.5365299930797811</v>
      </c>
      <c r="AA175" s="73"/>
      <c r="AB175" s="176"/>
      <c r="AC175" s="176"/>
      <c r="AD175" s="176"/>
      <c r="AJ175" s="135"/>
    </row>
    <row r="176" spans="1:36" x14ac:dyDescent="0.35">
      <c r="I176" s="109">
        <v>4.4413696908199997E-2</v>
      </c>
      <c r="J176" s="49">
        <v>5.6247049153717014E-10</v>
      </c>
      <c r="K176" s="49">
        <v>4.2013301731972439E-11</v>
      </c>
      <c r="L176" s="153">
        <v>7.0483207536624515E-10</v>
      </c>
      <c r="M176" s="32"/>
      <c r="R176" s="60">
        <v>1163.2434127172501</v>
      </c>
      <c r="S176" s="57">
        <v>2.7959041530821431E-6</v>
      </c>
      <c r="U176" s="127">
        <v>6.3395953442576289E-10</v>
      </c>
      <c r="V176" s="127">
        <v>7.0483207536624515E-10</v>
      </c>
      <c r="W176" s="127">
        <v>4.6089668652299429E-10</v>
      </c>
      <c r="X176" s="128">
        <f t="shared" si="4"/>
        <v>6.2613009292031181E-10</v>
      </c>
      <c r="Y176" s="139">
        <f t="shared" si="5"/>
        <v>2.2959065313115028</v>
      </c>
      <c r="AA176" s="73"/>
      <c r="AB176" s="176"/>
      <c r="AC176" s="176"/>
      <c r="AD176" s="176"/>
      <c r="AJ176" s="135"/>
    </row>
    <row r="177" spans="9:36" x14ac:dyDescent="0.35">
      <c r="I177" s="109">
        <v>4.4857833877300003E-2</v>
      </c>
      <c r="J177" s="49">
        <v>5.8311040603342622E-10</v>
      </c>
      <c r="K177" s="49">
        <v>4.6322176215741173E-11</v>
      </c>
      <c r="L177" s="152">
        <v>6.4035165018270835E-10</v>
      </c>
      <c r="M177" s="33"/>
      <c r="R177" s="60">
        <v>1163.2434127172501</v>
      </c>
      <c r="S177" s="57">
        <v>2.901561643927129E-6</v>
      </c>
      <c r="U177" s="127">
        <v>6.9803748215967712E-10</v>
      </c>
      <c r="V177" s="127">
        <v>6.4035165018270835E-10</v>
      </c>
      <c r="W177" s="127">
        <v>3.5901710175120295E-10</v>
      </c>
      <c r="X177" s="128">
        <f t="shared" si="4"/>
        <v>5.844394710690743E-10</v>
      </c>
      <c r="Y177" s="139">
        <f t="shared" si="5"/>
        <v>8.2321743007326205E-4</v>
      </c>
      <c r="AA177" s="73"/>
      <c r="AB177" s="176"/>
      <c r="AC177" s="176"/>
      <c r="AD177" s="176"/>
      <c r="AJ177" s="135"/>
    </row>
    <row r="178" spans="9:36" x14ac:dyDescent="0.35">
      <c r="I178" s="109">
        <v>4.5306412216100003E-2</v>
      </c>
      <c r="J178" s="49">
        <v>4.3011121481710883E-10</v>
      </c>
      <c r="K178" s="49">
        <v>3.8094197825418259E-11</v>
      </c>
      <c r="L178" s="152">
        <v>5.4304290704652935E-10</v>
      </c>
      <c r="M178" s="33"/>
      <c r="R178" s="60">
        <v>1163.6544822941935</v>
      </c>
      <c r="S178" s="57">
        <v>2.901561643927129E-6</v>
      </c>
      <c r="U178" s="127">
        <v>7.2090093143415E-10</v>
      </c>
      <c r="V178" s="127">
        <v>5.4304290704652935E-10</v>
      </c>
      <c r="W178" s="127">
        <v>2.8666983966491277E-10</v>
      </c>
      <c r="X178" s="128">
        <f t="shared" si="4"/>
        <v>5.2341414629803034E-10</v>
      </c>
      <c r="Y178" s="139">
        <f t="shared" si="5"/>
        <v>5.9989178200327773</v>
      </c>
      <c r="AA178" s="73"/>
      <c r="AB178" s="176"/>
      <c r="AC178" s="176"/>
      <c r="AD178" s="176"/>
      <c r="AJ178" s="135"/>
    </row>
    <row r="179" spans="9:36" x14ac:dyDescent="0.35">
      <c r="I179" s="109">
        <v>4.5759476338200003E-2</v>
      </c>
      <c r="J179" s="49">
        <v>3.7198918504830927E-10</v>
      </c>
      <c r="K179" s="49">
        <v>3.7950145085370075E-11</v>
      </c>
      <c r="L179" s="152">
        <v>4.3284277197347542E-10</v>
      </c>
      <c r="M179" s="33"/>
      <c r="R179" s="60">
        <v>1163.6544822941935</v>
      </c>
      <c r="S179" s="57">
        <v>2.9854615116047395E-6</v>
      </c>
      <c r="U179" s="127">
        <v>6.9602880610266906E-10</v>
      </c>
      <c r="V179" s="127">
        <v>4.3284277197347542E-10</v>
      </c>
      <c r="W179" s="127">
        <v>2.6126835073475389E-10</v>
      </c>
      <c r="X179" s="128">
        <f t="shared" si="4"/>
        <v>4.5574567519609342E-10</v>
      </c>
      <c r="Y179" s="139">
        <f t="shared" si="5"/>
        <v>4.8709094751728408</v>
      </c>
      <c r="AA179" s="73"/>
      <c r="AB179" s="176"/>
      <c r="AC179" s="176"/>
      <c r="AD179" s="176"/>
      <c r="AJ179" s="135"/>
    </row>
    <row r="180" spans="9:36" x14ac:dyDescent="0.35">
      <c r="I180" s="109">
        <v>4.6217071101599998E-2</v>
      </c>
      <c r="J180" s="49">
        <v>3.6901152595289575E-10</v>
      </c>
      <c r="K180" s="49">
        <v>3.9032950361789061E-11</v>
      </c>
      <c r="L180" s="152">
        <v>3.3362562020779867E-10</v>
      </c>
      <c r="M180" s="33"/>
      <c r="R180" s="60">
        <v>1164.0655518711369</v>
      </c>
      <c r="S180" s="57">
        <v>2.9854615116047395E-6</v>
      </c>
      <c r="U180" s="127">
        <v>6.2668284785267297E-10</v>
      </c>
      <c r="V180" s="127">
        <v>3.3362562020779867E-10</v>
      </c>
      <c r="W180" s="127">
        <v>2.8994610490218945E-10</v>
      </c>
      <c r="X180" s="128">
        <f t="shared" si="4"/>
        <v>3.9597004829261489E-10</v>
      </c>
      <c r="Y180" s="139">
        <f t="shared" si="5"/>
        <v>0.47701211475300792</v>
      </c>
      <c r="AA180" s="73"/>
      <c r="AB180" s="176"/>
      <c r="AC180" s="176"/>
      <c r="AD180" s="176"/>
      <c r="AJ180" s="135"/>
    </row>
    <row r="181" spans="9:36" x14ac:dyDescent="0.35">
      <c r="I181" s="109">
        <v>4.6679241812599997E-2</v>
      </c>
      <c r="J181" s="49">
        <v>3.5723956592322417E-10</v>
      </c>
      <c r="K181" s="49">
        <v>3.6954145096381386E-11</v>
      </c>
      <c r="L181" s="152">
        <v>2.6799258479782125E-10</v>
      </c>
      <c r="M181" s="33"/>
      <c r="R181" s="60">
        <v>1164.0655518711369</v>
      </c>
      <c r="S181" s="57">
        <v>3.0491076217270386E-6</v>
      </c>
      <c r="U181" s="127">
        <v>5.2590305348216584E-10</v>
      </c>
      <c r="V181" s="127">
        <v>2.6799258479782125E-10</v>
      </c>
      <c r="W181" s="127">
        <v>3.6708485082472971E-10</v>
      </c>
      <c r="X181" s="128">
        <f t="shared" si="4"/>
        <v>3.5724326847563449E-10</v>
      </c>
      <c r="Y181" s="139">
        <f t="shared" si="5"/>
        <v>1.0038668432412604E-8</v>
      </c>
      <c r="AA181" s="73"/>
      <c r="AB181" s="176"/>
      <c r="AC181" s="176"/>
      <c r="AD181" s="176"/>
      <c r="AJ181" s="135"/>
    </row>
    <row r="182" spans="9:36" x14ac:dyDescent="0.35">
      <c r="I182" s="109">
        <v>4.71460342308E-2</v>
      </c>
      <c r="J182" s="49">
        <v>3.4353590587768045E-10</v>
      </c>
      <c r="K182" s="49">
        <v>3.7081712949957424E-11</v>
      </c>
      <c r="L182" s="152">
        <v>2.518820796579521E-10</v>
      </c>
      <c r="M182" s="33"/>
      <c r="R182" s="60">
        <v>1164.4766214480803</v>
      </c>
      <c r="S182" s="57">
        <v>3.0491076217270386E-6</v>
      </c>
      <c r="U182" s="127">
        <v>4.1433032919880555E-10</v>
      </c>
      <c r="V182" s="127">
        <v>2.518820796579521E-10</v>
      </c>
      <c r="W182" s="127">
        <v>4.7479701399145279E-10</v>
      </c>
      <c r="X182" s="128">
        <f t="shared" si="4"/>
        <v>3.4822287562654066E-10</v>
      </c>
      <c r="Y182" s="139">
        <f t="shared" si="5"/>
        <v>1.5975877636994876E-2</v>
      </c>
      <c r="AA182" s="73"/>
      <c r="AB182" s="176"/>
      <c r="AC182" s="176"/>
      <c r="AD182" s="176"/>
      <c r="AJ182" s="135"/>
    </row>
    <row r="183" spans="9:36" x14ac:dyDescent="0.35">
      <c r="I183" s="109">
        <v>4.7617494573100001E-2</v>
      </c>
      <c r="J183" s="49">
        <v>5.0200749741391188E-10</v>
      </c>
      <c r="K183" s="49">
        <v>4.4538374570850072E-11</v>
      </c>
      <c r="L183" s="152">
        <v>2.9028509405729085E-10</v>
      </c>
      <c r="M183" s="33"/>
      <c r="R183" s="60">
        <v>1164.4766214480803</v>
      </c>
      <c r="S183" s="57">
        <v>3.0947127479673387E-6</v>
      </c>
      <c r="U183" s="127">
        <v>3.1610746301964274E-10</v>
      </c>
      <c r="V183" s="127">
        <v>2.9028509405729085E-10</v>
      </c>
      <c r="W183" s="127">
        <v>5.8656667866206955E-10</v>
      </c>
      <c r="X183" s="128">
        <f t="shared" si="4"/>
        <v>3.7081108244907349E-10</v>
      </c>
      <c r="Y183" s="139">
        <f t="shared" si="5"/>
        <v>8.6771121127527184</v>
      </c>
      <c r="AA183" s="73"/>
      <c r="AB183" s="176"/>
      <c r="AC183" s="176"/>
      <c r="AD183" s="176"/>
      <c r="AJ183" s="135"/>
    </row>
    <row r="184" spans="9:36" x14ac:dyDescent="0.35">
      <c r="I184" s="109">
        <v>4.8093669518800002E-2</v>
      </c>
      <c r="J184" s="49">
        <v>5.1602126683087742E-10</v>
      </c>
      <c r="K184" s="49">
        <v>4.5954550970443677E-11</v>
      </c>
      <c r="L184" s="152">
        <v>3.7524465786311896E-10</v>
      </c>
      <c r="M184" s="33"/>
      <c r="R184" s="60">
        <v>1164.8876910250237</v>
      </c>
      <c r="S184" s="57">
        <v>3.0947127479673387E-6</v>
      </c>
      <c r="U184" s="127">
        <v>2.5359359038866365E-10</v>
      </c>
      <c r="V184" s="127">
        <v>3.7524465786311896E-10</v>
      </c>
      <c r="W184" s="127">
        <v>6.7345187901412343E-10</v>
      </c>
      <c r="X184" s="128">
        <f t="shared" si="4"/>
        <v>4.1938369628225622E-10</v>
      </c>
      <c r="Y184" s="139">
        <f t="shared" si="5"/>
        <v>4.4221651008461658</v>
      </c>
      <c r="AA184" s="73"/>
      <c r="AB184" s="176"/>
      <c r="AC184" s="176"/>
      <c r="AD184" s="176"/>
      <c r="AJ184" s="135"/>
    </row>
    <row r="185" spans="9:36" x14ac:dyDescent="0.35">
      <c r="I185" s="109">
        <v>4.8574606213999998E-2</v>
      </c>
      <c r="J185" s="49">
        <v>6.1437832847017362E-10</v>
      </c>
      <c r="K185" s="49">
        <v>5.1657006491243098E-11</v>
      </c>
      <c r="L185" s="152">
        <v>4.8689658103114951E-10</v>
      </c>
      <c r="M185" s="33"/>
      <c r="R185" s="60">
        <v>1164.8876910250237</v>
      </c>
      <c r="S185" s="57">
        <v>3.1246979016360707E-6</v>
      </c>
      <c r="U185" s="127">
        <v>2.420095831946099E-10</v>
      </c>
      <c r="V185" s="127">
        <v>4.8689658103114951E-10</v>
      </c>
      <c r="W185" s="127">
        <v>7.1148971669275312E-10</v>
      </c>
      <c r="X185" s="128">
        <f t="shared" si="4"/>
        <v>4.8182311548741547E-10</v>
      </c>
      <c r="Y185" s="139">
        <f t="shared" si="5"/>
        <v>6.5846872614994245</v>
      </c>
      <c r="AA185" s="73"/>
      <c r="AB185" s="176"/>
      <c r="AC185" s="176"/>
      <c r="AD185" s="176"/>
      <c r="AJ185" s="135"/>
    </row>
    <row r="186" spans="9:36" x14ac:dyDescent="0.35">
      <c r="I186" s="109">
        <v>4.9060352276099999E-2</v>
      </c>
      <c r="J186" s="49">
        <v>6.2788077852382089E-10</v>
      </c>
      <c r="K186" s="49">
        <v>5.2228621467755058E-11</v>
      </c>
      <c r="L186" s="152">
        <v>5.9762485742629979E-10</v>
      </c>
      <c r="M186" s="33"/>
      <c r="R186" s="60">
        <v>1165.2987606019672</v>
      </c>
      <c r="S186" s="57">
        <v>3.1246979016360707E-6</v>
      </c>
      <c r="U186" s="127">
        <v>2.8529832216830291E-10</v>
      </c>
      <c r="V186" s="127">
        <v>5.9762485742629979E-10</v>
      </c>
      <c r="W186" s="127">
        <v>6.8844172734016146E-10</v>
      </c>
      <c r="X186" s="128">
        <f t="shared" si="4"/>
        <v>5.4224744109026606E-10</v>
      </c>
      <c r="Y186" s="139">
        <f t="shared" si="5"/>
        <v>2.6882435620777039</v>
      </c>
      <c r="AA186" s="73"/>
      <c r="AB186" s="176"/>
      <c r="AC186" s="176"/>
      <c r="AD186" s="176"/>
      <c r="AJ186" s="135"/>
    </row>
    <row r="187" spans="9:36" x14ac:dyDescent="0.35">
      <c r="I187" s="109">
        <v>4.9550955798900002E-2</v>
      </c>
      <c r="J187" s="49">
        <v>6.5621627519632551E-10</v>
      </c>
      <c r="K187" s="49">
        <v>5.2574536888790679E-11</v>
      </c>
      <c r="L187" s="152">
        <v>6.7859862826829264E-10</v>
      </c>
      <c r="M187" s="33"/>
      <c r="R187" s="60">
        <v>1165.2987606019672</v>
      </c>
      <c r="S187" s="57">
        <v>3.141268114760232E-6</v>
      </c>
      <c r="U187" s="127">
        <v>3.7435379251751958E-10</v>
      </c>
      <c r="V187" s="127">
        <v>6.7859862826829264E-10</v>
      </c>
      <c r="W187" s="127">
        <v>6.0795458119171217E-10</v>
      </c>
      <c r="X187" s="128">
        <f t="shared" si="4"/>
        <v>5.8487640756145427E-10</v>
      </c>
      <c r="Y187" s="139">
        <f t="shared" si="5"/>
        <v>1.8412539297892017</v>
      </c>
      <c r="AA187" s="73"/>
      <c r="AB187" s="176"/>
      <c r="AC187" s="176"/>
      <c r="AD187" s="176"/>
      <c r="AJ187" s="135"/>
    </row>
    <row r="188" spans="9:36" x14ac:dyDescent="0.35">
      <c r="I188" s="109">
        <v>5.0046465356900001E-2</v>
      </c>
      <c r="J188" s="49">
        <v>6.5842867122137099E-10</v>
      </c>
      <c r="K188" s="49">
        <v>5.4267216781420883E-11</v>
      </c>
      <c r="L188" s="152">
        <v>7.0722654854059851E-10</v>
      </c>
      <c r="M188" s="33"/>
      <c r="R188" s="60">
        <v>1165.7098301789106</v>
      </c>
      <c r="S188" s="57">
        <v>3.141268114760232E-6</v>
      </c>
      <c r="U188" s="127">
        <v>4.8832806688765787E-10</v>
      </c>
      <c r="V188" s="127">
        <v>7.0722654854059851E-10</v>
      </c>
      <c r="W188" s="127">
        <v>4.8968431150929978E-10</v>
      </c>
      <c r="X188" s="128">
        <f t="shared" si="4"/>
        <v>5.9811636886953864E-10</v>
      </c>
      <c r="Y188" s="139">
        <f t="shared" si="5"/>
        <v>1.2351983937046314</v>
      </c>
      <c r="AA188" s="73"/>
      <c r="AB188" s="176"/>
      <c r="AC188" s="176"/>
      <c r="AD188" s="176"/>
      <c r="AJ188" s="135"/>
    </row>
    <row r="189" spans="9:36" x14ac:dyDescent="0.35">
      <c r="I189" s="109">
        <v>5.0546930010399997E-2</v>
      </c>
      <c r="J189" s="49">
        <v>4.7962989185069684E-10</v>
      </c>
      <c r="K189" s="49">
        <v>4.8810879230562593E-11</v>
      </c>
      <c r="L189" s="152">
        <v>6.7362297000967128E-10</v>
      </c>
      <c r="M189" s="33"/>
      <c r="R189" s="60">
        <v>1165.7098301789106</v>
      </c>
      <c r="S189" s="57">
        <v>3.1461199520854667E-6</v>
      </c>
      <c r="U189" s="127">
        <v>5.9902819699335604E-10</v>
      </c>
      <c r="V189" s="127">
        <v>6.7362297000967128E-10</v>
      </c>
      <c r="W189" s="127">
        <v>3.64896989490605E-10</v>
      </c>
      <c r="X189" s="128">
        <f t="shared" si="4"/>
        <v>5.7779278162582598E-10</v>
      </c>
      <c r="Y189" s="139">
        <f t="shared" si="5"/>
        <v>4.0444680453651642</v>
      </c>
      <c r="AA189" s="73"/>
      <c r="AB189" s="176"/>
      <c r="AC189" s="176"/>
      <c r="AD189" s="176"/>
      <c r="AJ189" s="135"/>
    </row>
    <row r="190" spans="9:36" x14ac:dyDescent="0.35">
      <c r="I190" s="109">
        <v>5.1052399310499999E-2</v>
      </c>
      <c r="J190" s="49">
        <v>4.6836983690139726E-10</v>
      </c>
      <c r="K190" s="49">
        <v>4.7606862588878533E-11</v>
      </c>
      <c r="L190" s="152">
        <v>5.8420160014386356E-10</v>
      </c>
      <c r="M190" s="33"/>
      <c r="R190" s="60">
        <v>1166.120899755854</v>
      </c>
      <c r="S190" s="57">
        <v>3.1461199520854667E-6</v>
      </c>
      <c r="U190" s="127">
        <v>6.7760888250527817E-10</v>
      </c>
      <c r="V190" s="127">
        <v>5.8420160014386356E-10</v>
      </c>
      <c r="W190" s="127">
        <v>2.6831611567318954E-10</v>
      </c>
      <c r="X190" s="128">
        <f t="shared" si="4"/>
        <v>5.2858204961654872E-10</v>
      </c>
      <c r="Y190" s="139">
        <f t="shared" si="5"/>
        <v>1.599668716727962</v>
      </c>
      <c r="AA190" s="73"/>
      <c r="AB190" s="176"/>
      <c r="AC190" s="176"/>
      <c r="AD190" s="176"/>
      <c r="AJ190" s="135"/>
    </row>
    <row r="191" spans="9:36" x14ac:dyDescent="0.35">
      <c r="I191" s="109">
        <v>5.1562923303600003E-2</v>
      </c>
      <c r="J191" s="49">
        <v>3.9512126688152955E-10</v>
      </c>
      <c r="K191" s="49">
        <v>4.4520750879575847E-11</v>
      </c>
      <c r="L191" s="152">
        <v>4.6107030082659138E-10</v>
      </c>
      <c r="M191" s="33"/>
      <c r="R191" s="60">
        <v>1166.120899755854</v>
      </c>
      <c r="S191" s="57">
        <v>3.1403057532479086E-6</v>
      </c>
      <c r="U191" s="127">
        <v>7.020513865707576E-10</v>
      </c>
      <c r="V191" s="127">
        <v>4.6107030082659138E-10</v>
      </c>
      <c r="W191" s="127">
        <v>2.2820817484926447E-10</v>
      </c>
      <c r="X191" s="128">
        <f t="shared" si="4"/>
        <v>4.6310004076830123E-10</v>
      </c>
      <c r="Y191" s="139">
        <f t="shared" si="5"/>
        <v>2.3314263104107749</v>
      </c>
      <c r="AA191" s="73"/>
      <c r="AB191" s="176"/>
      <c r="AC191" s="176"/>
      <c r="AD191" s="176"/>
      <c r="AJ191" s="135"/>
    </row>
    <row r="192" spans="9:36" x14ac:dyDescent="0.35">
      <c r="I192" s="109">
        <v>5.2078552536699997E-2</v>
      </c>
      <c r="J192" s="49">
        <v>3.9200051941315137E-10</v>
      </c>
      <c r="K192" s="49">
        <v>4.6925516140574023E-11</v>
      </c>
      <c r="L192" s="152">
        <v>3.3692761557577428E-10</v>
      </c>
      <c r="M192" s="33"/>
      <c r="R192" s="60">
        <v>1166.5319693327974</v>
      </c>
      <c r="S192" s="57">
        <v>3.1403057532479086E-6</v>
      </c>
      <c r="U192" s="127">
        <v>6.6350677464511648E-10</v>
      </c>
      <c r="V192" s="127">
        <v>3.3692761557577428E-10</v>
      </c>
      <c r="W192" s="127">
        <v>2.5749814720472279E-10</v>
      </c>
      <c r="X192" s="128">
        <f t="shared" si="4"/>
        <v>3.9871503825034697E-10</v>
      </c>
      <c r="Y192" s="139">
        <f t="shared" si="5"/>
        <v>2.0474423244918501E-2</v>
      </c>
      <c r="AA192" s="73"/>
      <c r="AB192" s="176"/>
      <c r="AC192" s="176"/>
      <c r="AD192" s="176"/>
      <c r="AJ192" s="135"/>
    </row>
    <row r="193" spans="9:36" x14ac:dyDescent="0.35">
      <c r="I193" s="109">
        <v>5.2599338062100001E-2</v>
      </c>
      <c r="J193" s="49">
        <v>3.9669767101849678E-10</v>
      </c>
      <c r="K193" s="49">
        <v>4.7001457119648832E-11</v>
      </c>
      <c r="L193" s="152">
        <v>2.4643609488430525E-10</v>
      </c>
      <c r="M193" s="33"/>
      <c r="R193" s="60">
        <v>1166.5319693327974</v>
      </c>
      <c r="S193" s="57">
        <v>3.1242530904734802E-6</v>
      </c>
      <c r="U193" s="127">
        <v>5.6963958599791288E-10</v>
      </c>
      <c r="V193" s="127">
        <v>2.4643609488430525E-10</v>
      </c>
      <c r="W193" s="127">
        <v>3.487584505123379E-10</v>
      </c>
      <c r="X193" s="128">
        <f t="shared" si="4"/>
        <v>3.5281755656971536E-10</v>
      </c>
      <c r="Y193" s="139">
        <f t="shared" si="5"/>
        <v>0.87159124535583332</v>
      </c>
      <c r="AA193" s="73"/>
      <c r="AB193" s="176"/>
      <c r="AC193" s="176"/>
      <c r="AD193" s="176"/>
      <c r="AJ193" s="135"/>
    </row>
    <row r="194" spans="9:36" x14ac:dyDescent="0.35">
      <c r="I194" s="109">
        <v>5.31253314427E-2</v>
      </c>
      <c r="J194" s="49">
        <v>3.7607805501793816E-10</v>
      </c>
      <c r="K194" s="49">
        <v>4.5367541253102077E-11</v>
      </c>
      <c r="L194" s="152">
        <v>2.1622740429353146E-10</v>
      </c>
      <c r="M194" s="33"/>
      <c r="R194" s="60">
        <v>1166.9430389097408</v>
      </c>
      <c r="S194" s="57">
        <v>3.1242530904734802E-6</v>
      </c>
      <c r="U194" s="127">
        <v>4.4370191078067177E-10</v>
      </c>
      <c r="V194" s="127">
        <v>2.1622740429353146E-10</v>
      </c>
      <c r="W194" s="127">
        <v>4.7506941265612942E-10</v>
      </c>
      <c r="X194" s="128">
        <f t="shared" si="4"/>
        <v>3.3780653300596602E-10</v>
      </c>
      <c r="Y194" s="139">
        <f t="shared" si="5"/>
        <v>0.71164103436390802</v>
      </c>
      <c r="AA194" s="73"/>
      <c r="AB194" s="176"/>
      <c r="AC194" s="176"/>
      <c r="AD194" s="176"/>
      <c r="AJ194" s="135"/>
    </row>
    <row r="195" spans="9:36" x14ac:dyDescent="0.35">
      <c r="I195" s="109">
        <v>5.3656584757100001E-2</v>
      </c>
      <c r="J195" s="49">
        <v>4.6699394863103819E-10</v>
      </c>
      <c r="K195" s="49">
        <v>5.2782237564199814E-11</v>
      </c>
      <c r="L195" s="152">
        <v>2.5639723492944589E-10</v>
      </c>
      <c r="M195" s="33"/>
      <c r="R195" s="60">
        <v>1166.9430389097408</v>
      </c>
      <c r="S195" s="57">
        <v>3.0979175211196874E-6</v>
      </c>
      <c r="U195" s="127">
        <v>3.1911966179470148E-10</v>
      </c>
      <c r="V195" s="127">
        <v>2.5639723492944589E-10</v>
      </c>
      <c r="W195" s="127">
        <v>5.971280666548277E-10</v>
      </c>
      <c r="X195" s="128">
        <f t="shared" ref="X195:X241" si="6">(U195+2*V195+W195)/4</f>
        <v>3.5726054957710524E-10</v>
      </c>
      <c r="Y195" s="139">
        <f t="shared" ref="Y195:Y241" si="7">(J195-X195)*(J195-X195)/(K195*K195)</f>
        <v>4.3221722408315841</v>
      </c>
      <c r="AA195" s="73"/>
      <c r="AB195" s="176"/>
      <c r="AC195" s="176"/>
      <c r="AD195" s="176"/>
      <c r="AJ195" s="135"/>
    </row>
    <row r="196" spans="9:36" x14ac:dyDescent="0.35">
      <c r="I196" s="109">
        <v>5.4193150604700001E-2</v>
      </c>
      <c r="J196" s="49">
        <v>4.8297130974146975E-10</v>
      </c>
      <c r="K196" s="49">
        <v>5.4533076354189345E-11</v>
      </c>
      <c r="L196" s="152">
        <v>3.5626725557457808E-10</v>
      </c>
      <c r="M196" s="33"/>
      <c r="R196" s="60">
        <v>1167.3541084866843</v>
      </c>
      <c r="S196" s="57">
        <v>3.0979175211196874E-6</v>
      </c>
      <c r="U196" s="127">
        <v>2.3065247003189545E-10</v>
      </c>
      <c r="V196" s="127">
        <v>3.5626725557457808E-10</v>
      </c>
      <c r="W196" s="127">
        <v>6.7499115446764862E-10</v>
      </c>
      <c r="X196" s="128">
        <f t="shared" si="6"/>
        <v>4.0454453391217505E-10</v>
      </c>
      <c r="Y196" s="139">
        <f t="shared" si="7"/>
        <v>2.0682771140320737</v>
      </c>
      <c r="AA196" s="73"/>
      <c r="AB196" s="176"/>
      <c r="AC196" s="176"/>
      <c r="AD196" s="176"/>
      <c r="AJ196" s="135"/>
    </row>
    <row r="197" spans="9:36" x14ac:dyDescent="0.35">
      <c r="I197" s="109">
        <v>5.4735082110700002E-2</v>
      </c>
      <c r="J197" s="49">
        <v>3.7786203627410552E-10</v>
      </c>
      <c r="K197" s="49">
        <v>4.9130456017873118E-11</v>
      </c>
      <c r="L197" s="152">
        <v>4.8621477987379955E-10</v>
      </c>
      <c r="M197" s="33"/>
      <c r="R197" s="60">
        <v>1167.3541084866843</v>
      </c>
      <c r="S197" s="57">
        <v>3.0610318984894824E-6</v>
      </c>
      <c r="U197" s="127">
        <v>2.0434952988619437E-10</v>
      </c>
      <c r="V197" s="127">
        <v>4.8621477987379955E-10</v>
      </c>
      <c r="W197" s="127">
        <v>6.8108736704195233E-10</v>
      </c>
      <c r="X197" s="128">
        <f t="shared" si="6"/>
        <v>4.6446661416893646E-10</v>
      </c>
      <c r="Y197" s="139">
        <f t="shared" si="7"/>
        <v>3.1072779863627118</v>
      </c>
      <c r="AA197" s="73"/>
      <c r="AB197" s="176"/>
      <c r="AC197" s="176"/>
      <c r="AD197" s="176"/>
      <c r="AJ197" s="135"/>
    </row>
    <row r="198" spans="9:36" x14ac:dyDescent="0.35">
      <c r="I198" s="109">
        <v>5.5282432931799998E-2</v>
      </c>
      <c r="J198" s="49">
        <v>5.2798967008068602E-10</v>
      </c>
      <c r="K198" s="49">
        <v>5.7824667136188321E-11</v>
      </c>
      <c r="L198" s="152">
        <v>6.0566230604007435E-10</v>
      </c>
      <c r="M198" s="33"/>
      <c r="R198" s="60">
        <v>1167.7651780636277</v>
      </c>
      <c r="S198" s="57">
        <v>3.0610318984894824E-6</v>
      </c>
      <c r="U198" s="127">
        <v>2.4918579350993879E-10</v>
      </c>
      <c r="V198" s="127">
        <v>6.0566230604007435E-10</v>
      </c>
      <c r="W198" s="127">
        <v>6.1026463803731124E-10</v>
      </c>
      <c r="X198" s="128">
        <f t="shared" si="6"/>
        <v>5.1769376090684968E-10</v>
      </c>
      <c r="Y198" s="139">
        <f t="shared" si="7"/>
        <v>3.1703201614605936E-2</v>
      </c>
      <c r="AA198" s="73"/>
      <c r="AB198" s="176"/>
      <c r="AC198" s="176"/>
      <c r="AD198" s="176"/>
      <c r="AJ198" s="135"/>
    </row>
    <row r="199" spans="9:36" x14ac:dyDescent="0.35">
      <c r="I199" s="109">
        <v>5.5835257261100002E-2</v>
      </c>
      <c r="J199" s="49">
        <v>5.1263510162247433E-10</v>
      </c>
      <c r="K199" s="49">
        <v>5.8346887404687404E-11</v>
      </c>
      <c r="L199" s="152">
        <v>6.7532073403194067E-10</v>
      </c>
      <c r="M199" s="33"/>
      <c r="R199" s="60">
        <v>1167.7651780636277</v>
      </c>
      <c r="S199" s="57">
        <v>3.0134049928500583E-6</v>
      </c>
      <c r="U199" s="127">
        <v>3.5312866723075484E-10</v>
      </c>
      <c r="V199" s="127">
        <v>6.7532073403194067E-10</v>
      </c>
      <c r="W199" s="127">
        <v>4.8310482614430264E-10</v>
      </c>
      <c r="X199" s="128">
        <f t="shared" si="6"/>
        <v>5.4671874035973477E-10</v>
      </c>
      <c r="Y199" s="139">
        <f t="shared" si="7"/>
        <v>0.34123731883183922</v>
      </c>
      <c r="AA199" s="73"/>
      <c r="AB199" s="176"/>
      <c r="AC199" s="176"/>
      <c r="AD199" s="176"/>
      <c r="AJ199" s="135"/>
    </row>
    <row r="200" spans="9:36" x14ac:dyDescent="0.35">
      <c r="I200" s="109">
        <v>5.6393609833799999E-2</v>
      </c>
      <c r="J200" s="49">
        <v>5.4947541470414013E-10</v>
      </c>
      <c r="K200" s="49">
        <v>6.4323412558114407E-11</v>
      </c>
      <c r="L200" s="152">
        <v>6.701170991191801E-10</v>
      </c>
      <c r="M200" s="33"/>
      <c r="R200" s="60">
        <v>1168.1762476405711</v>
      </c>
      <c r="S200" s="57">
        <v>3.0134049928500583E-6</v>
      </c>
      <c r="U200" s="127">
        <v>4.8535755287521044E-10</v>
      </c>
      <c r="V200" s="127">
        <v>6.701170991191801E-10</v>
      </c>
      <c r="W200" s="127">
        <v>3.4060542391437447E-10</v>
      </c>
      <c r="X200" s="128">
        <f t="shared" si="6"/>
        <v>5.415492937569863E-10</v>
      </c>
      <c r="Y200" s="139">
        <f t="shared" si="7"/>
        <v>1.5183896547205001E-2</v>
      </c>
      <c r="AA200" s="73"/>
      <c r="AB200" s="176"/>
      <c r="AC200" s="176"/>
      <c r="AD200" s="176"/>
      <c r="AJ200" s="135"/>
    </row>
    <row r="201" spans="9:36" x14ac:dyDescent="0.35">
      <c r="I201" s="109">
        <v>5.69575459321E-2</v>
      </c>
      <c r="J201" s="49">
        <v>5.3827699231958376E-10</v>
      </c>
      <c r="K201" s="49">
        <v>6.181277453808629E-11</v>
      </c>
      <c r="L201" s="152">
        <v>5.8853797831898134E-10</v>
      </c>
      <c r="M201" s="33"/>
      <c r="R201" s="60">
        <v>1168.1762476405711</v>
      </c>
      <c r="S201" s="57">
        <v>2.9552157895038072E-6</v>
      </c>
      <c r="U201" s="127">
        <v>6.0461709056979653E-10</v>
      </c>
      <c r="V201" s="127">
        <v>5.8853797831898134E-10</v>
      </c>
      <c r="W201" s="127">
        <v>2.3116433193767783E-10</v>
      </c>
      <c r="X201" s="128">
        <f t="shared" si="6"/>
        <v>5.0321434478635929E-10</v>
      </c>
      <c r="Y201" s="139">
        <f t="shared" si="7"/>
        <v>0.32176065422599903</v>
      </c>
      <c r="AA201" s="73"/>
      <c r="AB201" s="176"/>
      <c r="AC201" s="176"/>
      <c r="AD201" s="176"/>
      <c r="AJ201" s="135"/>
    </row>
    <row r="202" spans="9:36" x14ac:dyDescent="0.35">
      <c r="I202" s="109">
        <v>5.7527121391400003E-2</v>
      </c>
      <c r="J202" s="49">
        <v>3.8691355478554492E-10</v>
      </c>
      <c r="K202" s="49">
        <v>5.6329476153297456E-11</v>
      </c>
      <c r="L202" s="152">
        <v>4.5479313637920357E-10</v>
      </c>
      <c r="M202" s="33"/>
      <c r="R202" s="60">
        <v>1168.5873172175145</v>
      </c>
      <c r="S202" s="57">
        <v>2.9552157895038072E-6</v>
      </c>
      <c r="U202" s="127">
        <v>6.7168443176735357E-10</v>
      </c>
      <c r="V202" s="127">
        <v>4.5479313637920357E-10</v>
      </c>
      <c r="W202" s="127">
        <v>1.9373155980739059E-10</v>
      </c>
      <c r="X202" s="128">
        <f t="shared" si="6"/>
        <v>4.4375056608328786E-10</v>
      </c>
      <c r="Y202" s="139">
        <f t="shared" si="7"/>
        <v>1.0181014152681387</v>
      </c>
      <c r="AA202" s="73"/>
      <c r="AB202" s="176"/>
      <c r="AC202" s="176"/>
      <c r="AD202" s="176"/>
      <c r="AJ202" s="135"/>
    </row>
    <row r="203" spans="9:36" x14ac:dyDescent="0.35">
      <c r="I203" s="109">
        <v>5.81023926053E-2</v>
      </c>
      <c r="J203" s="49">
        <v>3.6495082660917433E-10</v>
      </c>
      <c r="K203" s="49">
        <v>5.3127156479581659E-11</v>
      </c>
      <c r="L203" s="152">
        <v>3.1224941342291141E-10</v>
      </c>
      <c r="M203" s="33"/>
      <c r="R203" s="60">
        <v>1168.5873172175145</v>
      </c>
      <c r="S203" s="57">
        <v>2.8872491254690414E-6</v>
      </c>
      <c r="U203" s="127">
        <v>6.6230115486857471E-10</v>
      </c>
      <c r="V203" s="127">
        <v>3.1224941342291141E-10</v>
      </c>
      <c r="W203" s="127">
        <v>2.4292290911362677E-10</v>
      </c>
      <c r="X203" s="128">
        <f t="shared" si="6"/>
        <v>3.8243072270700609E-10</v>
      </c>
      <c r="Y203" s="139">
        <f t="shared" si="7"/>
        <v>0.10825414891706207</v>
      </c>
      <c r="AA203" s="73"/>
      <c r="AB203" s="176"/>
      <c r="AC203" s="176"/>
      <c r="AD203" s="176"/>
      <c r="AJ203" s="135"/>
    </row>
    <row r="204" spans="9:36" x14ac:dyDescent="0.35">
      <c r="I204" s="109">
        <v>5.8683416531400003E-2</v>
      </c>
      <c r="J204" s="49">
        <v>3.7313014228040086E-10</v>
      </c>
      <c r="K204" s="49">
        <v>5.7962004707366305E-11</v>
      </c>
      <c r="L204" s="152">
        <v>2.0926589790416093E-10</v>
      </c>
      <c r="M204" s="33"/>
      <c r="R204" s="60">
        <v>1168.9983867944579</v>
      </c>
      <c r="S204" s="57">
        <v>2.8872491254690414E-6</v>
      </c>
      <c r="U204" s="127">
        <v>5.762790362313713E-10</v>
      </c>
      <c r="V204" s="127">
        <v>2.0926589790416093E-10</v>
      </c>
      <c r="W204" s="127">
        <v>3.6190673071868678E-10</v>
      </c>
      <c r="X204" s="128">
        <f t="shared" si="6"/>
        <v>3.3917939068959497E-10</v>
      </c>
      <c r="Y204" s="139">
        <f t="shared" si="7"/>
        <v>0.34309310503459095</v>
      </c>
      <c r="AA204" s="73"/>
      <c r="AB204" s="176"/>
      <c r="AC204" s="176"/>
      <c r="AD204" s="176"/>
      <c r="AJ204" s="135"/>
    </row>
    <row r="205" spans="9:36" x14ac:dyDescent="0.35">
      <c r="I205" s="109">
        <v>5.92702506967E-2</v>
      </c>
      <c r="J205" s="49">
        <v>2.8953510571553587E-10</v>
      </c>
      <c r="K205" s="49">
        <v>5.8010377786916646E-11</v>
      </c>
      <c r="L205" s="152">
        <v>1.8310949902029385E-10</v>
      </c>
      <c r="M205" s="33"/>
      <c r="R205" s="60">
        <v>1168.9983867944579</v>
      </c>
      <c r="S205" s="57">
        <v>2.8110256872430501E-6</v>
      </c>
      <c r="U205" s="127">
        <v>4.3915706983774944E-10</v>
      </c>
      <c r="V205" s="127">
        <v>1.8310949902029385E-10</v>
      </c>
      <c r="W205" s="127">
        <v>5.0675144879301246E-10</v>
      </c>
      <c r="X205" s="128">
        <f t="shared" si="6"/>
        <v>3.2803187916783744E-10</v>
      </c>
      <c r="Y205" s="139">
        <f t="shared" si="7"/>
        <v>0.44038982380657687</v>
      </c>
      <c r="AA205" s="73"/>
      <c r="AB205" s="176"/>
      <c r="AC205" s="176"/>
      <c r="AD205" s="176"/>
      <c r="AJ205" s="135"/>
    </row>
    <row r="206" spans="9:36" x14ac:dyDescent="0.35">
      <c r="I206" s="109">
        <v>5.9862953203699998E-2</v>
      </c>
      <c r="J206" s="49">
        <v>3.9802870181131049E-10</v>
      </c>
      <c r="K206" s="49">
        <v>6.0815519603158642E-11</v>
      </c>
      <c r="L206" s="152">
        <v>2.4424339223137583E-10</v>
      </c>
      <c r="M206" s="33"/>
      <c r="R206" s="60">
        <v>1169.4094563714013</v>
      </c>
      <c r="S206" s="57">
        <v>2.8110256872430501E-6</v>
      </c>
      <c r="U206" s="127">
        <v>2.9550561796215885E-10</v>
      </c>
      <c r="V206" s="127">
        <v>2.4424339223137583E-10</v>
      </c>
      <c r="W206" s="127">
        <v>6.212054886053574E-10</v>
      </c>
      <c r="X206" s="128">
        <f t="shared" si="6"/>
        <v>3.5129947275756698E-10</v>
      </c>
      <c r="Y206" s="139">
        <f t="shared" si="7"/>
        <v>0.59040277312317224</v>
      </c>
      <c r="AA206" s="73"/>
      <c r="AB206" s="176"/>
      <c r="AC206" s="176"/>
      <c r="AD206" s="176"/>
      <c r="AJ206" s="135"/>
    </row>
    <row r="207" spans="9:36" x14ac:dyDescent="0.35">
      <c r="I207" s="109">
        <v>6.0461582735700001E-2</v>
      </c>
      <c r="J207" s="49">
        <v>4.0405840084490575E-10</v>
      </c>
      <c r="K207" s="49">
        <v>6.1183543665686896E-11</v>
      </c>
      <c r="L207" s="152">
        <v>3.7146303487792603E-10</v>
      </c>
      <c r="M207" s="33"/>
      <c r="R207" s="60">
        <v>1169.4094563714013</v>
      </c>
      <c r="S207" s="57">
        <v>2.728796171921514E-6</v>
      </c>
      <c r="U207" s="127">
        <v>1.9428400714996122E-10</v>
      </c>
      <c r="V207" s="127">
        <v>3.7146303487792603E-10</v>
      </c>
      <c r="W207" s="127">
        <v>6.5837552555147312E-10</v>
      </c>
      <c r="X207" s="128">
        <f t="shared" si="6"/>
        <v>3.9889640061432163E-10</v>
      </c>
      <c r="Y207" s="139">
        <f t="shared" si="7"/>
        <v>7.118144253494856E-3</v>
      </c>
      <c r="AA207" s="73"/>
      <c r="AB207" s="176"/>
      <c r="AC207" s="176"/>
      <c r="AD207" s="176"/>
      <c r="AJ207" s="135"/>
    </row>
    <row r="208" spans="9:36" x14ac:dyDescent="0.35">
      <c r="I208" s="109">
        <v>6.1066198563099999E-2</v>
      </c>
      <c r="J208" s="49">
        <v>4.795154352628339E-10</v>
      </c>
      <c r="K208" s="49">
        <v>6.5882625318356814E-11</v>
      </c>
      <c r="L208" s="152">
        <v>5.1755257581939108E-10</v>
      </c>
      <c r="M208" s="33"/>
      <c r="R208" s="60">
        <v>1169.8205259483448</v>
      </c>
      <c r="S208" s="57">
        <v>2.728796171921514E-6</v>
      </c>
      <c r="U208" s="127">
        <v>1.7172912230720419E-10</v>
      </c>
      <c r="V208" s="127">
        <v>5.1755257581939108E-10</v>
      </c>
      <c r="W208" s="127">
        <v>6.0003694126034258E-10</v>
      </c>
      <c r="X208" s="128">
        <f t="shared" si="6"/>
        <v>4.5171780380158224E-10</v>
      </c>
      <c r="Y208" s="139">
        <f t="shared" si="7"/>
        <v>0.17802204761070059</v>
      </c>
      <c r="AA208" s="73"/>
      <c r="AB208" s="176"/>
      <c r="AC208" s="176"/>
      <c r="AD208" s="176"/>
      <c r="AJ208" s="135"/>
    </row>
    <row r="209" spans="9:36" x14ac:dyDescent="0.35">
      <c r="I209" s="109">
        <v>6.1676860548700002E-2</v>
      </c>
      <c r="J209" s="49">
        <v>3.5551006405251773E-10</v>
      </c>
      <c r="K209" s="49">
        <v>6.243836285266547E-11</v>
      </c>
      <c r="L209" s="152">
        <v>6.2575231282211886E-10</v>
      </c>
      <c r="M209" s="33"/>
      <c r="R209" s="60">
        <v>1169.8205259483448</v>
      </c>
      <c r="S209" s="57">
        <v>2.664872181892845E-6</v>
      </c>
      <c r="U209" s="127">
        <v>2.3726327399820991E-10</v>
      </c>
      <c r="V209" s="127">
        <v>6.2575231282211886E-10</v>
      </c>
      <c r="W209" s="127">
        <v>4.6601597785003422E-10</v>
      </c>
      <c r="X209" s="128">
        <f t="shared" si="6"/>
        <v>4.8869596937312046E-10</v>
      </c>
      <c r="Y209" s="139">
        <f t="shared" si="7"/>
        <v>4.5500222435408713</v>
      </c>
      <c r="AA209" s="73"/>
      <c r="AB209" s="176"/>
      <c r="AC209" s="176"/>
      <c r="AD209" s="176"/>
      <c r="AJ209" s="135"/>
    </row>
    <row r="210" spans="9:36" x14ac:dyDescent="0.35">
      <c r="I210" s="109">
        <v>6.2293629154200003E-2</v>
      </c>
      <c r="J210" s="49">
        <v>5.3600820899066076E-10</v>
      </c>
      <c r="K210" s="49">
        <v>7.807381856696615E-11</v>
      </c>
      <c r="L210" s="153">
        <v>6.5145000186639042E-10</v>
      </c>
      <c r="M210" s="18"/>
      <c r="R210" s="60">
        <v>1170.0260607368166</v>
      </c>
      <c r="S210" s="57">
        <v>2.664872181892845E-6</v>
      </c>
      <c r="U210" s="127">
        <v>3.6814916826566648E-10</v>
      </c>
      <c r="V210" s="127">
        <v>6.5145000186639042E-10</v>
      </c>
      <c r="W210" s="127">
        <v>3.0849820045520748E-10</v>
      </c>
      <c r="X210" s="128">
        <f t="shared" si="6"/>
        <v>4.9488684311341375E-10</v>
      </c>
      <c r="Y210" s="139">
        <f t="shared" si="7"/>
        <v>0.2774113469893188</v>
      </c>
      <c r="AA210" s="73"/>
      <c r="AB210" s="176"/>
      <c r="AC210" s="176"/>
      <c r="AD210" s="176"/>
      <c r="AJ210" s="135"/>
    </row>
    <row r="211" spans="9:36" x14ac:dyDescent="0.35">
      <c r="I211" s="49">
        <v>6.2916565445699998E-2</v>
      </c>
      <c r="J211" s="49">
        <v>3.8085913729563076E-10</v>
      </c>
      <c r="K211" s="49">
        <v>6.6230720821239145E-11</v>
      </c>
      <c r="L211" s="153">
        <v>5.8089229053663602E-10</v>
      </c>
      <c r="M211" s="18"/>
      <c r="R211" s="60">
        <v>1170.0260607368166</v>
      </c>
      <c r="S211" s="57">
        <v>2.6148719946480209E-6</v>
      </c>
      <c r="U211" s="127">
        <v>5.1589305828003099E-10</v>
      </c>
      <c r="V211" s="127">
        <v>5.8089229053663602E-10</v>
      </c>
      <c r="W211" s="127">
        <v>1.9206793521311974E-10</v>
      </c>
      <c r="X211" s="128">
        <f t="shared" si="6"/>
        <v>4.6743639364160571E-10</v>
      </c>
      <c r="Y211" s="139">
        <f t="shared" si="7"/>
        <v>1.7087899226903318</v>
      </c>
      <c r="AA211" s="73"/>
      <c r="AB211" s="176"/>
      <c r="AC211" s="176"/>
      <c r="AD211" s="176"/>
      <c r="AJ211" s="135"/>
    </row>
    <row r="212" spans="9:36" x14ac:dyDescent="0.35">
      <c r="I212" s="49">
        <v>6.3545731100199995E-2</v>
      </c>
      <c r="J212" s="49">
        <v>3.841592403400078E-10</v>
      </c>
      <c r="K212" s="49">
        <v>6.8848555258643053E-11</v>
      </c>
      <c r="L212" s="153">
        <v>4.3888727706616858E-10</v>
      </c>
      <c r="M212" s="18"/>
      <c r="R212" s="60">
        <v>1170.3003915355459</v>
      </c>
      <c r="S212" s="57">
        <v>2.6148719946480209E-6</v>
      </c>
      <c r="U212" s="127">
        <v>6.231871208350597E-10</v>
      </c>
      <c r="V212" s="127">
        <v>4.3888727706616858E-10</v>
      </c>
      <c r="W212" s="127">
        <v>1.6663347513488965E-10</v>
      </c>
      <c r="X212" s="128">
        <f t="shared" si="6"/>
        <v>4.1689878752557167E-10</v>
      </c>
      <c r="Y212" s="139">
        <f t="shared" si="7"/>
        <v>0.22612869392034579</v>
      </c>
      <c r="AA212" s="73"/>
      <c r="AB212" s="176"/>
      <c r="AC212" s="176"/>
      <c r="AD212" s="176"/>
      <c r="AJ212" s="135"/>
    </row>
    <row r="213" spans="9:36" x14ac:dyDescent="0.35">
      <c r="I213" s="49">
        <v>6.4181188411200005E-2</v>
      </c>
      <c r="J213" s="49">
        <v>1.9058434642496892E-10</v>
      </c>
      <c r="K213" s="49">
        <v>6.2698890409980845E-11</v>
      </c>
      <c r="L213" s="153">
        <v>2.8107528448146975E-10</v>
      </c>
      <c r="M213" s="18"/>
      <c r="R213" s="60">
        <v>1170.3003915355459</v>
      </c>
      <c r="S213" s="57">
        <v>2.5577790635636334E-6</v>
      </c>
      <c r="U213" s="127">
        <v>6.4582367941301279E-10</v>
      </c>
      <c r="V213" s="127">
        <v>2.8107528448146975E-10</v>
      </c>
      <c r="W213" s="127">
        <v>2.4448652295254857E-10</v>
      </c>
      <c r="X213" s="128">
        <f t="shared" si="6"/>
        <v>3.6311519283212524E-10</v>
      </c>
      <c r="Y213" s="139">
        <f t="shared" si="7"/>
        <v>7.5720556224714954</v>
      </c>
      <c r="AA213" s="73"/>
      <c r="AB213" s="176"/>
      <c r="AC213" s="176"/>
      <c r="AD213" s="176"/>
      <c r="AJ213" s="135"/>
    </row>
    <row r="214" spans="9:36" x14ac:dyDescent="0.35">
      <c r="I214" s="49">
        <v>6.4823000295299998E-2</v>
      </c>
      <c r="J214" s="49">
        <v>3.3440952824470037E-10</v>
      </c>
      <c r="K214" s="49">
        <v>6.8491094388560221E-11</v>
      </c>
      <c r="L214" s="153">
        <v>1.7240415470445881E-10</v>
      </c>
      <c r="M214" s="18"/>
      <c r="R214" s="60">
        <v>1170.5794093611783</v>
      </c>
      <c r="S214" s="57">
        <v>2.5577790635636334E-6</v>
      </c>
      <c r="U214" s="127">
        <v>5.7127577487892114E-10</v>
      </c>
      <c r="V214" s="127">
        <v>1.7240415470445881E-10</v>
      </c>
      <c r="W214" s="127">
        <v>3.9230744593081973E-10</v>
      </c>
      <c r="X214" s="128">
        <f t="shared" si="6"/>
        <v>3.2709788255466461E-10</v>
      </c>
      <c r="Y214" s="139">
        <f t="shared" si="7"/>
        <v>1.1396252545064005E-2</v>
      </c>
      <c r="AA214" s="73"/>
      <c r="AB214" s="176"/>
      <c r="AC214" s="176"/>
      <c r="AD214" s="176"/>
      <c r="AJ214" s="135"/>
    </row>
    <row r="215" spans="9:36" x14ac:dyDescent="0.35">
      <c r="I215" s="49">
        <v>6.5471230298199998E-2</v>
      </c>
      <c r="J215" s="49">
        <v>4.0819130069066269E-10</v>
      </c>
      <c r="K215" s="49">
        <v>7.6077218701541992E-11</v>
      </c>
      <c r="L215" s="153">
        <v>1.5969559040051307E-10</v>
      </c>
      <c r="M215" s="18"/>
      <c r="R215" s="60">
        <v>1170.5794093611783</v>
      </c>
      <c r="S215" s="57">
        <v>2.5006972992791491E-6</v>
      </c>
      <c r="U215" s="127">
        <v>4.2594358069805777E-10</v>
      </c>
      <c r="V215" s="127">
        <v>1.5969559040051307E-10</v>
      </c>
      <c r="W215" s="127">
        <v>5.4339019642044175E-10</v>
      </c>
      <c r="X215" s="128">
        <f t="shared" si="6"/>
        <v>3.221812394798814E-10</v>
      </c>
      <c r="Y215" s="139">
        <f t="shared" si="7"/>
        <v>1.2781718827173372</v>
      </c>
      <c r="AA215" s="73"/>
      <c r="AB215" s="176"/>
      <c r="AC215" s="176"/>
      <c r="AD215" s="176"/>
      <c r="AJ215" s="135"/>
    </row>
    <row r="216" spans="9:36" x14ac:dyDescent="0.35">
      <c r="I216" s="49">
        <v>6.61259426012E-2</v>
      </c>
      <c r="J216" s="49">
        <v>4.3459362768771383E-10</v>
      </c>
      <c r="K216" s="49">
        <v>8.169231789681988E-11</v>
      </c>
      <c r="L216" s="153">
        <v>2.4983898043772102E-10</v>
      </c>
      <c r="M216" s="18"/>
      <c r="R216" s="60">
        <v>1170.868304844048</v>
      </c>
      <c r="S216" s="57">
        <v>2.5006972992791491E-6</v>
      </c>
      <c r="U216" s="127">
        <v>2.6680502506113449E-10</v>
      </c>
      <c r="V216" s="127">
        <v>2.4983898043772102E-10</v>
      </c>
      <c r="W216" s="127">
        <v>6.265017283753993E-10</v>
      </c>
      <c r="X216" s="128">
        <f t="shared" si="6"/>
        <v>3.4824617857799397E-10</v>
      </c>
      <c r="Y216" s="139">
        <f t="shared" si="7"/>
        <v>1.1172145595991136</v>
      </c>
      <c r="AA216" s="73"/>
      <c r="AB216" s="176"/>
      <c r="AC216" s="176"/>
      <c r="AD216" s="176"/>
      <c r="AJ216" s="135"/>
    </row>
    <row r="217" spans="9:36" x14ac:dyDescent="0.35">
      <c r="I217" s="49">
        <v>6.6787202027199996E-2</v>
      </c>
      <c r="J217" s="49">
        <v>4.1059922194912347E-10</v>
      </c>
      <c r="K217" s="49">
        <v>7.8641433484253095E-11</v>
      </c>
      <c r="L217" s="153">
        <v>4.0407011574825189E-10</v>
      </c>
      <c r="M217" s="18"/>
      <c r="R217" s="60">
        <v>1170.868304844048</v>
      </c>
      <c r="S217" s="57">
        <v>2.4436639276899957E-6</v>
      </c>
      <c r="U217" s="127">
        <v>1.5934865998344429E-10</v>
      </c>
      <c r="V217" s="127">
        <v>4.0407011574825189E-10</v>
      </c>
      <c r="W217" s="127">
        <v>5.9935583203342007E-10</v>
      </c>
      <c r="X217" s="128">
        <f t="shared" si="6"/>
        <v>3.9171118087834201E-10</v>
      </c>
      <c r="Y217" s="139">
        <f t="shared" si="7"/>
        <v>5.7686075536554124E-2</v>
      </c>
      <c r="AA217" s="73"/>
      <c r="AB217" s="176"/>
      <c r="AC217" s="176"/>
      <c r="AD217" s="176"/>
      <c r="AJ217" s="135"/>
    </row>
    <row r="218" spans="9:36" x14ac:dyDescent="0.35">
      <c r="I218" s="49">
        <v>6.7455074047499994E-2</v>
      </c>
      <c r="J218" s="49">
        <v>2.7970377625439142E-10</v>
      </c>
      <c r="K218" s="49">
        <v>7.9192917238644512E-11</v>
      </c>
      <c r="L218" s="153">
        <v>5.5268209452350398E-10</v>
      </c>
      <c r="M218" s="18"/>
      <c r="R218" s="60">
        <v>1171.1734207037143</v>
      </c>
      <c r="S218" s="57">
        <v>2.4436639276899957E-6</v>
      </c>
      <c r="U218" s="127">
        <v>1.4990420697524039E-10</v>
      </c>
      <c r="V218" s="127">
        <v>5.5268209452350398E-10</v>
      </c>
      <c r="W218" s="127">
        <v>4.7091060094695085E-10</v>
      </c>
      <c r="X218" s="128">
        <f t="shared" si="6"/>
        <v>4.3154474924229977E-10</v>
      </c>
      <c r="Y218" s="139">
        <f t="shared" si="7"/>
        <v>3.6762519951980508</v>
      </c>
      <c r="AA218" s="73"/>
      <c r="AB218" s="176"/>
      <c r="AC218" s="176"/>
      <c r="AD218" s="176"/>
      <c r="AJ218" s="135"/>
    </row>
    <row r="219" spans="9:36" x14ac:dyDescent="0.35">
      <c r="I219" s="49">
        <v>6.8129624787999998E-2</v>
      </c>
      <c r="J219" s="49">
        <v>4.3558536964985641E-10</v>
      </c>
      <c r="K219" s="49">
        <v>8.5474861265635222E-11</v>
      </c>
      <c r="L219" s="153">
        <v>6.2543938682952521E-10</v>
      </c>
      <c r="M219" s="18"/>
      <c r="R219" s="60">
        <v>1171.1734207037143</v>
      </c>
      <c r="S219" s="57">
        <v>2.3867702592988383E-6</v>
      </c>
      <c r="U219" s="127">
        <v>2.4402396099685351E-10</v>
      </c>
      <c r="V219" s="127">
        <v>6.2543938682952521E-10</v>
      </c>
      <c r="W219" s="127">
        <v>3.0027002843761471E-10</v>
      </c>
      <c r="X219" s="128">
        <f t="shared" si="6"/>
        <v>4.4879319077337965E-10</v>
      </c>
      <c r="Y219" s="139">
        <f t="shared" si="7"/>
        <v>2.387731824937209E-2</v>
      </c>
      <c r="AA219" s="73"/>
      <c r="AB219" s="176"/>
      <c r="AC219" s="176"/>
      <c r="AD219" s="176"/>
      <c r="AJ219" s="135"/>
    </row>
    <row r="220" spans="9:36" x14ac:dyDescent="0.35">
      <c r="I220" s="49">
        <v>6.8810921035900002E-2</v>
      </c>
      <c r="J220" s="49">
        <v>3.0957753448905034E-10</v>
      </c>
      <c r="K220" s="49">
        <v>8.1223572800494692E-11</v>
      </c>
      <c r="L220" s="153">
        <v>5.8483388608018505E-10</v>
      </c>
      <c r="M220" s="18"/>
      <c r="R220" s="60">
        <v>1171.5032755534019</v>
      </c>
      <c r="S220" s="57">
        <v>2.3867702592988383E-6</v>
      </c>
      <c r="U220" s="127">
        <v>4.0131539108353831E-10</v>
      </c>
      <c r="V220" s="127">
        <v>5.8483388608018505E-10</v>
      </c>
      <c r="W220" s="127">
        <v>1.7028814707440894E-10</v>
      </c>
      <c r="X220" s="128">
        <f t="shared" si="6"/>
        <v>4.3531782757957932E-10</v>
      </c>
      <c r="Y220" s="139">
        <f t="shared" si="7"/>
        <v>2.3965404226173477</v>
      </c>
      <c r="AA220" s="73"/>
      <c r="AB220" s="176"/>
      <c r="AC220" s="176"/>
      <c r="AD220" s="176"/>
      <c r="AJ220" s="135"/>
    </row>
    <row r="221" spans="9:36" x14ac:dyDescent="0.35">
      <c r="I221" s="49">
        <v>6.9499030246199994E-2</v>
      </c>
      <c r="J221" s="49">
        <v>2.1808803277167366E-10</v>
      </c>
      <c r="K221" s="49">
        <v>7.2936549692882787E-11</v>
      </c>
      <c r="L221" s="153">
        <v>4.4631165146424115E-10</v>
      </c>
      <c r="M221" s="18"/>
      <c r="R221" s="60">
        <v>1171.5032755534019</v>
      </c>
      <c r="S221" s="57">
        <v>2.3302061140418787E-6</v>
      </c>
      <c r="U221" s="127">
        <v>5.5085032539556027E-10</v>
      </c>
      <c r="V221" s="127">
        <v>4.4631165146424115E-10</v>
      </c>
      <c r="W221" s="127">
        <v>1.4679349276413734E-10</v>
      </c>
      <c r="X221" s="128">
        <f t="shared" si="6"/>
        <v>3.9756678027204495E-10</v>
      </c>
      <c r="Y221" s="139">
        <f t="shared" si="7"/>
        <v>6.0552995263195282</v>
      </c>
      <c r="AA221" s="73"/>
      <c r="AB221" s="176"/>
      <c r="AC221" s="176"/>
      <c r="AD221" s="176"/>
      <c r="AJ221" s="135"/>
    </row>
    <row r="222" spans="9:36" x14ac:dyDescent="0.35">
      <c r="I222" s="49">
        <v>7.0194020548699998E-2</v>
      </c>
      <c r="J222" s="49">
        <v>3.3886845122049766E-10</v>
      </c>
      <c r="K222" s="49">
        <v>7.9275423060841264E-11</v>
      </c>
      <c r="L222" s="153">
        <v>2.7408369214050209E-10</v>
      </c>
      <c r="M222" s="18"/>
      <c r="R222" s="60">
        <v>1171.8704569626584</v>
      </c>
      <c r="S222" s="57">
        <v>2.3302061140418787E-6</v>
      </c>
      <c r="U222" s="127">
        <v>6.2211944705365261E-10</v>
      </c>
      <c r="V222" s="127">
        <v>2.7408369214050209E-10</v>
      </c>
      <c r="W222" s="127">
        <v>2.4328039294169372E-10</v>
      </c>
      <c r="X222" s="128">
        <f t="shared" si="6"/>
        <v>3.5339180606908765E-10</v>
      </c>
      <c r="Y222" s="139">
        <f t="shared" si="7"/>
        <v>3.3562689911240416E-2</v>
      </c>
      <c r="AA222" s="73"/>
      <c r="AB222" s="176"/>
      <c r="AC222" s="176"/>
      <c r="AD222" s="176"/>
      <c r="AJ222" s="135"/>
    </row>
    <row r="223" spans="9:36" x14ac:dyDescent="0.35">
      <c r="I223" s="49">
        <v>7.0895960754200002E-2</v>
      </c>
      <c r="J223" s="49">
        <v>2.8273522699244294E-10</v>
      </c>
      <c r="K223" s="49">
        <v>8.0658245338582122E-11</v>
      </c>
      <c r="L223" s="153">
        <v>1.5207585561687296E-10</v>
      </c>
      <c r="M223" s="18"/>
      <c r="R223" s="60">
        <v>1171.8704569626584</v>
      </c>
      <c r="S223" s="57">
        <v>2.2743419025611358E-6</v>
      </c>
      <c r="U223" s="127">
        <v>5.7841904262097814E-10</v>
      </c>
      <c r="V223" s="127">
        <v>1.5207585561687296E-10</v>
      </c>
      <c r="W223" s="127">
        <v>4.1046102419879747E-10</v>
      </c>
      <c r="X223" s="128">
        <f t="shared" si="6"/>
        <v>3.2325794451338042E-10</v>
      </c>
      <c r="Y223" s="139">
        <f t="shared" si="7"/>
        <v>0.25240594764527019</v>
      </c>
      <c r="AA223" s="73"/>
      <c r="AB223" s="176"/>
      <c r="AC223" s="176"/>
      <c r="AD223" s="176"/>
      <c r="AJ223" s="135"/>
    </row>
    <row r="224" spans="9:36" x14ac:dyDescent="0.35">
      <c r="I224" s="49">
        <v>7.1604920361700006E-2</v>
      </c>
      <c r="J224" s="49">
        <v>1.6199989645889496E-10</v>
      </c>
      <c r="K224" s="49">
        <v>6.893679422590143E-11</v>
      </c>
      <c r="L224" s="153">
        <v>1.4235023216441069E-10</v>
      </c>
      <c r="M224" s="18"/>
      <c r="R224" s="60">
        <v>1172.2956787906771</v>
      </c>
      <c r="S224" s="57">
        <v>2.2743419025611358E-6</v>
      </c>
      <c r="U224" s="127">
        <v>4.3671895027803153E-10</v>
      </c>
      <c r="V224" s="127">
        <v>1.4235023216441069E-10</v>
      </c>
      <c r="W224" s="127">
        <v>5.5891883704011706E-10</v>
      </c>
      <c r="X224" s="128">
        <f t="shared" si="6"/>
        <v>3.2008456291174249E-10</v>
      </c>
      <c r="Y224" s="139">
        <f t="shared" si="7"/>
        <v>5.2586870646021326</v>
      </c>
      <c r="AA224" s="73"/>
      <c r="AB224" s="176"/>
      <c r="AC224" s="176"/>
      <c r="AD224" s="176"/>
      <c r="AJ224" s="135"/>
    </row>
    <row r="225" spans="9:36" x14ac:dyDescent="0.35">
      <c r="I225" s="49">
        <v>7.23209695653E-2</v>
      </c>
      <c r="J225" s="49">
        <v>3.3629899719108257E-10</v>
      </c>
      <c r="K225" s="49">
        <v>8.5648504821295958E-11</v>
      </c>
      <c r="L225" s="153">
        <v>2.5145974812530356E-10</v>
      </c>
      <c r="M225" s="18"/>
      <c r="R225" s="60">
        <v>1172.2956787906771</v>
      </c>
      <c r="S225" s="57">
        <v>2.2198947533657298E-6</v>
      </c>
      <c r="U225" s="127">
        <v>2.6277083009839705E-10</v>
      </c>
      <c r="V225" s="127">
        <v>2.5145974812530356E-10</v>
      </c>
      <c r="W225" s="127">
        <v>6.057374299143122E-10</v>
      </c>
      <c r="X225" s="128">
        <f t="shared" si="6"/>
        <v>3.4285693906582907E-10</v>
      </c>
      <c r="Y225" s="139">
        <f t="shared" si="7"/>
        <v>5.8626714214822968E-3</v>
      </c>
      <c r="AA225" s="73"/>
      <c r="AB225" s="176"/>
      <c r="AC225" s="176"/>
      <c r="AD225" s="176"/>
      <c r="AJ225" s="135"/>
    </row>
    <row r="226" spans="9:36" x14ac:dyDescent="0.35">
      <c r="I226" s="49">
        <v>7.3044179261E-2</v>
      </c>
      <c r="J226" s="49">
        <v>3.0378394677683949E-10</v>
      </c>
      <c r="K226" s="49">
        <v>8.3742147712800758E-11</v>
      </c>
      <c r="L226" s="153">
        <v>4.2349502411864433E-10</v>
      </c>
      <c r="M226" s="18"/>
      <c r="R226" s="60">
        <v>1172.8182015005439</v>
      </c>
      <c r="S226" s="57">
        <v>2.2198947533657298E-6</v>
      </c>
      <c r="U226" s="127">
        <v>1.4133238494968229E-10</v>
      </c>
      <c r="V226" s="127">
        <v>4.2349502411864433E-10</v>
      </c>
      <c r="W226" s="127">
        <v>5.2130041245978576E-10</v>
      </c>
      <c r="X226" s="128">
        <f t="shared" si="6"/>
        <v>3.7740571141168919E-10</v>
      </c>
      <c r="Y226" s="139">
        <f t="shared" si="7"/>
        <v>0.77290168793098268</v>
      </c>
      <c r="AA226" s="73"/>
      <c r="AB226" s="176"/>
      <c r="AC226" s="176"/>
      <c r="AD226" s="176"/>
      <c r="AJ226" s="135"/>
    </row>
    <row r="227" spans="9:36" x14ac:dyDescent="0.35">
      <c r="I227" s="49">
        <v>7.3774621053599998E-2</v>
      </c>
      <c r="J227" s="49">
        <v>3.3924155320615876E-10</v>
      </c>
      <c r="K227" s="49">
        <v>9.2997156439217682E-11</v>
      </c>
      <c r="L227" s="153">
        <v>5.6634655078730342E-10</v>
      </c>
      <c r="M227" s="18"/>
      <c r="R227" s="60">
        <v>1172.8182015005439</v>
      </c>
      <c r="S227" s="57">
        <v>2.1683032058756586E-6</v>
      </c>
      <c r="U227" s="127">
        <v>1.3419162953851415E-10</v>
      </c>
      <c r="V227" s="127">
        <v>5.6634655078730342E-10</v>
      </c>
      <c r="W227" s="127">
        <v>3.4944464621750651E-10</v>
      </c>
      <c r="X227" s="128">
        <f t="shared" si="6"/>
        <v>4.0408234433265691E-10</v>
      </c>
      <c r="Y227" s="139">
        <f t="shared" si="7"/>
        <v>0.48613542700051804</v>
      </c>
      <c r="AA227" s="73"/>
      <c r="AB227" s="176"/>
      <c r="AC227" s="176"/>
      <c r="AD227" s="176"/>
      <c r="AJ227" s="135"/>
    </row>
    <row r="228" spans="9:36" x14ac:dyDescent="0.35">
      <c r="I228" s="49">
        <v>7.4512367264100002E-2</v>
      </c>
      <c r="J228" s="49">
        <v>3.7202757968475183E-10</v>
      </c>
      <c r="K228" s="49">
        <v>9.5802679951512796E-11</v>
      </c>
      <c r="L228" s="153">
        <v>6.0006250922185797E-10</v>
      </c>
      <c r="M228" s="18"/>
      <c r="R228" s="60">
        <v>1173.5313786885674</v>
      </c>
      <c r="S228" s="57">
        <v>2.1683032058756586E-6</v>
      </c>
      <c r="U228" s="127">
        <v>2.4666105163140689E-10</v>
      </c>
      <c r="V228" s="127">
        <v>6.0006250922185797E-10</v>
      </c>
      <c r="W228" s="127">
        <v>1.864967279604312E-10</v>
      </c>
      <c r="X228" s="128">
        <f t="shared" si="6"/>
        <v>4.0832069950888851E-10</v>
      </c>
      <c r="Y228" s="139">
        <f t="shared" si="7"/>
        <v>0.14351367609986415</v>
      </c>
      <c r="AA228" s="73"/>
      <c r="AB228" s="176"/>
      <c r="AC228" s="176"/>
      <c r="AD228" s="176"/>
      <c r="AJ228" s="135"/>
    </row>
    <row r="229" spans="9:36" x14ac:dyDescent="0.35">
      <c r="I229" s="49">
        <v>7.5257490936799995E-2</v>
      </c>
      <c r="J229" s="49">
        <v>2.6831271391420713E-10</v>
      </c>
      <c r="K229" s="49">
        <v>8.0672935628997352E-11</v>
      </c>
      <c r="L229" s="153">
        <v>5.0232632942651449E-10</v>
      </c>
      <c r="M229" s="18"/>
      <c r="R229" s="60">
        <v>1173.5313786885674</v>
      </c>
      <c r="S229" s="57">
        <v>2.1227096025181071E-6</v>
      </c>
      <c r="U229" s="127">
        <v>4.2124792647857312E-10</v>
      </c>
      <c r="V229" s="127">
        <v>5.0232632942651449E-10</v>
      </c>
      <c r="W229" s="127">
        <v>1.2750840616025193E-10</v>
      </c>
      <c r="X229" s="128">
        <f t="shared" si="6"/>
        <v>3.8835224787296348E-10</v>
      </c>
      <c r="Y229" s="139">
        <f t="shared" si="7"/>
        <v>2.2140778108938939</v>
      </c>
      <c r="AA229" s="73"/>
      <c r="AB229" s="176"/>
      <c r="AC229" s="176"/>
      <c r="AD229" s="176"/>
      <c r="AJ229" s="135"/>
    </row>
    <row r="230" spans="9:36" x14ac:dyDescent="0.35">
      <c r="I230" s="49">
        <v>7.6010065846099997E-2</v>
      </c>
      <c r="J230" s="49">
        <v>1.4868969096524367E-10</v>
      </c>
      <c r="K230" s="49">
        <v>8.0964691965958046E-11</v>
      </c>
      <c r="L230" s="153">
        <v>3.2468719274570485E-10</v>
      </c>
      <c r="M230" s="27"/>
      <c r="R230" s="60">
        <v>1174.8129675639414</v>
      </c>
      <c r="S230" s="57">
        <v>2.1227096025181071E-6</v>
      </c>
      <c r="U230" s="127">
        <v>5.6471888931616194E-10</v>
      </c>
      <c r="V230" s="127">
        <v>3.2468719274570485E-10</v>
      </c>
      <c r="W230" s="127">
        <v>2.0895774813413893E-10</v>
      </c>
      <c r="X230" s="128">
        <f t="shared" si="6"/>
        <v>3.5576275573542766E-10</v>
      </c>
      <c r="Y230" s="139">
        <f t="shared" si="7"/>
        <v>6.541176784897381</v>
      </c>
      <c r="AA230" s="73"/>
      <c r="AB230" s="176"/>
      <c r="AC230" s="176"/>
      <c r="AD230" s="176"/>
      <c r="AJ230" s="135"/>
    </row>
    <row r="231" spans="9:36" x14ac:dyDescent="0.35">
      <c r="I231" s="49">
        <v>7.6770166504600001E-2</v>
      </c>
      <c r="J231" s="49">
        <v>2.0953763743983699E-10</v>
      </c>
      <c r="K231" s="49">
        <v>8.5075022720157349E-11</v>
      </c>
      <c r="L231" s="153">
        <v>1.6600931788623794E-10</v>
      </c>
      <c r="M231" s="27"/>
      <c r="R231" s="60">
        <v>1174.8129675639414</v>
      </c>
      <c r="S231" s="57">
        <v>2.0911929271466733E-6</v>
      </c>
      <c r="U231" s="127">
        <v>5.9978207728282329E-10</v>
      </c>
      <c r="V231" s="127">
        <v>1.6600931788623794E-10</v>
      </c>
      <c r="W231" s="127">
        <v>3.8248329371893955E-10</v>
      </c>
      <c r="X231" s="128">
        <f t="shared" si="6"/>
        <v>3.285710016935597E-10</v>
      </c>
      <c r="Y231" s="139">
        <f t="shared" si="7"/>
        <v>1.957641977949206</v>
      </c>
      <c r="AA231" s="73"/>
      <c r="AB231" s="176"/>
      <c r="AC231" s="176"/>
      <c r="AD231" s="176"/>
      <c r="AJ231" s="135"/>
    </row>
    <row r="232" spans="9:36" x14ac:dyDescent="0.35">
      <c r="I232" s="49">
        <v>7.7537868169599997E-2</v>
      </c>
      <c r="J232" s="49">
        <v>2.8848556115102123E-10</v>
      </c>
      <c r="K232" s="49">
        <v>9.6757260897506428E-11</v>
      </c>
      <c r="L232" s="153">
        <v>1.0254023356766585E-10</v>
      </c>
      <c r="M232" s="27"/>
      <c r="R232" s="60">
        <v>1176.5340491520155</v>
      </c>
      <c r="S232" s="57">
        <v>2.0911929271466733E-6</v>
      </c>
      <c r="U232" s="127">
        <v>5.2574135038910194E-10</v>
      </c>
      <c r="V232" s="127">
        <v>1.0254023356766585E-10</v>
      </c>
      <c r="W232" s="127">
        <v>5.4736368438422321E-10</v>
      </c>
      <c r="X232" s="128">
        <f t="shared" si="6"/>
        <v>3.1954637547716418E-10</v>
      </c>
      <c r="Y232" s="139">
        <f t="shared" si="7"/>
        <v>0.10305250289036358</v>
      </c>
      <c r="AA232" s="73"/>
      <c r="AB232" s="176"/>
      <c r="AC232" s="176"/>
      <c r="AD232" s="176"/>
      <c r="AJ232" s="135"/>
    </row>
    <row r="233" spans="9:36" x14ac:dyDescent="0.35">
      <c r="I233" s="49">
        <v>7.8313246851300006E-2</v>
      </c>
      <c r="J233" s="49">
        <v>2.9121239202764635E-10</v>
      </c>
      <c r="K233" s="49">
        <v>9.0378376608307687E-11</v>
      </c>
      <c r="L233" s="153">
        <v>1.2001212706423347E-10</v>
      </c>
      <c r="M233" s="27"/>
      <c r="R233" s="60">
        <v>1176.5340491520155</v>
      </c>
      <c r="S233" s="57">
        <v>2.0868381646897462E-6</v>
      </c>
      <c r="U233" s="127">
        <v>4.2546892175812248E-10</v>
      </c>
      <c r="V233" s="127">
        <v>1.2001212706423347E-10</v>
      </c>
      <c r="W233" s="127">
        <v>6.4116317454826092E-10</v>
      </c>
      <c r="X233" s="128">
        <f t="shared" si="6"/>
        <v>3.2666408760871257E-10</v>
      </c>
      <c r="Y233" s="139">
        <f t="shared" si="7"/>
        <v>0.15386681016299161</v>
      </c>
      <c r="AA233" s="73"/>
      <c r="AB233" s="176"/>
      <c r="AC233" s="176"/>
      <c r="AD233" s="176"/>
      <c r="AJ233" s="135"/>
    </row>
    <row r="234" spans="9:36" x14ac:dyDescent="0.35">
      <c r="I234" s="49">
        <v>8.0686216544199996E-2</v>
      </c>
      <c r="J234" s="49">
        <v>2.3771248370426955E-10</v>
      </c>
      <c r="K234" s="49">
        <v>1.0494227472618077E-10</v>
      </c>
      <c r="L234" s="153">
        <v>5.5705313519692871E-10</v>
      </c>
      <c r="M234" s="27"/>
      <c r="R234" s="60">
        <v>1276.5340491520155</v>
      </c>
      <c r="S234" s="57">
        <v>2.0868381646897462E-6</v>
      </c>
      <c r="U234" s="127">
        <v>2.9112388752126265E-10</v>
      </c>
      <c r="V234" s="127">
        <v>5.5705313519692871E-10</v>
      </c>
      <c r="W234" s="127">
        <v>6.8329021984888188E-11</v>
      </c>
      <c r="X234" s="128">
        <f t="shared" si="6"/>
        <v>3.6838979497500206E-10</v>
      </c>
      <c r="Y234" s="139">
        <f t="shared" si="7"/>
        <v>1.5505987618171904</v>
      </c>
      <c r="AA234" s="73"/>
      <c r="AB234" s="176"/>
      <c r="AC234" s="176"/>
      <c r="AD234" s="176"/>
      <c r="AJ234" s="135"/>
    </row>
    <row r="235" spans="9:36" x14ac:dyDescent="0.35">
      <c r="I235" s="49">
        <v>8.14930787096E-2</v>
      </c>
      <c r="J235" s="49">
        <v>2.0637787845454039E-10</v>
      </c>
      <c r="K235" s="49">
        <v>9.6731044274350225E-11</v>
      </c>
      <c r="L235" s="153">
        <v>4.4636116227481332E-10</v>
      </c>
      <c r="M235" s="27"/>
      <c r="U235" s="127">
        <v>4.2174884114630996E-10</v>
      </c>
      <c r="V235" s="127">
        <v>4.4636116227481332E-10</v>
      </c>
      <c r="W235" s="127">
        <v>1.2520137243612147E-10</v>
      </c>
      <c r="X235" s="128">
        <f t="shared" si="6"/>
        <v>3.5991813453301451E-10</v>
      </c>
      <c r="Y235" s="139">
        <f t="shared" si="7"/>
        <v>2.5194907522273198</v>
      </c>
      <c r="AA235" s="73"/>
      <c r="AB235" s="176"/>
      <c r="AC235" s="176"/>
      <c r="AD235" s="176"/>
      <c r="AJ235" s="135"/>
    </row>
    <row r="236" spans="9:36" x14ac:dyDescent="0.35">
      <c r="I236" s="49">
        <v>8.2308009496700002E-2</v>
      </c>
      <c r="J236" s="49">
        <v>1.30206327694429E-10</v>
      </c>
      <c r="K236" s="49">
        <v>9.8598961300812943E-11</v>
      </c>
      <c r="L236" s="153">
        <v>2.8036435639624935E-10</v>
      </c>
      <c r="M236" s="27"/>
      <c r="U236" s="127">
        <v>5.6044291821546129E-10</v>
      </c>
      <c r="V236" s="127">
        <v>2.8036435639624935E-10</v>
      </c>
      <c r="W236" s="127">
        <v>2.565211278130793E-10</v>
      </c>
      <c r="X236" s="128">
        <f t="shared" si="6"/>
        <v>3.4442318970525981E-10</v>
      </c>
      <c r="Y236" s="139">
        <f t="shared" si="7"/>
        <v>4.7202241950369093</v>
      </c>
      <c r="AA236" s="73"/>
      <c r="AB236" s="176"/>
      <c r="AC236" s="176"/>
      <c r="AD236" s="176"/>
      <c r="AJ236" s="135"/>
    </row>
    <row r="237" spans="9:36" x14ac:dyDescent="0.35">
      <c r="I237" s="49">
        <v>8.31310895917E-2</v>
      </c>
      <c r="J237" s="49">
        <v>1.5347355970333338E-10</v>
      </c>
      <c r="K237" s="49">
        <v>9.9790068058420483E-11</v>
      </c>
      <c r="L237" s="153">
        <v>1.5113757645586035E-10</v>
      </c>
      <c r="M237" s="27"/>
      <c r="U237" s="127">
        <v>6.4262547109095524E-10</v>
      </c>
      <c r="V237" s="127">
        <v>1.5113757645586035E-10</v>
      </c>
      <c r="W237" s="127">
        <v>3.9704924657195029E-10</v>
      </c>
      <c r="X237" s="128">
        <f t="shared" si="6"/>
        <v>3.3548746764365655E-10</v>
      </c>
      <c r="Y237" s="139">
        <f t="shared" si="7"/>
        <v>3.3268598895463741</v>
      </c>
      <c r="AA237" s="73"/>
      <c r="AB237" s="176"/>
      <c r="AC237" s="176"/>
      <c r="AD237" s="176"/>
      <c r="AJ237" s="135"/>
    </row>
    <row r="238" spans="9:36" x14ac:dyDescent="0.35">
      <c r="I238" s="49">
        <v>8.5650044737399997E-2</v>
      </c>
      <c r="J238" s="49">
        <v>2.4367709278728231E-10</v>
      </c>
      <c r="K238" s="49">
        <v>1.2825415067930386E-10</v>
      </c>
      <c r="L238" s="153">
        <v>5.9285109591556589E-10</v>
      </c>
      <c r="M238" s="27"/>
      <c r="U238" s="127">
        <v>3.8611548591914198E-11</v>
      </c>
      <c r="V238" s="127">
        <v>5.9285109591556589E-10</v>
      </c>
      <c r="W238" s="127">
        <v>2.0678552196188034E-10</v>
      </c>
      <c r="X238" s="128">
        <f t="shared" si="6"/>
        <v>3.5777481559623157E-10</v>
      </c>
      <c r="Y238" s="139">
        <f t="shared" si="7"/>
        <v>0.79142742459458371</v>
      </c>
      <c r="AA238" s="73"/>
      <c r="AB238" s="176"/>
      <c r="AC238" s="176"/>
      <c r="AD238" s="176"/>
      <c r="AJ238" s="135"/>
    </row>
    <row r="239" spans="9:36" x14ac:dyDescent="0.35">
      <c r="I239" s="49">
        <v>8.6506545184799999E-2</v>
      </c>
      <c r="J239" s="49">
        <v>3.1837653824641446E-10</v>
      </c>
      <c r="K239" s="49">
        <v>1.436640257152741E-10</v>
      </c>
      <c r="L239" s="153">
        <v>6.4642184628195663E-10</v>
      </c>
      <c r="M239" s="27"/>
      <c r="U239" s="127">
        <v>3.8469812662639259E-11</v>
      </c>
      <c r="V239" s="127">
        <v>6.4642184628195663E-10</v>
      </c>
      <c r="W239" s="127">
        <v>1.5040548362790558E-10</v>
      </c>
      <c r="X239" s="128">
        <f t="shared" si="6"/>
        <v>3.7042974721361456E-10</v>
      </c>
      <c r="Y239" s="139">
        <f t="shared" si="7"/>
        <v>0.13128011608140919</v>
      </c>
      <c r="AA239" s="73"/>
      <c r="AB239" s="176"/>
      <c r="AC239" s="176"/>
      <c r="AD239" s="176"/>
      <c r="AJ239" s="135"/>
    </row>
    <row r="240" spans="9:36" x14ac:dyDescent="0.35">
      <c r="I240" s="49">
        <v>9.0919248388599994E-2</v>
      </c>
      <c r="J240" s="49">
        <v>2.2207200776261629E-10</v>
      </c>
      <c r="K240" s="49">
        <v>1.2537378378113405E-10</v>
      </c>
      <c r="L240" s="153">
        <v>4.0819130314969627E-10</v>
      </c>
      <c r="M240" s="27"/>
      <c r="U240" s="127">
        <v>1.6771269012414655E-10</v>
      </c>
      <c r="V240" s="127">
        <v>4.0819130314969627E-10</v>
      </c>
      <c r="W240" s="127">
        <v>3.6835522637014836E-10</v>
      </c>
      <c r="X240" s="128">
        <f t="shared" si="6"/>
        <v>3.381126306984219E-10</v>
      </c>
      <c r="Y240" s="139">
        <f t="shared" si="7"/>
        <v>0.85665634701091298</v>
      </c>
      <c r="AA240" s="73"/>
      <c r="AB240" s="176"/>
      <c r="AC240" s="176"/>
      <c r="AD240" s="176"/>
      <c r="AJ240" s="135"/>
    </row>
    <row r="241" spans="9:36" x14ac:dyDescent="0.35">
      <c r="I241" s="49">
        <v>9.18284408725E-2</v>
      </c>
      <c r="J241" s="49">
        <v>3.9019364571014079E-10</v>
      </c>
      <c r="K241" s="49">
        <v>1.5528104320123081E-10</v>
      </c>
      <c r="L241" s="153">
        <v>5.166057744689477E-10</v>
      </c>
      <c r="M241" s="27"/>
      <c r="U241" s="127">
        <v>1.1497360292546318E-10</v>
      </c>
      <c r="V241" s="127">
        <v>5.166057744689477E-10</v>
      </c>
      <c r="W241" s="127">
        <v>2.3929402867820314E-10</v>
      </c>
      <c r="X241" s="128">
        <f t="shared" si="6"/>
        <v>3.4686979513539042E-10</v>
      </c>
      <c r="Y241" s="139">
        <f t="shared" si="7"/>
        <v>7.7842579422031807E-2</v>
      </c>
      <c r="AA241" s="73"/>
      <c r="AB241" s="176"/>
      <c r="AC241" s="176"/>
      <c r="AD241" s="176"/>
      <c r="AJ241" s="135"/>
    </row>
    <row r="242" spans="9:36" x14ac:dyDescent="0.35">
      <c r="I242" s="49"/>
      <c r="J242" s="49"/>
      <c r="K242" s="49"/>
      <c r="L242" s="153"/>
      <c r="M242" s="27"/>
      <c r="U242" s="127"/>
      <c r="V242" s="127"/>
      <c r="W242" s="127"/>
      <c r="X242" s="128"/>
      <c r="Y242" s="139"/>
      <c r="AA242" s="73"/>
      <c r="AB242" s="176"/>
      <c r="AC242" s="176"/>
      <c r="AD242" s="176"/>
      <c r="AJ242" s="135"/>
    </row>
    <row r="243" spans="9:36" x14ac:dyDescent="0.35">
      <c r="I243" s="49"/>
      <c r="J243" s="49"/>
      <c r="K243" s="49"/>
      <c r="L243" s="153"/>
      <c r="M243" s="27"/>
      <c r="U243" s="127"/>
      <c r="V243" s="127"/>
      <c r="W243" s="127"/>
      <c r="X243" s="128"/>
      <c r="Y243" s="139"/>
      <c r="AA243" s="73"/>
      <c r="AB243" s="176"/>
      <c r="AC243" s="176"/>
      <c r="AD243" s="176"/>
      <c r="AJ243" s="135"/>
    </row>
    <row r="244" spans="9:36" x14ac:dyDescent="0.35">
      <c r="I244" s="49"/>
      <c r="J244" s="49"/>
      <c r="K244" s="49"/>
      <c r="L244" s="153"/>
      <c r="M244" s="27"/>
      <c r="U244" s="127"/>
      <c r="V244" s="127"/>
      <c r="W244" s="127"/>
      <c r="X244" s="128"/>
      <c r="Y244" s="139"/>
      <c r="AA244" s="73"/>
      <c r="AB244" s="176"/>
      <c r="AC244" s="176"/>
      <c r="AD244" s="176"/>
      <c r="AJ244" s="135"/>
    </row>
    <row r="245" spans="9:36" x14ac:dyDescent="0.35">
      <c r="I245" s="49"/>
      <c r="J245" s="49"/>
      <c r="K245" s="49"/>
      <c r="L245" s="153"/>
      <c r="M245" s="27"/>
      <c r="U245" s="127"/>
      <c r="V245" s="127"/>
      <c r="W245" s="127"/>
      <c r="X245" s="128"/>
      <c r="Y245" s="139"/>
      <c r="AA245" s="73"/>
      <c r="AB245" s="176"/>
      <c r="AC245" s="176"/>
      <c r="AD245" s="176"/>
      <c r="AJ245" s="135"/>
    </row>
    <row r="246" spans="9:36" x14ac:dyDescent="0.35">
      <c r="I246" s="49"/>
      <c r="J246" s="49"/>
      <c r="K246" s="49"/>
      <c r="L246" s="153"/>
      <c r="M246" s="27"/>
      <c r="U246" s="127"/>
      <c r="V246" s="127"/>
      <c r="W246" s="127"/>
      <c r="X246" s="128"/>
      <c r="Y246" s="139"/>
      <c r="AA246" s="73"/>
      <c r="AB246" s="176"/>
      <c r="AC246" s="176"/>
      <c r="AD246" s="176"/>
      <c r="AJ246" s="135"/>
    </row>
    <row r="247" spans="9:36" x14ac:dyDescent="0.35">
      <c r="I247" s="49"/>
      <c r="J247" s="49"/>
      <c r="K247" s="49"/>
      <c r="L247" s="153"/>
      <c r="M247" s="27"/>
      <c r="U247" s="127"/>
      <c r="V247" s="127"/>
      <c r="W247" s="127"/>
      <c r="X247" s="128"/>
      <c r="Y247" s="139"/>
      <c r="AA247" s="73"/>
      <c r="AB247" s="176"/>
      <c r="AC247" s="176"/>
      <c r="AD247" s="176"/>
      <c r="AJ247" s="135"/>
    </row>
    <row r="248" spans="9:36" x14ac:dyDescent="0.35">
      <c r="I248" s="49"/>
      <c r="J248" s="49"/>
      <c r="K248" s="49"/>
      <c r="L248" s="153"/>
      <c r="M248" s="27"/>
      <c r="U248" s="127"/>
      <c r="V248" s="127"/>
      <c r="W248" s="127"/>
      <c r="X248" s="128"/>
      <c r="Y248" s="139"/>
      <c r="AA248" s="73"/>
      <c r="AB248" s="176"/>
      <c r="AC248" s="176"/>
      <c r="AD248" s="176"/>
      <c r="AJ248" s="135"/>
    </row>
    <row r="249" spans="9:36" x14ac:dyDescent="0.35">
      <c r="I249" s="49"/>
      <c r="J249" s="49"/>
      <c r="K249" s="49"/>
      <c r="L249" s="153"/>
      <c r="M249" s="27"/>
      <c r="U249" s="127"/>
      <c r="V249" s="127"/>
      <c r="W249" s="127"/>
      <c r="X249" s="128"/>
      <c r="Y249" s="139"/>
      <c r="AA249" s="73"/>
      <c r="AB249" s="176"/>
      <c r="AC249" s="176"/>
      <c r="AD249" s="176"/>
      <c r="AJ249" s="135"/>
    </row>
    <row r="250" spans="9:36" x14ac:dyDescent="0.35">
      <c r="I250" s="49"/>
      <c r="J250" s="49"/>
      <c r="K250" s="49"/>
      <c r="L250" s="153"/>
      <c r="M250" s="27"/>
      <c r="U250" s="127"/>
      <c r="V250" s="127"/>
      <c r="W250" s="127"/>
      <c r="X250" s="128"/>
      <c r="Y250" s="139"/>
      <c r="AA250" s="73"/>
      <c r="AB250" s="176"/>
      <c r="AC250" s="176"/>
      <c r="AD250" s="176"/>
      <c r="AJ250" s="135"/>
    </row>
    <row r="251" spans="9:36" x14ac:dyDescent="0.35">
      <c r="I251" s="49"/>
      <c r="J251" s="49"/>
      <c r="K251" s="49"/>
      <c r="L251" s="153"/>
      <c r="M251" s="27"/>
      <c r="U251" s="127"/>
      <c r="V251" s="127"/>
      <c r="W251" s="127"/>
      <c r="X251" s="128"/>
      <c r="Y251" s="139"/>
      <c r="AA251" s="73"/>
      <c r="AB251" s="176"/>
      <c r="AC251" s="176"/>
      <c r="AD251" s="176"/>
      <c r="AJ251" s="135"/>
    </row>
    <row r="252" spans="9:36" x14ac:dyDescent="0.35">
      <c r="I252" s="49"/>
      <c r="J252" s="49"/>
      <c r="K252" s="49"/>
      <c r="L252" s="153"/>
      <c r="M252" s="27"/>
      <c r="U252" s="127"/>
      <c r="V252" s="127"/>
      <c r="W252" s="127"/>
      <c r="X252" s="128"/>
      <c r="Y252" s="139"/>
      <c r="AA252" s="73"/>
      <c r="AB252" s="176"/>
      <c r="AC252" s="176"/>
      <c r="AD252" s="176"/>
      <c r="AJ252" s="135"/>
    </row>
    <row r="253" spans="9:36" x14ac:dyDescent="0.35">
      <c r="I253" s="49"/>
      <c r="J253" s="49"/>
      <c r="K253" s="49"/>
      <c r="L253" s="153"/>
      <c r="M253" s="27"/>
      <c r="U253" s="127"/>
      <c r="V253" s="127"/>
      <c r="W253" s="127"/>
      <c r="X253" s="128"/>
      <c r="Y253" s="139"/>
      <c r="AA253" s="73"/>
      <c r="AB253" s="176"/>
      <c r="AC253" s="176"/>
      <c r="AD253" s="176"/>
      <c r="AJ253" s="135"/>
    </row>
    <row r="254" spans="9:36" x14ac:dyDescent="0.35">
      <c r="I254" s="49"/>
      <c r="J254" s="49"/>
      <c r="K254" s="49"/>
      <c r="L254" s="153"/>
      <c r="M254" s="27"/>
      <c r="U254" s="127"/>
      <c r="V254" s="127"/>
      <c r="W254" s="127"/>
      <c r="X254" s="128"/>
      <c r="Y254" s="139"/>
      <c r="AA254" s="73"/>
      <c r="AB254" s="176"/>
      <c r="AC254" s="176"/>
      <c r="AD254" s="176"/>
      <c r="AJ254" s="135"/>
    </row>
    <row r="255" spans="9:36" x14ac:dyDescent="0.35">
      <c r="I255" s="49"/>
      <c r="J255" s="49"/>
      <c r="K255" s="49"/>
      <c r="L255" s="153"/>
      <c r="M255" s="27"/>
      <c r="U255" s="127"/>
      <c r="V255" s="127"/>
      <c r="W255" s="127"/>
      <c r="X255" s="128"/>
      <c r="Y255" s="139"/>
      <c r="AA255" s="73"/>
      <c r="AB255" s="176"/>
      <c r="AC255" s="176"/>
      <c r="AD255" s="176"/>
      <c r="AJ255" s="135"/>
    </row>
    <row r="256" spans="9:36" x14ac:dyDescent="0.35">
      <c r="I256" s="49"/>
      <c r="J256" s="49"/>
      <c r="K256" s="49"/>
      <c r="L256" s="153"/>
      <c r="M256" s="27"/>
      <c r="U256" s="127"/>
      <c r="V256" s="127"/>
      <c r="W256" s="127"/>
      <c r="X256" s="128"/>
      <c r="Y256" s="139"/>
      <c r="AA256" s="73"/>
      <c r="AB256" s="176"/>
      <c r="AC256" s="176"/>
      <c r="AD256" s="176"/>
      <c r="AJ256" s="135"/>
    </row>
    <row r="257" spans="9:36" x14ac:dyDescent="0.35">
      <c r="I257" s="49"/>
      <c r="J257" s="49"/>
      <c r="K257" s="49"/>
      <c r="L257" s="153"/>
      <c r="M257" s="27"/>
      <c r="U257" s="127"/>
      <c r="V257" s="127"/>
      <c r="W257" s="127"/>
      <c r="X257" s="128"/>
      <c r="Y257" s="139"/>
      <c r="AA257" s="73"/>
      <c r="AB257" s="176"/>
      <c r="AC257" s="176"/>
      <c r="AD257" s="176"/>
      <c r="AJ257" s="136"/>
    </row>
    <row r="258" spans="9:36" x14ac:dyDescent="0.35">
      <c r="I258" s="49"/>
      <c r="J258" s="49"/>
      <c r="K258" s="49"/>
      <c r="L258" s="153"/>
      <c r="M258" s="27"/>
      <c r="U258" s="127"/>
      <c r="V258" s="127"/>
      <c r="W258" s="127"/>
      <c r="X258" s="128"/>
      <c r="Y258" s="139"/>
      <c r="AA258" s="73"/>
      <c r="AB258" s="176"/>
      <c r="AC258" s="176"/>
      <c r="AD258" s="176"/>
      <c r="AJ258" s="136"/>
    </row>
    <row r="259" spans="9:36" x14ac:dyDescent="0.35">
      <c r="I259" s="49"/>
      <c r="J259" s="49"/>
      <c r="K259" s="49"/>
      <c r="L259" s="153"/>
      <c r="M259" s="27"/>
      <c r="U259" s="127"/>
      <c r="V259" s="127"/>
      <c r="W259" s="127"/>
      <c r="X259" s="128"/>
      <c r="Y259" s="139"/>
      <c r="AA259" s="73"/>
      <c r="AB259" s="176"/>
      <c r="AC259" s="176"/>
      <c r="AD259" s="176"/>
      <c r="AJ259" s="136"/>
    </row>
    <row r="260" spans="9:36" x14ac:dyDescent="0.35">
      <c r="I260" s="49"/>
      <c r="J260" s="49"/>
      <c r="K260" s="49"/>
      <c r="L260" s="153"/>
      <c r="M260" s="27"/>
      <c r="U260" s="127"/>
      <c r="V260" s="127"/>
      <c r="W260" s="127"/>
      <c r="X260" s="128"/>
      <c r="Y260" s="139"/>
      <c r="AA260" s="73"/>
      <c r="AB260" s="176"/>
      <c r="AC260" s="176"/>
      <c r="AD260" s="176"/>
      <c r="AJ260" s="136"/>
    </row>
    <row r="261" spans="9:36" x14ac:dyDescent="0.35">
      <c r="I261" s="49"/>
      <c r="J261" s="49"/>
      <c r="K261" s="49"/>
      <c r="L261" s="153"/>
      <c r="M261" s="27"/>
      <c r="U261" s="127"/>
      <c r="V261" s="127"/>
      <c r="W261" s="127"/>
      <c r="X261" s="128"/>
      <c r="Y261" s="139"/>
      <c r="AA261" s="73"/>
      <c r="AB261" s="176"/>
      <c r="AC261" s="176"/>
      <c r="AD261" s="176"/>
      <c r="AJ261" s="136"/>
    </row>
    <row r="262" spans="9:36" x14ac:dyDescent="0.35">
      <c r="I262" s="49"/>
      <c r="J262" s="49"/>
      <c r="K262" s="49"/>
      <c r="L262" s="153"/>
      <c r="M262" s="27"/>
      <c r="U262" s="127"/>
      <c r="V262" s="127"/>
      <c r="W262" s="127"/>
      <c r="X262" s="128"/>
      <c r="Y262" s="139"/>
      <c r="AA262" s="73"/>
      <c r="AB262" s="176"/>
      <c r="AC262" s="176"/>
      <c r="AD262" s="176"/>
      <c r="AJ262" s="136"/>
    </row>
    <row r="263" spans="9:36" x14ac:dyDescent="0.35">
      <c r="I263" s="49"/>
      <c r="J263" s="49"/>
      <c r="K263" s="49"/>
      <c r="L263" s="153"/>
      <c r="M263" s="27"/>
      <c r="U263" s="127"/>
      <c r="V263" s="127"/>
      <c r="W263" s="127"/>
      <c r="X263" s="128"/>
      <c r="Y263" s="139"/>
      <c r="AA263" s="73"/>
      <c r="AB263" s="176"/>
      <c r="AC263" s="176"/>
      <c r="AD263" s="176"/>
      <c r="AJ263" s="136"/>
    </row>
    <row r="264" spans="9:36" x14ac:dyDescent="0.35">
      <c r="I264" s="49"/>
      <c r="J264" s="49"/>
      <c r="K264" s="49"/>
      <c r="L264" s="153"/>
      <c r="M264" s="27"/>
      <c r="U264" s="127"/>
      <c r="V264" s="127"/>
      <c r="W264" s="127"/>
      <c r="X264" s="128"/>
      <c r="Y264" s="139"/>
      <c r="AA264" s="73"/>
      <c r="AB264" s="176"/>
      <c r="AC264" s="176"/>
      <c r="AD264" s="176"/>
      <c r="AJ264" s="136"/>
    </row>
    <row r="265" spans="9:36" x14ac:dyDescent="0.35">
      <c r="I265" s="49"/>
      <c r="J265" s="49"/>
      <c r="K265" s="49"/>
      <c r="L265" s="153"/>
      <c r="M265" s="27"/>
      <c r="U265" s="127"/>
      <c r="V265" s="127"/>
      <c r="W265" s="127"/>
      <c r="X265" s="128"/>
      <c r="Y265" s="139"/>
      <c r="AA265" s="73"/>
      <c r="AB265" s="176"/>
      <c r="AC265" s="176"/>
      <c r="AD265" s="176"/>
      <c r="AJ265" s="136"/>
    </row>
    <row r="266" spans="9:36" x14ac:dyDescent="0.35">
      <c r="I266" s="49"/>
      <c r="J266" s="49"/>
      <c r="K266" s="49"/>
      <c r="L266" s="153"/>
      <c r="M266" s="27"/>
      <c r="U266" s="127"/>
      <c r="V266" s="127"/>
      <c r="W266" s="127"/>
      <c r="X266" s="128"/>
      <c r="Y266" s="139"/>
      <c r="AA266" s="73"/>
      <c r="AB266" s="176"/>
      <c r="AC266" s="176"/>
      <c r="AD266" s="176"/>
      <c r="AJ266" s="136"/>
    </row>
    <row r="267" spans="9:36" x14ac:dyDescent="0.35">
      <c r="I267" s="49"/>
      <c r="J267" s="49"/>
      <c r="K267" s="49"/>
      <c r="M267" s="34"/>
      <c r="U267" s="127"/>
      <c r="V267" s="127"/>
      <c r="W267" s="127"/>
      <c r="X267" s="128"/>
      <c r="Y267" s="139"/>
      <c r="AA267" s="73"/>
      <c r="AB267" s="176"/>
      <c r="AC267" s="176"/>
      <c r="AD267" s="176"/>
      <c r="AJ267" s="136"/>
    </row>
    <row r="268" spans="9:36" x14ac:dyDescent="0.35">
      <c r="I268" s="49"/>
      <c r="J268" s="49"/>
      <c r="K268" s="49"/>
      <c r="M268" s="34"/>
      <c r="U268" s="127"/>
      <c r="V268" s="127"/>
      <c r="W268" s="127"/>
      <c r="X268" s="128"/>
      <c r="Y268" s="139"/>
      <c r="AA268" s="73"/>
      <c r="AB268" s="176"/>
      <c r="AC268" s="176"/>
      <c r="AD268" s="176"/>
      <c r="AJ268" s="136"/>
    </row>
    <row r="269" spans="9:36" x14ac:dyDescent="0.35">
      <c r="I269" s="49"/>
      <c r="J269" s="49"/>
      <c r="K269" s="49"/>
      <c r="M269" s="33"/>
      <c r="U269" s="127"/>
      <c r="V269" s="127"/>
      <c r="W269" s="127"/>
      <c r="X269" s="128"/>
      <c r="Y269" s="139"/>
      <c r="AA269" s="73"/>
      <c r="AB269" s="176"/>
      <c r="AC269" s="176"/>
      <c r="AD269" s="176"/>
      <c r="AJ269" s="136"/>
    </row>
    <row r="270" spans="9:36" x14ac:dyDescent="0.35">
      <c r="I270" s="49"/>
      <c r="J270" s="49"/>
      <c r="K270" s="49"/>
      <c r="M270" s="34"/>
      <c r="U270" s="127"/>
      <c r="V270" s="127"/>
      <c r="W270" s="127"/>
      <c r="X270" s="128"/>
      <c r="Y270" s="139"/>
      <c r="AA270" s="73"/>
      <c r="AB270" s="176"/>
      <c r="AC270" s="176"/>
      <c r="AD270" s="176"/>
      <c r="AJ270" s="136"/>
    </row>
    <row r="271" spans="9:36" x14ac:dyDescent="0.35">
      <c r="I271" s="49"/>
      <c r="J271" s="49"/>
      <c r="K271" s="49"/>
      <c r="M271" s="35"/>
      <c r="U271" s="127"/>
      <c r="V271" s="127"/>
      <c r="W271" s="127"/>
      <c r="X271" s="128"/>
      <c r="Y271" s="139"/>
      <c r="AA271" s="73"/>
      <c r="AB271" s="176"/>
      <c r="AC271" s="176"/>
      <c r="AD271" s="176"/>
      <c r="AJ271" s="136"/>
    </row>
    <row r="272" spans="9:36" x14ac:dyDescent="0.35">
      <c r="I272" s="49"/>
      <c r="J272" s="49"/>
      <c r="K272" s="49"/>
      <c r="M272" s="34"/>
      <c r="U272" s="127"/>
      <c r="V272" s="127"/>
      <c r="W272" s="127"/>
      <c r="X272" s="128"/>
      <c r="Y272" s="139"/>
      <c r="AA272" s="73"/>
      <c r="AB272" s="176"/>
      <c r="AC272" s="176"/>
      <c r="AD272" s="176"/>
      <c r="AJ272" s="136"/>
    </row>
    <row r="273" spans="9:36" x14ac:dyDescent="0.35">
      <c r="I273" s="49"/>
      <c r="J273" s="49"/>
      <c r="K273" s="49"/>
      <c r="M273" s="33"/>
      <c r="U273" s="127"/>
      <c r="V273" s="127"/>
      <c r="W273" s="127"/>
      <c r="X273" s="128"/>
      <c r="Y273" s="139"/>
      <c r="AA273" s="73"/>
      <c r="AB273" s="176"/>
      <c r="AC273" s="176"/>
      <c r="AD273" s="176"/>
      <c r="AJ273" s="136"/>
    </row>
    <row r="274" spans="9:36" x14ac:dyDescent="0.35">
      <c r="I274" s="49"/>
      <c r="J274" s="49"/>
      <c r="K274" s="49"/>
      <c r="M274" s="34"/>
      <c r="U274" s="127"/>
      <c r="V274" s="127"/>
      <c r="W274" s="127"/>
      <c r="X274" s="128"/>
      <c r="Y274" s="139"/>
      <c r="AA274" s="73"/>
      <c r="AB274" s="176"/>
      <c r="AC274" s="176"/>
      <c r="AD274" s="176"/>
      <c r="AJ274" s="136"/>
    </row>
    <row r="275" spans="9:36" x14ac:dyDescent="0.35">
      <c r="I275" s="49"/>
      <c r="J275" s="49"/>
      <c r="K275" s="49"/>
      <c r="M275" s="34"/>
      <c r="U275" s="127"/>
      <c r="V275" s="127"/>
      <c r="W275" s="127"/>
      <c r="X275" s="128"/>
      <c r="Y275" s="139"/>
      <c r="AA275" s="73"/>
      <c r="AB275" s="176"/>
      <c r="AC275" s="176"/>
      <c r="AD275" s="176"/>
      <c r="AJ275" s="136"/>
    </row>
    <row r="276" spans="9:36" x14ac:dyDescent="0.35">
      <c r="I276" s="49"/>
      <c r="J276" s="49"/>
      <c r="K276" s="49"/>
      <c r="M276" s="33"/>
      <c r="U276" s="127"/>
      <c r="V276" s="127"/>
      <c r="W276" s="127"/>
      <c r="X276" s="128"/>
      <c r="Y276" s="139"/>
      <c r="AA276" s="73"/>
      <c r="AB276" s="176"/>
      <c r="AC276" s="176"/>
      <c r="AD276" s="176"/>
      <c r="AJ276" s="136"/>
    </row>
    <row r="277" spans="9:36" x14ac:dyDescent="0.35">
      <c r="I277" s="49"/>
      <c r="J277" s="49"/>
      <c r="K277" s="49"/>
      <c r="M277" s="34"/>
      <c r="U277" s="127"/>
      <c r="V277" s="127"/>
      <c r="W277" s="127"/>
      <c r="X277" s="128"/>
      <c r="Y277" s="139"/>
      <c r="AA277" s="73"/>
      <c r="AB277" s="176"/>
      <c r="AC277" s="176"/>
      <c r="AD277" s="176"/>
      <c r="AJ277" s="136"/>
    </row>
    <row r="278" spans="9:36" x14ac:dyDescent="0.35">
      <c r="I278" s="49"/>
      <c r="J278" s="49"/>
      <c r="K278" s="49"/>
      <c r="M278" s="34"/>
      <c r="U278" s="127"/>
      <c r="V278" s="127"/>
      <c r="W278" s="127"/>
      <c r="X278" s="128"/>
      <c r="Y278" s="139"/>
      <c r="AA278" s="73"/>
      <c r="AB278" s="176"/>
      <c r="AC278" s="176"/>
      <c r="AD278" s="176"/>
      <c r="AJ278" s="136"/>
    </row>
    <row r="279" spans="9:36" x14ac:dyDescent="0.35">
      <c r="I279" s="49"/>
      <c r="J279" s="49"/>
      <c r="K279" s="49"/>
      <c r="M279" s="35"/>
      <c r="U279" s="127"/>
      <c r="V279" s="127"/>
      <c r="W279" s="127"/>
      <c r="X279" s="128"/>
      <c r="Y279" s="139"/>
      <c r="AA279" s="73"/>
      <c r="AB279" s="176"/>
      <c r="AC279" s="176"/>
      <c r="AD279" s="176"/>
      <c r="AJ279" s="136"/>
    </row>
    <row r="280" spans="9:36" x14ac:dyDescent="0.35">
      <c r="I280" s="49"/>
      <c r="J280" s="49"/>
      <c r="K280" s="49"/>
      <c r="M280" s="33"/>
      <c r="U280" s="127"/>
      <c r="V280" s="127"/>
      <c r="W280" s="127"/>
      <c r="X280" s="128"/>
      <c r="Y280" s="139"/>
      <c r="AA280" s="73"/>
      <c r="AB280" s="176"/>
      <c r="AC280" s="176"/>
      <c r="AD280" s="176"/>
      <c r="AJ280" s="136"/>
    </row>
    <row r="281" spans="9:36" x14ac:dyDescent="0.35">
      <c r="I281" s="49"/>
      <c r="J281" s="49"/>
      <c r="K281" s="49"/>
      <c r="M281" s="34"/>
      <c r="U281" s="127"/>
      <c r="V281" s="127"/>
      <c r="W281" s="127"/>
      <c r="X281" s="128"/>
      <c r="Y281" s="139"/>
      <c r="AA281" s="73"/>
      <c r="AB281" s="176"/>
      <c r="AC281" s="176"/>
      <c r="AD281" s="176"/>
      <c r="AJ281" s="136"/>
    </row>
    <row r="282" spans="9:36" x14ac:dyDescent="0.35">
      <c r="I282" s="49"/>
      <c r="J282" s="49"/>
      <c r="K282" s="49"/>
      <c r="M282" s="34"/>
      <c r="U282" s="127"/>
      <c r="V282" s="127"/>
      <c r="W282" s="127"/>
      <c r="X282" s="128"/>
      <c r="Y282" s="139"/>
      <c r="AA282" s="73"/>
      <c r="AB282" s="176"/>
      <c r="AC282" s="176"/>
      <c r="AD282" s="176"/>
      <c r="AJ282" s="136"/>
    </row>
    <row r="283" spans="9:36" x14ac:dyDescent="0.35">
      <c r="I283" s="49"/>
      <c r="J283" s="49"/>
      <c r="K283" s="49"/>
      <c r="M283" s="33"/>
      <c r="U283" s="127"/>
      <c r="V283" s="127"/>
      <c r="W283" s="127"/>
      <c r="X283" s="128"/>
      <c r="Y283" s="139"/>
      <c r="AA283" s="73"/>
      <c r="AB283" s="176"/>
      <c r="AC283" s="176"/>
      <c r="AD283" s="176"/>
      <c r="AJ283" s="136"/>
    </row>
    <row r="284" spans="9:36" x14ac:dyDescent="0.35">
      <c r="I284" s="49"/>
      <c r="J284" s="49"/>
      <c r="K284" s="49"/>
      <c r="M284" s="34"/>
      <c r="U284" s="127"/>
      <c r="V284" s="127"/>
      <c r="W284" s="127"/>
      <c r="X284" s="128"/>
      <c r="Y284" s="139"/>
      <c r="AA284" s="73"/>
      <c r="AB284" s="176"/>
      <c r="AC284" s="176"/>
      <c r="AD284" s="176"/>
      <c r="AJ284" s="136"/>
    </row>
    <row r="285" spans="9:36" x14ac:dyDescent="0.35">
      <c r="I285" s="49"/>
      <c r="J285" s="49"/>
      <c r="K285" s="49"/>
      <c r="M285" s="34"/>
      <c r="U285" s="127"/>
      <c r="V285" s="127"/>
      <c r="W285" s="127"/>
      <c r="X285" s="128"/>
      <c r="Y285" s="139"/>
      <c r="AA285" s="73"/>
      <c r="AB285" s="176"/>
      <c r="AC285" s="176"/>
      <c r="AD285" s="176"/>
      <c r="AJ285" s="136"/>
    </row>
    <row r="286" spans="9:36" x14ac:dyDescent="0.35">
      <c r="I286" s="49"/>
      <c r="J286" s="49"/>
      <c r="K286" s="49"/>
      <c r="M286" s="34"/>
      <c r="U286" s="127"/>
      <c r="V286" s="127"/>
      <c r="W286" s="127"/>
      <c r="X286" s="128"/>
      <c r="Y286" s="139"/>
      <c r="AA286" s="73"/>
      <c r="AB286" s="176"/>
      <c r="AC286" s="176"/>
      <c r="AD286" s="176"/>
      <c r="AJ286" s="136"/>
    </row>
    <row r="287" spans="9:36" x14ac:dyDescent="0.35">
      <c r="I287" s="49"/>
      <c r="J287" s="49"/>
      <c r="K287" s="49"/>
      <c r="M287" s="33"/>
      <c r="U287" s="127"/>
      <c r="V287" s="127"/>
      <c r="W287" s="127"/>
      <c r="X287" s="128"/>
      <c r="Y287" s="139"/>
      <c r="AA287" s="73"/>
      <c r="AB287" s="176"/>
      <c r="AC287" s="176"/>
      <c r="AD287" s="176"/>
      <c r="AJ287" s="136"/>
    </row>
    <row r="288" spans="9:36" x14ac:dyDescent="0.35">
      <c r="I288" s="49"/>
      <c r="J288" s="49"/>
      <c r="K288" s="49"/>
      <c r="M288" s="35"/>
      <c r="U288" s="127"/>
      <c r="V288" s="127"/>
      <c r="W288" s="127"/>
      <c r="X288" s="128"/>
      <c r="Y288" s="139"/>
      <c r="AA288" s="73"/>
      <c r="AB288" s="176"/>
      <c r="AC288" s="176"/>
      <c r="AD288" s="176"/>
      <c r="AJ288" s="136"/>
    </row>
    <row r="289" spans="9:36" x14ac:dyDescent="0.35">
      <c r="I289" s="49"/>
      <c r="J289" s="49"/>
      <c r="K289" s="49"/>
      <c r="M289" s="34"/>
      <c r="U289" s="127"/>
      <c r="V289" s="127"/>
      <c r="W289" s="127"/>
      <c r="X289" s="128"/>
      <c r="Y289" s="139"/>
      <c r="AA289" s="73"/>
      <c r="AB289" s="176"/>
      <c r="AC289" s="176"/>
      <c r="AD289" s="176"/>
      <c r="AJ289" s="136"/>
    </row>
    <row r="290" spans="9:36" x14ac:dyDescent="0.35">
      <c r="I290" s="49"/>
      <c r="J290" s="49"/>
      <c r="K290" s="49"/>
      <c r="M290" s="34"/>
      <c r="U290" s="127"/>
      <c r="V290" s="127"/>
      <c r="W290" s="127"/>
      <c r="X290" s="128"/>
      <c r="Y290" s="139"/>
      <c r="AA290" s="73"/>
      <c r="AB290" s="176"/>
      <c r="AC290" s="176"/>
      <c r="AD290" s="176"/>
      <c r="AJ290" s="136"/>
    </row>
    <row r="291" spans="9:36" x14ac:dyDescent="0.35">
      <c r="I291" s="49"/>
      <c r="J291" s="49"/>
      <c r="K291" s="49"/>
      <c r="M291" s="33"/>
      <c r="U291" s="127"/>
      <c r="V291" s="127"/>
      <c r="W291" s="127"/>
      <c r="X291" s="128"/>
      <c r="Y291" s="139"/>
      <c r="AA291" s="73"/>
      <c r="AB291" s="176"/>
      <c r="AC291" s="176"/>
      <c r="AD291" s="176"/>
      <c r="AJ291" s="136"/>
    </row>
    <row r="292" spans="9:36" x14ac:dyDescent="0.35">
      <c r="I292" s="49"/>
      <c r="J292" s="49"/>
      <c r="K292" s="49"/>
      <c r="M292" s="34"/>
      <c r="U292" s="127"/>
      <c r="V292" s="127"/>
      <c r="W292" s="127"/>
      <c r="X292" s="128"/>
      <c r="Y292" s="139"/>
      <c r="AA292" s="73"/>
      <c r="AB292" s="176"/>
      <c r="AC292" s="176"/>
      <c r="AD292" s="176"/>
      <c r="AJ292" s="136"/>
    </row>
    <row r="293" spans="9:36" x14ac:dyDescent="0.35">
      <c r="I293" s="49"/>
      <c r="J293" s="49"/>
      <c r="K293" s="49"/>
      <c r="M293" s="34"/>
      <c r="U293" s="127"/>
      <c r="V293" s="127"/>
      <c r="W293" s="127"/>
      <c r="X293" s="128"/>
      <c r="Y293" s="139"/>
      <c r="AA293" s="73"/>
      <c r="AB293" s="176"/>
      <c r="AC293" s="176"/>
      <c r="AD293" s="176"/>
      <c r="AJ293" s="136"/>
    </row>
    <row r="294" spans="9:36" x14ac:dyDescent="0.35">
      <c r="I294" s="49"/>
      <c r="J294" s="49"/>
      <c r="K294" s="49"/>
      <c r="M294" s="33"/>
      <c r="U294" s="127"/>
      <c r="V294" s="127"/>
      <c r="W294" s="127"/>
      <c r="X294" s="128"/>
      <c r="Y294" s="139"/>
      <c r="AA294" s="73"/>
      <c r="AB294" s="176"/>
      <c r="AC294" s="176"/>
      <c r="AD294" s="176"/>
      <c r="AJ294" s="136"/>
    </row>
    <row r="295" spans="9:36" x14ac:dyDescent="0.35">
      <c r="I295" s="49"/>
      <c r="J295" s="49"/>
      <c r="K295" s="49"/>
      <c r="M295" s="34"/>
      <c r="U295" s="127"/>
      <c r="V295" s="127"/>
      <c r="W295" s="127"/>
      <c r="X295" s="128"/>
      <c r="Y295" s="139"/>
      <c r="AA295" s="73"/>
      <c r="AB295" s="176"/>
      <c r="AC295" s="176"/>
      <c r="AD295" s="176"/>
      <c r="AJ295" s="136"/>
    </row>
    <row r="296" spans="9:36" x14ac:dyDescent="0.35">
      <c r="I296" s="49"/>
      <c r="J296" s="49"/>
      <c r="K296" s="49"/>
      <c r="M296" s="35"/>
      <c r="U296" s="127"/>
      <c r="V296" s="127"/>
      <c r="W296" s="127"/>
      <c r="X296" s="128"/>
      <c r="Y296" s="139"/>
      <c r="AA296" s="73"/>
      <c r="AB296" s="176"/>
      <c r="AC296" s="176"/>
      <c r="AD296" s="176"/>
      <c r="AJ296" s="136"/>
    </row>
    <row r="297" spans="9:36" x14ac:dyDescent="0.35">
      <c r="I297" s="49"/>
      <c r="J297" s="49"/>
      <c r="K297" s="49"/>
      <c r="M297" s="34"/>
      <c r="U297" s="127"/>
      <c r="V297" s="127"/>
      <c r="W297" s="127"/>
      <c r="X297" s="128"/>
      <c r="Y297" s="139"/>
      <c r="AA297" s="73"/>
      <c r="AB297" s="176"/>
      <c r="AC297" s="176"/>
      <c r="AD297" s="176"/>
      <c r="AJ297" s="136"/>
    </row>
    <row r="298" spans="9:36" x14ac:dyDescent="0.35">
      <c r="I298" s="109"/>
      <c r="J298" s="109"/>
      <c r="K298" s="109"/>
      <c r="M298" s="33"/>
      <c r="U298" s="127"/>
      <c r="V298" s="127"/>
      <c r="W298" s="127"/>
      <c r="X298" s="128"/>
      <c r="Y298" s="139"/>
      <c r="AA298" s="73"/>
      <c r="AB298" s="176"/>
      <c r="AC298" s="176"/>
      <c r="AD298" s="176"/>
      <c r="AJ298" s="136"/>
    </row>
    <row r="299" spans="9:36" x14ac:dyDescent="0.35">
      <c r="I299" s="109"/>
      <c r="J299" s="109"/>
      <c r="K299" s="109"/>
      <c r="M299" s="34"/>
      <c r="U299" s="127"/>
      <c r="V299" s="127"/>
      <c r="W299" s="127"/>
      <c r="X299" s="128"/>
      <c r="Y299" s="139"/>
      <c r="AA299" s="73"/>
      <c r="AB299" s="176"/>
      <c r="AC299" s="176"/>
      <c r="AD299" s="176"/>
      <c r="AJ299" s="136"/>
    </row>
    <row r="300" spans="9:36" x14ac:dyDescent="0.35">
      <c r="I300" s="109"/>
      <c r="J300" s="109"/>
      <c r="K300" s="109"/>
      <c r="M300" s="34"/>
      <c r="U300" s="127"/>
      <c r="V300" s="127"/>
      <c r="W300" s="127"/>
      <c r="X300" s="128"/>
      <c r="Y300" s="139"/>
      <c r="AA300" s="73"/>
      <c r="AB300" s="176"/>
      <c r="AC300" s="176"/>
      <c r="AD300" s="176"/>
      <c r="AJ300" s="136"/>
    </row>
    <row r="301" spans="9:36" x14ac:dyDescent="0.35">
      <c r="I301" s="109"/>
      <c r="J301" s="109"/>
      <c r="K301" s="109"/>
      <c r="M301" s="33"/>
      <c r="U301" s="127"/>
      <c r="V301" s="127"/>
      <c r="W301" s="127"/>
      <c r="X301" s="128"/>
      <c r="Y301" s="139"/>
      <c r="AA301" s="73"/>
      <c r="AB301" s="176"/>
      <c r="AC301" s="176"/>
      <c r="AD301" s="176"/>
      <c r="AJ301" s="136"/>
    </row>
    <row r="302" spans="9:36" x14ac:dyDescent="0.35">
      <c r="I302" s="109"/>
      <c r="J302" s="109"/>
      <c r="K302" s="109"/>
      <c r="M302" s="34"/>
      <c r="U302" s="127"/>
      <c r="V302" s="127"/>
      <c r="W302" s="127"/>
      <c r="X302" s="128"/>
      <c r="Y302" s="139"/>
      <c r="AA302" s="73"/>
      <c r="AB302" s="176"/>
      <c r="AC302" s="176"/>
      <c r="AD302" s="176"/>
      <c r="AJ302" s="136"/>
    </row>
    <row r="303" spans="9:36" x14ac:dyDescent="0.35">
      <c r="I303" s="109"/>
      <c r="J303" s="109"/>
      <c r="K303" s="109"/>
      <c r="M303" s="34"/>
      <c r="U303" s="127"/>
      <c r="V303" s="127"/>
      <c r="W303" s="127"/>
      <c r="X303" s="128"/>
      <c r="Y303" s="139"/>
      <c r="AA303" s="73"/>
      <c r="AB303" s="176"/>
      <c r="AC303" s="176"/>
      <c r="AD303" s="176"/>
      <c r="AJ303" s="136"/>
    </row>
    <row r="304" spans="9:36" x14ac:dyDescent="0.35">
      <c r="I304" s="109"/>
      <c r="J304" s="109"/>
      <c r="K304" s="109"/>
      <c r="M304" s="35"/>
      <c r="U304" s="127"/>
      <c r="V304" s="127"/>
      <c r="W304" s="127"/>
      <c r="X304" s="128"/>
      <c r="Y304" s="139"/>
      <c r="AA304" s="73"/>
      <c r="AB304" s="176"/>
      <c r="AC304" s="176"/>
      <c r="AD304" s="176"/>
      <c r="AJ304" s="136"/>
    </row>
    <row r="305" spans="9:36" x14ac:dyDescent="0.35">
      <c r="I305" s="109"/>
      <c r="J305" s="109"/>
      <c r="K305" s="109"/>
      <c r="M305" s="33"/>
      <c r="U305" s="127"/>
      <c r="V305" s="127"/>
      <c r="W305" s="127"/>
      <c r="X305" s="128"/>
      <c r="Y305" s="139"/>
      <c r="AA305" s="73"/>
      <c r="AB305" s="176"/>
      <c r="AC305" s="176"/>
      <c r="AD305" s="176"/>
      <c r="AJ305" s="136"/>
    </row>
    <row r="306" spans="9:36" x14ac:dyDescent="0.35">
      <c r="I306" s="109"/>
      <c r="J306" s="109"/>
      <c r="K306" s="109"/>
      <c r="M306" s="34"/>
      <c r="U306" s="127"/>
      <c r="V306" s="127"/>
      <c r="W306" s="127"/>
      <c r="X306" s="128"/>
      <c r="Y306" s="139"/>
      <c r="AA306" s="73"/>
      <c r="AB306" s="176"/>
      <c r="AC306" s="176"/>
      <c r="AD306" s="176"/>
      <c r="AJ306" s="136"/>
    </row>
    <row r="307" spans="9:36" x14ac:dyDescent="0.35">
      <c r="I307" s="109"/>
      <c r="J307" s="109"/>
      <c r="K307" s="109"/>
      <c r="M307" s="34"/>
      <c r="U307" s="127"/>
      <c r="V307" s="127"/>
      <c r="W307" s="127"/>
      <c r="X307" s="128"/>
      <c r="Y307" s="139"/>
      <c r="AA307" s="73"/>
      <c r="AB307" s="176"/>
      <c r="AC307" s="176"/>
      <c r="AD307" s="176"/>
      <c r="AJ307" s="136"/>
    </row>
    <row r="308" spans="9:36" x14ac:dyDescent="0.35">
      <c r="I308" s="109"/>
      <c r="J308" s="109"/>
      <c r="K308" s="109"/>
      <c r="M308" s="33"/>
      <c r="U308" s="127"/>
      <c r="V308" s="127"/>
      <c r="W308" s="127"/>
      <c r="X308" s="128"/>
      <c r="Y308" s="139"/>
      <c r="AA308" s="73"/>
      <c r="AB308" s="176"/>
      <c r="AC308" s="176"/>
      <c r="AD308" s="176"/>
      <c r="AJ308" s="136"/>
    </row>
    <row r="309" spans="9:36" x14ac:dyDescent="0.35">
      <c r="I309" s="109"/>
      <c r="J309" s="109"/>
      <c r="K309" s="109"/>
      <c r="M309" s="34"/>
      <c r="U309" s="127"/>
      <c r="V309" s="127"/>
      <c r="W309" s="127"/>
      <c r="X309" s="128"/>
      <c r="Y309" s="139"/>
      <c r="AA309" s="73"/>
      <c r="AB309" s="176"/>
      <c r="AC309" s="176"/>
      <c r="AD309" s="176"/>
      <c r="AJ309" s="136"/>
    </row>
    <row r="310" spans="9:36" x14ac:dyDescent="0.35">
      <c r="I310" s="109"/>
      <c r="J310" s="109"/>
      <c r="K310" s="109"/>
      <c r="M310" s="34"/>
      <c r="U310" s="127"/>
      <c r="V310" s="127"/>
      <c r="W310" s="127"/>
      <c r="X310" s="128"/>
      <c r="Y310" s="139"/>
      <c r="AA310" s="73"/>
      <c r="AB310" s="176"/>
      <c r="AC310" s="176"/>
      <c r="AD310" s="176"/>
      <c r="AJ310" s="136"/>
    </row>
    <row r="311" spans="9:36" x14ac:dyDescent="0.35">
      <c r="I311" s="109"/>
      <c r="J311" s="109"/>
      <c r="K311" s="109"/>
      <c r="M311" s="34"/>
      <c r="U311" s="127"/>
      <c r="V311" s="127"/>
      <c r="W311" s="127"/>
      <c r="X311" s="128"/>
      <c r="Y311" s="139"/>
      <c r="AA311" s="73"/>
      <c r="AB311" s="176"/>
      <c r="AC311" s="176"/>
      <c r="AD311" s="176"/>
      <c r="AJ311" s="136"/>
    </row>
    <row r="312" spans="9:36" x14ac:dyDescent="0.35">
      <c r="I312" s="109"/>
      <c r="J312" s="109"/>
      <c r="K312" s="109"/>
      <c r="M312" s="33"/>
      <c r="U312" s="127"/>
      <c r="V312" s="127"/>
      <c r="W312" s="127"/>
      <c r="X312" s="128"/>
      <c r="Y312" s="139"/>
      <c r="AA312" s="73"/>
      <c r="AB312" s="176"/>
      <c r="AC312" s="176"/>
      <c r="AD312" s="176"/>
      <c r="AJ312" s="136"/>
    </row>
    <row r="313" spans="9:36" x14ac:dyDescent="0.35">
      <c r="I313" s="109"/>
      <c r="J313" s="109"/>
      <c r="K313" s="109"/>
      <c r="M313" s="34"/>
      <c r="U313" s="127"/>
      <c r="V313" s="127"/>
      <c r="W313" s="127"/>
      <c r="X313" s="128"/>
      <c r="Y313" s="139"/>
      <c r="AA313" s="73"/>
      <c r="AB313" s="176"/>
      <c r="AC313" s="176"/>
      <c r="AD313" s="176"/>
      <c r="AJ313" s="136"/>
    </row>
    <row r="314" spans="9:36" x14ac:dyDescent="0.35">
      <c r="I314" s="109"/>
      <c r="J314" s="109"/>
      <c r="K314" s="109"/>
      <c r="M314" s="34"/>
      <c r="U314" s="127"/>
      <c r="V314" s="127"/>
      <c r="W314" s="127"/>
      <c r="X314" s="128"/>
      <c r="Y314" s="139"/>
      <c r="AA314" s="73"/>
      <c r="AB314" s="176"/>
      <c r="AC314" s="176"/>
      <c r="AD314" s="176"/>
      <c r="AJ314" s="136"/>
    </row>
    <row r="315" spans="9:36" x14ac:dyDescent="0.35">
      <c r="I315" s="109"/>
      <c r="J315" s="109"/>
      <c r="K315" s="109"/>
      <c r="M315" s="33"/>
      <c r="U315" s="127"/>
      <c r="V315" s="127"/>
      <c r="W315" s="127"/>
      <c r="X315" s="128"/>
      <c r="Y315" s="139"/>
      <c r="AA315" s="73"/>
      <c r="AB315" s="176"/>
      <c r="AC315" s="176"/>
      <c r="AD315" s="176"/>
      <c r="AJ315" s="136"/>
    </row>
    <row r="316" spans="9:36" x14ac:dyDescent="0.35">
      <c r="I316" s="109"/>
      <c r="J316" s="109"/>
      <c r="K316" s="109"/>
      <c r="M316" s="34"/>
      <c r="U316" s="127"/>
      <c r="V316" s="127"/>
      <c r="W316" s="127"/>
      <c r="X316" s="128"/>
      <c r="Y316" s="139"/>
      <c r="AA316" s="73"/>
      <c r="AB316" s="176"/>
      <c r="AC316" s="176"/>
      <c r="AD316" s="176"/>
      <c r="AJ316" s="136"/>
    </row>
    <row r="317" spans="9:36" x14ac:dyDescent="0.35">
      <c r="I317" s="109"/>
      <c r="J317" s="109"/>
      <c r="K317" s="109"/>
      <c r="M317" s="34"/>
      <c r="U317" s="127"/>
      <c r="V317" s="127"/>
      <c r="W317" s="127"/>
      <c r="X317" s="128"/>
      <c r="Y317" s="139"/>
      <c r="AA317" s="73"/>
      <c r="AB317" s="176"/>
      <c r="AC317" s="176"/>
      <c r="AD317" s="176"/>
      <c r="AJ317" s="136"/>
    </row>
    <row r="318" spans="9:36" x14ac:dyDescent="0.35">
      <c r="I318" s="109"/>
      <c r="J318" s="109"/>
      <c r="K318" s="109"/>
      <c r="M318" s="33"/>
      <c r="U318" s="127"/>
      <c r="V318" s="127"/>
      <c r="W318" s="127"/>
      <c r="X318" s="128"/>
      <c r="Y318" s="139"/>
      <c r="AA318" s="73"/>
      <c r="AB318" s="176"/>
      <c r="AC318" s="176"/>
      <c r="AD318" s="176"/>
      <c r="AJ318" s="136"/>
    </row>
    <row r="319" spans="9:36" x14ac:dyDescent="0.35">
      <c r="I319" s="109"/>
      <c r="J319" s="109"/>
      <c r="K319" s="109"/>
      <c r="M319" s="34"/>
      <c r="U319" s="127"/>
      <c r="V319" s="127"/>
      <c r="W319" s="127"/>
      <c r="X319" s="128"/>
      <c r="Y319" s="139"/>
      <c r="AA319" s="73"/>
      <c r="AB319" s="176"/>
      <c r="AC319" s="176"/>
      <c r="AD319" s="176"/>
      <c r="AJ319" s="136"/>
    </row>
    <row r="320" spans="9:36" x14ac:dyDescent="0.35">
      <c r="I320" s="109"/>
      <c r="J320" s="109"/>
      <c r="K320" s="109"/>
      <c r="M320" s="34"/>
      <c r="U320" s="127"/>
      <c r="V320" s="127"/>
      <c r="W320" s="127"/>
      <c r="X320" s="128"/>
      <c r="Y320" s="139"/>
      <c r="AA320" s="73"/>
      <c r="AB320" s="176"/>
      <c r="AC320" s="176"/>
      <c r="AD320" s="176"/>
      <c r="AJ320" s="136"/>
    </row>
    <row r="321" spans="9:36" x14ac:dyDescent="0.35">
      <c r="I321" s="109"/>
      <c r="J321" s="109"/>
      <c r="K321" s="109"/>
      <c r="M321" s="33"/>
      <c r="U321" s="127"/>
      <c r="V321" s="127"/>
      <c r="W321" s="127"/>
      <c r="X321" s="128"/>
      <c r="Y321" s="139"/>
      <c r="AA321" s="73"/>
      <c r="AB321" s="176"/>
      <c r="AC321" s="176"/>
      <c r="AD321" s="176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7"/>
      <c r="X322" s="128"/>
      <c r="Y322" s="139"/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C19" sqref="C19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161.30714143723077</v>
      </c>
      <c r="C2" s="165">
        <f>dDstack!D4</f>
        <v>105.25271933406161</v>
      </c>
      <c r="D2" s="169"/>
    </row>
    <row r="3" spans="1:4" ht="18" x14ac:dyDescent="0.35">
      <c r="A3" s="93" t="s">
        <v>628</v>
      </c>
      <c r="B3" s="165">
        <f>Reflectivity!H10</f>
        <v>1013.2710957393041</v>
      </c>
      <c r="C3" s="165">
        <f>dTotal!D4</f>
        <v>17.607335578469861</v>
      </c>
      <c r="D3" s="169"/>
    </row>
    <row r="4" spans="1:4" ht="18" x14ac:dyDescent="0.35">
      <c r="A4" s="93" t="s">
        <v>629</v>
      </c>
      <c r="B4" s="165">
        <f>B3-B2</f>
        <v>851.96395430207326</v>
      </c>
      <c r="C4" s="165">
        <f>SQRT(C2^2+C3^2)</f>
        <v>106.7152903448592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28.973187949049098</v>
      </c>
      <c r="C6" s="165">
        <f>sigDstack!D4</f>
        <v>8.7800888163452839</v>
      </c>
      <c r="D6" s="169"/>
    </row>
    <row r="7" spans="1:4" ht="18" x14ac:dyDescent="0.35">
      <c r="A7" s="93" t="s">
        <v>624</v>
      </c>
      <c r="B7" s="165">
        <f>Reflectivity!G5</f>
        <v>102.8379859963555</v>
      </c>
      <c r="C7" s="165">
        <f>sigHstack!D4</f>
        <v>233.57079026172556</v>
      </c>
      <c r="D7" s="167"/>
    </row>
    <row r="9" spans="1:4" ht="18" x14ac:dyDescent="0.35">
      <c r="A9" s="93" t="s">
        <v>622</v>
      </c>
      <c r="B9" s="167">
        <f>Reflectivity!H18</f>
        <v>0.10435777444688281</v>
      </c>
      <c r="C9" s="167">
        <f>'f_d^D'!D4</f>
        <v>3.7914122981669129E-2</v>
      </c>
      <c r="D9" s="165"/>
    </row>
    <row r="10" spans="1:4" ht="18" x14ac:dyDescent="0.35">
      <c r="A10" s="93" t="s">
        <v>619</v>
      </c>
      <c r="B10" s="167">
        <f>Reflectivity!H20</f>
        <v>4.2251569001878438E-2</v>
      </c>
      <c r="C10" s="167">
        <f>'f_d^H'!D4</f>
        <v>4.5486480854185642E-2</v>
      </c>
      <c r="D10" s="165"/>
    </row>
    <row r="11" spans="1:4" ht="18" x14ac:dyDescent="0.35">
      <c r="A11" s="93" t="s">
        <v>616</v>
      </c>
      <c r="B11" s="167">
        <f>Reflectivity!H16</f>
        <v>0.26707440697010099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1.2682417448766454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1.9446415291084581E-6</v>
      </c>
      <c r="C14" s="168">
        <f>SQRT(C12^2*B15^2+C11^2*B16^2+C9^2*B17^2)</f>
        <v>1.1072995701492168E-7</v>
      </c>
      <c r="D14" s="168">
        <f>NbDstack!D4</f>
        <v>7.2967227171388405E-8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1.5333366347262148E-6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-6.4896590729842236E-7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1.9256619249264097E-6</v>
      </c>
      <c r="C17" s="168"/>
      <c r="D17" s="167"/>
    </row>
    <row r="19" spans="1:4" ht="18" x14ac:dyDescent="0.35">
      <c r="A19" s="93" t="s">
        <v>638</v>
      </c>
      <c r="B19" s="168">
        <f>Reflectivity!C5</f>
        <v>1.8250459739813562E-6</v>
      </c>
      <c r="C19" s="168">
        <f>SQRT(C12^2*B20^2+C11^2*B21^2+C10^2*B22^2)</f>
        <v>1.259229163042262E-7</v>
      </c>
      <c r="D19" s="168">
        <f>NbHstack!D4</f>
        <v>8.1122733715332217E-8</v>
      </c>
    </row>
    <row r="20" spans="1:4" ht="18" x14ac:dyDescent="0.35">
      <c r="A20" s="93" t="s">
        <v>639</v>
      </c>
      <c r="B20" s="168">
        <f>B19/B12</f>
        <v>1.4390363519841936E-6</v>
      </c>
      <c r="C20" s="168"/>
      <c r="D20" s="167"/>
    </row>
    <row r="21" spans="1:4" ht="18" x14ac:dyDescent="0.35">
      <c r="A21" s="93" t="s">
        <v>640</v>
      </c>
      <c r="B21" s="168">
        <f>B12*(-Reflectivity!C16+(1-B10)*Reflectivity!D16+B10*(Reflectivity!E18/Reflectivity!D18)*Reflectivity!E16)</f>
        <v>-1.0967645432062462E-6</v>
      </c>
      <c r="C21" s="168"/>
      <c r="D21" s="167"/>
    </row>
    <row r="22" spans="1:4" ht="18" x14ac:dyDescent="0.35">
      <c r="A22" s="93" t="s">
        <v>641</v>
      </c>
      <c r="B22" s="168">
        <f>B12*B11*(-Reflectivity!D16+(Reflectivity!E18/Reflectivity!D18)*Reflectivity!E16)</f>
        <v>1.9256619249264097E-6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1000</v>
      </c>
      <c r="C2" s="105">
        <v>1030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1000</v>
      </c>
      <c r="B4" s="94">
        <v>3.2864234601798405</v>
      </c>
      <c r="C4" s="106">
        <v>1013.2710957393041</v>
      </c>
      <c r="D4" s="106">
        <v>17.607335578469861</v>
      </c>
    </row>
    <row r="5" spans="1:5" x14ac:dyDescent="0.35">
      <c r="A5" s="106">
        <v>1006</v>
      </c>
      <c r="B5" s="94">
        <v>2.901650783760398</v>
      </c>
      <c r="C5" s="94"/>
      <c r="D5" s="94"/>
    </row>
    <row r="6" spans="1:5" x14ac:dyDescent="0.35">
      <c r="A6" s="106">
        <v>1012</v>
      </c>
      <c r="B6" s="94">
        <v>2.7297485184195738</v>
      </c>
      <c r="C6" s="94"/>
      <c r="D6" s="94"/>
    </row>
    <row r="7" spans="1:5" x14ac:dyDescent="0.35">
      <c r="A7" s="106">
        <v>1018</v>
      </c>
      <c r="B7" s="94">
        <v>2.7903695548556775</v>
      </c>
      <c r="C7" s="94"/>
      <c r="D7" s="94"/>
    </row>
    <row r="8" spans="1:5" x14ac:dyDescent="0.35">
      <c r="A8" s="106">
        <v>1024</v>
      </c>
      <c r="B8" s="94">
        <v>3.0914621515108882</v>
      </c>
      <c r="C8" s="94"/>
      <c r="D8" s="94"/>
    </row>
    <row r="9" spans="1:5" x14ac:dyDescent="0.35">
      <c r="A9" s="106">
        <v>1030</v>
      </c>
      <c r="B9" s="94">
        <v>3.6288621132602756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50</v>
      </c>
      <c r="C2" s="105">
        <v>250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50</v>
      </c>
      <c r="B4" s="94">
        <v>3.8717419773094766</v>
      </c>
      <c r="C4" s="106">
        <v>161.30714143723077</v>
      </c>
      <c r="D4" s="106">
        <v>105.25271933406161</v>
      </c>
    </row>
    <row r="5" spans="1:5" x14ac:dyDescent="0.35">
      <c r="A5" s="106">
        <v>90</v>
      </c>
      <c r="B5" s="94">
        <v>3.1187037266019915</v>
      </c>
      <c r="C5" s="94"/>
      <c r="D5" s="94"/>
    </row>
    <row r="6" spans="1:5" x14ac:dyDescent="0.35">
      <c r="A6" s="106">
        <v>130</v>
      </c>
      <c r="B6" s="94">
        <v>2.7714049829547913</v>
      </c>
      <c r="C6" s="94"/>
      <c r="D6" s="94"/>
    </row>
    <row r="7" spans="1:5" x14ac:dyDescent="0.35">
      <c r="A7" s="106">
        <v>170</v>
      </c>
      <c r="B7" s="94">
        <v>2.7392845763131128</v>
      </c>
      <c r="C7" s="94"/>
      <c r="D7" s="94"/>
    </row>
    <row r="8" spans="1:5" x14ac:dyDescent="0.35">
      <c r="A8" s="106">
        <v>210</v>
      </c>
      <c r="B8" s="94">
        <v>2.9995759839552765</v>
      </c>
      <c r="C8" s="94"/>
      <c r="D8" s="94"/>
    </row>
    <row r="9" spans="1:5" x14ac:dyDescent="0.35">
      <c r="A9" s="106">
        <v>250</v>
      </c>
      <c r="B9" s="94">
        <v>3.3780664193681842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0.04</v>
      </c>
      <c r="C2" s="162">
        <v>0.16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0.04</v>
      </c>
      <c r="B4" s="94">
        <v>5.5406643593549161</v>
      </c>
      <c r="C4" s="161">
        <v>0.10435777444688281</v>
      </c>
      <c r="D4" s="161">
        <v>3.7914122981669129E-2</v>
      </c>
    </row>
    <row r="5" spans="1:5" x14ac:dyDescent="0.35">
      <c r="A5" s="161">
        <v>6.4000000000000001E-2</v>
      </c>
      <c r="B5" s="94">
        <v>3.9283167059673492</v>
      </c>
      <c r="C5" s="94"/>
      <c r="D5" s="94"/>
    </row>
    <row r="6" spans="1:5" x14ac:dyDescent="0.35">
      <c r="A6" s="161">
        <v>8.7999999999999995E-2</v>
      </c>
      <c r="B6" s="94">
        <v>2.9496217832148823</v>
      </c>
      <c r="C6" s="94"/>
      <c r="D6" s="94"/>
    </row>
    <row r="7" spans="1:5" x14ac:dyDescent="0.35">
      <c r="A7" s="161">
        <v>0.112</v>
      </c>
      <c r="B7" s="94">
        <v>2.7120006077363015</v>
      </c>
      <c r="C7" s="94"/>
      <c r="D7" s="94"/>
    </row>
    <row r="8" spans="1:5" x14ac:dyDescent="0.35">
      <c r="A8" s="161">
        <v>0.13600000000000001</v>
      </c>
      <c r="B8" s="94">
        <v>3.3305427017919635</v>
      </c>
      <c r="C8" s="94"/>
      <c r="D8" s="94"/>
    </row>
    <row r="9" spans="1:5" x14ac:dyDescent="0.35">
      <c r="A9" s="161">
        <v>0.16</v>
      </c>
      <c r="B9" s="94">
        <v>4.9282569265639093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637</v>
      </c>
      <c r="B2" s="162">
        <v>-0.03</v>
      </c>
      <c r="C2" s="162">
        <v>0.1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-0.03</v>
      </c>
      <c r="B4" s="94">
        <v>5.2737142648281958</v>
      </c>
      <c r="C4" s="161">
        <v>4.2251569001878438E-2</v>
      </c>
      <c r="D4" s="161">
        <v>4.5486480854185642E-2</v>
      </c>
    </row>
    <row r="5" spans="1:5" x14ac:dyDescent="0.35">
      <c r="A5" s="161">
        <v>-3.9999999999999966E-3</v>
      </c>
      <c r="B5" s="94">
        <v>3.7382337894262805</v>
      </c>
      <c r="C5" s="94"/>
      <c r="D5" s="94"/>
    </row>
    <row r="6" spans="1:5" x14ac:dyDescent="0.35">
      <c r="A6" s="161">
        <v>2.2000000000000006E-2</v>
      </c>
      <c r="B6" s="94">
        <v>2.8679943979627347</v>
      </c>
      <c r="C6" s="94"/>
      <c r="D6" s="94"/>
    </row>
    <row r="7" spans="1:5" x14ac:dyDescent="0.35">
      <c r="A7" s="161">
        <v>4.8000000000000008E-2</v>
      </c>
      <c r="B7" s="94">
        <v>2.741923935659317</v>
      </c>
      <c r="C7" s="94"/>
      <c r="D7" s="94"/>
    </row>
    <row r="8" spans="1:5" x14ac:dyDescent="0.35">
      <c r="A8" s="161">
        <v>7.400000000000001E-2</v>
      </c>
      <c r="B8" s="94">
        <v>3.3061565579223071</v>
      </c>
      <c r="C8" s="94"/>
      <c r="D8" s="94"/>
    </row>
    <row r="9" spans="1:5" x14ac:dyDescent="0.35">
      <c r="A9" s="161">
        <v>0.1</v>
      </c>
      <c r="B9" s="94">
        <v>4.2824155480951989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15</v>
      </c>
      <c r="C2" s="105">
        <v>35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15</v>
      </c>
      <c r="B4" s="94">
        <v>5.2386592189183734</v>
      </c>
      <c r="C4" s="106">
        <v>28.973187949049098</v>
      </c>
      <c r="D4" s="106">
        <v>8.7800888163452839</v>
      </c>
    </row>
    <row r="5" spans="1:5" x14ac:dyDescent="0.35">
      <c r="A5" s="106">
        <v>19</v>
      </c>
      <c r="B5" s="94">
        <v>4.1022280398774473</v>
      </c>
      <c r="C5" s="94"/>
      <c r="D5" s="94"/>
    </row>
    <row r="6" spans="1:5" x14ac:dyDescent="0.35">
      <c r="A6" s="106">
        <v>23</v>
      </c>
      <c r="B6" s="94">
        <v>3.2272032292762836</v>
      </c>
      <c r="C6" s="94"/>
      <c r="D6" s="94"/>
    </row>
    <row r="7" spans="1:5" x14ac:dyDescent="0.35">
      <c r="A7" s="106">
        <v>27</v>
      </c>
      <c r="B7" s="94">
        <v>2.7609411500398608</v>
      </c>
      <c r="C7" s="94"/>
      <c r="D7" s="94"/>
    </row>
    <row r="8" spans="1:5" x14ac:dyDescent="0.35">
      <c r="A8" s="106">
        <v>31</v>
      </c>
      <c r="B8" s="94">
        <v>2.7627129855405896</v>
      </c>
      <c r="C8" s="94"/>
      <c r="D8" s="94"/>
    </row>
    <row r="9" spans="1:5" x14ac:dyDescent="0.35">
      <c r="A9" s="106">
        <v>35</v>
      </c>
      <c r="B9" s="94">
        <v>3.249401421241437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30</v>
      </c>
      <c r="C2" s="105">
        <v>170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30</v>
      </c>
      <c r="B4" s="94">
        <v>2.829014137574096</v>
      </c>
      <c r="C4" s="106">
        <v>102.8379859963555</v>
      </c>
      <c r="D4" s="106">
        <v>233.57079026172556</v>
      </c>
    </row>
    <row r="5" spans="1:5" x14ac:dyDescent="0.35">
      <c r="A5" s="106">
        <v>58</v>
      </c>
      <c r="B5" s="94">
        <v>2.7615575589118713</v>
      </c>
      <c r="C5" s="94"/>
      <c r="D5" s="94"/>
    </row>
    <row r="6" spans="1:5" x14ac:dyDescent="0.35">
      <c r="A6" s="106">
        <v>86</v>
      </c>
      <c r="B6" s="94">
        <v>2.7298773549889854</v>
      </c>
      <c r="C6" s="94"/>
      <c r="D6" s="94"/>
    </row>
    <row r="7" spans="1:5" x14ac:dyDescent="0.35">
      <c r="A7" s="106">
        <v>114</v>
      </c>
      <c r="B7" s="94">
        <v>2.7331159384214736</v>
      </c>
      <c r="C7" s="94"/>
      <c r="D7" s="94"/>
    </row>
    <row r="8" spans="1:5" x14ac:dyDescent="0.35">
      <c r="A8" s="106">
        <v>142</v>
      </c>
      <c r="B8" s="94">
        <v>2.7628309174885546</v>
      </c>
      <c r="C8" s="94"/>
      <c r="D8" s="94"/>
    </row>
    <row r="9" spans="1:5" x14ac:dyDescent="0.35">
      <c r="A9" s="106">
        <v>170</v>
      </c>
      <c r="B9" s="94">
        <v>2.8072104323899736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2.04E-6</v>
      </c>
      <c r="C2" s="119">
        <v>2.1399999999999998E-6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2.04E-6</v>
      </c>
      <c r="B4" s="94">
        <v>3.5367113388289892</v>
      </c>
      <c r="C4" s="99">
        <v>2.0868381646897462E-6</v>
      </c>
      <c r="D4" s="99">
        <v>5.2934730513871699E-8</v>
      </c>
    </row>
    <row r="5" spans="1:5" x14ac:dyDescent="0.35">
      <c r="A5" s="99">
        <v>2.0599999999999998E-6</v>
      </c>
      <c r="B5" s="94">
        <v>3.0718441303017214</v>
      </c>
      <c r="C5" s="94"/>
      <c r="D5" s="94"/>
    </row>
    <row r="6" spans="1:5" x14ac:dyDescent="0.35">
      <c r="A6" s="99">
        <v>2.08E-6</v>
      </c>
      <c r="B6" s="94">
        <v>2.7758789723006756</v>
      </c>
      <c r="C6" s="94"/>
      <c r="D6" s="94"/>
    </row>
    <row r="7" spans="1:5" x14ac:dyDescent="0.35">
      <c r="A7" s="99">
        <v>2.0999999999999998E-6</v>
      </c>
      <c r="B7" s="94">
        <v>2.7439093267395567</v>
      </c>
      <c r="C7" s="94"/>
      <c r="D7" s="94"/>
    </row>
    <row r="8" spans="1:5" x14ac:dyDescent="0.35">
      <c r="A8" s="99">
        <v>2.12E-6</v>
      </c>
      <c r="B8" s="94">
        <v>3.2623284468728437</v>
      </c>
      <c r="C8" s="94"/>
      <c r="D8" s="94"/>
    </row>
    <row r="9" spans="1:5" x14ac:dyDescent="0.35">
      <c r="A9" s="99">
        <v>2.1399999999999998E-6</v>
      </c>
      <c r="B9" s="94">
        <v>3.7447628621883511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1.84E-6</v>
      </c>
      <c r="C2" s="119">
        <v>2.04E-6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1.84E-6</v>
      </c>
      <c r="B4" s="94">
        <v>4.9066788277755942</v>
      </c>
      <c r="C4" s="99">
        <v>1.9492220821109488E-6</v>
      </c>
      <c r="D4" s="99">
        <v>7.2967227171388405E-8</v>
      </c>
    </row>
    <row r="5" spans="1:5" x14ac:dyDescent="0.35">
      <c r="A5" s="99">
        <v>1.88E-6</v>
      </c>
      <c r="B5" s="94">
        <v>3.6544866603450576</v>
      </c>
      <c r="C5" s="94"/>
      <c r="D5" s="94"/>
    </row>
    <row r="6" spans="1:5" x14ac:dyDescent="0.35">
      <c r="A6" s="99">
        <v>1.9199999999999998E-6</v>
      </c>
      <c r="B6" s="94">
        <v>2.8940266741913039</v>
      </c>
      <c r="C6" s="94"/>
      <c r="D6" s="94"/>
    </row>
    <row r="7" spans="1:5" x14ac:dyDescent="0.35">
      <c r="A7" s="99">
        <v>1.9599999999999999E-6</v>
      </c>
      <c r="B7" s="94">
        <v>2.6956831090978621</v>
      </c>
      <c r="C7" s="94"/>
      <c r="D7" s="94"/>
    </row>
    <row r="8" spans="1:5" x14ac:dyDescent="0.35">
      <c r="A8" s="99">
        <v>1.9999999999999999E-6</v>
      </c>
      <c r="B8" s="94">
        <v>3.1341535594130057</v>
      </c>
      <c r="C8" s="94"/>
      <c r="D8" s="94"/>
    </row>
    <row r="9" spans="1:5" x14ac:dyDescent="0.35">
      <c r="A9" s="99">
        <v>2.04E-6</v>
      </c>
      <c r="B9" s="94">
        <v>4.2885706482707118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1.7799999999999999E-6</v>
      </c>
      <c r="C2" s="119">
        <v>1.84E-6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1.7799999999999999E-6</v>
      </c>
      <c r="B4" s="94">
        <v>2.9184014840013437</v>
      </c>
      <c r="C4" s="99">
        <v>1.8184491611769297E-6</v>
      </c>
      <c r="D4" s="99">
        <v>8.1122733715332217E-8</v>
      </c>
    </row>
    <row r="5" spans="1:5" x14ac:dyDescent="0.35">
      <c r="A5" s="99">
        <v>1.792E-6</v>
      </c>
      <c r="B5" s="94">
        <v>2.7998684086912289</v>
      </c>
      <c r="C5" s="94"/>
      <c r="D5" s="94"/>
    </row>
    <row r="6" spans="1:5" x14ac:dyDescent="0.35">
      <c r="A6" s="99">
        <v>1.804E-6</v>
      </c>
      <c r="B6" s="94">
        <v>2.7250283821616885</v>
      </c>
      <c r="C6" s="94"/>
      <c r="D6" s="94"/>
    </row>
    <row r="7" spans="1:5" x14ac:dyDescent="0.35">
      <c r="A7" s="99">
        <v>1.8159999999999999E-6</v>
      </c>
      <c r="B7" s="94">
        <v>2.6945411369587893</v>
      </c>
      <c r="C7" s="94"/>
      <c r="D7" s="94"/>
    </row>
    <row r="8" spans="1:5" x14ac:dyDescent="0.35">
      <c r="A8" s="99">
        <v>1.8279999999999999E-6</v>
      </c>
      <c r="B8" s="94">
        <v>2.7080317472771567</v>
      </c>
      <c r="C8" s="94"/>
      <c r="D8" s="94"/>
    </row>
    <row r="9" spans="1:5" x14ac:dyDescent="0.35">
      <c r="A9" s="99">
        <v>1.84E-6</v>
      </c>
      <c r="B9" s="94">
        <v>2.7639070999788751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3D7E0-AF7B-42C3-AFBF-542D5A819C2E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36.582031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636</v>
      </c>
      <c r="D1" s="86" t="s">
        <v>547</v>
      </c>
      <c r="E1" s="86">
        <v>174571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647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648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642</v>
      </c>
      <c r="E4" s="1" t="s">
        <v>643</v>
      </c>
      <c r="F4" s="1">
        <v>10</v>
      </c>
      <c r="G4" s="117">
        <v>0.88232638888888892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174571</v>
      </c>
      <c r="C8" s="1">
        <v>174452</v>
      </c>
      <c r="D8" s="1">
        <v>1.1428499999999999</v>
      </c>
      <c r="E8" s="1">
        <v>13.2996</v>
      </c>
      <c r="F8" s="1">
        <v>16.700600000000001</v>
      </c>
      <c r="G8" s="1">
        <v>7.4999999999999997E-3</v>
      </c>
      <c r="H8" s="1">
        <v>9.4000000000000004E-3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174572</v>
      </c>
      <c r="C9" s="1">
        <v>174453</v>
      </c>
      <c r="D9" s="1">
        <v>1.1418699999999999</v>
      </c>
      <c r="E9" s="1">
        <v>10.685600000000001</v>
      </c>
      <c r="F9" s="1">
        <v>14.086499999999999</v>
      </c>
      <c r="G9" s="1">
        <v>8.8000000000000005E-3</v>
      </c>
      <c r="H9" s="1">
        <v>1.17E-2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174573</v>
      </c>
      <c r="C10" s="1">
        <v>174454</v>
      </c>
      <c r="D10" s="1">
        <v>1.1418699999999999</v>
      </c>
      <c r="E10" s="1">
        <v>8.0395699999999994</v>
      </c>
      <c r="F10" s="1">
        <v>11.4405</v>
      </c>
      <c r="G10" s="1">
        <v>1.09E-2</v>
      </c>
      <c r="H10" s="1">
        <v>1.55E-2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174574</v>
      </c>
      <c r="C11" s="1">
        <v>174455</v>
      </c>
      <c r="D11" s="1">
        <v>1.1418699999999999</v>
      </c>
      <c r="E11" s="1">
        <v>5.3425500000000001</v>
      </c>
      <c r="F11" s="1">
        <v>8.7435200000000002</v>
      </c>
      <c r="G11" s="1">
        <v>1.43E-2</v>
      </c>
      <c r="H11" s="1">
        <v>2.3400000000000001E-2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174575</v>
      </c>
      <c r="C12" s="1">
        <v>174456</v>
      </c>
      <c r="D12" s="1">
        <v>1.1418699999999999</v>
      </c>
      <c r="E12" s="1">
        <v>2.5495399999999999</v>
      </c>
      <c r="F12" s="1">
        <v>5.9504999999999999</v>
      </c>
      <c r="G12" s="1">
        <v>2.1000000000000001E-2</v>
      </c>
      <c r="H12" s="1">
        <v>4.9099999999999998E-2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174576</v>
      </c>
      <c r="C13" s="1">
        <v>174456</v>
      </c>
      <c r="D13" s="1">
        <v>2.3091200000000001</v>
      </c>
      <c r="E13" s="1">
        <v>2.5495399999999999</v>
      </c>
      <c r="F13" s="1">
        <v>5.9504999999999999</v>
      </c>
      <c r="G13" s="1">
        <v>4.2500000000000003E-2</v>
      </c>
      <c r="H13" s="1">
        <v>9.9299999999999999E-2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B15" s="1" t="s">
        <v>545</v>
      </c>
      <c r="C15" s="1" t="s">
        <v>566</v>
      </c>
      <c r="D15" s="1" t="s">
        <v>644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551</v>
      </c>
      <c r="D16" s="1" t="s">
        <v>567</v>
      </c>
      <c r="E16" s="1" t="s">
        <v>568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569</v>
      </c>
      <c r="E17" s="1" t="s">
        <v>570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545</v>
      </c>
      <c r="D18" s="1" t="s">
        <v>566</v>
      </c>
      <c r="E18" s="1" t="s">
        <v>644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C20" s="1" t="s">
        <v>556</v>
      </c>
      <c r="D20" s="1" t="s">
        <v>557</v>
      </c>
      <c r="E20" s="1" t="s">
        <v>571</v>
      </c>
      <c r="F20" s="1" t="s">
        <v>559</v>
      </c>
      <c r="G20" s="1" t="s">
        <v>560</v>
      </c>
      <c r="H20" s="1" t="s">
        <v>561</v>
      </c>
      <c r="I20" s="1" t="s">
        <v>562</v>
      </c>
      <c r="J20" s="1" t="s">
        <v>572</v>
      </c>
      <c r="K20" s="1" t="s">
        <v>573</v>
      </c>
      <c r="L20" s="1" t="s">
        <v>574</v>
      </c>
      <c r="M20" s="1" t="s">
        <v>575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>
        <v>174571</v>
      </c>
      <c r="D21" s="1">
        <v>174452</v>
      </c>
      <c r="E21" s="1">
        <v>1.2</v>
      </c>
      <c r="F21" s="1">
        <v>13.3</v>
      </c>
      <c r="G21" s="1">
        <v>16.7</v>
      </c>
      <c r="H21" s="1">
        <v>7.9000000000000008E-3</v>
      </c>
      <c r="I21" s="1">
        <v>9.9000000000000008E-3</v>
      </c>
      <c r="J21" s="1">
        <v>1.0242026040200001</v>
      </c>
      <c r="K21" s="1">
        <v>6049</v>
      </c>
      <c r="L21" s="1">
        <v>41.750999999999998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174572</v>
      </c>
      <c r="D22" s="1">
        <v>174453</v>
      </c>
      <c r="E22" s="1">
        <v>1.2</v>
      </c>
      <c r="F22" s="1">
        <v>10.69</v>
      </c>
      <c r="G22" s="1">
        <v>14.09</v>
      </c>
      <c r="H22" s="1">
        <v>9.4000000000000004E-3</v>
      </c>
      <c r="I22" s="1">
        <v>1.23E-2</v>
      </c>
      <c r="J22" s="1">
        <v>1.0242026040200001</v>
      </c>
      <c r="K22" s="1">
        <v>6052</v>
      </c>
      <c r="L22" s="1">
        <v>23.715009999999999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174573</v>
      </c>
      <c r="D23" s="1">
        <v>174454</v>
      </c>
      <c r="E23" s="1">
        <v>1.2</v>
      </c>
      <c r="F23" s="1">
        <v>8.0399999999999991</v>
      </c>
      <c r="G23" s="1">
        <v>11.44</v>
      </c>
      <c r="H23" s="1">
        <v>1.15E-2</v>
      </c>
      <c r="I23" s="1">
        <v>1.6400000000000001E-2</v>
      </c>
      <c r="J23" s="1">
        <v>1.0242026040200001</v>
      </c>
      <c r="K23" s="1">
        <v>6057</v>
      </c>
      <c r="L23" s="1">
        <v>51.414544999999997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174574</v>
      </c>
      <c r="D24" s="1">
        <v>174455</v>
      </c>
      <c r="E24" s="1">
        <v>1.2</v>
      </c>
      <c r="F24" s="1">
        <v>5.34</v>
      </c>
      <c r="G24" s="1">
        <v>8.74</v>
      </c>
      <c r="H24" s="1">
        <v>1.5100000000000001E-2</v>
      </c>
      <c r="I24" s="1">
        <v>2.47E-2</v>
      </c>
      <c r="J24" s="1">
        <v>1.0242026040200001</v>
      </c>
      <c r="K24" s="1">
        <v>6013</v>
      </c>
      <c r="L24" s="1">
        <v>62.903154999999998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174575</v>
      </c>
      <c r="D25" s="1">
        <v>174456</v>
      </c>
      <c r="E25" s="1">
        <v>1.2</v>
      </c>
      <c r="F25" s="1">
        <v>2.5499999999999998</v>
      </c>
      <c r="G25" s="1">
        <v>5.95</v>
      </c>
      <c r="H25" s="1">
        <v>2.2200000000000001E-2</v>
      </c>
      <c r="I25" s="1">
        <v>5.1700000000000003E-2</v>
      </c>
      <c r="J25" s="1">
        <v>1.0242026040200001</v>
      </c>
      <c r="K25" s="1">
        <v>18028</v>
      </c>
      <c r="L25" s="1">
        <v>344.96608400000002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174576</v>
      </c>
      <c r="D26" s="1">
        <v>174456</v>
      </c>
      <c r="E26" s="1">
        <v>2.37</v>
      </c>
      <c r="F26" s="1">
        <v>2.5499999999999998</v>
      </c>
      <c r="G26" s="1">
        <v>5.95</v>
      </c>
      <c r="H26" s="1">
        <v>4.3700000000000003E-2</v>
      </c>
      <c r="I26" s="1">
        <v>0.1019</v>
      </c>
      <c r="J26" s="1">
        <v>1.0242026040200001</v>
      </c>
      <c r="K26" s="1">
        <v>18002</v>
      </c>
      <c r="L26" s="1">
        <v>1061.904313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 t="s">
        <v>576</v>
      </c>
      <c r="D28" s="1" t="s">
        <v>577</v>
      </c>
      <c r="E28" s="1" t="s">
        <v>578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C29" s="1" t="s">
        <v>579</v>
      </c>
      <c r="D29" s="1">
        <v>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580</v>
      </c>
      <c r="D30" s="1">
        <v>295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581</v>
      </c>
      <c r="D31" s="86">
        <v>4.0000000000000002E-4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582</v>
      </c>
      <c r="D32" s="86">
        <v>2.3E-2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583</v>
      </c>
      <c r="D34" s="1" t="s">
        <v>0</v>
      </c>
      <c r="E34" s="1" t="s">
        <v>584</v>
      </c>
      <c r="F34" s="1" t="s">
        <v>585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586</v>
      </c>
      <c r="C36" s="1" t="s">
        <v>587</v>
      </c>
      <c r="D36" s="1">
        <v>4.0000000000000002E-4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B37" s="1" t="s">
        <v>588</v>
      </c>
      <c r="C37" s="1" t="s">
        <v>587</v>
      </c>
      <c r="D37" s="1">
        <v>2.3E-2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589</v>
      </c>
      <c r="C38" s="1" t="s">
        <v>0</v>
      </c>
      <c r="D38" s="1" t="s">
        <v>584</v>
      </c>
      <c r="E38" s="1" t="s">
        <v>585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>
        <v>7.8631740048299998E-3</v>
      </c>
      <c r="B39" s="1">
        <v>0.85952724932000002</v>
      </c>
      <c r="C39" s="1">
        <v>0.21943239577000001</v>
      </c>
      <c r="D39" s="1">
        <v>5.8085300211099995E-4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>
        <v>7.9418057448799994E-3</v>
      </c>
      <c r="B40" s="1">
        <v>0.86292971348400005</v>
      </c>
      <c r="C40" s="1">
        <v>0.13454743339399999</v>
      </c>
      <c r="D40" s="1">
        <v>5.8266153213199997E-4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8.0212238023300002E-3</v>
      </c>
      <c r="B41" s="1">
        <v>0.97128542303800003</v>
      </c>
      <c r="C41" s="1">
        <v>9.9815956354700003E-2</v>
      </c>
      <c r="D41" s="1">
        <v>5.8448814745400005E-4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8.1014360403499994E-3</v>
      </c>
      <c r="B42" s="1">
        <v>1.0452903930799999</v>
      </c>
      <c r="C42" s="1">
        <v>8.7874496294100005E-2</v>
      </c>
      <c r="D42" s="1">
        <v>5.8633302892800005E-4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8.1824504007600007E-3</v>
      </c>
      <c r="B43" s="1">
        <v>1.08343737046</v>
      </c>
      <c r="C43" s="1">
        <v>8.0131628116100001E-2</v>
      </c>
      <c r="D43" s="1">
        <v>5.8819635921700004E-4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8.2642749047700005E-3</v>
      </c>
      <c r="B44" s="1">
        <v>0.87339425652900005</v>
      </c>
      <c r="C44" s="1">
        <v>6.8051764044600005E-2</v>
      </c>
      <c r="D44" s="1">
        <v>5.9007832281000004E-4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8.3469176538099998E-3</v>
      </c>
      <c r="B45" s="1">
        <v>1.0068997451899999</v>
      </c>
      <c r="C45" s="1">
        <v>7.1811659387400001E-2</v>
      </c>
      <c r="D45" s="1">
        <v>5.9197910603799996E-4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8.4303868303500003E-3</v>
      </c>
      <c r="B46" s="1">
        <v>1.02308282318</v>
      </c>
      <c r="C46" s="1">
        <v>6.9092432669199996E-2</v>
      </c>
      <c r="D46" s="1">
        <v>5.9389889709799998E-4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8.5146906986500008E-3</v>
      </c>
      <c r="B47" s="1">
        <v>0.94595164192799996</v>
      </c>
      <c r="C47" s="1">
        <v>6.3241774311599996E-2</v>
      </c>
      <c r="D47" s="1">
        <v>5.9583788606899996E-4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8.5998376056400008E-3</v>
      </c>
      <c r="B48" s="1">
        <v>1.0410565623800001</v>
      </c>
      <c r="C48" s="1">
        <v>6.3060870369400002E-2</v>
      </c>
      <c r="D48" s="1">
        <v>5.9779626492999997E-4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8.6858359817000002E-3</v>
      </c>
      <c r="B49" s="1">
        <v>0.97085548228999996</v>
      </c>
      <c r="C49" s="1">
        <v>6.0647478496800002E-2</v>
      </c>
      <c r="D49" s="1">
        <v>5.9977422757899999E-4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8.7726943415100001E-3</v>
      </c>
      <c r="B50" s="1">
        <v>1.1641991649600001</v>
      </c>
      <c r="C50" s="1">
        <v>6.5059457833599996E-2</v>
      </c>
      <c r="D50" s="1">
        <v>6.0177196985499999E-4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8.86042128493E-3</v>
      </c>
      <c r="B51" s="1">
        <v>1.00708435889</v>
      </c>
      <c r="C51" s="1">
        <v>5.84354394429E-2</v>
      </c>
      <c r="D51" s="1">
        <v>6.0378968955299996E-4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8.9490254977800006E-3</v>
      </c>
      <c r="B52" s="1">
        <v>1.0810660062499999</v>
      </c>
      <c r="C52" s="1">
        <v>4.8398503578300001E-2</v>
      </c>
      <c r="D52" s="1">
        <v>6.0582758644900001E-4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9.0385157527600006E-3</v>
      </c>
      <c r="B53" s="1">
        <v>0.95958567868699995</v>
      </c>
      <c r="C53" s="1">
        <v>4.3207113111999998E-2</v>
      </c>
      <c r="D53" s="1">
        <v>6.0788586231300004E-4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9.1289009102799995E-3</v>
      </c>
      <c r="B54" s="1">
        <v>0.92721278855199996</v>
      </c>
      <c r="C54" s="1">
        <v>4.0950136126700003E-2</v>
      </c>
      <c r="D54" s="1">
        <v>6.0996472093700004E-4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9.2201899193900001E-3</v>
      </c>
      <c r="B55" s="1">
        <v>1.02624719159</v>
      </c>
      <c r="C55" s="1">
        <v>4.2492846727200002E-2</v>
      </c>
      <c r="D55" s="1">
        <v>6.1206436814599996E-4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9.3123918185800004E-3</v>
      </c>
      <c r="B56" s="1">
        <v>0.99180005946700001</v>
      </c>
      <c r="C56" s="1">
        <v>4.0637097744599997E-2</v>
      </c>
      <c r="D56" s="1">
        <v>6.1418501182700005E-4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9.4055157367700006E-3</v>
      </c>
      <c r="B57" s="1">
        <v>1.0473076988100001</v>
      </c>
      <c r="C57" s="1">
        <v>6.9312237983500002E-2</v>
      </c>
      <c r="D57" s="1">
        <v>6.1632686194599997E-4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9.4995708941299998E-3</v>
      </c>
      <c r="B58" s="1">
        <v>1.0206816669000001</v>
      </c>
      <c r="C58" s="1">
        <v>6.5516625582900001E-2</v>
      </c>
      <c r="D58" s="1">
        <v>6.1849013056499997E-4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9.5945666030799997E-3</v>
      </c>
      <c r="B59" s="1">
        <v>1.04512314713</v>
      </c>
      <c r="C59" s="1">
        <v>6.61228931022E-2</v>
      </c>
      <c r="D59" s="1">
        <v>6.2067503187099998E-4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9.69051226911E-3</v>
      </c>
      <c r="B60" s="1">
        <v>1.13999446778</v>
      </c>
      <c r="C60" s="1">
        <v>6.6150187473699995E-2</v>
      </c>
      <c r="D60" s="1">
        <v>6.2288178218900003E-4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9.7874173918000001E-3</v>
      </c>
      <c r="B61" s="1">
        <v>0.98139535560699998</v>
      </c>
      <c r="C61" s="1">
        <v>5.9004021001499998E-2</v>
      </c>
      <c r="D61" s="1">
        <v>6.2511060001099999E-4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9.8852915657199995E-3</v>
      </c>
      <c r="B62" s="1">
        <v>0.90044607171299995</v>
      </c>
      <c r="C62" s="1">
        <v>5.55677377193E-2</v>
      </c>
      <c r="D62" s="1">
        <v>6.2736170601099999E-4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9.9841444813699998E-3</v>
      </c>
      <c r="B63" s="1">
        <v>0.87608655601700003</v>
      </c>
      <c r="C63" s="1">
        <v>5.3477107853799999E-2</v>
      </c>
      <c r="D63" s="1">
        <v>6.2963532307199995E-4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1.0083985926200001E-2</v>
      </c>
      <c r="B64" s="1">
        <v>0.62545892838700001</v>
      </c>
      <c r="C64" s="1">
        <v>4.3554979906799997E-2</v>
      </c>
      <c r="D64" s="1">
        <v>6.3193167630200004E-4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1.01848257854E-2</v>
      </c>
      <c r="B65" s="1">
        <v>0.59084807772799997</v>
      </c>
      <c r="C65" s="1">
        <v>4.1756493422699999E-2</v>
      </c>
      <c r="D65" s="1">
        <v>6.3425099306499996E-4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1.02866740433E-2</v>
      </c>
      <c r="B66" s="1">
        <v>0.41582762315799998</v>
      </c>
      <c r="C66" s="1">
        <v>3.39048789537E-2</v>
      </c>
      <c r="D66" s="1">
        <v>6.3659350299599996E-4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1.03895407837E-2</v>
      </c>
      <c r="B67" s="1">
        <v>0.23630034966499999</v>
      </c>
      <c r="C67" s="1">
        <v>2.55435454418E-2</v>
      </c>
      <c r="D67" s="1">
        <v>6.3895943802600005E-4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1.04934361916E-2</v>
      </c>
      <c r="B68" s="1">
        <v>0.230686039935</v>
      </c>
      <c r="C68" s="1">
        <v>2.49293538278E-2</v>
      </c>
      <c r="D68" s="1">
        <v>6.4134903240600002E-4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1.05983705535E-2</v>
      </c>
      <c r="B69" s="1">
        <v>0.22982924195599999</v>
      </c>
      <c r="C69" s="1">
        <v>2.3975299470900002E-2</v>
      </c>
      <c r="D69" s="1">
        <v>6.4376252273E-4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1.0704354259E-2</v>
      </c>
      <c r="B70" s="1">
        <v>0.20132238375700001</v>
      </c>
      <c r="C70" s="1">
        <v>2.2074097533399999E-2</v>
      </c>
      <c r="D70" s="1">
        <v>6.46200147958E-4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1.08113978016E-2</v>
      </c>
      <c r="B71" s="1">
        <v>0.177813274124</v>
      </c>
      <c r="C71" s="1">
        <v>2.0408924521200002E-2</v>
      </c>
      <c r="D71" s="1">
        <v>6.4866214943700004E-4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1.0919511779600001E-2</v>
      </c>
      <c r="B72" s="1">
        <v>0.225941414299</v>
      </c>
      <c r="C72" s="1">
        <v>2.2430357929699999E-2</v>
      </c>
      <c r="D72" s="1">
        <v>6.5114877093200004E-4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1.1028706897400001E-2</v>
      </c>
      <c r="B73" s="1">
        <v>0.21534200189899999</v>
      </c>
      <c r="C73" s="1">
        <v>1.24042985272E-2</v>
      </c>
      <c r="D73" s="1">
        <v>6.5366025864100003E-4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1.11389939664E-2</v>
      </c>
      <c r="B74" s="1">
        <v>0.18411577077800001</v>
      </c>
      <c r="C74" s="1">
        <v>1.08968084978E-2</v>
      </c>
      <c r="D74" s="1">
        <v>6.5619686122700004E-4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1.12503839061E-2</v>
      </c>
      <c r="B75" s="1">
        <v>0.20506334626299999</v>
      </c>
      <c r="C75" s="1">
        <v>1.1219195969400001E-2</v>
      </c>
      <c r="D75" s="1">
        <v>6.5875882983899999E-4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1.1362887745099999E-2</v>
      </c>
      <c r="B76" s="1">
        <v>0.1990274685</v>
      </c>
      <c r="C76" s="1">
        <v>1.0805888044300001E-2</v>
      </c>
      <c r="D76" s="1">
        <v>6.6134641813799997E-4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1.14765166226E-2</v>
      </c>
      <c r="B77" s="1">
        <v>0.156540998609</v>
      </c>
      <c r="C77" s="1">
        <v>9.2583555363800005E-3</v>
      </c>
      <c r="D77" s="1">
        <v>6.6395988231899997E-4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1.1591281788799999E-2</v>
      </c>
      <c r="B78" s="1">
        <v>0.165520830673</v>
      </c>
      <c r="C78" s="1">
        <v>1.13187601797E-2</v>
      </c>
      <c r="D78" s="1">
        <v>6.6659948114199997E-4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1.17071946067E-2</v>
      </c>
      <c r="B79" s="1">
        <v>0.12774930719800001</v>
      </c>
      <c r="C79" s="1">
        <v>9.6769843382299991E-3</v>
      </c>
      <c r="D79" s="1">
        <v>6.69265475954E-4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1.18242665528E-2</v>
      </c>
      <c r="B80" s="1">
        <v>0.13068352549000001</v>
      </c>
      <c r="C80" s="1">
        <v>9.6097251669500002E-3</v>
      </c>
      <c r="D80" s="1">
        <v>6.7195813071299995E-4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1.19425092183E-2</v>
      </c>
      <c r="B81" s="1">
        <v>0.126753044239</v>
      </c>
      <c r="C81" s="1">
        <v>9.2853601731599997E-3</v>
      </c>
      <c r="D81" s="1">
        <v>6.7467771202100004E-4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1.2061934310500001E-2</v>
      </c>
      <c r="B82" s="1">
        <v>0.10639216257299999</v>
      </c>
      <c r="C82" s="1">
        <v>8.2516921178399996E-3</v>
      </c>
      <c r="D82" s="1">
        <v>6.7742448914099999E-4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1.2182553653599999E-2</v>
      </c>
      <c r="B83" s="1">
        <v>8.8902305206099999E-2</v>
      </c>
      <c r="C83" s="1">
        <v>7.22957876209E-3</v>
      </c>
      <c r="D83" s="1">
        <v>6.8019873403200003E-4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1.2304379190100001E-2</v>
      </c>
      <c r="B84" s="1">
        <v>7.1100456022300002E-2</v>
      </c>
      <c r="C84" s="1">
        <v>6.3154839607300001E-3</v>
      </c>
      <c r="D84" s="1">
        <v>6.8300072137200002E-4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1.2427422981999999E-2</v>
      </c>
      <c r="B85" s="1">
        <v>6.6727682008799999E-2</v>
      </c>
      <c r="C85" s="1">
        <v>6.0533065483499996E-3</v>
      </c>
      <c r="D85" s="1">
        <v>6.8583072858600003E-4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1.25516972118E-2</v>
      </c>
      <c r="B86" s="1">
        <v>5.8713503546899998E-2</v>
      </c>
      <c r="C86" s="1">
        <v>5.4142643573899998E-3</v>
      </c>
      <c r="D86" s="1">
        <v>6.8868903587199996E-4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1.26772141839E-2</v>
      </c>
      <c r="B87" s="1">
        <v>3.7824398779100002E-2</v>
      </c>
      <c r="C87" s="1">
        <v>4.3470987900900001E-3</v>
      </c>
      <c r="D87" s="1">
        <v>6.9157592623100004E-4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1.28039863258E-2</v>
      </c>
      <c r="B88" s="1">
        <v>3.5447912975899998E-2</v>
      </c>
      <c r="C88" s="1">
        <v>4.1463857965900004E-3</v>
      </c>
      <c r="D88" s="1">
        <v>6.9449168549300003E-4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1.2932026189000001E-2</v>
      </c>
      <c r="B89" s="1">
        <v>3.9557693677200002E-2</v>
      </c>
      <c r="C89" s="1">
        <v>4.1403888406199999E-3</v>
      </c>
      <c r="D89" s="1">
        <v>6.9743660234799999E-4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1.3061346450899999E-2</v>
      </c>
      <c r="B90" s="1">
        <v>3.2125888364299998E-2</v>
      </c>
      <c r="C90" s="1">
        <v>3.7130122639300002E-3</v>
      </c>
      <c r="D90" s="1">
        <v>7.0041096837200004E-4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1.31919599154E-2</v>
      </c>
      <c r="B91" s="1">
        <v>2.5200126824799999E-2</v>
      </c>
      <c r="C91" s="1">
        <v>3.2819023499700002E-3</v>
      </c>
      <c r="D91" s="1">
        <v>7.0341507805499995E-4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1.33238795146E-2</v>
      </c>
      <c r="B92" s="1">
        <v>2.1620603401699998E-2</v>
      </c>
      <c r="C92" s="1">
        <v>2.9395173253E-3</v>
      </c>
      <c r="D92" s="86">
        <v>7.0644922883600001E-4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1.3457118309700001E-2</v>
      </c>
      <c r="B93" s="1">
        <v>1.6505731059200002E-2</v>
      </c>
      <c r="C93" s="1">
        <v>2.7309135700700001E-3</v>
      </c>
      <c r="D93" s="1">
        <v>7.0951372112399997E-4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1.3591689492799999E-2</v>
      </c>
      <c r="B94" s="1">
        <v>1.9333927675200001E-2</v>
      </c>
      <c r="C94" s="1">
        <v>2.7409098813799999E-3</v>
      </c>
      <c r="D94" s="1">
        <v>7.1260885833499996E-4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1.37276063878E-2</v>
      </c>
      <c r="B95" s="1">
        <v>1.6641797286500001E-2</v>
      </c>
      <c r="C95" s="1">
        <v>2.5241141612900001E-3</v>
      </c>
      <c r="D95" s="1">
        <v>7.1573494691900001E-4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1.3864882451600001E-2</v>
      </c>
      <c r="B96" s="1">
        <v>1.6830656363100001E-2</v>
      </c>
      <c r="C96" s="1">
        <v>2.52826211434E-3</v>
      </c>
      <c r="D96" s="1">
        <v>7.1889229638800003E-4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1.40035312762E-2</v>
      </c>
      <c r="B97" s="1">
        <v>2.25479770374E-2</v>
      </c>
      <c r="C97" s="1">
        <v>2.7421527524300001E-3</v>
      </c>
      <c r="D97" s="1">
        <v>7.2208121935199996E-4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1.41435665889E-2</v>
      </c>
      <c r="B98" s="1">
        <v>2.3571220807800001E-2</v>
      </c>
      <c r="C98" s="1">
        <v>2.75086171484E-3</v>
      </c>
      <c r="D98" s="1">
        <v>7.2530203154500005E-4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1.42850022548E-2</v>
      </c>
      <c r="B99" s="1">
        <v>2.62589341606E-2</v>
      </c>
      <c r="C99" s="1">
        <v>2.7497265850800002E-3</v>
      </c>
      <c r="D99" s="1">
        <v>7.2855505186099996E-4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1.44278522774E-2</v>
      </c>
      <c r="B100" s="1">
        <v>2.3308445224399999E-2</v>
      </c>
      <c r="C100" s="1">
        <v>1.76967739807E-3</v>
      </c>
      <c r="D100" s="1">
        <v>7.3184060237899997E-4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1.4572130800099999E-2</v>
      </c>
      <c r="B101" s="1">
        <v>2.2007928149599999E-2</v>
      </c>
      <c r="C101" s="1">
        <v>1.6649250574699999E-3</v>
      </c>
      <c r="D101" s="1">
        <v>7.3515900840299996E-4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1.4717852108099999E-2</v>
      </c>
      <c r="B102" s="1">
        <v>2.34141220654E-2</v>
      </c>
      <c r="C102" s="1">
        <v>1.66111067677E-3</v>
      </c>
      <c r="D102" s="1">
        <v>7.3851059848700003E-4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1.4865030629200001E-2</v>
      </c>
      <c r="B103" s="1">
        <v>2.5908845375899998E-2</v>
      </c>
      <c r="C103" s="1">
        <v>1.6994967615499999E-3</v>
      </c>
      <c r="D103" s="1">
        <v>7.4189570447199995E-4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1.50136809355E-2</v>
      </c>
      <c r="B104" s="1">
        <v>2.7108817641399999E-2</v>
      </c>
      <c r="C104" s="1">
        <v>1.66281127767E-3</v>
      </c>
      <c r="D104" s="1">
        <v>7.4531466151699999E-4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1.5163817744900001E-2</v>
      </c>
      <c r="B105" s="1">
        <v>2.9300329998700001E-2</v>
      </c>
      <c r="C105" s="1">
        <v>1.72649389432E-3</v>
      </c>
      <c r="D105" s="1">
        <v>7.4876780813200002E-4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1.5315455922300001E-2</v>
      </c>
      <c r="B106" s="1">
        <v>2.84298047627E-2</v>
      </c>
      <c r="C106" s="1">
        <v>1.6996734870999999E-3</v>
      </c>
      <c r="D106" s="1">
        <v>7.5225548621300005E-4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1.54686104815E-2</v>
      </c>
      <c r="B107" s="1">
        <v>2.5918869573900001E-2</v>
      </c>
      <c r="C107" s="1">
        <v>2.1909948790199999E-3</v>
      </c>
      <c r="D107" s="1">
        <v>7.5577804107499998E-4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1.56232965864E-2</v>
      </c>
      <c r="B108" s="1">
        <v>2.46832644012E-2</v>
      </c>
      <c r="C108" s="1">
        <v>1.99849193879E-3</v>
      </c>
      <c r="D108" s="1">
        <v>7.5933582148599997E-4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1.5779529552200001E-2</v>
      </c>
      <c r="B109" s="1">
        <v>2.1452362925099999E-2</v>
      </c>
      <c r="C109" s="1">
        <v>1.82144712834E-3</v>
      </c>
      <c r="D109" s="1">
        <v>7.6292917970100004E-4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1.59373248477E-2</v>
      </c>
      <c r="B110" s="1">
        <v>2.5100877065800001E-2</v>
      </c>
      <c r="C110" s="1">
        <v>1.97087231555E-3</v>
      </c>
      <c r="D110" s="1">
        <v>7.6655847149800001E-4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1.6096698096199999E-2</v>
      </c>
      <c r="B111" s="1">
        <v>1.90610084392E-2</v>
      </c>
      <c r="C111" s="1">
        <v>1.6688113345E-3</v>
      </c>
      <c r="D111" s="1">
        <v>7.7022405621299998E-4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1.6257665077200001E-2</v>
      </c>
      <c r="B112" s="1">
        <v>2.1431771775899999E-2</v>
      </c>
      <c r="C112" s="1">
        <v>1.8135815623299999E-3</v>
      </c>
      <c r="D112" s="1">
        <v>7.7392629677499995E-4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1.6420241727999999E-2</v>
      </c>
      <c r="B113" s="1">
        <v>1.67593466839E-2</v>
      </c>
      <c r="C113" s="1">
        <v>1.4837757773199999E-3</v>
      </c>
      <c r="D113" s="1">
        <v>7.7766555974299997E-4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1.6584444145200002E-2</v>
      </c>
      <c r="B114" s="1">
        <v>1.5594576940799999E-2</v>
      </c>
      <c r="C114" s="1">
        <v>1.43855681711E-3</v>
      </c>
      <c r="D114" s="1">
        <v>7.8144221533999999E-4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1.67502885867E-2</v>
      </c>
      <c r="B115" s="1">
        <v>1.0773450632299999E-2</v>
      </c>
      <c r="C115" s="1">
        <v>1.1972708439700001E-3</v>
      </c>
      <c r="D115" s="1">
        <v>7.8525663749399999E-4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1.6917791472599999E-2</v>
      </c>
      <c r="B116" s="1">
        <v>1.29129174128E-2</v>
      </c>
      <c r="C116" s="1">
        <v>1.21556410057E-3</v>
      </c>
      <c r="D116" s="1">
        <v>7.8910920386899999E-4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1.7086969387300002E-2</v>
      </c>
      <c r="B117" s="1">
        <v>1.1369503848299999E-2</v>
      </c>
      <c r="C117" s="1">
        <v>1.1201460953500001E-3</v>
      </c>
      <c r="D117" s="1">
        <v>7.9300029590700005E-4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1.7257839081199999E-2</v>
      </c>
      <c r="B118" s="1">
        <v>8.8695996446299993E-3</v>
      </c>
      <c r="C118" s="1">
        <v>1.02688945939E-3</v>
      </c>
      <c r="D118" s="1">
        <v>7.9693029886600004E-4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1.7430417472000002E-2</v>
      </c>
      <c r="B119" s="1">
        <v>7.7673981389900001E-3</v>
      </c>
      <c r="C119" s="1">
        <v>9.3868040122699998E-4</v>
      </c>
      <c r="D119" s="1">
        <v>8.0089960185499996E-4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1.7604721646699999E-2</v>
      </c>
      <c r="B120" s="1">
        <v>5.5412312559100004E-3</v>
      </c>
      <c r="C120" s="1">
        <v>8.0479094937199996E-4</v>
      </c>
      <c r="D120" s="1">
        <v>8.0490859787399999E-4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1.77807688631E-2</v>
      </c>
      <c r="B121" s="1">
        <v>5.8846624246800001E-3</v>
      </c>
      <c r="C121" s="1">
        <v>8.1048047125700004E-4</v>
      </c>
      <c r="D121" s="1">
        <v>8.08957683852E-4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1.7958576551799998E-2</v>
      </c>
      <c r="B122" s="1">
        <v>5.55965884109E-3</v>
      </c>
      <c r="C122" s="1">
        <v>7.6807540367400005E-4</v>
      </c>
      <c r="D122" s="1">
        <v>8.1304726069100005E-4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1.8138162317300002E-2</v>
      </c>
      <c r="B123" s="1">
        <v>4.2344165021999999E-3</v>
      </c>
      <c r="C123" s="1">
        <v>6.6287107754599999E-4</v>
      </c>
      <c r="D123" s="1">
        <v>8.17177733298E-4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1.8319543940500001E-2</v>
      </c>
      <c r="B124" s="1">
        <v>4.6555107607799996E-3</v>
      </c>
      <c r="C124" s="1">
        <v>6.69529201208E-4</v>
      </c>
      <c r="D124" s="1">
        <v>8.2134951063100002E-4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1.8502739379900001E-2</v>
      </c>
      <c r="B125" s="1">
        <v>4.3237963804199997E-3</v>
      </c>
      <c r="C125" s="1">
        <v>6.3803595742900003E-4</v>
      </c>
      <c r="D125" s="1">
        <v>8.2556300573700004E-4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1.8687766773700001E-2</v>
      </c>
      <c r="B126" s="1">
        <v>5.7126882757499997E-3</v>
      </c>
      <c r="C126" s="1">
        <v>6.9963580262900004E-4</v>
      </c>
      <c r="D126" s="1">
        <v>8.2981863579399998E-4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1.8874644441399999E-2</v>
      </c>
      <c r="B127" s="1">
        <v>5.4191443901300002E-3</v>
      </c>
      <c r="C127" s="1">
        <v>6.7561896530099995E-4</v>
      </c>
      <c r="D127" s="1">
        <v>8.34116822152E-4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1.9063390885799999E-2</v>
      </c>
      <c r="B128" s="1">
        <v>3.9404879087599999E-3</v>
      </c>
      <c r="C128" s="1">
        <v>5.9928643617100001E-4</v>
      </c>
      <c r="D128" s="1">
        <v>8.3845799037399996E-4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1.9254024794699998E-2</v>
      </c>
      <c r="B129" s="1">
        <v>4.4199006306199998E-3</v>
      </c>
      <c r="C129" s="1">
        <v>5.9769307794099995E-4</v>
      </c>
      <c r="D129" s="1">
        <v>8.4284257027799996E-4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1.9446565042599999E-2</v>
      </c>
      <c r="B130" s="1">
        <v>5.6714320830899998E-3</v>
      </c>
      <c r="C130" s="1">
        <v>6.6240135185900001E-4</v>
      </c>
      <c r="D130" s="1">
        <v>8.4727099597999998E-4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1.9641030693100001E-2</v>
      </c>
      <c r="B131" s="1">
        <v>5.9535776591699997E-3</v>
      </c>
      <c r="C131" s="1">
        <v>6.55935367546E-4</v>
      </c>
      <c r="D131" s="1">
        <v>8.5174370594E-4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1.9837441000000001E-2</v>
      </c>
      <c r="B132" s="1">
        <v>5.5116514053699999E-3</v>
      </c>
      <c r="C132" s="1">
        <v>6.3835889384799996E-4</v>
      </c>
      <c r="D132" s="1">
        <v>8.5626114299999995E-4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2.0035815410000001E-2</v>
      </c>
      <c r="B133" s="1">
        <v>5.6246830525699997E-3</v>
      </c>
      <c r="C133" s="1">
        <v>6.3421396097200001E-4</v>
      </c>
      <c r="D133" s="1">
        <v>8.6082375442999995E-4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2.0236173564099999E-2</v>
      </c>
      <c r="B134" s="1">
        <v>7.3414706981300001E-3</v>
      </c>
      <c r="C134" s="1">
        <v>7.0993408692599999E-4</v>
      </c>
      <c r="D134" s="1">
        <v>8.6543199197399996E-4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2.0438535299700002E-2</v>
      </c>
      <c r="B135" s="1">
        <v>6.34792037838E-3</v>
      </c>
      <c r="C135" s="1">
        <v>6.4880687999100003E-4</v>
      </c>
      <c r="D135" s="1">
        <v>8.7008631189400005E-4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2.06429206527E-2</v>
      </c>
      <c r="B136" s="1">
        <v>5.3956091578299999E-3</v>
      </c>
      <c r="C136" s="1">
        <v>5.9045949114100004E-4</v>
      </c>
      <c r="D136" s="1">
        <v>8.7478717501299999E-4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2.0849349859299999E-2</v>
      </c>
      <c r="B137" s="1">
        <v>5.9473465947799996E-3</v>
      </c>
      <c r="C137" s="1">
        <v>5.9498259683899996E-4</v>
      </c>
      <c r="D137" s="1">
        <v>8.7953504676300002E-4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2.1057843357800001E-2</v>
      </c>
      <c r="B138" s="1">
        <v>5.40854440049E-3</v>
      </c>
      <c r="C138" s="1">
        <v>5.6392068644700003E-4</v>
      </c>
      <c r="D138" s="1">
        <v>8.8433039722999999E-4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2.12684217914E-2</v>
      </c>
      <c r="B139" s="1">
        <v>5.5687817644999998E-3</v>
      </c>
      <c r="C139" s="1">
        <v>2.5140151420199999E-4</v>
      </c>
      <c r="D139" s="1">
        <v>8.8917370120300001E-4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2.1481106009300002E-2</v>
      </c>
      <c r="B140" s="1">
        <v>5.4381779331700002E-3</v>
      </c>
      <c r="C140" s="1">
        <v>2.4590978540400002E-4</v>
      </c>
      <c r="D140" s="1">
        <v>8.9406543821499997E-4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2.1695917069400002E-2</v>
      </c>
      <c r="B141" s="1">
        <v>4.91870961123E-3</v>
      </c>
      <c r="C141" s="1">
        <v>2.18640236302E-4</v>
      </c>
      <c r="D141" s="1">
        <v>8.9900609259699999E-4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2.19128762401E-2</v>
      </c>
      <c r="B142" s="1">
        <v>3.87565926269E-3</v>
      </c>
      <c r="C142" s="1">
        <v>1.81862724449E-4</v>
      </c>
      <c r="D142" s="1">
        <v>9.0399615352299999E-4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2.21320050025E-2</v>
      </c>
      <c r="B143" s="1">
        <v>3.6177954028600002E-3</v>
      </c>
      <c r="C143" s="1">
        <v>1.81278529549E-4</v>
      </c>
      <c r="D143" s="1">
        <v>9.0903611505800002E-4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2.2353325052600001E-2</v>
      </c>
      <c r="B144" s="1">
        <v>3.3813968287599999E-3</v>
      </c>
      <c r="C144" s="1">
        <v>1.6857646335400001E-4</v>
      </c>
      <c r="D144" s="1">
        <v>9.1412647620899999E-4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2.2576858303100002E-2</v>
      </c>
      <c r="B145" s="1">
        <v>2.4555070190800002E-3</v>
      </c>
      <c r="C145" s="1">
        <v>1.43458727107E-4</v>
      </c>
      <c r="D145" s="1">
        <v>9.1926774097100003E-4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2.2802626886099998E-2</v>
      </c>
      <c r="B146" s="1">
        <v>2.09948548203E-3</v>
      </c>
      <c r="C146" s="1">
        <v>1.31673722916E-4</v>
      </c>
      <c r="D146" s="1">
        <v>9.2446041838000002E-4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2.3030653155000001E-2</v>
      </c>
      <c r="B147" s="1">
        <v>2.1373959407800002E-3</v>
      </c>
      <c r="C147" s="1">
        <v>1.31391468915E-4</v>
      </c>
      <c r="D147" s="1">
        <v>9.29705022564E-4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2.32609596865E-2</v>
      </c>
      <c r="B148" s="1">
        <v>1.7557177800799999E-3</v>
      </c>
      <c r="C148" s="1">
        <v>1.23977902827E-4</v>
      </c>
      <c r="D148" s="1">
        <v>9.3500207279000004E-4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2.34935692834E-2</v>
      </c>
      <c r="B149" s="1">
        <v>1.3178268700900001E-3</v>
      </c>
      <c r="C149" s="1">
        <v>1.10602983309E-4</v>
      </c>
      <c r="D149" s="1">
        <v>9.4035209351799997E-4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2.37285049762E-2</v>
      </c>
      <c r="B150" s="1">
        <v>1.4868988329300001E-3</v>
      </c>
      <c r="C150" s="1">
        <v>1.1557856510199999E-4</v>
      </c>
      <c r="D150" s="1">
        <v>9.4575561445300004E-4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2.3965790026000001E-2</v>
      </c>
      <c r="B151" s="1">
        <v>1.37650099191E-3</v>
      </c>
      <c r="C151" s="1">
        <v>1.06470010462E-4</v>
      </c>
      <c r="D151" s="1">
        <v>9.5121317059800004E-4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2.42054479262E-2</v>
      </c>
      <c r="B152" s="1">
        <v>1.44342092273E-3</v>
      </c>
      <c r="C152" s="1">
        <v>1.0705306091799999E-4</v>
      </c>
      <c r="D152" s="1">
        <v>9.5672530230299997E-4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2.4447502405500001E-2</v>
      </c>
      <c r="B153" s="1">
        <v>1.6985465362599999E-3</v>
      </c>
      <c r="C153" s="1">
        <v>1.1405345797500001E-4</v>
      </c>
      <c r="D153" s="86">
        <v>9.62292555327E-4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2.4691977429599998E-2</v>
      </c>
      <c r="B154" s="1">
        <v>1.56154625753E-3</v>
      </c>
      <c r="C154" s="1">
        <v>1.08778751582E-4</v>
      </c>
      <c r="D154" s="1">
        <v>9.6791548087999996E-4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2.4938897203899999E-2</v>
      </c>
      <c r="B155" s="1">
        <v>1.9076148798400001E-3</v>
      </c>
      <c r="C155" s="1">
        <v>1.2050636721E-4</v>
      </c>
      <c r="D155" s="1">
        <v>9.7359463568899996E-4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2.51882861759E-2</v>
      </c>
      <c r="B156" s="1">
        <v>1.74055228214E-3</v>
      </c>
      <c r="C156" s="1">
        <v>1.1083487416899999E-4</v>
      </c>
      <c r="D156" s="1">
        <v>9.7933058204499992E-4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2.5440169037600002E-2</v>
      </c>
      <c r="B157" s="1">
        <v>2.1518609966199999E-3</v>
      </c>
      <c r="C157" s="1">
        <v>1.2463435537999999E-4</v>
      </c>
      <c r="D157" s="1">
        <v>9.8512388786599998E-4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2.5694570728E-2</v>
      </c>
      <c r="B158" s="1">
        <v>2.26268199283E-3</v>
      </c>
      <c r="C158" s="1">
        <v>1.32865485593E-4</v>
      </c>
      <c r="D158" s="1">
        <v>9.9097512674499997E-4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2.5951516435299998E-2</v>
      </c>
      <c r="B159" s="1">
        <v>2.3417899949799998E-3</v>
      </c>
      <c r="C159" s="1">
        <v>1.3284774871599999E-4</v>
      </c>
      <c r="D159" s="1">
        <v>9.9688487801200009E-4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2.6211031599700001E-2</v>
      </c>
      <c r="B160" s="1">
        <v>2.4955955274000002E-3</v>
      </c>
      <c r="C160" s="1">
        <v>1.3197729605100001E-4</v>
      </c>
      <c r="D160" s="1">
        <v>1.0028537267900001E-3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2.6473141915700001E-2</v>
      </c>
      <c r="B161" s="1">
        <v>2.3307129076100002E-3</v>
      </c>
      <c r="C161" s="1">
        <v>1.3062351199500001E-4</v>
      </c>
      <c r="D161" s="1">
        <v>1.00888226406E-3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2.6737873334799999E-2</v>
      </c>
      <c r="B162" s="1">
        <v>2.0923473448699998E-3</v>
      </c>
      <c r="C162" s="1">
        <v>1.2515664815899999E-4</v>
      </c>
      <c r="D162" s="1">
        <v>1.0149710867E-3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2.7005252068200002E-2</v>
      </c>
      <c r="B163" s="1">
        <v>1.8037697823400001E-3</v>
      </c>
      <c r="C163" s="1">
        <v>1.13224556412E-4</v>
      </c>
      <c r="D163" s="1">
        <v>1.02112079757E-3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2.7275304588799999E-2</v>
      </c>
      <c r="B164" s="1">
        <v>1.5537466232300001E-3</v>
      </c>
      <c r="C164" s="1">
        <v>1.0161992761100001E-4</v>
      </c>
      <c r="D164" s="1">
        <v>1.02733200554E-3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2.7548057634700002E-2</v>
      </c>
      <c r="B165" s="1">
        <v>1.4605704958900001E-3</v>
      </c>
      <c r="C165" s="1">
        <v>1.00696066479E-4</v>
      </c>
      <c r="D165" s="1">
        <v>1.0336053256E-3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2.78235382111E-2</v>
      </c>
      <c r="B166" s="1">
        <v>1.25044843003E-3</v>
      </c>
      <c r="C166" s="1">
        <v>9.4245631892099995E-5</v>
      </c>
      <c r="D166" s="1">
        <v>1.0399413788499999E-3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2.81017735932E-2</v>
      </c>
      <c r="B167" s="1">
        <v>9.5691500866300003E-4</v>
      </c>
      <c r="C167" s="1">
        <v>8.1094623213599995E-5</v>
      </c>
      <c r="D167" s="1">
        <v>1.0463407926400001E-3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2.8382791329100002E-2</v>
      </c>
      <c r="B168" s="1">
        <v>6.8612794195599999E-4</v>
      </c>
      <c r="C168" s="1">
        <v>7.1157014011400001E-5</v>
      </c>
      <c r="D168" s="1">
        <v>1.0528042005699999E-3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2.86666192424E-2</v>
      </c>
      <c r="B169" s="1">
        <v>7.4358640632799997E-4</v>
      </c>
      <c r="C169" s="1">
        <v>7.0934722897800006E-5</v>
      </c>
      <c r="D169" s="1">
        <v>1.05933224258E-3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2.89532854348E-2</v>
      </c>
      <c r="B170" s="1">
        <v>6.7335525669699997E-4</v>
      </c>
      <c r="C170" s="1">
        <v>6.9979817059600007E-5</v>
      </c>
      <c r="D170" s="1">
        <v>1.065925565E-3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2.9242818289200001E-2</v>
      </c>
      <c r="B171" s="1">
        <v>5.9041535002699996E-4</v>
      </c>
      <c r="C171" s="1">
        <v>6.8689454464999995E-5</v>
      </c>
      <c r="D171" s="1">
        <v>1.0725848206499999E-3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2.9535246472099999E-2</v>
      </c>
      <c r="B172" s="1">
        <v>5.2545215856300001E-4</v>
      </c>
      <c r="C172" s="1">
        <v>6.1790625183099994E-5</v>
      </c>
      <c r="D172" s="1">
        <v>1.0793106688599999E-3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2.9830598936799999E-2</v>
      </c>
      <c r="B173" s="1">
        <v>5.39958550018E-4</v>
      </c>
      <c r="C173" s="1">
        <v>6.2500409330000004E-5</v>
      </c>
      <c r="D173" s="1">
        <v>1.08610377555E-3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3.01289049262E-2</v>
      </c>
      <c r="B174" s="1">
        <v>5.4096495556600003E-4</v>
      </c>
      <c r="C174" s="1">
        <v>6.3060863514900002E-5</v>
      </c>
      <c r="D174" s="1">
        <v>1.0929648132999999E-3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3.0430193975400002E-2</v>
      </c>
      <c r="B175" s="1">
        <v>7.0012809007300001E-4</v>
      </c>
      <c r="C175" s="1">
        <v>7.0292363218700001E-5</v>
      </c>
      <c r="D175" s="1">
        <v>1.09989446143E-3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3.07344959152E-2</v>
      </c>
      <c r="B176" s="1">
        <v>7.08415252768E-4</v>
      </c>
      <c r="C176" s="1">
        <v>7.7123575443E-5</v>
      </c>
      <c r="D176" s="1">
        <v>1.1068934060499999E-3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3.1041840874300002E-2</v>
      </c>
      <c r="B177" s="1">
        <v>7.4199406241900003E-4</v>
      </c>
      <c r="C177" s="1">
        <v>7.36779321496E-5</v>
      </c>
      <c r="D177" s="1">
        <v>1.1139623401100001E-3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3.1352259283100002E-2</v>
      </c>
      <c r="B178" s="1">
        <v>8.5100043275100005E-4</v>
      </c>
      <c r="C178" s="1">
        <v>7.9037518718299998E-5</v>
      </c>
      <c r="D178" s="1">
        <v>1.1211019635100001E-3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3.1665781875900002E-2</v>
      </c>
      <c r="B179" s="1">
        <v>1.01975110901E-3</v>
      </c>
      <c r="C179" s="1">
        <v>8.6107266126499995E-5</v>
      </c>
      <c r="D179" s="1">
        <v>1.12831298315E-3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3.19824396947E-2</v>
      </c>
      <c r="B180" s="1">
        <v>8.9307968424500003E-4</v>
      </c>
      <c r="C180" s="1">
        <v>7.9963693849199999E-5</v>
      </c>
      <c r="D180" s="1">
        <v>1.1355961129799999E-3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3.2302264091600003E-2</v>
      </c>
      <c r="B181" s="1">
        <v>8.7646224921800002E-4</v>
      </c>
      <c r="C181" s="1">
        <v>7.8521901093699998E-5</v>
      </c>
      <c r="D181" s="1">
        <v>1.1429520741100001E-3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3.2625286732500001E-2</v>
      </c>
      <c r="B182" s="1">
        <v>7.4074068566900002E-4</v>
      </c>
      <c r="C182" s="1">
        <v>7.2704231752100001E-5</v>
      </c>
      <c r="D182" s="1">
        <v>1.15038159485E-3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3.29515395999E-2</v>
      </c>
      <c r="B183" s="1">
        <v>7.5607558180399998E-4</v>
      </c>
      <c r="C183" s="1">
        <v>7.3447726011099997E-5</v>
      </c>
      <c r="D183" s="1">
        <v>1.1578854107999999E-3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3.3281054995899999E-2</v>
      </c>
      <c r="B184" s="1">
        <v>6.2832145213399999E-4</v>
      </c>
      <c r="C184" s="1">
        <v>6.8129768602600007E-5</v>
      </c>
      <c r="D184" s="1">
        <v>1.1654642648999999E-3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3.3613865545800002E-2</v>
      </c>
      <c r="B185" s="1">
        <v>4.7788369751899999E-4</v>
      </c>
      <c r="C185" s="1">
        <v>5.8404315337799999E-5</v>
      </c>
      <c r="D185" s="1">
        <v>1.1731189075499999E-3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3.3950004201300003E-2</v>
      </c>
      <c r="B186" s="1">
        <v>3.4186577953199999E-4</v>
      </c>
      <c r="C186" s="1">
        <v>4.9427790618800002E-5</v>
      </c>
      <c r="D186" s="1">
        <v>1.18085009663E-3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3.4289504243299997E-2</v>
      </c>
      <c r="B187" s="1">
        <v>2.6818671431900001E-4</v>
      </c>
      <c r="C187" s="1">
        <v>4.6733040444400001E-5</v>
      </c>
      <c r="D187" s="1">
        <v>1.1886585976000001E-3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3.46323992857E-2</v>
      </c>
      <c r="B188" s="1">
        <v>2.9047575840099999E-4</v>
      </c>
      <c r="C188" s="1">
        <v>4.7483967430700002E-5</v>
      </c>
      <c r="D188" s="1">
        <v>1.1965451835699999E-3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3.49787232786E-2</v>
      </c>
      <c r="B189" s="1">
        <v>2.7358745111200002E-4</v>
      </c>
      <c r="C189" s="1">
        <v>4.4205633844200001E-5</v>
      </c>
      <c r="D189" s="1">
        <v>1.20451063541E-3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3.5328510511399999E-2</v>
      </c>
      <c r="B190" s="1">
        <v>3.1566007458E-4</v>
      </c>
      <c r="C190" s="1">
        <v>4.7469587518799997E-5</v>
      </c>
      <c r="D190" s="1">
        <v>1.2125557417599999E-3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3.5681795616499999E-2</v>
      </c>
      <c r="B191" s="1">
        <v>2.7328193135999997E-4</v>
      </c>
      <c r="C191" s="1">
        <v>4.5395922613499998E-5</v>
      </c>
      <c r="D191" s="1">
        <v>1.2206812991799999E-3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3.6038613572599999E-2</v>
      </c>
      <c r="B192" s="1">
        <v>2.8240993763499998E-4</v>
      </c>
      <c r="C192" s="1">
        <v>4.4626044512499998E-5</v>
      </c>
      <c r="D192" s="1">
        <v>1.2288881121700001E-3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3.63989997084E-2</v>
      </c>
      <c r="B193" s="1">
        <v>3.0514307071399999E-4</v>
      </c>
      <c r="C193" s="1">
        <v>4.73954255105E-5</v>
      </c>
      <c r="D193" s="1">
        <v>1.2371769932899999E-3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3.6762989705399998E-2</v>
      </c>
      <c r="B194" s="1">
        <v>3.5216879938999998E-4</v>
      </c>
      <c r="C194" s="1">
        <v>4.7467867416599999E-5</v>
      </c>
      <c r="D194" s="1">
        <v>1.24554876323E-3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3.7130619602499998E-2</v>
      </c>
      <c r="B195" s="1">
        <v>3.5815817614599999E-4</v>
      </c>
      <c r="C195" s="1">
        <v>4.7590861607499997E-5</v>
      </c>
      <c r="D195" s="1">
        <v>1.2540042508600001E-3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3.7501925798500001E-2</v>
      </c>
      <c r="B196" s="1">
        <v>3.8438173635199998E-4</v>
      </c>
      <c r="C196" s="1">
        <v>4.97016813236E-5</v>
      </c>
      <c r="D196" s="1">
        <v>1.2625442933699999E-3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3.7876945056500001E-2</v>
      </c>
      <c r="B197" s="1">
        <v>3.8580599280999998E-4</v>
      </c>
      <c r="C197" s="1">
        <v>4.8783691366199998E-5</v>
      </c>
      <c r="D197" s="1">
        <v>1.2711697363000001E-3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3.8255714507099997E-2</v>
      </c>
      <c r="B198" s="1">
        <v>3.6617200051300002E-4</v>
      </c>
      <c r="C198" s="1">
        <v>4.8532610680900002E-5</v>
      </c>
      <c r="D198" s="1">
        <v>1.2798814336599999E-3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3.8638271652100001E-2</v>
      </c>
      <c r="B199" s="1">
        <v>3.0718715140500003E-4</v>
      </c>
      <c r="C199" s="1">
        <v>4.3391797625000003E-5</v>
      </c>
      <c r="D199" s="1">
        <v>1.288680248E-3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3.90246543687E-2</v>
      </c>
      <c r="B200" s="1">
        <v>2.53793085463E-4</v>
      </c>
      <c r="C200" s="1">
        <v>4.2440125493400001E-5</v>
      </c>
      <c r="D200" s="1">
        <v>1.2975670504800001E-3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3.9414900912399999E-2</v>
      </c>
      <c r="B201" s="1">
        <v>1.9314339312199999E-4</v>
      </c>
      <c r="C201" s="1">
        <v>3.9080055191699998E-5</v>
      </c>
      <c r="D201" s="1">
        <v>1.30654272098E-3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3.98090499215E-2</v>
      </c>
      <c r="B202" s="1">
        <v>1.98444381828E-4</v>
      </c>
      <c r="C202" s="1">
        <v>3.6023835715000001E-5</v>
      </c>
      <c r="D202" s="1">
        <v>1.31560814819E-3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4.0207140420699998E-2</v>
      </c>
      <c r="B203" s="1">
        <v>1.3188839356099999E-4</v>
      </c>
      <c r="C203" s="1">
        <v>3.1982917735799999E-5</v>
      </c>
      <c r="D203" s="1">
        <v>1.32476422968E-3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4.0609211824900002E-2</v>
      </c>
      <c r="B204" s="1">
        <v>1.32503110945E-4</v>
      </c>
      <c r="C204" s="1">
        <v>3.3068198296699999E-5</v>
      </c>
      <c r="D204" s="1">
        <v>1.3340118719700001E-3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4.1015303943099997E-2</v>
      </c>
      <c r="B205" s="1">
        <v>1.9425188835699999E-4</v>
      </c>
      <c r="C205" s="1">
        <v>3.59877328132E-5</v>
      </c>
      <c r="D205" s="1">
        <v>1.3433519906900001E-3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4.1425456982600001E-2</v>
      </c>
      <c r="B206" s="1">
        <v>1.3787830526099999E-4</v>
      </c>
      <c r="C206" s="1">
        <v>3.2467128831400002E-5</v>
      </c>
      <c r="D206" s="1">
        <v>1.3527855106E-3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4.1839711552400002E-2</v>
      </c>
      <c r="B207" s="1">
        <v>1.4893983747000001E-4</v>
      </c>
      <c r="C207" s="1">
        <v>3.54697679017E-5</v>
      </c>
      <c r="D207" s="1">
        <v>1.36231336571E-3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4.2258108667900002E-2</v>
      </c>
      <c r="B208" s="1">
        <v>1.5272501391400001E-4</v>
      </c>
      <c r="C208" s="1">
        <v>3.4310625179899998E-5</v>
      </c>
      <c r="D208" s="1">
        <v>1.37193649936E-3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4.2680689754600001E-2</v>
      </c>
      <c r="B209" s="1">
        <v>2.0259127448700001E-4</v>
      </c>
      <c r="C209" s="1">
        <v>3.9780150692900001E-5</v>
      </c>
      <c r="D209" s="1">
        <v>1.3816558643600001E-3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4.3107496652199997E-2</v>
      </c>
      <c r="B210" s="1">
        <v>2.5373047672300002E-4</v>
      </c>
      <c r="C210" s="1">
        <v>1.6562157577699998E-5</v>
      </c>
      <c r="D210" s="1">
        <v>1.391472423E-3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4.3538571618699999E-2</v>
      </c>
      <c r="B211" s="1">
        <v>2.3928164986099999E-4</v>
      </c>
      <c r="C211" s="1">
        <v>1.5372868960300001E-5</v>
      </c>
      <c r="D211" s="1">
        <v>1.4013871472299999E-3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4.3973957334899998E-2</v>
      </c>
      <c r="B212" s="1">
        <v>1.8690102045599999E-4</v>
      </c>
      <c r="C212" s="1">
        <v>1.26433840366E-5</v>
      </c>
      <c r="D212" s="1">
        <v>1.4114010186999999E-3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4.4413696908199997E-2</v>
      </c>
      <c r="B213" s="1">
        <v>1.44554642957E-4</v>
      </c>
      <c r="C213" s="1">
        <v>1.0797398126099999E-5</v>
      </c>
      <c r="D213" s="1">
        <v>1.4215150288899999E-3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4.4857833877300003E-2</v>
      </c>
      <c r="B214" s="1">
        <v>1.4401164084600001E-4</v>
      </c>
      <c r="C214" s="1">
        <v>1.1440256485499999E-5</v>
      </c>
      <c r="D214" s="1">
        <v>1.43173017918E-3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4.5306412216100003E-2</v>
      </c>
      <c r="B215" s="1">
        <v>1.02080333061E-4</v>
      </c>
      <c r="C215" s="1">
        <v>9.0410765117199998E-6</v>
      </c>
      <c r="D215" s="1">
        <v>1.4420474809700001E-3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4.5759476338200003E-2</v>
      </c>
      <c r="B216" s="1">
        <v>8.4841068674800001E-5</v>
      </c>
      <c r="C216" s="1">
        <v>8.6554421333199993E-6</v>
      </c>
      <c r="D216" s="1">
        <v>1.4524679557800001E-3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4.6217071101599998E-2</v>
      </c>
      <c r="B217" s="1">
        <v>8.0877972011499994E-5</v>
      </c>
      <c r="C217" s="1">
        <v>8.5550332302900002E-6</v>
      </c>
      <c r="D217" s="1">
        <v>1.46299263534E-3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4.6679241812599997E-2</v>
      </c>
      <c r="B218" s="1">
        <v>7.5242701393600002E-5</v>
      </c>
      <c r="C218" s="1">
        <v>7.7833755551600005E-6</v>
      </c>
      <c r="D218" s="1">
        <v>1.47362256169E-3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4.71460342308E-2</v>
      </c>
      <c r="B219" s="1">
        <v>6.9533079962200001E-5</v>
      </c>
      <c r="C219" s="1">
        <v>7.5054911803099998E-6</v>
      </c>
      <c r="D219" s="1">
        <v>1.48435878731E-3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4.7617494573100001E-2</v>
      </c>
      <c r="B220" s="1">
        <v>9.7643657668700003E-5</v>
      </c>
      <c r="C220" s="1">
        <v>8.6629977084400002E-6</v>
      </c>
      <c r="D220" s="1">
        <v>1.4952023751800001E-3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4.8093669518800002E-2</v>
      </c>
      <c r="B221" s="1">
        <v>9.6453044740700002E-5</v>
      </c>
      <c r="C221" s="1">
        <v>8.5896776852100002E-6</v>
      </c>
      <c r="D221" s="1">
        <v>1.5061543989299999E-3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4.8574606213999998E-2</v>
      </c>
      <c r="B222" s="1">
        <v>1.10356707269E-4</v>
      </c>
      <c r="C222" s="1">
        <v>9.2788057123399994E-6</v>
      </c>
      <c r="D222" s="1">
        <v>1.51721594292E-3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4.9060352276099999E-2</v>
      </c>
      <c r="B223" s="1">
        <v>1.08381345641E-4</v>
      </c>
      <c r="C223" s="1">
        <v>9.0154189605199997E-6</v>
      </c>
      <c r="D223" s="1">
        <v>1.5283881023500001E-3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4.9550955798900002E-2</v>
      </c>
      <c r="B224" s="1">
        <v>1.0885261156E-4</v>
      </c>
      <c r="C224" s="1">
        <v>8.7210205815000002E-6</v>
      </c>
      <c r="D224" s="1">
        <v>1.5396719833700001E-3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5.0046465356900001E-2</v>
      </c>
      <c r="B225" s="1">
        <v>1.04957890733E-4</v>
      </c>
      <c r="C225" s="1">
        <v>8.6505537475499995E-6</v>
      </c>
      <c r="D225" s="1">
        <v>1.5510687032100001E-3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5.0546930010399997E-2</v>
      </c>
      <c r="B226" s="1">
        <v>7.34728873288E-5</v>
      </c>
      <c r="C226" s="1">
        <v>7.47717415253E-6</v>
      </c>
      <c r="D226" s="1">
        <v>1.56257939024E-3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5.1052399310499999E-2</v>
      </c>
      <c r="B227" s="1">
        <v>6.89484153003E-5</v>
      </c>
      <c r="C227" s="1">
        <v>7.0081748957999999E-6</v>
      </c>
      <c r="D227" s="1">
        <v>1.5742051841400001E-3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5.1562923303600003E-2</v>
      </c>
      <c r="B228" s="1">
        <v>5.5895942143200003E-5</v>
      </c>
      <c r="C228" s="1">
        <v>6.2981406568600002E-6</v>
      </c>
      <c r="D228" s="1">
        <v>1.58594723598E-3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5.2078552536699997E-2</v>
      </c>
      <c r="B229" s="1">
        <v>5.32906506066E-5</v>
      </c>
      <c r="C229" s="1">
        <v>6.3793060502199996E-6</v>
      </c>
      <c r="D229" s="1">
        <v>1.5978067083399999E-3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5.2599338062100001E-2</v>
      </c>
      <c r="B230" s="1">
        <v>5.1824907496700003E-5</v>
      </c>
      <c r="C230" s="1">
        <v>6.14030871717E-6</v>
      </c>
      <c r="D230" s="1">
        <v>1.6097847754299999E-3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5.31253314427E-2</v>
      </c>
      <c r="B231" s="1">
        <v>4.7214063718900001E-5</v>
      </c>
      <c r="C231" s="1">
        <v>5.6955888675600003E-6</v>
      </c>
      <c r="D231" s="1">
        <v>1.6218826231800001E-3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5.3656584757100001E-2</v>
      </c>
      <c r="B232" s="1">
        <v>5.6340299005100003E-5</v>
      </c>
      <c r="C232" s="1">
        <v>6.3678920363800001E-6</v>
      </c>
      <c r="D232" s="1">
        <v>1.6341014494100001E-3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5.4193150604700001E-2</v>
      </c>
      <c r="B233" s="1">
        <v>5.5994288716E-5</v>
      </c>
      <c r="C233" s="1">
        <v>6.3224062389599998E-6</v>
      </c>
      <c r="D233" s="1">
        <v>1.64644246391E-3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5.4735082110700002E-2</v>
      </c>
      <c r="B234" s="1">
        <v>4.2098843446800002E-5</v>
      </c>
      <c r="C234" s="1">
        <v>5.47378455047E-6</v>
      </c>
      <c r="D234" s="1">
        <v>1.65890688855E-3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5.5282432931799998E-2</v>
      </c>
      <c r="B235" s="1">
        <v>5.65297200821E-5</v>
      </c>
      <c r="C235" s="1">
        <v>6.1910534093399996E-6</v>
      </c>
      <c r="D235" s="1">
        <v>1.6714959574299999E-3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5.5835257261100002E-2</v>
      </c>
      <c r="B236" s="1">
        <v>5.2744144714099999E-5</v>
      </c>
      <c r="C236" s="1">
        <v>6.0032109840900002E-6</v>
      </c>
      <c r="D236" s="1">
        <v>1.6842109170100001E-3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5.6393609833799999E-2</v>
      </c>
      <c r="B237" s="1">
        <v>5.4328621337699999E-5</v>
      </c>
      <c r="C237" s="1">
        <v>6.3598884144799996E-6</v>
      </c>
      <c r="D237" s="1">
        <v>1.69705302618E-3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5.69575459321E-2</v>
      </c>
      <c r="B238" s="1">
        <v>5.1144712405499999E-5</v>
      </c>
      <c r="C238" s="1">
        <v>5.8731779768499998E-6</v>
      </c>
      <c r="D238" s="1">
        <v>1.7100235564399999E-3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5.7527121391400003E-2</v>
      </c>
      <c r="B239" s="1">
        <v>3.5328351545600001E-5</v>
      </c>
      <c r="C239" s="1">
        <v>5.1433388965300004E-6</v>
      </c>
      <c r="D239" s="1">
        <v>1.7231237920000001E-3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5.81023926053E-2</v>
      </c>
      <c r="B240" s="1">
        <v>3.2022724953500001E-5</v>
      </c>
      <c r="C240" s="1">
        <v>4.6616590385999996E-6</v>
      </c>
      <c r="D240" s="1">
        <v>1.73635502992E-3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5.8683416531400003E-2</v>
      </c>
      <c r="B241" s="1">
        <v>3.1462901605599998E-5</v>
      </c>
      <c r="C241" s="1">
        <v>4.8874444713199998E-6</v>
      </c>
      <c r="D241" s="1">
        <v>1.74971858022E-3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5.92702506967E-2</v>
      </c>
      <c r="B242" s="1">
        <v>2.3461413403000002E-5</v>
      </c>
      <c r="C242" s="1">
        <v>4.70065780645E-6</v>
      </c>
      <c r="D242" s="1">
        <v>1.7632157660200001E-3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5.9862953203699998E-2</v>
      </c>
      <c r="B243" s="1">
        <v>3.09943004216E-5</v>
      </c>
      <c r="C243" s="1">
        <v>4.7356747799799997E-6</v>
      </c>
      <c r="D243" s="1">
        <v>1.7768479236799999E-3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6.0461582735700001E-2</v>
      </c>
      <c r="B244" s="1">
        <v>3.0236122324399999E-5</v>
      </c>
      <c r="C244" s="1">
        <v>4.57843001568E-6</v>
      </c>
      <c r="D244" s="1">
        <v>1.79061640292E-3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6.1066198563099999E-2</v>
      </c>
      <c r="B245" s="1">
        <v>3.4482524164199999E-5</v>
      </c>
      <c r="C245" s="1">
        <v>4.7376977933899997E-6</v>
      </c>
      <c r="D245" s="1">
        <v>1.80452256695E-3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6.1676860548700002E-2</v>
      </c>
      <c r="B246" s="1">
        <v>2.4567607344200001E-5</v>
      </c>
      <c r="C246" s="1">
        <v>4.3148178824900001E-6</v>
      </c>
      <c r="D246" s="1">
        <v>1.8185677926199999E-3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6.2293629154200003E-2</v>
      </c>
      <c r="B247" s="1">
        <v>3.5595648420599997E-5</v>
      </c>
      <c r="C247" s="1">
        <v>5.1847866318999998E-6</v>
      </c>
      <c r="D247" s="1">
        <v>1.8327534705499999E-3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6.2916565445699998E-2</v>
      </c>
      <c r="B248" s="1">
        <v>2.4305488371299999E-5</v>
      </c>
      <c r="C248" s="1">
        <v>4.2266808305400003E-6</v>
      </c>
      <c r="D248" s="1">
        <v>1.8470810052500001E-3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6.3545731100199995E-2</v>
      </c>
      <c r="B249" s="1">
        <v>2.3559483291999999E-5</v>
      </c>
      <c r="C249" s="1">
        <v>4.2223021522499996E-6</v>
      </c>
      <c r="D249" s="1">
        <v>1.8615518153E-3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6.4181188411200005E-2</v>
      </c>
      <c r="B250" s="1">
        <v>1.12319771004E-5</v>
      </c>
      <c r="C250" s="1">
        <v>3.6951224721000001E-6</v>
      </c>
      <c r="D250" s="1">
        <v>1.87616733346E-3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6.4823000295299998E-2</v>
      </c>
      <c r="B251" s="1">
        <v>1.8939221804099999E-5</v>
      </c>
      <c r="C251" s="1">
        <v>3.8789804675699998E-6</v>
      </c>
      <c r="D251" s="1">
        <v>1.8909290067899999E-3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6.5471230298199998E-2</v>
      </c>
      <c r="B252" s="1">
        <v>2.2215788737300001E-5</v>
      </c>
      <c r="C252" s="1">
        <v>4.1404983779299998E-6</v>
      </c>
      <c r="D252" s="1">
        <v>1.9058382968600001E-3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6.61259426012E-2</v>
      </c>
      <c r="B253" s="1">
        <v>2.272981238E-5</v>
      </c>
      <c r="C253" s="1">
        <v>4.2726145538799996E-6</v>
      </c>
      <c r="D253" s="1">
        <v>1.9208966798300001E-3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6.6787202027199996E-2</v>
      </c>
      <c r="B254" s="1">
        <v>2.0636931554400002E-5</v>
      </c>
      <c r="C254" s="1">
        <v>3.9525595602700001E-6</v>
      </c>
      <c r="D254" s="1">
        <v>1.93610564663E-3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6.7455074047499994E-2</v>
      </c>
      <c r="B255" s="1">
        <v>1.3509517440999999E-5</v>
      </c>
      <c r="C255" s="1">
        <v>3.8249683682E-6</v>
      </c>
      <c r="D255" s="1">
        <v>1.9514667030900001E-3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6.8129624787999998E-2</v>
      </c>
      <c r="B256" s="1">
        <v>2.0217585841800001E-5</v>
      </c>
      <c r="C256" s="1">
        <v>3.9672942788299999E-6</v>
      </c>
      <c r="D256" s="1">
        <v>1.9669813701200002E-3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6.8810921035900002E-2</v>
      </c>
      <c r="B257" s="1">
        <v>1.3808291716E-5</v>
      </c>
      <c r="C257" s="1">
        <v>3.6228687889E-6</v>
      </c>
      <c r="D257" s="1">
        <v>1.9826511838199998E-3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6.9499030246199994E-2</v>
      </c>
      <c r="B258" s="1">
        <v>9.3479602326799996E-6</v>
      </c>
      <c r="C258" s="1">
        <v>3.1262970158100001E-6</v>
      </c>
      <c r="D258" s="1">
        <v>1.9984776956599999E-3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7.0194020548699998E-2</v>
      </c>
      <c r="B259" s="1">
        <v>1.3958240076899999E-5</v>
      </c>
      <c r="C259" s="1">
        <v>3.2654128270000002E-6</v>
      </c>
      <c r="D259" s="1">
        <v>2.0144624726199998E-3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7.0895960754200002E-2</v>
      </c>
      <c r="B260" s="1">
        <v>1.1191645701400001E-5</v>
      </c>
      <c r="C260" s="1">
        <v>3.1927344686700001E-6</v>
      </c>
      <c r="D260" s="1">
        <v>2.0306070973499998E-3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7.1604920361700006E-2</v>
      </c>
      <c r="B261" s="1">
        <v>6.1623061783799998E-6</v>
      </c>
      <c r="C261" s="1">
        <v>2.6222833610499999E-6</v>
      </c>
      <c r="D261" s="1">
        <v>2.0469131683199999E-3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7.23209695653E-2</v>
      </c>
      <c r="B262" s="1">
        <v>1.22933037608E-5</v>
      </c>
      <c r="C262" s="1">
        <v>3.1308540769400001E-6</v>
      </c>
      <c r="D262" s="1">
        <v>2.0633823E-3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7.3044179261E-2</v>
      </c>
      <c r="B263" s="1">
        <v>1.0671423752600001E-5</v>
      </c>
      <c r="C263" s="1">
        <v>2.9417220813600001E-6</v>
      </c>
      <c r="D263" s="1">
        <v>2.080016123E-3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7.3774621053599998E-2</v>
      </c>
      <c r="B264" s="1">
        <v>1.14519935124E-5</v>
      </c>
      <c r="C264" s="1">
        <v>3.1393643324299998E-6</v>
      </c>
      <c r="D264" s="1">
        <v>2.0968162842299998E-3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7.4512367264100002E-2</v>
      </c>
      <c r="B265" s="1">
        <v>1.2068733352599999E-5</v>
      </c>
      <c r="C265" s="1">
        <v>3.1078797969200001E-6</v>
      </c>
      <c r="D265" s="1">
        <v>2.11378444707E-3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7.5257490936799995E-2</v>
      </c>
      <c r="B266" s="1">
        <v>8.3645448119899996E-6</v>
      </c>
      <c r="C266" s="1">
        <v>2.5149474854900001E-6</v>
      </c>
      <c r="D266" s="1">
        <v>2.1309222915499998E-3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7.6010065846099997E-2</v>
      </c>
      <c r="B267" s="1">
        <v>4.4544739531500004E-6</v>
      </c>
      <c r="C267" s="1">
        <v>2.4255555926300002E-6</v>
      </c>
      <c r="D267" s="1">
        <v>2.1482315144599998E-3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7.6770166504600001E-2</v>
      </c>
      <c r="B268" s="1">
        <v>6.0324275227900002E-6</v>
      </c>
      <c r="C268" s="1">
        <v>2.44924451201E-6</v>
      </c>
      <c r="D268" s="1">
        <v>2.1657138296100002E-3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7.7537868169599997E-2</v>
      </c>
      <c r="B269" s="1">
        <v>7.9812084943699997E-6</v>
      </c>
      <c r="C269" s="1">
        <v>2.6768752983199999E-6</v>
      </c>
      <c r="D269" s="1">
        <v>2.1833709679000002E-3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7.8313246851300006E-2</v>
      </c>
      <c r="B270" s="1">
        <v>7.7422810287799994E-6</v>
      </c>
      <c r="C270" s="1">
        <v>2.4028331547099998E-6</v>
      </c>
      <c r="D270" s="1">
        <v>2.2012046775799999E-3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8.0686216544199996E-2</v>
      </c>
      <c r="B271" s="1">
        <v>5.6086015017000001E-6</v>
      </c>
      <c r="C271" s="1">
        <v>2.4760138401199999E-6</v>
      </c>
      <c r="D271" s="1">
        <v>2.2557829805199998E-3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8.14930787096E-2</v>
      </c>
      <c r="B272" s="1">
        <v>4.6792930296100004E-6</v>
      </c>
      <c r="C272" s="1">
        <v>2.1932239279199999E-6</v>
      </c>
      <c r="D272" s="1">
        <v>2.27434081032E-3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8.2308009496700002E-2</v>
      </c>
      <c r="B273" s="1">
        <v>2.83702847169E-6</v>
      </c>
      <c r="C273" s="1">
        <v>2.1483445961700002E-6</v>
      </c>
      <c r="D273" s="1">
        <v>2.2930842184199999E-3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8.31310895917E-2</v>
      </c>
      <c r="B274" s="1">
        <v>3.2135101440099998E-6</v>
      </c>
      <c r="C274" s="1">
        <v>2.0894569500900002E-6</v>
      </c>
      <c r="D274" s="1">
        <v>2.3120150606099998E-3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8.5650044737399997E-2</v>
      </c>
      <c r="B275" s="1">
        <v>4.5279782081200003E-6</v>
      </c>
      <c r="C275" s="1">
        <v>2.38320308542E-6</v>
      </c>
      <c r="D275" s="1">
        <v>2.3699510289600001E-3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8.6506545184799999E-2</v>
      </c>
      <c r="B276" s="1">
        <v>5.6851926326600002E-6</v>
      </c>
      <c r="C276" s="1">
        <v>2.5653826914300001E-6</v>
      </c>
      <c r="D276" s="1">
        <v>2.3896505392499998E-3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9.0919248388599994E-2</v>
      </c>
      <c r="B277" s="1">
        <v>3.2499035457399998E-6</v>
      </c>
      <c r="C277" s="1">
        <v>1.8347774154799999E-6</v>
      </c>
      <c r="D277" s="1">
        <v>2.49114271294E-3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9.18284408725E-2</v>
      </c>
      <c r="B278" s="1">
        <v>5.4874597802800001E-6</v>
      </c>
      <c r="C278" s="1">
        <v>2.18378358688E-6</v>
      </c>
      <c r="D278" s="1">
        <v>2.51205414007E-3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4:51" x14ac:dyDescent="0.3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4:51" x14ac:dyDescent="0.3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4:51" x14ac:dyDescent="0.3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4:51" x14ac:dyDescent="0.3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4:51" x14ac:dyDescent="0.3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4:51" x14ac:dyDescent="0.3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4:51" x14ac:dyDescent="0.3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4:51" x14ac:dyDescent="0.3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4:51" x14ac:dyDescent="0.3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4:51" x14ac:dyDescent="0.3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4:51" x14ac:dyDescent="0.3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4:51" x14ac:dyDescent="0.3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4:51" x14ac:dyDescent="0.3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4:51" x14ac:dyDescent="0.3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4:51" x14ac:dyDescent="0.3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4:51" x14ac:dyDescent="0.3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4:51" x14ac:dyDescent="0.3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4:51" x14ac:dyDescent="0.3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4:51" x14ac:dyDescent="0.3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4:51" x14ac:dyDescent="0.3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4:51" x14ac:dyDescent="0.3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4:51" x14ac:dyDescent="0.3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4:51" x14ac:dyDescent="0.3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4:51" x14ac:dyDescent="0.3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4:51" x14ac:dyDescent="0.3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4:51" x14ac:dyDescent="0.3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4:51" x14ac:dyDescent="0.3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4:51" x14ac:dyDescent="0.3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4:51" x14ac:dyDescent="0.3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4:51" x14ac:dyDescent="0.3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4:51" x14ac:dyDescent="0.3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4:51" x14ac:dyDescent="0.3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3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3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3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3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3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3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3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3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3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3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3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3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3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3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3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3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3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3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3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3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3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3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3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3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3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3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3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3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3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3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3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3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3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3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3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3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3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3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2021-06-28T14:43:35Z</dcterms:modified>
</cp:coreProperties>
</file>