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9F7038B6-99A8-4E7F-BDC6-978ACF0B1523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79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X320" i="1"/>
  <c r="Y320" i="1" s="1"/>
  <c r="X321" i="1"/>
  <c r="Y321" i="1" s="1"/>
  <c r="G27" i="1" l="1"/>
  <c r="F26" i="1"/>
  <c r="C26" i="1"/>
  <c r="F25" i="1"/>
  <c r="C25" i="1" l="1"/>
  <c r="X280" i="1" l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D19" i="69"/>
  <c r="B10" i="69"/>
  <c r="C10" i="69"/>
  <c r="X278" i="1"/>
  <c r="Y278" i="1" s="1"/>
  <c r="X279" i="1"/>
  <c r="Y279" i="1" s="1"/>
  <c r="C6" i="1"/>
  <c r="F7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702_off_0.0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<sst xmlns="http://schemas.openxmlformats.org/spreadsheetml/2006/main" count="1169" uniqueCount="649">
  <si>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</si>
  <si>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</si>
  <si>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</si>
  <si>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</si>
  <si>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</si>
  <si>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</si>
  <si>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</si>
  <si>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</si>
  <si>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</si>
  <si>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</si>
  <si>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</si>
  <si>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</si>
  <si>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</si>
  <si>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</si>
  <si>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</si>
  <si>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</si>
  <si>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</si>
  <si>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</si>
  <si>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</si>
  <si>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</si>
  <si>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</si>
  <si>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</si>
  <si>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</si>
  <si>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</si>
  <si>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</si>
  <si>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</si>
  <si>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</si>
  <si>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</si>
  <si>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</si>
  <si>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</si>
  <si>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</si>
  <si>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</si>
  <si>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</si>
  <si>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</si>
  <si>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</si>
  <si>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</si>
  <si>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</si>
  <si>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</si>
  <si>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</si>
  <si>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</si>
  <si>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</si>
  <si>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</si>
  <si>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</si>
  <si>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</si>
  <si>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</si>
  <si>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</si>
  <si>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</si>
  <si>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</si>
  <si>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</si>
  <si>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</si>
  <si>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</si>
  <si>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</si>
  <si>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</si>
  <si>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</si>
  <si>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</si>
  <si>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</si>
  <si>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</si>
  <si>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</si>
  <si>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</si>
  <si>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</si>
  <si>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</si>
  <si>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</si>
  <si>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</si>
  <si>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</si>
  <si>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</si>
  <si>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</si>
  <si>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</si>
  <si>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</si>
  <si>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</si>
  <si>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</si>
  <si>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</si>
  <si>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</si>
  <si>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</si>
  <si>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</si>
  <si>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</si>
  <si>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</si>
  <si>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</si>
  <si>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</si>
  <si>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</si>
  <si>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</si>
  <si>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</si>
  <si>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</si>
  <si>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</si>
  <si>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</si>
  <si>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</si>
  <si>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</si>
  <si>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</si>
  <si>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</si>
  <si>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</si>
  <si>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</si>
  <si>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</si>
  <si>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</si>
  <si>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</si>
  <si>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</si>
  <si>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</si>
  <si>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</si>
  <si>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</si>
  <si>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</si>
  <si>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</si>
  <si>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</si>
  <si>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</si>
  <si>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</si>
  <si>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</si>
  <si>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</si>
  <si>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</si>
  <si>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</si>
  <si>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</si>
  <si>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</si>
  <si>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</si>
  <si>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</si>
  <si>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</si>
  <si>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</si>
  <si>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</si>
  <si>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</si>
  <si>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</si>
  <si>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</si>
  <si>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</si>
  <si>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</si>
  <si>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</si>
  <si>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</si>
  <si>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</si>
  <si>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</si>
  <si>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</si>
  <si>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</si>
  <si>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</si>
  <si>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</si>
  <si>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</si>
  <si>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</si>
  <si>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</si>
  <si>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</si>
  <si>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</si>
  <si>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</si>
  <si>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</si>
  <si>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</si>
  <si>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</si>
  <si>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</si>
  <si>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</si>
  <si>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</si>
  <si>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</si>
  <si>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</si>
  <si>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</si>
  <si>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</si>
  <si>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</si>
  <si>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</si>
  <si>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</si>
  <si>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</si>
  <si>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</si>
  <si>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</si>
  <si>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</si>
  <si>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</si>
  <si>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</si>
  <si>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</si>
  <si>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</si>
  <si>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</si>
  <si>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</si>
  <si>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</si>
  <si>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</si>
  <si>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</si>
  <si>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</si>
  <si>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</si>
  <si>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</si>
  <si>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</si>
  <si>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</si>
  <si>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</si>
  <si>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</si>
  <si>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</si>
  <si>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</si>
  <si>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</si>
  <si>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</si>
  <si>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</si>
  <si>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</si>
  <si>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</si>
  <si>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</si>
  <si>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</si>
  <si>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</si>
  <si>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</si>
  <si>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</si>
  <si>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</si>
  <si>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</si>
  <si>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</si>
  <si>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</si>
  <si>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</si>
  <si>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</si>
  <si>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</si>
  <si>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</si>
  <si>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</si>
  <si>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</si>
  <si>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</si>
  <si>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</si>
  <si>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</si>
  <si>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</si>
  <si>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</si>
  <si>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</si>
  <si>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</si>
  <si>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</si>
  <si>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</si>
  <si>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</si>
  <si>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</si>
  <si>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</si>
  <si>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</si>
  <si>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</si>
  <si>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</si>
  <si>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</si>
  <si>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</si>
  <si>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</si>
  <si>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</si>
  <si>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</si>
  <si>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</si>
  <si>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</si>
  <si>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</si>
  <si>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</si>
  <si>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</si>
  <si>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</si>
  <si>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</si>
  <si>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</si>
  <si>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</si>
  <si>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</si>
  <si>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</si>
  <si>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</si>
  <si>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</si>
  <si>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</si>
  <si>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</si>
  <si>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</si>
  <si>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</si>
  <si>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</si>
  <si>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</si>
  <si>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</si>
  <si>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</si>
  <si>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</si>
  <si>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</si>
  <si>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</si>
  <si>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</si>
  <si>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</si>
  <si>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</si>
  <si>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</si>
  <si>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</si>
  <si>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</si>
  <si>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</si>
  <si>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</si>
  <si>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</si>
  <si>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</si>
  <si>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</si>
  <si>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</si>
  <si>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</si>
  <si>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</si>
  <si>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</si>
  <si>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</si>
  <si>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</si>
  <si>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</si>
  <si>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</si>
  <si>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</si>
  <si>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</si>
  <si>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</si>
  <si>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</si>
  <si>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</si>
  <si>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</si>
  <si>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</si>
  <si>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</si>
  <si>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</si>
  <si>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</si>
  <si>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</si>
  <si>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</si>
  <si>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</si>
  <si>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</si>
  <si>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</si>
  <si>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</si>
  <si>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</si>
  <si>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</si>
  <si>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</si>
  <si>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</si>
  <si>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</si>
  <si>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</si>
  <si>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</si>
  <si>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</si>
  <si>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</si>
  <si>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</si>
  <si>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</si>
  <si>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</si>
  <si>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</si>
  <si>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</si>
  <si>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</si>
  <si>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</si>
  <si>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</si>
  <si>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</si>
  <si>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</si>
  <si>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</si>
  <si>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</si>
  <si>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</si>
  <si>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</si>
  <si>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</si>
  <si>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</si>
  <si>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</si>
  <si>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</si>
  <si>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</si>
  <si>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</si>
  <si>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</si>
  <si>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</si>
  <si>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</si>
  <si>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</si>
  <si>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</si>
  <si>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</si>
  <si>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</si>
  <si>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</si>
  <si>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</si>
  <si>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</si>
  <si>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</si>
  <si>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</si>
  <si>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</si>
  <si>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</si>
  <si>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</si>
  <si>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</si>
  <si>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</si>
  <si>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</si>
  <si>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</si>
  <si>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</si>
  <si>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</si>
  <si>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</si>
  <si>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</si>
  <si>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</si>
  <si>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</si>
  <si>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</si>
  <si>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</si>
  <si>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</si>
  <si>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</si>
  <si>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</si>
  <si>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</si>
  <si>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</si>
  <si>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</si>
  <si>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</si>
  <si>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</si>
  <si>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</si>
  <si>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</si>
  <si>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</si>
  <si>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</si>
  <si>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</si>
  <si>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</si>
  <si>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</si>
  <si>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</si>
  <si>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</si>
  <si>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</si>
  <si>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</si>
  <si>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</si>
  <si>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</si>
  <si>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</si>
  <si>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</si>
  <si>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</si>
  <si>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</si>
  <si>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</si>
  <si>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</si>
  <si>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</si>
  <si>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</si>
  <si>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</si>
  <si>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</si>
  <si>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</si>
  <si>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</si>
  <si>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</si>
  <si>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</si>
  <si>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</si>
  <si>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</si>
  <si>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</si>
  <si>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</si>
  <si>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</si>
  <si>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</si>
  <si>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</si>
  <si>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</si>
  <si>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</si>
  <si>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</si>
  <si>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</si>
  <si>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</si>
  <si>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</si>
  <si>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</si>
  <si>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</si>
  <si>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</si>
  <si>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</si>
  <si>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</si>
  <si>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</si>
  <si>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</si>
  <si>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</si>
  <si>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</si>
  <si>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</si>
  <si>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</si>
  <si>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</si>
  <si>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</si>
  <si>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</si>
  <si>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</si>
  <si>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</si>
  <si>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</si>
  <si>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</si>
  <si>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</si>
  <si>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</si>
  <si>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</si>
  <si>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</si>
  <si>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</si>
  <si>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</si>
  <si>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</si>
  <si>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</si>
  <si>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</si>
  <si>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</si>
  <si>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</si>
  <si>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</si>
  <si>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</si>
  <si>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</si>
  <si>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</si>
  <si>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</si>
  <si>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</si>
  <si>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</si>
  <si>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</si>
  <si>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</si>
  <si>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</si>
  <si>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</si>
  <si>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</si>
  <si>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</si>
  <si>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</si>
  <si>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</si>
  <si>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</si>
  <si>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</si>
  <si>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</si>
  <si>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</si>
  <si>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</si>
  <si>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</si>
  <si>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</si>
  <si>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</si>
  <si>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</si>
  <si>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</si>
  <si>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</si>
  <si>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</si>
  <si>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</si>
  <si>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</si>
  <si>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</si>
  <si>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</si>
  <si>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</si>
  <si>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</si>
  <si>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</si>
  <si>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</si>
  <si>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</si>
  <si>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</si>
  <si>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</si>
  <si>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</si>
  <si>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</si>
  <si>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</si>
  <si>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</si>
  <si>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</si>
  <si>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</si>
  <si>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</si>
  <si>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</si>
  <si>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</si>
  <si>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</si>
  <si>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</si>
  <si>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</si>
  <si>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</si>
  <si>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</si>
  <si>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</si>
  <si>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</si>
  <si>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</si>
  <si>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</si>
  <si>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</si>
  <si>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</si>
  <si>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</si>
  <si>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</si>
  <si>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</si>
  <si>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</si>
  <si>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</si>
  <si>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</si>
  <si>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</si>
  <si>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</si>
  <si>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</si>
  <si>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</si>
  <si>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</si>
  <si>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</si>
  <si>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</si>
  <si>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</si>
  <si>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</si>
  <si>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</si>
  <si>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</si>
  <si>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</si>
  <si>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</si>
  <si>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</si>
  <si>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</si>
  <si>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</si>
  <si>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</si>
  <si>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</si>
  <si>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</si>
  <si>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</si>
  <si>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</si>
  <si>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</si>
  <si>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</si>
  <si>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</si>
  <si>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</si>
  <si>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</si>
  <si>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</si>
  <si>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</si>
  <si>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</si>
  <si>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</si>
  <si>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</si>
  <si>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</si>
  <si>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</si>
  <si>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</si>
  <si>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</si>
  <si>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</si>
  <si>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</si>
  <si>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</si>
  <si>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</si>
  <si>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</si>
  <si>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</si>
  <si>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</si>
  <si>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</si>
  <si>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</si>
  <si>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</si>
  <si>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</si>
  <si>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</si>
  <si>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</si>
  <si>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</si>
  <si>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</si>
  <si>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</si>
  <si>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</si>
  <si>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</si>
  <si>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</si>
  <si>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</si>
  <si>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</si>
  <si>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</si>
  <si>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</si>
  <si>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</si>
  <si>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</si>
  <si>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</si>
  <si>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</si>
  <si>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</si>
  <si>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</si>
  <si>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</si>
  <si>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</si>
  <si>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</si>
  <si>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</si>
  <si>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</si>
  <si>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</si>
  <si>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</si>
  <si>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</si>
  <si>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</si>
  <si>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</si>
  <si>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</si>
  <si>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</si>
  <si>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</si>
  <si>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</si>
  <si>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</si>
  <si>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</si>
  <si>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</si>
  <si>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</si>
  <si>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</si>
  <si>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</si>
  <si>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</si>
  <si>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</si>
  <si>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</si>
  <si>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</si>
  <si>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</si>
  <si>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</si>
  <si>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</si>
  <si>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</si>
  <si>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</si>
  <si>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</si>
  <si>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</si>
  <si>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</si>
  <si>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</si>
  <si>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</si>
  <si>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</si>
  <si>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</si>
  <si>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</si>
  <si>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</si>
  <si>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</si>
  <si>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</si>
  <si>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</si>
  <si>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</si>
  <si>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</si>
  <si>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</si>
  <si>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</si>
  <si>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</si>
  <si>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</si>
  <si>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</si>
  <si>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</si>
  <si>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</si>
  <si>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</si>
  <si>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</si>
  <si>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</si>
  <si>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</si>
  <si>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</si>
  <si>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</si>
  <si>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</si>
  <si>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</si>
  <si>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</si>
  <si>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</si>
  <si>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</si>
  <si>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</si>
  <si>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</si>
  <si>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</si>
  <si>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</si>
  <si>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</si>
  <si>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</si>
  <si>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</si>
  <si>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</si>
  <si>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</si>
  <si>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</si>
  <si>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</si>
  <si>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</si>
  <si>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</si>
  <si>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</si>
  <si>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</si>
  <si>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</si>
  <si>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</si>
  <si>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</si>
  <si>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</si>
  <si>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</si>
  <si>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</si>
  <si>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</si>
  <si>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</si>
  <si>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</si>
  <si>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</si>
  <si>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</si>
  <si>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</si>
  <si>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</si>
  <si>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</si>
  <si>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</si>
  <si>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</si>
  <si>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</si>
  <si>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</si>
  <si>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</si>
  <si>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</si>
  <si>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</si>
  <si>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</si>
  <si>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</si>
  <si>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</si>
  <si>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</si>
  <si>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</si>
  <si>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</si>
  <si>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</si>
  <si>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</si>
  <si>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</si>
  <si>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</si>
  <si>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</si>
  <si>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</si>
  <si>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</si>
  <si>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</si>
  <si>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</si>
  <si>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</si>
  <si>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</si>
  <si>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</si>
  <si>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Thu</t>
  </si>
  <si>
    <t>Feb</t>
  </si>
  <si>
    <t>11_02_2021</t>
  </si>
  <si>
    <r>
      <t>S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</si>
  <si>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</si>
  <si>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11_p2hma_58h62d_22h110h_5min-174702-1.</t>
  </si>
  <si>
    <t>2019-11-21T11:43:39.204456667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</si>
</sst>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104.90480295163917</c:v>
                </c:pt>
                <c:pt idx="4">
                  <c:v>104.90480295163917</c:v>
                </c:pt>
                <c:pt idx="5">
                  <c:v>108.55712306375871</c:v>
                </c:pt>
                <c:pt idx="6">
                  <c:v>108.55712306375871</c:v>
                </c:pt>
                <c:pt idx="7">
                  <c:v>110.58956220034464</c:v>
                </c:pt>
                <c:pt idx="8">
                  <c:v>110.58956220034464</c:v>
                </c:pt>
                <c:pt idx="9">
                  <c:v>112.07866704430511</c:v>
                </c:pt>
                <c:pt idx="10">
                  <c:v>112.07866704430511</c:v>
                </c:pt>
                <c:pt idx="11">
                  <c:v>113.29048018066021</c:v>
                </c:pt>
                <c:pt idx="12">
                  <c:v>113.29048018066021</c:v>
                </c:pt>
                <c:pt idx="13">
                  <c:v>114.3368875516921</c:v>
                </c:pt>
                <c:pt idx="14">
                  <c:v>114.3368875516921</c:v>
                </c:pt>
                <c:pt idx="15">
                  <c:v>115.2769202913198</c:v>
                </c:pt>
                <c:pt idx="16">
                  <c:v>115.2769202913198</c:v>
                </c:pt>
                <c:pt idx="17">
                  <c:v>116.14645092801538</c:v>
                </c:pt>
                <c:pt idx="18">
                  <c:v>116.14645092801538</c:v>
                </c:pt>
                <c:pt idx="19">
                  <c:v>116.96975612569653</c:v>
                </c:pt>
                <c:pt idx="20">
                  <c:v>116.96975612569653</c:v>
                </c:pt>
                <c:pt idx="21">
                  <c:v>117.76491160478874</c:v>
                </c:pt>
                <c:pt idx="22">
                  <c:v>117.76491160478874</c:v>
                </c:pt>
                <c:pt idx="23">
                  <c:v>118.54670981857294</c:v>
                </c:pt>
                <c:pt idx="24">
                  <c:v>118.54670981857294</c:v>
                </c:pt>
                <c:pt idx="25">
                  <c:v>120.0587988577614</c:v>
                </c:pt>
                <c:pt idx="26">
                  <c:v>120.0587988577614</c:v>
                </c:pt>
                <c:pt idx="27">
                  <c:v>123.08297693613834</c:v>
                </c:pt>
                <c:pt idx="28">
                  <c:v>123.08297693613834</c:v>
                </c:pt>
                <c:pt idx="29">
                  <c:v>126.10715501451527</c:v>
                </c:pt>
                <c:pt idx="30">
                  <c:v>126.10715501451527</c:v>
                </c:pt>
                <c:pt idx="31">
                  <c:v>129.13133309289219</c:v>
                </c:pt>
                <c:pt idx="32">
                  <c:v>129.13133309289219</c:v>
                </c:pt>
                <c:pt idx="33">
                  <c:v>132.15551117126913</c:v>
                </c:pt>
                <c:pt idx="34">
                  <c:v>132.15551117126913</c:v>
                </c:pt>
                <c:pt idx="35">
                  <c:v>135.17968924964606</c:v>
                </c:pt>
                <c:pt idx="36">
                  <c:v>135.17968924964606</c:v>
                </c:pt>
                <c:pt idx="37">
                  <c:v>138.20386732802299</c:v>
                </c:pt>
                <c:pt idx="38">
                  <c:v>138.20386732802299</c:v>
                </c:pt>
                <c:pt idx="39">
                  <c:v>141.22804540639993</c:v>
                </c:pt>
                <c:pt idx="40">
                  <c:v>141.22804540639993</c:v>
                </c:pt>
                <c:pt idx="41">
                  <c:v>144.25222348477686</c:v>
                </c:pt>
                <c:pt idx="42">
                  <c:v>144.25222348477686</c:v>
                </c:pt>
                <c:pt idx="43">
                  <c:v>147.2764015631538</c:v>
                </c:pt>
                <c:pt idx="44">
                  <c:v>147.2764015631538</c:v>
                </c:pt>
                <c:pt idx="45">
                  <c:v>150.30057964153073</c:v>
                </c:pt>
                <c:pt idx="46">
                  <c:v>150.30057964153073</c:v>
                </c:pt>
                <c:pt idx="47">
                  <c:v>153.32475771990767</c:v>
                </c:pt>
                <c:pt idx="48">
                  <c:v>153.32475771990767</c:v>
                </c:pt>
                <c:pt idx="49">
                  <c:v>156.3489357982846</c:v>
                </c:pt>
                <c:pt idx="50">
                  <c:v>156.3489357982846</c:v>
                </c:pt>
                <c:pt idx="51">
                  <c:v>159.37311387666153</c:v>
                </c:pt>
                <c:pt idx="52">
                  <c:v>159.37311387666153</c:v>
                </c:pt>
                <c:pt idx="53">
                  <c:v>162.39729195503847</c:v>
                </c:pt>
                <c:pt idx="54">
                  <c:v>162.39729195503847</c:v>
                </c:pt>
                <c:pt idx="55">
                  <c:v>165.4214700334154</c:v>
                </c:pt>
                <c:pt idx="56">
                  <c:v>165.4214700334154</c:v>
                </c:pt>
                <c:pt idx="57">
                  <c:v>168.44564811179234</c:v>
                </c:pt>
                <c:pt idx="58">
                  <c:v>168.44564811179234</c:v>
                </c:pt>
                <c:pt idx="59">
                  <c:v>171.46982619016927</c:v>
                </c:pt>
                <c:pt idx="60">
                  <c:v>171.46982619016927</c:v>
                </c:pt>
                <c:pt idx="61">
                  <c:v>174.49400426854621</c:v>
                </c:pt>
                <c:pt idx="62">
                  <c:v>174.49400426854621</c:v>
                </c:pt>
                <c:pt idx="63">
                  <c:v>177.51818234692314</c:v>
                </c:pt>
                <c:pt idx="64">
                  <c:v>177.51818234692314</c:v>
                </c:pt>
                <c:pt idx="65">
                  <c:v>180.54236042530007</c:v>
                </c:pt>
                <c:pt idx="66">
                  <c:v>180.54236042530007</c:v>
                </c:pt>
                <c:pt idx="67">
                  <c:v>183.56653850367701</c:v>
                </c:pt>
                <c:pt idx="68">
                  <c:v>183.56653850367701</c:v>
                </c:pt>
                <c:pt idx="69">
                  <c:v>185.07862754286546</c:v>
                </c:pt>
                <c:pt idx="70">
                  <c:v>185.07862754286546</c:v>
                </c:pt>
                <c:pt idx="71">
                  <c:v>188.72897836892551</c:v>
                </c:pt>
                <c:pt idx="72">
                  <c:v>188.72897836892551</c:v>
                </c:pt>
                <c:pt idx="73">
                  <c:v>192.44169657264297</c:v>
                </c:pt>
                <c:pt idx="74">
                  <c:v>192.44169657264297</c:v>
                </c:pt>
                <c:pt idx="75">
                  <c:v>196.28585067208493</c:v>
                </c:pt>
                <c:pt idx="76">
                  <c:v>196.28585067208493</c:v>
                </c:pt>
                <c:pt idx="77">
                  <c:v>200.3458393264238</c:v>
                </c:pt>
                <c:pt idx="78">
                  <c:v>200.3458393264238</c:v>
                </c:pt>
                <c:pt idx="79">
                  <c:v>204.73501447049827</c:v>
                </c:pt>
                <c:pt idx="80">
                  <c:v>204.73501447049827</c:v>
                </c:pt>
                <c:pt idx="81">
                  <c:v>209.6208711326062</c:v>
                </c:pt>
                <c:pt idx="82">
                  <c:v>209.6208711326062</c:v>
                </c:pt>
                <c:pt idx="83">
                  <c:v>215.2790358678678</c:v>
                </c:pt>
                <c:pt idx="84">
                  <c:v>215.2790358678678</c:v>
                </c:pt>
                <c:pt idx="85">
                  <c:v>222.23192345625202</c:v>
                </c:pt>
                <c:pt idx="86">
                  <c:v>222.23192345625202</c:v>
                </c:pt>
                <c:pt idx="87">
                  <c:v>231.72173265553624</c:v>
                </c:pt>
                <c:pt idx="88">
                  <c:v>231.72173265553624</c:v>
                </c:pt>
                <c:pt idx="89">
                  <c:v>248.77504577808506</c:v>
                </c:pt>
                <c:pt idx="90">
                  <c:v>248.77504577808506</c:v>
                </c:pt>
                <c:pt idx="91">
                  <c:v>271.67641750099352</c:v>
                </c:pt>
                <c:pt idx="92">
                  <c:v>271.67641750099352</c:v>
                </c:pt>
                <c:pt idx="93">
                  <c:v>1178.1783069575265</c:v>
                </c:pt>
                <c:pt idx="94">
                  <c:v>1178.1783069575265</c:v>
                </c:pt>
                <c:pt idx="95">
                  <c:v>1181.6204701336746</c:v>
                </c:pt>
                <c:pt idx="96">
                  <c:v>1181.6204701336746</c:v>
                </c:pt>
                <c:pt idx="97">
                  <c:v>1184.1836478844225</c:v>
                </c:pt>
                <c:pt idx="98">
                  <c:v>1184.1836478844225</c:v>
                </c:pt>
                <c:pt idx="99">
                  <c:v>1185.6100022604694</c:v>
                </c:pt>
                <c:pt idx="100">
                  <c:v>1185.6100022604694</c:v>
                </c:pt>
                <c:pt idx="101">
                  <c:v>1186.6550476802026</c:v>
                </c:pt>
                <c:pt idx="102">
                  <c:v>1186.6550476802026</c:v>
                </c:pt>
                <c:pt idx="103">
                  <c:v>1187.5054913362399</c:v>
                </c:pt>
                <c:pt idx="104">
                  <c:v>1187.5054913362399</c:v>
                </c:pt>
                <c:pt idx="105">
                  <c:v>1188.2398541547527</c:v>
                </c:pt>
                <c:pt idx="106">
                  <c:v>1188.2398541547527</c:v>
                </c:pt>
                <c:pt idx="107">
                  <c:v>1188.8995638541278</c:v>
                </c:pt>
                <c:pt idx="108">
                  <c:v>1188.8995638541278</c:v>
                </c:pt>
                <c:pt idx="109">
                  <c:v>1189.5097955734605</c:v>
                </c:pt>
                <c:pt idx="110">
                  <c:v>1189.5097955734605</c:v>
                </c:pt>
                <c:pt idx="111">
                  <c:v>1190.0875865391999</c:v>
                </c:pt>
                <c:pt idx="112">
                  <c:v>1190.0875865391999</c:v>
                </c:pt>
                <c:pt idx="113">
                  <c:v>1190.6456221904648</c:v>
                </c:pt>
                <c:pt idx="114">
                  <c:v>1190.6456221904648</c:v>
                </c:pt>
                <c:pt idx="115">
                  <c:v>1191.1942837879235</c:v>
                </c:pt>
                <c:pt idx="116">
                  <c:v>1191.1942837879235</c:v>
                </c:pt>
                <c:pt idx="117">
                  <c:v>1191.4215565151962</c:v>
                </c:pt>
                <c:pt idx="118">
                  <c:v>1191.4215565151962</c:v>
                </c:pt>
                <c:pt idx="119">
                  <c:v>1191.8761019697417</c:v>
                </c:pt>
                <c:pt idx="120">
                  <c:v>1191.8761019697417</c:v>
                </c:pt>
                <c:pt idx="121">
                  <c:v>1192.3306474242872</c:v>
                </c:pt>
                <c:pt idx="122">
                  <c:v>1192.3306474242872</c:v>
                </c:pt>
                <c:pt idx="123">
                  <c:v>1192.7851928788327</c:v>
                </c:pt>
                <c:pt idx="124">
                  <c:v>1192.7851928788327</c:v>
                </c:pt>
                <c:pt idx="125">
                  <c:v>1193.2397383333782</c:v>
                </c:pt>
                <c:pt idx="126">
                  <c:v>1193.2397383333782</c:v>
                </c:pt>
                <c:pt idx="127">
                  <c:v>1193.6942837879237</c:v>
                </c:pt>
                <c:pt idx="128">
                  <c:v>1193.6942837879237</c:v>
                </c:pt>
                <c:pt idx="129">
                  <c:v>1194.1488292424692</c:v>
                </c:pt>
                <c:pt idx="130">
                  <c:v>1194.1488292424692</c:v>
                </c:pt>
                <c:pt idx="131">
                  <c:v>1194.6033746970147</c:v>
                </c:pt>
                <c:pt idx="132">
                  <c:v>1194.6033746970147</c:v>
                </c:pt>
                <c:pt idx="133">
                  <c:v>1195.0579201515602</c:v>
                </c:pt>
                <c:pt idx="134">
                  <c:v>1195.0579201515602</c:v>
                </c:pt>
                <c:pt idx="135">
                  <c:v>1195.5124656061057</c:v>
                </c:pt>
                <c:pt idx="136">
                  <c:v>1195.5124656061057</c:v>
                </c:pt>
                <c:pt idx="137">
                  <c:v>1195.9670110606512</c:v>
                </c:pt>
                <c:pt idx="138">
                  <c:v>1195.9670110606512</c:v>
                </c:pt>
                <c:pt idx="139">
                  <c:v>1196.4215565151967</c:v>
                </c:pt>
                <c:pt idx="140">
                  <c:v>1196.4215565151967</c:v>
                </c:pt>
                <c:pt idx="141">
                  <c:v>1196.8761019697422</c:v>
                </c:pt>
                <c:pt idx="142">
                  <c:v>1196.8761019697422</c:v>
                </c:pt>
                <c:pt idx="143">
                  <c:v>1197.3306474242877</c:v>
                </c:pt>
                <c:pt idx="144">
                  <c:v>1197.3306474242877</c:v>
                </c:pt>
                <c:pt idx="145">
                  <c:v>1197.7851928788332</c:v>
                </c:pt>
                <c:pt idx="146">
                  <c:v>1197.7851928788332</c:v>
                </c:pt>
                <c:pt idx="147">
                  <c:v>1198.2397383333787</c:v>
                </c:pt>
                <c:pt idx="148">
                  <c:v>1198.2397383333787</c:v>
                </c:pt>
                <c:pt idx="149">
                  <c:v>1198.6942837879242</c:v>
                </c:pt>
                <c:pt idx="150">
                  <c:v>1198.6942837879242</c:v>
                </c:pt>
                <c:pt idx="151">
                  <c:v>1199.1488292424697</c:v>
                </c:pt>
                <c:pt idx="152">
                  <c:v>1199.1488292424697</c:v>
                </c:pt>
                <c:pt idx="153">
                  <c:v>1199.6033746970152</c:v>
                </c:pt>
                <c:pt idx="154">
                  <c:v>1199.6033746970152</c:v>
                </c:pt>
                <c:pt idx="155">
                  <c:v>1200.0579201515607</c:v>
                </c:pt>
                <c:pt idx="156">
                  <c:v>1200.0579201515607</c:v>
                </c:pt>
                <c:pt idx="157">
                  <c:v>1200.5124656061062</c:v>
                </c:pt>
                <c:pt idx="158">
                  <c:v>1200.5124656061062</c:v>
                </c:pt>
                <c:pt idx="159">
                  <c:v>1200.9670110606517</c:v>
                </c:pt>
                <c:pt idx="160">
                  <c:v>1200.9670110606517</c:v>
                </c:pt>
                <c:pt idx="161">
                  <c:v>1201.1942837879244</c:v>
                </c:pt>
                <c:pt idx="162">
                  <c:v>1201.1942837879244</c:v>
                </c:pt>
                <c:pt idx="163">
                  <c:v>1201.4686145866538</c:v>
                </c:pt>
                <c:pt idx="164">
                  <c:v>1201.4686145866538</c:v>
                </c:pt>
                <c:pt idx="165">
                  <c:v>1201.7476324122861</c:v>
                </c:pt>
                <c:pt idx="166">
                  <c:v>1201.7476324122861</c:v>
                </c:pt>
                <c:pt idx="167">
                  <c:v>1202.0365278951558</c:v>
                </c:pt>
                <c:pt idx="168">
                  <c:v>1202.0365278951558</c:v>
                </c:pt>
                <c:pt idx="169">
                  <c:v>1202.3416437548221</c:v>
                </c:pt>
                <c:pt idx="170">
                  <c:v>1202.3416437548221</c:v>
                </c:pt>
                <c:pt idx="171">
                  <c:v>1202.6714986045097</c:v>
                </c:pt>
                <c:pt idx="172">
                  <c:v>1202.6714986045097</c:v>
                </c:pt>
                <c:pt idx="173">
                  <c:v>1203.0386800137662</c:v>
                </c:pt>
                <c:pt idx="174">
                  <c:v>1203.0386800137662</c:v>
                </c:pt>
                <c:pt idx="175">
                  <c:v>1203.4639018417849</c:v>
                </c:pt>
                <c:pt idx="176">
                  <c:v>1203.4639018417849</c:v>
                </c:pt>
                <c:pt idx="177">
                  <c:v>1203.9864245516517</c:v>
                </c:pt>
                <c:pt idx="178">
                  <c:v>1203.9864245516517</c:v>
                </c:pt>
                <c:pt idx="179">
                  <c:v>1204.6996017396752</c:v>
                </c:pt>
                <c:pt idx="180">
                  <c:v>1204.6996017396752</c:v>
                </c:pt>
                <c:pt idx="181">
                  <c:v>1205.9811906150492</c:v>
                </c:pt>
                <c:pt idx="182">
                  <c:v>1205.9811906150492</c:v>
                </c:pt>
                <c:pt idx="183">
                  <c:v>1207.7022722031234</c:v>
                </c:pt>
                <c:pt idx="184">
                  <c:v>1207.7022722031234</c:v>
                </c:pt>
                <c:pt idx="185">
                  <c:v>1218.0000749877843</c:v>
                </c:pt>
                <c:pt idx="186">
                  <c:v>1218.0000749877843</c:v>
                </c:pt>
                <c:pt idx="187">
                  <c:v>1219.7211565758585</c:v>
                </c:pt>
                <c:pt idx="188">
                  <c:v>1219.7211565758585</c:v>
                </c:pt>
                <c:pt idx="189">
                  <c:v>1221.0027454512324</c:v>
                </c:pt>
                <c:pt idx="190">
                  <c:v>1221.0027454512324</c:v>
                </c:pt>
                <c:pt idx="191">
                  <c:v>1221.715922639256</c:v>
                </c:pt>
                <c:pt idx="192">
                  <c:v>1221.715922639256</c:v>
                </c:pt>
                <c:pt idx="193">
                  <c:v>1222.2384453491227</c:v>
                </c:pt>
                <c:pt idx="194">
                  <c:v>1222.2384453491227</c:v>
                </c:pt>
                <c:pt idx="195">
                  <c:v>1222.6636671771414</c:v>
                </c:pt>
                <c:pt idx="196">
                  <c:v>1222.6636671771414</c:v>
                </c:pt>
                <c:pt idx="197">
                  <c:v>1223.030848586398</c:v>
                </c:pt>
                <c:pt idx="198">
                  <c:v>1223.030848586398</c:v>
                </c:pt>
                <c:pt idx="199">
                  <c:v>1223.3607034360855</c:v>
                </c:pt>
                <c:pt idx="200">
                  <c:v>1223.3607034360855</c:v>
                </c:pt>
                <c:pt idx="201">
                  <c:v>1223.6658192957518</c:v>
                </c:pt>
                <c:pt idx="202">
                  <c:v>1223.6658192957518</c:v>
                </c:pt>
                <c:pt idx="203">
                  <c:v>1223.9547147786216</c:v>
                </c:pt>
                <c:pt idx="204">
                  <c:v>1223.9547147786216</c:v>
                </c:pt>
                <c:pt idx="205">
                  <c:v>1224.2337326042539</c:v>
                </c:pt>
                <c:pt idx="206">
                  <c:v>1224.2337326042539</c:v>
                </c:pt>
                <c:pt idx="207">
                  <c:v>1224.5080634029832</c:v>
                </c:pt>
                <c:pt idx="208">
                  <c:v>1224.5080634029832</c:v>
                </c:pt>
                <c:pt idx="209">
                  <c:v>1224.7823942017126</c:v>
                </c:pt>
                <c:pt idx="210">
                  <c:v>1224.7823942017126</c:v>
                </c:pt>
                <c:pt idx="211">
                  <c:v>1225.0614120273449</c:v>
                </c:pt>
                <c:pt idx="212">
                  <c:v>1225.0614120273449</c:v>
                </c:pt>
                <c:pt idx="213">
                  <c:v>1225.3503075102146</c:v>
                </c:pt>
                <c:pt idx="214">
                  <c:v>1225.3503075102146</c:v>
                </c:pt>
                <c:pt idx="215">
                  <c:v>1225.655423369881</c:v>
                </c:pt>
                <c:pt idx="216">
                  <c:v>1225.655423369881</c:v>
                </c:pt>
                <c:pt idx="217">
                  <c:v>1225.9852782195685</c:v>
                </c:pt>
                <c:pt idx="218">
                  <c:v>1225.9852782195685</c:v>
                </c:pt>
                <c:pt idx="219">
                  <c:v>1226.352459628825</c:v>
                </c:pt>
                <c:pt idx="220">
                  <c:v>1226.352459628825</c:v>
                </c:pt>
                <c:pt idx="221">
                  <c:v>1226.7776814568438</c:v>
                </c:pt>
                <c:pt idx="222">
                  <c:v>1226.7776814568438</c:v>
                </c:pt>
                <c:pt idx="223">
                  <c:v>1227.3002041667105</c:v>
                </c:pt>
                <c:pt idx="224">
                  <c:v>1227.3002041667105</c:v>
                </c:pt>
                <c:pt idx="225">
                  <c:v>1228.0133813547341</c:v>
                </c:pt>
                <c:pt idx="226">
                  <c:v>1228.0133813547341</c:v>
                </c:pt>
                <c:pt idx="227">
                  <c:v>1229.294970230108</c:v>
                </c:pt>
                <c:pt idx="228">
                  <c:v>1229.294970230108</c:v>
                </c:pt>
                <c:pt idx="229">
                  <c:v>1231.0160518181822</c:v>
                </c:pt>
                <c:pt idx="230">
                  <c:v>1231.0160518181822</c:v>
                </c:pt>
                <c:pt idx="231">
                  <c:v>1331.0160518181822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8.2024544852122148E-9</c:v>
                </c:pt>
                <c:pt idx="3">
                  <c:v>8.2024544852122148E-9</c:v>
                </c:pt>
                <c:pt idx="4">
                  <c:v>6.7565989882685858E-8</c:v>
                </c:pt>
                <c:pt idx="5">
                  <c:v>6.7565989882685858E-8</c:v>
                </c:pt>
                <c:pt idx="6">
                  <c:v>1.5344425765415313E-7</c:v>
                </c:pt>
                <c:pt idx="7">
                  <c:v>1.5344425765415313E-7</c:v>
                </c:pt>
                <c:pt idx="8">
                  <c:v>2.5062001047525397E-7</c:v>
                </c:pt>
                <c:pt idx="9">
                  <c:v>2.5062001047525397E-7</c:v>
                </c:pt>
                <c:pt idx="10">
                  <c:v>3.5317445920630981E-7</c:v>
                </c:pt>
                <c:pt idx="11">
                  <c:v>3.5317445920630981E-7</c:v>
                </c:pt>
                <c:pt idx="12">
                  <c:v>4.5839802916111792E-7</c:v>
                </c:pt>
                <c:pt idx="13">
                  <c:v>4.5839802916111792E-7</c:v>
                </c:pt>
                <c:pt idx="14">
                  <c:v>5.6493996607597728E-7</c:v>
                </c:pt>
                <c:pt idx="15">
                  <c:v>5.6493996607597728E-7</c:v>
                </c:pt>
                <c:pt idx="16">
                  <c:v>6.7210257944260968E-7</c:v>
                </c:pt>
                <c:pt idx="17">
                  <c:v>6.7210257944260968E-7</c:v>
                </c:pt>
                <c:pt idx="18">
                  <c:v>7.7952833210428636E-7</c:v>
                </c:pt>
                <c:pt idx="19">
                  <c:v>7.7952833210428636E-7</c:v>
                </c:pt>
                <c:pt idx="20">
                  <c:v>8.8704523529019764E-7</c:v>
                </c:pt>
                <c:pt idx="21">
                  <c:v>8.8704523529019764E-7</c:v>
                </c:pt>
                <c:pt idx="22">
                  <c:v>9.9458317180889361E-7</c:v>
                </c:pt>
                <c:pt idx="23">
                  <c:v>9.9458317180889361E-7</c:v>
                </c:pt>
                <c:pt idx="24">
                  <c:v>1.1497198201668351E-6</c:v>
                </c:pt>
                <c:pt idx="25">
                  <c:v>1.1497198201668351E-6</c:v>
                </c:pt>
                <c:pt idx="26">
                  <c:v>1.4460634001007074E-6</c:v>
                </c:pt>
                <c:pt idx="27">
                  <c:v>1.4460634001007074E-6</c:v>
                </c:pt>
                <c:pt idx="28">
                  <c:v>1.7591421768587979E-6</c:v>
                </c:pt>
                <c:pt idx="29">
                  <c:v>1.7591421768587979E-6</c:v>
                </c:pt>
                <c:pt idx="30">
                  <c:v>1.9503774739540381E-6</c:v>
                </c:pt>
                <c:pt idx="31">
                  <c:v>1.9503774739540381E-6</c:v>
                </c:pt>
                <c:pt idx="32">
                  <c:v>2.0411123267002471E-6</c:v>
                </c:pt>
                <c:pt idx="33">
                  <c:v>2.0411123267002471E-6</c:v>
                </c:pt>
                <c:pt idx="34">
                  <c:v>2.0737322346206905E-6</c:v>
                </c:pt>
                <c:pt idx="35">
                  <c:v>2.0737322346206905E-6</c:v>
                </c:pt>
                <c:pt idx="36">
                  <c:v>2.0813675130489165E-6</c:v>
                </c:pt>
                <c:pt idx="37">
                  <c:v>2.0813675130489165E-6</c:v>
                </c:pt>
                <c:pt idx="38">
                  <c:v>2.0806142583636438E-6</c:v>
                </c:pt>
                <c:pt idx="39">
                  <c:v>2.0806142583636438E-6</c:v>
                </c:pt>
                <c:pt idx="40">
                  <c:v>2.077349549490394E-6</c:v>
                </c:pt>
                <c:pt idx="41">
                  <c:v>2.077349549490394E-6</c:v>
                </c:pt>
                <c:pt idx="42">
                  <c:v>2.073079491270527E-6</c:v>
                </c:pt>
                <c:pt idx="43">
                  <c:v>2.073079491270527E-6</c:v>
                </c:pt>
                <c:pt idx="44">
                  <c:v>2.0680616462563614E-6</c:v>
                </c:pt>
                <c:pt idx="45">
                  <c:v>2.0680616462563614E-6</c:v>
                </c:pt>
                <c:pt idx="46">
                  <c:v>2.0622981203982559E-6</c:v>
                </c:pt>
                <c:pt idx="47">
                  <c:v>2.0622981203982559E-6</c:v>
                </c:pt>
                <c:pt idx="48">
                  <c:v>2.0557607727023795E-6</c:v>
                </c:pt>
                <c:pt idx="49">
                  <c:v>2.0557607727023795E-6</c:v>
                </c:pt>
                <c:pt idx="50">
                  <c:v>2.0484307237001874E-6</c:v>
                </c:pt>
                <c:pt idx="51">
                  <c:v>2.0484307237001874E-6</c:v>
                </c:pt>
                <c:pt idx="52">
                  <c:v>2.0403054166210864E-6</c:v>
                </c:pt>
                <c:pt idx="53">
                  <c:v>2.0403054166210864E-6</c:v>
                </c:pt>
                <c:pt idx="54">
                  <c:v>2.0314010609880946E-6</c:v>
                </c:pt>
                <c:pt idx="55">
                  <c:v>2.0314010609880946E-6</c:v>
                </c:pt>
                <c:pt idx="56">
                  <c:v>2.0217539996228796E-6</c:v>
                </c:pt>
                <c:pt idx="57">
                  <c:v>2.0217539996228796E-6</c:v>
                </c:pt>
                <c:pt idx="58">
                  <c:v>2.011421217931741E-6</c:v>
                </c:pt>
                <c:pt idx="59">
                  <c:v>2.011421217931741E-6</c:v>
                </c:pt>
                <c:pt idx="60">
                  <c:v>2.0004799181991802E-6</c:v>
                </c:pt>
                <c:pt idx="61">
                  <c:v>2.0004799181991802E-6</c:v>
                </c:pt>
                <c:pt idx="62">
                  <c:v>1.9890261118925223E-6</c:v>
                </c:pt>
                <c:pt idx="63">
                  <c:v>1.9890261118925223E-6</c:v>
                </c:pt>
                <c:pt idx="64">
                  <c:v>1.9771722454207419E-6</c:v>
                </c:pt>
                <c:pt idx="65">
                  <c:v>1.9771722454207419E-6</c:v>
                </c:pt>
                <c:pt idx="66">
                  <c:v>1.9650439408984097E-6</c:v>
                </c:pt>
                <c:pt idx="67">
                  <c:v>1.9650439408984097E-6</c:v>
                </c:pt>
                <c:pt idx="68">
                  <c:v>1.9558484825141167E-6</c:v>
                </c:pt>
                <c:pt idx="69">
                  <c:v>1.9558484825141167E-6</c:v>
                </c:pt>
                <c:pt idx="70">
                  <c:v>1.9453937801278786E-6</c:v>
                </c:pt>
                <c:pt idx="71">
                  <c:v>1.9453937801278786E-6</c:v>
                </c:pt>
                <c:pt idx="72">
                  <c:v>1.9306296709401888E-6</c:v>
                </c:pt>
                <c:pt idx="73">
                  <c:v>1.9306296709401888E-6</c:v>
                </c:pt>
                <c:pt idx="74">
                  <c:v>1.9158684494629373E-6</c:v>
                </c:pt>
                <c:pt idx="75">
                  <c:v>1.9158684494629373E-6</c:v>
                </c:pt>
                <c:pt idx="76">
                  <c:v>1.9011197422326193E-6</c:v>
                </c:pt>
                <c:pt idx="77">
                  <c:v>1.9011197422326193E-6</c:v>
                </c:pt>
                <c:pt idx="78">
                  <c:v>1.8864071619488411E-6</c:v>
                </c:pt>
                <c:pt idx="79">
                  <c:v>1.8864071619488411E-6</c:v>
                </c:pt>
                <c:pt idx="80">
                  <c:v>1.8717797956388556E-6</c:v>
                </c:pt>
                <c:pt idx="81">
                  <c:v>1.8717797956388556E-6</c:v>
                </c:pt>
                <c:pt idx="82">
                  <c:v>1.8573334306980402E-6</c:v>
                </c:pt>
                <c:pt idx="83">
                  <c:v>1.8573334306980402E-6</c:v>
                </c:pt>
                <c:pt idx="84">
                  <c:v>1.8432535150165132E-6</c:v>
                </c:pt>
                <c:pt idx="85">
                  <c:v>1.8432535150165132E-6</c:v>
                </c:pt>
                <c:pt idx="86">
                  <c:v>1.8299120517943948E-6</c:v>
                </c:pt>
                <c:pt idx="87">
                  <c:v>1.8299120517943948E-6</c:v>
                </c:pt>
                <c:pt idx="88">
                  <c:v>1.818121644025066E-6</c:v>
                </c:pt>
                <c:pt idx="89">
                  <c:v>1.818121644025066E-6</c:v>
                </c:pt>
                <c:pt idx="90">
                  <c:v>1.8099714995574602E-6</c:v>
                </c:pt>
                <c:pt idx="91">
                  <c:v>1.8099714995574602E-6</c:v>
                </c:pt>
                <c:pt idx="92">
                  <c:v>1.8088453673519601E-6</c:v>
                </c:pt>
                <c:pt idx="93">
                  <c:v>1.8088453673519601E-6</c:v>
                </c:pt>
                <c:pt idx="94">
                  <c:v>1.8050701666391347E-6</c:v>
                </c:pt>
                <c:pt idx="95">
                  <c:v>1.8050701666391347E-6</c:v>
                </c:pt>
                <c:pt idx="96">
                  <c:v>1.7777479472287858E-6</c:v>
                </c:pt>
                <c:pt idx="97">
                  <c:v>1.7777479472287858E-6</c:v>
                </c:pt>
                <c:pt idx="98">
                  <c:v>1.7382222542436509E-6</c:v>
                </c:pt>
                <c:pt idx="99">
                  <c:v>1.7382222542436509E-6</c:v>
                </c:pt>
                <c:pt idx="100">
                  <c:v>1.6934968647909035E-6</c:v>
                </c:pt>
                <c:pt idx="101">
                  <c:v>1.6934968647909035E-6</c:v>
                </c:pt>
                <c:pt idx="102">
                  <c:v>1.6462959167514015E-6</c:v>
                </c:pt>
                <c:pt idx="103">
                  <c:v>1.6462959167514015E-6</c:v>
                </c:pt>
                <c:pt idx="104">
                  <c:v>1.5978664988234418E-6</c:v>
                </c:pt>
                <c:pt idx="105">
                  <c:v>1.5978664988234418E-6</c:v>
                </c:pt>
                <c:pt idx="106">
                  <c:v>1.5488302991210359E-6</c:v>
                </c:pt>
                <c:pt idx="107">
                  <c:v>1.5488302991210359E-6</c:v>
                </c:pt>
                <c:pt idx="108">
                  <c:v>1.4995084314899156E-6</c:v>
                </c:pt>
                <c:pt idx="109">
                  <c:v>1.4995084314899156E-6</c:v>
                </c:pt>
                <c:pt idx="110">
                  <c:v>1.4500654533234042E-6</c:v>
                </c:pt>
                <c:pt idx="111">
                  <c:v>1.4500654533234042E-6</c:v>
                </c:pt>
                <c:pt idx="112">
                  <c:v>1.4005805228943493E-6</c:v>
                </c:pt>
                <c:pt idx="113">
                  <c:v>1.4005805228943493E-6</c:v>
                </c:pt>
                <c:pt idx="114">
                  <c:v>1.3510859118199382E-6</c:v>
                </c:pt>
                <c:pt idx="115">
                  <c:v>1.3510859118199382E-6</c:v>
                </c:pt>
                <c:pt idx="116">
                  <c:v>1.3160417901892343E-6</c:v>
                </c:pt>
                <c:pt idx="117">
                  <c:v>1.3160417901892343E-6</c:v>
                </c:pt>
                <c:pt idx="118">
                  <c:v>1.2852196892081566E-6</c:v>
                </c:pt>
                <c:pt idx="119">
                  <c:v>1.2852196892081566E-6</c:v>
                </c:pt>
                <c:pt idx="120">
                  <c:v>1.2445749651113497E-6</c:v>
                </c:pt>
                <c:pt idx="121">
                  <c:v>1.2445749651113497E-6</c:v>
                </c:pt>
                <c:pt idx="122">
                  <c:v>1.2048707182205877E-6</c:v>
                </c:pt>
                <c:pt idx="123">
                  <c:v>1.2048707182205877E-6</c:v>
                </c:pt>
                <c:pt idx="124">
                  <c:v>1.1665547973917652E-6</c:v>
                </c:pt>
                <c:pt idx="125">
                  <c:v>1.1665547973917652E-6</c:v>
                </c:pt>
                <c:pt idx="126">
                  <c:v>1.1300606471447582E-6</c:v>
                </c:pt>
                <c:pt idx="127">
                  <c:v>1.1300606471447582E-6</c:v>
                </c:pt>
                <c:pt idx="128">
                  <c:v>1.0958234440755188E-6</c:v>
                </c:pt>
                <c:pt idx="129">
                  <c:v>1.0958234440755188E-6</c:v>
                </c:pt>
                <c:pt idx="130">
                  <c:v>1.0643174819678333E-6</c:v>
                </c:pt>
                <c:pt idx="131">
                  <c:v>1.0643174819678333E-6</c:v>
                </c:pt>
                <c:pt idx="132">
                  <c:v>1.0361217558591906E-6</c:v>
                </c:pt>
                <c:pt idx="133">
                  <c:v>1.0361217558591906E-6</c:v>
                </c:pt>
                <c:pt idx="134">
                  <c:v>1.012018305864347E-6</c:v>
                </c:pt>
                <c:pt idx="135">
                  <c:v>1.012018305864347E-6</c:v>
                </c:pt>
                <c:pt idx="136">
                  <c:v>9.9312114055737298E-7</c:v>
                </c:pt>
                <c:pt idx="137">
                  <c:v>9.9312114055737298E-7</c:v>
                </c:pt>
                <c:pt idx="138">
                  <c:v>9.8102124711769661E-7</c:v>
                </c:pt>
                <c:pt idx="139">
                  <c:v>9.8102124711769661E-7</c:v>
                </c:pt>
                <c:pt idx="140">
                  <c:v>9.7791595008001416E-7</c:v>
                </c:pt>
                <c:pt idx="141">
                  <c:v>9.7791595008001416E-7</c:v>
                </c:pt>
                <c:pt idx="142">
                  <c:v>9.8667256518304268E-7</c:v>
                </c:pt>
                <c:pt idx="143">
                  <c:v>9.8667256518304268E-7</c:v>
                </c:pt>
                <c:pt idx="144">
                  <c:v>1.010764490981105E-6</c:v>
                </c:pt>
                <c:pt idx="145">
                  <c:v>1.010764490981105E-6</c:v>
                </c:pt>
                <c:pt idx="146">
                  <c:v>1.0540224368063958E-6</c:v>
                </c:pt>
                <c:pt idx="147">
                  <c:v>1.0540224368063958E-6</c:v>
                </c:pt>
                <c:pt idx="148">
                  <c:v>1.1201726084256233E-6</c:v>
                </c:pt>
                <c:pt idx="149">
                  <c:v>1.1201726084256233E-6</c:v>
                </c:pt>
                <c:pt idx="150">
                  <c:v>1.2121884473038948E-6</c:v>
                </c:pt>
                <c:pt idx="151">
                  <c:v>1.2121884473038948E-6</c:v>
                </c:pt>
                <c:pt idx="152">
                  <c:v>1.3315524147100292E-6</c:v>
                </c:pt>
                <c:pt idx="153">
                  <c:v>1.3315524147100292E-6</c:v>
                </c:pt>
                <c:pt idx="154">
                  <c:v>1.4775870450542715E-6</c:v>
                </c:pt>
                <c:pt idx="155">
                  <c:v>1.4775870450542715E-6</c:v>
                </c:pt>
                <c:pt idx="156">
                  <c:v>1.6470424357724404E-6</c:v>
                </c:pt>
                <c:pt idx="157">
                  <c:v>1.6470424357724404E-6</c:v>
                </c:pt>
                <c:pt idx="158">
                  <c:v>1.8340993503861209E-6</c:v>
                </c:pt>
                <c:pt idx="159">
                  <c:v>1.8340993503861209E-6</c:v>
                </c:pt>
                <c:pt idx="160">
                  <c:v>1.9812463830436595E-6</c:v>
                </c:pt>
                <c:pt idx="161">
                  <c:v>1.9812463830436595E-6</c:v>
                </c:pt>
                <c:pt idx="162">
                  <c:v>2.0823394542220977E-6</c:v>
                </c:pt>
                <c:pt idx="163">
                  <c:v>2.0823394542220977E-6</c:v>
                </c:pt>
                <c:pt idx="164">
                  <c:v>2.2031849623988735E-6</c:v>
                </c:pt>
                <c:pt idx="165">
                  <c:v>2.2031849623988735E-6</c:v>
                </c:pt>
                <c:pt idx="166">
                  <c:v>2.3240068344164358E-6</c:v>
                </c:pt>
                <c:pt idx="167">
                  <c:v>2.3240068344164358E-6</c:v>
                </c:pt>
                <c:pt idx="168">
                  <c:v>2.4447262762425861E-6</c:v>
                </c:pt>
                <c:pt idx="169">
                  <c:v>2.4447262762425861E-6</c:v>
                </c:pt>
                <c:pt idx="170">
                  <c:v>2.5651500158927381E-6</c:v>
                </c:pt>
                <c:pt idx="171">
                  <c:v>2.5651500158927381E-6</c:v>
                </c:pt>
                <c:pt idx="172">
                  <c:v>2.6848762718115108E-6</c:v>
                </c:pt>
                <c:pt idx="173">
                  <c:v>2.6848762718115108E-6</c:v>
                </c:pt>
                <c:pt idx="174">
                  <c:v>2.803121015899125E-6</c:v>
                </c:pt>
                <c:pt idx="175">
                  <c:v>2.803121015899125E-6</c:v>
                </c:pt>
                <c:pt idx="176">
                  <c:v>2.9183663411666309E-6</c:v>
                </c:pt>
                <c:pt idx="177">
                  <c:v>2.9183663411666309E-6</c:v>
                </c:pt>
                <c:pt idx="178">
                  <c:v>3.0275673693087792E-6</c:v>
                </c:pt>
                <c:pt idx="179">
                  <c:v>3.0275673693087792E-6</c:v>
                </c:pt>
                <c:pt idx="180">
                  <c:v>3.1240728746787833E-6</c:v>
                </c:pt>
                <c:pt idx="181">
                  <c:v>3.1240728746787833E-6</c:v>
                </c:pt>
                <c:pt idx="182">
                  <c:v>3.1907825106873794E-6</c:v>
                </c:pt>
                <c:pt idx="183">
                  <c:v>3.1907825106873794E-6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3.1956471679501898E-6</c:v>
                </c:pt>
                <c:pt idx="187">
                  <c:v>3.1956471679501898E-6</c:v>
                </c:pt>
                <c:pt idx="188">
                  <c:v>3.1641444634933683E-6</c:v>
                </c:pt>
                <c:pt idx="189">
                  <c:v>3.1641444634933683E-6</c:v>
                </c:pt>
                <c:pt idx="190">
                  <c:v>3.1185710711616265E-6</c:v>
                </c:pt>
                <c:pt idx="191">
                  <c:v>3.1185710711616265E-6</c:v>
                </c:pt>
                <c:pt idx="192">
                  <c:v>3.0670023935046255E-6</c:v>
                </c:pt>
                <c:pt idx="193">
                  <c:v>3.0670023935046255E-6</c:v>
                </c:pt>
                <c:pt idx="194">
                  <c:v>3.012579379991785E-6</c:v>
                </c:pt>
                <c:pt idx="195">
                  <c:v>3.012579379991785E-6</c:v>
                </c:pt>
                <c:pt idx="196">
                  <c:v>2.9567399323580942E-6</c:v>
                </c:pt>
                <c:pt idx="197">
                  <c:v>2.9567399323580942E-6</c:v>
                </c:pt>
                <c:pt idx="198">
                  <c:v>2.9002008612193331E-6</c:v>
                </c:pt>
                <c:pt idx="199">
                  <c:v>2.9002008612193331E-6</c:v>
                </c:pt>
                <c:pt idx="200">
                  <c:v>2.843332413019509E-6</c:v>
                </c:pt>
                <c:pt idx="201">
                  <c:v>2.843332413019509E-6</c:v>
                </c:pt>
                <c:pt idx="202">
                  <c:v>2.7863243235502217E-6</c:v>
                </c:pt>
                <c:pt idx="203">
                  <c:v>2.7863243235502217E-6</c:v>
                </c:pt>
                <c:pt idx="204">
                  <c:v>2.7292678628374288E-6</c:v>
                </c:pt>
                <c:pt idx="205">
                  <c:v>2.7292678628374288E-6</c:v>
                </c:pt>
                <c:pt idx="206">
                  <c:v>2.6722002402748233E-6</c:v>
                </c:pt>
                <c:pt idx="207">
                  <c:v>2.6722002402748233E-6</c:v>
                </c:pt>
                <c:pt idx="208">
                  <c:v>2.6151313739544862E-6</c:v>
                </c:pt>
                <c:pt idx="209">
                  <c:v>2.6151313739544862E-6</c:v>
                </c:pt>
                <c:pt idx="210">
                  <c:v>2.5580637513918807E-6</c:v>
                </c:pt>
                <c:pt idx="211">
                  <c:v>2.5580637513918807E-6</c:v>
                </c:pt>
                <c:pt idx="212">
                  <c:v>2.5010072906790877E-6</c:v>
                </c:pt>
                <c:pt idx="213">
                  <c:v>2.5010072906790877E-6</c:v>
                </c:pt>
                <c:pt idx="214">
                  <c:v>2.4439992012098005E-6</c:v>
                </c:pt>
                <c:pt idx="215">
                  <c:v>2.4439992012098005E-6</c:v>
                </c:pt>
                <c:pt idx="216">
                  <c:v>2.3871307530099764E-6</c:v>
                </c:pt>
                <c:pt idx="217">
                  <c:v>2.3871307530099764E-6</c:v>
                </c:pt>
                <c:pt idx="218">
                  <c:v>2.3305916818712153E-6</c:v>
                </c:pt>
                <c:pt idx="219">
                  <c:v>2.3305916818712153E-6</c:v>
                </c:pt>
                <c:pt idx="220">
                  <c:v>2.2747522342375245E-6</c:v>
                </c:pt>
                <c:pt idx="221">
                  <c:v>2.2747522342375245E-6</c:v>
                </c:pt>
                <c:pt idx="222">
                  <c:v>2.220329220724684E-6</c:v>
                </c:pt>
                <c:pt idx="223">
                  <c:v>2.220329220724684E-6</c:v>
                </c:pt>
                <c:pt idx="224">
                  <c:v>2.168760543067683E-6</c:v>
                </c:pt>
                <c:pt idx="225">
                  <c:v>2.168760543067683E-6</c:v>
                </c:pt>
                <c:pt idx="226">
                  <c:v>2.1231871507359412E-6</c:v>
                </c:pt>
                <c:pt idx="227">
                  <c:v>2.1231871507359412E-6</c:v>
                </c:pt>
                <c:pt idx="228">
                  <c:v>2.0916844462791197E-6</c:v>
                </c:pt>
                <c:pt idx="229">
                  <c:v>2.0916844462791197E-6</c:v>
                </c:pt>
                <c:pt idx="230">
                  <c:v>2.0873316142293096E-6</c:v>
                </c:pt>
                <c:pt idx="231">
                  <c:v>2.0873316142293096E-6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4.8125677188820892E-9</c:v>
                </c:pt>
                <c:pt idx="1">
                  <c:v>5.0057637090194163E-9</c:v>
                </c:pt>
                <c:pt idx="2">
                  <c:v>5.2064426087168459E-9</c:v>
                </c:pt>
                <c:pt idx="3">
                  <c:v>5.4148239715487847E-9</c:v>
                </c:pt>
                <c:pt idx="4">
                  <c:v>5.6311166770609656E-9</c:v>
                </c:pt>
                <c:pt idx="5">
                  <c:v>5.85550577021563E-9</c:v>
                </c:pt>
                <c:pt idx="6">
                  <c:v>6.0881347010784057E-9</c:v>
                </c:pt>
                <c:pt idx="7">
                  <c:v>6.3290816847640895E-9</c:v>
                </c:pt>
                <c:pt idx="8">
                  <c:v>6.5783222436143671E-9</c:v>
                </c:pt>
                <c:pt idx="9">
                  <c:v>6.835666691119219E-9</c:v>
                </c:pt>
                <c:pt idx="10">
                  <c:v>7.1006514009748149E-9</c:v>
                </c:pt>
                <c:pt idx="11">
                  <c:v>7.3723400289445838E-9</c:v>
                </c:pt>
                <c:pt idx="12">
                  <c:v>7.6489339552373776E-9</c:v>
                </c:pt>
                <c:pt idx="13">
                  <c:v>7.9269377200144973E-9</c:v>
                </c:pt>
                <c:pt idx="14">
                  <c:v>8.19917341760424E-9</c:v>
                </c:pt>
                <c:pt idx="15">
                  <c:v>8.4500310218531071E-9</c:v>
                </c:pt>
                <c:pt idx="16">
                  <c:v>8.6445875112417119E-9</c:v>
                </c:pt>
                <c:pt idx="17">
                  <c:v>8.7108739972443443E-9</c:v>
                </c:pt>
                <c:pt idx="18">
                  <c:v>8.5126895606823719E-9</c:v>
                </c:pt>
                <c:pt idx="19">
                  <c:v>7.8377207746738827E-9</c:v>
                </c:pt>
                <c:pt idx="20">
                  <c:v>6.5565346475918822E-9</c:v>
                </c:pt>
                <c:pt idx="21">
                  <c:v>4.9758763368672658E-9</c:v>
                </c:pt>
                <c:pt idx="22">
                  <c:v>3.7435463823797556E-9</c:v>
                </c:pt>
                <c:pt idx="23">
                  <c:v>3.1754143402641781E-9</c:v>
                </c:pt>
                <c:pt idx="24">
                  <c:v>3.0656737765485456E-9</c:v>
                </c:pt>
                <c:pt idx="25">
                  <c:v>3.1093161858113645E-9</c:v>
                </c:pt>
                <c:pt idx="26">
                  <c:v>3.1541454063977566E-9</c:v>
                </c:pt>
                <c:pt idx="27">
                  <c:v>3.1596115302524059E-9</c:v>
                </c:pt>
                <c:pt idx="28">
                  <c:v>3.121969739606541E-9</c:v>
                </c:pt>
                <c:pt idx="29">
                  <c:v>3.0451168054257644E-9</c:v>
                </c:pt>
                <c:pt idx="30">
                  <c:v>2.9338141377103364E-9</c:v>
                </c:pt>
                <c:pt idx="31">
                  <c:v>2.7929265843824995E-9</c:v>
                </c:pt>
                <c:pt idx="32">
                  <c:v>2.6274661441274782E-9</c:v>
                </c:pt>
                <c:pt idx="33">
                  <c:v>2.4426725993281521E-9</c:v>
                </c:pt>
                <c:pt idx="34">
                  <c:v>2.2440349520475095E-9</c:v>
                </c:pt>
                <c:pt idx="35">
                  <c:v>2.0372438883324974E-9</c:v>
                </c:pt>
                <c:pt idx="36">
                  <c:v>1.8280840111553763E-9</c:v>
                </c:pt>
                <c:pt idx="37">
                  <c:v>1.622280476075115E-9</c:v>
                </c:pt>
                <c:pt idx="38">
                  <c:v>1.4253174823770891E-9</c:v>
                </c:pt>
                <c:pt idx="39">
                  <c:v>1.24224731860872E-9</c:v>
                </c:pt>
                <c:pt idx="40">
                  <c:v>1.0775082998153036E-9</c:v>
                </c:pt>
                <c:pt idx="41">
                  <c:v>9.347678302088167E-10</c:v>
                </c:pt>
                <c:pt idx="42">
                  <c:v>8.1680316069206803E-10</c:v>
                </c:pt>
                <c:pt idx="43">
                  <c:v>7.2542768352086166E-10</c:v>
                </c:pt>
                <c:pt idx="44">
                  <c:v>6.6122094571360147E-10</c:v>
                </c:pt>
                <c:pt idx="45">
                  <c:v>6.2458378695617744E-10</c:v>
                </c:pt>
                <c:pt idx="46">
                  <c:v>6.1416043015994729E-10</c:v>
                </c:pt>
                <c:pt idx="47">
                  <c:v>6.2808495720574567E-10</c:v>
                </c:pt>
                <c:pt idx="48">
                  <c:v>6.6379505153291281E-10</c:v>
                </c:pt>
                <c:pt idx="49">
                  <c:v>7.1816253158313211E-10</c:v>
                </c:pt>
                <c:pt idx="50">
                  <c:v>7.8762975091781936E-10</c:v>
                </c:pt>
                <c:pt idx="51">
                  <c:v>8.6834556019192345E-10</c:v>
                </c:pt>
                <c:pt idx="52">
                  <c:v>9.5629640298224583E-10</c:v>
                </c:pt>
                <c:pt idx="53">
                  <c:v>1.0474298867949908E-9</c:v>
                </c:pt>
                <c:pt idx="54">
                  <c:v>1.137769636272915E-9</c:v>
                </c:pt>
                <c:pt idx="55">
                  <c:v>1.2235212677727579E-9</c:v>
                </c:pt>
                <c:pt idx="56">
                  <c:v>1.3011699070339553E-9</c:v>
                </c:pt>
                <c:pt idx="57">
                  <c:v>1.367569810789693E-9</c:v>
                </c:pt>
                <c:pt idx="58">
                  <c:v>1.4200264183379552E-9</c:v>
                </c:pt>
                <c:pt idx="59">
                  <c:v>1.4563706352282097E-9</c:v>
                </c:pt>
                <c:pt idx="60">
                  <c:v>1.4750244292117372E-9</c:v>
                </c:pt>
                <c:pt idx="61">
                  <c:v>1.4750560107454945E-9</c:v>
                </c:pt>
                <c:pt idx="62">
                  <c:v>1.4562220840229918E-9</c:v>
                </c:pt>
                <c:pt idx="63">
                  <c:v>1.4189940042596726E-9</c:v>
                </c:pt>
                <c:pt idx="64">
                  <c:v>1.3645642757961969E-9</c:v>
                </c:pt>
                <c:pt idx="65">
                  <c:v>1.2948297756191351E-9</c:v>
                </c:pt>
                <c:pt idx="66">
                  <c:v>1.212348475627164E-9</c:v>
                </c:pt>
                <c:pt idx="67">
                  <c:v>1.1202673089049484E-9</c:v>
                </c:pt>
                <c:pt idx="68">
                  <c:v>1.0222201886059015E-9</c:v>
                </c:pt>
                <c:pt idx="69">
                  <c:v>9.2219698355535149E-10</c:v>
                </c:pt>
                <c:pt idx="70">
                  <c:v>8.2438636230901585E-10</c:v>
                </c:pt>
                <c:pt idx="71">
                  <c:v>7.3299765965397946E-10</c:v>
                </c:pt>
                <c:pt idx="72">
                  <c:v>6.5206906859831701E-10</c:v>
                </c:pt>
                <c:pt idx="73">
                  <c:v>5.852712878010199E-10</c:v>
                </c:pt>
                <c:pt idx="74">
                  <c:v>5.3571702819380935E-10</c:v>
                </c:pt>
                <c:pt idx="75">
                  <c:v>5.0578733860616304E-10</c:v>
                </c:pt>
                <c:pt idx="76">
                  <c:v>4.9698546009385129E-10</c:v>
                </c:pt>
                <c:pt idx="77">
                  <c:v>5.0982786339003055E-10</c:v>
                </c:pt>
                <c:pt idx="78">
                  <c:v>5.4378036391990316E-10</c:v>
                </c:pt>
                <c:pt idx="79">
                  <c:v>5.972449136523995E-10</c:v>
                </c:pt>
                <c:pt idx="80">
                  <c:v>6.6760005037038911E-10</c:v>
                </c:pt>
                <c:pt idx="81">
                  <c:v>7.512952585647962E-10</c:v>
                </c:pt>
                <c:pt idx="82">
                  <c:v>8.4399684328968093E-10</c:v>
                </c:pt>
                <c:pt idx="83">
                  <c:v>9.4078046590308047E-10</c:v>
                </c:pt>
                <c:pt idx="84">
                  <c:v>1.0363632940701653E-9</c:v>
                </c:pt>
                <c:pt idx="85">
                  <c:v>1.125366776841625E-9</c:v>
                </c:pt>
                <c:pt idx="86">
                  <c:v>1.2025993253635729E-9</c:v>
                </c:pt>
                <c:pt idx="87">
                  <c:v>1.2633466104530216E-9</c:v>
                </c:pt>
                <c:pt idx="88">
                  <c:v>1.3036557641124785E-9</c:v>
                </c:pt>
                <c:pt idx="89">
                  <c:v>1.3205985250633005E-9</c:v>
                </c:pt>
                <c:pt idx="90">
                  <c:v>1.3124974321487924E-9</c:v>
                </c:pt>
                <c:pt idx="91">
                  <c:v>1.2790987503779428E-9</c:v>
                </c:pt>
                <c:pt idx="92">
                  <c:v>1.221676206999046E-9</c:v>
                </c:pt>
                <c:pt idx="93">
                  <c:v>1.1430511437737692E-9</c:v>
                </c:pt>
                <c:pt idx="94">
                  <c:v>1.0475176608396235E-9</c:v>
                </c:pt>
                <c:pt idx="95">
                  <c:v>9.4066594456268414E-10</c:v>
                </c:pt>
                <c:pt idx="96">
                  <c:v>8.2910325457362715E-10</c:v>
                </c:pt>
                <c:pt idx="97">
                  <c:v>7.2007978017836197E-10</c:v>
                </c:pt>
                <c:pt idx="98">
                  <c:v>6.210352477608501E-10</c:v>
                </c:pt>
                <c:pt idx="99">
                  <c:v>5.3909099746762135E-10</c:v>
                </c:pt>
                <c:pt idx="100">
                  <c:v>4.8052027031832596E-10</c:v>
                </c:pt>
                <c:pt idx="101">
                  <c:v>4.502356064161754E-10</c:v>
                </c:pt>
                <c:pt idx="102">
                  <c:v>4.5133558973647899E-10</c:v>
                </c:pt>
                <c:pt idx="103">
                  <c:v>4.8475296334488488E-10</c:v>
                </c:pt>
                <c:pt idx="104">
                  <c:v>5.4904204115700563E-10</c:v>
                </c:pt>
                <c:pt idx="105">
                  <c:v>6.4033544071209698E-10</c:v>
                </c:pt>
                <c:pt idx="106">
                  <c:v>7.5248895309451724E-10</c:v>
                </c:pt>
                <c:pt idx="107">
                  <c:v>8.7741965966100039E-10</c:v>
                </c:pt>
                <c:pt idx="108">
                  <c:v>1.0056271985188104E-9</c:v>
                </c:pt>
                <c:pt idx="109">
                  <c:v>1.1268724162585104E-9</c:v>
                </c:pt>
                <c:pt idx="110">
                  <c:v>1.2309725308898832E-9</c:v>
                </c:pt>
                <c:pt idx="111">
                  <c:v>1.3086583251196893E-9</c:v>
                </c:pt>
                <c:pt idx="112">
                  <c:v>1.3524277359431801E-9</c:v>
                </c:pt>
                <c:pt idx="113">
                  <c:v>1.3573225178921296E-9</c:v>
                </c:pt>
                <c:pt idx="114">
                  <c:v>1.3215515832932832E-9</c:v>
                </c:pt>
                <c:pt idx="115">
                  <c:v>1.2468874350420788E-9</c:v>
                </c:pt>
                <c:pt idx="116">
                  <c:v>1.138772058636497E-9</c:v>
                </c:pt>
                <c:pt idx="117">
                  <c:v>1.0060866780504533E-9</c:v>
                </c:pt>
                <c:pt idx="118">
                  <c:v>8.6056614309986568E-10</c:v>
                </c:pt>
                <c:pt idx="119">
                  <c:v>7.1587249974265615E-10</c:v>
                </c:pt>
                <c:pt idx="120">
                  <c:v>5.863811183718477E-10</c:v>
                </c:pt>
                <c:pt idx="121">
                  <c:v>4.8577269308912829E-10</c:v>
                </c:pt>
                <c:pt idx="122">
                  <c:v>4.2556026265172499E-10</c:v>
                </c:pt>
                <c:pt idx="123">
                  <c:v>4.1370636242475742E-10</c:v>
                </c:pt>
                <c:pt idx="124">
                  <c:v>4.5349608280184421E-10</c:v>
                </c:pt>
                <c:pt idx="125">
                  <c:v>5.4282323589357543E-10</c:v>
                </c:pt>
                <c:pt idx="126">
                  <c:v>6.7401741103724091E-10</c:v>
                </c:pt>
                <c:pt idx="127">
                  <c:v>8.34290630965928E-10</c:v>
                </c:pt>
                <c:pt idx="128">
                  <c:v>1.0068175690988258E-9</c:v>
                </c:pt>
                <c:pt idx="129">
                  <c:v>1.172389062672188E-9</c:v>
                </c:pt>
                <c:pt idx="130">
                  <c:v>1.3115026605043847E-9</c:v>
                </c:pt>
                <c:pt idx="131">
                  <c:v>1.4066846097178754E-9</c:v>
                </c:pt>
                <c:pt idx="132">
                  <c:v>1.444783591969952E-9</c:v>
                </c:pt>
                <c:pt idx="133">
                  <c:v>1.4189459826924297E-9</c:v>
                </c:pt>
                <c:pt idx="134">
                  <c:v>1.3299829913288936E-9</c:v>
                </c:pt>
                <c:pt idx="135">
                  <c:v>1.1868777863126137E-9</c:v>
                </c:pt>
                <c:pt idx="136">
                  <c:v>1.0062587293792346E-9</c:v>
                </c:pt>
                <c:pt idx="137">
                  <c:v>8.1078146756667173E-10</c:v>
                </c:pt>
                <c:pt idx="138">
                  <c:v>6.2650946941805678E-10</c:v>
                </c:pt>
                <c:pt idx="139">
                  <c:v>4.7954337270600216E-10</c:v>
                </c:pt>
                <c:pt idx="140">
                  <c:v>3.9230064547168274E-10</c:v>
                </c:pt>
                <c:pt idx="141">
                  <c:v>3.7996049151779537E-10</c:v>
                </c:pt>
                <c:pt idx="142">
                  <c:v>4.4763720383762479E-10</c:v>
                </c:pt>
                <c:pt idx="143">
                  <c:v>5.8880773163592676E-10</c:v>
                </c:pt>
                <c:pt idx="144">
                  <c:v>7.8538819377579703E-10</c:v>
                </c:pt>
                <c:pt idx="145">
                  <c:v>1.009637789609532E-9</c:v>
                </c:pt>
                <c:pt idx="146">
                  <c:v>1.2277918627756029E-9</c:v>
                </c:pt>
                <c:pt idx="147">
                  <c:v>1.4050270864827694E-9</c:v>
                </c:pt>
                <c:pt idx="148">
                  <c:v>1.5110874916367021E-9</c:v>
                </c:pt>
                <c:pt idx="149">
                  <c:v>1.5260187487651979E-9</c:v>
                </c:pt>
                <c:pt idx="150">
                  <c:v>1.4431821998910968E-9</c:v>
                </c:pt>
                <c:pt idx="151">
                  <c:v>1.273184841478911E-9</c:v>
                </c:pt>
                <c:pt idx="152">
                  <c:v>1.0423443558947342E-9</c:v>
                </c:pt>
                <c:pt idx="153">
                  <c:v>7.894828644978447E-10</c:v>
                </c:pt>
                <c:pt idx="154">
                  <c:v>5.5982211786028297E-10</c:v>
                </c:pt>
                <c:pt idx="155">
                  <c:v>3.9704168950559279E-10</c:v>
                </c:pt>
                <c:pt idx="156">
                  <c:v>3.3482016786106109E-10</c:v>
                </c:pt>
                <c:pt idx="157">
                  <c:v>3.8947863391575813E-10</c:v>
                </c:pt>
                <c:pt idx="158">
                  <c:v>5.553516515025631E-10</c:v>
                </c:pt>
                <c:pt idx="159">
                  <c:v>8.041676928896994E-10</c:v>
                </c:pt>
                <c:pt idx="160">
                  <c:v>1.0890449615575298E-9</c:v>
                </c:pt>
                <c:pt idx="161">
                  <c:v>1.3527973374062274E-9</c:v>
                </c:pt>
                <c:pt idx="162">
                  <c:v>1.5392653799174045E-9</c:v>
                </c:pt>
                <c:pt idx="163">
                  <c:v>1.6055465865575762E-9</c:v>
                </c:pt>
                <c:pt idx="164">
                  <c:v>1.5325072215011698E-9</c:v>
                </c:pt>
                <c:pt idx="165">
                  <c:v>1.3309846268837691E-9</c:v>
                </c:pt>
                <c:pt idx="166">
                  <c:v>1.0417211720544623E-9</c:v>
                </c:pt>
                <c:pt idx="167">
                  <c:v>7.2827528895847538E-10</c:v>
                </c:pt>
                <c:pt idx="168">
                  <c:v>4.6375091884779613E-10</c:v>
                </c:pt>
                <c:pt idx="169">
                  <c:v>3.1384844021843042E-10</c:v>
                </c:pt>
                <c:pt idx="170">
                  <c:v>3.2004328925187468E-10</c:v>
                </c:pt>
                <c:pt idx="171">
                  <c:v>4.8721732134990153E-10</c:v>
                </c:pt>
                <c:pt idx="172">
                  <c:v>7.7950713454022901E-10</c:v>
                </c:pt>
                <c:pt idx="173">
                  <c:v>1.1264521239582318E-9</c:v>
                </c:pt>
                <c:pt idx="174">
                  <c:v>1.4390028882878504E-9</c:v>
                </c:pt>
                <c:pt idx="175">
                  <c:v>1.6321628903220553E-9</c:v>
                </c:pt>
                <c:pt idx="176">
                  <c:v>1.6487338634571294E-9</c:v>
                </c:pt>
                <c:pt idx="177">
                  <c:v>1.4775602054724026E-9</c:v>
                </c:pt>
                <c:pt idx="178">
                  <c:v>1.1603440976937212E-9</c:v>
                </c:pt>
                <c:pt idx="179">
                  <c:v>7.8364819441362738E-10</c:v>
                </c:pt>
                <c:pt idx="180">
                  <c:v>4.5669684694970797E-10</c:v>
                </c:pt>
                <c:pt idx="181">
                  <c:v>2.8006278362157104E-10</c:v>
                </c:pt>
                <c:pt idx="182">
                  <c:v>3.1393528510173266E-10</c:v>
                </c:pt>
                <c:pt idx="183">
                  <c:v>5.5604191996007101E-10</c:v>
                </c:pt>
                <c:pt idx="184">
                  <c:v>9.3754657191301952E-10</c:v>
                </c:pt>
                <c:pt idx="185">
                  <c:v>1.3404003347473681E-9</c:v>
                </c:pt>
                <c:pt idx="186">
                  <c:v>1.6328205147399918E-9</c:v>
                </c:pt>
                <c:pt idx="187">
                  <c:v>1.7128723258131845E-9</c:v>
                </c:pt>
                <c:pt idx="188">
                  <c:v>1.5459227150277124E-9</c:v>
                </c:pt>
                <c:pt idx="189">
                  <c:v>1.1819657202534551E-9</c:v>
                </c:pt>
                <c:pt idx="190">
                  <c:v>7.4418575213737223E-10</c:v>
                </c:pt>
                <c:pt idx="191">
                  <c:v>3.8957001546961964E-10</c:v>
                </c:pt>
                <c:pt idx="192">
                  <c:v>2.5306289337306615E-10</c:v>
                </c:pt>
                <c:pt idx="193">
                  <c:v>3.9472086800199089E-10</c:v>
                </c:pt>
                <c:pt idx="194">
                  <c:v>7.7086118568103969E-10</c:v>
                </c:pt>
                <c:pt idx="195">
                  <c:v>1.2434771142994258E-9</c:v>
                </c:pt>
                <c:pt idx="196">
                  <c:v>1.6291098121918983E-9</c:v>
                </c:pt>
                <c:pt idx="197">
                  <c:v>1.7682406383475769E-9</c:v>
                </c:pt>
                <c:pt idx="198">
                  <c:v>1.5964133883495667E-9</c:v>
                </c:pt>
                <c:pt idx="199">
                  <c:v>1.1768179781178495E-9</c:v>
                </c:pt>
                <c:pt idx="200">
                  <c:v>6.8285471480845132E-10</c:v>
                </c:pt>
                <c:pt idx="201">
                  <c:v>3.2996442248585947E-10</c:v>
                </c:pt>
                <c:pt idx="202">
                  <c:v>2.820989744310471E-10</c:v>
                </c:pt>
                <c:pt idx="203">
                  <c:v>5.730202216683138E-10</c:v>
                </c:pt>
                <c:pt idx="204">
                  <c:v>1.08108455601998E-9</c:v>
                </c:pt>
                <c:pt idx="205">
                  <c:v>1.5756554370559369E-9</c:v>
                </c:pt>
                <c:pt idx="206">
                  <c:v>1.8206430790278464E-9</c:v>
                </c:pt>
                <c:pt idx="207">
                  <c:v>1.6902867377059518E-9</c:v>
                </c:pt>
                <c:pt idx="208">
                  <c:v>1.2401285975775165E-9</c:v>
                </c:pt>
                <c:pt idx="209">
                  <c:v>6.9165555435812151E-10</c:v>
                </c:pt>
                <c:pt idx="210">
                  <c:v>3.2892757972811457E-10</c:v>
                </c:pt>
                <c:pt idx="211">
                  <c:v>3.5245625503193714E-10</c:v>
                </c:pt>
                <c:pt idx="212">
                  <c:v>7.6500250348115871E-10</c:v>
                </c:pt>
                <c:pt idx="213">
                  <c:v>1.3561204671829615E-9</c:v>
                </c:pt>
                <c:pt idx="214">
                  <c:v>1.8051154720920272E-9</c:v>
                </c:pt>
                <c:pt idx="215">
                  <c:v>1.8563443525248257E-9</c:v>
                </c:pt>
                <c:pt idx="216">
                  <c:v>1.4723130365187384E-9</c:v>
                </c:pt>
                <c:pt idx="217">
                  <c:v>8.7098902415543992E-10</c:v>
                </c:pt>
                <c:pt idx="218">
                  <c:v>4.1200988486537921E-10</c:v>
                </c:pt>
                <c:pt idx="219">
                  <c:v>3.8553646791639189E-10</c:v>
                </c:pt>
                <c:pt idx="220">
                  <c:v>8.2599393641293389E-10</c:v>
                </c:pt>
                <c:pt idx="221">
                  <c:v>1.4727754849875176E-9</c:v>
                </c:pt>
                <c:pt idx="222">
                  <c:v>1.9194080270425375E-9</c:v>
                </c:pt>
                <c:pt idx="223">
                  <c:v>1.8722990612560297E-9</c:v>
                </c:pt>
                <c:pt idx="224">
                  <c:v>1.3557798741830926E-9</c:v>
                </c:pt>
                <c:pt idx="225">
                  <c:v>7.1654538492834805E-10</c:v>
                </c:pt>
                <c:pt idx="226">
                  <c:v>4.030698582084979E-10</c:v>
                </c:pt>
                <c:pt idx="227">
                  <c:v>6.5368057426440021E-10</c:v>
                </c:pt>
                <c:pt idx="228">
                  <c:v>1.3104755758608246E-9</c:v>
                </c:pt>
                <c:pt idx="229">
                  <c:v>1.9100204042863309E-9</c:v>
                </c:pt>
                <c:pt idx="230">
                  <c:v>2.0112568986802811E-9</c:v>
                </c:pt>
                <c:pt idx="231">
                  <c:v>1.5336185179287674E-9</c:v>
                </c:pt>
                <c:pt idx="232">
                  <c:v>8.424093011850396E-10</c:v>
                </c:pt>
                <c:pt idx="233">
                  <c:v>4.8770330068711898E-10</c:v>
                </c:pt>
                <c:pt idx="234">
                  <c:v>7.727340112539186E-10</c:v>
                </c:pt>
                <c:pt idx="235">
                  <c:v>1.4900556317078212E-9</c:v>
                </c:pt>
                <c:pt idx="236">
                  <c:v>2.0635817099235884E-9</c:v>
                </c:pt>
                <c:pt idx="237">
                  <c:v>2.015778564159754E-9</c:v>
                </c:pt>
                <c:pt idx="238">
                  <c:v>1.3864665566476374E-9</c:v>
                </c:pt>
                <c:pt idx="239">
                  <c:v>7.2831989836679288E-10</c:v>
                </c:pt>
                <c:pt idx="240">
                  <c:v>6.4174690627253284E-10</c:v>
                </c:pt>
                <c:pt idx="241">
                  <c:v>1.2302706257821614E-9</c:v>
                </c:pt>
                <c:pt idx="242">
                  <c:v>1.9761744303860662E-9</c:v>
                </c:pt>
                <c:pt idx="243">
                  <c:v>2.1943704227191378E-9</c:v>
                </c:pt>
                <c:pt idx="244">
                  <c:v>1.6812812956115606E-9</c:v>
                </c:pt>
                <c:pt idx="245">
                  <c:v>9.4015140325507269E-10</c:v>
                </c:pt>
                <c:pt idx="246">
                  <c:v>7.1852629985080553E-10</c:v>
                </c:pt>
                <c:pt idx="247">
                  <c:v>1.2646287132855889E-9</c:v>
                </c:pt>
                <c:pt idx="248">
                  <c:v>2.0457408455217028E-9</c:v>
                </c:pt>
                <c:pt idx="249">
                  <c:v>2.2662652761771463E-9</c:v>
                </c:pt>
                <c:pt idx="250">
                  <c:v>1.7023389814010011E-9</c:v>
                </c:pt>
                <c:pt idx="251">
                  <c:v>9.7268286078081044E-10</c:v>
                </c:pt>
                <c:pt idx="252">
                  <c:v>8.9701949562026386E-10</c:v>
                </c:pt>
                <c:pt idx="253">
                  <c:v>1.5861134202917155E-9</c:v>
                </c:pt>
                <c:pt idx="254">
                  <c:v>2.2826127834831167E-9</c:v>
                </c:pt>
                <c:pt idx="255">
                  <c:v>2.2006031063515322E-9</c:v>
                </c:pt>
                <c:pt idx="256">
                  <c:v>1.4517249154900399E-9</c:v>
                </c:pt>
                <c:pt idx="257">
                  <c:v>9.496687119370735E-10</c:v>
                </c:pt>
                <c:pt idx="258">
                  <c:v>1.3286178123386597E-9</c:v>
                </c:pt>
                <c:pt idx="259">
                  <c:v>2.1449726142464687E-9</c:v>
                </c:pt>
                <c:pt idx="260">
                  <c:v>2.3947234945494758E-9</c:v>
                </c:pt>
                <c:pt idx="261">
                  <c:v>1.7800794055435082E-9</c:v>
                </c:pt>
                <c:pt idx="262">
                  <c:v>1.1236831531633748E-9</c:v>
                </c:pt>
                <c:pt idx="263">
                  <c:v>1.3174524193938684E-9</c:v>
                </c:pt>
                <c:pt idx="264">
                  <c:v>2.1227965495717577E-9</c:v>
                </c:pt>
                <c:pt idx="265">
                  <c:v>2.4607072461405827E-9</c:v>
                </c:pt>
                <c:pt idx="266">
                  <c:v>1.8881352643105089E-9</c:v>
                </c:pt>
                <c:pt idx="267">
                  <c:v>1.2437997791011066E-9</c:v>
                </c:pt>
                <c:pt idx="268">
                  <c:v>1.4777594594128471E-9</c:v>
                </c:pt>
                <c:pt idx="269">
                  <c:v>2.2656233070716242E-9</c:v>
                </c:pt>
                <c:pt idx="270">
                  <c:v>2.4585417859002844E-9</c:v>
                </c:pt>
                <c:pt idx="271">
                  <c:v>1.7978150990338818E-9</c:v>
                </c:pt>
                <c:pt idx="272">
                  <c:v>1.3308719217857049E-9</c:v>
                </c:pt>
                <c:pt idx="273">
                  <c:v>1.8055909914282334E-9</c:v>
                </c:pt>
                <c:pt idx="274">
                  <c:v>2.4811013239462547E-9</c:v>
                </c:pt>
                <c:pt idx="275">
                  <c:v>2.2940831086636732E-9</c:v>
                </c:pt>
                <c:pt idx="276">
                  <c:v>1.5903330855084909E-9</c:v>
                </c:pt>
                <c:pt idx="277">
                  <c:v>1.5696290588272471E-9</c:v>
                </c:pt>
                <c:pt idx="278">
                  <c:v>2.274358500821272E-9</c:v>
                </c:pt>
                <c:pt idx="279">
                  <c:v>2.5059944473073312E-9</c:v>
                </c:pt>
                <c:pt idx="280">
                  <c:v>1.8973376782492147E-9</c:v>
                </c:pt>
                <c:pt idx="281">
                  <c:v>1.5647758785625877E-9</c:v>
                </c:pt>
                <c:pt idx="282">
                  <c:v>2.1150658822903858E-9</c:v>
                </c:pt>
                <c:pt idx="283">
                  <c:v>2.5415027486673984E-9</c:v>
                </c:pt>
                <c:pt idx="284">
                  <c:v>2.0812334524888547E-9</c:v>
                </c:pt>
                <c:pt idx="285">
                  <c:v>1.6430550167854008E-9</c:v>
                </c:pt>
                <c:pt idx="286">
                  <c:v>2.0735171441058451E-9</c:v>
                </c:pt>
                <c:pt idx="287">
                  <c:v>2.5248945607415381E-9</c:v>
                </c:pt>
                <c:pt idx="288">
                  <c:v>2.1276118794133602E-9</c:v>
                </c:pt>
                <c:pt idx="289">
                  <c:v>1.7162376663219046E-9</c:v>
                </c:pt>
                <c:pt idx="290">
                  <c:v>2.1276591742636072E-9</c:v>
                </c:pt>
                <c:pt idx="291">
                  <c:v>2.4920882656160773E-9</c:v>
                </c:pt>
                <c:pt idx="292">
                  <c:v>2.0633412467289346E-9</c:v>
                </c:pt>
                <c:pt idx="293">
                  <c:v>1.7830223538895487E-9</c:v>
                </c:pt>
                <c:pt idx="294">
                  <c:v>2.2389810503310596E-9</c:v>
                </c:pt>
                <c:pt idx="295">
                  <c:v>2.4053910302077075E-9</c:v>
                </c:pt>
                <c:pt idx="296">
                  <c:v>1.9297151218477221E-9</c:v>
                </c:pt>
                <c:pt idx="297">
                  <c:v>1.8938967077903163E-9</c:v>
                </c:pt>
                <c:pt idx="298">
                  <c:v>2.3381675747469452E-9</c:v>
                </c:pt>
                <c:pt idx="299">
                  <c:v>2.2061710393939973E-9</c:v>
                </c:pt>
                <c:pt idx="300">
                  <c:v>1.8208403107116876E-9</c:v>
                </c:pt>
                <c:pt idx="301">
                  <c:v>2.0738039706696475E-9</c:v>
                </c:pt>
                <c:pt idx="302">
                  <c:v>2.2931863644731826E-9</c:v>
                </c:pt>
                <c:pt idx="303">
                  <c:v>1.9253145255431326E-9</c:v>
                </c:pt>
                <c:pt idx="304">
                  <c:v>1.8694381662334881E-9</c:v>
                </c:pt>
                <c:pt idx="305">
                  <c:v>2.1946595524707023E-9</c:v>
                </c:pt>
                <c:pt idx="306">
                  <c:v>2.016513554606922E-9</c:v>
                </c:pt>
                <c:pt idx="307">
                  <c:v>1.7751824593727939E-9</c:v>
                </c:pt>
                <c:pt idx="308">
                  <c:v>2.0318227493542724E-9</c:v>
                </c:pt>
                <c:pt idx="309">
                  <c:v>2.0190916820344403E-9</c:v>
                </c:pt>
                <c:pt idx="310">
                  <c:v>1.7304215196919119E-9</c:v>
                </c:pt>
                <c:pt idx="311">
                  <c:v>1.879573300233766E-9</c:v>
                </c:pt>
                <c:pt idx="312">
                  <c:v>1.9475885866788376E-9</c:v>
                </c:pt>
                <c:pt idx="313">
                  <c:v>1.6789931897771178E-9</c:v>
                </c:pt>
                <c:pt idx="314">
                  <c:v>1.7525287701639218E-9</c:v>
                </c:pt>
                <c:pt idx="315">
                  <c:v>1.8348110155784078E-9</c:v>
                </c:pt>
                <c:pt idx="316">
                  <c:v>1.5995395802772025E-9</c:v>
                </c:pt>
                <c:pt idx="317">
                  <c:v>1.6402348528375084E-9</c:v>
                </c:pt>
                <c:pt idx="318">
                  <c:v>1.6970913878939715E-9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6.9923037584772891E-10</c:v>
                  </c:pt>
                  <c:pt idx="1">
                    <c:v>5.8170879563313537E-10</c:v>
                  </c:pt>
                  <c:pt idx="2">
                    <c:v>4.7351651226951321E-10</c:v>
                  </c:pt>
                  <c:pt idx="3">
                    <c:v>4.2792829153699606E-10</c:v>
                  </c:pt>
                  <c:pt idx="4">
                    <c:v>4.0002260802673601E-10</c:v>
                  </c:pt>
                  <c:pt idx="5">
                    <c:v>4.2104704479688629E-10</c:v>
                  </c:pt>
                  <c:pt idx="6">
                    <c:v>4.2105989066385185E-10</c:v>
                  </c:pt>
                  <c:pt idx="7">
                    <c:v>4.1429083480183004E-10</c:v>
                  </c:pt>
                  <c:pt idx="8">
                    <c:v>4.095588662660221E-10</c:v>
                  </c:pt>
                  <c:pt idx="9">
                    <c:v>4.493891689978206E-10</c:v>
                  </c:pt>
                  <c:pt idx="10">
                    <c:v>4.4959816248964045E-10</c:v>
                  </c:pt>
                  <c:pt idx="11">
                    <c:v>4.2327494227807434E-10</c:v>
                  </c:pt>
                  <c:pt idx="12">
                    <c:v>3.4064555178846688E-10</c:v>
                  </c:pt>
                  <c:pt idx="13">
                    <c:v>3.3409197551913549E-10</c:v>
                  </c:pt>
                  <c:pt idx="14">
                    <c:v>3.2422875721297083E-10</c:v>
                  </c:pt>
                  <c:pt idx="15">
                    <c:v>3.1751660269556997E-10</c:v>
                  </c:pt>
                  <c:pt idx="16">
                    <c:v>3.325057265656656E-10</c:v>
                  </c:pt>
                  <c:pt idx="17">
                    <c:v>4.8924965608828085E-10</c:v>
                  </c:pt>
                  <c:pt idx="18">
                    <c:v>4.4691639932590015E-10</c:v>
                  </c:pt>
                  <c:pt idx="19">
                    <c:v>4.2723074114785002E-10</c:v>
                  </c:pt>
                  <c:pt idx="20">
                    <c:v>3.8737472222430398E-10</c:v>
                  </c:pt>
                  <c:pt idx="21">
                    <c:v>3.3715503299744497E-10</c:v>
                  </c:pt>
                  <c:pt idx="22">
                    <c:v>3.2045906470161478E-10</c:v>
                  </c:pt>
                  <c:pt idx="23">
                    <c:v>3.0398359734727497E-10</c:v>
                  </c:pt>
                  <c:pt idx="24">
                    <c:v>2.8372616682968685E-10</c:v>
                  </c:pt>
                  <c:pt idx="25">
                    <c:v>2.9957371494369639E-10</c:v>
                  </c:pt>
                  <c:pt idx="26">
                    <c:v>2.8576661729630198E-10</c:v>
                  </c:pt>
                  <c:pt idx="27">
                    <c:v>2.8449775033763073E-10</c:v>
                  </c:pt>
                  <c:pt idx="28">
                    <c:v>2.6588137391063435E-10</c:v>
                  </c:pt>
                  <c:pt idx="29">
                    <c:v>2.5330510214609427E-10</c:v>
                  </c:pt>
                  <c:pt idx="30">
                    <c:v>2.8695474783089978E-10</c:v>
                  </c:pt>
                  <c:pt idx="31">
                    <c:v>2.4761804452938102E-10</c:v>
                  </c:pt>
                  <c:pt idx="32">
                    <c:v>2.6586216057427914E-10</c:v>
                  </c:pt>
                  <c:pt idx="33">
                    <c:v>1.4925676877461102E-10</c:v>
                  </c:pt>
                  <c:pt idx="34">
                    <c:v>1.3849059821559126E-10</c:v>
                  </c:pt>
                  <c:pt idx="35">
                    <c:v>1.3746388513520647E-10</c:v>
                  </c:pt>
                  <c:pt idx="36">
                    <c:v>1.287549159252622E-10</c:v>
                  </c:pt>
                  <c:pt idx="37">
                    <c:v>1.1305293835942937E-10</c:v>
                  </c:pt>
                  <c:pt idx="38">
                    <c:v>1.3723670126405348E-10</c:v>
                  </c:pt>
                  <c:pt idx="39">
                    <c:v>1.1910516966086511E-10</c:v>
                  </c:pt>
                  <c:pt idx="40">
                    <c:v>1.17521578948413E-10</c:v>
                  </c:pt>
                  <c:pt idx="41">
                    <c:v>1.1153189375526818E-10</c:v>
                  </c:pt>
                  <c:pt idx="42">
                    <c:v>1.0716436781448073E-10</c:v>
                  </c:pt>
                  <c:pt idx="43">
                    <c:v>9.9463952573185065E-11</c:v>
                  </c:pt>
                  <c:pt idx="44">
                    <c:v>8.7286107243956266E-11</c:v>
                  </c:pt>
                  <c:pt idx="45">
                    <c:v>8.1437611056682179E-11</c:v>
                  </c:pt>
                  <c:pt idx="46">
                    <c:v>8.1009645183962611E-11</c:v>
                  </c:pt>
                  <c:pt idx="47">
                    <c:v>8.4932665902709005E-11</c:v>
                  </c:pt>
                  <c:pt idx="48">
                    <c:v>8.9028280303169182E-11</c:v>
                  </c:pt>
                  <c:pt idx="49">
                    <c:v>9.0326255879190579E-11</c:v>
                  </c:pt>
                  <c:pt idx="50">
                    <c:v>9.5860963874411074E-11</c:v>
                  </c:pt>
                  <c:pt idx="51">
                    <c:v>1.0111022279489293E-10</c:v>
                  </c:pt>
                  <c:pt idx="52">
                    <c:v>1.064883813866304E-10</c:v>
                  </c:pt>
                  <c:pt idx="53">
                    <c:v>1.1860953944451178E-10</c:v>
                  </c:pt>
                  <c:pt idx="54">
                    <c:v>1.1562811492435605E-10</c:v>
                  </c:pt>
                  <c:pt idx="55">
                    <c:v>1.1935090790917744E-10</c:v>
                  </c:pt>
                  <c:pt idx="56">
                    <c:v>1.3092649925162843E-10</c:v>
                  </c:pt>
                  <c:pt idx="57">
                    <c:v>1.200694137882958E-10</c:v>
                  </c:pt>
                  <c:pt idx="58">
                    <c:v>1.2977458296203099E-10</c:v>
                  </c:pt>
                  <c:pt idx="59">
                    <c:v>1.2535265973738905E-10</c:v>
                  </c:pt>
                  <c:pt idx="60">
                    <c:v>8.5244060269631591E-11</c:v>
                  </c:pt>
                  <c:pt idx="61">
                    <c:v>9.5349626724580144E-11</c:v>
                  </c:pt>
                  <c:pt idx="62">
                    <c:v>9.9174607486938475E-11</c:v>
                  </c:pt>
                  <c:pt idx="63">
                    <c:v>9.0098044236428058E-11</c:v>
                  </c:pt>
                  <c:pt idx="64">
                    <c:v>8.2229006483648347E-11</c:v>
                  </c:pt>
                  <c:pt idx="65">
                    <c:v>8.2324156567747306E-11</c:v>
                  </c:pt>
                  <c:pt idx="66">
                    <c:v>8.5518615591233845E-11</c:v>
                  </c:pt>
                  <c:pt idx="67">
                    <c:v>1.1854317385400577E-10</c:v>
                  </c:pt>
                  <c:pt idx="68">
                    <c:v>1.0955788990936232E-10</c:v>
                  </c:pt>
                  <c:pt idx="69">
                    <c:v>9.8385002524709477E-11</c:v>
                  </c:pt>
                  <c:pt idx="70">
                    <c:v>9.739007428911851E-11</c:v>
                  </c:pt>
                  <c:pt idx="71">
                    <c:v>8.3072662417510188E-11</c:v>
                  </c:pt>
                  <c:pt idx="72">
                    <c:v>8.3419316461689153E-11</c:v>
                  </c:pt>
                  <c:pt idx="73">
                    <c:v>7.8327097875059572E-11</c:v>
                  </c:pt>
                  <c:pt idx="74">
                    <c:v>7.6146600852902755E-11</c:v>
                  </c:pt>
                  <c:pt idx="75">
                    <c:v>8.5578178351334171E-11</c:v>
                  </c:pt>
                  <c:pt idx="76">
                    <c:v>7.7482305461472955E-11</c:v>
                  </c:pt>
                  <c:pt idx="77">
                    <c:v>6.9996633542717419E-11</c:v>
                  </c:pt>
                  <c:pt idx="78">
                    <c:v>9.0576867652639086E-11</c:v>
                  </c:pt>
                  <c:pt idx="79">
                    <c:v>7.5266751681768394E-11</c:v>
                  </c:pt>
                  <c:pt idx="80">
                    <c:v>8.1997166079303544E-11</c:v>
                  </c:pt>
                  <c:pt idx="81">
                    <c:v>9.7014541017966131E-11</c:v>
                  </c:pt>
                  <c:pt idx="82">
                    <c:v>9.4474290400374124E-11</c:v>
                  </c:pt>
                  <c:pt idx="83">
                    <c:v>1.1362257505744443E-10</c:v>
                  </c:pt>
                  <c:pt idx="84">
                    <c:v>1.0574529324982197E-10</c:v>
                  </c:pt>
                  <c:pt idx="85">
                    <c:v>1.1501650309573903E-10</c:v>
                  </c:pt>
                  <c:pt idx="86">
                    <c:v>1.1196012817004375E-10</c:v>
                  </c:pt>
                  <c:pt idx="87">
                    <c:v>1.1934277856628866E-10</c:v>
                  </c:pt>
                  <c:pt idx="88">
                    <c:v>1.2867384406469077E-10</c:v>
                  </c:pt>
                  <c:pt idx="89">
                    <c:v>1.283458173533422E-10</c:v>
                  </c:pt>
                  <c:pt idx="90">
                    <c:v>1.2811809872768841E-10</c:v>
                  </c:pt>
                  <c:pt idx="91">
                    <c:v>1.2724150368373114E-10</c:v>
                  </c:pt>
                  <c:pt idx="92">
                    <c:v>1.2387836659011648E-10</c:v>
                  </c:pt>
                  <c:pt idx="93">
                    <c:v>1.1224526411961229E-10</c:v>
                  </c:pt>
                  <c:pt idx="94">
                    <c:v>1.1918079926939372E-10</c:v>
                  </c:pt>
                  <c:pt idx="95">
                    <c:v>1.1475331913066746E-10</c:v>
                  </c:pt>
                  <c:pt idx="96">
                    <c:v>1.0479945784640291E-10</c:v>
                  </c:pt>
                  <c:pt idx="97">
                    <c:v>9.9596999640843655E-11</c:v>
                  </c:pt>
                  <c:pt idx="98">
                    <c:v>8.8944621802809394E-11</c:v>
                  </c:pt>
                  <c:pt idx="99">
                    <c:v>3.7423158103565913E-11</c:v>
                  </c:pt>
                  <c:pt idx="100">
                    <c:v>3.4627247169059278E-11</c:v>
                  </c:pt>
                  <c:pt idx="101">
                    <c:v>3.2503908896720295E-11</c:v>
                  </c:pt>
                  <c:pt idx="102">
                    <c:v>3.0316720393941644E-11</c:v>
                  </c:pt>
                  <c:pt idx="103">
                    <c:v>3.4597380178868749E-11</c:v>
                  </c:pt>
                  <c:pt idx="104">
                    <c:v>3.5149203608815382E-11</c:v>
                  </c:pt>
                  <c:pt idx="105">
                    <c:v>4.0525829917815565E-11</c:v>
                  </c:pt>
                  <c:pt idx="106">
                    <c:v>4.4975492837650391E-11</c:v>
                  </c:pt>
                  <c:pt idx="107">
                    <c:v>4.910068636594624E-11</c:v>
                  </c:pt>
                  <c:pt idx="108">
                    <c:v>5.4580714091585359E-11</c:v>
                  </c:pt>
                  <c:pt idx="109">
                    <c:v>6.4117461925614157E-11</c:v>
                  </c:pt>
                  <c:pt idx="110">
                    <c:v>6.513326332433142E-11</c:v>
                  </c:pt>
                  <c:pt idx="111">
                    <c:v>6.3604194045407779E-11</c:v>
                  </c:pt>
                  <c:pt idx="112">
                    <c:v>6.4908556228290119E-11</c:v>
                  </c:pt>
                  <c:pt idx="113">
                    <c:v>6.4022237031621688E-11</c:v>
                  </c:pt>
                  <c:pt idx="114">
                    <c:v>6.3252534776791836E-11</c:v>
                  </c:pt>
                  <c:pt idx="115">
                    <c:v>6.5485428908599841E-11</c:v>
                  </c:pt>
                  <c:pt idx="116">
                    <c:v>5.7387544340721212E-11</c:v>
                  </c:pt>
                  <c:pt idx="117">
                    <c:v>5.2478431987440221E-11</c:v>
                  </c:pt>
                  <c:pt idx="118">
                    <c:v>5.5562906251795605E-11</c:v>
                  </c:pt>
                  <c:pt idx="119">
                    <c:v>5.0721452120820312E-11</c:v>
                  </c:pt>
                  <c:pt idx="120">
                    <c:v>4.7264711977256934E-11</c:v>
                  </c:pt>
                  <c:pt idx="121">
                    <c:v>4.8108620414488922E-11</c:v>
                  </c:pt>
                  <c:pt idx="122">
                    <c:v>4.2835403797938363E-11</c:v>
                  </c:pt>
                  <c:pt idx="123">
                    <c:v>4.6810520594310995E-11</c:v>
                  </c:pt>
                  <c:pt idx="124">
                    <c:v>4.4345505565659814E-11</c:v>
                  </c:pt>
                  <c:pt idx="125">
                    <c:v>5.3567614055141477E-11</c:v>
                  </c:pt>
                  <c:pt idx="126">
                    <c:v>5.7430488859876386E-11</c:v>
                  </c:pt>
                  <c:pt idx="127">
                    <c:v>6.2483844703637488E-11</c:v>
                  </c:pt>
                  <c:pt idx="128">
                    <c:v>7.1398655919787617E-11</c:v>
                  </c:pt>
                  <c:pt idx="129">
                    <c:v>7.9417748122269173E-11</c:v>
                  </c:pt>
                  <c:pt idx="130">
                    <c:v>8.9598510025861788E-11</c:v>
                  </c:pt>
                  <c:pt idx="131">
                    <c:v>9.4544949262772518E-11</c:v>
                  </c:pt>
                  <c:pt idx="132">
                    <c:v>8.9336741053852118E-11</c:v>
                  </c:pt>
                  <c:pt idx="133">
                    <c:v>8.4915087473036045E-11</c:v>
                  </c:pt>
                  <c:pt idx="134">
                    <c:v>8.7393354898300961E-11</c:v>
                  </c:pt>
                  <c:pt idx="135">
                    <c:v>8.8270060346576946E-11</c:v>
                  </c:pt>
                  <c:pt idx="136">
                    <c:v>7.8216229999385273E-11</c:v>
                  </c:pt>
                  <c:pt idx="137">
                    <c:v>7.9889093347298263E-11</c:v>
                  </c:pt>
                  <c:pt idx="138">
                    <c:v>7.6067821731224977E-11</c:v>
                  </c:pt>
                  <c:pt idx="139">
                    <c:v>6.9197684633886402E-11</c:v>
                  </c:pt>
                  <c:pt idx="140">
                    <c:v>7.2770244350233722E-11</c:v>
                  </c:pt>
                  <c:pt idx="141">
                    <c:v>6.4101353326080946E-11</c:v>
                  </c:pt>
                  <c:pt idx="142">
                    <c:v>7.2941548509532902E-11</c:v>
                  </c:pt>
                  <c:pt idx="143">
                    <c:v>7.7018253132129323E-11</c:v>
                  </c:pt>
                  <c:pt idx="144">
                    <c:v>9.6709320014397198E-11</c:v>
                  </c:pt>
                  <c:pt idx="145">
                    <c:v>1.045967447708713E-10</c:v>
                  </c:pt>
                  <c:pt idx="146">
                    <c:v>1.0144808959715369E-10</c:v>
                  </c:pt>
                  <c:pt idx="147">
                    <c:v>1.2104615512776515E-10</c:v>
                  </c:pt>
                  <c:pt idx="148">
                    <c:v>1.1760388141051699E-10</c:v>
                  </c:pt>
                  <c:pt idx="149">
                    <c:v>1.1292601378563722E-10</c:v>
                  </c:pt>
                  <c:pt idx="150">
                    <c:v>1.1615374561712737E-10</c:v>
                  </c:pt>
                  <c:pt idx="151">
                    <c:v>1.1360040370160419E-10</c:v>
                  </c:pt>
                  <c:pt idx="152">
                    <c:v>1.1495326414413625E-10</c:v>
                  </c:pt>
                  <c:pt idx="153">
                    <c:v>1.1303000674587812E-10</c:v>
                  </c:pt>
                  <c:pt idx="154">
                    <c:v>9.1747046632183569E-11</c:v>
                  </c:pt>
                  <c:pt idx="155">
                    <c:v>8.4788739794437225E-11</c:v>
                  </c:pt>
                  <c:pt idx="156">
                    <c:v>9.5458246854148169E-11</c:v>
                  </c:pt>
                  <c:pt idx="157">
                    <c:v>8.8407637750381062E-11</c:v>
                  </c:pt>
                  <c:pt idx="158">
                    <c:v>8.3579544794617878E-11</c:v>
                  </c:pt>
                  <c:pt idx="159">
                    <c:v>1.119452864604276E-10</c:v>
                  </c:pt>
                  <c:pt idx="160">
                    <c:v>1.1835325712041888E-10</c:v>
                  </c:pt>
                  <c:pt idx="161">
                    <c:v>1.3290521748360358E-10</c:v>
                  </c:pt>
                  <c:pt idx="162">
                    <c:v>1.4221879021534602E-10</c:v>
                  </c:pt>
                  <c:pt idx="163">
                    <c:v>1.4790620046542903E-10</c:v>
                  </c:pt>
                  <c:pt idx="164">
                    <c:v>1.5419221567702829E-10</c:v>
                  </c:pt>
                  <c:pt idx="165">
                    <c:v>1.3488052069568267E-10</c:v>
                  </c:pt>
                  <c:pt idx="166">
                    <c:v>1.3122064879024371E-10</c:v>
                  </c:pt>
                  <c:pt idx="167">
                    <c:v>6.1007688497012739E-11</c:v>
                  </c:pt>
                  <c:pt idx="168">
                    <c:v>5.9743837173891889E-11</c:v>
                  </c:pt>
                  <c:pt idx="169">
                    <c:v>4.835939447138594E-11</c:v>
                  </c:pt>
                  <c:pt idx="170">
                    <c:v>4.9062085022998146E-11</c:v>
                  </c:pt>
                  <c:pt idx="171">
                    <c:v>5.1292865676099529E-11</c:v>
                  </c:pt>
                  <c:pt idx="172">
                    <c:v>6.3674822122323601E-11</c:v>
                  </c:pt>
                  <c:pt idx="173">
                    <c:v>6.7388453194699386E-11</c:v>
                  </c:pt>
                  <c:pt idx="174">
                    <c:v>7.835421510960473E-11</c:v>
                  </c:pt>
                  <c:pt idx="175">
                    <c:v>7.8976797592521338E-11</c:v>
                  </c:pt>
                  <c:pt idx="176">
                    <c:v>7.9186221286598175E-11</c:v>
                  </c:pt>
                  <c:pt idx="177">
                    <c:v>8.4340186631442041E-11</c:v>
                  </c:pt>
                  <c:pt idx="178">
                    <c:v>7.5117693763954521E-11</c:v>
                  </c:pt>
                  <c:pt idx="179">
                    <c:v>7.0833652628684011E-11</c:v>
                  </c:pt>
                  <c:pt idx="180">
                    <c:v>5.8600928890246558E-11</c:v>
                  </c:pt>
                  <c:pt idx="181">
                    <c:v>5.9045976445744661E-11</c:v>
                  </c:pt>
                  <c:pt idx="182">
                    <c:v>6.4151317051874561E-11</c:v>
                  </c:pt>
                  <c:pt idx="183">
                    <c:v>7.4710164293293905E-11</c:v>
                  </c:pt>
                  <c:pt idx="184">
                    <c:v>7.7312973822872998E-11</c:v>
                  </c:pt>
                  <c:pt idx="185">
                    <c:v>8.4690963802023763E-11</c:v>
                  </c:pt>
                  <c:pt idx="186">
                    <c:v>1.0219916140772728E-10</c:v>
                  </c:pt>
                  <c:pt idx="187">
                    <c:v>1.0779200268528775E-10</c:v>
                  </c:pt>
                  <c:pt idx="188">
                    <c:v>9.5429298494689739E-11</c:v>
                  </c:pt>
                  <c:pt idx="189">
                    <c:v>9.6090163315545401E-11</c:v>
                  </c:pt>
                  <c:pt idx="190">
                    <c:v>9.0792467521292324E-11</c:v>
                  </c:pt>
                  <c:pt idx="191">
                    <c:v>8.4184600019237694E-11</c:v>
                  </c:pt>
                  <c:pt idx="192">
                    <c:v>7.3623350417432232E-11</c:v>
                  </c:pt>
                  <c:pt idx="193">
                    <c:v>8.1325945422647996E-11</c:v>
                  </c:pt>
                  <c:pt idx="194">
                    <c:v>9.0363536040955274E-11</c:v>
                  </c:pt>
                  <c:pt idx="195">
                    <c:v>1.0337640651182895E-10</c:v>
                  </c:pt>
                  <c:pt idx="196">
                    <c:v>1.136776270574356E-10</c:v>
                  </c:pt>
                  <c:pt idx="197">
                    <c:v>1.168923784353605E-10</c:v>
                  </c:pt>
                  <c:pt idx="198">
                    <c:v>1.2924018730576082E-10</c:v>
                  </c:pt>
                  <c:pt idx="199">
                    <c:v>1.2122528864450165E-10</c:v>
                  </c:pt>
                  <c:pt idx="200">
                    <c:v>1.1267777490876275E-10</c:v>
                  </c:pt>
                  <c:pt idx="201">
                    <c:v>1.0065254390590016E-10</c:v>
                  </c:pt>
                  <c:pt idx="202">
                    <c:v>9.8923313759958383E-11</c:v>
                  </c:pt>
                  <c:pt idx="203">
                    <c:v>1.1613199182642859E-10</c:v>
                  </c:pt>
                  <c:pt idx="204">
                    <c:v>1.2888225032738071E-10</c:v>
                  </c:pt>
                  <c:pt idx="205">
                    <c:v>1.2188474614983075E-10</c:v>
                  </c:pt>
                  <c:pt idx="206">
                    <c:v>1.4495683861645326E-10</c:v>
                  </c:pt>
                  <c:pt idx="207">
                    <c:v>1.4753503766356148E-10</c:v>
                  </c:pt>
                  <c:pt idx="208">
                    <c:v>1.398105863470217E-10</c:v>
                  </c:pt>
                  <c:pt idx="209">
                    <c:v>1.3066277467587271E-10</c:v>
                  </c:pt>
                  <c:pt idx="210">
                    <c:v>1.3074370311675582E-10</c:v>
                  </c:pt>
                  <c:pt idx="211">
                    <c:v>1.2813916221257506E-10</c:v>
                  </c:pt>
                  <c:pt idx="212">
                    <c:v>1.377976837742168E-10</c:v>
                  </c:pt>
                  <c:pt idx="213">
                    <c:v>1.5707850117941819E-10</c:v>
                  </c:pt>
                  <c:pt idx="214">
                    <c:v>1.5672733783528193E-10</c:v>
                  </c:pt>
                  <c:pt idx="215">
                    <c:v>1.7428149538058229E-10</c:v>
                  </c:pt>
                  <c:pt idx="216">
                    <c:v>1.8704770917249927E-10</c:v>
                  </c:pt>
                  <c:pt idx="217">
                    <c:v>1.4867873675802763E-10</c:v>
                  </c:pt>
                  <c:pt idx="218">
                    <c:v>1.5222492071214428E-10</c:v>
                  </c:pt>
                  <c:pt idx="219">
                    <c:v>1.5397934977377408E-10</c:v>
                  </c:pt>
                  <c:pt idx="220">
                    <c:v>1.6192085744771905E-10</c:v>
                  </c:pt>
                  <c:pt idx="221">
                    <c:v>1.6982286432630555E-10</c:v>
                  </c:pt>
                  <c:pt idx="222">
                    <c:v>1.610175004343846E-10</c:v>
                  </c:pt>
                  <c:pt idx="223">
                    <c:v>1.7375355847594734E-10</c:v>
                  </c:pt>
                  <c:pt idx="224">
                    <c:v>2.0226451662557938E-10</c:v>
                  </c:pt>
                  <c:pt idx="225">
                    <c:v>1.8755989756695803E-10</c:v>
                  </c:pt>
                  <c:pt idx="226">
                    <c:v>1.707990129270578E-10</c:v>
                  </c:pt>
                  <c:pt idx="227">
                    <c:v>2.0082384667514662E-10</c:v>
                  </c:pt>
                  <c:pt idx="228">
                    <c:v>2.0947472364920828E-10</c:v>
                  </c:pt>
                  <c:pt idx="229">
                    <c:v>1.9357647969546899E-10</c:v>
                  </c:pt>
                  <c:pt idx="230">
                    <c:v>2.097286000579004E-10</c:v>
                  </c:pt>
                  <c:pt idx="231">
                    <c:v>2.5478997696908639E-10</c:v>
                  </c:pt>
                  <c:pt idx="232">
                    <c:v>2.2466504594003673E-10</c:v>
                  </c:pt>
                  <c:pt idx="233">
                    <c:v>2.297995299388181E-10</c:v>
                  </c:pt>
                  <c:pt idx="234">
                    <c:v>2.3095979821739314E-10</c:v>
                  </c:pt>
                  <c:pt idx="235">
                    <c:v>2.3459629832898593E-10</c:v>
                  </c:pt>
                  <c:pt idx="236">
                    <c:v>1.3582239369313667E-10</c:v>
                  </c:pt>
                  <c:pt idx="237">
                    <c:v>1.3564305644178981E-10</c:v>
                  </c:pt>
                  <c:pt idx="238">
                    <c:v>1.4511156257711142E-10</c:v>
                  </c:pt>
                  <c:pt idx="239">
                    <c:v>1.2605622242341794E-10</c:v>
                  </c:pt>
                  <c:pt idx="240">
                    <c:v>1.3651725775320657E-10</c:v>
                  </c:pt>
                  <c:pt idx="241">
                    <c:v>1.32426940017932E-10</c:v>
                  </c:pt>
                  <c:pt idx="242">
                    <c:v>1.5261401804877045E-10</c:v>
                  </c:pt>
                  <c:pt idx="243">
                    <c:v>1.5422128249262593E-10</c:v>
                  </c:pt>
                  <c:pt idx="244">
                    <c:v>1.6166859236880557E-10</c:v>
                  </c:pt>
                  <c:pt idx="245">
                    <c:v>1.5640038807935678E-10</c:v>
                  </c:pt>
                  <c:pt idx="246">
                    <c:v>1.5749285770005128E-10</c:v>
                  </c:pt>
                  <c:pt idx="247">
                    <c:v>1.556734947959119E-10</c:v>
                  </c:pt>
                  <c:pt idx="248">
                    <c:v>1.6208372619892369E-10</c:v>
                  </c:pt>
                  <c:pt idx="249">
                    <c:v>1.6867103699377329E-10</c:v>
                  </c:pt>
                  <c:pt idx="250">
                    <c:v>1.6112472070601051E-10</c:v>
                  </c:pt>
                  <c:pt idx="251">
                    <c:v>1.9223442780224713E-10</c:v>
                  </c:pt>
                  <c:pt idx="252">
                    <c:v>1.8252954762644442E-10</c:v>
                  </c:pt>
                  <c:pt idx="253">
                    <c:v>1.8145398106762369E-10</c:v>
                  </c:pt>
                  <c:pt idx="254">
                    <c:v>1.9977150218723691E-10</c:v>
                  </c:pt>
                  <c:pt idx="255">
                    <c:v>2.2209855522231718E-10</c:v>
                  </c:pt>
                  <c:pt idx="256">
                    <c:v>2.0614985680776245E-10</c:v>
                  </c:pt>
                  <c:pt idx="257">
                    <c:v>2.0063349301740802E-10</c:v>
                  </c:pt>
                  <c:pt idx="258">
                    <c:v>2.0063852278826304E-10</c:v>
                  </c:pt>
                  <c:pt idx="259">
                    <c:v>2.3832832074065504E-10</c:v>
                  </c:pt>
                  <c:pt idx="260">
                    <c:v>2.3450311225910771E-10</c:v>
                  </c:pt>
                  <c:pt idx="261">
                    <c:v>2.2949477225211725E-10</c:v>
                  </c:pt>
                  <c:pt idx="262">
                    <c:v>2.2447491626199769E-10</c:v>
                  </c:pt>
                  <c:pt idx="263">
                    <c:v>2.3210518583532585E-10</c:v>
                  </c:pt>
                  <c:pt idx="264">
                    <c:v>2.3091798640935763E-10</c:v>
                  </c:pt>
                  <c:pt idx="265">
                    <c:v>2.8405689428816758E-10</c:v>
                  </c:pt>
                  <c:pt idx="266">
                    <c:v>2.9158482954763762E-10</c:v>
                  </c:pt>
                  <c:pt idx="267">
                    <c:v>3.0639650776822851E-10</c:v>
                  </c:pt>
                  <c:pt idx="268">
                    <c:v>2.7981816925483402E-10</c:v>
                  </c:pt>
                  <c:pt idx="269">
                    <c:v>2.9276512402711164E-10</c:v>
                  </c:pt>
                  <c:pt idx="270">
                    <c:v>2.8072537922799928E-10</c:v>
                  </c:pt>
                  <c:pt idx="271">
                    <c:v>2.913420174529344E-10</c:v>
                  </c:pt>
                  <c:pt idx="272">
                    <c:v>2.9912261613224272E-10</c:v>
                  </c:pt>
                  <c:pt idx="273">
                    <c:v>3.1469111960874678E-10</c:v>
                  </c:pt>
                  <c:pt idx="274">
                    <c:v>3.2426349014225983E-10</c:v>
                  </c:pt>
                  <c:pt idx="275">
                    <c:v>3.7418880937617269E-10</c:v>
                  </c:pt>
                  <c:pt idx="276">
                    <c:v>3.552116233940927E-10</c:v>
                  </c:pt>
                  <c:pt idx="277">
                    <c:v>3.8923822398185455E-10</c:v>
                  </c:pt>
                  <c:pt idx="278">
                    <c:v>3.8585090084963644E-10</c:v>
                  </c:pt>
                  <c:pt idx="279">
                    <c:v>3.4396074049675919E-10</c:v>
                  </c:pt>
                  <c:pt idx="280">
                    <c:v>3.4081287542936063E-10</c:v>
                  </c:pt>
                  <c:pt idx="281">
                    <c:v>3.6931589181936139E-10</c:v>
                  </c:pt>
                  <c:pt idx="282">
                    <c:v>4.0611254905247618E-10</c:v>
                  </c:pt>
                  <c:pt idx="283">
                    <c:v>4.1073335450816579E-10</c:v>
                  </c:pt>
                  <c:pt idx="284">
                    <c:v>3.8667858305325106E-10</c:v>
                  </c:pt>
                  <c:pt idx="285">
                    <c:v>3.9900362122455742E-10</c:v>
                  </c:pt>
                  <c:pt idx="286">
                    <c:v>3.7166398378773544E-10</c:v>
                  </c:pt>
                  <c:pt idx="287">
                    <c:v>3.8742217018758558E-10</c:v>
                  </c:pt>
                  <c:pt idx="288">
                    <c:v>4.5426754083054928E-10</c:v>
                  </c:pt>
                  <c:pt idx="289">
                    <c:v>4.0471634857478031E-10</c:v>
                  </c:pt>
                  <c:pt idx="290">
                    <c:v>4.0025832503985067E-10</c:v>
                  </c:pt>
                  <c:pt idx="291">
                    <c:v>4.6533191861777655E-10</c:v>
                  </c:pt>
                  <c:pt idx="292">
                    <c:v>4.3816498451694973E-10</c:v>
                  </c:pt>
                  <c:pt idx="293">
                    <c:v>4.8145730943820242E-10</c:v>
                  </c:pt>
                  <c:pt idx="294">
                    <c:v>4.7301962617056797E-10</c:v>
                  </c:pt>
                  <c:pt idx="295">
                    <c:v>4.9600555338083508E-10</c:v>
                  </c:pt>
                  <c:pt idx="296">
                    <c:v>4.6761273258879001E-10</c:v>
                  </c:pt>
                  <c:pt idx="297">
                    <c:v>5.6927762252806193E-10</c:v>
                  </c:pt>
                  <c:pt idx="298">
                    <c:v>5.1236663714851402E-10</c:v>
                  </c:pt>
                  <c:pt idx="299">
                    <c:v>5.3315479037241956E-10</c:v>
                  </c:pt>
                  <c:pt idx="300">
                    <c:v>5.8382010994504836E-10</c:v>
                  </c:pt>
                  <c:pt idx="301">
                    <c:v>5.3809684726396101E-10</c:v>
                  </c:pt>
                  <c:pt idx="302">
                    <c:v>5.8622990285451253E-10</c:v>
                  </c:pt>
                  <c:pt idx="303">
                    <c:v>5.7047861914304981E-10</c:v>
                  </c:pt>
                  <c:pt idx="304">
                    <c:v>5.380476275430548E-10</c:v>
                  </c:pt>
                  <c:pt idx="305">
                    <c:v>6.1127807581268364E-10</c:v>
                  </c:pt>
                  <c:pt idx="306">
                    <c:v>6.8281108114633584E-10</c:v>
                  </c:pt>
                  <c:pt idx="307">
                    <c:v>6.5672740323161781E-10</c:v>
                  </c:pt>
                  <c:pt idx="308">
                    <c:v>6.899860308122618E-10</c:v>
                  </c:pt>
                  <c:pt idx="309">
                    <c:v>6.612666367257089E-10</c:v>
                  </c:pt>
                  <c:pt idx="310">
                    <c:v>7.3361316753111306E-10</c:v>
                  </c:pt>
                  <c:pt idx="311">
                    <c:v>6.5792412333937031E-10</c:v>
                  </c:pt>
                  <c:pt idx="312">
                    <c:v>7.8783058796231759E-10</c:v>
                  </c:pt>
                  <c:pt idx="313">
                    <c:v>7.9579833382702812E-10</c:v>
                  </c:pt>
                  <c:pt idx="314">
                    <c:v>8.2343023989437891E-10</c:v>
                  </c:pt>
                  <c:pt idx="315">
                    <c:v>7.5609497715990895E-10</c:v>
                  </c:pt>
                  <c:pt idx="316">
                    <c:v>7.8993944811245914E-10</c:v>
                  </c:pt>
                  <c:pt idx="317">
                    <c:v>9.4094345590682471E-10</c:v>
                  </c:pt>
                  <c:pt idx="318">
                    <c:v>9.8971451324730627E-10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6.9923037584772891E-10</c:v>
                  </c:pt>
                  <c:pt idx="1">
                    <c:v>5.8170879563313537E-10</c:v>
                  </c:pt>
                  <c:pt idx="2">
                    <c:v>4.7351651226951321E-10</c:v>
                  </c:pt>
                  <c:pt idx="3">
                    <c:v>4.2792829153699606E-10</c:v>
                  </c:pt>
                  <c:pt idx="4">
                    <c:v>4.0002260802673601E-10</c:v>
                  </c:pt>
                  <c:pt idx="5">
                    <c:v>4.2104704479688629E-10</c:v>
                  </c:pt>
                  <c:pt idx="6">
                    <c:v>4.2105989066385185E-10</c:v>
                  </c:pt>
                  <c:pt idx="7">
                    <c:v>4.1429083480183004E-10</c:v>
                  </c:pt>
                  <c:pt idx="8">
                    <c:v>4.095588662660221E-10</c:v>
                  </c:pt>
                  <c:pt idx="9">
                    <c:v>4.493891689978206E-10</c:v>
                  </c:pt>
                  <c:pt idx="10">
                    <c:v>4.4959816248964045E-10</c:v>
                  </c:pt>
                  <c:pt idx="11">
                    <c:v>4.2327494227807434E-10</c:v>
                  </c:pt>
                  <c:pt idx="12">
                    <c:v>3.4064555178846688E-10</c:v>
                  </c:pt>
                  <c:pt idx="13">
                    <c:v>3.3409197551913549E-10</c:v>
                  </c:pt>
                  <c:pt idx="14">
                    <c:v>3.2422875721297083E-10</c:v>
                  </c:pt>
                  <c:pt idx="15">
                    <c:v>3.1751660269556997E-10</c:v>
                  </c:pt>
                  <c:pt idx="16">
                    <c:v>3.325057265656656E-10</c:v>
                  </c:pt>
                  <c:pt idx="17">
                    <c:v>4.8924965608828085E-10</c:v>
                  </c:pt>
                  <c:pt idx="18">
                    <c:v>4.4691639932590015E-10</c:v>
                  </c:pt>
                  <c:pt idx="19">
                    <c:v>4.2723074114785002E-10</c:v>
                  </c:pt>
                  <c:pt idx="20">
                    <c:v>3.8737472222430398E-10</c:v>
                  </c:pt>
                  <c:pt idx="21">
                    <c:v>3.3715503299744497E-10</c:v>
                  </c:pt>
                  <c:pt idx="22">
                    <c:v>3.2045906470161478E-10</c:v>
                  </c:pt>
                  <c:pt idx="23">
                    <c:v>3.0398359734727497E-10</c:v>
                  </c:pt>
                  <c:pt idx="24">
                    <c:v>2.8372616682968685E-10</c:v>
                  </c:pt>
                  <c:pt idx="25">
                    <c:v>2.9957371494369639E-10</c:v>
                  </c:pt>
                  <c:pt idx="26">
                    <c:v>2.8576661729630198E-10</c:v>
                  </c:pt>
                  <c:pt idx="27">
                    <c:v>2.8449775033763073E-10</c:v>
                  </c:pt>
                  <c:pt idx="28">
                    <c:v>2.6588137391063435E-10</c:v>
                  </c:pt>
                  <c:pt idx="29">
                    <c:v>2.5330510214609427E-10</c:v>
                  </c:pt>
                  <c:pt idx="30">
                    <c:v>2.8695474783089978E-10</c:v>
                  </c:pt>
                  <c:pt idx="31">
                    <c:v>2.4761804452938102E-10</c:v>
                  </c:pt>
                  <c:pt idx="32">
                    <c:v>2.6586216057427914E-10</c:v>
                  </c:pt>
                  <c:pt idx="33">
                    <c:v>1.4925676877461102E-10</c:v>
                  </c:pt>
                  <c:pt idx="34">
                    <c:v>1.3849059821559126E-10</c:v>
                  </c:pt>
                  <c:pt idx="35">
                    <c:v>1.3746388513520647E-10</c:v>
                  </c:pt>
                  <c:pt idx="36">
                    <c:v>1.287549159252622E-10</c:v>
                  </c:pt>
                  <c:pt idx="37">
                    <c:v>1.1305293835942937E-10</c:v>
                  </c:pt>
                  <c:pt idx="38">
                    <c:v>1.3723670126405348E-10</c:v>
                  </c:pt>
                  <c:pt idx="39">
                    <c:v>1.1910516966086511E-10</c:v>
                  </c:pt>
                  <c:pt idx="40">
                    <c:v>1.17521578948413E-10</c:v>
                  </c:pt>
                  <c:pt idx="41">
                    <c:v>1.1153189375526818E-10</c:v>
                  </c:pt>
                  <c:pt idx="42">
                    <c:v>1.0716436781448073E-10</c:v>
                  </c:pt>
                  <c:pt idx="43">
                    <c:v>9.9463952573185065E-11</c:v>
                  </c:pt>
                  <c:pt idx="44">
                    <c:v>8.7286107243956266E-11</c:v>
                  </c:pt>
                  <c:pt idx="45">
                    <c:v>8.1437611056682179E-11</c:v>
                  </c:pt>
                  <c:pt idx="46">
                    <c:v>8.1009645183962611E-11</c:v>
                  </c:pt>
                  <c:pt idx="47">
                    <c:v>8.4932665902709005E-11</c:v>
                  </c:pt>
                  <c:pt idx="48">
                    <c:v>8.9028280303169182E-11</c:v>
                  </c:pt>
                  <c:pt idx="49">
                    <c:v>9.0326255879190579E-11</c:v>
                  </c:pt>
                  <c:pt idx="50">
                    <c:v>9.5860963874411074E-11</c:v>
                  </c:pt>
                  <c:pt idx="51">
                    <c:v>1.0111022279489293E-10</c:v>
                  </c:pt>
                  <c:pt idx="52">
                    <c:v>1.064883813866304E-10</c:v>
                  </c:pt>
                  <c:pt idx="53">
                    <c:v>1.1860953944451178E-10</c:v>
                  </c:pt>
                  <c:pt idx="54">
                    <c:v>1.1562811492435605E-10</c:v>
                  </c:pt>
                  <c:pt idx="55">
                    <c:v>1.1935090790917744E-10</c:v>
                  </c:pt>
                  <c:pt idx="56">
                    <c:v>1.3092649925162843E-10</c:v>
                  </c:pt>
                  <c:pt idx="57">
                    <c:v>1.200694137882958E-10</c:v>
                  </c:pt>
                  <c:pt idx="58">
                    <c:v>1.2977458296203099E-10</c:v>
                  </c:pt>
                  <c:pt idx="59">
                    <c:v>1.2535265973738905E-10</c:v>
                  </c:pt>
                  <c:pt idx="60">
                    <c:v>8.5244060269631591E-11</c:v>
                  </c:pt>
                  <c:pt idx="61">
                    <c:v>9.5349626724580144E-11</c:v>
                  </c:pt>
                  <c:pt idx="62">
                    <c:v>9.9174607486938475E-11</c:v>
                  </c:pt>
                  <c:pt idx="63">
                    <c:v>9.0098044236428058E-11</c:v>
                  </c:pt>
                  <c:pt idx="64">
                    <c:v>8.2229006483648347E-11</c:v>
                  </c:pt>
                  <c:pt idx="65">
                    <c:v>8.2324156567747306E-11</c:v>
                  </c:pt>
                  <c:pt idx="66">
                    <c:v>8.5518615591233845E-11</c:v>
                  </c:pt>
                  <c:pt idx="67">
                    <c:v>1.1854317385400577E-10</c:v>
                  </c:pt>
                  <c:pt idx="68">
                    <c:v>1.0955788990936232E-10</c:v>
                  </c:pt>
                  <c:pt idx="69">
                    <c:v>9.8385002524709477E-11</c:v>
                  </c:pt>
                  <c:pt idx="70">
                    <c:v>9.739007428911851E-11</c:v>
                  </c:pt>
                  <c:pt idx="71">
                    <c:v>8.3072662417510188E-11</c:v>
                  </c:pt>
                  <c:pt idx="72">
                    <c:v>8.3419316461689153E-11</c:v>
                  </c:pt>
                  <c:pt idx="73">
                    <c:v>7.8327097875059572E-11</c:v>
                  </c:pt>
                  <c:pt idx="74">
                    <c:v>7.6146600852902755E-11</c:v>
                  </c:pt>
                  <c:pt idx="75">
                    <c:v>8.5578178351334171E-11</c:v>
                  </c:pt>
                  <c:pt idx="76">
                    <c:v>7.7482305461472955E-11</c:v>
                  </c:pt>
                  <c:pt idx="77">
                    <c:v>6.9996633542717419E-11</c:v>
                  </c:pt>
                  <c:pt idx="78">
                    <c:v>9.0576867652639086E-11</c:v>
                  </c:pt>
                  <c:pt idx="79">
                    <c:v>7.5266751681768394E-11</c:v>
                  </c:pt>
                  <c:pt idx="80">
                    <c:v>8.1997166079303544E-11</c:v>
                  </c:pt>
                  <c:pt idx="81">
                    <c:v>9.7014541017966131E-11</c:v>
                  </c:pt>
                  <c:pt idx="82">
                    <c:v>9.4474290400374124E-11</c:v>
                  </c:pt>
                  <c:pt idx="83">
                    <c:v>1.1362257505744443E-10</c:v>
                  </c:pt>
                  <c:pt idx="84">
                    <c:v>1.0574529324982197E-10</c:v>
                  </c:pt>
                  <c:pt idx="85">
                    <c:v>1.1501650309573903E-10</c:v>
                  </c:pt>
                  <c:pt idx="86">
                    <c:v>1.1196012817004375E-10</c:v>
                  </c:pt>
                  <c:pt idx="87">
                    <c:v>1.1934277856628866E-10</c:v>
                  </c:pt>
                  <c:pt idx="88">
                    <c:v>1.2867384406469077E-10</c:v>
                  </c:pt>
                  <c:pt idx="89">
                    <c:v>1.283458173533422E-10</c:v>
                  </c:pt>
                  <c:pt idx="90">
                    <c:v>1.2811809872768841E-10</c:v>
                  </c:pt>
                  <c:pt idx="91">
                    <c:v>1.2724150368373114E-10</c:v>
                  </c:pt>
                  <c:pt idx="92">
                    <c:v>1.2387836659011648E-10</c:v>
                  </c:pt>
                  <c:pt idx="93">
                    <c:v>1.1224526411961229E-10</c:v>
                  </c:pt>
                  <c:pt idx="94">
                    <c:v>1.1918079926939372E-10</c:v>
                  </c:pt>
                  <c:pt idx="95">
                    <c:v>1.1475331913066746E-10</c:v>
                  </c:pt>
                  <c:pt idx="96">
                    <c:v>1.0479945784640291E-10</c:v>
                  </c:pt>
                  <c:pt idx="97">
                    <c:v>9.9596999640843655E-11</c:v>
                  </c:pt>
                  <c:pt idx="98">
                    <c:v>8.8944621802809394E-11</c:v>
                  </c:pt>
                  <c:pt idx="99">
                    <c:v>3.7423158103565913E-11</c:v>
                  </c:pt>
                  <c:pt idx="100">
                    <c:v>3.4627247169059278E-11</c:v>
                  </c:pt>
                  <c:pt idx="101">
                    <c:v>3.2503908896720295E-11</c:v>
                  </c:pt>
                  <c:pt idx="102">
                    <c:v>3.0316720393941644E-11</c:v>
                  </c:pt>
                  <c:pt idx="103">
                    <c:v>3.4597380178868749E-11</c:v>
                  </c:pt>
                  <c:pt idx="104">
                    <c:v>3.5149203608815382E-11</c:v>
                  </c:pt>
                  <c:pt idx="105">
                    <c:v>4.0525829917815565E-11</c:v>
                  </c:pt>
                  <c:pt idx="106">
                    <c:v>4.4975492837650391E-11</c:v>
                  </c:pt>
                  <c:pt idx="107">
                    <c:v>4.910068636594624E-11</c:v>
                  </c:pt>
                  <c:pt idx="108">
                    <c:v>5.4580714091585359E-11</c:v>
                  </c:pt>
                  <c:pt idx="109">
                    <c:v>6.4117461925614157E-11</c:v>
                  </c:pt>
                  <c:pt idx="110">
                    <c:v>6.513326332433142E-11</c:v>
                  </c:pt>
                  <c:pt idx="111">
                    <c:v>6.3604194045407779E-11</c:v>
                  </c:pt>
                  <c:pt idx="112">
                    <c:v>6.4908556228290119E-11</c:v>
                  </c:pt>
                  <c:pt idx="113">
                    <c:v>6.4022237031621688E-11</c:v>
                  </c:pt>
                  <c:pt idx="114">
                    <c:v>6.3252534776791836E-11</c:v>
                  </c:pt>
                  <c:pt idx="115">
                    <c:v>6.5485428908599841E-11</c:v>
                  </c:pt>
                  <c:pt idx="116">
                    <c:v>5.7387544340721212E-11</c:v>
                  </c:pt>
                  <c:pt idx="117">
                    <c:v>5.2478431987440221E-11</c:v>
                  </c:pt>
                  <c:pt idx="118">
                    <c:v>5.5562906251795605E-11</c:v>
                  </c:pt>
                  <c:pt idx="119">
                    <c:v>5.0721452120820312E-11</c:v>
                  </c:pt>
                  <c:pt idx="120">
                    <c:v>4.7264711977256934E-11</c:v>
                  </c:pt>
                  <c:pt idx="121">
                    <c:v>4.8108620414488922E-11</c:v>
                  </c:pt>
                  <c:pt idx="122">
                    <c:v>4.2835403797938363E-11</c:v>
                  </c:pt>
                  <c:pt idx="123">
                    <c:v>4.6810520594310995E-11</c:v>
                  </c:pt>
                  <c:pt idx="124">
                    <c:v>4.4345505565659814E-11</c:v>
                  </c:pt>
                  <c:pt idx="125">
                    <c:v>5.3567614055141477E-11</c:v>
                  </c:pt>
                  <c:pt idx="126">
                    <c:v>5.7430488859876386E-11</c:v>
                  </c:pt>
                  <c:pt idx="127">
                    <c:v>6.2483844703637488E-11</c:v>
                  </c:pt>
                  <c:pt idx="128">
                    <c:v>7.1398655919787617E-11</c:v>
                  </c:pt>
                  <c:pt idx="129">
                    <c:v>7.9417748122269173E-11</c:v>
                  </c:pt>
                  <c:pt idx="130">
                    <c:v>8.9598510025861788E-11</c:v>
                  </c:pt>
                  <c:pt idx="131">
                    <c:v>9.4544949262772518E-11</c:v>
                  </c:pt>
                  <c:pt idx="132">
                    <c:v>8.9336741053852118E-11</c:v>
                  </c:pt>
                  <c:pt idx="133">
                    <c:v>8.4915087473036045E-11</c:v>
                  </c:pt>
                  <c:pt idx="134">
                    <c:v>8.7393354898300961E-11</c:v>
                  </c:pt>
                  <c:pt idx="135">
                    <c:v>8.8270060346576946E-11</c:v>
                  </c:pt>
                  <c:pt idx="136">
                    <c:v>7.8216229999385273E-11</c:v>
                  </c:pt>
                  <c:pt idx="137">
                    <c:v>7.9889093347298263E-11</c:v>
                  </c:pt>
                  <c:pt idx="138">
                    <c:v>7.6067821731224977E-11</c:v>
                  </c:pt>
                  <c:pt idx="139">
                    <c:v>6.9197684633886402E-11</c:v>
                  </c:pt>
                  <c:pt idx="140">
                    <c:v>7.2770244350233722E-11</c:v>
                  </c:pt>
                  <c:pt idx="141">
                    <c:v>6.4101353326080946E-11</c:v>
                  </c:pt>
                  <c:pt idx="142">
                    <c:v>7.2941548509532902E-11</c:v>
                  </c:pt>
                  <c:pt idx="143">
                    <c:v>7.7018253132129323E-11</c:v>
                  </c:pt>
                  <c:pt idx="144">
                    <c:v>9.6709320014397198E-11</c:v>
                  </c:pt>
                  <c:pt idx="145">
                    <c:v>1.045967447708713E-10</c:v>
                  </c:pt>
                  <c:pt idx="146">
                    <c:v>1.0144808959715369E-10</c:v>
                  </c:pt>
                  <c:pt idx="147">
                    <c:v>1.2104615512776515E-10</c:v>
                  </c:pt>
                  <c:pt idx="148">
                    <c:v>1.1760388141051699E-10</c:v>
                  </c:pt>
                  <c:pt idx="149">
                    <c:v>1.1292601378563722E-10</c:v>
                  </c:pt>
                  <c:pt idx="150">
                    <c:v>1.1615374561712737E-10</c:v>
                  </c:pt>
                  <c:pt idx="151">
                    <c:v>1.1360040370160419E-10</c:v>
                  </c:pt>
                  <c:pt idx="152">
                    <c:v>1.1495326414413625E-10</c:v>
                  </c:pt>
                  <c:pt idx="153">
                    <c:v>1.1303000674587812E-10</c:v>
                  </c:pt>
                  <c:pt idx="154">
                    <c:v>9.1747046632183569E-11</c:v>
                  </c:pt>
                  <c:pt idx="155">
                    <c:v>8.4788739794437225E-11</c:v>
                  </c:pt>
                  <c:pt idx="156">
                    <c:v>9.5458246854148169E-11</c:v>
                  </c:pt>
                  <c:pt idx="157">
                    <c:v>8.8407637750381062E-11</c:v>
                  </c:pt>
                  <c:pt idx="158">
                    <c:v>8.3579544794617878E-11</c:v>
                  </c:pt>
                  <c:pt idx="159">
                    <c:v>1.119452864604276E-10</c:v>
                  </c:pt>
                  <c:pt idx="160">
                    <c:v>1.1835325712041888E-10</c:v>
                  </c:pt>
                  <c:pt idx="161">
                    <c:v>1.3290521748360358E-10</c:v>
                  </c:pt>
                  <c:pt idx="162">
                    <c:v>1.4221879021534602E-10</c:v>
                  </c:pt>
                  <c:pt idx="163">
                    <c:v>1.4790620046542903E-10</c:v>
                  </c:pt>
                  <c:pt idx="164">
                    <c:v>1.5419221567702829E-10</c:v>
                  </c:pt>
                  <c:pt idx="165">
                    <c:v>1.3488052069568267E-10</c:v>
                  </c:pt>
                  <c:pt idx="166">
                    <c:v>1.3122064879024371E-10</c:v>
                  </c:pt>
                  <c:pt idx="167">
                    <c:v>6.1007688497012739E-11</c:v>
                  </c:pt>
                  <c:pt idx="168">
                    <c:v>5.9743837173891889E-11</c:v>
                  </c:pt>
                  <c:pt idx="169">
                    <c:v>4.835939447138594E-11</c:v>
                  </c:pt>
                  <c:pt idx="170">
                    <c:v>4.9062085022998146E-11</c:v>
                  </c:pt>
                  <c:pt idx="171">
                    <c:v>5.1292865676099529E-11</c:v>
                  </c:pt>
                  <c:pt idx="172">
                    <c:v>6.3674822122323601E-11</c:v>
                  </c:pt>
                  <c:pt idx="173">
                    <c:v>6.7388453194699386E-11</c:v>
                  </c:pt>
                  <c:pt idx="174">
                    <c:v>7.835421510960473E-11</c:v>
                  </c:pt>
                  <c:pt idx="175">
                    <c:v>7.8976797592521338E-11</c:v>
                  </c:pt>
                  <c:pt idx="176">
                    <c:v>7.9186221286598175E-11</c:v>
                  </c:pt>
                  <c:pt idx="177">
                    <c:v>8.4340186631442041E-11</c:v>
                  </c:pt>
                  <c:pt idx="178">
                    <c:v>7.5117693763954521E-11</c:v>
                  </c:pt>
                  <c:pt idx="179">
                    <c:v>7.0833652628684011E-11</c:v>
                  </c:pt>
                  <c:pt idx="180">
                    <c:v>5.8600928890246558E-11</c:v>
                  </c:pt>
                  <c:pt idx="181">
                    <c:v>5.9045976445744661E-11</c:v>
                  </c:pt>
                  <c:pt idx="182">
                    <c:v>6.4151317051874561E-11</c:v>
                  </c:pt>
                  <c:pt idx="183">
                    <c:v>7.4710164293293905E-11</c:v>
                  </c:pt>
                  <c:pt idx="184">
                    <c:v>7.7312973822872998E-11</c:v>
                  </c:pt>
                  <c:pt idx="185">
                    <c:v>8.4690963802023763E-11</c:v>
                  </c:pt>
                  <c:pt idx="186">
                    <c:v>1.0219916140772728E-10</c:v>
                  </c:pt>
                  <c:pt idx="187">
                    <c:v>1.0779200268528775E-10</c:v>
                  </c:pt>
                  <c:pt idx="188">
                    <c:v>9.5429298494689739E-11</c:v>
                  </c:pt>
                  <c:pt idx="189">
                    <c:v>9.6090163315545401E-11</c:v>
                  </c:pt>
                  <c:pt idx="190">
                    <c:v>9.0792467521292324E-11</c:v>
                  </c:pt>
                  <c:pt idx="191">
                    <c:v>8.4184600019237694E-11</c:v>
                  </c:pt>
                  <c:pt idx="192">
                    <c:v>7.3623350417432232E-11</c:v>
                  </c:pt>
                  <c:pt idx="193">
                    <c:v>8.1325945422647996E-11</c:v>
                  </c:pt>
                  <c:pt idx="194">
                    <c:v>9.0363536040955274E-11</c:v>
                  </c:pt>
                  <c:pt idx="195">
                    <c:v>1.0337640651182895E-10</c:v>
                  </c:pt>
                  <c:pt idx="196">
                    <c:v>1.136776270574356E-10</c:v>
                  </c:pt>
                  <c:pt idx="197">
                    <c:v>1.168923784353605E-10</c:v>
                  </c:pt>
                  <c:pt idx="198">
                    <c:v>1.2924018730576082E-10</c:v>
                  </c:pt>
                  <c:pt idx="199">
                    <c:v>1.2122528864450165E-10</c:v>
                  </c:pt>
                  <c:pt idx="200">
                    <c:v>1.1267777490876275E-10</c:v>
                  </c:pt>
                  <c:pt idx="201">
                    <c:v>1.0065254390590016E-10</c:v>
                  </c:pt>
                  <c:pt idx="202">
                    <c:v>9.8923313759958383E-11</c:v>
                  </c:pt>
                  <c:pt idx="203">
                    <c:v>1.1613199182642859E-10</c:v>
                  </c:pt>
                  <c:pt idx="204">
                    <c:v>1.2888225032738071E-10</c:v>
                  </c:pt>
                  <c:pt idx="205">
                    <c:v>1.2188474614983075E-10</c:v>
                  </c:pt>
                  <c:pt idx="206">
                    <c:v>1.4495683861645326E-10</c:v>
                  </c:pt>
                  <c:pt idx="207">
                    <c:v>1.4753503766356148E-10</c:v>
                  </c:pt>
                  <c:pt idx="208">
                    <c:v>1.398105863470217E-10</c:v>
                  </c:pt>
                  <c:pt idx="209">
                    <c:v>1.3066277467587271E-10</c:v>
                  </c:pt>
                  <c:pt idx="210">
                    <c:v>1.3074370311675582E-10</c:v>
                  </c:pt>
                  <c:pt idx="211">
                    <c:v>1.2813916221257506E-10</c:v>
                  </c:pt>
                  <c:pt idx="212">
                    <c:v>1.377976837742168E-10</c:v>
                  </c:pt>
                  <c:pt idx="213">
                    <c:v>1.5707850117941819E-10</c:v>
                  </c:pt>
                  <c:pt idx="214">
                    <c:v>1.5672733783528193E-10</c:v>
                  </c:pt>
                  <c:pt idx="215">
                    <c:v>1.7428149538058229E-10</c:v>
                  </c:pt>
                  <c:pt idx="216">
                    <c:v>1.8704770917249927E-10</c:v>
                  </c:pt>
                  <c:pt idx="217">
                    <c:v>1.4867873675802763E-10</c:v>
                  </c:pt>
                  <c:pt idx="218">
                    <c:v>1.5222492071214428E-10</c:v>
                  </c:pt>
                  <c:pt idx="219">
                    <c:v>1.5397934977377408E-10</c:v>
                  </c:pt>
                  <c:pt idx="220">
                    <c:v>1.6192085744771905E-10</c:v>
                  </c:pt>
                  <c:pt idx="221">
                    <c:v>1.6982286432630555E-10</c:v>
                  </c:pt>
                  <c:pt idx="222">
                    <c:v>1.610175004343846E-10</c:v>
                  </c:pt>
                  <c:pt idx="223">
                    <c:v>1.7375355847594734E-10</c:v>
                  </c:pt>
                  <c:pt idx="224">
                    <c:v>2.0226451662557938E-10</c:v>
                  </c:pt>
                  <c:pt idx="225">
                    <c:v>1.8755989756695803E-10</c:v>
                  </c:pt>
                  <c:pt idx="226">
                    <c:v>1.707990129270578E-10</c:v>
                  </c:pt>
                  <c:pt idx="227">
                    <c:v>2.0082384667514662E-10</c:v>
                  </c:pt>
                  <c:pt idx="228">
                    <c:v>2.0947472364920828E-10</c:v>
                  </c:pt>
                  <c:pt idx="229">
                    <c:v>1.9357647969546899E-10</c:v>
                  </c:pt>
                  <c:pt idx="230">
                    <c:v>2.097286000579004E-10</c:v>
                  </c:pt>
                  <c:pt idx="231">
                    <c:v>2.5478997696908639E-10</c:v>
                  </c:pt>
                  <c:pt idx="232">
                    <c:v>2.2466504594003673E-10</c:v>
                  </c:pt>
                  <c:pt idx="233">
                    <c:v>2.297995299388181E-10</c:v>
                  </c:pt>
                  <c:pt idx="234">
                    <c:v>2.3095979821739314E-10</c:v>
                  </c:pt>
                  <c:pt idx="235">
                    <c:v>2.3459629832898593E-10</c:v>
                  </c:pt>
                  <c:pt idx="236">
                    <c:v>1.3582239369313667E-10</c:v>
                  </c:pt>
                  <c:pt idx="237">
                    <c:v>1.3564305644178981E-10</c:v>
                  </c:pt>
                  <c:pt idx="238">
                    <c:v>1.4511156257711142E-10</c:v>
                  </c:pt>
                  <c:pt idx="239">
                    <c:v>1.2605622242341794E-10</c:v>
                  </c:pt>
                  <c:pt idx="240">
                    <c:v>1.3651725775320657E-10</c:v>
                  </c:pt>
                  <c:pt idx="241">
                    <c:v>1.32426940017932E-10</c:v>
                  </c:pt>
                  <c:pt idx="242">
                    <c:v>1.5261401804877045E-10</c:v>
                  </c:pt>
                  <c:pt idx="243">
                    <c:v>1.5422128249262593E-10</c:v>
                  </c:pt>
                  <c:pt idx="244">
                    <c:v>1.6166859236880557E-10</c:v>
                  </c:pt>
                  <c:pt idx="245">
                    <c:v>1.5640038807935678E-10</c:v>
                  </c:pt>
                  <c:pt idx="246">
                    <c:v>1.5749285770005128E-10</c:v>
                  </c:pt>
                  <c:pt idx="247">
                    <c:v>1.556734947959119E-10</c:v>
                  </c:pt>
                  <c:pt idx="248">
                    <c:v>1.6208372619892369E-10</c:v>
                  </c:pt>
                  <c:pt idx="249">
                    <c:v>1.6867103699377329E-10</c:v>
                  </c:pt>
                  <c:pt idx="250">
                    <c:v>1.6112472070601051E-10</c:v>
                  </c:pt>
                  <c:pt idx="251">
                    <c:v>1.9223442780224713E-10</c:v>
                  </c:pt>
                  <c:pt idx="252">
                    <c:v>1.8252954762644442E-10</c:v>
                  </c:pt>
                  <c:pt idx="253">
                    <c:v>1.8145398106762369E-10</c:v>
                  </c:pt>
                  <c:pt idx="254">
                    <c:v>1.9977150218723691E-10</c:v>
                  </c:pt>
                  <c:pt idx="255">
                    <c:v>2.2209855522231718E-10</c:v>
                  </c:pt>
                  <c:pt idx="256">
                    <c:v>2.0614985680776245E-10</c:v>
                  </c:pt>
                  <c:pt idx="257">
                    <c:v>2.0063349301740802E-10</c:v>
                  </c:pt>
                  <c:pt idx="258">
                    <c:v>2.0063852278826304E-10</c:v>
                  </c:pt>
                  <c:pt idx="259">
                    <c:v>2.3832832074065504E-10</c:v>
                  </c:pt>
                  <c:pt idx="260">
                    <c:v>2.3450311225910771E-10</c:v>
                  </c:pt>
                  <c:pt idx="261">
                    <c:v>2.2949477225211725E-10</c:v>
                  </c:pt>
                  <c:pt idx="262">
                    <c:v>2.2447491626199769E-10</c:v>
                  </c:pt>
                  <c:pt idx="263">
                    <c:v>2.3210518583532585E-10</c:v>
                  </c:pt>
                  <c:pt idx="264">
                    <c:v>2.3091798640935763E-10</c:v>
                  </c:pt>
                  <c:pt idx="265">
                    <c:v>2.8405689428816758E-10</c:v>
                  </c:pt>
                  <c:pt idx="266">
                    <c:v>2.9158482954763762E-10</c:v>
                  </c:pt>
                  <c:pt idx="267">
                    <c:v>3.0639650776822851E-10</c:v>
                  </c:pt>
                  <c:pt idx="268">
                    <c:v>2.7981816925483402E-10</c:v>
                  </c:pt>
                  <c:pt idx="269">
                    <c:v>2.9276512402711164E-10</c:v>
                  </c:pt>
                  <c:pt idx="270">
                    <c:v>2.8072537922799928E-10</c:v>
                  </c:pt>
                  <c:pt idx="271">
                    <c:v>2.913420174529344E-10</c:v>
                  </c:pt>
                  <c:pt idx="272">
                    <c:v>2.9912261613224272E-10</c:v>
                  </c:pt>
                  <c:pt idx="273">
                    <c:v>3.1469111960874678E-10</c:v>
                  </c:pt>
                  <c:pt idx="274">
                    <c:v>3.2426349014225983E-10</c:v>
                  </c:pt>
                  <c:pt idx="275">
                    <c:v>3.7418880937617269E-10</c:v>
                  </c:pt>
                  <c:pt idx="276">
                    <c:v>3.552116233940927E-10</c:v>
                  </c:pt>
                  <c:pt idx="277">
                    <c:v>3.8923822398185455E-10</c:v>
                  </c:pt>
                  <c:pt idx="278">
                    <c:v>3.8585090084963644E-10</c:v>
                  </c:pt>
                  <c:pt idx="279">
                    <c:v>3.4396074049675919E-10</c:v>
                  </c:pt>
                  <c:pt idx="280">
                    <c:v>3.4081287542936063E-10</c:v>
                  </c:pt>
                  <c:pt idx="281">
                    <c:v>3.6931589181936139E-10</c:v>
                  </c:pt>
                  <c:pt idx="282">
                    <c:v>4.0611254905247618E-10</c:v>
                  </c:pt>
                  <c:pt idx="283">
                    <c:v>4.1073335450816579E-10</c:v>
                  </c:pt>
                  <c:pt idx="284">
                    <c:v>3.8667858305325106E-10</c:v>
                  </c:pt>
                  <c:pt idx="285">
                    <c:v>3.9900362122455742E-10</c:v>
                  </c:pt>
                  <c:pt idx="286">
                    <c:v>3.7166398378773544E-10</c:v>
                  </c:pt>
                  <c:pt idx="287">
                    <c:v>3.8742217018758558E-10</c:v>
                  </c:pt>
                  <c:pt idx="288">
                    <c:v>4.5426754083054928E-10</c:v>
                  </c:pt>
                  <c:pt idx="289">
                    <c:v>4.0471634857478031E-10</c:v>
                  </c:pt>
                  <c:pt idx="290">
                    <c:v>4.0025832503985067E-10</c:v>
                  </c:pt>
                  <c:pt idx="291">
                    <c:v>4.6533191861777655E-10</c:v>
                  </c:pt>
                  <c:pt idx="292">
                    <c:v>4.3816498451694973E-10</c:v>
                  </c:pt>
                  <c:pt idx="293">
                    <c:v>4.8145730943820242E-10</c:v>
                  </c:pt>
                  <c:pt idx="294">
                    <c:v>4.7301962617056797E-10</c:v>
                  </c:pt>
                  <c:pt idx="295">
                    <c:v>4.9600555338083508E-10</c:v>
                  </c:pt>
                  <c:pt idx="296">
                    <c:v>4.6761273258879001E-10</c:v>
                  </c:pt>
                  <c:pt idx="297">
                    <c:v>5.6927762252806193E-10</c:v>
                  </c:pt>
                  <c:pt idx="298">
                    <c:v>5.1236663714851402E-10</c:v>
                  </c:pt>
                  <c:pt idx="299">
                    <c:v>5.3315479037241956E-10</c:v>
                  </c:pt>
                  <c:pt idx="300">
                    <c:v>5.8382010994504836E-10</c:v>
                  </c:pt>
                  <c:pt idx="301">
                    <c:v>5.3809684726396101E-10</c:v>
                  </c:pt>
                  <c:pt idx="302">
                    <c:v>5.8622990285451253E-10</c:v>
                  </c:pt>
                  <c:pt idx="303">
                    <c:v>5.7047861914304981E-10</c:v>
                  </c:pt>
                  <c:pt idx="304">
                    <c:v>5.380476275430548E-10</c:v>
                  </c:pt>
                  <c:pt idx="305">
                    <c:v>6.1127807581268364E-10</c:v>
                  </c:pt>
                  <c:pt idx="306">
                    <c:v>6.8281108114633584E-10</c:v>
                  </c:pt>
                  <c:pt idx="307">
                    <c:v>6.5672740323161781E-10</c:v>
                  </c:pt>
                  <c:pt idx="308">
                    <c:v>6.899860308122618E-10</c:v>
                  </c:pt>
                  <c:pt idx="309">
                    <c:v>6.612666367257089E-10</c:v>
                  </c:pt>
                  <c:pt idx="310">
                    <c:v>7.3361316753111306E-10</c:v>
                  </c:pt>
                  <c:pt idx="311">
                    <c:v>6.5792412333937031E-10</c:v>
                  </c:pt>
                  <c:pt idx="312">
                    <c:v>7.8783058796231759E-10</c:v>
                  </c:pt>
                  <c:pt idx="313">
                    <c:v>7.9579833382702812E-10</c:v>
                  </c:pt>
                  <c:pt idx="314">
                    <c:v>8.2343023989437891E-10</c:v>
                  </c:pt>
                  <c:pt idx="315">
                    <c:v>7.5609497715990895E-10</c:v>
                  </c:pt>
                  <c:pt idx="316">
                    <c:v>7.8993944811245914E-10</c:v>
                  </c:pt>
                  <c:pt idx="317">
                    <c:v>9.4094345590682471E-10</c:v>
                  </c:pt>
                  <c:pt idx="318">
                    <c:v>9.8971451324730627E-10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4.6577045529389905E-9</c:v>
                </c:pt>
                <c:pt idx="1">
                  <c:v>5.8777405134768176E-9</c:v>
                </c:pt>
                <c:pt idx="2">
                  <c:v>5.6472200439983909E-9</c:v>
                </c:pt>
                <c:pt idx="3">
                  <c:v>5.4500714469638208E-9</c:v>
                </c:pt>
                <c:pt idx="4">
                  <c:v>5.4545788011472404E-9</c:v>
                </c:pt>
                <c:pt idx="5">
                  <c:v>5.9904880542067381E-9</c:v>
                </c:pt>
                <c:pt idx="6">
                  <c:v>6.2348597563398175E-9</c:v>
                </c:pt>
                <c:pt idx="7">
                  <c:v>6.3656173983172228E-9</c:v>
                </c:pt>
                <c:pt idx="8">
                  <c:v>6.7049515186303356E-9</c:v>
                </c:pt>
                <c:pt idx="9">
                  <c:v>7.902217093802695E-9</c:v>
                </c:pt>
                <c:pt idx="10">
                  <c:v>7.8516496565663166E-9</c:v>
                </c:pt>
                <c:pt idx="11">
                  <c:v>7.2747556274073388E-9</c:v>
                </c:pt>
                <c:pt idx="12">
                  <c:v>8.0406908314057133E-9</c:v>
                </c:pt>
                <c:pt idx="13">
                  <c:v>8.5203096998661281E-9</c:v>
                </c:pt>
                <c:pt idx="14">
                  <c:v>8.1901134774062306E-9</c:v>
                </c:pt>
                <c:pt idx="15">
                  <c:v>7.8481668883286408E-9</c:v>
                </c:pt>
                <c:pt idx="16">
                  <c:v>8.5254133884364697E-9</c:v>
                </c:pt>
                <c:pt idx="17">
                  <c:v>8.2140202182550355E-9</c:v>
                </c:pt>
                <c:pt idx="18">
                  <c:v>7.3378271726007138E-9</c:v>
                </c:pt>
                <c:pt idx="19">
                  <c:v>6.670010018188706E-9</c:v>
                </c:pt>
                <c:pt idx="20">
                  <c:v>5.361887621551712E-9</c:v>
                </c:pt>
                <c:pt idx="21">
                  <c:v>4.3874014154333551E-9</c:v>
                </c:pt>
                <c:pt idx="22">
                  <c:v>3.8992572147554545E-9</c:v>
                </c:pt>
                <c:pt idx="23">
                  <c:v>3.4348087356159211E-9</c:v>
                </c:pt>
                <c:pt idx="24">
                  <c:v>3.1257565959983003E-9</c:v>
                </c:pt>
                <c:pt idx="25">
                  <c:v>3.4788972517637563E-9</c:v>
                </c:pt>
                <c:pt idx="26">
                  <c:v>3.2645464194348595E-9</c:v>
                </c:pt>
                <c:pt idx="27">
                  <c:v>3.1971472715751784E-9</c:v>
                </c:pt>
                <c:pt idx="28">
                  <c:v>2.8194784248411377E-9</c:v>
                </c:pt>
                <c:pt idx="29">
                  <c:v>2.6972730986557516E-9</c:v>
                </c:pt>
                <c:pt idx="30">
                  <c:v>3.2859723668084791E-9</c:v>
                </c:pt>
                <c:pt idx="31">
                  <c:v>2.5021570387191993E-9</c:v>
                </c:pt>
                <c:pt idx="32">
                  <c:v>2.9118510398100811E-9</c:v>
                </c:pt>
                <c:pt idx="33">
                  <c:v>2.4479249920793824E-9</c:v>
                </c:pt>
                <c:pt idx="34">
                  <c:v>2.3357861344794161E-9</c:v>
                </c:pt>
                <c:pt idx="35">
                  <c:v>2.2844217620846195E-9</c:v>
                </c:pt>
                <c:pt idx="36">
                  <c:v>1.9295009063244367E-9</c:v>
                </c:pt>
                <c:pt idx="37">
                  <c:v>1.5958860098317986E-9</c:v>
                </c:pt>
                <c:pt idx="38">
                  <c:v>1.4971935641178372E-9</c:v>
                </c:pt>
                <c:pt idx="39">
                  <c:v>1.0936624621706937E-9</c:v>
                </c:pt>
                <c:pt idx="40">
                  <c:v>1.1392902366758001E-9</c:v>
                </c:pt>
                <c:pt idx="41">
                  <c:v>9.6421869712783308E-10</c:v>
                </c:pt>
                <c:pt idx="42">
                  <c:v>8.9171799969109176E-10</c:v>
                </c:pt>
                <c:pt idx="43">
                  <c:v>7.4360693345309468E-10</c:v>
                </c:pt>
                <c:pt idx="44">
                  <c:v>6.1736887606400559E-10</c:v>
                </c:pt>
                <c:pt idx="45">
                  <c:v>5.0586883252409438E-10</c:v>
                </c:pt>
                <c:pt idx="46">
                  <c:v>5.3829058830227978E-10</c:v>
                </c:pt>
                <c:pt idx="47">
                  <c:v>5.5884309861815783E-10</c:v>
                </c:pt>
                <c:pt idx="48">
                  <c:v>6.9763126254568062E-10</c:v>
                </c:pt>
                <c:pt idx="49">
                  <c:v>6.8411158023357558E-10</c:v>
                </c:pt>
                <c:pt idx="50">
                  <c:v>8.3272106656818253E-10</c:v>
                </c:pt>
                <c:pt idx="51">
                  <c:v>9.0791961744097995E-10</c:v>
                </c:pt>
                <c:pt idx="52">
                  <c:v>1.0316457358986351E-9</c:v>
                </c:pt>
                <c:pt idx="53">
                  <c:v>1.2742063916127972E-9</c:v>
                </c:pt>
                <c:pt idx="54">
                  <c:v>1.2771684695581913E-9</c:v>
                </c:pt>
                <c:pt idx="55">
                  <c:v>1.3502622906747766E-9</c:v>
                </c:pt>
                <c:pt idx="56">
                  <c:v>1.690908049427294E-9</c:v>
                </c:pt>
                <c:pt idx="57">
                  <c:v>1.3115066923236267E-9</c:v>
                </c:pt>
                <c:pt idx="58">
                  <c:v>1.6171771380972578E-9</c:v>
                </c:pt>
                <c:pt idx="59">
                  <c:v>1.5553469598824551E-9</c:v>
                </c:pt>
                <c:pt idx="60">
                  <c:v>1.3211063738736179E-9</c:v>
                </c:pt>
                <c:pt idx="61">
                  <c:v>1.7049745873495602E-9</c:v>
                </c:pt>
                <c:pt idx="62">
                  <c:v>1.8110702622493104E-9</c:v>
                </c:pt>
                <c:pt idx="63">
                  <c:v>1.5816044200129483E-9</c:v>
                </c:pt>
                <c:pt idx="64">
                  <c:v>1.3339639381112507E-9</c:v>
                </c:pt>
                <c:pt idx="65">
                  <c:v>1.3269150350709997E-9</c:v>
                </c:pt>
                <c:pt idx="66">
                  <c:v>1.3526771424413808E-9</c:v>
                </c:pt>
                <c:pt idx="67">
                  <c:v>1.2388803170211743E-9</c:v>
                </c:pt>
                <c:pt idx="68">
                  <c:v>1.1027314911531628E-9</c:v>
                </c:pt>
                <c:pt idx="69">
                  <c:v>8.8528147182120262E-10</c:v>
                </c:pt>
                <c:pt idx="70">
                  <c:v>8.844014379872127E-10</c:v>
                </c:pt>
                <c:pt idx="71">
                  <c:v>5.9892815834172124E-10</c:v>
                </c:pt>
                <c:pt idx="72">
                  <c:v>5.3509662873831519E-10</c:v>
                </c:pt>
                <c:pt idx="73">
                  <c:v>5.3459569515436725E-10</c:v>
                </c:pt>
                <c:pt idx="74">
                  <c:v>4.9786972313228498E-10</c:v>
                </c:pt>
                <c:pt idx="75">
                  <c:v>6.0429600665634445E-10</c:v>
                </c:pt>
                <c:pt idx="76">
                  <c:v>5.4971852981638545E-10</c:v>
                </c:pt>
                <c:pt idx="77">
                  <c:v>4.1772241741501432E-10</c:v>
                </c:pt>
                <c:pt idx="78">
                  <c:v>6.8705559729682757E-10</c:v>
                </c:pt>
                <c:pt idx="79">
                  <c:v>4.8832990952489746E-10</c:v>
                </c:pt>
                <c:pt idx="80">
                  <c:v>5.6948809186609779E-10</c:v>
                </c:pt>
                <c:pt idx="81">
                  <c:v>8.0035085657832711E-10</c:v>
                </c:pt>
                <c:pt idx="82">
                  <c:v>8.0054002003989192E-10</c:v>
                </c:pt>
                <c:pt idx="83">
                  <c:v>1.153492277212589E-9</c:v>
                </c:pt>
                <c:pt idx="84">
                  <c:v>1.0411332659709186E-9</c:v>
                </c:pt>
                <c:pt idx="85">
                  <c:v>1.2096143425481355E-9</c:v>
                </c:pt>
                <c:pt idx="86">
                  <c:v>1.138253436260149E-9</c:v>
                </c:pt>
                <c:pt idx="87">
                  <c:v>1.2659206643149146E-9</c:v>
                </c:pt>
                <c:pt idx="88">
                  <c:v>1.4054730636383567E-9</c:v>
                </c:pt>
                <c:pt idx="89">
                  <c:v>1.4360857495335531E-9</c:v>
                </c:pt>
                <c:pt idx="90">
                  <c:v>1.3973778284762651E-9</c:v>
                </c:pt>
                <c:pt idx="91">
                  <c:v>1.3972629462353266E-9</c:v>
                </c:pt>
                <c:pt idx="92">
                  <c:v>1.2802621565677414E-9</c:v>
                </c:pt>
                <c:pt idx="93">
                  <c:v>1.0435910544082885E-9</c:v>
                </c:pt>
                <c:pt idx="94">
                  <c:v>1.1807128073578158E-9</c:v>
                </c:pt>
                <c:pt idx="95">
                  <c:v>1.0853348843264471E-9</c:v>
                </c:pt>
                <c:pt idx="96">
                  <c:v>8.6837420047005641E-10</c:v>
                </c:pt>
                <c:pt idx="97">
                  <c:v>7.8534886837176064E-10</c:v>
                </c:pt>
                <c:pt idx="98">
                  <c:v>5.6004474303823427E-10</c:v>
                </c:pt>
                <c:pt idx="99">
                  <c:v>5.6262169238777548E-10</c:v>
                </c:pt>
                <c:pt idx="100">
                  <c:v>4.8200339479780564E-10</c:v>
                </c:pt>
                <c:pt idx="101">
                  <c:v>4.63101662360154E-10</c:v>
                </c:pt>
                <c:pt idx="102">
                  <c:v>4.3723890917517725E-10</c:v>
                </c:pt>
                <c:pt idx="103">
                  <c:v>5.186687273942523E-10</c:v>
                </c:pt>
                <c:pt idx="104">
                  <c:v>5.3307733318860071E-10</c:v>
                </c:pt>
                <c:pt idx="105">
                  <c:v>7.0508959264954276E-10</c:v>
                </c:pt>
                <c:pt idx="106">
                  <c:v>8.041507351595854E-10</c:v>
                </c:pt>
                <c:pt idx="107">
                  <c:v>9.3212429034553688E-10</c:v>
                </c:pt>
                <c:pt idx="108">
                  <c:v>9.959230552687341E-10</c:v>
                </c:pt>
                <c:pt idx="109">
                  <c:v>1.2633348682127766E-9</c:v>
                </c:pt>
                <c:pt idx="110">
                  <c:v>1.2639403057990971E-9</c:v>
                </c:pt>
                <c:pt idx="111">
                  <c:v>1.2599867660585214E-9</c:v>
                </c:pt>
                <c:pt idx="112">
                  <c:v>1.3007470158234791E-9</c:v>
                </c:pt>
                <c:pt idx="113">
                  <c:v>1.2816362923618059E-9</c:v>
                </c:pt>
                <c:pt idx="114">
                  <c:v>1.2253821733421467E-9</c:v>
                </c:pt>
                <c:pt idx="115">
                  <c:v>1.2293263401634349E-9</c:v>
                </c:pt>
                <c:pt idx="116">
                  <c:v>9.8887420466000843E-10</c:v>
                </c:pt>
                <c:pt idx="117">
                  <c:v>8.4477822577646731E-10</c:v>
                </c:pt>
                <c:pt idx="118">
                  <c:v>8.3255129233223371E-10</c:v>
                </c:pt>
                <c:pt idx="119">
                  <c:v>6.8860484043905768E-10</c:v>
                </c:pt>
                <c:pt idx="120">
                  <c:v>6.1229555178335826E-10</c:v>
                </c:pt>
                <c:pt idx="121">
                  <c:v>5.7214517483339915E-10</c:v>
                </c:pt>
                <c:pt idx="122">
                  <c:v>4.3832945635894E-10</c:v>
                </c:pt>
                <c:pt idx="123">
                  <c:v>4.8757700187427687E-10</c:v>
                </c:pt>
                <c:pt idx="124">
                  <c:v>4.4460075054447057E-10</c:v>
                </c:pt>
                <c:pt idx="125">
                  <c:v>5.9005276158877204E-10</c:v>
                </c:pt>
                <c:pt idx="126">
                  <c:v>6.9495084498164776E-10</c:v>
                </c:pt>
                <c:pt idx="127">
                  <c:v>7.9007094650601684E-10</c:v>
                </c:pt>
                <c:pt idx="128">
                  <c:v>1.0048887520429269E-9</c:v>
                </c:pt>
                <c:pt idx="129">
                  <c:v>1.1959870774999291E-9</c:v>
                </c:pt>
                <c:pt idx="130">
                  <c:v>1.3853494517140314E-9</c:v>
                </c:pt>
                <c:pt idx="131">
                  <c:v>1.4429135066692607E-9</c:v>
                </c:pt>
                <c:pt idx="132">
                  <c:v>1.3226602579275306E-9</c:v>
                </c:pt>
                <c:pt idx="133">
                  <c:v>1.1934974623930977E-9</c:v>
                </c:pt>
                <c:pt idx="134">
                  <c:v>1.1771407567291771E-9</c:v>
                </c:pt>
                <c:pt idx="135">
                  <c:v>1.0994077429716537E-9</c:v>
                </c:pt>
                <c:pt idx="136">
                  <c:v>8.162070512509163E-10</c:v>
                </c:pt>
                <c:pt idx="137">
                  <c:v>8.4577747558848707E-10</c:v>
                </c:pt>
                <c:pt idx="138">
                  <c:v>7.3319711777727367E-10</c:v>
                </c:pt>
                <c:pt idx="139">
                  <c:v>5.5724766240774609E-10</c:v>
                </c:pt>
                <c:pt idx="140">
                  <c:v>5.8881989021146507E-10</c:v>
                </c:pt>
                <c:pt idx="141">
                  <c:v>4.5000175068477928E-10</c:v>
                </c:pt>
                <c:pt idx="142">
                  <c:v>5.5873064523466739E-10</c:v>
                </c:pt>
                <c:pt idx="143">
                  <c:v>5.8562696217198043E-10</c:v>
                </c:pt>
                <c:pt idx="144">
                  <c:v>9.6454122252852768E-10</c:v>
                </c:pt>
                <c:pt idx="145">
                  <c:v>1.067060826714366E-9</c:v>
                </c:pt>
                <c:pt idx="146">
                  <c:v>9.92403635602825E-10</c:v>
                </c:pt>
                <c:pt idx="147">
                  <c:v>1.3515517742240455E-9</c:v>
                </c:pt>
                <c:pt idx="148">
                  <c:v>1.3383842453289562E-9</c:v>
                </c:pt>
                <c:pt idx="149">
                  <c:v>1.2343018421528241E-9</c:v>
                </c:pt>
                <c:pt idx="150">
                  <c:v>1.1459503841464519E-9</c:v>
                </c:pt>
                <c:pt idx="151">
                  <c:v>1.0038389976595227E-9</c:v>
                </c:pt>
                <c:pt idx="152">
                  <c:v>1.0533833904789993E-9</c:v>
                </c:pt>
                <c:pt idx="153">
                  <c:v>1.017668259282732E-9</c:v>
                </c:pt>
                <c:pt idx="154">
                  <c:v>6.4133628200694164E-10</c:v>
                </c:pt>
                <c:pt idx="155">
                  <c:v>5.3888161047751207E-10</c:v>
                </c:pt>
                <c:pt idx="156">
                  <c:v>6.2840408907590375E-10</c:v>
                </c:pt>
                <c:pt idx="157">
                  <c:v>4.4566159242167504E-10</c:v>
                </c:pt>
                <c:pt idx="158">
                  <c:v>4.7002337523992553E-10</c:v>
                </c:pt>
                <c:pt idx="159">
                  <c:v>7.604012525124858E-10</c:v>
                </c:pt>
                <c:pt idx="160">
                  <c:v>8.5749390272948861E-10</c:v>
                </c:pt>
                <c:pt idx="161">
                  <c:v>1.0011977065022562E-9</c:v>
                </c:pt>
                <c:pt idx="162">
                  <c:v>1.1168902330181437E-9</c:v>
                </c:pt>
                <c:pt idx="163">
                  <c:v>1.1618416893270473E-9</c:v>
                </c:pt>
                <c:pt idx="164">
                  <c:v>1.1591853233853291E-9</c:v>
                </c:pt>
                <c:pt idx="165">
                  <c:v>8.4700094834746112E-10</c:v>
                </c:pt>
                <c:pt idx="166">
                  <c:v>7.1980183174899112E-10</c:v>
                </c:pt>
                <c:pt idx="167">
                  <c:v>7.490324219213996E-10</c:v>
                </c:pt>
                <c:pt idx="168">
                  <c:v>7.3160346663775068E-10</c:v>
                </c:pt>
                <c:pt idx="169">
                  <c:v>5.1273632383307304E-10</c:v>
                </c:pt>
                <c:pt idx="170">
                  <c:v>5.5245813561462088E-10</c:v>
                </c:pt>
                <c:pt idx="171">
                  <c:v>5.9196576146972139E-10</c:v>
                </c:pt>
                <c:pt idx="172">
                  <c:v>8.7585631869620211E-10</c:v>
                </c:pt>
                <c:pt idx="173">
                  <c:v>9.7404596888180587E-10</c:v>
                </c:pt>
                <c:pt idx="174">
                  <c:v>1.2225726964392053E-9</c:v>
                </c:pt>
                <c:pt idx="175">
                  <c:v>1.2614457067665315E-9</c:v>
                </c:pt>
                <c:pt idx="176">
                  <c:v>1.285837624648099E-9</c:v>
                </c:pt>
                <c:pt idx="177">
                  <c:v>1.3499693213786784E-9</c:v>
                </c:pt>
                <c:pt idx="178">
                  <c:v>1.0783573367901047E-9</c:v>
                </c:pt>
                <c:pt idx="179">
                  <c:v>9.5888700484261563E-10</c:v>
                </c:pt>
                <c:pt idx="180">
                  <c:v>6.5344802615895836E-10</c:v>
                </c:pt>
                <c:pt idx="181">
                  <c:v>6.2510092131398065E-10</c:v>
                </c:pt>
                <c:pt idx="182">
                  <c:v>6.480149351765379E-10</c:v>
                </c:pt>
                <c:pt idx="183">
                  <c:v>8.6783709271081566E-10</c:v>
                </c:pt>
                <c:pt idx="184">
                  <c:v>9.1614398377938051E-10</c:v>
                </c:pt>
                <c:pt idx="185">
                  <c:v>1.1229824900186586E-9</c:v>
                </c:pt>
                <c:pt idx="186">
                  <c:v>1.4722713492414544E-9</c:v>
                </c:pt>
                <c:pt idx="187">
                  <c:v>1.5560331887282965E-9</c:v>
                </c:pt>
                <c:pt idx="188">
                  <c:v>1.2738126203274381E-9</c:v>
                </c:pt>
                <c:pt idx="189">
                  <c:v>1.2302703531584823E-9</c:v>
                </c:pt>
                <c:pt idx="190">
                  <c:v>1.0442957322131641E-9</c:v>
                </c:pt>
                <c:pt idx="191">
                  <c:v>7.8419801941285667E-10</c:v>
                </c:pt>
                <c:pt idx="192">
                  <c:v>6.7796271011219152E-10</c:v>
                </c:pt>
                <c:pt idx="193">
                  <c:v>7.065505668293446E-10</c:v>
                </c:pt>
                <c:pt idx="194">
                  <c:v>8.7103628866155171E-10</c:v>
                </c:pt>
                <c:pt idx="195">
                  <c:v>1.1460807474878848E-9</c:v>
                </c:pt>
                <c:pt idx="196">
                  <c:v>1.3327189902711748E-9</c:v>
                </c:pt>
                <c:pt idx="197">
                  <c:v>1.3022953621636528E-9</c:v>
                </c:pt>
                <c:pt idx="198">
                  <c:v>1.5838285535610589E-9</c:v>
                </c:pt>
                <c:pt idx="199">
                  <c:v>1.2456198601547408E-9</c:v>
                </c:pt>
                <c:pt idx="200">
                  <c:v>9.9979426999342176E-10</c:v>
                </c:pt>
                <c:pt idx="201">
                  <c:v>8.6204803269546093E-10</c:v>
                </c:pt>
                <c:pt idx="202">
                  <c:v>7.6499363599272512E-10</c:v>
                </c:pt>
                <c:pt idx="203">
                  <c:v>1.0015724231665523E-9</c:v>
                </c:pt>
                <c:pt idx="204">
                  <c:v>1.0502037090741751E-9</c:v>
                </c:pt>
                <c:pt idx="205">
                  <c:v>9.374828587686189E-10</c:v>
                </c:pt>
                <c:pt idx="206">
                  <c:v>1.3257658248383579E-9</c:v>
                </c:pt>
                <c:pt idx="207">
                  <c:v>1.3834888744737626E-9</c:v>
                </c:pt>
                <c:pt idx="208">
                  <c:v>1.1332766237076302E-9</c:v>
                </c:pt>
                <c:pt idx="209">
                  <c:v>9.6273388338241159E-10</c:v>
                </c:pt>
                <c:pt idx="210">
                  <c:v>9.580838920431289E-10</c:v>
                </c:pt>
                <c:pt idx="211">
                  <c:v>8.3333272488477508E-10</c:v>
                </c:pt>
                <c:pt idx="212">
                  <c:v>8.8678328349109524E-10</c:v>
                </c:pt>
                <c:pt idx="213">
                  <c:v>1.3447118228690415E-9</c:v>
                </c:pt>
                <c:pt idx="214">
                  <c:v>1.3441698517118171E-9</c:v>
                </c:pt>
                <c:pt idx="215">
                  <c:v>1.4218567003406095E-9</c:v>
                </c:pt>
                <c:pt idx="216">
                  <c:v>1.5494858920551874E-9</c:v>
                </c:pt>
                <c:pt idx="217">
                  <c:v>1.0679767742545493E-9</c:v>
                </c:pt>
                <c:pt idx="218">
                  <c:v>8.055702663333198E-10</c:v>
                </c:pt>
                <c:pt idx="219">
                  <c:v>8.854425269567867E-10</c:v>
                </c:pt>
                <c:pt idx="220">
                  <c:v>1.024225793720093E-9</c:v>
                </c:pt>
                <c:pt idx="221">
                  <c:v>1.1741764508551586E-9</c:v>
                </c:pt>
                <c:pt idx="222">
                  <c:v>9.502859226330148E-10</c:v>
                </c:pt>
                <c:pt idx="223">
                  <c:v>1.1049930273717399E-9</c:v>
                </c:pt>
                <c:pt idx="224">
                  <c:v>1.490161475556214E-9</c:v>
                </c:pt>
                <c:pt idx="225">
                  <c:v>1.153551215031829E-9</c:v>
                </c:pt>
                <c:pt idx="226">
                  <c:v>9.8208247217748806E-10</c:v>
                </c:pt>
                <c:pt idx="227">
                  <c:v>1.4758675565048272E-9</c:v>
                </c:pt>
                <c:pt idx="228">
                  <c:v>1.5171799492356282E-9</c:v>
                </c:pt>
                <c:pt idx="229">
                  <c:v>9.6630771111602017E-10</c:v>
                </c:pt>
                <c:pt idx="230">
                  <c:v>1.3252571243547649E-9</c:v>
                </c:pt>
                <c:pt idx="231">
                  <c:v>1.7030195891084834E-9</c:v>
                </c:pt>
                <c:pt idx="232">
                  <c:v>1.1789375167278106E-9</c:v>
                </c:pt>
                <c:pt idx="233">
                  <c:v>1.2598178153497518E-9</c:v>
                </c:pt>
                <c:pt idx="234">
                  <c:v>1.1875469297165515E-9</c:v>
                </c:pt>
                <c:pt idx="235">
                  <c:v>1.2170575886305836E-9</c:v>
                </c:pt>
                <c:pt idx="236">
                  <c:v>1.2861974515646274E-9</c:v>
                </c:pt>
                <c:pt idx="237">
                  <c:v>1.144738130412971E-9</c:v>
                </c:pt>
                <c:pt idx="238">
                  <c:v>1.4674182857016533E-9</c:v>
                </c:pt>
                <c:pt idx="239">
                  <c:v>1.1786068664640736E-9</c:v>
                </c:pt>
                <c:pt idx="240">
                  <c:v>1.2355828681803993E-9</c:v>
                </c:pt>
                <c:pt idx="241">
                  <c:v>1.2383073261223842E-9</c:v>
                </c:pt>
                <c:pt idx="242">
                  <c:v>1.4604093484288975E-9</c:v>
                </c:pt>
                <c:pt idx="243">
                  <c:v>1.5117663913891211E-9</c:v>
                </c:pt>
                <c:pt idx="244">
                  <c:v>1.6198840545483823E-9</c:v>
                </c:pt>
                <c:pt idx="245">
                  <c:v>1.6390049359177898E-9</c:v>
                </c:pt>
                <c:pt idx="246">
                  <c:v>1.4335374240973197E-9</c:v>
                </c:pt>
                <c:pt idx="247">
                  <c:v>1.3477883870446535E-9</c:v>
                </c:pt>
                <c:pt idx="248">
                  <c:v>1.5480495126911409E-9</c:v>
                </c:pt>
                <c:pt idx="249">
                  <c:v>1.6677266986184783E-9</c:v>
                </c:pt>
                <c:pt idx="250">
                  <c:v>1.2171016618523438E-9</c:v>
                </c:pt>
                <c:pt idx="251">
                  <c:v>1.6736544028367616E-9</c:v>
                </c:pt>
                <c:pt idx="252">
                  <c:v>1.3849457191070904E-9</c:v>
                </c:pt>
                <c:pt idx="253">
                  <c:v>1.4559520051922761E-9</c:v>
                </c:pt>
                <c:pt idx="254">
                  <c:v>1.6869870332304465E-9</c:v>
                </c:pt>
                <c:pt idx="255">
                  <c:v>1.8801551697335362E-9</c:v>
                </c:pt>
                <c:pt idx="256">
                  <c:v>1.5323860827176612E-9</c:v>
                </c:pt>
                <c:pt idx="257">
                  <c:v>1.4549645656126365E-9</c:v>
                </c:pt>
                <c:pt idx="258">
                  <c:v>1.4125167103951397E-9</c:v>
                </c:pt>
                <c:pt idx="259">
                  <c:v>1.8361847726537184E-9</c:v>
                </c:pt>
                <c:pt idx="260">
                  <c:v>1.8037453770805266E-9</c:v>
                </c:pt>
                <c:pt idx="261">
                  <c:v>1.7755079800196217E-9</c:v>
                </c:pt>
                <c:pt idx="262">
                  <c:v>1.3674023823945469E-9</c:v>
                </c:pt>
                <c:pt idx="263">
                  <c:v>1.4588316901748096E-9</c:v>
                </c:pt>
                <c:pt idx="264">
                  <c:v>1.4994248830769979E-9</c:v>
                </c:pt>
                <c:pt idx="265">
                  <c:v>2.2107092531408994E-9</c:v>
                </c:pt>
                <c:pt idx="266">
                  <c:v>2.3339656373302005E-9</c:v>
                </c:pt>
                <c:pt idx="267">
                  <c:v>2.1989383682356608E-9</c:v>
                </c:pt>
                <c:pt idx="268">
                  <c:v>1.6509595244536068E-9</c:v>
                </c:pt>
                <c:pt idx="269">
                  <c:v>2.1219439387740339E-9</c:v>
                </c:pt>
                <c:pt idx="270">
                  <c:v>1.8295596728883344E-9</c:v>
                </c:pt>
                <c:pt idx="271">
                  <c:v>1.8483357617589119E-9</c:v>
                </c:pt>
                <c:pt idx="272">
                  <c:v>1.7010236700323843E-9</c:v>
                </c:pt>
                <c:pt idx="273">
                  <c:v>1.5752224985528802E-9</c:v>
                </c:pt>
                <c:pt idx="274">
                  <c:v>1.8946247682985765E-9</c:v>
                </c:pt>
                <c:pt idx="275">
                  <c:v>2.5834244234626149E-9</c:v>
                </c:pt>
                <c:pt idx="276">
                  <c:v>1.9582364855478885E-9</c:v>
                </c:pt>
                <c:pt idx="277">
                  <c:v>2.4317925075692162E-9</c:v>
                </c:pt>
                <c:pt idx="278">
                  <c:v>2.1683493855650565E-9</c:v>
                </c:pt>
                <c:pt idx="279">
                  <c:v>1.5352681220884984E-9</c:v>
                </c:pt>
                <c:pt idx="280">
                  <c:v>1.5693529493405115E-9</c:v>
                </c:pt>
                <c:pt idx="281">
                  <c:v>1.5369172634454661E-9</c:v>
                </c:pt>
                <c:pt idx="282">
                  <c:v>2.1879951579768339E-9</c:v>
                </c:pt>
                <c:pt idx="283">
                  <c:v>2.1765799431647025E-9</c:v>
                </c:pt>
                <c:pt idx="284">
                  <c:v>1.3999137499498918E-9</c:v>
                </c:pt>
                <c:pt idx="285">
                  <c:v>2.0439525930486336E-9</c:v>
                </c:pt>
                <c:pt idx="286">
                  <c:v>1.5583934583034291E-9</c:v>
                </c:pt>
                <c:pt idx="287">
                  <c:v>1.4798706599831202E-9</c:v>
                </c:pt>
                <c:pt idx="288">
                  <c:v>2.0953986660380763E-9</c:v>
                </c:pt>
                <c:pt idx="289">
                  <c:v>1.4943080270440338E-9</c:v>
                </c:pt>
                <c:pt idx="290">
                  <c:v>1.3516212216747769E-9</c:v>
                </c:pt>
                <c:pt idx="291">
                  <c:v>2.0707707205530569E-9</c:v>
                </c:pt>
                <c:pt idx="292">
                  <c:v>1.5840964376883755E-9</c:v>
                </c:pt>
                <c:pt idx="293">
                  <c:v>1.8996144838334804E-9</c:v>
                </c:pt>
                <c:pt idx="294">
                  <c:v>1.8274776584104106E-9</c:v>
                </c:pt>
                <c:pt idx="295">
                  <c:v>2.022149948536476E-9</c:v>
                </c:pt>
                <c:pt idx="296">
                  <c:v>1.6164230522909845E-9</c:v>
                </c:pt>
                <c:pt idx="297">
                  <c:v>2.3665332485753984E-9</c:v>
                </c:pt>
                <c:pt idx="298">
                  <c:v>1.6795026690313162E-9</c:v>
                </c:pt>
                <c:pt idx="299">
                  <c:v>1.648255671088264E-9</c:v>
                </c:pt>
                <c:pt idx="300">
                  <c:v>1.975122490309647E-9</c:v>
                </c:pt>
                <c:pt idx="301">
                  <c:v>9.8850933307061587E-10</c:v>
                </c:pt>
                <c:pt idx="302">
                  <c:v>1.9859670990473644E-9</c:v>
                </c:pt>
                <c:pt idx="303">
                  <c:v>1.2858832396379427E-9</c:v>
                </c:pt>
                <c:pt idx="304">
                  <c:v>7.3226854605408207E-10</c:v>
                </c:pt>
                <c:pt idx="305">
                  <c:v>1.5364646655654057E-9</c:v>
                </c:pt>
                <c:pt idx="306">
                  <c:v>1.7086017599958253E-9</c:v>
                </c:pt>
                <c:pt idx="307">
                  <c:v>1.3087415939538504E-9</c:v>
                </c:pt>
                <c:pt idx="308">
                  <c:v>2.0696888016909877E-9</c:v>
                </c:pt>
                <c:pt idx="309">
                  <c:v>1.135417820910213E-9</c:v>
                </c:pt>
                <c:pt idx="310">
                  <c:v>1.3862753816598632E-9</c:v>
                </c:pt>
                <c:pt idx="311">
                  <c:v>7.65128124656136E-10</c:v>
                </c:pt>
                <c:pt idx="312">
                  <c:v>1.8471347995644452E-9</c:v>
                </c:pt>
                <c:pt idx="313">
                  <c:v>2.1742233076389974E-9</c:v>
                </c:pt>
                <c:pt idx="314">
                  <c:v>2.0979942410435003E-9</c:v>
                </c:pt>
                <c:pt idx="315">
                  <c:v>9.1573636385747107E-10</c:v>
                </c:pt>
                <c:pt idx="316">
                  <c:v>1.0364904090223972E-9</c:v>
                </c:pt>
                <c:pt idx="317">
                  <c:v>2.0628809136922505E-9</c:v>
                </c:pt>
                <c:pt idx="318">
                  <c:v>1.7666306660562657E-9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8.07E-02</c:v>
                </c:pt>
                <c:pt idx="229">
                  <c:v>8.15E-02</c:v>
                </c:pt>
                <c:pt idx="230">
                  <c:v>8.23E-02</c:v>
                </c:pt>
                <c:pt idx="231">
                  <c:v>8.31E-02</c:v>
                </c:pt>
                <c:pt idx="232">
                  <c:v>8.40E-02</c:v>
                </c:pt>
                <c:pt idx="233">
                  <c:v>8.48E-02</c:v>
                </c:pt>
                <c:pt idx="234">
                  <c:v>8.57E-02</c:v>
                </c:pt>
                <c:pt idx="235">
                  <c:v>8.65E-02</c:v>
                </c:pt>
                <c:pt idx="236">
                  <c:v>8.74E-02</c:v>
                </c:pt>
                <c:pt idx="237">
                  <c:v>8.82E-02</c:v>
                </c:pt>
                <c:pt idx="238">
                  <c:v>8.91E-02</c:v>
                </c:pt>
                <c:pt idx="239">
                  <c:v>9.00E-02</c:v>
                </c:pt>
                <c:pt idx="240">
                  <c:v>9.09E-02</c:v>
                </c:pt>
                <c:pt idx="241">
                  <c:v>9.18E-02</c:v>
                </c:pt>
                <c:pt idx="242">
                  <c:v>9.27E-02</c:v>
                </c:pt>
                <c:pt idx="243">
                  <c:v>9.37E-02</c:v>
                </c:pt>
                <c:pt idx="244">
                  <c:v>9.46E-02</c:v>
                </c:pt>
                <c:pt idx="245">
                  <c:v>9.56E-02</c:v>
                </c:pt>
                <c:pt idx="246">
                  <c:v>9.65E-02</c:v>
                </c:pt>
                <c:pt idx="247">
                  <c:v>9.75E-02</c:v>
                </c:pt>
                <c:pt idx="248">
                  <c:v>9.85E-02</c:v>
                </c:pt>
                <c:pt idx="249">
                  <c:v>9.94E-02</c:v>
                </c:pt>
                <c:pt idx="250">
                  <c:v>1.00E-01</c:v>
                </c:pt>
                <c:pt idx="251">
                  <c:v>1.01E-01</c:v>
                </c:pt>
                <c:pt idx="252">
                  <c:v>1.02E-01</c:v>
                </c:pt>
                <c:pt idx="253">
                  <c:v>1.03E-01</c:v>
                </c:pt>
                <c:pt idx="254">
                  <c:v>1.05E-01</c:v>
                </c:pt>
                <c:pt idx="255">
                  <c:v>1.06E-01</c:v>
                </c:pt>
                <c:pt idx="256">
                  <c:v>1.07E-01</c:v>
                </c:pt>
                <c:pt idx="257">
                  <c:v>1.08E-01</c:v>
                </c:pt>
                <c:pt idx="258">
                  <c:v>1.09E-01</c:v>
                </c:pt>
                <c:pt idx="259">
                  <c:v>1.10E-01</c:v>
                </c:pt>
                <c:pt idx="260">
                  <c:v>1.11E-01</c:v>
                </c:pt>
                <c:pt idx="261">
                  <c:v>1.12E-01</c:v>
                </c:pt>
                <c:pt idx="262">
                  <c:v>1.13E-01</c:v>
                </c:pt>
                <c:pt idx="263">
                  <c:v>1.14E-01</c:v>
                </c:pt>
                <c:pt idx="264">
                  <c:v>1.15E-01</c:v>
                </c:pt>
                <c:pt idx="265">
                  <c:v>1.17E-01</c:v>
                </c:pt>
                <c:pt idx="266">
                  <c:v>1.18E-01</c:v>
                </c:pt>
                <c:pt idx="267">
                  <c:v>1.19E-01</c:v>
                </c:pt>
                <c:pt idx="268">
                  <c:v>1.20E-01</c:v>
                </c:pt>
                <c:pt idx="269">
                  <c:v>1.21E-01</c:v>
                </c:pt>
                <c:pt idx="270">
                  <c:v>1.23E-01</c:v>
                </c:pt>
                <c:pt idx="271">
                  <c:v>1.24E-01</c:v>
                </c:pt>
                <c:pt idx="272">
                  <c:v>1.25E-01</c:v>
                </c:pt>
                <c:pt idx="273">
                  <c:v>1.26E-01</c:v>
                </c:pt>
                <c:pt idx="274">
                  <c:v>1.28E-01</c:v>
                </c:pt>
                <c:pt idx="275">
                  <c:v>1.29E-01</c:v>
                </c:pt>
                <c:pt idx="276">
                  <c:v>1.30E-01</c:v>
                </c:pt>
                <c:pt idx="277">
                  <c:v>1.31E-01</c:v>
                </c:pt>
                <c:pt idx="278">
                  <c:v>1.33E-01</c:v>
                </c:pt>
                <c:pt idx="279">
                  <c:v>1.34E-01</c:v>
                </c:pt>
                <c:pt idx="280">
                  <c:v>1.35E-01</c:v>
                </c:pt>
                <c:pt idx="281">
                  <c:v>1.37E-01</c:v>
                </c:pt>
                <c:pt idx="282">
                  <c:v>1.38E-01</c:v>
                </c:pt>
                <c:pt idx="283">
                  <c:v>1.39E-01</c:v>
                </c:pt>
                <c:pt idx="284">
                  <c:v>1.41E-01</c:v>
                </c:pt>
                <c:pt idx="285">
                  <c:v>1.42E-01</c:v>
                </c:pt>
                <c:pt idx="286">
                  <c:v>1.44E-01</c:v>
                </c:pt>
                <c:pt idx="287">
                  <c:v>1.45E-01</c:v>
                </c:pt>
                <c:pt idx="288">
                  <c:v>1.47E-01</c:v>
                </c:pt>
                <c:pt idx="289">
                  <c:v>1.48E-01</c:v>
                </c:pt>
                <c:pt idx="290">
                  <c:v>1.50E-01</c:v>
                </c:pt>
                <c:pt idx="291">
                  <c:v>1.51E-01</c:v>
                </c:pt>
                <c:pt idx="292">
                  <c:v>1.53E-01</c:v>
                </c:pt>
                <c:pt idx="293">
                  <c:v>1.54E-01</c:v>
                </c:pt>
                <c:pt idx="294">
                  <c:v>1.56E-01</c:v>
                </c:pt>
                <c:pt idx="295">
                  <c:v>1.57E-01</c:v>
                </c:pt>
                <c:pt idx="296">
                  <c:v>1.59E-01</c:v>
                </c:pt>
                <c:pt idx="297">
                  <c:v>1.60E-01</c:v>
                </c:pt>
                <c:pt idx="298">
                  <c:v>1.62E-01</c:v>
                </c:pt>
                <c:pt idx="299">
                  <c:v>1.64E-01</c:v>
                </c:pt>
                <c:pt idx="300">
                  <c:v>1.65E-01</c:v>
                </c:pt>
                <c:pt idx="301">
                  <c:v>1.67E-01</c:v>
                </c:pt>
                <c:pt idx="302">
                  <c:v>1.68E-01</c:v>
                </c:pt>
                <c:pt idx="303">
                  <c:v>1.70E-01</c:v>
                </c:pt>
                <c:pt idx="304">
                  <c:v>1.72E-01</c:v>
                </c:pt>
                <c:pt idx="305">
                  <c:v>1.74E-01</c:v>
                </c:pt>
                <c:pt idx="306">
                  <c:v>1.75E-01</c:v>
                </c:pt>
                <c:pt idx="307">
                  <c:v>1.77E-01</c:v>
                </c:pt>
                <c:pt idx="308">
                  <c:v>1.79E-01</c:v>
                </c:pt>
                <c:pt idx="309">
                  <c:v>1.81E-01</c:v>
                </c:pt>
                <c:pt idx="310">
                  <c:v>1.82E-01</c:v>
                </c:pt>
                <c:pt idx="311">
                  <c:v>1.84E-01</c:v>
                </c:pt>
                <c:pt idx="312">
                  <c:v>1.86E-01</c:v>
                </c:pt>
                <c:pt idx="313">
                  <c:v>1.88E-01</c:v>
                </c:pt>
                <c:pt idx="314">
                  <c:v>1.90E-01</c:v>
                </c:pt>
                <c:pt idx="315">
                  <c:v>1.92E-01</c:v>
                </c:pt>
                <c:pt idx="316">
                  <c:v>1.94E-01</c:v>
                </c:pt>
                <c:pt idx="317">
                  <c:v>1.96E-01</c:v>
                </c:pt>
                <c:pt idx="318">
                  <c:v>1.98E-01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4.8125688836150026E-9</c:v>
                </c:pt>
                <c:pt idx="1">
                  <c:v>5.0057651678979078E-9</c:v>
                </c:pt>
                <c:pt idx="2">
                  <c:v>5.2064444287623014E-9</c:v>
                </c:pt>
                <c:pt idx="3">
                  <c:v>5.4148262355356899E-9</c:v>
                </c:pt>
                <c:pt idx="4">
                  <c:v>5.6311194858160116E-9</c:v>
                </c:pt>
                <c:pt idx="5">
                  <c:v>5.8555092446290149E-9</c:v>
                </c:pt>
                <c:pt idx="6">
                  <c:v>6.0881389820825112E-9</c:v>
                </c:pt>
                <c:pt idx="7">
                  <c:v>6.3290869268173282E-9</c:v>
                </c:pt>
                <c:pt idx="8">
                  <c:v>6.5783285915816083E-9</c:v>
                </c:pt>
                <c:pt idx="9">
                  <c:v>6.83567421579613E-9</c:v>
                </c:pt>
                <c:pt idx="10">
                  <c:v>7.1006599295812767E-9</c:v>
                </c:pt>
                <c:pt idx="11">
                  <c:v>7.37234869572679E-9</c:v>
                </c:pt>
                <c:pt idx="12">
                  <c:v>7.6489399485032442E-9</c:v>
                </c:pt>
                <c:pt idx="13">
                  <c:v>7.9269324952034762E-9</c:v>
                </c:pt>
                <c:pt idx="14">
                  <c:v>8.1991309465871428E-9</c:v>
                </c:pt>
                <c:pt idx="15">
                  <c:v>8.4498818045474601E-9</c:v>
                </c:pt>
                <c:pt idx="16">
                  <c:v>8.6442009580509438E-9</c:v>
                </c:pt>
                <c:pt idx="17">
                  <c:v>8.7102350337501638E-9</c:v>
                </c:pt>
                <c:pt idx="18">
                  <c:v>8.5123708081185572E-9</c:v>
                </c:pt>
                <c:pt idx="19">
                  <c:v>7.8387015270888257E-9</c:v>
                </c:pt>
                <c:pt idx="20">
                  <c:v>6.5585957050335425E-9</c:v>
                </c:pt>
                <c:pt idx="21">
                  <c:v>4.9772742854647428E-9</c:v>
                </c:pt>
                <c:pt idx="22">
                  <c:v>3.7432146016262889E-9</c:v>
                </c:pt>
                <c:pt idx="23">
                  <c:v>3.1737646730453923E-9</c:v>
                </c:pt>
                <c:pt idx="24">
                  <c:v>3.0633608741823625E-9</c:v>
                </c:pt>
                <c:pt idx="25">
                  <c:v>3.1066091106308462E-9</c:v>
                </c:pt>
                <c:pt idx="26">
                  <c:v>3.1511039927544269E-9</c:v>
                </c:pt>
                <c:pt idx="27">
                  <c:v>3.156262250515862E-9</c:v>
                </c:pt>
                <c:pt idx="28">
                  <c:v>3.1183457387606503E-9</c:v>
                </c:pt>
                <c:pt idx="29">
                  <c:v>3.0412698516988914E-9</c:v>
                </c:pt>
                <c:pt idx="30">
                  <c:v>2.9298185938950519E-9</c:v>
                </c:pt>
                <c:pt idx="31">
                  <c:v>2.7888821573375365E-9</c:v>
                </c:pt>
                <c:pt idx="32">
                  <c:v>2.6234980009004606E-9</c:v>
                </c:pt>
                <c:pt idx="33">
                  <c:v>2.4389283719865536E-9</c:v>
                </c:pt>
                <c:pt idx="34">
                  <c:v>2.2406784513562355E-9</c:v>
                </c:pt>
                <c:pt idx="35">
                  <c:v>2.0344457215388873E-9</c:v>
                </c:pt>
                <c:pt idx="36">
                  <c:v>1.8260097452509054E-9</c:v>
                </c:pt>
                <c:pt idx="37">
                  <c:v>1.6210774198653065E-9</c:v>
                </c:pt>
                <c:pt idx="38">
                  <c:v>1.425101478394662E-9</c:v>
                </c:pt>
                <c:pt idx="39">
                  <c:v>1.2430910550473151E-9</c:v>
                </c:pt>
                <c:pt idx="40">
                  <c:v>1.0794325299470763E-9</c:v>
                </c:pt>
                <c:pt idx="41">
                  <c:v>9.3773653466042528E-10</c:v>
                </c:pt>
                <c:pt idx="42">
                  <c:v>8.2072317304765225E-10</c:v>
                </c:pt>
                <c:pt idx="43">
                  <c:v>7.3015272457057409E-10</c:v>
                </c:pt>
                <c:pt idx="44">
                  <c:v>6.6656075665182362E-10</c:v>
                </c:pt>
                <c:pt idx="45">
                  <c:v>6.3031071781139567E-10</c:v>
                </c:pt>
                <c:pt idx="46">
                  <c:v>6.200263051215161E-10</c:v>
                </c:pt>
                <c:pt idx="47">
                  <c:v>6.3383250910046619E-10</c:v>
                </c:pt>
                <c:pt idx="48">
                  <c:v>6.6917043473633168E-10</c:v>
                </c:pt>
                <c:pt idx="49">
                  <c:v>7.2292662347066233E-10</c:v>
                </c:pt>
                <c:pt idx="50">
                  <c:v>7.9156778865134815E-10</c:v>
                </c:pt>
                <c:pt idx="51">
                  <c:v>8.7127493601969273E-10</c:v>
                </c:pt>
                <c:pt idx="52">
                  <c:v>9.5807266152972314E-10</c:v>
                </c:pt>
                <c:pt idx="53">
                  <c:v>1.0479511126353979E-9</c:v>
                </c:pt>
                <c:pt idx="54">
                  <c:v>1.1369794861004505E-9</c:v>
                </c:pt>
                <c:pt idx="55">
                  <c:v>1.2214108972858522E-9</c:v>
                </c:pt>
                <c:pt idx="56">
                  <c:v>1.297778983171023E-9</c:v>
                </c:pt>
                <c:pt idx="57">
                  <c:v>1.362986703314357E-9</c:v>
                </c:pt>
                <c:pt idx="58">
                  <c:v>1.4143875493350018E-9</c:v>
                </c:pt>
                <c:pt idx="59">
                  <c:v>1.4498588485121877E-9</c:v>
                </c:pt>
                <c:pt idx="60">
                  <c:v>1.4678661407898818E-9</c:v>
                </c:pt>
                <c:pt idx="61">
                  <c:v>1.4675168320537832E-9</c:v>
                </c:pt>
                <c:pt idx="62">
                  <c:v>1.4486005861996974E-9</c:v>
                </c:pt>
                <c:pt idx="63">
                  <c:v>1.4116133265958823E-9</c:v>
                </c:pt>
                <c:pt idx="64">
                  <c:v>1.357761383170032E-9</c:v>
                </c:pt>
                <c:pt idx="65">
                  <c:v>1.2889423405302862E-9</c:v>
                </c:pt>
                <c:pt idx="66">
                  <c:v>1.2076995940794547E-9</c:v>
                </c:pt>
                <c:pt idx="67">
                  <c:v>1.1171485390644125E-9</c:v>
                </c:pt>
                <c:pt idx="68">
                  <c:v>1.0208736990728328E-9</c:v>
                </c:pt>
                <c:pt idx="69">
                  <c:v>9.2279787706938338E-10</c:v>
                </c:pt>
                <c:pt idx="70">
                  <c:v>8.2702645840744875E-10</c:v>
                </c:pt>
                <c:pt idx="71">
                  <c:v>7.3767213506877872E-10</c:v>
                </c:pt>
                <c:pt idx="72">
                  <c:v>6.5866733489049533E-10</c:v>
                </c:pt>
                <c:pt idx="73">
                  <c:v>5.935733158538323E-10</c:v>
                </c:pt>
                <c:pt idx="74">
                  <c:v>5.4539601417213513E-10</c:v>
                </c:pt>
                <c:pt idx="75">
                  <c:v>5.1641917365178536E-10</c:v>
                </c:pt>
                <c:pt idx="76">
                  <c:v>5.0806496298834916E-10</c:v>
                </c:pt>
                <c:pt idx="77">
                  <c:v>5.2079121935954029E-10</c:v>
                </c:pt>
                <c:pt idx="78">
                  <c:v>5.5403274170719822E-10</c:v>
                </c:pt>
                <c:pt idx="79">
                  <c:v>6.0619185470330835E-10</c:v>
                </c:pt>
                <c:pt idx="80">
                  <c:v>6.7468096758143015E-10</c:v>
                </c:pt>
                <c:pt idx="81">
                  <c:v>7.5601725401237449E-10</c:v>
                </c:pt>
                <c:pt idx="82">
                  <c:v>8.4596703986986678E-10</c:v>
                </c:pt>
                <c:pt idx="83">
                  <c:v>9.3973511664419968E-10</c:v>
                </c:pt>
                <c:pt idx="84">
                  <c:v>1.032192048809307E-9</c:v>
                </c:pt>
                <c:pt idx="85">
                  <c:v>1.1181306170343226E-9</c:v>
                </c:pt>
                <c:pt idx="86">
                  <c:v>1.1925408058389169E-9</c:v>
                </c:pt>
                <c:pt idx="87">
                  <c:v>1.2508911740029624E-9</c:v>
                </c:pt>
                <c:pt idx="88">
                  <c:v>1.2894030452969375E-9</c:v>
                </c:pt>
                <c:pt idx="89">
                  <c:v>1.3053027780106761E-9</c:v>
                </c:pt>
                <c:pt idx="90">
                  <c:v>1.2970365595155183E-9</c:v>
                </c:pt>
                <c:pt idx="91">
                  <c:v>1.2644319326855207E-9</c:v>
                </c:pt>
                <c:pt idx="92">
                  <c:v>1.208790871947049E-9</c:v>
                </c:pt>
                <c:pt idx="93">
                  <c:v>1.132900978273619E-9</c:v>
                </c:pt>
                <c:pt idx="94">
                  <c:v>1.040954509327728E-9</c:v>
                </c:pt>
                <c:pt idx="95">
                  <c:v>9.3836965215176522E-10</c:v>
                </c:pt>
                <c:pt idx="96">
                  <c:v>8.3151464356264203E-10</c:v>
                </c:pt>
                <c:pt idx="97">
                  <c:v>7.2734279433115089E-10</c:v>
                </c:pt>
                <c:pt idx="98">
                  <c:v>6.3295465322388309E-10</c:v>
                </c:pt>
                <c:pt idx="99">
                  <c:v>5.5511171722427259E-10</c:v>
                </c:pt>
                <c:pt idx="100">
                  <c:v>4.9973335137215793E-10</c:v>
                </c:pt>
                <c:pt idx="101">
                  <c:v>4.7141398533286637E-10</c:v>
                </c:pt>
                <c:pt idx="102">
                  <c:v>4.7300036484722035E-10</c:v>
                </c:pt>
                <c:pt idx="103">
                  <c:v>5.0526804171569089E-10</c:v>
                </c:pt>
                <c:pt idx="104">
                  <c:v>5.6673211487624487E-10</c:v>
                </c:pt>
                <c:pt idx="105">
                  <c:v>6.5361958249543098E-10</c:v>
                </c:pt>
                <c:pt idx="106">
                  <c:v>7.6001998352357159E-10</c:v>
                </c:pt>
                <c:pt idx="107">
                  <c:v>8.7821802006802585E-10</c:v>
                </c:pt>
                <c:pt idx="108">
                  <c:v>9.9919745865324706E-10</c:v>
                </c:pt>
                <c:pt idx="109">
                  <c:v>1.1132907688941885E-9</c:v>
                </c:pt>
                <c:pt idx="110">
                  <c:v>1.2109346523008193E-9</c:v>
                </c:pt>
                <c:pt idx="111">
                  <c:v>1.2834787970589248E-9</c:v>
                </c:pt>
                <c:pt idx="112">
                  <c:v>1.3239848602523175E-9</c:v>
                </c:pt>
                <c:pt idx="113">
                  <c:v>1.3279458805282413E-9</c:v>
                </c:pt>
                <c:pt idx="114">
                  <c:v>1.2938542090358327E-9</c:v>
                </c:pt>
                <c:pt idx="115">
                  <c:v>1.2235497971927594E-9</c:v>
                </c:pt>
                <c:pt idx="116">
                  <c:v>1.1222913528878834E-9</c:v>
                </c:pt>
                <c:pt idx="117">
                  <c:v>9.9851112881548498E-10</c:v>
                </c:pt>
                <c:pt idx="118">
                  <c:v>8.6323984831996501E-10</c:v>
                </c:pt>
                <c:pt idx="119">
                  <c:v>7.2922033175345861E-10</c:v>
                </c:pt>
                <c:pt idx="120">
                  <c:v>6.0976428394019679E-10</c:v>
                </c:pt>
                <c:pt idx="121">
                  <c:v>5.1744269041605883E-10</c:v>
                </c:pt>
                <c:pt idx="122">
                  <c:v>4.6273161617604101E-10</c:v>
                </c:pt>
                <c:pt idx="123">
                  <c:v>4.5275686193002125E-10</c:v>
                </c:pt>
                <c:pt idx="124">
                  <c:v>4.9028833679608828E-10</c:v>
                </c:pt>
                <c:pt idx="125">
                  <c:v>5.7312494477218597E-10</c:v>
                </c:pt>
                <c:pt idx="126">
                  <c:v>6.9398209170047336E-10</c:v>
                </c:pt>
                <c:pt idx="127">
                  <c:v>8.4094784059322888E-10</c:v>
                </c:pt>
                <c:pt idx="128">
                  <c:v>9.9851389783725016E-10</c:v>
                </c:pt>
                <c:pt idx="129">
                  <c:v>1.1491196225016802E-9</c:v>
                </c:pt>
                <c:pt idx="130">
                  <c:v>1.275078179968823E-9</c:v>
                </c:pt>
                <c:pt idx="131">
                  <c:v>1.3606916955114803E-9</c:v>
                </c:pt>
                <c:pt idx="132">
                  <c:v>1.3943149522662698E-9</c:v>
                </c:pt>
                <c:pt idx="133">
                  <c:v>1.3701026948152494E-9</c:v>
                </c:pt>
                <c:pt idx="134">
                  <c:v>1.2891808431170505E-9</c:v>
                </c:pt>
                <c:pt idx="135">
                  <c:v>1.1600218693902613E-9</c:v>
                </c:pt>
                <c:pt idx="136">
                  <c:v>9.9788093086679768E-10</c:v>
                </c:pt>
                <c:pt idx="137">
                  <c:v>8.2325895524187403E-10</c:v>
                </c:pt>
                <c:pt idx="138">
                  <c:v>6.594924878632777E-10</c:v>
                </c:pt>
                <c:pt idx="139">
                  <c:v>5.2971190288237693E-10</c:v>
                </c:pt>
                <c:pt idx="140">
                  <c:v>4.5353822042109997E-10</c:v>
                </c:pt>
                <c:pt idx="141">
                  <c:v>4.4398021756514517E-10</c:v>
                </c:pt>
                <c:pt idx="142">
                  <c:v>5.0502534529458332E-10</c:v>
                </c:pt>
                <c:pt idx="143">
                  <c:v>6.3037432922732399E-10</c:v>
                </c:pt>
                <c:pt idx="144">
                  <c:v>8.0364535713763519E-10</c:v>
                </c:pt>
                <c:pt idx="145">
                  <c:v>1.0001781498001364E-9</c:v>
                </c:pt>
                <c:pt idx="146">
                  <c:v>1.1903234664419178E-9</c:v>
                </c:pt>
                <c:pt idx="147">
                  <c:v>1.3438437187367091E-9</c:v>
                </c:pt>
                <c:pt idx="148">
                  <c:v>1.434816736928906E-9</c:v>
                </c:pt>
                <c:pt idx="149">
                  <c:v>1.4465527596633303E-9</c:v>
                </c:pt>
                <c:pt idx="150">
                  <c:v>1.3740410336544058E-9</c:v>
                </c:pt>
                <c:pt idx="151">
                  <c:v>1.2271857692979776E-9</c:v>
                </c:pt>
                <c:pt idx="152">
                  <c:v>1.0292217454254793E-9</c:v>
                </c:pt>
                <c:pt idx="153">
                  <c:v>8.1375351590828965E-10</c:v>
                </c:pt>
                <c:pt idx="154">
                  <c:v>6.1937569525388079E-10</c:v>
                </c:pt>
                <c:pt idx="155">
                  <c:v>4.8284698668129583E-10</c:v>
                </c:pt>
                <c:pt idx="156">
                  <c:v>4.3197462579916476E-10</c:v>
                </c:pt>
                <c:pt idx="157">
                  <c:v>4.7958203051186335E-10</c:v>
                </c:pt>
                <c:pt idx="158">
                  <c:v>6.1989580198222998E-10</c:v>
                </c:pt>
                <c:pt idx="159">
                  <c:v>8.2836270445930427E-10</c:v>
                </c:pt>
                <c:pt idx="160">
                  <c:v>1.0653160953424824E-9</c:v>
                </c:pt>
                <c:pt idx="161">
                  <c:v>1.283142096759611E-9</c:v>
                </c:pt>
                <c:pt idx="162">
                  <c:v>1.435791073218736E-9</c:v>
                </c:pt>
                <c:pt idx="163">
                  <c:v>1.4888139514072046E-9</c:v>
                </c:pt>
                <c:pt idx="164">
                  <c:v>1.4277485745381294E-9</c:v>
                </c:pt>
                <c:pt idx="165">
                  <c:v>1.262772167664728E-9</c:v>
                </c:pt>
                <c:pt idx="166">
                  <c:v>1.0281281008954593E-9</c:v>
                </c:pt>
                <c:pt idx="167">
                  <c:v>7.7587608672770758E-10</c:v>
                </c:pt>
                <c:pt idx="168">
                  <c:v>5.6483000125251957E-10</c:v>
                </c:pt>
                <c:pt idx="169">
                  <c:v>4.4685372519104094E-10</c:v>
                </c:pt>
                <c:pt idx="170">
                  <c:v>4.5364135248821699E-10</c:v>
                </c:pt>
                <c:pt idx="171">
                  <c:v>5.8739643459567184E-10</c:v>
                </c:pt>
                <c:pt idx="172">
                  <c:v>8.182501497301927E-10</c:v>
                </c:pt>
                <c:pt idx="173">
                  <c:v>1.0898307149951148E-9</c:v>
                </c:pt>
                <c:pt idx="174">
                  <c:v>1.3323707361637442E-9</c:v>
                </c:pt>
                <c:pt idx="175">
                  <c:v>1.4805870297613497E-9</c:v>
                </c:pt>
                <c:pt idx="176">
                  <c:v>1.4918806010949923E-9</c:v>
                </c:pt>
                <c:pt idx="177">
                  <c:v>1.3597463215609789E-9</c:v>
                </c:pt>
                <c:pt idx="178">
                  <c:v>1.1180175983609984E-9</c:v>
                </c:pt>
                <c:pt idx="179">
                  <c:v>8.3371830225615473E-10</c:v>
                </c:pt>
                <c:pt idx="180">
                  <c:v>5.8944017986225743E-10</c:v>
                </c:pt>
                <c:pt idx="181">
                  <c:v>4.5949935343329431E-10</c:v>
                </c:pt>
                <c:pt idx="182">
                  <c:v>4.8661674816893079E-10</c:v>
                </c:pt>
                <c:pt idx="183">
                  <c:v>6.6655515624251601E-10</c:v>
                </c:pt>
                <c:pt idx="184">
                  <c:v>9.4649440508598189E-10</c:v>
                </c:pt>
                <c:pt idx="185">
                  <c:v>1.2391029541385795E-9</c:v>
                </c:pt>
                <c:pt idx="186">
                  <c:v>1.4492243106525703E-9</c:v>
                </c:pt>
                <c:pt idx="187">
                  <c:v>1.5053979057344845E-9</c:v>
                </c:pt>
                <c:pt idx="188">
                  <c:v>1.385794709993076E-9</c:v>
                </c:pt>
                <c:pt idx="189">
                  <c:v>1.1288534891512992E-9</c:v>
                </c:pt>
                <c:pt idx="190">
                  <c:v>8.2324534527931715E-10</c:v>
                </c:pt>
                <c:pt idx="191">
                  <c:v>5.7875193983109442E-10</c:v>
                </c:pt>
                <c:pt idx="192">
                  <c:v>4.8699937454892299E-10</c:v>
                </c:pt>
                <c:pt idx="193">
                  <c:v>5.8595135810721046E-10</c:v>
                </c:pt>
                <c:pt idx="194">
                  <c:v>8.4227188403313945E-10</c:v>
                </c:pt>
                <c:pt idx="195">
                  <c:v>1.1602619883421947E-9</c:v>
                </c:pt>
                <c:pt idx="196">
                  <c:v>1.4167447746611875E-9</c:v>
                </c:pt>
                <c:pt idx="197">
                  <c:v>1.5080156660788639E-9</c:v>
                </c:pt>
                <c:pt idx="198">
                  <c:v>1.395578640307079E-9</c:v>
                </c:pt>
                <c:pt idx="199">
                  <c:v>1.1247402423954348E-9</c:v>
                </c:pt>
                <c:pt idx="200">
                  <c:v>8.0998243192599028E-10</c:v>
                </c:pt>
                <c:pt idx="201">
                  <c:v>5.8874448254188123E-10</c:v>
                </c:pt>
                <c:pt idx="202">
                  <c:v>5.6161184362732938E-10</c:v>
                </c:pt>
                <c:pt idx="203">
                  <c:v>7.4493093936940411E-10</c:v>
                </c:pt>
                <c:pt idx="204">
                  <c:v>1.058999017762003E-9</c:v>
                </c:pt>
                <c:pt idx="205">
                  <c:v>1.3606490079644274E-9</c:v>
                </c:pt>
                <c:pt idx="206">
                  <c:v>1.5085325766621526E-9</c:v>
                </c:pt>
                <c:pt idx="207">
                  <c:v>1.4319990821924286E-9</c:v>
                </c:pt>
                <c:pt idx="208">
                  <c:v>1.1694863773172211E-9</c:v>
                </c:pt>
                <c:pt idx="209">
                  <c:v>8.5422930264494748E-10</c:v>
                </c:pt>
                <c:pt idx="210">
                  <c:v>6.5012420073363829E-10</c:v>
                </c:pt>
                <c:pt idx="211">
                  <c:v>6.6730411315613706E-10</c:v>
                </c:pt>
                <c:pt idx="212">
                  <c:v>9.010461680789361E-10</c:v>
                </c:pt>
                <c:pt idx="213">
                  <c:v>1.2293729485664943E-9</c:v>
                </c:pt>
                <c:pt idx="214">
                  <c:v>1.4755388841394819E-9</c:v>
                </c:pt>
                <c:pt idx="215">
                  <c:v>1.5052792835752331E-9</c:v>
                </c:pt>
                <c:pt idx="216">
                  <c:v>1.3054956893631407E-9</c:v>
                </c:pt>
                <c:pt idx="217">
                  <c:v>9.9666263200210907E-10</c:v>
                </c:pt>
                <c:pt idx="218">
                  <c:v>7.6633337070725111E-10</c:v>
                </c:pt>
                <c:pt idx="219">
                  <c:v>7.5814336503254897E-10</c:v>
                </c:pt>
                <c:pt idx="220">
                  <c:v>9.8174402047785033E-10</c:v>
                </c:pt>
                <c:pt idx="221">
                  <c:v>1.3020817155356869E-9</c:v>
                </c:pt>
                <c:pt idx="222">
                  <c:v>1.5207558302772832E-9</c:v>
                </c:pt>
                <c:pt idx="223">
                  <c:v>1.5029143527764994E-9</c:v>
                </c:pt>
                <c:pt idx="224">
                  <c:v>1.2684533918846182E-9</c:v>
                </c:pt>
                <c:pt idx="225">
                  <c:v>9.8324257732183704E-10</c:v>
                </c:pt>
                <c:pt idx="226">
                  <c:v>8.495983617046269E-10</c:v>
                </c:pt>
                <c:pt idx="227">
                  <c:v>9.6613336177550899E-10</c:v>
                </c:pt>
                <c:pt idx="228">
                  <c:v>1.2550751449146957E-9</c:v>
                </c:pt>
                <c:pt idx="229">
                  <c:v>1.514185308953572E-9</c:v>
                </c:pt>
                <c:pt idx="230">
                  <c:v>1.5626350295291416E-9</c:v>
                </c:pt>
                <c:pt idx="231">
                  <c:v>1.3767522760324357E-9</c:v>
                </c:pt>
                <c:pt idx="232">
                  <c:v>1.1111043920719135E-9</c:v>
                </c:pt>
                <c:pt idx="233">
                  <c:v>9.8194056383917273E-10</c:v>
                </c:pt>
                <c:pt idx="234">
                  <c:v>1.0977575527414329E-9</c:v>
                </c:pt>
                <c:pt idx="235">
                  <c:v>1.3707769747800725E-9</c:v>
                </c:pt>
                <c:pt idx="236">
                  <c:v>1.5861114221598566E-9</c:v>
                </c:pt>
                <c:pt idx="237">
                  <c:v>1.5787169467387366E-9</c:v>
                </c:pt>
                <c:pt idx="238">
                  <c:v>1.3730778908811973E-9</c:v>
                </c:pt>
                <c:pt idx="239">
                  <c:v>1.1633790756967511E-9</c:v>
                </c:pt>
                <c:pt idx="240">
                  <c:v>1.1447041169763812E-9</c:v>
                </c:pt>
                <c:pt idx="241">
                  <c:v>1.3398677313145764E-9</c:v>
                </c:pt>
                <c:pt idx="242">
                  <c:v>1.5789008782997015E-9</c:v>
                </c:pt>
                <c:pt idx="243">
                  <c:v>1.6555948289869257E-9</c:v>
                </c:pt>
                <c:pt idx="244">
                  <c:v>1.5200935940020234E-9</c:v>
                </c:pt>
                <c:pt idx="245">
                  <c:v>1.324914014214046E-9</c:v>
                </c:pt>
                <c:pt idx="246">
                  <c:v>1.2756934341450202E-9</c:v>
                </c:pt>
                <c:pt idx="247">
                  <c:v>1.4289161055135083E-9</c:v>
                </c:pt>
                <c:pt idx="248">
                  <c:v>1.638113385479694E-9</c:v>
                </c:pt>
                <c:pt idx="249">
                  <c:v>1.7061096547344647E-9</c:v>
                </c:pt>
                <c:pt idx="250">
                  <c:v>1.588979768124428E-9</c:v>
                </c:pt>
                <c:pt idx="251">
                  <c:v>1.4379210371038653E-9</c:v>
                </c:pt>
                <c:pt idx="252">
                  <c:v>1.4329193973874417E-9</c:v>
                </c:pt>
                <c:pt idx="253">
                  <c:v>1.5876634351960631E-9</c:v>
                </c:pt>
                <c:pt idx="254">
                  <c:v>1.7407120304024356E-9</c:v>
                </c:pt>
                <c:pt idx="255">
                  <c:v>1.7422676487150174E-9</c:v>
                </c:pt>
                <c:pt idx="256">
                  <c:v>1.6228260254389075E-9</c:v>
                </c:pt>
                <c:pt idx="257">
                  <c:v>1.5492314965914181E-9</c:v>
                </c:pt>
                <c:pt idx="258">
                  <c:v>1.6230440124602373E-9</c:v>
                </c:pt>
                <c:pt idx="259">
                  <c:v>1.7643816446900633E-9</c:v>
                </c:pt>
                <c:pt idx="260">
                  <c:v>1.8192995812751476E-9</c:v>
                </c:pt>
                <c:pt idx="261">
                  <c:v>1.7521567178462398E-9</c:v>
                </c:pt>
                <c:pt idx="262">
                  <c:v>1.6806845391816208E-9</c:v>
                </c:pt>
                <c:pt idx="263">
                  <c:v>1.7162275452219786E-9</c:v>
                </c:pt>
                <c:pt idx="264">
                  <c:v>1.823006074116688E-9</c:v>
                </c:pt>
                <c:pt idx="265">
                  <c:v>1.877912174501869E-9</c:v>
                </c:pt>
                <c:pt idx="266">
                  <c:v>1.839731824383925E-9</c:v>
                </c:pt>
                <c:pt idx="267">
                  <c:v>1.7946429344411686E-9</c:v>
                </c:pt>
                <c:pt idx="268">
                  <c:v>1.8261156984710321E-9</c:v>
                </c:pt>
                <c:pt idx="269">
                  <c:v>1.9022207087318206E-9</c:v>
                </c:pt>
                <c:pt idx="270">
                  <c:v>1.9348198191414653E-9</c:v>
                </c:pt>
                <c:pt idx="271">
                  <c:v>1.9097536420770836E-9</c:v>
                </c:pt>
                <c:pt idx="272">
                  <c:v>1.8951802419952741E-9</c:v>
                </c:pt>
                <c:pt idx="273">
                  <c:v>1.9313616479506521E-9</c:v>
                </c:pt>
                <c:pt idx="274">
                  <c:v>1.9780713747185464E-9</c:v>
                </c:pt>
                <c:pt idx="275">
                  <c:v>1.9880771407050152E-9</c:v>
                </c:pt>
                <c:pt idx="276">
                  <c:v>1.9771980054102876E-9</c:v>
                </c:pt>
                <c:pt idx="277">
                  <c:v>1.9869153865370038E-9</c:v>
                </c:pt>
                <c:pt idx="278">
                  <c:v>2.0170127622687791E-9</c:v>
                </c:pt>
                <c:pt idx="279">
                  <c:v>2.0368861091269644E-9</c:v>
                </c:pt>
                <c:pt idx="280">
                  <c:v>2.0395839110459008E-9</c:v>
                </c:pt>
                <c:pt idx="281">
                  <c:v>2.0445617007094686E-9</c:v>
                </c:pt>
                <c:pt idx="282">
                  <c:v>2.0597307709837413E-9</c:v>
                </c:pt>
                <c:pt idx="283">
                  <c:v>2.0742381314276924E-9</c:v>
                </c:pt>
                <c:pt idx="284">
                  <c:v>2.0821318201078283E-9</c:v>
                </c:pt>
                <c:pt idx="285">
                  <c:v>2.0884054456296607E-9</c:v>
                </c:pt>
                <c:pt idx="286">
                  <c:v>2.0961297850677544E-9</c:v>
                </c:pt>
                <c:pt idx="287">
                  <c:v>2.1034587854023572E-9</c:v>
                </c:pt>
                <c:pt idx="288">
                  <c:v>2.1092720378923067E-9</c:v>
                </c:pt>
                <c:pt idx="289">
                  <c:v>2.1140475649879864E-9</c:v>
                </c:pt>
                <c:pt idx="290">
                  <c:v>2.118161538711104E-9</c:v>
                </c:pt>
                <c:pt idx="291">
                  <c:v>2.1205093118566823E-9</c:v>
                </c:pt>
                <c:pt idx="292">
                  <c:v>2.119871098657796E-9</c:v>
                </c:pt>
                <c:pt idx="293">
                  <c:v>2.1198081436360808E-9</c:v>
                </c:pt>
                <c:pt idx="294">
                  <c:v>2.1227064321898556E-9</c:v>
                </c:pt>
                <c:pt idx="295">
                  <c:v>2.1197830570075284E-9</c:v>
                </c:pt>
                <c:pt idx="296">
                  <c:v>2.1085370929854482E-9</c:v>
                </c:pt>
                <c:pt idx="297">
                  <c:v>2.10530415645121E-9</c:v>
                </c:pt>
                <c:pt idx="298">
                  <c:v>2.1084214138585799E-9</c:v>
                </c:pt>
                <c:pt idx="299">
                  <c:v>2.0929182108888613E-9</c:v>
                </c:pt>
                <c:pt idx="300">
                  <c:v>2.0714679356546242E-9</c:v>
                </c:pt>
                <c:pt idx="301">
                  <c:v>2.073766050347939E-9</c:v>
                </c:pt>
                <c:pt idx="302">
                  <c:v>2.0680392560983283E-9</c:v>
                </c:pt>
                <c:pt idx="303">
                  <c:v>2.0310260638552088E-9</c:v>
                </c:pt>
                <c:pt idx="304">
                  <c:v>2.016516441180569E-9</c:v>
                </c:pt>
                <c:pt idx="305">
                  <c:v>2.0226667531829987E-9</c:v>
                </c:pt>
                <c:pt idx="306">
                  <c:v>1.9840079692845817E-9</c:v>
                </c:pt>
                <c:pt idx="307">
                  <c:v>1.945030410537479E-9</c:v>
                </c:pt>
                <c:pt idx="308">
                  <c:v>1.9535976319179993E-9</c:v>
                </c:pt>
                <c:pt idx="309">
                  <c:v>1.9235335885710736E-9</c:v>
                </c:pt>
                <c:pt idx="310">
                  <c:v>1.8637131329272756E-9</c:v>
                </c:pt>
                <c:pt idx="311">
                  <c:v>1.865392487109917E-9</c:v>
                </c:pt>
                <c:pt idx="312">
                  <c:v>1.8449012952031971E-9</c:v>
                </c:pt>
                <c:pt idx="313">
                  <c:v>1.7715589261456912E-9</c:v>
                </c:pt>
                <c:pt idx="314">
                  <c:v>1.7638784836840482E-9</c:v>
                </c:pt>
                <c:pt idx="315">
                  <c:v>1.747952122761641E-9</c:v>
                </c:pt>
                <c:pt idx="316">
                  <c:v>1.6662905972230091E-9</c:v>
                </c:pt>
                <c:pt idx="317">
                  <c:v>1.6525760284911115E-9</c:v>
                </c:pt>
                <c:pt idx="318">
                  <c:v>1.6330928074650679E-9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1060</c:v>
                </c:pt>
                <c:pt idx="1">
                  <c:v>1064</c:v>
                </c:pt>
                <c:pt idx="2">
                  <c:v>1068</c:v>
                </c:pt>
                <c:pt idx="3">
                  <c:v>1072</c:v>
                </c:pt>
                <c:pt idx="4">
                  <c:v>1076</c:v>
                </c:pt>
                <c:pt idx="5">
                  <c:v>1080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3.1627540778437657</c:v>
                </c:pt>
                <c:pt idx="1">
                  <c:v>2.4162831274542094</c:v>
                </c:pt>
                <c:pt idx="2">
                  <c:v>1.9552969995608049</c:v>
                </c:pt>
                <c:pt idx="3">
                  <c:v>1.7779021890358897</c:v>
                </c:pt>
                <c:pt idx="4">
                  <c:v>1.8758701379891549</c:v>
                </c:pt>
                <c:pt idx="5">
                  <c:v>2.2365187366874277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40</c:v>
                </c:pt>
                <c:pt idx="1">
                  <c:v>48</c:v>
                </c:pt>
                <c:pt idx="2">
                  <c:v>56</c:v>
                </c:pt>
                <c:pt idx="3">
                  <c:v>64</c:v>
                </c:pt>
                <c:pt idx="4">
                  <c:v>72</c:v>
                </c:pt>
                <c:pt idx="5">
                  <c:v>80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2.5868199553312392</c:v>
                </c:pt>
                <c:pt idx="1">
                  <c:v>2.1320992518149193</c:v>
                </c:pt>
                <c:pt idx="2">
                  <c:v>1.8642594206370646</c:v>
                </c:pt>
                <c:pt idx="3">
                  <c:v>1.7656045613727096</c:v>
                </c:pt>
                <c:pt idx="4">
                  <c:v>1.8056563697298462</c:v>
                </c:pt>
                <c:pt idx="5">
                  <c:v>1.9448599561151176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0.08</c:v>
                </c:pt>
                <c:pt idx="1">
                  <c:v>0.108</c:v>
                </c:pt>
                <c:pt idx="2">
                  <c:v>0.13600000000000001</c:v>
                </c:pt>
                <c:pt idx="3">
                  <c:v>0.16400000000000001</c:v>
                </c:pt>
                <c:pt idx="4">
                  <c:v>0.192</c:v>
                </c:pt>
                <c:pt idx="5">
                  <c:v>0.22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2.7915447706725716</c:v>
                </c:pt>
                <c:pt idx="1">
                  <c:v>2.081516360001328</c:v>
                </c:pt>
                <c:pt idx="2">
                  <c:v>1.8320320887573895</c:v>
                </c:pt>
                <c:pt idx="3">
                  <c:v>2.1196690569610435</c:v>
                </c:pt>
                <c:pt idx="4">
                  <c:v>3.0255099198971185</c:v>
                </c:pt>
                <c:pt idx="5">
                  <c:v>4.635196049620748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3.4084736956698265</c:v>
                </c:pt>
                <c:pt idx="1">
                  <c:v>2.6838761979166805</c:v>
                </c:pt>
                <c:pt idx="2">
                  <c:v>2.1596171484145534</c:v>
                </c:pt>
                <c:pt idx="3">
                  <c:v>1.8588757051601383</c:v>
                </c:pt>
                <c:pt idx="4">
                  <c:v>1.8087205066441299</c:v>
                </c:pt>
                <c:pt idx="5">
                  <c:v>2.0194822211770878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2.2843878534761988</c:v>
                </c:pt>
                <c:pt idx="1">
                  <c:v>1.9761019277090626</c:v>
                </c:pt>
                <c:pt idx="2">
                  <c:v>1.802559871838094</c:v>
                </c:pt>
                <c:pt idx="3">
                  <c:v>1.9542184453280078</c:v>
                </c:pt>
                <c:pt idx="4">
                  <c:v>2.4891194108265968</c:v>
                </c:pt>
                <c:pt idx="5">
                  <c:v>3.3875547351544824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2.0584641366439924</c:v>
                </c:pt>
                <c:pt idx="1">
                  <c:v>1.8962639442057574</c:v>
                </c:pt>
                <c:pt idx="2">
                  <c:v>1.8118323782242505</c:v>
                </c:pt>
                <c:pt idx="3">
                  <c:v>1.8423395373431046</c:v>
                </c:pt>
                <c:pt idx="4">
                  <c:v>1.9265766737979746</c:v>
                </c:pt>
                <c:pt idx="5">
                  <c:v>2.0281753885290623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3.4282116012100809</c:v>
                </c:pt>
                <c:pt idx="1">
                  <c:v>2.6291424455190473</c:v>
                </c:pt>
                <c:pt idx="2">
                  <c:v>2.2794753379917139</c:v>
                </c:pt>
                <c:pt idx="3">
                  <c:v>1.8825771206789566</c:v>
                </c:pt>
                <c:pt idx="4">
                  <c:v>1.7587262950706193</c:v>
                </c:pt>
                <c:pt idx="5">
                  <c:v>2.1203731553129641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2.04E-6</c:v>
                </c:pt>
                <c:pt idx="2">
                  <c:v>2.08E-6</c:v>
                </c:pt>
                <c:pt idx="3">
                  <c:v>2.12E-6</c:v>
                </c:pt>
                <c:pt idx="4">
                  <c:v>2.1600000000000001E-6</c:v>
                </c:pt>
                <c:pt idx="5">
                  <c:v>2.2000000000000001E-6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2.3445401259994645</c:v>
                </c:pt>
                <c:pt idx="1">
                  <c:v>1.9698981629652257</c:v>
                </c:pt>
                <c:pt idx="2">
                  <c:v>1.7830238926792092</c:v>
                </c:pt>
                <c:pt idx="3">
                  <c:v>1.8027313054821863</c:v>
                </c:pt>
                <c:pt idx="4">
                  <c:v>2.0485235499317298</c:v>
                </c:pt>
                <c:pt idx="5">
                  <c:v>2.5405983544504904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1.77E-6</c:v>
                </c:pt>
                <c:pt idx="1">
                  <c:v>1.79E-6</c:v>
                </c:pt>
                <c:pt idx="2">
                  <c:v>1.81E-6</c:v>
                </c:pt>
                <c:pt idx="3">
                  <c:v>1.8300000000000001E-6</c:v>
                </c:pt>
                <c:pt idx="4">
                  <c:v>1.8500000000000001E-6</c:v>
                </c:pt>
                <c:pt idx="5">
                  <c:v>1.8700000000000001E-6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1.9726550853953584</c:v>
                </c:pt>
                <c:pt idx="1">
                  <c:v>1.7821276617764279</c:v>
                </c:pt>
                <c:pt idx="2">
                  <c:v>1.7218234827745029</c:v>
                </c:pt>
                <c:pt idx="3">
                  <c:v>1.7973775080258725</c:v>
                </c:pt>
                <c:pt idx="4">
                  <c:v>2.0060371092168801</c:v>
                </c:pt>
                <c:pt idx="5">
                  <c:v>2.3362496613930785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80734182-26F9-4487-ACE6-35B66BFBB41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C10" sqref="C10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SUM(Y3:Y321)/318</f>
        <v>1.7216334702967329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8.3469176538099998E-3</v>
      </c>
      <c r="J3" s="109">
        <v>4.6577045529389905E-9</v>
      </c>
      <c r="K3" s="109">
        <v>6.9923037584772891E-10</v>
      </c>
      <c r="L3" s="152">
        <v>4.8125677188820892E-9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4.8123802140834546E-9</v>
      </c>
      <c r="V3" s="127">
        <v>4.8125677188820892E-9</v>
      </c>
      <c r="W3" s="128">
        <v>4.81275988261238E-9</v>
      </c>
      <c r="X3" s="128">
        <f t="shared" ref="X3:X66" si="0">(U3+2*V3+W3)/4</f>
        <v>4.8125688836150026E-9</v>
      </c>
      <c r="Y3" s="139">
        <f t="shared" ref="Y3:Y66" si="1">(J3-X3)*(J3-X3)/(K3*K3)</f>
        <v>4.9052621992815758E-2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2.0967066238672001E-6</v>
      </c>
      <c r="D4" s="19">
        <v>9.9999999999999994E-12</v>
      </c>
      <c r="E4" s="19">
        <v>5.0000000000000001E-9</v>
      </c>
      <c r="F4" s="149">
        <f>H4*H8</f>
        <v>66.531917724292455</v>
      </c>
      <c r="G4" s="107">
        <v>14.249187794541458</v>
      </c>
      <c r="H4" s="107">
        <v>66.531917724292455</v>
      </c>
      <c r="I4" s="109">
        <v>8.4303868303500003E-3</v>
      </c>
      <c r="J4" s="109">
        <v>5.8777405134768176E-9</v>
      </c>
      <c r="K4" s="109">
        <v>5.8170879563313537E-10</v>
      </c>
      <c r="L4" s="152">
        <v>5.0057637090194163E-9</v>
      </c>
      <c r="M4" s="27"/>
      <c r="N4" s="18">
        <v>8.2024544852122148E-9</v>
      </c>
      <c r="O4" s="18">
        <v>3.9120658998460512E-14</v>
      </c>
      <c r="P4" s="18">
        <v>1.9560329499230255E-11</v>
      </c>
      <c r="Q4" s="28">
        <v>4.9048029516391667</v>
      </c>
      <c r="R4" s="60">
        <v>100</v>
      </c>
      <c r="S4" s="57">
        <v>0</v>
      </c>
      <c r="U4" s="127">
        <v>5.0055768735789548E-9</v>
      </c>
      <c r="V4" s="127">
        <v>5.0057637090194163E-9</v>
      </c>
      <c r="W4" s="128">
        <v>5.005956379973842E-9</v>
      </c>
      <c r="X4" s="128">
        <f t="shared" si="0"/>
        <v>5.0057651678979078E-9</v>
      </c>
      <c r="Y4" s="139">
        <f t="shared" si="1"/>
        <v>2.246969360659699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1.8248714496241409E-6</v>
      </c>
      <c r="D5" s="101">
        <v>1.5392483148537927E-10</v>
      </c>
      <c r="E5" s="101">
        <v>5.0509225500401457E-8</v>
      </c>
      <c r="F5" s="149">
        <f>(H10-H4)*H8</f>
        <v>1006.1156562450581</v>
      </c>
      <c r="G5" s="107">
        <f>F4</f>
        <v>66.531917724292455</v>
      </c>
      <c r="H5" s="111" t="s">
        <v>599</v>
      </c>
      <c r="I5" s="109">
        <v>8.5146906986500008E-3</v>
      </c>
      <c r="J5" s="109">
        <v>5.6472200439983909E-9</v>
      </c>
      <c r="K5" s="109">
        <v>4.7351651226951321E-10</v>
      </c>
      <c r="L5" s="152">
        <v>5.2064426087168459E-9</v>
      </c>
      <c r="M5" s="27"/>
      <c r="N5" s="18">
        <v>6.7565989882685858E-8</v>
      </c>
      <c r="O5" s="18">
        <v>3.2224818252381934E-13</v>
      </c>
      <c r="P5" s="18">
        <v>1.6112409126190968E-10</v>
      </c>
      <c r="Q5" s="28">
        <v>3.6523201121195434</v>
      </c>
      <c r="R5" s="60">
        <v>100</v>
      </c>
      <c r="S5" s="57">
        <v>8.2024544852122148E-9</v>
      </c>
      <c r="U5" s="127">
        <v>5.2062604094397702E-9</v>
      </c>
      <c r="V5" s="127">
        <v>5.2064426087168459E-9</v>
      </c>
      <c r="W5" s="128">
        <v>5.2066320881757427E-9</v>
      </c>
      <c r="X5" s="128">
        <f t="shared" si="0"/>
        <v>5.2064444287623014E-9</v>
      </c>
      <c r="Y5" s="139">
        <f t="shared" si="1"/>
        <v>0.86649261237212827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8.4383076650543174E-7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8.5998376056400008E-3</v>
      </c>
      <c r="J6" s="109">
        <v>5.4500714469638208E-9</v>
      </c>
      <c r="K6" s="109">
        <v>4.2792829153699606E-10</v>
      </c>
      <c r="L6" s="152">
        <v>5.4148239715487847E-9</v>
      </c>
      <c r="M6" s="27"/>
      <c r="N6" s="18">
        <v>1.5344425765415313E-7</v>
      </c>
      <c r="O6" s="18">
        <v>7.318346587332186E-13</v>
      </c>
      <c r="P6" s="18">
        <v>3.6591732936660931E-10</v>
      </c>
      <c r="Q6" s="28">
        <v>2.0324391365859404</v>
      </c>
      <c r="R6" s="60">
        <v>104.90480295163917</v>
      </c>
      <c r="S6" s="57">
        <v>8.2024544852122148E-9</v>
      </c>
      <c r="U6" s="127">
        <v>5.4146521807937471E-9</v>
      </c>
      <c r="V6" s="127">
        <v>5.4148239715487847E-9</v>
      </c>
      <c r="W6" s="128">
        <v>5.415004818251444E-9</v>
      </c>
      <c r="X6" s="128">
        <f t="shared" si="0"/>
        <v>5.4148262355356899E-9</v>
      </c>
      <c r="Y6" s="139">
        <f t="shared" si="1"/>
        <v>6.7835689021548632E-3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23.313779615057957</v>
      </c>
      <c r="G7" s="102">
        <v>5</v>
      </c>
      <c r="H7" s="134" t="s">
        <v>600</v>
      </c>
      <c r="I7" s="109">
        <v>8.6858359817000002E-3</v>
      </c>
      <c r="J7" s="109">
        <v>5.4545788011472404E-9</v>
      </c>
      <c r="K7" s="109">
        <v>4.0002260802673601E-10</v>
      </c>
      <c r="L7" s="152">
        <v>5.6311166770609656E-9</v>
      </c>
      <c r="M7" s="27"/>
      <c r="N7" s="18">
        <v>2.5062001047525397E-7</v>
      </c>
      <c r="O7" s="18">
        <v>1.1953031846344163E-12</v>
      </c>
      <c r="P7" s="18">
        <v>5.9765159231720819E-10</v>
      </c>
      <c r="Q7" s="28">
        <v>1.4891048439604648</v>
      </c>
      <c r="R7" s="60">
        <v>104.90480295163917</v>
      </c>
      <c r="S7" s="57">
        <v>6.7565989882685858E-8</v>
      </c>
      <c r="U7" s="127">
        <v>5.6309636830546155E-9</v>
      </c>
      <c r="V7" s="127">
        <v>5.6311166770609656E-9</v>
      </c>
      <c r="W7" s="128">
        <v>5.631280906087502E-9</v>
      </c>
      <c r="X7" s="128">
        <f t="shared" si="0"/>
        <v>5.6311194858160116E-9</v>
      </c>
      <c r="Y7" s="139">
        <f t="shared" si="1"/>
        <v>0.19476931602402642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2.0873316142293096E-6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8.7726943415100001E-3</v>
      </c>
      <c r="J8" s="109">
        <v>5.9904880542067381E-9</v>
      </c>
      <c r="K8" s="109">
        <v>4.2104704479688629E-10</v>
      </c>
      <c r="L8" s="152">
        <v>5.85550577021563E-9</v>
      </c>
      <c r="M8" s="27"/>
      <c r="N8" s="18">
        <v>3.5317445920630981E-7</v>
      </c>
      <c r="O8" s="18">
        <v>1.6844247792517059E-12</v>
      </c>
      <c r="P8" s="18">
        <v>8.422123896258529E-10</v>
      </c>
      <c r="Q8" s="28">
        <v>1.211813136355105</v>
      </c>
      <c r="R8" s="60">
        <v>108.55712306375871</v>
      </c>
      <c r="S8" s="57">
        <v>6.7565989882685858E-8</v>
      </c>
      <c r="U8" s="127">
        <v>5.85538383566362E-9</v>
      </c>
      <c r="V8" s="127">
        <v>5.85550577021563E-9</v>
      </c>
      <c r="W8" s="128">
        <v>5.8556416024211787E-9</v>
      </c>
      <c r="X8" s="128">
        <f t="shared" si="0"/>
        <v>5.8555092446290149E-9</v>
      </c>
      <c r="Y8" s="139">
        <f t="shared" si="1"/>
        <v>0.10277084804088073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8.86042128493E-3</v>
      </c>
      <c r="J9" s="109">
        <v>6.2348597563398175E-9</v>
      </c>
      <c r="K9" s="109">
        <v>4.2105989066385185E-10</v>
      </c>
      <c r="L9" s="152">
        <v>6.0881347010784057E-9</v>
      </c>
      <c r="M9" s="27"/>
      <c r="N9" s="18">
        <v>4.5839802916111792E-7</v>
      </c>
      <c r="O9" s="18">
        <v>2.1862764391693533E-12</v>
      </c>
      <c r="P9" s="18">
        <v>1.0931382195846767E-9</v>
      </c>
      <c r="Q9" s="28">
        <v>1.0464073710318944</v>
      </c>
      <c r="R9" s="60">
        <v>108.55712306375871</v>
      </c>
      <c r="S9" s="57">
        <v>1.5344425765415313E-7</v>
      </c>
      <c r="U9" s="127">
        <v>6.0880619621991773E-9</v>
      </c>
      <c r="V9" s="127">
        <v>6.0881347010784057E-9</v>
      </c>
      <c r="W9" s="128">
        <v>6.0882245639740593E-9</v>
      </c>
      <c r="X9" s="128">
        <f t="shared" si="0"/>
        <v>6.0881389820825112E-9</v>
      </c>
      <c r="Y9" s="139">
        <f t="shared" si="1"/>
        <v>0.1214214664148848</v>
      </c>
      <c r="AA9" s="73"/>
      <c r="AB9" s="176"/>
      <c r="AC9" s="176"/>
      <c r="AD9" s="176"/>
      <c r="AJ9" s="135"/>
    </row>
    <row r="10" spans="1:36" x14ac:dyDescent="0.35">
      <c r="A10" s="69">
        <v>4.2696806033289789</v>
      </c>
      <c r="B10" s="100"/>
      <c r="C10" s="101"/>
      <c r="D10" s="101"/>
      <c r="E10" s="101"/>
      <c r="F10" s="102"/>
      <c r="G10" s="102"/>
      <c r="H10" s="107">
        <v>1072.6475739693506</v>
      </c>
      <c r="I10" s="109">
        <v>8.9490254977800006E-3</v>
      </c>
      <c r="J10" s="109">
        <v>6.3656173983172228E-9</v>
      </c>
      <c r="K10" s="109">
        <v>4.1429083480183004E-10</v>
      </c>
      <c r="L10" s="152">
        <v>6.3290816847640895E-9</v>
      </c>
      <c r="M10" s="27"/>
      <c r="N10" s="18">
        <v>5.6493996607597728E-7</v>
      </c>
      <c r="O10" s="18">
        <v>2.694415897985731E-12</v>
      </c>
      <c r="P10" s="18">
        <v>1.3472079489928657E-9</v>
      </c>
      <c r="Q10" s="28">
        <v>0.94003273962769152</v>
      </c>
      <c r="R10" s="60">
        <v>110.58956220034464</v>
      </c>
      <c r="S10" s="57">
        <v>1.5344425765415313E-7</v>
      </c>
      <c r="U10" s="127">
        <v>6.3290853909951703E-9</v>
      </c>
      <c r="V10" s="127">
        <v>6.3290816847640895E-9</v>
      </c>
      <c r="W10" s="128">
        <v>6.3290989467459609E-9</v>
      </c>
      <c r="X10" s="128">
        <f t="shared" si="0"/>
        <v>6.3290869268173282E-9</v>
      </c>
      <c r="Y10" s="139">
        <f t="shared" si="1"/>
        <v>7.7749911624678623E-3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9.0385157527600006E-3</v>
      </c>
      <c r="J11" s="109">
        <v>6.7049515186303356E-9</v>
      </c>
      <c r="K11" s="109">
        <v>4.095588662660221E-10</v>
      </c>
      <c r="L11" s="152">
        <v>6.5783222436143671E-9</v>
      </c>
      <c r="M11" s="27"/>
      <c r="N11" s="18">
        <v>6.7210257944260968E-7</v>
      </c>
      <c r="O11" s="18">
        <v>3.2055156014291243E-12</v>
      </c>
      <c r="P11" s="18">
        <v>1.6027578007145623E-9</v>
      </c>
      <c r="Q11" s="28">
        <v>0.86953063669558062</v>
      </c>
      <c r="R11" s="60">
        <v>110.58956220034464</v>
      </c>
      <c r="S11" s="57">
        <v>2.5062001047525397E-7</v>
      </c>
      <c r="U11" s="127">
        <v>6.5784441776031225E-9</v>
      </c>
      <c r="V11" s="127">
        <v>6.5783222436143671E-9</v>
      </c>
      <c r="W11" s="128">
        <v>6.5782257014945758E-9</v>
      </c>
      <c r="X11" s="128">
        <f t="shared" si="0"/>
        <v>6.5783285915816083E-9</v>
      </c>
      <c r="Y11" s="139">
        <f t="shared" si="1"/>
        <v>9.5585503661302348E-2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7.902217093802695E-9</v>
      </c>
      <c r="K12" s="109">
        <v>4.493891689978206E-10</v>
      </c>
      <c r="L12" s="152">
        <v>6.835666691119219E-9</v>
      </c>
      <c r="M12" s="27"/>
      <c r="N12" s="18">
        <v>7.7952833210428636E-7</v>
      </c>
      <c r="O12" s="18">
        <v>3.7178703173384912E-12</v>
      </c>
      <c r="P12" s="18">
        <v>1.8589351586692456E-9</v>
      </c>
      <c r="Q12" s="28">
        <v>0.82330519768115307</v>
      </c>
      <c r="R12" s="60">
        <v>112.07866704430511</v>
      </c>
      <c r="S12" s="57">
        <v>2.5062001047525397E-7</v>
      </c>
      <c r="U12" s="127">
        <v>6.8359725981584564E-9</v>
      </c>
      <c r="V12" s="127">
        <v>6.835666691119219E-9</v>
      </c>
      <c r="W12" s="128">
        <v>6.8353908827876232E-9</v>
      </c>
      <c r="X12" s="128">
        <f t="shared" si="0"/>
        <v>6.83567421579613E-9</v>
      </c>
      <c r="Y12" s="139">
        <f t="shared" si="1"/>
        <v>5.6326327756069121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9.2201899193900001E-3</v>
      </c>
      <c r="J13" s="109">
        <v>7.8516496565663166E-9</v>
      </c>
      <c r="K13" s="109">
        <v>4.4959816248964045E-10</v>
      </c>
      <c r="L13" s="152">
        <v>7.1006514009748149E-9</v>
      </c>
      <c r="M13" s="27"/>
      <c r="N13" s="18">
        <v>8.8704523529019764E-7</v>
      </c>
      <c r="O13" s="18">
        <v>4.2306597651421388E-12</v>
      </c>
      <c r="P13" s="18">
        <v>2.1153298825710695E-9</v>
      </c>
      <c r="Q13" s="28">
        <v>0.79515547909220108</v>
      </c>
      <c r="R13" s="60">
        <v>112.07866704430511</v>
      </c>
      <c r="S13" s="57">
        <v>3.5317445920630981E-7</v>
      </c>
      <c r="U13" s="127">
        <v>7.1012481903990461E-9</v>
      </c>
      <c r="V13" s="127">
        <v>7.1006514009748149E-9</v>
      </c>
      <c r="W13" s="128">
        <v>7.1000887259764301E-9</v>
      </c>
      <c r="X13" s="128">
        <f t="shared" si="0"/>
        <v>7.1006599295812767E-9</v>
      </c>
      <c r="Y13" s="139">
        <f t="shared" si="1"/>
        <v>2.7900946554669401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1.3701415271707418</v>
      </c>
      <c r="I14" s="109">
        <v>9.3123918185800004E-3</v>
      </c>
      <c r="J14" s="109">
        <v>7.2747556274073388E-9</v>
      </c>
      <c r="K14" s="109">
        <v>4.2327494227807434E-10</v>
      </c>
      <c r="L14" s="152">
        <v>7.3723400289445838E-9</v>
      </c>
      <c r="M14" s="27"/>
      <c r="N14" s="18">
        <v>9.9458317180889361E-7</v>
      </c>
      <c r="O14" s="18">
        <v>4.7435495289964222E-12</v>
      </c>
      <c r="P14" s="18">
        <v>2.3717747644982111E-9</v>
      </c>
      <c r="Q14" s="28">
        <v>0.78179821378419745</v>
      </c>
      <c r="R14" s="60">
        <v>113.29048018066021</v>
      </c>
      <c r="S14" s="57">
        <v>3.5317445920630981E-7</v>
      </c>
      <c r="U14" s="127">
        <v>7.3734090339054854E-9</v>
      </c>
      <c r="V14" s="127">
        <v>7.3723400289445838E-9</v>
      </c>
      <c r="W14" s="128">
        <v>7.3713056911125061E-9</v>
      </c>
      <c r="X14" s="128">
        <f t="shared" si="0"/>
        <v>7.37234869572679E-9</v>
      </c>
      <c r="Y14" s="139">
        <f t="shared" si="1"/>
        <v>5.3160961407705126E-2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645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9.4055157367700006E-3</v>
      </c>
      <c r="J15" s="109">
        <v>8.0406908314057133E-9</v>
      </c>
      <c r="K15" s="109">
        <v>3.4064555178846688E-10</v>
      </c>
      <c r="L15" s="152">
        <v>7.6489339552373776E-9</v>
      </c>
      <c r="M15" s="27"/>
      <c r="N15" s="18">
        <v>1.1497198201668351E-6</v>
      </c>
      <c r="O15" s="18">
        <v>6.9303993978981447E-12</v>
      </c>
      <c r="P15" s="18">
        <v>3.2017663540051931E-9</v>
      </c>
      <c r="Q15" s="28">
        <v>1.5120890391884649</v>
      </c>
      <c r="R15" s="60">
        <v>113.29048018066021</v>
      </c>
      <c r="S15" s="57">
        <v>4.5839802916111792E-7</v>
      </c>
      <c r="U15" s="127">
        <v>7.6508001565279937E-9</v>
      </c>
      <c r="V15" s="127">
        <v>7.6489339552373776E-9</v>
      </c>
      <c r="W15" s="128">
        <v>7.6470917270102247E-9</v>
      </c>
      <c r="X15" s="128">
        <f t="shared" si="0"/>
        <v>7.6489399485032442E-9</v>
      </c>
      <c r="Y15" s="139">
        <f t="shared" si="1"/>
        <v>1.3225573804856572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1.6199999999999999E-6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0.29996142000263898</v>
      </c>
      <c r="I16" s="109">
        <v>9.4995708941299998E-3</v>
      </c>
      <c r="J16" s="109">
        <v>8.5203096998661281E-9</v>
      </c>
      <c r="K16" s="109">
        <v>3.3409197551913549E-10</v>
      </c>
      <c r="L16" s="152">
        <v>7.9269377200144973E-9</v>
      </c>
      <c r="M16" s="27"/>
      <c r="N16" s="18">
        <v>1.4460634001007074E-6</v>
      </c>
      <c r="O16" s="18">
        <v>8.683949230246046E-12</v>
      </c>
      <c r="P16" s="18">
        <v>4.0166086483197379E-9</v>
      </c>
      <c r="Q16" s="28">
        <v>3.0241780783769299</v>
      </c>
      <c r="R16" s="60">
        <v>114.3368875516921</v>
      </c>
      <c r="S16" s="57">
        <v>4.5839802916111792E-7</v>
      </c>
      <c r="U16" s="127">
        <v>7.9302280113050018E-9</v>
      </c>
      <c r="V16" s="127">
        <v>7.9269377200144973E-9</v>
      </c>
      <c r="W16" s="128">
        <v>7.9236265294799118E-9</v>
      </c>
      <c r="X16" s="128">
        <f t="shared" si="0"/>
        <v>7.9269324952034762E-9</v>
      </c>
      <c r="Y16" s="139">
        <f t="shared" si="1"/>
        <v>3.154493432585983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646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9.5945666030799997E-3</v>
      </c>
      <c r="J17" s="109">
        <v>8.1901134774062306E-9</v>
      </c>
      <c r="K17" s="109">
        <v>3.2422875721297083E-10</v>
      </c>
      <c r="L17" s="152">
        <v>8.19917341760424E-9</v>
      </c>
      <c r="M17" s="27"/>
      <c r="N17" s="18">
        <v>1.7591421768587979E-6</v>
      </c>
      <c r="O17" s="18">
        <v>1.0737004306449945E-11</v>
      </c>
      <c r="P17" s="18">
        <v>4.9412066223227525E-9</v>
      </c>
      <c r="Q17" s="28">
        <v>3.0241780783769299</v>
      </c>
      <c r="R17" s="60">
        <v>114.3368875516921</v>
      </c>
      <c r="S17" s="57">
        <v>5.6493996607597728E-7</v>
      </c>
      <c r="U17" s="127">
        <v>8.2052167949052384E-9</v>
      </c>
      <c r="V17" s="127">
        <v>8.19917341760424E-9</v>
      </c>
      <c r="W17" s="128">
        <v>8.1929601562348514E-9</v>
      </c>
      <c r="X17" s="128">
        <f t="shared" si="0"/>
        <v>8.1991309465871428E-9</v>
      </c>
      <c r="Y17" s="139">
        <f t="shared" si="1"/>
        <v>7.7351060108222776E-4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193.24</v>
      </c>
      <c r="D18" s="159">
        <v>44.06</v>
      </c>
      <c r="E18" s="159">
        <v>48.06</v>
      </c>
      <c r="F18" s="104"/>
      <c r="G18" s="104"/>
      <c r="H18" s="160">
        <v>0.13296112586776113</v>
      </c>
      <c r="I18" s="109">
        <v>9.69051226911E-3</v>
      </c>
      <c r="J18" s="109">
        <v>7.8481668883286408E-9</v>
      </c>
      <c r="K18" s="109">
        <v>3.1751660269556997E-10</v>
      </c>
      <c r="L18" s="152">
        <v>8.4500310218531071E-9</v>
      </c>
      <c r="N18" s="18">
        <v>1.9503774739540381E-6</v>
      </c>
      <c r="O18" s="18">
        <v>1.2352942144323782E-11</v>
      </c>
      <c r="P18" s="18">
        <v>5.6210288469197552E-9</v>
      </c>
      <c r="Q18" s="28">
        <v>3.0241780783769299</v>
      </c>
      <c r="R18" s="60">
        <v>115.2769202913198</v>
      </c>
      <c r="S18" s="57">
        <v>5.6493996607597728E-7</v>
      </c>
      <c r="U18" s="127">
        <v>8.4618087516102272E-9</v>
      </c>
      <c r="V18" s="127">
        <v>8.4500310218531071E-9</v>
      </c>
      <c r="W18" s="128">
        <v>8.4376564228733957E-9</v>
      </c>
      <c r="X18" s="128">
        <f t="shared" si="0"/>
        <v>8.4498818045474601E-9</v>
      </c>
      <c r="Y18" s="139">
        <f t="shared" si="1"/>
        <v>3.5912751206606925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9.7874173918000001E-3</v>
      </c>
      <c r="J19" s="109">
        <v>8.5254133884364697E-9</v>
      </c>
      <c r="K19" s="109">
        <v>3.325057265656656E-10</v>
      </c>
      <c r="L19" s="152">
        <v>8.6445875112417119E-9</v>
      </c>
      <c r="N19" s="18">
        <v>2.0411123267002471E-6</v>
      </c>
      <c r="O19" s="18">
        <v>1.3660524235559275E-11</v>
      </c>
      <c r="P19" s="18">
        <v>6.1155461578073798E-9</v>
      </c>
      <c r="Q19" s="28">
        <v>3.0241780783769299</v>
      </c>
      <c r="R19" s="60">
        <v>115.2769202913198</v>
      </c>
      <c r="S19" s="57">
        <v>6.7210257944260968E-7</v>
      </c>
      <c r="U19" s="127">
        <v>8.6682384603154759E-9</v>
      </c>
      <c r="V19" s="127">
        <v>8.6445875112417119E-9</v>
      </c>
      <c r="W19" s="128">
        <v>8.6193903494048771E-9</v>
      </c>
      <c r="X19" s="128">
        <f t="shared" si="0"/>
        <v>8.6442009580509438E-9</v>
      </c>
      <c r="Y19" s="139">
        <f t="shared" si="1"/>
        <v>0.12762734503558834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1.6621116364056054E-2</v>
      </c>
      <c r="I20" s="109">
        <v>9.8852915657199995E-3</v>
      </c>
      <c r="J20" s="109">
        <v>8.2140202182550355E-9</v>
      </c>
      <c r="K20" s="109">
        <v>4.8924965608828085E-10</v>
      </c>
      <c r="L20" s="152">
        <v>8.7108739972443443E-9</v>
      </c>
      <c r="N20" s="18">
        <v>2.0737322346206905E-6</v>
      </c>
      <c r="O20" s="18">
        <v>1.489105838916491E-11</v>
      </c>
      <c r="P20" s="18">
        <v>6.5351044316983838E-9</v>
      </c>
      <c r="Q20" s="28">
        <v>3.0241780783769299</v>
      </c>
      <c r="R20" s="60">
        <v>116.14645092801538</v>
      </c>
      <c r="S20" s="57">
        <v>6.7210257944260968E-7</v>
      </c>
      <c r="U20" s="127">
        <v>8.7543240799309714E-9</v>
      </c>
      <c r="V20" s="127">
        <v>8.7108739972443443E-9</v>
      </c>
      <c r="W20" s="128">
        <v>8.6648680605809969E-9</v>
      </c>
      <c r="X20" s="128">
        <f t="shared" si="0"/>
        <v>8.7102350337501638E-9</v>
      </c>
      <c r="Y20" s="139">
        <f t="shared" si="1"/>
        <v>1.0286754983151352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7.3378271726007138E-9</v>
      </c>
      <c r="K21" s="109">
        <v>4.4691639932590015E-10</v>
      </c>
      <c r="L21" s="152">
        <v>8.5126895606823719E-9</v>
      </c>
      <c r="M21" s="31"/>
      <c r="N21" s="18">
        <v>2.0813675130489165E-6</v>
      </c>
      <c r="O21" s="18">
        <v>1.6233304442947181E-11</v>
      </c>
      <c r="P21" s="30">
        <v>6.9684854329942386E-9</v>
      </c>
      <c r="Q21" s="65">
        <v>3.0241780783769299</v>
      </c>
      <c r="R21" s="62">
        <v>116.14645092801538</v>
      </c>
      <c r="S21" s="61">
        <v>7.7952833210428636E-7</v>
      </c>
      <c r="T21" s="75"/>
      <c r="U21" s="127">
        <v>8.5717138063043425E-9</v>
      </c>
      <c r="V21" s="127">
        <v>8.5126895606823719E-9</v>
      </c>
      <c r="W21" s="128">
        <v>8.452390304805144E-9</v>
      </c>
      <c r="X21" s="128">
        <f t="shared" si="0"/>
        <v>8.5123708081185572E-9</v>
      </c>
      <c r="Y21" s="139">
        <f t="shared" si="1"/>
        <v>6.9069407350230811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1.0083985926200001E-2</v>
      </c>
      <c r="J22" s="109">
        <v>6.670010018188706E-9</v>
      </c>
      <c r="K22" s="109">
        <v>4.2723074114785002E-10</v>
      </c>
      <c r="L22" s="152">
        <v>7.8377207746738827E-9</v>
      </c>
      <c r="N22" s="18">
        <v>2.0806142583636438E-6</v>
      </c>
      <c r="O22" s="18">
        <v>1.7797949243549057E-11</v>
      </c>
      <c r="P22" s="18">
        <v>7.4652915017234569E-9</v>
      </c>
      <c r="Q22" s="28">
        <v>3.0241780783769299</v>
      </c>
      <c r="R22" s="60">
        <v>116.96975612569653</v>
      </c>
      <c r="S22" s="57">
        <v>7.7952833210428636E-7</v>
      </c>
      <c r="U22" s="127">
        <v>7.8726809241761364E-9</v>
      </c>
      <c r="V22" s="127">
        <v>7.8377207746738827E-9</v>
      </c>
      <c r="W22" s="128">
        <v>7.8066836348314011E-9</v>
      </c>
      <c r="X22" s="128">
        <f t="shared" si="0"/>
        <v>7.8387015270888257E-9</v>
      </c>
      <c r="Y22" s="139">
        <f t="shared" si="1"/>
        <v>7.4829835114943624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5.361887621551712E-9</v>
      </c>
      <c r="K23" s="109">
        <v>3.8737472222430398E-10</v>
      </c>
      <c r="L23" s="152">
        <v>6.5565346475918822E-9</v>
      </c>
      <c r="N23" s="18">
        <v>2.077349549490394E-6</v>
      </c>
      <c r="O23" s="18">
        <v>1.9644320910968689E-11</v>
      </c>
      <c r="P23" s="18">
        <v>8.049488510445612E-9</v>
      </c>
      <c r="Q23" s="28">
        <v>3.0241780783769299</v>
      </c>
      <c r="R23" s="60">
        <v>116.96975612569653</v>
      </c>
      <c r="S23" s="57">
        <v>8.8704523529019764E-7</v>
      </c>
      <c r="U23" s="127">
        <v>6.5029720819788535E-9</v>
      </c>
      <c r="V23" s="127">
        <v>6.5565346475918822E-9</v>
      </c>
      <c r="W23" s="128">
        <v>6.6183414429715528E-9</v>
      </c>
      <c r="X23" s="128">
        <f t="shared" si="0"/>
        <v>6.5585957050335425E-9</v>
      </c>
      <c r="Y23" s="139">
        <f t="shared" si="1"/>
        <v>9.5436365892196307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1.02866740433E-2</v>
      </c>
      <c r="J24" s="109">
        <v>4.3874014154333551E-9</v>
      </c>
      <c r="K24" s="109">
        <v>3.3715503299744497E-10</v>
      </c>
      <c r="L24" s="152">
        <v>4.9758763368672658E-9</v>
      </c>
      <c r="N24" s="18">
        <v>2.073079491270527E-6</v>
      </c>
      <c r="O24" s="18">
        <v>2.1809452003258834E-11</v>
      </c>
      <c r="P24" s="18">
        <v>8.7341583049771026E-9</v>
      </c>
      <c r="Q24" s="28">
        <v>3.0241780783769299</v>
      </c>
      <c r="R24" s="60">
        <v>117.76491160478874</v>
      </c>
      <c r="S24" s="57">
        <v>8.8704523529019764E-7</v>
      </c>
      <c r="U24" s="127">
        <v>4.8084715563880749E-9</v>
      </c>
      <c r="V24" s="127">
        <v>4.9758763368672658E-9</v>
      </c>
      <c r="W24" s="128">
        <v>5.1488729117363639E-9</v>
      </c>
      <c r="X24" s="128">
        <f t="shared" si="0"/>
        <v>4.9772742854647428E-9</v>
      </c>
      <c r="Y24" s="139">
        <f t="shared" si="1"/>
        <v>3.0609592647397923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1.7860352480266717E-6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21.758164262199287</v>
      </c>
      <c r="H25" s="149">
        <v>200</v>
      </c>
      <c r="I25" s="109">
        <v>1.03895407837E-2</v>
      </c>
      <c r="J25" s="109">
        <v>3.8992572147554545E-9</v>
      </c>
      <c r="K25" s="109">
        <v>3.2045906470161478E-10</v>
      </c>
      <c r="L25" s="152">
        <v>3.7435463823797556E-9</v>
      </c>
      <c r="N25" s="18">
        <v>2.0680616462563614E-6</v>
      </c>
      <c r="O25" s="18">
        <v>2.4321604044869558E-11</v>
      </c>
      <c r="P25" s="18">
        <v>9.5285099472467845E-9</v>
      </c>
      <c r="Q25" s="28">
        <v>3.0241780783769299</v>
      </c>
      <c r="R25" s="60">
        <v>117.76491160478874</v>
      </c>
      <c r="S25" s="57">
        <v>9.9458317180889361E-7</v>
      </c>
      <c r="U25" s="127">
        <v>3.508165558052043E-9</v>
      </c>
      <c r="V25" s="127">
        <v>3.7435463823797556E-9</v>
      </c>
      <c r="W25" s="128">
        <v>3.9776000836936E-9</v>
      </c>
      <c r="X25" s="128">
        <f t="shared" si="0"/>
        <v>3.7432146016262889E-9</v>
      </c>
      <c r="Y25" s="139">
        <f t="shared" si="1"/>
        <v>0.23710532486302036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1.7860352480266717E-6</v>
      </c>
      <c r="D26" s="101">
        <v>1.5392483148537927E-10</v>
      </c>
      <c r="E26" s="101">
        <v>5.0509225500401457E-8</v>
      </c>
      <c r="F26" s="149">
        <f>(H31-H25)*H29</f>
        <v>864.86357836635534</v>
      </c>
      <c r="G26" s="149">
        <v>55.42680874121109</v>
      </c>
      <c r="H26" s="111" t="s">
        <v>599</v>
      </c>
      <c r="I26" s="109">
        <v>1.04934361916E-2</v>
      </c>
      <c r="J26" s="109">
        <v>3.4348087356159211E-9</v>
      </c>
      <c r="K26" s="109">
        <v>3.0398359734727497E-10</v>
      </c>
      <c r="L26" s="152">
        <v>3.1754143402641781E-9</v>
      </c>
      <c r="N26" s="18">
        <v>2.0622981203982559E-6</v>
      </c>
      <c r="O26" s="18">
        <v>2.7203538365082058E-11</v>
      </c>
      <c r="P26" s="18">
        <v>1.0439781958846343E-8</v>
      </c>
      <c r="Q26" s="28">
        <v>3.0241780783769299</v>
      </c>
      <c r="R26" s="60">
        <v>118.54670981857294</v>
      </c>
      <c r="S26" s="57">
        <v>9.9458317180889361E-7</v>
      </c>
      <c r="U26" s="127">
        <v>2.9368409061065027E-9</v>
      </c>
      <c r="V26" s="127">
        <v>3.1754143402641781E-9</v>
      </c>
      <c r="W26" s="128">
        <v>3.4073891055467091E-9</v>
      </c>
      <c r="X26" s="128">
        <f t="shared" si="0"/>
        <v>3.1737646730453923E-9</v>
      </c>
      <c r="Y26" s="139">
        <f t="shared" si="1"/>
        <v>0.73744110075106595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8.4383076650543174E-7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1.05983705535E-2</v>
      </c>
      <c r="J27" s="109">
        <v>3.1257565959983003E-9</v>
      </c>
      <c r="K27" s="109">
        <v>2.8372616682968685E-10</v>
      </c>
      <c r="L27" s="152">
        <v>3.0656737765485456E-9</v>
      </c>
      <c r="N27" s="18">
        <v>2.0557607727023795E-6</v>
      </c>
      <c r="O27" s="18">
        <v>3.047209997218493E-11</v>
      </c>
      <c r="P27" s="18">
        <v>1.1473305573601647E-8</v>
      </c>
      <c r="Q27" s="28">
        <v>3.0241780783769299</v>
      </c>
      <c r="R27" s="60">
        <v>118.54670981857294</v>
      </c>
      <c r="S27" s="57">
        <v>1.1497198201668351E-6</v>
      </c>
      <c r="U27" s="127">
        <v>2.8568712557932011E-9</v>
      </c>
      <c r="V27" s="127">
        <v>3.0656737765485456E-9</v>
      </c>
      <c r="W27" s="128">
        <v>3.2652246878391586E-9</v>
      </c>
      <c r="X27" s="128">
        <f t="shared" si="0"/>
        <v>3.0633608741823625E-9</v>
      </c>
      <c r="Y27" s="139">
        <f t="shared" si="1"/>
        <v>4.8362734089046386E-2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23.313779615057957</v>
      </c>
      <c r="G28" s="102">
        <v>5</v>
      </c>
      <c r="H28" s="134" t="s">
        <v>600</v>
      </c>
      <c r="I28" s="109">
        <v>1.0704354259E-2</v>
      </c>
      <c r="J28" s="109">
        <v>3.4788972517637563E-9</v>
      </c>
      <c r="K28" s="109">
        <v>2.9957371494369639E-10</v>
      </c>
      <c r="L28" s="152">
        <v>3.1093161858113645E-9</v>
      </c>
      <c r="N28" s="18">
        <v>2.0484307237001874E-6</v>
      </c>
      <c r="O28" s="18">
        <v>3.4136977889566527E-11</v>
      </c>
      <c r="P28" s="18">
        <v>1.2632144907358526E-8</v>
      </c>
      <c r="Q28" s="28">
        <v>3.0241780783769299</v>
      </c>
      <c r="R28" s="60">
        <v>120.0587988577614</v>
      </c>
      <c r="S28" s="57">
        <v>1.1497198201668351E-6</v>
      </c>
      <c r="U28" s="127">
        <v>2.9356222708191299E-9</v>
      </c>
      <c r="V28" s="127">
        <v>3.1093161858113645E-9</v>
      </c>
      <c r="W28" s="128">
        <v>3.2721818000815256E-9</v>
      </c>
      <c r="X28" s="128">
        <f t="shared" si="0"/>
        <v>3.1066091106308462E-9</v>
      </c>
      <c r="Y28" s="139">
        <f t="shared" si="1"/>
        <v>1.5443687129933439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42">
        <v>2.0700000000000001E-6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1.08113978016E-2</v>
      </c>
      <c r="J29" s="109">
        <v>3.2645464194348595E-9</v>
      </c>
      <c r="K29" s="109">
        <v>2.8576661729630198E-10</v>
      </c>
      <c r="L29" s="152">
        <v>3.1541454063977566E-9</v>
      </c>
      <c r="N29" s="18">
        <v>2.0403054166210864E-6</v>
      </c>
      <c r="O29" s="18">
        <v>3.8199467848972076E-11</v>
      </c>
      <c r="P29" s="18">
        <v>1.3916709702454716E-8</v>
      </c>
      <c r="Q29" s="28">
        <v>3.0241780783769299</v>
      </c>
      <c r="R29" s="60">
        <v>120.0587988577614</v>
      </c>
      <c r="S29" s="57">
        <v>1.4460634001007074E-6</v>
      </c>
      <c r="U29" s="127">
        <v>3.013060386730829E-9</v>
      </c>
      <c r="V29" s="127">
        <v>3.1541454063977566E-9</v>
      </c>
      <c r="W29" s="128">
        <v>3.2830647714913644E-9</v>
      </c>
      <c r="X29" s="128">
        <f t="shared" si="0"/>
        <v>3.1511039927544269E-9</v>
      </c>
      <c r="Y29" s="139">
        <f t="shared" si="1"/>
        <v>0.15758977235506449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1.0919511779600001E-2</v>
      </c>
      <c r="J30" s="109">
        <v>3.1971472715751784E-9</v>
      </c>
      <c r="K30" s="109">
        <v>2.8449775033763073E-10</v>
      </c>
      <c r="L30" s="152">
        <v>3.1596115302524059E-9</v>
      </c>
      <c r="N30" s="18">
        <v>2.0314010609880946E-6</v>
      </c>
      <c r="O30" s="18">
        <v>4.2651466356451024E-11</v>
      </c>
      <c r="P30" s="18">
        <v>1.5324437624826763E-8</v>
      </c>
      <c r="Q30" s="28">
        <v>3.0241780783769299</v>
      </c>
      <c r="R30" s="60">
        <v>123.08297693613834</v>
      </c>
      <c r="S30" s="57">
        <v>1.4460634001007074E-6</v>
      </c>
      <c r="U30" s="127">
        <v>3.0490361124440411E-9</v>
      </c>
      <c r="V30" s="127">
        <v>3.1596115302524059E-9</v>
      </c>
      <c r="W30" s="128">
        <v>3.2567898291145955E-9</v>
      </c>
      <c r="X30" s="128">
        <f t="shared" si="0"/>
        <v>3.156262250515862E-9</v>
      </c>
      <c r="Y30" s="139">
        <f t="shared" si="1"/>
        <v>2.0652411911243205E-2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1064.8635783663553</v>
      </c>
      <c r="I31" s="109">
        <v>1.1028706897400001E-2</v>
      </c>
      <c r="J31" s="109">
        <v>2.8194784248411377E-9</v>
      </c>
      <c r="K31" s="109">
        <v>2.6588137391063435E-10</v>
      </c>
      <c r="L31" s="152">
        <v>3.121969739606541E-9</v>
      </c>
      <c r="N31" s="18">
        <v>2.0217539996228796E-6</v>
      </c>
      <c r="O31" s="18">
        <v>4.7474802772493587E-11</v>
      </c>
      <c r="P31" s="18">
        <v>1.6849583093864728E-8</v>
      </c>
      <c r="Q31" s="28">
        <v>3.0241780783769299</v>
      </c>
      <c r="R31" s="60">
        <v>123.08297693613834</v>
      </c>
      <c r="S31" s="57">
        <v>1.7591421768587979E-6</v>
      </c>
      <c r="U31" s="127">
        <v>3.0407575056238916E-9</v>
      </c>
      <c r="V31" s="127">
        <v>3.121969739606541E-9</v>
      </c>
      <c r="W31" s="128">
        <v>3.1886859702056277E-9</v>
      </c>
      <c r="X31" s="128">
        <f t="shared" si="0"/>
        <v>3.1183457387606503E-9</v>
      </c>
      <c r="Y31" s="139">
        <f t="shared" si="1"/>
        <v>1.2635167749692318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1.11389939664E-2</v>
      </c>
      <c r="J32" s="109">
        <v>2.6972730986557516E-9</v>
      </c>
      <c r="K32" s="109">
        <v>2.5330510214609427E-10</v>
      </c>
      <c r="L32" s="152">
        <v>3.0451168054257644E-9</v>
      </c>
      <c r="N32" s="18">
        <v>2.011421217931741E-6</v>
      </c>
      <c r="O32" s="18">
        <v>5.264098554288509E-11</v>
      </c>
      <c r="P32" s="18">
        <v>1.8483137041766481E-8</v>
      </c>
      <c r="Q32" s="28">
        <v>3.0241780783769299</v>
      </c>
      <c r="R32" s="60">
        <v>126.10715501451527</v>
      </c>
      <c r="S32" s="57">
        <v>1.7591421768587979E-6</v>
      </c>
      <c r="U32" s="127">
        <v>2.9925968269807506E-9</v>
      </c>
      <c r="V32" s="127">
        <v>3.0451168054257644E-9</v>
      </c>
      <c r="W32" s="128">
        <v>3.0822489689632858E-9</v>
      </c>
      <c r="X32" s="128">
        <f t="shared" si="0"/>
        <v>3.0412698516988914E-9</v>
      </c>
      <c r="Y32" s="139">
        <f t="shared" si="1"/>
        <v>1.8442543288439419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3.2859723668084791E-9</v>
      </c>
      <c r="K33" s="109">
        <v>2.8695474783089978E-10</v>
      </c>
      <c r="L33" s="152">
        <v>2.9338141377103364E-9</v>
      </c>
      <c r="N33" s="18">
        <v>2.0004799181991802E-6</v>
      </c>
      <c r="O33" s="18">
        <v>5.8111415080027349E-11</v>
      </c>
      <c r="P33" s="18">
        <v>2.0212894226961826E-8</v>
      </c>
      <c r="Q33" s="28">
        <v>3.0241780783769299</v>
      </c>
      <c r="R33" s="60">
        <v>126.10715501451527</v>
      </c>
      <c r="S33" s="57">
        <v>1.9503774739540381E-6</v>
      </c>
      <c r="U33" s="127">
        <v>2.9093159444834791E-9</v>
      </c>
      <c r="V33" s="127">
        <v>2.9338141377103364E-9</v>
      </c>
      <c r="W33" s="128">
        <v>2.9423301556760569E-9</v>
      </c>
      <c r="X33" s="128">
        <f t="shared" si="0"/>
        <v>2.9298185938950519E-9</v>
      </c>
      <c r="Y33" s="139">
        <f t="shared" si="1"/>
        <v>1.5404523505576424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1.1362887745099999E-2</v>
      </c>
      <c r="J34" s="109">
        <v>2.5021570387191993E-9</v>
      </c>
      <c r="K34" s="109">
        <v>2.4761804452938102E-10</v>
      </c>
      <c r="L34" s="152">
        <v>2.7929265843824995E-9</v>
      </c>
      <c r="N34" s="18">
        <v>1.9890261118925223E-6</v>
      </c>
      <c r="O34" s="18">
        <v>6.3838087583677184E-11</v>
      </c>
      <c r="P34" s="18">
        <v>2.2023675783180105E-8</v>
      </c>
      <c r="Q34" s="28">
        <v>3.0241780783769299</v>
      </c>
      <c r="R34" s="60">
        <v>129.13133309289219</v>
      </c>
      <c r="S34" s="57">
        <v>1.9503774739540381E-6</v>
      </c>
      <c r="U34" s="127">
        <v>2.795494972107898E-9</v>
      </c>
      <c r="V34" s="127">
        <v>2.7929265843824995E-9</v>
      </c>
      <c r="W34" s="128">
        <v>2.7741804884772481E-9</v>
      </c>
      <c r="X34" s="128">
        <f t="shared" si="0"/>
        <v>2.7888821573375365E-9</v>
      </c>
      <c r="Y34" s="139">
        <f t="shared" si="1"/>
        <v>1.3408089583961309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1.3701415271707418</v>
      </c>
      <c r="I35" s="109">
        <v>1.14765166226E-2</v>
      </c>
      <c r="J35" s="109">
        <v>2.9118510398100811E-9</v>
      </c>
      <c r="K35" s="109">
        <v>2.6586216057427914E-10</v>
      </c>
      <c r="L35" s="152">
        <v>2.6274661441274782E-9</v>
      </c>
      <c r="N35" s="18">
        <v>1.9771722454207419E-6</v>
      </c>
      <c r="O35" s="18">
        <v>6.9764782113723771E-11</v>
      </c>
      <c r="P35" s="18">
        <v>2.3897704573460719E-8</v>
      </c>
      <c r="Q35" s="28">
        <v>3.0241780783769299</v>
      </c>
      <c r="R35" s="60">
        <v>129.13133309289219</v>
      </c>
      <c r="S35" s="57">
        <v>2.0411123267002471E-6</v>
      </c>
      <c r="U35" s="127">
        <v>2.6556721612546277E-9</v>
      </c>
      <c r="V35" s="127">
        <v>2.6274661441274782E-9</v>
      </c>
      <c r="W35" s="128">
        <v>2.5833875540922587E-9</v>
      </c>
      <c r="X35" s="128">
        <f t="shared" si="0"/>
        <v>2.6234980009004606E-9</v>
      </c>
      <c r="Y35" s="139">
        <f t="shared" si="1"/>
        <v>1.1763485076883569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645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1.1591281788799999E-2</v>
      </c>
      <c r="J36" s="109">
        <v>2.4479249920793824E-9</v>
      </c>
      <c r="K36" s="109">
        <v>1.4925676877461102E-10</v>
      </c>
      <c r="L36" s="152">
        <v>2.4426725993281521E-9</v>
      </c>
      <c r="N36" s="18">
        <v>1.9650439408984097E-6</v>
      </c>
      <c r="O36" s="18">
        <v>7.5828690142582031E-11</v>
      </c>
      <c r="P36" s="18">
        <v>2.5815120456813963E-8</v>
      </c>
      <c r="Q36" s="28">
        <v>3.0241780783769299</v>
      </c>
      <c r="R36" s="60">
        <v>132.15551117126913</v>
      </c>
      <c r="S36" s="57">
        <v>2.0411123267002471E-6</v>
      </c>
      <c r="U36" s="127">
        <v>2.4944910900329663E-9</v>
      </c>
      <c r="V36" s="127">
        <v>2.4426725993281521E-9</v>
      </c>
      <c r="W36" s="128">
        <v>2.375877199256943E-9</v>
      </c>
      <c r="X36" s="128">
        <f t="shared" si="0"/>
        <v>2.4389283719865536E-9</v>
      </c>
      <c r="Y36" s="139">
        <f t="shared" si="1"/>
        <v>3.6332116012640892E-3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1.6199999999999999E-6</v>
      </c>
      <c r="D37" s="157">
        <v>5.6499999999999999E-7</v>
      </c>
      <c r="E37" s="157">
        <v>5.7300000000000002E-6</v>
      </c>
      <c r="F37" s="102"/>
      <c r="G37" s="102"/>
      <c r="H37" s="160">
        <v>0.29996142000263898</v>
      </c>
      <c r="I37" s="109">
        <v>1.17071946067E-2</v>
      </c>
      <c r="J37" s="109">
        <v>2.3357861344794161E-9</v>
      </c>
      <c r="K37" s="109">
        <v>1.3849059821559126E-10</v>
      </c>
      <c r="L37" s="152">
        <v>2.2440349520475095E-9</v>
      </c>
      <c r="N37" s="18">
        <v>1.9558484825141167E-6</v>
      </c>
      <c r="O37" s="18">
        <v>8.0426234162265563E-11</v>
      </c>
      <c r="P37" s="18">
        <v>2.7268870066109524E-8</v>
      </c>
      <c r="Q37" s="28">
        <v>1.5120890391884649</v>
      </c>
      <c r="R37" s="60">
        <v>132.15551117126913</v>
      </c>
      <c r="S37" s="57">
        <v>2.0737322346206905E-6</v>
      </c>
      <c r="U37" s="127">
        <v>2.3167805773121482E-9</v>
      </c>
      <c r="V37" s="127">
        <v>2.2440349520475095E-9</v>
      </c>
      <c r="W37" s="128">
        <v>2.1578633240177735E-9</v>
      </c>
      <c r="X37" s="128">
        <f t="shared" si="0"/>
        <v>2.2406784513562355E-9</v>
      </c>
      <c r="Y37" s="139">
        <f t="shared" si="1"/>
        <v>0.47161827106505055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646</v>
      </c>
      <c r="D38" s="158" t="s">
        <v>612</v>
      </c>
      <c r="E38" s="158" t="s">
        <v>614</v>
      </c>
      <c r="F38" s="104"/>
      <c r="G38" s="104"/>
      <c r="H38" s="144"/>
      <c r="I38" s="109">
        <v>1.18242665528E-2</v>
      </c>
      <c r="J38" s="109">
        <v>2.2844217620846195E-9</v>
      </c>
      <c r="K38" s="109">
        <v>1.3746388513520647E-10</v>
      </c>
      <c r="L38" s="152">
        <v>2.0372438883324974E-9</v>
      </c>
      <c r="N38" s="18">
        <v>1.9453937801278786E-6</v>
      </c>
      <c r="O38" s="18">
        <v>8.5653374825043235E-11</v>
      </c>
      <c r="P38" s="18">
        <v>2.8921698981659327E-8</v>
      </c>
      <c r="Q38" s="28">
        <v>3.6503508260600386</v>
      </c>
      <c r="R38" s="60">
        <v>135.17968924964606</v>
      </c>
      <c r="S38" s="57">
        <v>2.0737322346206905E-6</v>
      </c>
      <c r="U38" s="127">
        <v>2.1275645477965603E-9</v>
      </c>
      <c r="V38" s="127">
        <v>2.0372438883324974E-9</v>
      </c>
      <c r="W38" s="128">
        <v>1.935730561693993E-9</v>
      </c>
      <c r="X38" s="128">
        <f t="shared" si="0"/>
        <v>2.0344457215388873E-9</v>
      </c>
      <c r="Y38" s="139">
        <f t="shared" si="1"/>
        <v>3.3068884197843467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193.24</v>
      </c>
      <c r="D39" s="159">
        <v>44.06</v>
      </c>
      <c r="E39" s="159">
        <v>48.06</v>
      </c>
      <c r="F39" s="104"/>
      <c r="G39" s="104"/>
      <c r="H39" s="108"/>
      <c r="I39" s="109">
        <v>1.19425092183E-2</v>
      </c>
      <c r="J39" s="109">
        <v>1.9295009063244367E-9</v>
      </c>
      <c r="K39" s="109">
        <v>1.287549159252622E-10</v>
      </c>
      <c r="L39" s="152">
        <v>1.8280840111553763E-9</v>
      </c>
      <c r="N39" s="18">
        <v>1.9306296709401888E-6</v>
      </c>
      <c r="O39" s="18">
        <v>9.3035132108373614E-11</v>
      </c>
      <c r="P39" s="18">
        <v>3.1255820573668549E-8</v>
      </c>
      <c r="Q39" s="28">
        <v>3.7127182037174573</v>
      </c>
      <c r="R39" s="60">
        <v>135.17968924964606</v>
      </c>
      <c r="S39" s="57">
        <v>2.0813675130489165E-6</v>
      </c>
      <c r="U39" s="127">
        <v>1.9320113500698606E-9</v>
      </c>
      <c r="V39" s="127">
        <v>1.8280840111553763E-9</v>
      </c>
      <c r="W39" s="128">
        <v>1.7158596086230082E-9</v>
      </c>
      <c r="X39" s="128">
        <f t="shared" si="0"/>
        <v>1.8260097452509054E-9</v>
      </c>
      <c r="Y39" s="139">
        <f t="shared" si="1"/>
        <v>0.64606896501294198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1.5958860098317986E-9</v>
      </c>
      <c r="K40" s="109">
        <v>1.1305293835942937E-10</v>
      </c>
      <c r="L40" s="152">
        <v>1.622280476075115E-9</v>
      </c>
      <c r="N40" s="18">
        <v>1.9158684494629373E-6</v>
      </c>
      <c r="O40" s="18">
        <v>1.0041544559463568E-10</v>
      </c>
      <c r="P40" s="18">
        <v>3.3589485635100807E-8</v>
      </c>
      <c r="Q40" s="28">
        <v>3.8441540994419547</v>
      </c>
      <c r="R40" s="60">
        <v>138.20386732802299</v>
      </c>
      <c r="S40" s="57">
        <v>2.0813675130489165E-6</v>
      </c>
      <c r="U40" s="127">
        <v>1.7353347747011164E-9</v>
      </c>
      <c r="V40" s="127">
        <v>1.622280476075115E-9</v>
      </c>
      <c r="W40" s="128">
        <v>1.5044139526098795E-9</v>
      </c>
      <c r="X40" s="128">
        <f t="shared" si="0"/>
        <v>1.6210774198653065E-9</v>
      </c>
      <c r="Y40" s="139">
        <f t="shared" si="1"/>
        <v>4.9652514230472108E-2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1.2182553653599999E-2</v>
      </c>
      <c r="J41" s="109">
        <v>1.4971935641178372E-9</v>
      </c>
      <c r="K41" s="109">
        <v>1.3723670126405348E-10</v>
      </c>
      <c r="L41" s="152">
        <v>1.4253174823770891E-9</v>
      </c>
      <c r="N41" s="18">
        <v>1.9011197422326193E-6</v>
      </c>
      <c r="O41" s="18">
        <v>1.0778950220943518E-10</v>
      </c>
      <c r="P41" s="18">
        <v>3.5921172265352152E-8</v>
      </c>
      <c r="Q41" s="28">
        <v>4.0599886543388548</v>
      </c>
      <c r="R41" s="60">
        <v>138.20386732802299</v>
      </c>
      <c r="S41" s="57">
        <v>2.0806142583636438E-6</v>
      </c>
      <c r="U41" s="127">
        <v>1.5426603389064565E-9</v>
      </c>
      <c r="V41" s="127">
        <v>1.4253174823770891E-9</v>
      </c>
      <c r="W41" s="128">
        <v>1.3071106099180135E-9</v>
      </c>
      <c r="X41" s="128">
        <f t="shared" si="0"/>
        <v>1.425101478394662E-9</v>
      </c>
      <c r="Y41" s="139">
        <f t="shared" si="1"/>
        <v>0.27595269511433912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1.2304379190100001E-2</v>
      </c>
      <c r="J42" s="109">
        <v>1.0936624621706937E-9</v>
      </c>
      <c r="K42" s="109">
        <v>1.1910516966086511E-10</v>
      </c>
      <c r="L42" s="152">
        <v>1.24224731860872E-9</v>
      </c>
      <c r="N42" s="18">
        <v>1.8864071619488411E-6</v>
      </c>
      <c r="O42" s="18">
        <v>1.1514549607846696E-10</v>
      </c>
      <c r="P42" s="18">
        <v>3.8247147431071527E-8</v>
      </c>
      <c r="Q42" s="28">
        <v>4.3891751440744784</v>
      </c>
      <c r="R42" s="60">
        <v>141.22804540639993</v>
      </c>
      <c r="S42" s="57">
        <v>2.0806142583636438E-6</v>
      </c>
      <c r="U42" s="127">
        <v>1.3588713574836615E-9</v>
      </c>
      <c r="V42" s="127">
        <v>1.24224731860872E-9</v>
      </c>
      <c r="W42" s="128">
        <v>1.1289982254881581E-9</v>
      </c>
      <c r="X42" s="128">
        <f t="shared" si="0"/>
        <v>1.2430910550473151E-9</v>
      </c>
      <c r="Y42" s="139">
        <f t="shared" si="1"/>
        <v>1.5740052969404026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1.1392902366758001E-9</v>
      </c>
      <c r="K43" s="109">
        <v>1.17521578948413E-10</v>
      </c>
      <c r="L43" s="152">
        <v>1.0775082998153036E-9</v>
      </c>
      <c r="N43" s="18">
        <v>1.8717797956388556E-6</v>
      </c>
      <c r="O43" s="18">
        <v>1.2245888467658885E-10</v>
      </c>
      <c r="P43" s="18">
        <v>4.055965075276417E-8</v>
      </c>
      <c r="Q43" s="28">
        <v>4.8858566621079147</v>
      </c>
      <c r="R43" s="60">
        <v>141.22804540639993</v>
      </c>
      <c r="S43" s="57">
        <v>2.077349549490394E-6</v>
      </c>
      <c r="U43" s="127">
        <v>1.1884496508701618E-9</v>
      </c>
      <c r="V43" s="127">
        <v>1.0775082998153036E-9</v>
      </c>
      <c r="W43" s="128">
        <v>9.7426386928753691E-10</v>
      </c>
      <c r="X43" s="128">
        <f t="shared" si="0"/>
        <v>1.0794325299470763E-9</v>
      </c>
      <c r="Y43" s="139">
        <f t="shared" si="1"/>
        <v>0.2594208707700662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9.6421869712783308E-10</v>
      </c>
      <c r="K44" s="109">
        <v>1.1153189375526818E-10</v>
      </c>
      <c r="L44" s="152">
        <v>9.347678302088167E-10</v>
      </c>
      <c r="N44" s="18">
        <v>1.8573334306980402E-6</v>
      </c>
      <c r="O44" s="18">
        <v>1.2968177623501939E-10</v>
      </c>
      <c r="P44" s="18">
        <v>4.2843538788658475E-8</v>
      </c>
      <c r="Q44" s="28">
        <v>5.6581647352616109</v>
      </c>
      <c r="R44" s="60">
        <v>144.25222348477686</v>
      </c>
      <c r="S44" s="57">
        <v>2.077349549490394E-6</v>
      </c>
      <c r="U44" s="127">
        <v>1.0353250693183816E-9</v>
      </c>
      <c r="V44" s="127">
        <v>9.347678302088167E-10</v>
      </c>
      <c r="W44" s="128">
        <v>8.4608540890568611E-10</v>
      </c>
      <c r="X44" s="128">
        <f t="shared" si="0"/>
        <v>9.3773653466042528E-10</v>
      </c>
      <c r="Y44" s="139">
        <f t="shared" si="1"/>
        <v>5.6377879691095832E-2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8.9171799969109176E-10</v>
      </c>
      <c r="K45" s="109">
        <v>1.0716436781448073E-10</v>
      </c>
      <c r="L45" s="152">
        <v>8.1680316069206803E-10</v>
      </c>
      <c r="N45" s="18">
        <v>1.8432535150165132E-6</v>
      </c>
      <c r="O45" s="18">
        <v>1.3672145054313472E-10</v>
      </c>
      <c r="P45" s="18">
        <v>4.5069493283313893E-8</v>
      </c>
      <c r="Q45" s="28">
        <v>6.952887588384205</v>
      </c>
      <c r="R45" s="60">
        <v>144.25222348477686</v>
      </c>
      <c r="S45" s="57">
        <v>2.073079491270527E-6</v>
      </c>
      <c r="U45" s="127">
        <v>9.0274618596757475E-10</v>
      </c>
      <c r="V45" s="127">
        <v>8.1680316069206803E-10</v>
      </c>
      <c r="W45" s="128">
        <v>7.4654018483889788E-10</v>
      </c>
      <c r="X45" s="128">
        <f t="shared" si="0"/>
        <v>8.2072317304765225E-10</v>
      </c>
      <c r="Y45" s="139">
        <f t="shared" si="1"/>
        <v>0.43888687512083474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7.4360693345309468E-10</v>
      </c>
      <c r="K46" s="109">
        <v>9.9463952573185065E-11</v>
      </c>
      <c r="L46" s="152">
        <v>7.2542768352086166E-10</v>
      </c>
      <c r="N46" s="18">
        <v>1.8299120517943948E-6</v>
      </c>
      <c r="O46" s="18">
        <v>1.4339191349204541E-10</v>
      </c>
      <c r="P46" s="18">
        <v>4.717870264907152E-8</v>
      </c>
      <c r="Q46" s="28">
        <v>9.4898091992842097</v>
      </c>
      <c r="R46" s="60">
        <v>147.2764015631538</v>
      </c>
      <c r="S46" s="57">
        <v>2.073079491270527E-6</v>
      </c>
      <c r="U46" s="127">
        <v>7.9318164884807216E-10</v>
      </c>
      <c r="V46" s="127">
        <v>7.2542768352086166E-10</v>
      </c>
      <c r="W46" s="128">
        <v>6.765738823925009E-10</v>
      </c>
      <c r="X46" s="128">
        <f t="shared" si="0"/>
        <v>7.3015272457057409E-10</v>
      </c>
      <c r="Y46" s="139">
        <f t="shared" si="1"/>
        <v>1.82972113622283E-2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6.1736887606400559E-10</v>
      </c>
      <c r="K47" s="109">
        <v>8.7286107243956266E-11</v>
      </c>
      <c r="L47" s="152">
        <v>6.6122094571360147E-10</v>
      </c>
      <c r="N47" s="18">
        <v>1.818121644025066E-6</v>
      </c>
      <c r="O47" s="18">
        <v>1.4928687994875822E-10</v>
      </c>
      <c r="P47" s="18">
        <v>4.9042698979844353E-8</v>
      </c>
      <c r="Q47" s="28">
        <v>17.053313122548804</v>
      </c>
      <c r="R47" s="60">
        <v>147.2764015631538</v>
      </c>
      <c r="S47" s="57">
        <v>2.0680616462563614E-6</v>
      </c>
      <c r="U47" s="127">
        <v>7.0798329063536916E-10</v>
      </c>
      <c r="V47" s="127">
        <v>6.6122094571360147E-10</v>
      </c>
      <c r="W47" s="128">
        <v>6.3581784454472237E-10</v>
      </c>
      <c r="X47" s="128">
        <f t="shared" si="0"/>
        <v>6.6656075665182362E-10</v>
      </c>
      <c r="Y47" s="139">
        <f t="shared" si="1"/>
        <v>0.31761177930275142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5.0586883252409438E-10</v>
      </c>
      <c r="K48" s="109">
        <v>8.1437611056682179E-11</v>
      </c>
      <c r="L48" s="152">
        <v>6.2458378695617744E-10</v>
      </c>
      <c r="N48" s="18">
        <v>1.8099714995574602E-6</v>
      </c>
      <c r="O48" s="18">
        <v>1.5336178805998422E-10</v>
      </c>
      <c r="P48" s="18">
        <v>5.0331190411192935E-8</v>
      </c>
      <c r="Q48" s="28">
        <v>22.90137172290844</v>
      </c>
      <c r="R48" s="60">
        <v>150.30057964153073</v>
      </c>
      <c r="S48" s="57">
        <v>2.0680616462563614E-6</v>
      </c>
      <c r="U48" s="127">
        <v>6.4851471538362267E-10</v>
      </c>
      <c r="V48" s="127">
        <v>6.2458378695617744E-10</v>
      </c>
      <c r="W48" s="128">
        <v>6.235605819496049E-10</v>
      </c>
      <c r="X48" s="128">
        <f t="shared" si="0"/>
        <v>6.3031071781139567E-10</v>
      </c>
      <c r="Y48" s="139">
        <f t="shared" si="1"/>
        <v>2.3349797226530122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5.3829058830227978E-10</v>
      </c>
      <c r="K49" s="109">
        <v>8.1009645183962611E-11</v>
      </c>
      <c r="L49" s="152">
        <v>6.1416043015994729E-10</v>
      </c>
      <c r="N49" s="18">
        <v>1.8088453673519601E-6</v>
      </c>
      <c r="O49" s="18">
        <v>1.5392483148537927E-10</v>
      </c>
      <c r="P49" s="18">
        <v>5.0509225500401457E-8</v>
      </c>
      <c r="Q49" s="28">
        <v>906.50188945653292</v>
      </c>
      <c r="R49" s="60">
        <v>150.30057964153073</v>
      </c>
      <c r="S49" s="57">
        <v>2.0622981203982559E-6</v>
      </c>
      <c r="U49" s="127">
        <v>6.1435642933402774E-10</v>
      </c>
      <c r="V49" s="127">
        <v>6.1416043015994729E-10</v>
      </c>
      <c r="W49" s="128">
        <v>6.3742793083214186E-10</v>
      </c>
      <c r="X49" s="128">
        <f t="shared" si="0"/>
        <v>6.200263051215161E-10</v>
      </c>
      <c r="Y49" s="139">
        <f t="shared" si="1"/>
        <v>1.0180058916149357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1.33238795146E-2</v>
      </c>
      <c r="J50" s="109">
        <v>5.5884309861815783E-10</v>
      </c>
      <c r="K50" s="109">
        <v>8.4932665902709005E-11</v>
      </c>
      <c r="L50" s="152">
        <v>6.2808495720574567E-10</v>
      </c>
      <c r="N50" s="18">
        <v>1.8050701666391347E-6</v>
      </c>
      <c r="O50" s="18">
        <v>1.5392483148537927E-10</v>
      </c>
      <c r="P50" s="18">
        <v>5.0509225500401457E-8</v>
      </c>
      <c r="Q50" s="28">
        <v>3.4421631761482474</v>
      </c>
      <c r="R50" s="60">
        <v>153.32475771990767</v>
      </c>
      <c r="S50" s="57">
        <v>2.0622981203982559E-6</v>
      </c>
      <c r="U50" s="127">
        <v>6.0461332139052767E-10</v>
      </c>
      <c r="V50" s="127">
        <v>6.2808495720574567E-10</v>
      </c>
      <c r="W50" s="128">
        <v>6.7454680059984597E-10</v>
      </c>
      <c r="X50" s="128">
        <f t="shared" si="0"/>
        <v>6.3383250910046619E-10</v>
      </c>
      <c r="Y50" s="139">
        <f t="shared" si="1"/>
        <v>0.77956147150169552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6.9763126254568062E-10</v>
      </c>
      <c r="K51" s="109">
        <v>8.9028280303169182E-11</v>
      </c>
      <c r="L51" s="152">
        <v>6.6379505153291281E-10</v>
      </c>
      <c r="N51" s="18">
        <v>1.7777479472287858E-6</v>
      </c>
      <c r="O51" s="18">
        <v>1.5392483148537927E-10</v>
      </c>
      <c r="P51" s="18">
        <v>5.0509225500401457E-8</v>
      </c>
      <c r="Q51" s="28">
        <v>2.563177750747776</v>
      </c>
      <c r="R51" s="60">
        <v>153.32475771990767</v>
      </c>
      <c r="S51" s="57">
        <v>2.0557607727023795E-6</v>
      </c>
      <c r="U51" s="127">
        <v>6.1766097663385326E-10</v>
      </c>
      <c r="V51" s="127">
        <v>6.6379505153291281E-10</v>
      </c>
      <c r="W51" s="128">
        <v>7.3143065924564816E-10</v>
      </c>
      <c r="X51" s="128">
        <f t="shared" si="0"/>
        <v>6.6917043473633168E-10</v>
      </c>
      <c r="Y51" s="139">
        <f t="shared" si="1"/>
        <v>0.10219722104335466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6.8411158023357558E-10</v>
      </c>
      <c r="K52" s="109">
        <v>9.0326255879190579E-11</v>
      </c>
      <c r="L52" s="152">
        <v>7.1816253158313211E-10</v>
      </c>
      <c r="N52" s="18">
        <v>1.7382222542436509E-6</v>
      </c>
      <c r="O52" s="18">
        <v>1.5392483148537927E-10</v>
      </c>
      <c r="P52" s="18">
        <v>5.0509225500401457E-8</v>
      </c>
      <c r="Q52" s="28">
        <v>1.4263543760469788</v>
      </c>
      <c r="R52" s="60">
        <v>156.3489357982846</v>
      </c>
      <c r="S52" s="57">
        <v>2.0557607727023795E-6</v>
      </c>
      <c r="U52" s="127">
        <v>6.5124028511653739E-10</v>
      </c>
      <c r="V52" s="127">
        <v>7.1816253158313211E-10</v>
      </c>
      <c r="W52" s="128">
        <v>8.041411455998474E-10</v>
      </c>
      <c r="X52" s="128">
        <f t="shared" si="0"/>
        <v>7.2292662347066233E-10</v>
      </c>
      <c r="Y52" s="139">
        <f t="shared" si="1"/>
        <v>0.18465970238805612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8.3272106656818253E-10</v>
      </c>
      <c r="K53" s="109">
        <v>9.5860963874411074E-11</v>
      </c>
      <c r="L53" s="152">
        <v>7.8762975091781936E-10</v>
      </c>
      <c r="N53" s="18">
        <v>1.6934968647909035E-6</v>
      </c>
      <c r="O53" s="18">
        <v>1.5392483148537927E-10</v>
      </c>
      <c r="P53" s="18">
        <v>5.0509225500401457E-8</v>
      </c>
      <c r="Q53" s="28">
        <v>1.0450454197332617</v>
      </c>
      <c r="R53" s="60">
        <v>156.3489357982846</v>
      </c>
      <c r="S53" s="57">
        <v>2.0484307237001874E-6</v>
      </c>
      <c r="U53" s="127">
        <v>7.0256523792160074E-10</v>
      </c>
      <c r="V53" s="127">
        <v>7.8762975091781936E-10</v>
      </c>
      <c r="W53" s="128">
        <v>8.8844641484815313E-10</v>
      </c>
      <c r="X53" s="128">
        <f t="shared" si="0"/>
        <v>7.9156778865134815E-10</v>
      </c>
      <c r="Y53" s="139">
        <f t="shared" si="1"/>
        <v>0.184299977943362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9.0791961744097995E-10</v>
      </c>
      <c r="K54" s="109">
        <v>1.0111022279489293E-10</v>
      </c>
      <c r="L54" s="152">
        <v>8.6834556019192345E-10</v>
      </c>
      <c r="N54" s="18">
        <v>1.6462959167514015E-6</v>
      </c>
      <c r="O54" s="18">
        <v>1.5392483148537927E-10</v>
      </c>
      <c r="P54" s="18">
        <v>5.0509225500401457E-8</v>
      </c>
      <c r="Q54" s="28">
        <v>0.8504436560372397</v>
      </c>
      <c r="R54" s="60">
        <v>159.37311387666153</v>
      </c>
      <c r="S54" s="57">
        <v>2.0484307237001874E-6</v>
      </c>
      <c r="U54" s="127">
        <v>7.6843764979072027E-10</v>
      </c>
      <c r="V54" s="127">
        <v>8.6834556019192345E-10</v>
      </c>
      <c r="W54" s="128">
        <v>9.7997097390420384E-10</v>
      </c>
      <c r="X54" s="128">
        <f t="shared" si="0"/>
        <v>8.7127493601969273E-10</v>
      </c>
      <c r="Y54" s="139">
        <f t="shared" si="1"/>
        <v>0.13135051082816934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1.0316457358986351E-9</v>
      </c>
      <c r="K55" s="109">
        <v>1.064883813866304E-10</v>
      </c>
      <c r="L55" s="152">
        <v>9.5629640298224583E-10</v>
      </c>
      <c r="N55" s="18">
        <v>1.5978664988234418E-6</v>
      </c>
      <c r="O55" s="18">
        <v>1.5392483148537927E-10</v>
      </c>
      <c r="P55" s="18">
        <v>5.0509225500401457E-8</v>
      </c>
      <c r="Q55" s="28">
        <v>0.73436281851289054</v>
      </c>
      <c r="R55" s="60">
        <v>159.37311387666153</v>
      </c>
      <c r="S55" s="57">
        <v>2.0403054166210864E-6</v>
      </c>
      <c r="U55" s="127">
        <v>8.4536370099141867E-10</v>
      </c>
      <c r="V55" s="127">
        <v>9.5629640298224583E-10</v>
      </c>
      <c r="W55" s="128">
        <v>1.0743341391629825E-9</v>
      </c>
      <c r="X55" s="128">
        <f t="shared" si="0"/>
        <v>9.5807266152972314E-10</v>
      </c>
      <c r="Y55" s="139">
        <f t="shared" si="1"/>
        <v>0.47734607567707332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1.2742063916127972E-9</v>
      </c>
      <c r="K56" s="109">
        <v>1.1860953944451178E-10</v>
      </c>
      <c r="L56" s="152">
        <v>1.0474298867949908E-9</v>
      </c>
      <c r="N56" s="18">
        <v>1.5488302991210359E-6</v>
      </c>
      <c r="O56" s="18">
        <v>1.5392483148537927E-10</v>
      </c>
      <c r="P56" s="18">
        <v>5.0509225500401457E-8</v>
      </c>
      <c r="Q56" s="28">
        <v>0.6597096993751439</v>
      </c>
      <c r="R56" s="60">
        <v>162.39729195503847</v>
      </c>
      <c r="S56" s="57">
        <v>2.0403054166210864E-6</v>
      </c>
      <c r="U56" s="127">
        <v>9.2966853064257605E-10</v>
      </c>
      <c r="V56" s="127">
        <v>1.0474298867949908E-9</v>
      </c>
      <c r="W56" s="128">
        <v>1.167276146309034E-9</v>
      </c>
      <c r="X56" s="128">
        <f t="shared" si="0"/>
        <v>1.0479511126353979E-9</v>
      </c>
      <c r="Y56" s="139">
        <f t="shared" si="1"/>
        <v>3.6388001399328691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1.42850022548E-2</v>
      </c>
      <c r="J57" s="109">
        <v>1.2771684695581913E-9</v>
      </c>
      <c r="K57" s="109">
        <v>1.1562811492435605E-10</v>
      </c>
      <c r="L57" s="152">
        <v>1.137769636272915E-9</v>
      </c>
      <c r="N57" s="18">
        <v>1.4995084314899156E-6</v>
      </c>
      <c r="O57" s="18">
        <v>1.5392483148537927E-10</v>
      </c>
      <c r="P57" s="18">
        <v>5.0509225500401457E-8</v>
      </c>
      <c r="Q57" s="28">
        <v>0.61023171933257703</v>
      </c>
      <c r="R57" s="60">
        <v>162.39729195503847</v>
      </c>
      <c r="S57" s="57">
        <v>2.0314010609880946E-6</v>
      </c>
      <c r="U57" s="127">
        <v>1.0176064293442534E-9</v>
      </c>
      <c r="V57" s="127">
        <v>1.137769636272915E-9</v>
      </c>
      <c r="W57" s="128">
        <v>1.2547722425117185E-9</v>
      </c>
      <c r="X57" s="128">
        <f t="shared" si="0"/>
        <v>1.1369794861004505E-9</v>
      </c>
      <c r="Y57" s="139">
        <f t="shared" si="1"/>
        <v>1.4699443128317653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1.44278522774E-2</v>
      </c>
      <c r="J58" s="109">
        <v>1.3502622906747766E-9</v>
      </c>
      <c r="K58" s="109">
        <v>1.1935090790917744E-10</v>
      </c>
      <c r="L58" s="152">
        <v>1.2235212677727579E-9</v>
      </c>
      <c r="N58" s="18">
        <v>1.4500654533234042E-6</v>
      </c>
      <c r="O58" s="18">
        <v>1.5392483148537927E-10</v>
      </c>
      <c r="P58" s="18">
        <v>5.0509225500401457E-8</v>
      </c>
      <c r="Q58" s="28">
        <v>0.57779096573949484</v>
      </c>
      <c r="R58" s="60">
        <v>165.4214700334154</v>
      </c>
      <c r="S58" s="57">
        <v>2.0314010609880946E-6</v>
      </c>
      <c r="U58" s="127">
        <v>1.1054652954686947E-9</v>
      </c>
      <c r="V58" s="127">
        <v>1.2235212677727579E-9</v>
      </c>
      <c r="W58" s="128">
        <v>1.3331357581291984E-9</v>
      </c>
      <c r="X58" s="128">
        <f t="shared" si="0"/>
        <v>1.2214108972858522E-9</v>
      </c>
      <c r="Y58" s="139">
        <f t="shared" si="1"/>
        <v>1.1655389317561224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1.4572130800099999E-2</v>
      </c>
      <c r="J59" s="109">
        <v>1.690908049427294E-9</v>
      </c>
      <c r="K59" s="109">
        <v>1.3092649925162843E-10</v>
      </c>
      <c r="L59" s="152">
        <v>1.3011699070339553E-9</v>
      </c>
      <c r="N59" s="18">
        <v>1.4005805228943493E-6</v>
      </c>
      <c r="O59" s="18">
        <v>1.5392483148537927E-10</v>
      </c>
      <c r="P59" s="18">
        <v>5.0509225500401457E-8</v>
      </c>
      <c r="Q59" s="28">
        <v>0.55803565126484422</v>
      </c>
      <c r="R59" s="60">
        <v>165.4214700334154</v>
      </c>
      <c r="S59" s="57">
        <v>2.0217539996228796E-6</v>
      </c>
      <c r="U59" s="127">
        <v>1.1896648536654746E-9</v>
      </c>
      <c r="V59" s="127">
        <v>1.3011699070339553E-9</v>
      </c>
      <c r="W59" s="128">
        <v>1.3991112649507065E-9</v>
      </c>
      <c r="X59" s="128">
        <f t="shared" si="0"/>
        <v>1.297778983171023E-9</v>
      </c>
      <c r="Y59" s="139">
        <f t="shared" si="1"/>
        <v>9.0160268880187395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1.4717852108099999E-2</v>
      </c>
      <c r="J60" s="109">
        <v>1.3115066923236267E-9</v>
      </c>
      <c r="K60" s="109">
        <v>1.200694137882958E-10</v>
      </c>
      <c r="L60" s="152">
        <v>1.367569810789693E-9</v>
      </c>
      <c r="N60" s="18">
        <v>1.3510859118199382E-6</v>
      </c>
      <c r="O60" s="18">
        <v>1.5392483148537927E-10</v>
      </c>
      <c r="P60" s="18">
        <v>5.0509225500401457E-8</v>
      </c>
      <c r="Q60" s="28">
        <v>0.54866159745868937</v>
      </c>
      <c r="R60" s="60">
        <v>168.44564811179234</v>
      </c>
      <c r="S60" s="57">
        <v>2.0217539996228796E-6</v>
      </c>
      <c r="U60" s="127">
        <v>1.2668486282840218E-9</v>
      </c>
      <c r="V60" s="127">
        <v>1.367569810789693E-9</v>
      </c>
      <c r="W60" s="128">
        <v>1.4499585633940199E-9</v>
      </c>
      <c r="X60" s="128">
        <f t="shared" si="0"/>
        <v>1.362986703314357E-9</v>
      </c>
      <c r="Y60" s="139">
        <f t="shared" si="1"/>
        <v>0.18382834670864445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1.4865030629200001E-2</v>
      </c>
      <c r="J61" s="109">
        <v>1.6171771380972578E-9</v>
      </c>
      <c r="K61" s="109">
        <v>1.2977458296203099E-10</v>
      </c>
      <c r="L61" s="152">
        <v>1.4200264183379552E-9</v>
      </c>
      <c r="N61" s="18">
        <v>1.3160417901892343E-6</v>
      </c>
      <c r="O61" s="18">
        <v>1.5392462373247677E-10</v>
      </c>
      <c r="P61" s="18">
        <v>5.050914391620612E-8</v>
      </c>
      <c r="Q61" s="28">
        <v>0.22727272727272727</v>
      </c>
      <c r="R61" s="60">
        <v>168.44564811179234</v>
      </c>
      <c r="S61" s="57">
        <v>2.011421217931741E-6</v>
      </c>
      <c r="U61" s="127">
        <v>1.3339698260477854E-9</v>
      </c>
      <c r="V61" s="127">
        <v>1.4200264183379552E-9</v>
      </c>
      <c r="W61" s="128">
        <v>1.4835275346163109E-9</v>
      </c>
      <c r="X61" s="128">
        <f t="shared" si="0"/>
        <v>1.4143875493350018E-9</v>
      </c>
      <c r="Y61" s="139">
        <f t="shared" si="1"/>
        <v>2.4418108838439667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1.5553469598824551E-9</v>
      </c>
      <c r="K62" s="109">
        <v>1.2535265973738905E-10</v>
      </c>
      <c r="L62" s="152">
        <v>1.4563706352282097E-9</v>
      </c>
      <c r="N62" s="18">
        <v>1.2852196892081566E-6</v>
      </c>
      <c r="O62" s="18">
        <v>1.5392438425026633E-10</v>
      </c>
      <c r="P62" s="18">
        <v>5.0509049871967987E-8</v>
      </c>
      <c r="Q62" s="28">
        <v>0.45454545454545453</v>
      </c>
      <c r="R62" s="60">
        <v>171.46982619016927</v>
      </c>
      <c r="S62" s="57">
        <v>2.011421217931741E-6</v>
      </c>
      <c r="U62" s="127">
        <v>1.3883711462799796E-9</v>
      </c>
      <c r="V62" s="127">
        <v>1.4563706352282097E-9</v>
      </c>
      <c r="W62" s="128">
        <v>1.4983229773123513E-9</v>
      </c>
      <c r="X62" s="128">
        <f t="shared" si="0"/>
        <v>1.4498588485121877E-9</v>
      </c>
      <c r="Y62" s="139">
        <f t="shared" si="1"/>
        <v>0.70817391735880031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1.3211063738736179E-9</v>
      </c>
      <c r="K63" s="109">
        <v>8.5244060269631591E-11</v>
      </c>
      <c r="L63" s="152">
        <v>1.4750244292117372E-9</v>
      </c>
      <c r="N63" s="18">
        <v>1.2445749651113497E-6</v>
      </c>
      <c r="O63" s="18">
        <v>1.5392363528405696E-10</v>
      </c>
      <c r="P63" s="18">
        <v>5.0508755754269556E-8</v>
      </c>
      <c r="Q63" s="28">
        <v>0.45454545454545453</v>
      </c>
      <c r="R63" s="60">
        <v>171.46982619016927</v>
      </c>
      <c r="S63" s="57">
        <v>2.0004799181991802E-6</v>
      </c>
      <c r="U63" s="127">
        <v>1.4278581508532719E-9</v>
      </c>
      <c r="V63" s="127">
        <v>1.4750244292117372E-9</v>
      </c>
      <c r="W63" s="128">
        <v>1.4935575538827808E-9</v>
      </c>
      <c r="X63" s="128">
        <f t="shared" si="0"/>
        <v>1.4678661407898818E-9</v>
      </c>
      <c r="Y63" s="139">
        <f t="shared" si="1"/>
        <v>2.9640516813031219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1.7049745873495602E-9</v>
      </c>
      <c r="K64" s="109">
        <v>9.5349626724580144E-11</v>
      </c>
      <c r="L64" s="152">
        <v>1.4750560107454945E-9</v>
      </c>
      <c r="N64" s="18">
        <v>1.2048707182205877E-6</v>
      </c>
      <c r="O64" s="18">
        <v>1.5392176934880552E-10</v>
      </c>
      <c r="P64" s="18">
        <v>5.0508023004814749E-8</v>
      </c>
      <c r="Q64" s="28">
        <v>0.45454545454545453</v>
      </c>
      <c r="R64" s="60">
        <v>174.49400426854621</v>
      </c>
      <c r="S64" s="57">
        <v>2.0004799181991802E-6</v>
      </c>
      <c r="U64" s="127">
        <v>1.4507652666365579E-9</v>
      </c>
      <c r="V64" s="127">
        <v>1.4750560107454945E-9</v>
      </c>
      <c r="W64" s="128">
        <v>1.469190040087586E-9</v>
      </c>
      <c r="X64" s="128">
        <f t="shared" si="0"/>
        <v>1.4675168320537832E-9</v>
      </c>
      <c r="Y64" s="139">
        <f t="shared" si="1"/>
        <v>6.2020422683718905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1.8110702622493104E-9</v>
      </c>
      <c r="K65" s="109">
        <v>9.9174607486938475E-11</v>
      </c>
      <c r="L65" s="152">
        <v>1.4562220840229918E-9</v>
      </c>
      <c r="N65" s="18">
        <v>1.1665547973917652E-6</v>
      </c>
      <c r="O65" s="18">
        <v>1.5391732796236246E-10</v>
      </c>
      <c r="P65" s="18">
        <v>5.0506278880257284E-8</v>
      </c>
      <c r="Q65" s="28">
        <v>0.45454545454545453</v>
      </c>
      <c r="R65" s="60">
        <v>174.49400426854621</v>
      </c>
      <c r="S65" s="57">
        <v>1.9890261118925223E-6</v>
      </c>
      <c r="U65" s="127">
        <v>1.4560128374266492E-9</v>
      </c>
      <c r="V65" s="127">
        <v>1.4562220840229918E-9</v>
      </c>
      <c r="W65" s="128">
        <v>1.4259453393261573E-9</v>
      </c>
      <c r="X65" s="128">
        <f t="shared" si="0"/>
        <v>1.4486005861996974E-9</v>
      </c>
      <c r="Y65" s="139">
        <f t="shared" si="1"/>
        <v>13.358028900245621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1.5816044200129483E-9</v>
      </c>
      <c r="K66" s="109">
        <v>9.0098044236428058E-11</v>
      </c>
      <c r="L66" s="152">
        <v>1.4189940042596726E-9</v>
      </c>
      <c r="N66" s="18">
        <v>1.1300606471447582E-6</v>
      </c>
      <c r="O66" s="18">
        <v>1.5390722782781785E-10</v>
      </c>
      <c r="P66" s="18">
        <v>5.0502312575384026E-8</v>
      </c>
      <c r="Q66" s="28">
        <v>0.45454545454545453</v>
      </c>
      <c r="R66" s="60">
        <v>177.51818234692314</v>
      </c>
      <c r="S66" s="57">
        <v>1.9890261118925223E-6</v>
      </c>
      <c r="U66" s="127">
        <v>1.4431529781344992E-9</v>
      </c>
      <c r="V66" s="127">
        <v>1.4189940042596726E-9</v>
      </c>
      <c r="W66" s="128">
        <v>1.3653123197296851E-9</v>
      </c>
      <c r="X66" s="128">
        <f t="shared" si="0"/>
        <v>1.4116133265958823E-9</v>
      </c>
      <c r="Y66" s="139">
        <f t="shared" si="1"/>
        <v>3.5597672817965882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1.3339639381112507E-9</v>
      </c>
      <c r="K67" s="109">
        <v>8.2229006483648347E-11</v>
      </c>
      <c r="L67" s="152">
        <v>1.3645642757961969E-9</v>
      </c>
      <c r="N67" s="18">
        <v>1.0958234440755188E-6</v>
      </c>
      <c r="O67" s="18">
        <v>1.5388528355918637E-10</v>
      </c>
      <c r="P67" s="18">
        <v>5.0493695100118872E-8</v>
      </c>
      <c r="Q67" s="28">
        <v>0.45454545454545453</v>
      </c>
      <c r="R67" s="60">
        <v>177.51818234692314</v>
      </c>
      <c r="S67" s="57">
        <v>1.9771722454207419E-6</v>
      </c>
      <c r="U67" s="127">
        <v>1.4124014067948681E-9</v>
      </c>
      <c r="V67" s="127">
        <v>1.3645642757961969E-9</v>
      </c>
      <c r="W67" s="128">
        <v>1.2895155742928658E-9</v>
      </c>
      <c r="X67" s="128">
        <f t="shared" ref="X67:X130" si="2">(U67+2*V67+W67)/4</f>
        <v>1.357761383170032E-9</v>
      </c>
      <c r="Y67" s="139">
        <f t="shared" ref="Y67:Y130" si="3">(J67-X67)*(J67-X67)/(K67*K67)</f>
        <v>8.3754968504956784E-2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1.3269150350709997E-9</v>
      </c>
      <c r="K68" s="109">
        <v>8.2324156567747306E-11</v>
      </c>
      <c r="L68" s="152">
        <v>1.2948297756191351E-9</v>
      </c>
      <c r="N68" s="18">
        <v>1.0643174819678333E-6</v>
      </c>
      <c r="O68" s="18">
        <v>1.5383973244666914E-10</v>
      </c>
      <c r="P68" s="18">
        <v>5.0475807259242999E-8</v>
      </c>
      <c r="Q68" s="28">
        <v>0.45454545454545453</v>
      </c>
      <c r="R68" s="60">
        <v>180.54236042530007</v>
      </c>
      <c r="S68" s="57">
        <v>1.9771722454207419E-6</v>
      </c>
      <c r="U68" s="127">
        <v>1.3646520327163914E-9</v>
      </c>
      <c r="V68" s="127">
        <v>1.2948297756191351E-9</v>
      </c>
      <c r="W68" s="128">
        <v>1.2014577781664832E-9</v>
      </c>
      <c r="X68" s="128">
        <f t="shared" si="2"/>
        <v>1.2889423405302862E-9</v>
      </c>
      <c r="Y68" s="139">
        <f t="shared" si="3"/>
        <v>0.21275915245708163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1.3526771424413808E-9</v>
      </c>
      <c r="K69" s="109">
        <v>8.5518615591233845E-11</v>
      </c>
      <c r="L69" s="152">
        <v>1.212348475627164E-9</v>
      </c>
      <c r="N69" s="18">
        <v>1.0361217558591906E-6</v>
      </c>
      <c r="O69" s="18">
        <v>1.5374939678812531E-10</v>
      </c>
      <c r="P69" s="18">
        <v>5.0440332606788841E-8</v>
      </c>
      <c r="Q69" s="28">
        <v>0.45454545454545453</v>
      </c>
      <c r="R69" s="60">
        <v>180.54236042530007</v>
      </c>
      <c r="S69" s="57">
        <v>1.9650439408984097E-6</v>
      </c>
      <c r="U69" s="127">
        <v>1.3014709565773843E-9</v>
      </c>
      <c r="V69" s="127">
        <v>1.212348475627164E-9</v>
      </c>
      <c r="W69" s="128">
        <v>1.1046304684861064E-9</v>
      </c>
      <c r="X69" s="128">
        <f t="shared" si="2"/>
        <v>1.2076995940794547E-9</v>
      </c>
      <c r="Y69" s="139">
        <f t="shared" si="3"/>
        <v>2.8739564262543222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1.2388803170211743E-9</v>
      </c>
      <c r="K70" s="109">
        <v>1.1854317385400577E-10</v>
      </c>
      <c r="L70" s="152">
        <v>1.1202673089049484E-9</v>
      </c>
      <c r="N70" s="18">
        <v>1.012018305864347E-6</v>
      </c>
      <c r="O70" s="18">
        <v>1.5357823763804676E-10</v>
      </c>
      <c r="P70" s="18">
        <v>5.0373118712948229E-8</v>
      </c>
      <c r="Q70" s="28">
        <v>0.45454545454545453</v>
      </c>
      <c r="R70" s="60">
        <v>183.56653850367701</v>
      </c>
      <c r="S70" s="57">
        <v>1.9650439408984097E-6</v>
      </c>
      <c r="U70" s="127">
        <v>1.225066765833627E-9</v>
      </c>
      <c r="V70" s="127">
        <v>1.1202673089049484E-9</v>
      </c>
      <c r="W70" s="128">
        <v>1.0029927726141263E-9</v>
      </c>
      <c r="X70" s="128">
        <f t="shared" si="2"/>
        <v>1.1171485390644125E-9</v>
      </c>
      <c r="Y70" s="139">
        <f t="shared" si="3"/>
        <v>1.0545200189133601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1.1027314911531628E-9</v>
      </c>
      <c r="K71" s="109">
        <v>1.0955788990936232E-10</v>
      </c>
      <c r="L71" s="152">
        <v>1.0222201886059015E-9</v>
      </c>
      <c r="N71" s="18">
        <v>9.9312114055737298E-7</v>
      </c>
      <c r="O71" s="18">
        <v>1.5326841009825541E-10</v>
      </c>
      <c r="P71" s="18">
        <v>5.0251449989079967E-8</v>
      </c>
      <c r="Q71" s="28">
        <v>0.45454545454545453</v>
      </c>
      <c r="R71" s="60">
        <v>183.56653850367701</v>
      </c>
      <c r="S71" s="57">
        <v>1.9558484825141167E-6</v>
      </c>
      <c r="U71" s="127">
        <v>1.1382346443737958E-9</v>
      </c>
      <c r="V71" s="127">
        <v>1.0222201886059015E-9</v>
      </c>
      <c r="W71" s="128">
        <v>9.008197747057328E-10</v>
      </c>
      <c r="X71" s="128">
        <f t="shared" si="2"/>
        <v>1.0208736990728328E-9</v>
      </c>
      <c r="Y71" s="139">
        <f t="shared" si="3"/>
        <v>0.55825514530644416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8.8528147182120262E-10</v>
      </c>
      <c r="K72" s="109">
        <v>9.8385002524709477E-11</v>
      </c>
      <c r="L72" s="152">
        <v>9.2219698355535149E-10</v>
      </c>
      <c r="N72" s="18">
        <v>9.8102124711769661E-7</v>
      </c>
      <c r="O72" s="18">
        <v>1.5273259210709308E-10</v>
      </c>
      <c r="P72" s="18">
        <v>5.0041035216867413E-8</v>
      </c>
      <c r="Q72" s="28">
        <v>0.45454545454545453</v>
      </c>
      <c r="R72" s="60">
        <v>185.07862754286546</v>
      </c>
      <c r="S72" s="57">
        <v>1.9558484825141167E-6</v>
      </c>
      <c r="U72" s="127">
        <v>1.0442728776512485E-9</v>
      </c>
      <c r="V72" s="127">
        <v>9.2219698355535149E-10</v>
      </c>
      <c r="W72" s="128">
        <v>8.0252466351558193E-10</v>
      </c>
      <c r="X72" s="128">
        <f t="shared" si="2"/>
        <v>9.2279787706938338E-10</v>
      </c>
      <c r="Y72" s="139">
        <f t="shared" si="3"/>
        <v>0.14540677244295364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1.67502885867E-2</v>
      </c>
      <c r="J73" s="109">
        <v>8.844014379872127E-10</v>
      </c>
      <c r="K73" s="109">
        <v>9.739007428911851E-11</v>
      </c>
      <c r="L73" s="152">
        <v>8.2438636230901585E-10</v>
      </c>
      <c r="N73" s="18">
        <v>9.7791595008001416E-7</v>
      </c>
      <c r="O73" s="18">
        <v>1.5184729200633146E-10</v>
      </c>
      <c r="P73" s="18">
        <v>4.9693379441746038E-8</v>
      </c>
      <c r="Q73" s="28">
        <v>0.45454545454545453</v>
      </c>
      <c r="R73" s="60">
        <v>185.07862754286546</v>
      </c>
      <c r="S73" s="57">
        <v>1.9453937801278786E-6</v>
      </c>
      <c r="U73" s="127">
        <v>9.4687179635376264E-10</v>
      </c>
      <c r="V73" s="127">
        <v>8.2438636230901585E-10</v>
      </c>
      <c r="W73" s="128">
        <v>7.1246131265800085E-10</v>
      </c>
      <c r="X73" s="128">
        <f t="shared" si="2"/>
        <v>8.2702645840744875E-10</v>
      </c>
      <c r="Y73" s="139">
        <f t="shared" si="3"/>
        <v>0.34706889551112169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5.9892815834172124E-10</v>
      </c>
      <c r="K74" s="109">
        <v>8.3072662417510188E-11</v>
      </c>
      <c r="L74" s="152">
        <v>7.3299765965397946E-10</v>
      </c>
      <c r="N74" s="18">
        <v>9.8667256518304268E-7</v>
      </c>
      <c r="O74" s="18">
        <v>1.5044983463714939E-10</v>
      </c>
      <c r="P74" s="18">
        <v>4.9144600418153815E-8</v>
      </c>
      <c r="Q74" s="28">
        <v>0.45454545454545453</v>
      </c>
      <c r="R74" s="60">
        <v>188.72897836892551</v>
      </c>
      <c r="S74" s="57">
        <v>1.9453937801278786E-6</v>
      </c>
      <c r="U74" s="127">
        <v>8.4997698551939043E-10</v>
      </c>
      <c r="V74" s="127">
        <v>7.3299765965397946E-10</v>
      </c>
      <c r="W74" s="128">
        <v>6.3471623544776562E-10</v>
      </c>
      <c r="X74" s="128">
        <f t="shared" si="2"/>
        <v>7.3767213506877872E-10</v>
      </c>
      <c r="Y74" s="139">
        <f t="shared" si="3"/>
        <v>2.7894078416306183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5.3509662873831519E-10</v>
      </c>
      <c r="K75" s="109">
        <v>8.3419316461689153E-11</v>
      </c>
      <c r="L75" s="152">
        <v>6.5206906859831701E-10</v>
      </c>
      <c r="N75" s="18">
        <v>1.010764490981105E-6</v>
      </c>
      <c r="O75" s="18">
        <v>1.4834236768904425E-10</v>
      </c>
      <c r="P75" s="18">
        <v>4.8317001895623606E-8</v>
      </c>
      <c r="Q75" s="28">
        <v>0.45454545454545453</v>
      </c>
      <c r="R75" s="60">
        <v>188.72897836892551</v>
      </c>
      <c r="S75" s="57">
        <v>1.9306296709401888E-6</v>
      </c>
      <c r="U75" s="127">
        <v>7.5763055476339459E-10</v>
      </c>
      <c r="V75" s="127">
        <v>6.5206906859831701E-10</v>
      </c>
      <c r="W75" s="128">
        <v>5.729006476019529E-10</v>
      </c>
      <c r="X75" s="128">
        <f t="shared" si="2"/>
        <v>6.5866733489049533E-10</v>
      </c>
      <c r="Y75" s="139">
        <f t="shared" si="3"/>
        <v>2.1943090948003752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5.3459569515436725E-10</v>
      </c>
      <c r="K76" s="109">
        <v>7.8327097875059572E-11</v>
      </c>
      <c r="L76" s="152">
        <v>5.852712878010199E-10</v>
      </c>
      <c r="N76" s="18">
        <v>1.0540224368063958E-6</v>
      </c>
      <c r="O76" s="18">
        <v>1.4530598180669824E-10</v>
      </c>
      <c r="P76" s="18">
        <v>4.7124618559637941E-8</v>
      </c>
      <c r="Q76" s="28">
        <v>0.45454545454545453</v>
      </c>
      <c r="R76" s="60">
        <v>192.44169657264297</v>
      </c>
      <c r="S76" s="57">
        <v>1.9306296709401888E-6</v>
      </c>
      <c r="U76" s="127">
        <v>6.7379625317003904E-10</v>
      </c>
      <c r="V76" s="127">
        <v>5.852712878010199E-10</v>
      </c>
      <c r="W76" s="128">
        <v>5.2995443464325047E-10</v>
      </c>
      <c r="X76" s="128">
        <f t="shared" si="2"/>
        <v>5.935733158538323E-10</v>
      </c>
      <c r="Y76" s="139">
        <f t="shared" si="3"/>
        <v>0.56695739572991821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4.9786972313228498E-10</v>
      </c>
      <c r="K77" s="109">
        <v>7.6146600852902755E-11</v>
      </c>
      <c r="L77" s="152">
        <v>5.3571702819380935E-10</v>
      </c>
      <c r="N77" s="18">
        <v>1.1201726084256233E-6</v>
      </c>
      <c r="O77" s="18">
        <v>1.4112645118160966E-10</v>
      </c>
      <c r="P77" s="18">
        <v>4.5483324316184636E-8</v>
      </c>
      <c r="Q77" s="28">
        <v>0.45454545454545453</v>
      </c>
      <c r="R77" s="60">
        <v>192.44169657264297</v>
      </c>
      <c r="S77" s="57">
        <v>1.9158684494629373E-6</v>
      </c>
      <c r="U77" s="127">
        <v>6.0217601044512811E-10</v>
      </c>
      <c r="V77" s="127">
        <v>5.3571702819380935E-10</v>
      </c>
      <c r="W77" s="128">
        <v>5.0797398985579372E-10</v>
      </c>
      <c r="X77" s="128">
        <f t="shared" si="2"/>
        <v>5.4539601417213513E-10</v>
      </c>
      <c r="Y77" s="139">
        <f t="shared" si="3"/>
        <v>0.38955322453005942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6.0429600665634445E-10</v>
      </c>
      <c r="K78" s="109">
        <v>8.5578178351334171E-11</v>
      </c>
      <c r="L78" s="152">
        <v>5.0578733860616304E-10</v>
      </c>
      <c r="N78" s="18">
        <v>1.2121884473038948E-6</v>
      </c>
      <c r="O78" s="18">
        <v>1.3563011623289256E-10</v>
      </c>
      <c r="P78" s="18">
        <v>4.3324923356691892E-8</v>
      </c>
      <c r="Q78" s="28">
        <v>0.45454545454545453</v>
      </c>
      <c r="R78" s="60">
        <v>196.28585067208493</v>
      </c>
      <c r="S78" s="57">
        <v>1.9158684494629373E-6</v>
      </c>
      <c r="U78" s="127">
        <v>5.4602689859990083E-10</v>
      </c>
      <c r="V78" s="127">
        <v>5.0578733860616304E-10</v>
      </c>
      <c r="W78" s="128">
        <v>5.0807511879491442E-10</v>
      </c>
      <c r="X78" s="128">
        <f t="shared" si="2"/>
        <v>5.1641917365178536E-10</v>
      </c>
      <c r="Y78" s="139">
        <f t="shared" si="3"/>
        <v>1.0544420543398203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5.4971852981638545E-10</v>
      </c>
      <c r="K79" s="109">
        <v>7.7482305461472955E-11</v>
      </c>
      <c r="L79" s="152">
        <v>4.9698546009385129E-10</v>
      </c>
      <c r="N79" s="18">
        <v>1.3315524147100292E-6</v>
      </c>
      <c r="O79" s="18">
        <v>1.2872462070995875E-10</v>
      </c>
      <c r="P79" s="18">
        <v>4.0613147545803174E-8</v>
      </c>
      <c r="Q79" s="28">
        <v>0.45454545454545453</v>
      </c>
      <c r="R79" s="60">
        <v>196.28585067208493</v>
      </c>
      <c r="S79" s="57">
        <v>1.9011197422326193E-6</v>
      </c>
      <c r="U79" s="127">
        <v>5.0798836735630553E-10</v>
      </c>
      <c r="V79" s="127">
        <v>4.9698546009385129E-10</v>
      </c>
      <c r="W79" s="128">
        <v>5.3030056440938834E-10</v>
      </c>
      <c r="X79" s="128">
        <f t="shared" si="2"/>
        <v>5.0806496298834916E-10</v>
      </c>
      <c r="Y79" s="139">
        <f t="shared" si="3"/>
        <v>0.28900098540160107</v>
      </c>
      <c r="AA79" s="73"/>
      <c r="AB79" s="176"/>
      <c r="AC79" s="176"/>
      <c r="AD79" s="176"/>
      <c r="AJ79" s="135"/>
    </row>
    <row r="80" spans="2:36" x14ac:dyDescent="0.35">
      <c r="I80" s="109">
        <v>1.7958576551799998E-2</v>
      </c>
      <c r="J80" s="109">
        <v>4.1772241741501432E-10</v>
      </c>
      <c r="K80" s="109">
        <v>6.9996633542717419E-11</v>
      </c>
      <c r="L80" s="152">
        <v>5.0982786339003055E-10</v>
      </c>
      <c r="N80" s="18">
        <v>1.4775870450542715E-6</v>
      </c>
      <c r="O80" s="18">
        <v>1.2043579780249245E-10</v>
      </c>
      <c r="P80" s="18">
        <v>3.7358141531164883E-8</v>
      </c>
      <c r="Q80" s="28">
        <v>0.45454545454545453</v>
      </c>
      <c r="R80" s="60">
        <v>200.3458393264238</v>
      </c>
      <c r="S80" s="57">
        <v>1.9011197422326193E-6</v>
      </c>
      <c r="U80" s="127">
        <v>4.899297913150483E-10</v>
      </c>
      <c r="V80" s="127">
        <v>5.0982786339003055E-10</v>
      </c>
      <c r="W80" s="128">
        <v>5.7357935934305165E-10</v>
      </c>
      <c r="X80" s="128">
        <f t="shared" si="2"/>
        <v>5.2079121935954029E-10</v>
      </c>
      <c r="Y80" s="139">
        <f t="shared" si="3"/>
        <v>2.1682040393850159</v>
      </c>
      <c r="AA80" s="73"/>
      <c r="AB80" s="176"/>
      <c r="AC80" s="176"/>
      <c r="AD80" s="176"/>
      <c r="AJ80" s="135"/>
    </row>
    <row r="81" spans="2:36" x14ac:dyDescent="0.35">
      <c r="I81" s="109">
        <v>1.8138162317300002E-2</v>
      </c>
      <c r="J81" s="109">
        <v>6.8705559729682757E-10</v>
      </c>
      <c r="K81" s="109">
        <v>9.0576867652639086E-11</v>
      </c>
      <c r="L81" s="152">
        <v>5.4378036391990316E-10</v>
      </c>
      <c r="N81" s="18">
        <v>1.6470424357724404E-6</v>
      </c>
      <c r="O81" s="18">
        <v>1.1093048112340735E-10</v>
      </c>
      <c r="P81" s="18">
        <v>3.3625420575865659E-8</v>
      </c>
      <c r="Q81" s="28">
        <v>0.45454545454545453</v>
      </c>
      <c r="R81" s="60">
        <v>200.3458393264238</v>
      </c>
      <c r="S81" s="57">
        <v>1.8864071619488411E-6</v>
      </c>
      <c r="U81" s="127">
        <v>4.9282783934923224E-10</v>
      </c>
      <c r="V81" s="127">
        <v>5.4378036391990316E-10</v>
      </c>
      <c r="W81" s="128">
        <v>6.3574239963975443E-10</v>
      </c>
      <c r="X81" s="128">
        <f t="shared" si="2"/>
        <v>5.5403274170719822E-10</v>
      </c>
      <c r="Y81" s="139">
        <f t="shared" si="3"/>
        <v>2.1568400418060256</v>
      </c>
      <c r="AA81" s="73"/>
      <c r="AB81" s="176"/>
      <c r="AC81" s="176"/>
      <c r="AD81" s="176"/>
      <c r="AJ81" s="135"/>
    </row>
    <row r="82" spans="2:36" x14ac:dyDescent="0.35">
      <c r="I82" s="109">
        <v>1.8319543940500001E-2</v>
      </c>
      <c r="J82" s="109">
        <v>4.8832990952489746E-10</v>
      </c>
      <c r="K82" s="109">
        <v>7.5266751681768394E-11</v>
      </c>
      <c r="L82" s="152">
        <v>5.972449136523995E-10</v>
      </c>
      <c r="N82" s="18">
        <v>1.8340993503861209E-6</v>
      </c>
      <c r="O82" s="18">
        <v>1.0051655036892841E-10</v>
      </c>
      <c r="P82" s="18">
        <v>2.9535888489069367E-8</v>
      </c>
      <c r="Q82" s="28">
        <v>0.45454545454545453</v>
      </c>
      <c r="R82" s="60">
        <v>204.73501447049827</v>
      </c>
      <c r="S82" s="57">
        <v>1.8864071619488411E-6</v>
      </c>
      <c r="U82" s="127">
        <v>5.1668197088609139E-10</v>
      </c>
      <c r="V82" s="127">
        <v>5.972449136523995E-10</v>
      </c>
      <c r="W82" s="128">
        <v>7.1359562062234322E-10</v>
      </c>
      <c r="X82" s="128">
        <f t="shared" si="2"/>
        <v>6.0619185470330835E-10</v>
      </c>
      <c r="Y82" s="139">
        <f t="shared" si="3"/>
        <v>2.4521151575255691</v>
      </c>
      <c r="AA82" s="73"/>
      <c r="AB82" s="176"/>
      <c r="AC82" s="176"/>
      <c r="AD82" s="176"/>
      <c r="AJ82" s="135"/>
    </row>
    <row r="83" spans="2:36" x14ac:dyDescent="0.35">
      <c r="I83" s="109">
        <v>1.8502739379900001E-2</v>
      </c>
      <c r="J83" s="109">
        <v>5.6948809186609779E-10</v>
      </c>
      <c r="K83" s="109">
        <v>8.1997166079303544E-11</v>
      </c>
      <c r="L83" s="152">
        <v>6.6760005037038911E-10</v>
      </c>
      <c r="N83" s="18">
        <v>1.9812463830436595E-6</v>
      </c>
      <c r="O83" s="18">
        <v>9.2360844852852474E-11</v>
      </c>
      <c r="P83" s="18">
        <v>2.6333157437289582E-8</v>
      </c>
      <c r="Q83" s="28">
        <v>0.22727272727272727</v>
      </c>
      <c r="R83" s="60">
        <v>204.73501447049827</v>
      </c>
      <c r="S83" s="57">
        <v>1.8717797956388556E-6</v>
      </c>
      <c r="U83" s="127">
        <v>5.6047458997978847E-10</v>
      </c>
      <c r="V83" s="127">
        <v>6.6760005037038911E-10</v>
      </c>
      <c r="W83" s="128">
        <v>8.0304917960515392E-10</v>
      </c>
      <c r="X83" s="128">
        <f t="shared" si="2"/>
        <v>6.7468096758143015E-10</v>
      </c>
      <c r="Y83" s="139">
        <f t="shared" si="3"/>
        <v>1.6457920867492459</v>
      </c>
      <c r="AA83" s="73"/>
      <c r="AB83" s="176"/>
      <c r="AC83" s="176"/>
      <c r="AD83" s="176"/>
      <c r="AJ83" s="135"/>
    </row>
    <row r="84" spans="2:36" x14ac:dyDescent="0.35">
      <c r="I84" s="109">
        <v>1.8687766773700001E-2</v>
      </c>
      <c r="J84" s="109">
        <v>8.0035085657832711E-10</v>
      </c>
      <c r="K84" s="109">
        <v>9.7014541017966131E-11</v>
      </c>
      <c r="L84" s="152">
        <v>7.512952585647962E-10</v>
      </c>
      <c r="N84" s="18">
        <v>2.0823394542220977E-6</v>
      </c>
      <c r="O84" s="18">
        <v>8.6317846783659503E-11</v>
      </c>
      <c r="P84" s="18">
        <v>2.3960082842590184E-8</v>
      </c>
      <c r="Q84" s="28">
        <v>0.27433079872934468</v>
      </c>
      <c r="R84" s="60">
        <v>209.6208711326062</v>
      </c>
      <c r="S84" s="57">
        <v>1.8717797956388556E-6</v>
      </c>
      <c r="U84" s="127">
        <v>6.2218020234653601E-10</v>
      </c>
      <c r="V84" s="127">
        <v>7.512952585647962E-10</v>
      </c>
      <c r="W84" s="128">
        <v>8.9929829657336933E-10</v>
      </c>
      <c r="X84" s="128">
        <f t="shared" si="2"/>
        <v>7.5601725401237449E-10</v>
      </c>
      <c r="Y84" s="139">
        <f t="shared" si="3"/>
        <v>0.20882975581440968</v>
      </c>
      <c r="AA84" s="73"/>
      <c r="AB84" s="176"/>
      <c r="AC84" s="176"/>
      <c r="AD84" s="176"/>
      <c r="AJ84" s="135"/>
    </row>
    <row r="85" spans="2:36" x14ac:dyDescent="0.35">
      <c r="I85" s="109">
        <v>1.8874644441399999E-2</v>
      </c>
      <c r="J85" s="109">
        <v>8.0054002003989192E-10</v>
      </c>
      <c r="K85" s="109">
        <v>9.4474290400374124E-11</v>
      </c>
      <c r="L85" s="152">
        <v>8.4399684328968093E-10</v>
      </c>
      <c r="N85" s="18">
        <v>2.2031849623988735E-6</v>
      </c>
      <c r="O85" s="18">
        <v>7.9721203172187416E-11</v>
      </c>
      <c r="P85" s="18">
        <v>2.1369592628059781E-8</v>
      </c>
      <c r="Q85" s="28">
        <v>0.27901782563242211</v>
      </c>
      <c r="R85" s="60">
        <v>209.6208711326062</v>
      </c>
      <c r="S85" s="57">
        <v>1.8573334306980402E-6</v>
      </c>
      <c r="U85" s="127">
        <v>6.9882550503665919E-10</v>
      </c>
      <c r="V85" s="127">
        <v>8.4399684328968093E-10</v>
      </c>
      <c r="W85" s="128">
        <v>9.9704896786344598E-10</v>
      </c>
      <c r="X85" s="128">
        <f t="shared" si="2"/>
        <v>8.4596703986986678E-10</v>
      </c>
      <c r="Y85" s="139">
        <f t="shared" si="3"/>
        <v>0.23120712630321494</v>
      </c>
      <c r="AA85" s="73"/>
      <c r="AB85" s="176"/>
      <c r="AC85" s="176"/>
      <c r="AD85" s="176"/>
      <c r="AJ85" s="135"/>
    </row>
    <row r="86" spans="2:36" x14ac:dyDescent="0.35">
      <c r="I86" s="109">
        <v>1.9063390885799999E-2</v>
      </c>
      <c r="J86" s="109">
        <v>1.153492277212589E-9</v>
      </c>
      <c r="K86" s="109">
        <v>1.1362257505744443E-10</v>
      </c>
      <c r="L86" s="152">
        <v>9.4078046590308047E-10</v>
      </c>
      <c r="N86" s="18">
        <v>2.3240068344164358E-6</v>
      </c>
      <c r="O86" s="18">
        <v>7.3125849797489764E-11</v>
      </c>
      <c r="P86" s="18">
        <v>1.8779609087216092E-8</v>
      </c>
      <c r="Q86" s="28">
        <v>0.28889548286974742</v>
      </c>
      <c r="R86" s="60">
        <v>215.2790358678678</v>
      </c>
      <c r="S86" s="57">
        <v>1.8573334306980402E-6</v>
      </c>
      <c r="U86" s="127">
        <v>7.8659986408585176E-10</v>
      </c>
      <c r="V86" s="127">
        <v>9.4078046590308047E-10</v>
      </c>
      <c r="W86" s="128">
        <v>1.0907796706847858E-9</v>
      </c>
      <c r="X86" s="128">
        <f t="shared" si="2"/>
        <v>9.3973511664419968E-10</v>
      </c>
      <c r="Y86" s="139">
        <f t="shared" si="3"/>
        <v>3.5392569100627314</v>
      </c>
      <c r="AA86" s="73"/>
      <c r="AB86" s="176"/>
      <c r="AC86" s="176"/>
      <c r="AD86" s="176"/>
      <c r="AJ86" s="135"/>
    </row>
    <row r="87" spans="2:36" x14ac:dyDescent="0.35">
      <c r="I87" s="109">
        <v>1.9254024794699998E-2</v>
      </c>
      <c r="J87" s="109">
        <v>1.0411332659709186E-9</v>
      </c>
      <c r="K87" s="109">
        <v>1.0574529324982197E-10</v>
      </c>
      <c r="L87" s="152">
        <v>1.0363632940701653E-9</v>
      </c>
      <c r="N87" s="18">
        <v>2.4447262762425861E-6</v>
      </c>
      <c r="O87" s="18">
        <v>6.6536087821909837E-11</v>
      </c>
      <c r="P87" s="18">
        <v>1.619182127886201E-8</v>
      </c>
      <c r="Q87" s="28">
        <v>0.30511585966628851</v>
      </c>
      <c r="R87" s="60">
        <v>215.2790358678678</v>
      </c>
      <c r="S87" s="57">
        <v>1.8432535150165132E-6</v>
      </c>
      <c r="U87" s="127">
        <v>8.8101323846982764E-10</v>
      </c>
      <c r="V87" s="127">
        <v>1.0363632940701653E-9</v>
      </c>
      <c r="W87" s="128">
        <v>1.1750283686270696E-9</v>
      </c>
      <c r="X87" s="128">
        <f t="shared" si="2"/>
        <v>1.032192048809307E-9</v>
      </c>
      <c r="Y87" s="139">
        <f t="shared" si="3"/>
        <v>7.1494263102711364E-3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1.2096143425481355E-9</v>
      </c>
      <c r="K88" s="109">
        <v>1.1501650309573903E-10</v>
      </c>
      <c r="L88" s="152">
        <v>1.125366776841625E-9</v>
      </c>
      <c r="N88" s="18">
        <v>2.5651500158927381E-6</v>
      </c>
      <c r="O88" s="18">
        <v>5.9962467463007486E-11</v>
      </c>
      <c r="P88" s="18">
        <v>1.3610372254670404E-8</v>
      </c>
      <c r="Q88" s="28">
        <v>0.32985484968757195</v>
      </c>
      <c r="R88" s="60">
        <v>222.23192345625202</v>
      </c>
      <c r="S88" s="57">
        <v>1.8432535150165132E-6</v>
      </c>
      <c r="U88" s="127">
        <v>9.7709637669276386E-10</v>
      </c>
      <c r="V88" s="127">
        <v>1.125366776841625E-9</v>
      </c>
      <c r="W88" s="128">
        <v>1.2446925377612769E-9</v>
      </c>
      <c r="X88" s="128">
        <f t="shared" si="2"/>
        <v>1.1181306170343226E-9</v>
      </c>
      <c r="Y88" s="139">
        <f t="shared" si="3"/>
        <v>0.63265561308630858</v>
      </c>
      <c r="AA88" s="73"/>
      <c r="AB88" s="176"/>
      <c r="AC88" s="176"/>
      <c r="AD88" s="176"/>
      <c r="AJ88" s="135"/>
    </row>
    <row r="89" spans="2:36" x14ac:dyDescent="0.35">
      <c r="I89" s="109">
        <v>1.9641030693100001E-2</v>
      </c>
      <c r="J89" s="109">
        <v>1.138253436260149E-9</v>
      </c>
      <c r="K89" s="109">
        <v>1.1196012817004375E-10</v>
      </c>
      <c r="L89" s="152">
        <v>1.2025993253635729E-9</v>
      </c>
      <c r="N89" s="18">
        <v>2.6848762718115108E-6</v>
      </c>
      <c r="O89" s="18">
        <v>5.3426920936307296E-11</v>
      </c>
      <c r="P89" s="18">
        <v>1.1043874756672797E-8</v>
      </c>
      <c r="Q89" s="28">
        <v>0.36718140925644527</v>
      </c>
      <c r="R89" s="60">
        <v>222.23192345625202</v>
      </c>
      <c r="S89" s="57">
        <v>1.8299120517943948E-6</v>
      </c>
      <c r="U89" s="127">
        <v>1.0696360777800765E-9</v>
      </c>
      <c r="V89" s="127">
        <v>1.2025993253635729E-9</v>
      </c>
      <c r="W89" s="128">
        <v>1.2953284948484453E-9</v>
      </c>
      <c r="X89" s="128">
        <f t="shared" si="2"/>
        <v>1.1925408058389169E-9</v>
      </c>
      <c r="Y89" s="139">
        <f t="shared" si="3"/>
        <v>0.23510984982799671</v>
      </c>
      <c r="AA89" s="73"/>
      <c r="AB89" s="176"/>
      <c r="AC89" s="176"/>
      <c r="AD89" s="176"/>
      <c r="AJ89" s="135"/>
    </row>
    <row r="90" spans="2:36" x14ac:dyDescent="0.35">
      <c r="I90" s="109">
        <v>1.9837441000000001E-2</v>
      </c>
      <c r="J90" s="109">
        <v>1.2659206643149146E-9</v>
      </c>
      <c r="K90" s="109">
        <v>1.1934277856628866E-10</v>
      </c>
      <c r="L90" s="152">
        <v>1.2633466104530216E-9</v>
      </c>
      <c r="N90" s="18">
        <v>2.803121015899125E-6</v>
      </c>
      <c r="O90" s="18">
        <v>4.69722463071545E-11</v>
      </c>
      <c r="P90" s="18">
        <v>8.5091355090167258E-9</v>
      </c>
      <c r="Q90" s="28">
        <v>0.42522182801861985</v>
      </c>
      <c r="R90" s="60">
        <v>231.72173265553624</v>
      </c>
      <c r="S90" s="57">
        <v>1.8299120517943948E-6</v>
      </c>
      <c r="U90" s="127">
        <v>1.1534364606724557E-9</v>
      </c>
      <c r="V90" s="127">
        <v>1.2633466104530216E-9</v>
      </c>
      <c r="W90" s="128">
        <v>1.323435014433351E-9</v>
      </c>
      <c r="X90" s="128">
        <f t="shared" si="2"/>
        <v>1.2508911740029624E-9</v>
      </c>
      <c r="Y90" s="139">
        <f t="shared" si="3"/>
        <v>1.5859745563231262E-2</v>
      </c>
      <c r="AA90" s="73"/>
      <c r="AB90" s="176"/>
      <c r="AC90" s="176"/>
      <c r="AD90" s="176"/>
      <c r="AJ90" s="135"/>
    </row>
    <row r="91" spans="2:36" x14ac:dyDescent="0.35">
      <c r="I91" s="109">
        <v>2.0035815410000001E-2</v>
      </c>
      <c r="J91" s="109">
        <v>1.4054730636383567E-9</v>
      </c>
      <c r="K91" s="109">
        <v>1.2867384406469077E-10</v>
      </c>
      <c r="L91" s="152">
        <v>1.3036557641124785E-9</v>
      </c>
      <c r="N91" s="18">
        <v>2.9183663411666309E-6</v>
      </c>
      <c r="O91" s="18">
        <v>4.0681302190590146E-11</v>
      </c>
      <c r="P91" s="18">
        <v>6.038692942470242E-9</v>
      </c>
      <c r="Q91" s="28">
        <v>0.52252270986663085</v>
      </c>
      <c r="R91" s="60">
        <v>231.72173265553624</v>
      </c>
      <c r="S91" s="57">
        <v>1.818121644025066E-6</v>
      </c>
      <c r="U91" s="127">
        <v>1.2235955011915713E-9</v>
      </c>
      <c r="V91" s="127">
        <v>1.3036557641124785E-9</v>
      </c>
      <c r="W91" s="128">
        <v>1.3267051517712213E-9</v>
      </c>
      <c r="X91" s="128">
        <f t="shared" si="2"/>
        <v>1.2894030452969375E-9</v>
      </c>
      <c r="Y91" s="139">
        <f t="shared" si="3"/>
        <v>0.81369108012871338</v>
      </c>
      <c r="AA91" s="73"/>
      <c r="AB91" s="176"/>
      <c r="AC91" s="176"/>
      <c r="AD91" s="176"/>
      <c r="AJ91" s="135"/>
    </row>
    <row r="92" spans="2:36" x14ac:dyDescent="0.35">
      <c r="I92" s="109">
        <v>2.0236173564099999E-2</v>
      </c>
      <c r="J92" s="109">
        <v>1.4360857495335531E-9</v>
      </c>
      <c r="K92" s="109">
        <v>1.283458173533422E-10</v>
      </c>
      <c r="L92" s="152">
        <v>1.3205985250633005E-9</v>
      </c>
      <c r="N92" s="18">
        <v>3.0275673693087792E-6</v>
      </c>
      <c r="O92" s="18">
        <v>3.4720300614873111E-11</v>
      </c>
      <c r="P92" s="18">
        <v>3.6978182249334949E-9</v>
      </c>
      <c r="Q92" s="28">
        <v>0.71317718802348939</v>
      </c>
      <c r="R92" s="60">
        <v>248.77504577808506</v>
      </c>
      <c r="S92" s="57">
        <v>1.818121644025066E-6</v>
      </c>
      <c r="U92" s="127">
        <v>1.2757845430671974E-9</v>
      </c>
      <c r="V92" s="127">
        <v>1.3205985250633005E-9</v>
      </c>
      <c r="W92" s="128">
        <v>1.3042295188489061E-9</v>
      </c>
      <c r="X92" s="128">
        <f t="shared" si="2"/>
        <v>1.3053027780106761E-9</v>
      </c>
      <c r="Y92" s="139">
        <f t="shared" si="3"/>
        <v>1.0383385097741904</v>
      </c>
      <c r="AA92" s="73"/>
      <c r="AB92" s="176"/>
      <c r="AC92" s="176"/>
      <c r="AD92" s="176"/>
      <c r="AJ92" s="135"/>
    </row>
    <row r="93" spans="2:36" x14ac:dyDescent="0.35">
      <c r="I93" s="109">
        <v>2.0438535299700002E-2</v>
      </c>
      <c r="J93" s="109">
        <v>1.3973778284762651E-9</v>
      </c>
      <c r="K93" s="109">
        <v>1.2811809872768841E-10</v>
      </c>
      <c r="L93" s="152">
        <v>1.3124974321487924E-9</v>
      </c>
      <c r="N93" s="18">
        <v>3.1240728746787833E-6</v>
      </c>
      <c r="O93" s="18">
        <v>2.9452314778447387E-11</v>
      </c>
      <c r="P93" s="18">
        <v>1.6290895557337576E-9</v>
      </c>
      <c r="Q93" s="28">
        <v>1.281588875373888</v>
      </c>
      <c r="R93" s="60">
        <v>248.77504577808506</v>
      </c>
      <c r="S93" s="57">
        <v>1.8099714995574602E-6</v>
      </c>
      <c r="U93" s="127">
        <v>1.3065170962976184E-9</v>
      </c>
      <c r="V93" s="127">
        <v>1.3124974321487924E-9</v>
      </c>
      <c r="W93" s="128">
        <v>1.2566342774668697E-9</v>
      </c>
      <c r="X93" s="128">
        <f t="shared" si="2"/>
        <v>1.2970365595155183E-9</v>
      </c>
      <c r="Y93" s="139">
        <f t="shared" si="3"/>
        <v>0.61339214163931055</v>
      </c>
      <c r="AA93" s="73"/>
      <c r="AB93" s="176"/>
      <c r="AC93" s="176"/>
      <c r="AD93" s="176"/>
      <c r="AJ93" s="135"/>
    </row>
    <row r="94" spans="2:36" x14ac:dyDescent="0.35">
      <c r="I94" s="109">
        <v>2.06429206527E-2</v>
      </c>
      <c r="J94" s="109">
        <v>1.3972629462353266E-9</v>
      </c>
      <c r="K94" s="109">
        <v>1.2724150368373114E-10</v>
      </c>
      <c r="L94" s="152">
        <v>1.2790987503779428E-9</v>
      </c>
      <c r="N94" s="18">
        <v>3.1907825106873794E-6</v>
      </c>
      <c r="O94" s="18">
        <v>2.5810808355585536E-11</v>
      </c>
      <c r="P94" s="18">
        <v>1.990764596544104E-10</v>
      </c>
      <c r="Q94" s="28">
        <v>1.7210815880741237</v>
      </c>
      <c r="R94" s="60">
        <v>271.67641750099352</v>
      </c>
      <c r="S94" s="57">
        <v>1.8099714995574602E-6</v>
      </c>
      <c r="U94" s="127">
        <v>1.3133920724169306E-9</v>
      </c>
      <c r="V94" s="127">
        <v>1.2790987503779428E-9</v>
      </c>
      <c r="W94" s="128">
        <v>1.1861381575692668E-9</v>
      </c>
      <c r="X94" s="128">
        <f t="shared" si="2"/>
        <v>1.2644319326855207E-9</v>
      </c>
      <c r="Y94" s="139">
        <f t="shared" si="3"/>
        <v>1.0897864090852909</v>
      </c>
      <c r="AA94" s="73"/>
      <c r="AB94" s="176"/>
      <c r="AC94" s="176"/>
      <c r="AD94" s="176"/>
      <c r="AJ94" s="135"/>
    </row>
    <row r="95" spans="2:36" x14ac:dyDescent="0.35">
      <c r="I95" s="109">
        <v>2.0849349859299999E-2</v>
      </c>
      <c r="J95" s="109">
        <v>1.2802621565677414E-9</v>
      </c>
      <c r="K95" s="109">
        <v>1.2387836659011648E-10</v>
      </c>
      <c r="L95" s="152">
        <v>1.221676206999046E-9</v>
      </c>
      <c r="N95" s="18">
        <v>3.1999999999999999E-6</v>
      </c>
      <c r="O95" s="18">
        <v>2.5307649463664093E-11</v>
      </c>
      <c r="P95" s="18">
        <v>1.486857631694136E-12</v>
      </c>
      <c r="Q95" s="28">
        <v>10.297802784660814</v>
      </c>
      <c r="R95" s="60">
        <v>271.67641750099352</v>
      </c>
      <c r="S95" s="57">
        <v>1.8088453673519601E-6</v>
      </c>
      <c r="U95" s="127">
        <v>1.2952958338173756E-9</v>
      </c>
      <c r="V95" s="127">
        <v>1.221676206999046E-9</v>
      </c>
      <c r="W95" s="128">
        <v>1.0965152399727284E-9</v>
      </c>
      <c r="X95" s="128">
        <f t="shared" si="2"/>
        <v>1.208790871947049E-9</v>
      </c>
      <c r="Y95" s="139">
        <f t="shared" si="3"/>
        <v>0.33286814495025735</v>
      </c>
      <c r="AA95" s="73"/>
      <c r="AB95" s="176"/>
      <c r="AC95" s="176"/>
      <c r="AD95" s="176"/>
      <c r="AJ95" s="135"/>
    </row>
    <row r="96" spans="2:36" x14ac:dyDescent="0.35">
      <c r="I96" s="109">
        <v>2.1057843357800001E-2</v>
      </c>
      <c r="J96" s="109">
        <v>1.0435910544082885E-9</v>
      </c>
      <c r="K96" s="109">
        <v>1.1224526411961229E-10</v>
      </c>
      <c r="L96" s="152">
        <v>1.1430511437737692E-9</v>
      </c>
      <c r="N96" s="18">
        <v>3.1956471679501898E-6</v>
      </c>
      <c r="O96" s="18">
        <v>2.5394460155846639E-11</v>
      </c>
      <c r="P96" s="18">
        <v>1.4888560802367562E-12</v>
      </c>
      <c r="Q96" s="28">
        <v>1.7210815880741237</v>
      </c>
      <c r="R96" s="60">
        <v>1178.1783069575265</v>
      </c>
      <c r="S96" s="57">
        <v>1.8088453673519601E-6</v>
      </c>
      <c r="U96" s="127">
        <v>1.2525472822425916E-9</v>
      </c>
      <c r="V96" s="127">
        <v>1.1430511437737692E-9</v>
      </c>
      <c r="W96" s="128">
        <v>9.9295434330434591E-10</v>
      </c>
      <c r="X96" s="128">
        <f t="shared" si="2"/>
        <v>1.132900978273619E-9</v>
      </c>
      <c r="Y96" s="139">
        <f t="shared" si="3"/>
        <v>0.6330869857172241</v>
      </c>
      <c r="AA96" s="73"/>
      <c r="AB96" s="176"/>
      <c r="AC96" s="176"/>
      <c r="AD96" s="176"/>
      <c r="AJ96" s="135"/>
    </row>
    <row r="97" spans="9:36" x14ac:dyDescent="0.35">
      <c r="I97" s="109">
        <v>2.12684217914E-2</v>
      </c>
      <c r="J97" s="109">
        <v>1.1807128073578158E-9</v>
      </c>
      <c r="K97" s="109">
        <v>1.1918079926939372E-10</v>
      </c>
      <c r="L97" s="152">
        <v>1.0475176608396235E-9</v>
      </c>
      <c r="N97" s="18">
        <v>3.1641444634933683E-6</v>
      </c>
      <c r="O97" s="18">
        <v>2.6022734242286083E-11</v>
      </c>
      <c r="P97" s="18">
        <v>1.5033194303246767E-12</v>
      </c>
      <c r="Q97" s="28">
        <v>1.281588875373888</v>
      </c>
      <c r="R97" s="60">
        <v>1178.1783069575265</v>
      </c>
      <c r="S97" s="57">
        <v>1.8050701666391347E-6</v>
      </c>
      <c r="U97" s="127">
        <v>1.1869709649204953E-9</v>
      </c>
      <c r="V97" s="127">
        <v>1.0475176608396235E-9</v>
      </c>
      <c r="W97" s="128">
        <v>8.8181175071116969E-10</v>
      </c>
      <c r="X97" s="128">
        <f t="shared" si="2"/>
        <v>1.040954509327728E-9</v>
      </c>
      <c r="Y97" s="139">
        <f t="shared" si="3"/>
        <v>1.37512639769704</v>
      </c>
      <c r="AA97" s="73"/>
      <c r="AB97" s="176"/>
      <c r="AC97" s="176"/>
      <c r="AD97" s="176"/>
      <c r="AJ97" s="135"/>
    </row>
    <row r="98" spans="9:36" x14ac:dyDescent="0.35">
      <c r="I98" s="109">
        <v>2.1481106009300002E-2</v>
      </c>
      <c r="J98" s="109">
        <v>1.0853348843264471E-9</v>
      </c>
      <c r="K98" s="109">
        <v>1.1475331913066746E-10</v>
      </c>
      <c r="L98" s="152">
        <v>9.4066594456268414E-10</v>
      </c>
      <c r="N98" s="18">
        <v>3.1185710711616265E-6</v>
      </c>
      <c r="O98" s="18">
        <v>2.6931627047740807E-11</v>
      </c>
      <c r="P98" s="18">
        <v>1.5242428379924715E-12</v>
      </c>
      <c r="Q98" s="28">
        <v>0.71317718802348939</v>
      </c>
      <c r="R98" s="60">
        <v>1181.6204701336746</v>
      </c>
      <c r="S98" s="57">
        <v>1.8050701666391347E-6</v>
      </c>
      <c r="U98" s="127">
        <v>1.1018851350577345E-9</v>
      </c>
      <c r="V98" s="127">
        <v>9.4066594456268414E-10</v>
      </c>
      <c r="W98" s="128">
        <v>7.7026158442395816E-10</v>
      </c>
      <c r="X98" s="128">
        <f t="shared" si="2"/>
        <v>9.3836965215176522E-10</v>
      </c>
      <c r="Y98" s="139">
        <f t="shared" si="3"/>
        <v>1.6402071406838219</v>
      </c>
      <c r="AA98" s="73"/>
      <c r="AB98" s="176"/>
      <c r="AC98" s="176"/>
      <c r="AD98" s="176"/>
      <c r="AJ98" s="135"/>
    </row>
    <row r="99" spans="9:36" x14ac:dyDescent="0.35">
      <c r="I99" s="109">
        <v>2.1695917069400002E-2</v>
      </c>
      <c r="J99" s="109">
        <v>8.6837420047005641E-10</v>
      </c>
      <c r="K99" s="109">
        <v>1.0479945784640291E-10</v>
      </c>
      <c r="L99" s="152">
        <v>8.2910325457362715E-10</v>
      </c>
      <c r="N99" s="18">
        <v>3.0670023935046255E-6</v>
      </c>
      <c r="O99" s="18">
        <v>2.7960086807068764E-11</v>
      </c>
      <c r="P99" s="18">
        <v>1.5479187684049419E-12</v>
      </c>
      <c r="Q99" s="28">
        <v>0.52252270986663085</v>
      </c>
      <c r="R99" s="60">
        <v>1181.6204701336746</v>
      </c>
      <c r="S99" s="57">
        <v>1.7777479472287858E-6</v>
      </c>
      <c r="U99" s="127">
        <v>1.0019951117671173E-9</v>
      </c>
      <c r="V99" s="127">
        <v>8.2910325457362715E-10</v>
      </c>
      <c r="W99" s="128">
        <v>6.658569533361963E-10</v>
      </c>
      <c r="X99" s="128">
        <f t="shared" si="2"/>
        <v>8.3151464356264203E-10</v>
      </c>
      <c r="Y99" s="139">
        <f t="shared" si="3"/>
        <v>0.12370354587397728</v>
      </c>
      <c r="AA99" s="73"/>
      <c r="AB99" s="176"/>
      <c r="AC99" s="176"/>
      <c r="AD99" s="176"/>
      <c r="AJ99" s="135"/>
    </row>
    <row r="100" spans="9:36" x14ac:dyDescent="0.35">
      <c r="I100" s="109">
        <v>2.19128762401E-2</v>
      </c>
      <c r="J100" s="109">
        <v>7.8534886837176064E-10</v>
      </c>
      <c r="K100" s="109">
        <v>9.9596999640843655E-11</v>
      </c>
      <c r="L100" s="152">
        <v>7.2007978017836197E-10</v>
      </c>
      <c r="N100" s="18">
        <v>3.012579379991785E-6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1184.1836478844225</v>
      </c>
      <c r="S100" s="57">
        <v>1.7777479472287858E-6</v>
      </c>
      <c r="U100" s="127">
        <v>8.9318727866363179E-10</v>
      </c>
      <c r="V100" s="127">
        <v>7.2007978017836197E-10</v>
      </c>
      <c r="W100" s="128">
        <v>5.7602433830424753E-10</v>
      </c>
      <c r="X100" s="128">
        <f t="shared" si="2"/>
        <v>7.2734279433115089E-10</v>
      </c>
      <c r="Y100" s="139">
        <f t="shared" si="3"/>
        <v>0.33919889921946611</v>
      </c>
      <c r="AA100" s="73"/>
      <c r="AB100" s="176"/>
      <c r="AC100" s="176"/>
      <c r="AD100" s="176"/>
      <c r="AJ100" s="135"/>
    </row>
    <row r="101" spans="9:36" x14ac:dyDescent="0.35">
      <c r="I101" s="109">
        <v>2.21320050025E-2</v>
      </c>
      <c r="J101" s="109">
        <v>5.6004474303823427E-10</v>
      </c>
      <c r="K101" s="109">
        <v>8.8944621802809394E-11</v>
      </c>
      <c r="L101" s="152">
        <v>6.210352477608501E-10</v>
      </c>
      <c r="N101" s="18">
        <v>2.9567399323580942E-6</v>
      </c>
      <c r="O101" s="18">
        <v>3.015910585130201E-11</v>
      </c>
      <c r="P101" s="18">
        <v>1.5985418690121882E-12</v>
      </c>
      <c r="Q101" s="28">
        <v>0.36718140925644527</v>
      </c>
      <c r="R101" s="60">
        <v>1184.1836478844225</v>
      </c>
      <c r="S101" s="57">
        <v>1.7382222542436509E-6</v>
      </c>
      <c r="U101" s="127">
        <v>7.8222557705106012E-10</v>
      </c>
      <c r="V101" s="127">
        <v>6.210352477608501E-10</v>
      </c>
      <c r="W101" s="128">
        <v>5.0752254032277194E-10</v>
      </c>
      <c r="X101" s="128">
        <f t="shared" si="2"/>
        <v>6.3295465322388309E-10</v>
      </c>
      <c r="Y101" s="139">
        <f t="shared" si="3"/>
        <v>0.67194502197888906</v>
      </c>
      <c r="AA101" s="73"/>
      <c r="AB101" s="176"/>
      <c r="AC101" s="176"/>
      <c r="AD101" s="176"/>
      <c r="AJ101" s="135"/>
    </row>
    <row r="102" spans="9:36" x14ac:dyDescent="0.35">
      <c r="I102" s="109">
        <v>2.2353325052600001E-2</v>
      </c>
      <c r="J102" s="109">
        <v>5.6262169238777548E-10</v>
      </c>
      <c r="K102" s="109">
        <v>3.7423158103565913E-11</v>
      </c>
      <c r="L102" s="152">
        <v>5.3909099746762135E-10</v>
      </c>
      <c r="N102" s="18">
        <v>2.9002008612193331E-6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1185.6100022604694</v>
      </c>
      <c r="S102" s="57">
        <v>1.7382222542436509E-6</v>
      </c>
      <c r="U102" s="127">
        <v>6.7636009282059016E-10</v>
      </c>
      <c r="V102" s="127">
        <v>5.3909099746762135E-10</v>
      </c>
      <c r="W102" s="128">
        <v>4.6590478114125758E-10</v>
      </c>
      <c r="X102" s="128">
        <f t="shared" si="2"/>
        <v>5.5511171722427259E-10</v>
      </c>
      <c r="Y102" s="139">
        <f t="shared" si="3"/>
        <v>4.0271344821509424E-2</v>
      </c>
      <c r="AA102" s="73"/>
      <c r="AB102" s="176"/>
      <c r="AC102" s="176"/>
      <c r="AD102" s="176"/>
      <c r="AJ102" s="135"/>
    </row>
    <row r="103" spans="9:36" x14ac:dyDescent="0.35">
      <c r="I103" s="109">
        <v>2.2576858303100002E-2</v>
      </c>
      <c r="J103" s="109">
        <v>4.8200339479780564E-10</v>
      </c>
      <c r="K103" s="109">
        <v>3.4627247169059278E-11</v>
      </c>
      <c r="L103" s="152">
        <v>4.8052027031832596E-10</v>
      </c>
      <c r="N103" s="18">
        <v>2.843332413019509E-6</v>
      </c>
      <c r="O103" s="18">
        <v>3.242084835361548E-11</v>
      </c>
      <c r="P103" s="18">
        <v>1.6506089116067295E-12</v>
      </c>
      <c r="Q103" s="28">
        <v>0.30511585966628851</v>
      </c>
      <c r="R103" s="60">
        <v>1185.6100022604694</v>
      </c>
      <c r="S103" s="57">
        <v>1.6934968647909035E-6</v>
      </c>
      <c r="U103" s="127">
        <v>5.8286574500417059E-10</v>
      </c>
      <c r="V103" s="127">
        <v>4.8052027031832596E-10</v>
      </c>
      <c r="W103" s="128">
        <v>4.5502711984780923E-10</v>
      </c>
      <c r="X103" s="128">
        <f t="shared" si="2"/>
        <v>4.9973335137215793E-10</v>
      </c>
      <c r="Y103" s="139">
        <f t="shared" si="3"/>
        <v>0.26216783634837926</v>
      </c>
      <c r="AA103" s="73"/>
      <c r="AB103" s="176"/>
      <c r="AC103" s="176"/>
      <c r="AD103" s="176"/>
      <c r="AJ103" s="135"/>
    </row>
    <row r="104" spans="9:36" x14ac:dyDescent="0.35">
      <c r="I104" s="109">
        <v>2.2802626886099998E-2</v>
      </c>
      <c r="J104" s="109">
        <v>4.63101662360154E-10</v>
      </c>
      <c r="K104" s="109">
        <v>3.2503908896720295E-11</v>
      </c>
      <c r="L104" s="152">
        <v>4.502356064161754E-10</v>
      </c>
      <c r="N104" s="18">
        <v>2.7863243235502217E-6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1186.6550476802026</v>
      </c>
      <c r="S104" s="57">
        <v>1.6934968647909035E-6</v>
      </c>
      <c r="U104" s="127">
        <v>5.0853736757954613E-10</v>
      </c>
      <c r="V104" s="127">
        <v>4.502356064161754E-10</v>
      </c>
      <c r="W104" s="128">
        <v>4.7664736091956855E-10</v>
      </c>
      <c r="X104" s="128">
        <f t="shared" si="2"/>
        <v>4.7141398533286637E-10</v>
      </c>
      <c r="Y104" s="139">
        <f t="shared" si="3"/>
        <v>6.5399380488388337E-2</v>
      </c>
      <c r="AA104" s="73"/>
      <c r="AB104" s="176"/>
      <c r="AC104" s="176"/>
      <c r="AD104" s="176"/>
      <c r="AJ104" s="135"/>
    </row>
    <row r="105" spans="9:36" x14ac:dyDescent="0.35">
      <c r="I105" s="109">
        <v>2.3030653155000001E-2</v>
      </c>
      <c r="J105" s="109">
        <v>4.3723890917517725E-10</v>
      </c>
      <c r="K105" s="109">
        <v>3.0316720393941644E-11</v>
      </c>
      <c r="L105" s="152">
        <v>4.5133558973647899E-10</v>
      </c>
      <c r="N105" s="18">
        <v>2.7292678628374288E-6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1186.6550476802026</v>
      </c>
      <c r="S105" s="57">
        <v>1.6462959167514015E-6</v>
      </c>
      <c r="U105" s="127">
        <v>4.5917469714021352E-10</v>
      </c>
      <c r="V105" s="127">
        <v>4.5133558973647899E-10</v>
      </c>
      <c r="W105" s="128">
        <v>5.3015558277570982E-10</v>
      </c>
      <c r="X105" s="128">
        <f t="shared" si="2"/>
        <v>4.7300036484722035E-10</v>
      </c>
      <c r="Y105" s="139">
        <f t="shared" si="3"/>
        <v>1.3914446658777067</v>
      </c>
      <c r="AA105" s="73"/>
      <c r="AB105" s="176"/>
      <c r="AC105" s="176"/>
      <c r="AD105" s="176"/>
      <c r="AJ105" s="135"/>
    </row>
    <row r="106" spans="9:36" x14ac:dyDescent="0.35">
      <c r="I106" s="109">
        <v>2.32609596865E-2</v>
      </c>
      <c r="J106" s="109">
        <v>5.186687273942523E-10</v>
      </c>
      <c r="K106" s="109">
        <v>3.4597380178868749E-11</v>
      </c>
      <c r="L106" s="152">
        <v>4.8475296334488488E-10</v>
      </c>
      <c r="N106" s="18">
        <v>2.6722002402748233E-6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1187.5054913362399</v>
      </c>
      <c r="S106" s="57">
        <v>1.6462959167514015E-6</v>
      </c>
      <c r="U106" s="127">
        <v>4.3909596352742576E-10</v>
      </c>
      <c r="V106" s="127">
        <v>4.8475296334488488E-10</v>
      </c>
      <c r="W106" s="128">
        <v>6.1247027664556823E-10</v>
      </c>
      <c r="X106" s="128">
        <f t="shared" si="2"/>
        <v>5.0526804171569089E-10</v>
      </c>
      <c r="Y106" s="139">
        <f t="shared" si="3"/>
        <v>0.15002637421118845</v>
      </c>
      <c r="AA106" s="73"/>
      <c r="AB106" s="176"/>
      <c r="AC106" s="176"/>
      <c r="AD106" s="176"/>
      <c r="AJ106" s="135"/>
    </row>
    <row r="107" spans="9:36" x14ac:dyDescent="0.35">
      <c r="I107" s="109">
        <v>2.34935692834E-2</v>
      </c>
      <c r="J107" s="109">
        <v>5.3307733318860071E-10</v>
      </c>
      <c r="K107" s="109">
        <v>3.5149203608815382E-11</v>
      </c>
      <c r="L107" s="152">
        <v>5.4904204115700563E-10</v>
      </c>
      <c r="N107" s="18">
        <v>2.6151313739544862E-6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1187.5054913362399</v>
      </c>
      <c r="S107" s="57">
        <v>1.5978664988234418E-6</v>
      </c>
      <c r="U107" s="127">
        <v>4.5072108648435668E-10</v>
      </c>
      <c r="V107" s="127">
        <v>5.4904204115700563E-10</v>
      </c>
      <c r="W107" s="128">
        <v>7.1812329070661177E-10</v>
      </c>
      <c r="X107" s="128">
        <f t="shared" si="2"/>
        <v>5.6673211487624487E-10</v>
      </c>
      <c r="Y107" s="139">
        <f t="shared" si="3"/>
        <v>0.91677460886392115</v>
      </c>
      <c r="AA107" s="73"/>
      <c r="AB107" s="176"/>
      <c r="AC107" s="176"/>
      <c r="AD107" s="176"/>
      <c r="AJ107" s="135"/>
    </row>
    <row r="108" spans="9:36" x14ac:dyDescent="0.35">
      <c r="I108" s="109">
        <v>2.37285049762E-2</v>
      </c>
      <c r="J108" s="109">
        <v>7.0508959264954276E-10</v>
      </c>
      <c r="K108" s="109">
        <v>4.0525829917815565E-11</v>
      </c>
      <c r="L108" s="152">
        <v>6.4033544071209698E-10</v>
      </c>
      <c r="N108" s="18">
        <v>2.5580637513918807E-6</v>
      </c>
      <c r="O108" s="18">
        <v>3.8110103002198277E-11</v>
      </c>
      <c r="P108" s="18">
        <v>1.781579905791945E-12</v>
      </c>
      <c r="Q108" s="28">
        <v>0.27901782563242211</v>
      </c>
      <c r="R108" s="60">
        <v>1188.2398541547527</v>
      </c>
      <c r="S108" s="57">
        <v>1.5978664988234418E-6</v>
      </c>
      <c r="U108" s="127">
        <v>4.9426431661742709E-10</v>
      </c>
      <c r="V108" s="127">
        <v>6.4033544071209698E-10</v>
      </c>
      <c r="W108" s="128">
        <v>8.3954313194010287E-10</v>
      </c>
      <c r="X108" s="128">
        <f t="shared" si="2"/>
        <v>6.5361958249543098E-10</v>
      </c>
      <c r="Y108" s="139">
        <f t="shared" si="3"/>
        <v>1.6130382763206932</v>
      </c>
      <c r="AA108" s="73"/>
      <c r="AB108" s="176"/>
      <c r="AC108" s="176"/>
      <c r="AD108" s="176"/>
      <c r="AJ108" s="135"/>
    </row>
    <row r="109" spans="9:36" x14ac:dyDescent="0.35">
      <c r="I109" s="109">
        <v>2.3965790026000001E-2</v>
      </c>
      <c r="J109" s="109">
        <v>8.041507351595854E-10</v>
      </c>
      <c r="K109" s="109">
        <v>4.4975492837650391E-11</v>
      </c>
      <c r="L109" s="152">
        <v>7.5248895309451724E-10</v>
      </c>
      <c r="N109" s="18">
        <v>2.5010072906790877E-6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1188.2398541547527</v>
      </c>
      <c r="S109" s="57">
        <v>1.5488302991210359E-6</v>
      </c>
      <c r="U109" s="127">
        <v>5.6757129120173119E-10</v>
      </c>
      <c r="V109" s="127">
        <v>7.5248895309451724E-10</v>
      </c>
      <c r="W109" s="128">
        <v>9.6753073670352112E-10</v>
      </c>
      <c r="X109" s="128">
        <f t="shared" si="2"/>
        <v>7.6001998352357159E-10</v>
      </c>
      <c r="Y109" s="139">
        <f t="shared" si="3"/>
        <v>0.96278826195056233</v>
      </c>
      <c r="AA109" s="73"/>
      <c r="AB109" s="176"/>
      <c r="AC109" s="176"/>
      <c r="AD109" s="176"/>
      <c r="AJ109" s="135"/>
    </row>
    <row r="110" spans="9:36" x14ac:dyDescent="0.35">
      <c r="I110" s="109">
        <v>2.42054479262E-2</v>
      </c>
      <c r="J110" s="109">
        <v>9.3212429034553688E-10</v>
      </c>
      <c r="K110" s="109">
        <v>4.910068636594624E-11</v>
      </c>
      <c r="L110" s="152">
        <v>8.7741965966100039E-10</v>
      </c>
      <c r="N110" s="18">
        <v>2.4439992012098005E-6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1188.8995638541278</v>
      </c>
      <c r="S110" s="57">
        <v>1.5488302991210359E-6</v>
      </c>
      <c r="U110" s="127">
        <v>6.661270686150352E-10</v>
      </c>
      <c r="V110" s="127">
        <v>8.7741965966100039E-10</v>
      </c>
      <c r="W110" s="128">
        <v>1.0919056923350676E-9</v>
      </c>
      <c r="X110" s="128">
        <f t="shared" si="2"/>
        <v>8.7821802006802585E-10</v>
      </c>
      <c r="Y110" s="139">
        <f t="shared" si="3"/>
        <v>1.2053229970528956</v>
      </c>
      <c r="AA110" s="73"/>
      <c r="AB110" s="176"/>
      <c r="AC110" s="176"/>
      <c r="AD110" s="176"/>
      <c r="AJ110" s="135"/>
    </row>
    <row r="111" spans="9:36" x14ac:dyDescent="0.35">
      <c r="I111" s="109">
        <v>2.4447502405500001E-2</v>
      </c>
      <c r="J111" s="109">
        <v>9.959230552687341E-10</v>
      </c>
      <c r="K111" s="109">
        <v>5.4580714091585359E-11</v>
      </c>
      <c r="L111" s="152">
        <v>1.0056271985188104E-9</v>
      </c>
      <c r="N111" s="18">
        <v>2.3871307530099764E-6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1188.8995638541278</v>
      </c>
      <c r="S111" s="57">
        <v>1.4995084314899156E-6</v>
      </c>
      <c r="U111" s="127">
        <v>7.8325028119083378E-10</v>
      </c>
      <c r="V111" s="127">
        <v>1.0056271985188104E-9</v>
      </c>
      <c r="W111" s="128">
        <v>1.2022851563845337E-9</v>
      </c>
      <c r="X111" s="128">
        <f t="shared" si="2"/>
        <v>9.9919745865324706E-10</v>
      </c>
      <c r="Y111" s="139">
        <f t="shared" si="3"/>
        <v>3.5990338752363098E-3</v>
      </c>
      <c r="AA111" s="73"/>
      <c r="AB111" s="176"/>
      <c r="AC111" s="176"/>
      <c r="AD111" s="176"/>
      <c r="AJ111" s="135"/>
    </row>
    <row r="112" spans="9:36" x14ac:dyDescent="0.35">
      <c r="I112" s="109">
        <v>2.4691977429599998E-2</v>
      </c>
      <c r="J112" s="109">
        <v>1.2633348682127766E-9</v>
      </c>
      <c r="K112" s="109">
        <v>6.4117461925614157E-11</v>
      </c>
      <c r="L112" s="152">
        <v>1.1268724162585104E-9</v>
      </c>
      <c r="N112" s="18">
        <v>2.3305916818712153E-6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1189.5097955734605</v>
      </c>
      <c r="S112" s="57">
        <v>1.4995084314899156E-6</v>
      </c>
      <c r="U112" s="127">
        <v>9.1047489410697286E-10</v>
      </c>
      <c r="V112" s="127">
        <v>1.1268724162585104E-9</v>
      </c>
      <c r="W112" s="128">
        <v>1.2889433489527603E-9</v>
      </c>
      <c r="X112" s="128">
        <f t="shared" si="2"/>
        <v>1.1132907688941885E-9</v>
      </c>
      <c r="Y112" s="139">
        <f t="shared" si="3"/>
        <v>5.4762743420751825</v>
      </c>
      <c r="AA112" s="73"/>
      <c r="AB112" s="176"/>
      <c r="AC112" s="176"/>
      <c r="AD112" s="176"/>
      <c r="AJ112" s="135"/>
    </row>
    <row r="113" spans="9:36" x14ac:dyDescent="0.35">
      <c r="I113" s="109">
        <v>2.4938897203899999E-2</v>
      </c>
      <c r="J113" s="109">
        <v>1.2639403057990971E-9</v>
      </c>
      <c r="K113" s="109">
        <v>6.513326332433142E-11</v>
      </c>
      <c r="L113" s="152">
        <v>1.2309725308898832E-9</v>
      </c>
      <c r="N113" s="18">
        <v>2.2747522342375245E-6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1189.5097955734605</v>
      </c>
      <c r="S113" s="57">
        <v>1.4500654533234042E-6</v>
      </c>
      <c r="U113" s="127">
        <v>1.0381061256329744E-9</v>
      </c>
      <c r="V113" s="127">
        <v>1.2309725308898832E-9</v>
      </c>
      <c r="W113" s="128">
        <v>1.3436874217905359E-9</v>
      </c>
      <c r="X113" s="128">
        <f t="shared" si="2"/>
        <v>1.2109346523008193E-9</v>
      </c>
      <c r="Y113" s="139">
        <f t="shared" si="3"/>
        <v>0.66227553284405594</v>
      </c>
      <c r="AA113" s="73"/>
      <c r="AB113" s="176"/>
      <c r="AC113" s="176"/>
      <c r="AD113" s="176"/>
      <c r="AJ113" s="135"/>
    </row>
    <row r="114" spans="9:36" x14ac:dyDescent="0.35">
      <c r="I114" s="109">
        <v>2.51882861759E-2</v>
      </c>
      <c r="J114" s="109">
        <v>1.2599867660585214E-9</v>
      </c>
      <c r="K114" s="109">
        <v>6.3604194045407779E-11</v>
      </c>
      <c r="L114" s="152">
        <v>1.3086583251196893E-9</v>
      </c>
      <c r="N114" s="18">
        <v>2.220329220724684E-6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1190.0875865391999</v>
      </c>
      <c r="S114" s="57">
        <v>1.4500654533234042E-6</v>
      </c>
      <c r="U114" s="127">
        <v>1.1559218532755561E-9</v>
      </c>
      <c r="V114" s="127">
        <v>1.3086583251196893E-9</v>
      </c>
      <c r="W114" s="128">
        <v>1.360676684720765E-9</v>
      </c>
      <c r="X114" s="128">
        <f t="shared" si="2"/>
        <v>1.2834787970589248E-9</v>
      </c>
      <c r="Y114" s="139">
        <f t="shared" si="3"/>
        <v>0.13641735439725372</v>
      </c>
      <c r="AA114" s="73"/>
      <c r="AB114" s="176"/>
      <c r="AC114" s="176"/>
      <c r="AD114" s="176"/>
      <c r="AJ114" s="135"/>
    </row>
    <row r="115" spans="9:36" x14ac:dyDescent="0.35">
      <c r="I115" s="109">
        <v>2.5440169037600002E-2</v>
      </c>
      <c r="J115" s="109">
        <v>1.3007470158234791E-9</v>
      </c>
      <c r="K115" s="109">
        <v>6.4908556228290119E-11</v>
      </c>
      <c r="L115" s="152">
        <v>1.3524277359431801E-9</v>
      </c>
      <c r="N115" s="18">
        <v>2.168760543067683E-6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1190.0875865391999</v>
      </c>
      <c r="S115" s="57">
        <v>1.4005805228943493E-6</v>
      </c>
      <c r="U115" s="127">
        <v>1.2539762758508739E-9</v>
      </c>
      <c r="V115" s="127">
        <v>1.3524277359431801E-9</v>
      </c>
      <c r="W115" s="128">
        <v>1.3371076932720364E-9</v>
      </c>
      <c r="X115" s="128">
        <f t="shared" si="2"/>
        <v>1.3239848602523175E-9</v>
      </c>
      <c r="Y115" s="139">
        <f t="shared" si="3"/>
        <v>0.12817041233441745</v>
      </c>
      <c r="AA115" s="73"/>
      <c r="AB115" s="176"/>
      <c r="AC115" s="176"/>
      <c r="AD115" s="176"/>
      <c r="AJ115" s="135"/>
    </row>
    <row r="116" spans="9:36" x14ac:dyDescent="0.35">
      <c r="I116" s="109">
        <v>2.5694570728E-2</v>
      </c>
      <c r="J116" s="109">
        <v>1.2816362923618059E-9</v>
      </c>
      <c r="K116" s="109">
        <v>6.4022237031621688E-11</v>
      </c>
      <c r="L116" s="152">
        <v>1.3573225178921296E-9</v>
      </c>
      <c r="N116" s="18">
        <v>2.1231871507359412E-6</v>
      </c>
      <c r="O116" s="18">
        <v>4.6783063108384949E-11</v>
      </c>
      <c r="P116" s="18">
        <v>1.9812380820908275E-12</v>
      </c>
      <c r="Q116" s="28">
        <v>1.281588875373888</v>
      </c>
      <c r="R116" s="60">
        <v>1190.6456221904648</v>
      </c>
      <c r="S116" s="57">
        <v>1.4005805228943493E-6</v>
      </c>
      <c r="U116" s="127">
        <v>1.3234496684699516E-9</v>
      </c>
      <c r="V116" s="127">
        <v>1.3573225178921296E-9</v>
      </c>
      <c r="W116" s="128">
        <v>1.2736888178587533E-9</v>
      </c>
      <c r="X116" s="128">
        <f t="shared" si="2"/>
        <v>1.3279458805282413E-9</v>
      </c>
      <c r="Y116" s="139">
        <f t="shared" si="3"/>
        <v>0.52321495355146841</v>
      </c>
      <c r="AA116" s="73"/>
      <c r="AB116" s="176"/>
      <c r="AC116" s="176"/>
      <c r="AD116" s="176"/>
      <c r="AJ116" s="135"/>
    </row>
    <row r="117" spans="9:36" x14ac:dyDescent="0.35">
      <c r="I117" s="109">
        <v>2.5951516435299998E-2</v>
      </c>
      <c r="J117" s="109">
        <v>1.2253821733421467E-9</v>
      </c>
      <c r="K117" s="109">
        <v>6.3252534776791836E-11</v>
      </c>
      <c r="L117" s="152">
        <v>1.3215515832932832E-9</v>
      </c>
      <c r="N117" s="18">
        <v>2.0916844462791197E-6</v>
      </c>
      <c r="O117" s="18">
        <v>4.7411337194824393E-11</v>
      </c>
      <c r="P117" s="18">
        <v>1.995701432178748E-12</v>
      </c>
      <c r="Q117" s="28">
        <v>1.7210815880741237</v>
      </c>
      <c r="R117" s="60">
        <v>1190.6456221904648</v>
      </c>
      <c r="S117" s="57">
        <v>1.3510859118199382E-6</v>
      </c>
      <c r="U117" s="127">
        <v>1.357477728401655E-9</v>
      </c>
      <c r="V117" s="127">
        <v>1.3215515832932832E-9</v>
      </c>
      <c r="W117" s="128">
        <v>1.1748359411551095E-9</v>
      </c>
      <c r="X117" s="128">
        <f t="shared" si="2"/>
        <v>1.2938542090358327E-9</v>
      </c>
      <c r="Y117" s="139">
        <f t="shared" si="3"/>
        <v>1.1718461873525279</v>
      </c>
      <c r="AA117" s="73"/>
      <c r="AB117" s="176"/>
      <c r="AC117" s="176"/>
      <c r="AD117" s="176"/>
      <c r="AJ117" s="135"/>
    </row>
    <row r="118" spans="9:36" x14ac:dyDescent="0.35">
      <c r="I118" s="109">
        <v>2.6211031599700001E-2</v>
      </c>
      <c r="J118" s="109">
        <v>1.2293263401634349E-9</v>
      </c>
      <c r="K118" s="109">
        <v>6.5485428908599841E-11</v>
      </c>
      <c r="L118" s="152">
        <v>1.2468874350420788E-9</v>
      </c>
      <c r="N118" s="18">
        <v>2.0873316142293096E-6</v>
      </c>
      <c r="O118" s="18">
        <v>4.7498147887006942E-11</v>
      </c>
      <c r="P118" s="18">
        <v>1.9976998807213682E-12</v>
      </c>
      <c r="Q118" s="28">
        <v>100</v>
      </c>
      <c r="R118" s="60">
        <v>1191.1942837879235</v>
      </c>
      <c r="S118" s="57">
        <v>1.3510859118199382E-6</v>
      </c>
      <c r="U118" s="127">
        <v>1.3518873284935991E-9</v>
      </c>
      <c r="V118" s="127">
        <v>1.2468874350420788E-9</v>
      </c>
      <c r="W118" s="128">
        <v>1.0485369901932815E-9</v>
      </c>
      <c r="X118" s="128">
        <f t="shared" si="2"/>
        <v>1.2235497971927594E-9</v>
      </c>
      <c r="Y118" s="139">
        <f t="shared" si="3"/>
        <v>7.781201538005004E-3</v>
      </c>
      <c r="AA118" s="73"/>
      <c r="AB118" s="176"/>
      <c r="AC118" s="176"/>
      <c r="AD118" s="176"/>
      <c r="AJ118" s="135"/>
    </row>
    <row r="119" spans="9:36" x14ac:dyDescent="0.35">
      <c r="I119" s="109">
        <v>2.6473141915700001E-2</v>
      </c>
      <c r="J119" s="109">
        <v>9.8887420466000843E-10</v>
      </c>
      <c r="K119" s="109">
        <v>5.7387544340721212E-11</v>
      </c>
      <c r="L119" s="152">
        <v>1.138772058636497E-9</v>
      </c>
      <c r="R119" s="60">
        <v>1191.1942837879235</v>
      </c>
      <c r="S119" s="57">
        <v>1.3160417901892343E-6</v>
      </c>
      <c r="U119" s="127">
        <v>1.3057636586347337E-9</v>
      </c>
      <c r="V119" s="127">
        <v>1.138772058636497E-9</v>
      </c>
      <c r="W119" s="128">
        <v>9.0585763564380555E-10</v>
      </c>
      <c r="X119" s="128">
        <f t="shared" si="2"/>
        <v>1.1222913528878834E-9</v>
      </c>
      <c r="Y119" s="139">
        <f t="shared" si="3"/>
        <v>5.4049044931969785</v>
      </c>
      <c r="AA119" s="73"/>
      <c r="AB119" s="176"/>
      <c r="AC119" s="176"/>
      <c r="AD119" s="176"/>
      <c r="AJ119" s="135"/>
    </row>
    <row r="120" spans="9:36" x14ac:dyDescent="0.35">
      <c r="I120" s="109">
        <v>2.6737873334799999E-2</v>
      </c>
      <c r="J120" s="109">
        <v>8.4477822577646731E-10</v>
      </c>
      <c r="K120" s="109">
        <v>5.2478431987440221E-11</v>
      </c>
      <c r="L120" s="152">
        <v>1.0060866780504533E-9</v>
      </c>
      <c r="R120" s="60">
        <v>1191.4215565151962</v>
      </c>
      <c r="S120" s="57">
        <v>1.3160417901892343E-6</v>
      </c>
      <c r="U120" s="127">
        <v>1.221778011752029E-9</v>
      </c>
      <c r="V120" s="127">
        <v>1.0060866780504533E-9</v>
      </c>
      <c r="W120" s="128">
        <v>7.6009314740900447E-10</v>
      </c>
      <c r="X120" s="128">
        <f t="shared" si="2"/>
        <v>9.9851112881548498E-10</v>
      </c>
      <c r="Y120" s="139">
        <f t="shared" si="3"/>
        <v>8.5816728873627302</v>
      </c>
      <c r="AA120" s="73"/>
      <c r="AB120" s="176"/>
      <c r="AC120" s="176"/>
      <c r="AD120" s="176"/>
      <c r="AJ120" s="135"/>
    </row>
    <row r="121" spans="9:36" x14ac:dyDescent="0.35">
      <c r="I121" s="109">
        <v>2.7005252068200002E-2</v>
      </c>
      <c r="J121" s="109">
        <v>8.3255129233223371E-10</v>
      </c>
      <c r="K121" s="109">
        <v>5.5562906251795605E-11</v>
      </c>
      <c r="L121" s="152">
        <v>8.6056614309986568E-10</v>
      </c>
      <c r="R121" s="60">
        <v>1191.4215565151962</v>
      </c>
      <c r="S121" s="57">
        <v>1.2852196892081566E-6</v>
      </c>
      <c r="U121" s="127">
        <v>1.1062170254505204E-9</v>
      </c>
      <c r="V121" s="127">
        <v>8.6056614309986568E-10</v>
      </c>
      <c r="W121" s="128">
        <v>6.2561008162960848E-10</v>
      </c>
      <c r="X121" s="128">
        <f t="shared" si="2"/>
        <v>8.6323984831996501E-10</v>
      </c>
      <c r="Y121" s="139">
        <f t="shared" si="3"/>
        <v>0.3050584083887497</v>
      </c>
      <c r="AA121" s="73"/>
      <c r="AB121" s="176"/>
      <c r="AC121" s="176"/>
      <c r="AD121" s="176"/>
      <c r="AJ121" s="135"/>
    </row>
    <row r="122" spans="9:36" x14ac:dyDescent="0.35">
      <c r="I122" s="109">
        <v>2.7275304588799999E-2</v>
      </c>
      <c r="J122" s="109">
        <v>6.8860484043905768E-10</v>
      </c>
      <c r="K122" s="109">
        <v>5.0721452120820312E-11</v>
      </c>
      <c r="L122" s="152">
        <v>7.1587249974265615E-10</v>
      </c>
      <c r="R122" s="60">
        <v>1191.8761019697417</v>
      </c>
      <c r="S122" s="57">
        <v>1.2852196892081566E-6</v>
      </c>
      <c r="U122" s="127">
        <v>9.6867379348652994E-10</v>
      </c>
      <c r="V122" s="127">
        <v>7.1587249974265615E-10</v>
      </c>
      <c r="W122" s="128">
        <v>5.1646253404199221E-10</v>
      </c>
      <c r="X122" s="128">
        <f t="shared" si="2"/>
        <v>7.2922033175345861E-10</v>
      </c>
      <c r="Y122" s="139">
        <f t="shared" si="3"/>
        <v>0.64120967265480555</v>
      </c>
      <c r="AA122" s="73"/>
      <c r="AB122" s="176"/>
      <c r="AC122" s="176"/>
      <c r="AD122" s="176"/>
      <c r="AJ122" s="135"/>
    </row>
    <row r="123" spans="9:36" x14ac:dyDescent="0.35">
      <c r="I123" s="109">
        <v>2.7548057634700002E-2</v>
      </c>
      <c r="J123" s="109">
        <v>6.1229555178335826E-10</v>
      </c>
      <c r="K123" s="109">
        <v>4.7264711977256934E-11</v>
      </c>
      <c r="L123" s="152">
        <v>5.863811183718477E-10</v>
      </c>
      <c r="R123" s="60">
        <v>1191.8761019697417</v>
      </c>
      <c r="S123" s="57">
        <v>1.2445749651113497E-6</v>
      </c>
      <c r="U123" s="127">
        <v>8.2138888566883197E-10</v>
      </c>
      <c r="V123" s="127">
        <v>5.863811183718477E-10</v>
      </c>
      <c r="W123" s="128">
        <v>4.449060133482597E-10</v>
      </c>
      <c r="X123" s="128">
        <f t="shared" si="2"/>
        <v>6.0976428394019679E-10</v>
      </c>
      <c r="Y123" s="139">
        <f t="shared" si="3"/>
        <v>2.8681520599220566E-3</v>
      </c>
      <c r="AA123" s="73"/>
      <c r="AB123" s="176"/>
      <c r="AC123" s="176"/>
      <c r="AD123" s="176"/>
      <c r="AJ123" s="135"/>
    </row>
    <row r="124" spans="9:36" x14ac:dyDescent="0.35">
      <c r="I124" s="109">
        <v>2.78235382111E-2</v>
      </c>
      <c r="J124" s="109">
        <v>5.7214517483339915E-10</v>
      </c>
      <c r="K124" s="109">
        <v>4.8108620414488922E-11</v>
      </c>
      <c r="L124" s="152">
        <v>4.8577269308912829E-10</v>
      </c>
      <c r="R124" s="60">
        <v>1192.3306474242872</v>
      </c>
      <c r="S124" s="57">
        <v>1.2445749651113497E-6</v>
      </c>
      <c r="U124" s="127">
        <v>6.7826375811669534E-10</v>
      </c>
      <c r="V124" s="127">
        <v>4.8577269308912829E-10</v>
      </c>
      <c r="W124" s="128">
        <v>4.1996161736928322E-10</v>
      </c>
      <c r="X124" s="128">
        <f t="shared" si="2"/>
        <v>5.1744269041605883E-10</v>
      </c>
      <c r="Y124" s="139">
        <f t="shared" si="3"/>
        <v>1.2929100046827324</v>
      </c>
      <c r="AA124" s="73"/>
      <c r="AB124" s="176"/>
      <c r="AC124" s="176"/>
      <c r="AD124" s="176"/>
      <c r="AJ124" s="135"/>
    </row>
    <row r="125" spans="9:36" x14ac:dyDescent="0.35">
      <c r="I125" s="109">
        <v>2.81017735932E-2</v>
      </c>
      <c r="J125" s="109">
        <v>4.3832945635894E-10</v>
      </c>
      <c r="K125" s="109">
        <v>4.2835403797938363E-11</v>
      </c>
      <c r="L125" s="152">
        <v>4.2556026265172499E-10</v>
      </c>
      <c r="R125" s="60">
        <v>1192.3306474242872</v>
      </c>
      <c r="S125" s="57">
        <v>1.2048707182205877E-6</v>
      </c>
      <c r="U125" s="127">
        <v>5.5360763117429559E-10</v>
      </c>
      <c r="V125" s="127">
        <v>4.2556026265172499E-10</v>
      </c>
      <c r="W125" s="128">
        <v>4.4619830822641851E-10</v>
      </c>
      <c r="X125" s="128">
        <f t="shared" si="2"/>
        <v>4.6273161617604101E-10</v>
      </c>
      <c r="Y125" s="139">
        <f t="shared" si="3"/>
        <v>0.32452697661224322</v>
      </c>
      <c r="AA125" s="73"/>
      <c r="AB125" s="176"/>
      <c r="AC125" s="176"/>
      <c r="AD125" s="176"/>
      <c r="AJ125" s="135"/>
    </row>
    <row r="126" spans="9:36" x14ac:dyDescent="0.35">
      <c r="I126" s="109">
        <v>2.8382791329100002E-2</v>
      </c>
      <c r="J126" s="109">
        <v>4.8757700187427687E-10</v>
      </c>
      <c r="K126" s="109">
        <v>4.6810520594310995E-11</v>
      </c>
      <c r="L126" s="152">
        <v>4.1370636242475742E-10</v>
      </c>
      <c r="R126" s="60">
        <v>1192.7851928788327</v>
      </c>
      <c r="S126" s="57">
        <v>1.2048707182205877E-6</v>
      </c>
      <c r="U126" s="127">
        <v>4.6071756606684073E-10</v>
      </c>
      <c r="V126" s="127">
        <v>4.1370636242475742E-10</v>
      </c>
      <c r="W126" s="128">
        <v>5.2289715680372933E-10</v>
      </c>
      <c r="X126" s="128">
        <f t="shared" si="2"/>
        <v>4.5275686193002125E-10</v>
      </c>
      <c r="Y126" s="139">
        <f t="shared" si="3"/>
        <v>0.55331708756661535</v>
      </c>
      <c r="AA126" s="73"/>
      <c r="AB126" s="176"/>
      <c r="AC126" s="176"/>
      <c r="AD126" s="176"/>
      <c r="AJ126" s="135"/>
    </row>
    <row r="127" spans="9:36" x14ac:dyDescent="0.35">
      <c r="I127" s="109">
        <v>2.86666192424E-2</v>
      </c>
      <c r="J127" s="109">
        <v>4.4460075054447057E-10</v>
      </c>
      <c r="K127" s="109">
        <v>4.4345505565659814E-11</v>
      </c>
      <c r="L127" s="152">
        <v>4.5349608280184421E-10</v>
      </c>
      <c r="R127" s="60">
        <v>1192.7851928788327</v>
      </c>
      <c r="S127" s="57">
        <v>1.1665547973917652E-6</v>
      </c>
      <c r="U127" s="127">
        <v>4.1042497619297115E-10</v>
      </c>
      <c r="V127" s="127">
        <v>4.5349608280184421E-10</v>
      </c>
      <c r="W127" s="128">
        <v>6.437362053876935E-10</v>
      </c>
      <c r="X127" s="128">
        <f t="shared" si="2"/>
        <v>4.9028833679608828E-10</v>
      </c>
      <c r="Y127" s="139">
        <f t="shared" si="3"/>
        <v>1.0614442956146024</v>
      </c>
      <c r="AA127" s="73"/>
      <c r="AB127" s="176"/>
      <c r="AC127" s="176"/>
      <c r="AD127" s="176"/>
      <c r="AJ127" s="135"/>
    </row>
    <row r="128" spans="9:36" x14ac:dyDescent="0.35">
      <c r="I128" s="109">
        <v>2.89532854348E-2</v>
      </c>
      <c r="J128" s="109">
        <v>5.9005276158877204E-10</v>
      </c>
      <c r="K128" s="109">
        <v>5.3567614055141477E-11</v>
      </c>
      <c r="L128" s="152">
        <v>5.4282323589357543E-10</v>
      </c>
      <c r="R128" s="60">
        <v>1193.2397383333782</v>
      </c>
      <c r="S128" s="57">
        <v>1.1665547973917652E-6</v>
      </c>
      <c r="U128" s="127">
        <v>4.0976457754807197E-10</v>
      </c>
      <c r="V128" s="127">
        <v>5.4282323589357543E-10</v>
      </c>
      <c r="W128" s="128">
        <v>7.9708872975352108E-10</v>
      </c>
      <c r="X128" s="128">
        <f t="shared" si="2"/>
        <v>5.7312494477218597E-10</v>
      </c>
      <c r="Y128" s="139">
        <f t="shared" si="3"/>
        <v>9.986131839433797E-2</v>
      </c>
      <c r="AA128" s="73"/>
      <c r="AB128" s="176"/>
      <c r="AC128" s="176"/>
      <c r="AD128" s="176"/>
      <c r="AJ128" s="135"/>
    </row>
    <row r="129" spans="9:36" x14ac:dyDescent="0.35">
      <c r="I129" s="109">
        <v>2.9242818289200001E-2</v>
      </c>
      <c r="J129" s="109">
        <v>6.9495084498164776E-10</v>
      </c>
      <c r="K129" s="109">
        <v>5.7430488859876386E-11</v>
      </c>
      <c r="L129" s="152">
        <v>6.7401741103724091E-10</v>
      </c>
      <c r="R129" s="60">
        <v>1193.2397383333782</v>
      </c>
      <c r="S129" s="57">
        <v>1.1300606471447582E-6</v>
      </c>
      <c r="U129" s="127">
        <v>4.609287958899678E-10</v>
      </c>
      <c r="V129" s="127">
        <v>6.7401741103724091E-10</v>
      </c>
      <c r="W129" s="128">
        <v>9.6696474883744377E-10</v>
      </c>
      <c r="X129" s="128">
        <f t="shared" si="2"/>
        <v>6.9398209170047336E-10</v>
      </c>
      <c r="Y129" s="139">
        <f t="shared" si="3"/>
        <v>2.845387024751832E-4</v>
      </c>
      <c r="AA129" s="73"/>
      <c r="AB129" s="176"/>
      <c r="AC129" s="176"/>
      <c r="AD129" s="176"/>
      <c r="AJ129" s="135"/>
    </row>
    <row r="130" spans="9:36" x14ac:dyDescent="0.35">
      <c r="I130" s="109">
        <v>2.9535246472099999E-2</v>
      </c>
      <c r="J130" s="109">
        <v>7.9007094650601684E-10</v>
      </c>
      <c r="K130" s="109">
        <v>6.2483844703637488E-11</v>
      </c>
      <c r="L130" s="152">
        <v>8.34290630965928E-10</v>
      </c>
      <c r="R130" s="60">
        <v>1193.6942837879237</v>
      </c>
      <c r="S130" s="57">
        <v>1.1300606471447582E-6</v>
      </c>
      <c r="U130" s="127">
        <v>5.6065844110704206E-10</v>
      </c>
      <c r="V130" s="127">
        <v>8.34290630965928E-10</v>
      </c>
      <c r="W130" s="127">
        <v>1.1345516593340172E-9</v>
      </c>
      <c r="X130" s="128">
        <f t="shared" si="2"/>
        <v>8.4094784059322888E-10</v>
      </c>
      <c r="Y130" s="139">
        <f t="shared" si="3"/>
        <v>0.66298803838883269</v>
      </c>
      <c r="AA130" s="73"/>
      <c r="AB130" s="176"/>
      <c r="AC130" s="176"/>
      <c r="AD130" s="176"/>
      <c r="AJ130" s="135"/>
    </row>
    <row r="131" spans="9:36" x14ac:dyDescent="0.35">
      <c r="I131" s="109">
        <v>2.9830598936799999E-2</v>
      </c>
      <c r="J131" s="49">
        <v>1.0048887520429269E-9</v>
      </c>
      <c r="K131" s="49">
        <v>7.1398655919787617E-11</v>
      </c>
      <c r="L131" s="152">
        <v>1.0068175690988258E-9</v>
      </c>
      <c r="R131" s="60">
        <v>1193.6942837879237</v>
      </c>
      <c r="S131" s="57">
        <v>1.0958234440755188E-6</v>
      </c>
      <c r="U131" s="127">
        <v>7.0018790982256318E-10</v>
      </c>
      <c r="V131" s="127">
        <v>1.0068175690988258E-9</v>
      </c>
      <c r="W131" s="127">
        <v>1.2802325433287859E-9</v>
      </c>
      <c r="X131" s="128">
        <f t="shared" ref="X131:X194" si="4">(U131+2*V131+W131)/4</f>
        <v>9.9851389783725016E-10</v>
      </c>
      <c r="Y131" s="139">
        <f t="shared" ref="Y131:Y194" si="5">(J131-X131)*(J131-X131)/(K131*K131)</f>
        <v>7.9718742807254363E-3</v>
      </c>
      <c r="AA131" s="73"/>
      <c r="AB131" s="176"/>
      <c r="AC131" s="176"/>
      <c r="AD131" s="176"/>
      <c r="AJ131" s="135"/>
    </row>
    <row r="132" spans="9:36" x14ac:dyDescent="0.35">
      <c r="I132" s="109">
        <v>3.01289049262E-2</v>
      </c>
      <c r="J132" s="49">
        <v>1.1959870774999291E-9</v>
      </c>
      <c r="K132" s="49">
        <v>7.9417748122269173E-11</v>
      </c>
      <c r="L132" s="152">
        <v>1.172389062672188E-9</v>
      </c>
      <c r="R132" s="60">
        <v>1194.1488292424692</v>
      </c>
      <c r="S132" s="57">
        <v>1.0958234440755188E-6</v>
      </c>
      <c r="U132" s="127">
        <v>8.6581187949790068E-10</v>
      </c>
      <c r="V132" s="127">
        <v>1.172389062672188E-9</v>
      </c>
      <c r="W132" s="127">
        <v>1.385888485164444E-9</v>
      </c>
      <c r="X132" s="128">
        <f t="shared" si="4"/>
        <v>1.1491196225016802E-9</v>
      </c>
      <c r="Y132" s="139">
        <f t="shared" si="5"/>
        <v>0.34826321508185826</v>
      </c>
      <c r="AA132" s="73"/>
      <c r="AB132" s="176"/>
      <c r="AC132" s="176"/>
      <c r="AD132" s="176"/>
      <c r="AJ132" s="135"/>
    </row>
    <row r="133" spans="9:36" x14ac:dyDescent="0.35">
      <c r="I133" s="109">
        <v>3.0430193975400002E-2</v>
      </c>
      <c r="J133" s="49">
        <v>1.3853494517140314E-9</v>
      </c>
      <c r="K133" s="49">
        <v>8.9598510025861788E-11</v>
      </c>
      <c r="L133" s="152">
        <v>1.3115026605043847E-9</v>
      </c>
      <c r="R133" s="60">
        <v>1194.1488292424692</v>
      </c>
      <c r="S133" s="57">
        <v>1.0643174819678333E-6</v>
      </c>
      <c r="U133" s="127">
        <v>1.0400746133969766E-9</v>
      </c>
      <c r="V133" s="127">
        <v>1.3115026605043847E-9</v>
      </c>
      <c r="W133" s="127">
        <v>1.4372327854695457E-9</v>
      </c>
      <c r="X133" s="128">
        <f t="shared" si="4"/>
        <v>1.275078179968823E-9</v>
      </c>
      <c r="Y133" s="139">
        <f t="shared" si="5"/>
        <v>1.5146880226281949</v>
      </c>
      <c r="AA133" s="73"/>
      <c r="AB133" s="176"/>
      <c r="AC133" s="176"/>
      <c r="AD133" s="176"/>
      <c r="AJ133" s="135"/>
    </row>
    <row r="134" spans="9:36" x14ac:dyDescent="0.35">
      <c r="I134" s="109">
        <v>3.07344959152E-2</v>
      </c>
      <c r="J134" s="49">
        <v>1.4429135066692607E-9</v>
      </c>
      <c r="K134" s="49">
        <v>9.4544949262772518E-11</v>
      </c>
      <c r="L134" s="152">
        <v>1.4066846097178754E-9</v>
      </c>
      <c r="R134" s="60">
        <v>1194.6033746970147</v>
      </c>
      <c r="S134" s="57">
        <v>1.0643174819678333E-6</v>
      </c>
      <c r="U134" s="127">
        <v>1.2035089100570438E-9</v>
      </c>
      <c r="V134" s="127">
        <v>1.4066846097178754E-9</v>
      </c>
      <c r="W134" s="127">
        <v>1.4258886525531268E-9</v>
      </c>
      <c r="X134" s="128">
        <f t="shared" si="4"/>
        <v>1.3606916955114803E-9</v>
      </c>
      <c r="Y134" s="139">
        <f t="shared" si="5"/>
        <v>0.75630576679506878</v>
      </c>
      <c r="AA134" s="73"/>
      <c r="AB134" s="176"/>
      <c r="AC134" s="176"/>
      <c r="AD134" s="176"/>
      <c r="AJ134" s="135"/>
    </row>
    <row r="135" spans="9:36" x14ac:dyDescent="0.35">
      <c r="I135" s="109">
        <v>3.1041840874300002E-2</v>
      </c>
      <c r="J135" s="49">
        <v>1.3226602579275306E-9</v>
      </c>
      <c r="K135" s="49">
        <v>8.9336741053852118E-11</v>
      </c>
      <c r="L135" s="152">
        <v>1.444783591969952E-9</v>
      </c>
      <c r="R135" s="60">
        <v>1194.6033746970147</v>
      </c>
      <c r="S135" s="57">
        <v>1.0361217558591906E-6</v>
      </c>
      <c r="U135" s="127">
        <v>1.3367770939155335E-9</v>
      </c>
      <c r="V135" s="127">
        <v>1.444783591969952E-9</v>
      </c>
      <c r="W135" s="127">
        <v>1.3509155312096413E-9</v>
      </c>
      <c r="X135" s="128">
        <f t="shared" si="4"/>
        <v>1.3943149522662698E-9</v>
      </c>
      <c r="Y135" s="139">
        <f t="shared" si="5"/>
        <v>0.64332300843202606</v>
      </c>
      <c r="AA135" s="73"/>
      <c r="AB135" s="176"/>
      <c r="AC135" s="176"/>
      <c r="AD135" s="176"/>
      <c r="AJ135" s="135"/>
    </row>
    <row r="136" spans="9:36" x14ac:dyDescent="0.35">
      <c r="I136" s="109">
        <v>3.1352259283100002E-2</v>
      </c>
      <c r="J136" s="49">
        <v>1.1934974623930977E-9</v>
      </c>
      <c r="K136" s="49">
        <v>8.4915087473036045E-11</v>
      </c>
      <c r="L136" s="152">
        <v>1.4189459826924297E-9</v>
      </c>
      <c r="R136" s="60">
        <v>1195.0579201515602</v>
      </c>
      <c r="S136" s="57">
        <v>1.0361217558591906E-6</v>
      </c>
      <c r="U136" s="127">
        <v>1.4229996586965454E-9</v>
      </c>
      <c r="V136" s="127">
        <v>1.4189459826924297E-9</v>
      </c>
      <c r="W136" s="127">
        <v>1.2195191551795929E-9</v>
      </c>
      <c r="X136" s="128">
        <f t="shared" si="4"/>
        <v>1.3701026948152494E-9</v>
      </c>
      <c r="Y136" s="139">
        <f t="shared" si="5"/>
        <v>4.3255108985039952</v>
      </c>
      <c r="AA136" s="73"/>
      <c r="AB136" s="176"/>
      <c r="AC136" s="176"/>
      <c r="AD136" s="176"/>
      <c r="AJ136" s="135"/>
    </row>
    <row r="137" spans="9:36" x14ac:dyDescent="0.35">
      <c r="I137" s="109">
        <v>3.1665781875900002E-2</v>
      </c>
      <c r="J137" s="49">
        <v>1.1771407567291771E-9</v>
      </c>
      <c r="K137" s="49">
        <v>8.7393354898300961E-11</v>
      </c>
      <c r="L137" s="152">
        <v>1.3299829913288936E-9</v>
      </c>
      <c r="R137" s="60">
        <v>1195.0579201515602</v>
      </c>
      <c r="S137" s="57">
        <v>1.012018305864347E-6</v>
      </c>
      <c r="U137" s="127">
        <v>1.4500067782778879E-9</v>
      </c>
      <c r="V137" s="127">
        <v>1.3299829913288936E-9</v>
      </c>
      <c r="W137" s="127">
        <v>1.046750611532527E-9</v>
      </c>
      <c r="X137" s="128">
        <f t="shared" si="4"/>
        <v>1.2891808431170505E-9</v>
      </c>
      <c r="Y137" s="139">
        <f t="shared" si="5"/>
        <v>1.6435769686045281</v>
      </c>
      <c r="AA137" s="73"/>
      <c r="AB137" s="176"/>
      <c r="AC137" s="176"/>
      <c r="AD137" s="176"/>
      <c r="AJ137" s="135"/>
    </row>
    <row r="138" spans="9:36" x14ac:dyDescent="0.35">
      <c r="I138" s="109">
        <v>3.19824396947E-2</v>
      </c>
      <c r="J138" s="49">
        <v>1.0994077429716537E-9</v>
      </c>
      <c r="K138" s="49">
        <v>8.8270060346576946E-11</v>
      </c>
      <c r="L138" s="152">
        <v>1.1868777863126137E-9</v>
      </c>
      <c r="R138" s="60">
        <v>1195.5124656061057</v>
      </c>
      <c r="S138" s="57">
        <v>1.012018305864347E-6</v>
      </c>
      <c r="U138" s="127">
        <v>1.412222156691193E-9</v>
      </c>
      <c r="V138" s="127">
        <v>1.1868777863126137E-9</v>
      </c>
      <c r="W138" s="127">
        <v>8.5410974824462501E-10</v>
      </c>
      <c r="X138" s="128">
        <f t="shared" si="4"/>
        <v>1.1600218693902613E-9</v>
      </c>
      <c r="Y138" s="139">
        <f t="shared" si="5"/>
        <v>0.47154251319664442</v>
      </c>
      <c r="AA138" s="73"/>
      <c r="AB138" s="176"/>
      <c r="AC138" s="176"/>
      <c r="AD138" s="176"/>
      <c r="AJ138" s="135"/>
    </row>
    <row r="139" spans="9:36" x14ac:dyDescent="0.35">
      <c r="I139" s="109">
        <v>3.2302264091600003E-2</v>
      </c>
      <c r="J139" s="49">
        <v>8.162070512509163E-10</v>
      </c>
      <c r="K139" s="49">
        <v>7.8216229999385273E-11</v>
      </c>
      <c r="L139" s="152">
        <v>1.0062587293792346E-9</v>
      </c>
      <c r="R139" s="60">
        <v>1195.5124656061057</v>
      </c>
      <c r="S139" s="57">
        <v>9.9312114055737298E-7</v>
      </c>
      <c r="U139" s="127">
        <v>1.3118949925238817E-9</v>
      </c>
      <c r="V139" s="127">
        <v>1.0062587293792346E-9</v>
      </c>
      <c r="W139" s="127">
        <v>6.6711127218484017E-10</v>
      </c>
      <c r="X139" s="128">
        <f t="shared" si="4"/>
        <v>9.9788093086679768E-10</v>
      </c>
      <c r="Y139" s="139">
        <f t="shared" si="5"/>
        <v>5.3949971880564727</v>
      </c>
      <c r="AA139" s="73"/>
      <c r="AB139" s="176"/>
      <c r="AC139" s="176"/>
      <c r="AD139" s="176"/>
      <c r="AJ139" s="135"/>
    </row>
    <row r="140" spans="9:36" x14ac:dyDescent="0.35">
      <c r="I140" s="109">
        <v>3.2625286732500001E-2</v>
      </c>
      <c r="J140" s="49">
        <v>8.4577747558848707E-10</v>
      </c>
      <c r="K140" s="49">
        <v>7.9889093347298263E-11</v>
      </c>
      <c r="L140" s="152">
        <v>8.1078146756667173E-10</v>
      </c>
      <c r="R140" s="60">
        <v>1195.9670110606512</v>
      </c>
      <c r="S140" s="57">
        <v>9.9312114055737298E-7</v>
      </c>
      <c r="U140" s="127">
        <v>1.1594398194518317E-9</v>
      </c>
      <c r="V140" s="127">
        <v>8.1078146756667173E-10</v>
      </c>
      <c r="W140" s="127">
        <v>5.1203306638232121E-10</v>
      </c>
      <c r="X140" s="128">
        <f t="shared" si="4"/>
        <v>8.2325895524187403E-10</v>
      </c>
      <c r="Y140" s="139">
        <f t="shared" si="5"/>
        <v>7.9451978405449264E-2</v>
      </c>
      <c r="AA140" s="73"/>
      <c r="AB140" s="176"/>
      <c r="AC140" s="176"/>
      <c r="AD140" s="176"/>
      <c r="AJ140" s="135"/>
    </row>
    <row r="141" spans="9:36" x14ac:dyDescent="0.35">
      <c r="I141" s="109">
        <v>3.29515395999E-2</v>
      </c>
      <c r="J141" s="49">
        <v>7.3319711777727367E-10</v>
      </c>
      <c r="K141" s="49">
        <v>7.6067821731224977E-11</v>
      </c>
      <c r="L141" s="152">
        <v>6.2650946941805678E-10</v>
      </c>
      <c r="R141" s="60">
        <v>1195.9670110606512</v>
      </c>
      <c r="S141" s="57">
        <v>9.8102124711769661E-7</v>
      </c>
      <c r="U141" s="127">
        <v>9.7272803870266602E-10</v>
      </c>
      <c r="V141" s="127">
        <v>6.2650946941805678E-10</v>
      </c>
      <c r="W141" s="127">
        <v>4.1222297391433084E-10</v>
      </c>
      <c r="X141" s="128">
        <f t="shared" si="4"/>
        <v>6.594924878632777E-10</v>
      </c>
      <c r="Y141" s="139">
        <f t="shared" si="5"/>
        <v>0.93883134192523809</v>
      </c>
      <c r="AA141" s="73"/>
      <c r="AB141" s="176"/>
      <c r="AC141" s="176"/>
      <c r="AD141" s="176"/>
      <c r="AJ141" s="135"/>
    </row>
    <row r="142" spans="9:36" x14ac:dyDescent="0.35">
      <c r="I142" s="109">
        <v>3.3281054995899999E-2</v>
      </c>
      <c r="J142" s="49">
        <v>5.5724766240774609E-10</v>
      </c>
      <c r="K142" s="49">
        <v>6.9197684633886402E-11</v>
      </c>
      <c r="L142" s="152">
        <v>4.7954337270600216E-10</v>
      </c>
      <c r="R142" s="60">
        <v>1196.4215565151967</v>
      </c>
      <c r="S142" s="57">
        <v>9.8102124711769661E-7</v>
      </c>
      <c r="U142" s="127">
        <v>7.7529636504327172E-10</v>
      </c>
      <c r="V142" s="127">
        <v>4.7954337270600216E-10</v>
      </c>
      <c r="W142" s="127">
        <v>3.8446450107423162E-10</v>
      </c>
      <c r="X142" s="128">
        <f t="shared" si="4"/>
        <v>5.2971190288237693E-10</v>
      </c>
      <c r="Y142" s="139">
        <f t="shared" si="5"/>
        <v>0.15834742091571419</v>
      </c>
      <c r="AA142" s="73"/>
      <c r="AB142" s="176"/>
      <c r="AC142" s="176"/>
      <c r="AD142" s="176"/>
      <c r="AJ142" s="135"/>
    </row>
    <row r="143" spans="9:36" x14ac:dyDescent="0.35">
      <c r="I143" s="109">
        <v>3.3613865545800002E-2</v>
      </c>
      <c r="J143" s="49">
        <v>5.8881989021146507E-10</v>
      </c>
      <c r="K143" s="49">
        <v>7.2770244350233722E-11</v>
      </c>
      <c r="L143" s="152">
        <v>3.9230064547168274E-10</v>
      </c>
      <c r="R143" s="60">
        <v>1196.4215565151967</v>
      </c>
      <c r="S143" s="57">
        <v>9.7791595008001416E-7</v>
      </c>
      <c r="U143" s="127">
        <v>5.9358657383984224E-10</v>
      </c>
      <c r="V143" s="127">
        <v>3.9230064547168274E-10</v>
      </c>
      <c r="W143" s="127">
        <v>4.359650169011923E-10</v>
      </c>
      <c r="X143" s="128">
        <f t="shared" si="4"/>
        <v>4.5353822042109997E-10</v>
      </c>
      <c r="Y143" s="139">
        <f t="shared" si="5"/>
        <v>3.4559722281357304</v>
      </c>
      <c r="AA143" s="73"/>
      <c r="AB143" s="176"/>
      <c r="AC143" s="176"/>
      <c r="AD143" s="176"/>
      <c r="AJ143" s="135"/>
    </row>
    <row r="144" spans="9:36" x14ac:dyDescent="0.35">
      <c r="I144" s="109">
        <v>3.3950004201300003E-2</v>
      </c>
      <c r="J144" s="49">
        <v>4.5000175068477928E-10</v>
      </c>
      <c r="K144" s="49">
        <v>6.4101353326080946E-11</v>
      </c>
      <c r="L144" s="152">
        <v>3.7996049151779537E-10</v>
      </c>
      <c r="O144" s="30"/>
      <c r="R144" s="60">
        <v>1196.8761019697422</v>
      </c>
      <c r="S144" s="57">
        <v>9.7791595008001416E-7</v>
      </c>
      <c r="U144" s="127">
        <v>4.5349054175572986E-10</v>
      </c>
      <c r="V144" s="127">
        <v>3.7996049151779537E-10</v>
      </c>
      <c r="W144" s="127">
        <v>5.6250934546926011E-10</v>
      </c>
      <c r="X144" s="128">
        <f t="shared" si="4"/>
        <v>4.4398021756514517E-10</v>
      </c>
      <c r="Y144" s="139">
        <f t="shared" si="5"/>
        <v>8.8242897851560798E-3</v>
      </c>
      <c r="AA144" s="73"/>
      <c r="AB144" s="176"/>
      <c r="AC144" s="176"/>
      <c r="AD144" s="176"/>
      <c r="AJ144" s="135"/>
    </row>
    <row r="145" spans="9:36" x14ac:dyDescent="0.35">
      <c r="I145" s="109">
        <v>3.4289504243299997E-2</v>
      </c>
      <c r="J145" s="49">
        <v>5.5873064523466739E-10</v>
      </c>
      <c r="K145" s="49">
        <v>7.2941548509532902E-11</v>
      </c>
      <c r="L145" s="152">
        <v>4.4763720383762479E-10</v>
      </c>
      <c r="R145" s="60">
        <v>1196.8761019697422</v>
      </c>
      <c r="S145" s="57">
        <v>9.8667256518304268E-7</v>
      </c>
      <c r="U145" s="127">
        <v>3.7662045453566547E-10</v>
      </c>
      <c r="V145" s="127">
        <v>4.4763720383762479E-10</v>
      </c>
      <c r="W145" s="127">
        <v>7.4820651896741819E-10</v>
      </c>
      <c r="X145" s="128">
        <f t="shared" si="4"/>
        <v>5.0502534529458332E-10</v>
      </c>
      <c r="Y145" s="139">
        <f t="shared" si="5"/>
        <v>0.54210615101046133</v>
      </c>
      <c r="AA145" s="73"/>
      <c r="AB145" s="176"/>
      <c r="AC145" s="176"/>
      <c r="AD145" s="176"/>
      <c r="AJ145" s="135"/>
    </row>
    <row r="146" spans="9:36" x14ac:dyDescent="0.35">
      <c r="I146" s="109">
        <v>3.46323992857E-2</v>
      </c>
      <c r="J146" s="49">
        <v>5.8562696217198043E-10</v>
      </c>
      <c r="K146" s="49">
        <v>7.7018253132129323E-11</v>
      </c>
      <c r="L146" s="152">
        <v>5.8880773163592676E-10</v>
      </c>
      <c r="R146" s="60">
        <v>1197.3306474242877</v>
      </c>
      <c r="S146" s="57">
        <v>9.8667256518304268E-7</v>
      </c>
      <c r="U146" s="127">
        <v>3.7682837429340958E-10</v>
      </c>
      <c r="V146" s="127">
        <v>5.8880773163592676E-10</v>
      </c>
      <c r="W146" s="127">
        <v>9.6705347934403262E-10</v>
      </c>
      <c r="X146" s="128">
        <f t="shared" si="4"/>
        <v>6.3037432922732399E-10</v>
      </c>
      <c r="Y146" s="139">
        <f t="shared" si="5"/>
        <v>0.33755740900678227</v>
      </c>
      <c r="AA146" s="73"/>
      <c r="AB146" s="176"/>
      <c r="AC146" s="176"/>
      <c r="AD146" s="176"/>
      <c r="AJ146" s="135"/>
    </row>
    <row r="147" spans="9:36" x14ac:dyDescent="0.35">
      <c r="I147" s="109">
        <v>3.49787232786E-2</v>
      </c>
      <c r="J147" s="49">
        <v>9.6454122252852768E-10</v>
      </c>
      <c r="K147" s="49">
        <v>9.6709320014397198E-11</v>
      </c>
      <c r="L147" s="152">
        <v>7.8538819377579703E-10</v>
      </c>
      <c r="R147" s="60">
        <v>1197.3306474242877</v>
      </c>
      <c r="S147" s="57">
        <v>1.010764490981105E-6</v>
      </c>
      <c r="U147" s="127">
        <v>4.5753575694654749E-10</v>
      </c>
      <c r="V147" s="127">
        <v>7.8538819377579703E-10</v>
      </c>
      <c r="W147" s="127">
        <v>1.1862692840523992E-9</v>
      </c>
      <c r="X147" s="128">
        <f t="shared" si="4"/>
        <v>8.0364535713763519E-10</v>
      </c>
      <c r="Y147" s="139">
        <f t="shared" si="5"/>
        <v>2.7679172906586502</v>
      </c>
      <c r="AA147" s="73"/>
      <c r="AB147" s="176"/>
      <c r="AC147" s="176"/>
      <c r="AD147" s="176"/>
      <c r="AJ147" s="135"/>
    </row>
    <row r="148" spans="9:36" x14ac:dyDescent="0.35">
      <c r="I148" s="109">
        <v>3.5328510511399999E-2</v>
      </c>
      <c r="J148" s="49">
        <v>1.067060826714366E-9</v>
      </c>
      <c r="K148" s="49">
        <v>1.045967447708713E-10</v>
      </c>
      <c r="L148" s="152">
        <v>1.009637789609532E-9</v>
      </c>
      <c r="R148" s="60">
        <v>1197.7851928788332</v>
      </c>
      <c r="S148" s="57">
        <v>1.010764490981105E-6</v>
      </c>
      <c r="U148" s="127">
        <v>6.1038320596169871E-10</v>
      </c>
      <c r="V148" s="127">
        <v>1.009637789609532E-9</v>
      </c>
      <c r="W148" s="127">
        <v>1.3710538140197832E-9</v>
      </c>
      <c r="X148" s="128">
        <f t="shared" si="4"/>
        <v>1.0001781498001364E-9</v>
      </c>
      <c r="Y148" s="139">
        <f t="shared" si="5"/>
        <v>0.40887537596847634</v>
      </c>
      <c r="AA148" s="73"/>
      <c r="AB148" s="176"/>
      <c r="AC148" s="176"/>
      <c r="AD148" s="176"/>
      <c r="AJ148" s="135"/>
    </row>
    <row r="149" spans="9:36" x14ac:dyDescent="0.35">
      <c r="I149" s="109">
        <v>3.5681795616499999E-2</v>
      </c>
      <c r="J149" s="49">
        <v>9.92403635602825E-10</v>
      </c>
      <c r="K149" s="49">
        <v>1.0144808959715369E-10</v>
      </c>
      <c r="L149" s="152">
        <v>1.2277918627756029E-9</v>
      </c>
      <c r="R149" s="60">
        <v>1197.7851928788332</v>
      </c>
      <c r="S149" s="57">
        <v>1.0540224368063958E-6</v>
      </c>
      <c r="U149" s="127">
        <v>8.1556796775315584E-10</v>
      </c>
      <c r="V149" s="127">
        <v>1.2277918627756029E-9</v>
      </c>
      <c r="W149" s="127">
        <v>1.4901421724633093E-9</v>
      </c>
      <c r="X149" s="128">
        <f t="shared" si="4"/>
        <v>1.1903234664419178E-9</v>
      </c>
      <c r="Y149" s="139">
        <f t="shared" si="5"/>
        <v>3.8061936115636934</v>
      </c>
      <c r="AA149" s="73"/>
      <c r="AB149" s="176"/>
      <c r="AC149" s="176"/>
      <c r="AD149" s="176"/>
      <c r="AJ149" s="135"/>
    </row>
    <row r="150" spans="9:36" x14ac:dyDescent="0.35">
      <c r="I150" s="109">
        <v>3.6038613572599999E-2</v>
      </c>
      <c r="J150" s="49">
        <v>1.3515517742240455E-9</v>
      </c>
      <c r="K150" s="49">
        <v>1.2104615512776515E-10</v>
      </c>
      <c r="L150" s="152">
        <v>1.4050270864827694E-9</v>
      </c>
      <c r="R150" s="60">
        <v>1198.2397383333787</v>
      </c>
      <c r="S150" s="57">
        <v>1.0540224368063958E-6</v>
      </c>
      <c r="U150" s="127">
        <v>1.0440117358158017E-9</v>
      </c>
      <c r="V150" s="127">
        <v>1.4050270864827694E-9</v>
      </c>
      <c r="W150" s="127">
        <v>1.5213089661654957E-9</v>
      </c>
      <c r="X150" s="128">
        <f t="shared" si="4"/>
        <v>1.3438437187367091E-9</v>
      </c>
      <c r="Y150" s="139">
        <f t="shared" si="5"/>
        <v>4.0549701934341816E-3</v>
      </c>
      <c r="AA150" s="73"/>
      <c r="AB150" s="176"/>
      <c r="AC150" s="176"/>
      <c r="AD150" s="176"/>
      <c r="AJ150" s="135"/>
    </row>
    <row r="151" spans="9:36" x14ac:dyDescent="0.35">
      <c r="I151" s="109">
        <v>3.63989997084E-2</v>
      </c>
      <c r="J151" s="49">
        <v>1.3383842453289562E-9</v>
      </c>
      <c r="K151" s="49">
        <v>1.1760388141051699E-10</v>
      </c>
      <c r="L151" s="152">
        <v>1.5110874916367021E-9</v>
      </c>
      <c r="R151" s="60">
        <v>1198.2397383333787</v>
      </c>
      <c r="S151" s="57">
        <v>1.1201726084256233E-6</v>
      </c>
      <c r="U151" s="127">
        <v>1.2612205770557031E-9</v>
      </c>
      <c r="V151" s="127">
        <v>1.5110874916367021E-9</v>
      </c>
      <c r="W151" s="127">
        <v>1.4558713873865165E-9</v>
      </c>
      <c r="X151" s="128">
        <f t="shared" si="4"/>
        <v>1.434816736928906E-9</v>
      </c>
      <c r="Y151" s="139">
        <f t="shared" si="5"/>
        <v>0.6723624720263468</v>
      </c>
      <c r="AA151" s="73"/>
      <c r="AB151" s="176"/>
      <c r="AC151" s="176"/>
      <c r="AD151" s="176"/>
      <c r="AJ151" s="135"/>
    </row>
    <row r="152" spans="9:36" x14ac:dyDescent="0.35">
      <c r="I152" s="109">
        <v>3.6762989705399998E-2</v>
      </c>
      <c r="J152" s="49">
        <v>1.2343018421528241E-9</v>
      </c>
      <c r="K152" s="49">
        <v>1.1292601378563722E-10</v>
      </c>
      <c r="L152" s="152">
        <v>1.5260187487651979E-9</v>
      </c>
      <c r="R152" s="60">
        <v>1198.6942837879242</v>
      </c>
      <c r="S152" s="57">
        <v>1.1201726084256233E-6</v>
      </c>
      <c r="U152" s="127">
        <v>1.4325280005791098E-9</v>
      </c>
      <c r="V152" s="127">
        <v>1.5260187487651979E-9</v>
      </c>
      <c r="W152" s="127">
        <v>1.3016455405438151E-9</v>
      </c>
      <c r="X152" s="128">
        <f t="shared" si="4"/>
        <v>1.4465527596633303E-9</v>
      </c>
      <c r="Y152" s="139">
        <f t="shared" si="5"/>
        <v>3.5327357751328909</v>
      </c>
      <c r="AA152" s="73"/>
      <c r="AB152" s="176"/>
      <c r="AC152" s="176"/>
      <c r="AD152" s="176"/>
      <c r="AJ152" s="135"/>
    </row>
    <row r="153" spans="9:36" x14ac:dyDescent="0.35">
      <c r="I153" s="109">
        <v>3.7130619602499998E-2</v>
      </c>
      <c r="J153" s="49">
        <v>1.1459503841464519E-9</v>
      </c>
      <c r="K153" s="49">
        <v>1.1615374561712737E-10</v>
      </c>
      <c r="L153" s="152">
        <v>1.4431821998910968E-9</v>
      </c>
      <c r="R153" s="60">
        <v>1198.6942837879242</v>
      </c>
      <c r="S153" s="57">
        <v>1.2121884473038948E-6</v>
      </c>
      <c r="U153" s="127">
        <v>1.5283734569886778E-9</v>
      </c>
      <c r="V153" s="127">
        <v>1.4431821998910968E-9</v>
      </c>
      <c r="W153" s="127">
        <v>1.0814262778467515E-9</v>
      </c>
      <c r="X153" s="128">
        <f t="shared" si="4"/>
        <v>1.3740410336544058E-9</v>
      </c>
      <c r="Y153" s="139">
        <f t="shared" si="5"/>
        <v>3.8561021107472242</v>
      </c>
      <c r="AA153" s="73"/>
      <c r="AB153" s="176"/>
      <c r="AC153" s="176"/>
      <c r="AD153" s="176"/>
      <c r="AJ153" s="135"/>
    </row>
    <row r="154" spans="9:36" x14ac:dyDescent="0.35">
      <c r="I154" s="109">
        <v>3.7501925798500001E-2</v>
      </c>
      <c r="J154" s="49">
        <v>1.0038389976595227E-9</v>
      </c>
      <c r="K154" s="49">
        <v>1.1360040370160419E-10</v>
      </c>
      <c r="L154" s="152">
        <v>1.273184841478911E-9</v>
      </c>
      <c r="R154" s="60">
        <v>1199.1488292424697</v>
      </c>
      <c r="S154" s="57">
        <v>1.2121884473038948E-6</v>
      </c>
      <c r="U154" s="127">
        <v>1.5300224920749335E-9</v>
      </c>
      <c r="V154" s="127">
        <v>1.273184841478911E-9</v>
      </c>
      <c r="W154" s="127">
        <v>8.3235090215915481E-10</v>
      </c>
      <c r="X154" s="128">
        <f t="shared" si="4"/>
        <v>1.2271857692979776E-9</v>
      </c>
      <c r="Y154" s="139">
        <f t="shared" si="5"/>
        <v>3.8654459880620622</v>
      </c>
      <c r="AA154" s="73"/>
      <c r="AB154" s="176"/>
      <c r="AC154" s="176"/>
      <c r="AD154" s="176"/>
      <c r="AJ154" s="135"/>
    </row>
    <row r="155" spans="9:36" x14ac:dyDescent="0.35">
      <c r="I155" s="109">
        <v>3.7876945056500001E-2</v>
      </c>
      <c r="J155" s="49">
        <v>1.0533833904789993E-9</v>
      </c>
      <c r="K155" s="49">
        <v>1.1495326414413625E-10</v>
      </c>
      <c r="L155" s="152">
        <v>1.0423443558947342E-9</v>
      </c>
      <c r="R155" s="60">
        <v>1199.1488292424697</v>
      </c>
      <c r="S155" s="57">
        <v>1.3315524147100292E-6</v>
      </c>
      <c r="U155" s="127">
        <v>1.4334922486358452E-9</v>
      </c>
      <c r="V155" s="127">
        <v>1.0423443558947342E-9</v>
      </c>
      <c r="W155" s="127">
        <v>5.9870602127660319E-10</v>
      </c>
      <c r="X155" s="128">
        <f t="shared" si="4"/>
        <v>1.0292217454254793E-9</v>
      </c>
      <c r="Y155" s="139">
        <f t="shared" si="5"/>
        <v>4.4178440844006399E-2</v>
      </c>
      <c r="AA155" s="73"/>
      <c r="AB155" s="176"/>
      <c r="AC155" s="176"/>
      <c r="AD155" s="176"/>
      <c r="AJ155" s="135"/>
    </row>
    <row r="156" spans="9:36" x14ac:dyDescent="0.35">
      <c r="I156" s="109">
        <v>3.8255714507099997E-2</v>
      </c>
      <c r="J156" s="49">
        <v>1.017668259282732E-9</v>
      </c>
      <c r="K156" s="49">
        <v>1.1303000674587812E-10</v>
      </c>
      <c r="L156" s="152">
        <v>7.894828644978447E-10</v>
      </c>
      <c r="R156" s="60">
        <v>1199.6033746970152</v>
      </c>
      <c r="S156" s="57">
        <v>1.3315524147100292E-6</v>
      </c>
      <c r="U156" s="127">
        <v>1.2514421104074806E-9</v>
      </c>
      <c r="V156" s="127">
        <v>7.894828644978447E-10</v>
      </c>
      <c r="W156" s="127">
        <v>4.246062242299884E-10</v>
      </c>
      <c r="X156" s="128">
        <f t="shared" si="4"/>
        <v>8.1375351590828965E-10</v>
      </c>
      <c r="Y156" s="139">
        <f t="shared" si="5"/>
        <v>3.2546908817251352</v>
      </c>
      <c r="AA156" s="73"/>
      <c r="AB156" s="176"/>
      <c r="AC156" s="176"/>
      <c r="AD156" s="176"/>
      <c r="AJ156" s="135"/>
    </row>
    <row r="157" spans="9:36" x14ac:dyDescent="0.35">
      <c r="I157" s="109">
        <v>3.8638271652100001E-2</v>
      </c>
      <c r="J157" s="49">
        <v>6.4133628200694164E-10</v>
      </c>
      <c r="K157" s="49">
        <v>9.1747046632183569E-11</v>
      </c>
      <c r="L157" s="152">
        <v>5.5982211786028297E-10</v>
      </c>
      <c r="R157" s="60">
        <v>1199.6033746970152</v>
      </c>
      <c r="S157" s="57">
        <v>1.4775870450542715E-6</v>
      </c>
      <c r="U157" s="127">
        <v>1.01230294762532E-9</v>
      </c>
      <c r="V157" s="127">
        <v>5.5982211786028297E-10</v>
      </c>
      <c r="W157" s="127">
        <v>3.455555976696374E-10</v>
      </c>
      <c r="X157" s="128">
        <f t="shared" si="4"/>
        <v>6.1937569525388079E-10</v>
      </c>
      <c r="Y157" s="139">
        <f t="shared" si="5"/>
        <v>5.7293280933849222E-2</v>
      </c>
      <c r="AA157" s="73"/>
      <c r="AB157" s="176"/>
      <c r="AC157" s="176"/>
      <c r="AD157" s="176"/>
      <c r="AJ157" s="135"/>
    </row>
    <row r="158" spans="9:36" x14ac:dyDescent="0.35">
      <c r="I158" s="109">
        <v>3.90246543687E-2</v>
      </c>
      <c r="J158" s="49">
        <v>5.3888161047751207E-10</v>
      </c>
      <c r="K158" s="49">
        <v>8.4788739794437225E-11</v>
      </c>
      <c r="L158" s="152">
        <v>3.9704168950559279E-10</v>
      </c>
      <c r="R158" s="60">
        <v>1200.0579201515607</v>
      </c>
      <c r="S158" s="57">
        <v>1.4775870450542715E-6</v>
      </c>
      <c r="U158" s="127">
        <v>7.5646017220518496E-10</v>
      </c>
      <c r="V158" s="127">
        <v>3.9704168950559279E-10</v>
      </c>
      <c r="W158" s="127">
        <v>3.8084439550881258E-10</v>
      </c>
      <c r="X158" s="128">
        <f t="shared" si="4"/>
        <v>4.8284698668129583E-10</v>
      </c>
      <c r="Y158" s="139">
        <f t="shared" si="5"/>
        <v>0.43675366714194014</v>
      </c>
      <c r="AA158" s="73"/>
      <c r="AB158" s="176"/>
      <c r="AC158" s="176"/>
      <c r="AD158" s="176"/>
      <c r="AJ158" s="135"/>
    </row>
    <row r="159" spans="9:36" x14ac:dyDescent="0.35">
      <c r="I159" s="109">
        <v>3.9414900912399999E-2</v>
      </c>
      <c r="J159" s="49">
        <v>6.2840408907590375E-10</v>
      </c>
      <c r="K159" s="49">
        <v>9.5458246854148169E-11</v>
      </c>
      <c r="L159" s="152">
        <v>3.3482016786106109E-10</v>
      </c>
      <c r="R159" s="60">
        <v>1200.0579201515607</v>
      </c>
      <c r="S159" s="57">
        <v>1.6470424357724404E-6</v>
      </c>
      <c r="U159" s="127">
        <v>5.2983280689837889E-10</v>
      </c>
      <c r="V159" s="127">
        <v>3.3482016786106109E-10</v>
      </c>
      <c r="W159" s="127">
        <v>5.2842536057615799E-10</v>
      </c>
      <c r="X159" s="128">
        <f t="shared" si="4"/>
        <v>4.3197462579916476E-10</v>
      </c>
      <c r="Y159" s="139">
        <f t="shared" si="5"/>
        <v>4.2343460913795328</v>
      </c>
      <c r="AA159" s="73"/>
      <c r="AB159" s="176"/>
      <c r="AC159" s="176"/>
      <c r="AD159" s="176"/>
      <c r="AJ159" s="135"/>
    </row>
    <row r="160" spans="9:36" x14ac:dyDescent="0.35">
      <c r="I160" s="109">
        <v>3.98090499215E-2</v>
      </c>
      <c r="J160" s="49">
        <v>4.4566159242167504E-10</v>
      </c>
      <c r="K160" s="49">
        <v>8.8407637750381062E-11</v>
      </c>
      <c r="L160" s="153">
        <v>3.8947863391575813E-10</v>
      </c>
      <c r="M160" s="32"/>
      <c r="R160" s="60">
        <v>1200.5124656061062</v>
      </c>
      <c r="S160" s="57">
        <v>1.6470424357724404E-6</v>
      </c>
      <c r="U160" s="127">
        <v>3.7574621751147659E-10</v>
      </c>
      <c r="V160" s="127">
        <v>3.8947863391575813E-10</v>
      </c>
      <c r="W160" s="127">
        <v>7.6362463670446042E-10</v>
      </c>
      <c r="X160" s="128">
        <f t="shared" si="4"/>
        <v>4.7958203051186335E-10</v>
      </c>
      <c r="Y160" s="139">
        <f t="shared" si="5"/>
        <v>0.14721204050331016</v>
      </c>
      <c r="AA160" s="73"/>
      <c r="AB160" s="176"/>
      <c r="AC160" s="176"/>
      <c r="AD160" s="176"/>
      <c r="AJ160" s="135"/>
    </row>
    <row r="161" spans="1:36" x14ac:dyDescent="0.35">
      <c r="I161" s="109">
        <v>4.0207140420699998E-2</v>
      </c>
      <c r="J161" s="49">
        <v>4.7002337523992553E-10</v>
      </c>
      <c r="K161" s="49">
        <v>8.3579544794617878E-11</v>
      </c>
      <c r="L161" s="153">
        <v>5.553516515025631E-10</v>
      </c>
      <c r="M161" s="32"/>
      <c r="R161" s="60">
        <v>1200.5124656061062</v>
      </c>
      <c r="S161" s="57">
        <v>1.8340993503861209E-6</v>
      </c>
      <c r="U161" s="127">
        <v>3.2646838220674053E-10</v>
      </c>
      <c r="V161" s="127">
        <v>5.553516515025631E-10</v>
      </c>
      <c r="W161" s="127">
        <v>1.0424115227170533E-9</v>
      </c>
      <c r="X161" s="128">
        <f t="shared" si="4"/>
        <v>6.1989580198222998E-10</v>
      </c>
      <c r="Y161" s="139">
        <f t="shared" si="5"/>
        <v>3.2154626996655979</v>
      </c>
      <c r="AA161" s="73"/>
      <c r="AB161" s="176"/>
      <c r="AC161" s="176"/>
      <c r="AD161" s="176"/>
      <c r="AJ161" s="135"/>
    </row>
    <row r="162" spans="1:36" x14ac:dyDescent="0.35">
      <c r="I162" s="109">
        <v>4.0609211824900002E-2</v>
      </c>
      <c r="J162" s="49">
        <v>7.604012525124858E-10</v>
      </c>
      <c r="K162" s="49">
        <v>1.119452864604276E-10</v>
      </c>
      <c r="L162" s="153">
        <v>8.041676928896994E-10</v>
      </c>
      <c r="M162" s="32"/>
      <c r="R162" s="60">
        <v>1200.9670110606517</v>
      </c>
      <c r="S162" s="57">
        <v>1.8340993503861209E-6</v>
      </c>
      <c r="U162" s="127">
        <v>3.9604929673476179E-10</v>
      </c>
      <c r="V162" s="127">
        <v>8.041676928896994E-10</v>
      </c>
      <c r="W162" s="127">
        <v>1.3090661353230566E-9</v>
      </c>
      <c r="X162" s="128">
        <f t="shared" si="4"/>
        <v>8.2836270445930427E-10</v>
      </c>
      <c r="Y162" s="139">
        <f t="shared" si="5"/>
        <v>0.36856464557485275</v>
      </c>
      <c r="AA162" s="73"/>
      <c r="AB162" s="176"/>
      <c r="AC162" s="176"/>
      <c r="AD162" s="176"/>
      <c r="AJ162" s="135"/>
    </row>
    <row r="163" spans="1:36" x14ac:dyDescent="0.35">
      <c r="I163" s="109">
        <v>4.1015303943099997E-2</v>
      </c>
      <c r="J163" s="49">
        <v>8.5749390272948861E-10</v>
      </c>
      <c r="K163" s="49">
        <v>1.1835325712041888E-10</v>
      </c>
      <c r="L163" s="153">
        <v>1.0890449615575298E-9</v>
      </c>
      <c r="M163" s="32"/>
      <c r="R163" s="60">
        <v>1200.9670110606517</v>
      </c>
      <c r="S163" s="57">
        <v>1.9812463830436595E-6</v>
      </c>
      <c r="U163" s="127">
        <v>5.7607105497346994E-10</v>
      </c>
      <c r="V163" s="127">
        <v>1.0890449615575298E-9</v>
      </c>
      <c r="W163" s="127">
        <v>1.5071034032814002E-9</v>
      </c>
      <c r="X163" s="128">
        <f t="shared" si="4"/>
        <v>1.0653160953424824E-9</v>
      </c>
      <c r="Y163" s="139">
        <f t="shared" si="5"/>
        <v>3.0833541940856604</v>
      </c>
      <c r="AA163" s="73"/>
      <c r="AB163" s="176"/>
      <c r="AC163" s="176"/>
      <c r="AD163" s="176"/>
      <c r="AJ163" s="135"/>
    </row>
    <row r="164" spans="1:36" x14ac:dyDescent="0.35">
      <c r="I164" s="109">
        <v>4.1425456982600001E-2</v>
      </c>
      <c r="J164" s="49">
        <v>1.0011977065022562E-9</v>
      </c>
      <c r="K164" s="49">
        <v>1.3290521748360358E-10</v>
      </c>
      <c r="L164" s="153">
        <v>1.3527973374062274E-9</v>
      </c>
      <c r="M164" s="32"/>
      <c r="R164" s="60">
        <v>1201.1942837879244</v>
      </c>
      <c r="S164" s="57">
        <v>1.9812463830436595E-6</v>
      </c>
      <c r="U164" s="127">
        <v>8.3553365872117327E-10</v>
      </c>
      <c r="V164" s="127">
        <v>1.3527973374062274E-9</v>
      </c>
      <c r="W164" s="127">
        <v>1.5914400535048164E-9</v>
      </c>
      <c r="X164" s="128">
        <f t="shared" si="4"/>
        <v>1.283142096759611E-9</v>
      </c>
      <c r="Y164" s="139">
        <f t="shared" si="5"/>
        <v>4.5003143968992516</v>
      </c>
      <c r="AA164" s="73"/>
      <c r="AB164" s="176"/>
      <c r="AC164" s="176"/>
      <c r="AD164" s="176"/>
      <c r="AJ164" s="135"/>
    </row>
    <row r="165" spans="1:36" x14ac:dyDescent="0.35">
      <c r="I165" s="109">
        <v>4.1839711552400002E-2</v>
      </c>
      <c r="J165" s="49">
        <v>1.1168902330181437E-9</v>
      </c>
      <c r="K165" s="49">
        <v>1.4221879021534602E-10</v>
      </c>
      <c r="L165" s="153">
        <v>1.5392653799174045E-9</v>
      </c>
      <c r="M165" s="32"/>
      <c r="R165" s="60">
        <v>1201.1942837879244</v>
      </c>
      <c r="S165" s="57">
        <v>2.0823394542220977E-6</v>
      </c>
      <c r="U165" s="127">
        <v>1.1253935201613206E-9</v>
      </c>
      <c r="V165" s="127">
        <v>1.5392653799174045E-9</v>
      </c>
      <c r="W165" s="127">
        <v>1.5392400128788143E-9</v>
      </c>
      <c r="X165" s="128">
        <f t="shared" si="4"/>
        <v>1.435791073218736E-9</v>
      </c>
      <c r="Y165" s="139">
        <f t="shared" si="5"/>
        <v>5.0280242887597986</v>
      </c>
      <c r="AA165" s="73"/>
      <c r="AB165" s="176"/>
      <c r="AC165" s="176"/>
      <c r="AD165" s="176"/>
      <c r="AJ165" s="135"/>
    </row>
    <row r="166" spans="1:36" x14ac:dyDescent="0.35">
      <c r="I166" s="109">
        <v>4.2258108667900002E-2</v>
      </c>
      <c r="J166" s="49">
        <v>1.1618416893270473E-9</v>
      </c>
      <c r="K166" s="49">
        <v>1.4790620046542903E-10</v>
      </c>
      <c r="L166" s="153">
        <v>1.6055465865575762E-9</v>
      </c>
      <c r="M166" s="32"/>
      <c r="R166" s="60">
        <v>1201.4686145866538</v>
      </c>
      <c r="S166" s="57">
        <v>2.0823394542220977E-6</v>
      </c>
      <c r="U166" s="127">
        <v>1.3873427192005165E-9</v>
      </c>
      <c r="V166" s="127">
        <v>1.6055465865575762E-9</v>
      </c>
      <c r="W166" s="127">
        <v>1.356819913313149E-9</v>
      </c>
      <c r="X166" s="128">
        <f t="shared" si="4"/>
        <v>1.4888139514072046E-9</v>
      </c>
      <c r="Y166" s="139">
        <f t="shared" si="5"/>
        <v>4.8870756563415503</v>
      </c>
      <c r="AA166" s="73"/>
      <c r="AB166" s="176"/>
      <c r="AC166" s="176"/>
      <c r="AD166" s="176"/>
      <c r="AJ166" s="135"/>
    </row>
    <row r="167" spans="1:36" x14ac:dyDescent="0.35">
      <c r="I167" s="109">
        <v>4.2680689754600001E-2</v>
      </c>
      <c r="J167" s="49">
        <v>1.1591853233853291E-9</v>
      </c>
      <c r="K167" s="49">
        <v>1.5419221567702829E-10</v>
      </c>
      <c r="L167" s="153">
        <v>1.5325072215011698E-9</v>
      </c>
      <c r="M167" s="32"/>
      <c r="R167" s="60">
        <v>1201.4686145866538</v>
      </c>
      <c r="S167" s="57">
        <v>2.2031849623988735E-6</v>
      </c>
      <c r="U167" s="127">
        <v>1.5654392275906208E-9</v>
      </c>
      <c r="V167" s="127">
        <v>1.5325072215011698E-9</v>
      </c>
      <c r="W167" s="127">
        <v>1.0805406275595564E-9</v>
      </c>
      <c r="X167" s="128">
        <f t="shared" si="4"/>
        <v>1.4277485745381294E-9</v>
      </c>
      <c r="Y167" s="139">
        <f t="shared" si="5"/>
        <v>3.0336695555804583</v>
      </c>
      <c r="AA167" s="73"/>
      <c r="AB167" s="176"/>
      <c r="AC167" s="176"/>
      <c r="AD167" s="176"/>
      <c r="AJ167" s="135"/>
    </row>
    <row r="168" spans="1:36" x14ac:dyDescent="0.35">
      <c r="I168" s="109">
        <v>4.3107496652199997E-2</v>
      </c>
      <c r="J168" s="49">
        <v>8.4700094834746112E-10</v>
      </c>
      <c r="K168" s="49">
        <v>1.3488052069568267E-10</v>
      </c>
      <c r="L168" s="153">
        <v>1.3309846268837691E-9</v>
      </c>
      <c r="M168" s="32"/>
      <c r="R168" s="60">
        <v>1201.7476324122861</v>
      </c>
      <c r="S168" s="57">
        <v>2.2031849623988735E-6</v>
      </c>
      <c r="U168" s="127">
        <v>1.6183812233745565E-9</v>
      </c>
      <c r="V168" s="127">
        <v>1.3309846268837691E-9</v>
      </c>
      <c r="W168" s="127">
        <v>7.7073819351681738E-10</v>
      </c>
      <c r="X168" s="128">
        <f t="shared" si="4"/>
        <v>1.262772167664728E-9</v>
      </c>
      <c r="Y168" s="139">
        <f t="shared" si="5"/>
        <v>9.5018983168305784</v>
      </c>
      <c r="AA168" s="73"/>
      <c r="AB168" s="176"/>
      <c r="AC168" s="176"/>
      <c r="AD168" s="176"/>
      <c r="AJ168" s="135"/>
    </row>
    <row r="169" spans="1:36" x14ac:dyDescent="0.35">
      <c r="I169" s="109">
        <v>4.3538571618699999E-2</v>
      </c>
      <c r="J169" s="49">
        <v>7.1980183174899112E-10</v>
      </c>
      <c r="K169" s="49">
        <v>1.3122064879024371E-10</v>
      </c>
      <c r="L169" s="153">
        <v>1.0417211720544623E-9</v>
      </c>
      <c r="M169" s="32"/>
      <c r="R169" s="60">
        <v>1201.7476324122861</v>
      </c>
      <c r="S169" s="57">
        <v>2.3240068344164358E-6</v>
      </c>
      <c r="U169" s="127">
        <v>1.5297706964212641E-9</v>
      </c>
      <c r="V169" s="127">
        <v>1.0417211720544623E-9</v>
      </c>
      <c r="W169" s="127">
        <v>4.9929936305164833E-10</v>
      </c>
      <c r="X169" s="128">
        <f t="shared" si="4"/>
        <v>1.0281281008954593E-9</v>
      </c>
      <c r="Y169" s="139">
        <f t="shared" si="5"/>
        <v>5.5209866155242704</v>
      </c>
      <c r="AA169" s="73"/>
      <c r="AB169" s="176"/>
      <c r="AC169" s="176"/>
      <c r="AD169" s="176"/>
      <c r="AJ169" s="135"/>
    </row>
    <row r="170" spans="1:36" x14ac:dyDescent="0.35">
      <c r="I170" s="109">
        <v>4.3973957334899998E-2</v>
      </c>
      <c r="J170" s="49">
        <v>7.490324219213996E-10</v>
      </c>
      <c r="K170" s="49">
        <v>6.1007688497012739E-11</v>
      </c>
      <c r="L170" s="153">
        <v>7.2827528895847538E-10</v>
      </c>
      <c r="M170" s="32"/>
      <c r="R170" s="60">
        <v>1202.0365278951558</v>
      </c>
      <c r="S170" s="57">
        <v>2.3240068344164358E-6</v>
      </c>
      <c r="U170" s="127">
        <v>1.313797008940987E-9</v>
      </c>
      <c r="V170" s="127">
        <v>7.2827528895847538E-10</v>
      </c>
      <c r="W170" s="127">
        <v>3.3315676005289247E-10</v>
      </c>
      <c r="X170" s="128">
        <f t="shared" si="4"/>
        <v>7.7587608672770758E-10</v>
      </c>
      <c r="Y170" s="139">
        <f t="shared" si="5"/>
        <v>0.1936040657959035</v>
      </c>
      <c r="AA170" s="73"/>
      <c r="AB170" s="176"/>
      <c r="AC170" s="176"/>
      <c r="AD170" s="176"/>
      <c r="AJ170" s="135"/>
    </row>
    <row r="171" spans="1:36" x14ac:dyDescent="0.35">
      <c r="I171" s="109">
        <v>4.4413696908199997E-2</v>
      </c>
      <c r="J171" s="49">
        <v>7.3160346663775068E-10</v>
      </c>
      <c r="K171" s="49">
        <v>5.9743837173891889E-11</v>
      </c>
      <c r="L171" s="153">
        <v>4.6375091884779613E-10</v>
      </c>
      <c r="M171" s="32"/>
      <c r="R171" s="60">
        <v>1202.0365278951558</v>
      </c>
      <c r="S171" s="57">
        <v>2.4447262762425861E-6</v>
      </c>
      <c r="U171" s="127">
        <v>1.0144672727480627E-9</v>
      </c>
      <c r="V171" s="127">
        <v>4.6375091884779613E-10</v>
      </c>
      <c r="W171" s="127">
        <v>3.1735089456642305E-10</v>
      </c>
      <c r="X171" s="128">
        <f t="shared" si="4"/>
        <v>5.6483000125251957E-10</v>
      </c>
      <c r="Y171" s="139">
        <f t="shared" si="5"/>
        <v>7.7923361808873803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5.1273632383307304E-10</v>
      </c>
      <c r="K172" s="49">
        <v>4.835939447138594E-11</v>
      </c>
      <c r="L172" s="153">
        <v>3.1384844021843042E-10</v>
      </c>
      <c r="M172" s="32"/>
      <c r="N172" s="18"/>
      <c r="O172" s="18"/>
      <c r="P172" s="30"/>
      <c r="Q172" s="65"/>
      <c r="R172" s="62">
        <v>1202.3416437548221</v>
      </c>
      <c r="S172" s="61">
        <v>2.4447262762425861E-6</v>
      </c>
      <c r="T172" s="75"/>
      <c r="U172" s="127">
        <v>6.9776983465399102E-10</v>
      </c>
      <c r="V172" s="127">
        <v>3.1384844021843042E-10</v>
      </c>
      <c r="W172" s="127">
        <v>4.6194818567331191E-10</v>
      </c>
      <c r="X172" s="128">
        <f t="shared" si="4"/>
        <v>4.4685372519104094E-10</v>
      </c>
      <c r="Y172" s="139">
        <f t="shared" si="5"/>
        <v>1.856007528076316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4.5306412216100003E-2</v>
      </c>
      <c r="J173" s="49">
        <v>5.5245813561462088E-10</v>
      </c>
      <c r="K173" s="49">
        <v>4.9062085022998146E-11</v>
      </c>
      <c r="L173" s="153">
        <v>3.2004328925187468E-10</v>
      </c>
      <c r="M173" s="32"/>
      <c r="R173" s="60">
        <v>1202.3416437548221</v>
      </c>
      <c r="S173" s="57">
        <v>2.5651500158927381E-6</v>
      </c>
      <c r="U173" s="127">
        <v>4.3778357264760216E-10</v>
      </c>
      <c r="V173" s="127">
        <v>3.2004328925187468E-10</v>
      </c>
      <c r="W173" s="127">
        <v>7.3669525880151634E-10</v>
      </c>
      <c r="X173" s="128">
        <f t="shared" si="4"/>
        <v>4.5364135248821699E-10</v>
      </c>
      <c r="Y173" s="139">
        <f t="shared" si="5"/>
        <v>4.0566675874124316</v>
      </c>
      <c r="AA173" s="73"/>
      <c r="AB173" s="176"/>
      <c r="AC173" s="176"/>
      <c r="AD173" s="176"/>
      <c r="AJ173" s="135"/>
    </row>
    <row r="174" spans="1:36" x14ac:dyDescent="0.35">
      <c r="I174" s="109">
        <v>4.5759476338200003E-2</v>
      </c>
      <c r="J174" s="49">
        <v>5.9196576146972139E-10</v>
      </c>
      <c r="K174" s="49">
        <v>5.1292865676099529E-11</v>
      </c>
      <c r="L174" s="153">
        <v>4.8721732134990153E-10</v>
      </c>
      <c r="M174" s="32"/>
      <c r="R174" s="60">
        <v>1202.6714986045097</v>
      </c>
      <c r="S174" s="57">
        <v>2.5651500158927381E-6</v>
      </c>
      <c r="U174" s="127">
        <v>2.9940000766874955E-10</v>
      </c>
      <c r="V174" s="127">
        <v>4.8721732134990153E-10</v>
      </c>
      <c r="W174" s="127">
        <v>1.075751088014135E-9</v>
      </c>
      <c r="X174" s="128">
        <f t="shared" si="4"/>
        <v>5.8739643459567184E-10</v>
      </c>
      <c r="Y174" s="139">
        <f t="shared" si="5"/>
        <v>7.9357965928104623E-3</v>
      </c>
      <c r="AA174" s="73"/>
      <c r="AB174" s="176"/>
      <c r="AC174" s="176"/>
      <c r="AD174" s="176"/>
      <c r="AJ174" s="135"/>
    </row>
    <row r="175" spans="1:36" x14ac:dyDescent="0.35">
      <c r="I175" s="109">
        <v>4.6217071101599998E-2</v>
      </c>
      <c r="J175" s="49">
        <v>8.7585631869620211E-10</v>
      </c>
      <c r="K175" s="49">
        <v>6.3674822122323601E-11</v>
      </c>
      <c r="L175" s="153">
        <v>7.7950713454022901E-10</v>
      </c>
      <c r="M175" s="32"/>
      <c r="R175" s="60">
        <v>1202.6714986045097</v>
      </c>
      <c r="S175" s="57">
        <v>2.6848762718115108E-6</v>
      </c>
      <c r="U175" s="127">
        <v>3.2157733601947659E-10</v>
      </c>
      <c r="V175" s="127">
        <v>7.7950713454022901E-10</v>
      </c>
      <c r="W175" s="127">
        <v>1.3924089938208364E-9</v>
      </c>
      <c r="X175" s="128">
        <f t="shared" si="4"/>
        <v>8.182501497301927E-10</v>
      </c>
      <c r="Y175" s="139">
        <f t="shared" si="5"/>
        <v>0.8184695127847903</v>
      </c>
      <c r="AA175" s="73"/>
      <c r="AB175" s="176"/>
      <c r="AC175" s="176"/>
      <c r="AD175" s="176"/>
      <c r="AJ175" s="135"/>
    </row>
    <row r="176" spans="1:36" x14ac:dyDescent="0.35">
      <c r="I176" s="109">
        <v>4.6679241812599997E-2</v>
      </c>
      <c r="J176" s="49">
        <v>9.7404596888180587E-10</v>
      </c>
      <c r="K176" s="49">
        <v>6.7388453194699386E-11</v>
      </c>
      <c r="L176" s="153">
        <v>1.1264521239582318E-9</v>
      </c>
      <c r="M176" s="32"/>
      <c r="R176" s="60">
        <v>1203.0386800137662</v>
      </c>
      <c r="S176" s="57">
        <v>2.6848762718115108E-6</v>
      </c>
      <c r="U176" s="127">
        <v>5.0547586248146383E-10</v>
      </c>
      <c r="V176" s="127">
        <v>1.1264521239582318E-9</v>
      </c>
      <c r="W176" s="127">
        <v>1.600942749582532E-9</v>
      </c>
      <c r="X176" s="128">
        <f t="shared" si="4"/>
        <v>1.0898307149951148E-9</v>
      </c>
      <c r="Y176" s="139">
        <f t="shared" si="5"/>
        <v>2.9521044512844781</v>
      </c>
      <c r="AA176" s="73"/>
      <c r="AB176" s="176"/>
      <c r="AC176" s="176"/>
      <c r="AD176" s="176"/>
      <c r="AJ176" s="135"/>
    </row>
    <row r="177" spans="9:36" x14ac:dyDescent="0.35">
      <c r="I177" s="109">
        <v>4.71460342308E-2</v>
      </c>
      <c r="J177" s="49">
        <v>1.2225726964392053E-9</v>
      </c>
      <c r="K177" s="49">
        <v>7.835421510960473E-11</v>
      </c>
      <c r="L177" s="152">
        <v>1.4390028882878504E-9</v>
      </c>
      <c r="M177" s="33"/>
      <c r="R177" s="60">
        <v>1203.0386800137662</v>
      </c>
      <c r="S177" s="57">
        <v>2.803121015899125E-6</v>
      </c>
      <c r="U177" s="127">
        <v>8.1115597976294544E-10</v>
      </c>
      <c r="V177" s="127">
        <v>1.4390028882878504E-9</v>
      </c>
      <c r="W177" s="127">
        <v>1.6403211883163302E-9</v>
      </c>
      <c r="X177" s="128">
        <f t="shared" si="4"/>
        <v>1.3323707361637442E-9</v>
      </c>
      <c r="Y177" s="139">
        <f t="shared" si="5"/>
        <v>1.9636516368813894</v>
      </c>
      <c r="AA177" s="73"/>
      <c r="AB177" s="176"/>
      <c r="AC177" s="176"/>
      <c r="AD177" s="176"/>
      <c r="AJ177" s="135"/>
    </row>
    <row r="178" spans="9:36" x14ac:dyDescent="0.35">
      <c r="I178" s="109">
        <v>4.7617494573100001E-2</v>
      </c>
      <c r="J178" s="49">
        <v>1.2614457067665315E-9</v>
      </c>
      <c r="K178" s="49">
        <v>7.8976797592521338E-11</v>
      </c>
      <c r="L178" s="152">
        <v>1.6321628903220553E-9</v>
      </c>
      <c r="M178" s="33"/>
      <c r="R178" s="60">
        <v>1203.4639018417849</v>
      </c>
      <c r="S178" s="57">
        <v>2.803121015899125E-6</v>
      </c>
      <c r="U178" s="127">
        <v>1.164738460716574E-9</v>
      </c>
      <c r="V178" s="127">
        <v>1.6321628903220553E-9</v>
      </c>
      <c r="W178" s="127">
        <v>1.493283877684714E-9</v>
      </c>
      <c r="X178" s="128">
        <f t="shared" si="4"/>
        <v>1.4805870297613497E-9</v>
      </c>
      <c r="Y178" s="139">
        <f t="shared" si="5"/>
        <v>7.699269455180243</v>
      </c>
      <c r="AA178" s="73"/>
      <c r="AB178" s="176"/>
      <c r="AC178" s="176"/>
      <c r="AD178" s="176"/>
      <c r="AJ178" s="135"/>
    </row>
    <row r="179" spans="9:36" x14ac:dyDescent="0.35">
      <c r="I179" s="109">
        <v>4.8093669518800002E-2</v>
      </c>
      <c r="J179" s="49">
        <v>1.285837624648099E-9</v>
      </c>
      <c r="K179" s="49">
        <v>7.9186221286598175E-11</v>
      </c>
      <c r="L179" s="152">
        <v>1.6487338634571294E-9</v>
      </c>
      <c r="M179" s="33"/>
      <c r="R179" s="60">
        <v>1203.4639018417849</v>
      </c>
      <c r="S179" s="57">
        <v>2.9183663411666309E-6</v>
      </c>
      <c r="U179" s="127">
        <v>1.4753401996287719E-9</v>
      </c>
      <c r="V179" s="127">
        <v>1.6487338634571294E-9</v>
      </c>
      <c r="W179" s="127">
        <v>1.1947144778369386E-9</v>
      </c>
      <c r="X179" s="128">
        <f t="shared" si="4"/>
        <v>1.4918806010949923E-9</v>
      </c>
      <c r="Y179" s="139">
        <f t="shared" si="5"/>
        <v>6.7704321708683439</v>
      </c>
      <c r="AA179" s="73"/>
      <c r="AB179" s="176"/>
      <c r="AC179" s="176"/>
      <c r="AD179" s="176"/>
      <c r="AJ179" s="135"/>
    </row>
    <row r="180" spans="9:36" x14ac:dyDescent="0.35">
      <c r="I180" s="109">
        <v>4.8574606213999998E-2</v>
      </c>
      <c r="J180" s="49">
        <v>1.3499693213786784E-9</v>
      </c>
      <c r="K180" s="49">
        <v>8.4340186631442041E-11</v>
      </c>
      <c r="L180" s="152">
        <v>1.4775602054724026E-9</v>
      </c>
      <c r="M180" s="33"/>
      <c r="R180" s="60">
        <v>1203.9864245516517</v>
      </c>
      <c r="S180" s="57">
        <v>2.9183663411666309E-6</v>
      </c>
      <c r="U180" s="127">
        <v>1.6583035928269164E-9</v>
      </c>
      <c r="V180" s="127">
        <v>1.4775602054724026E-9</v>
      </c>
      <c r="W180" s="127">
        <v>8.2556128247219377E-10</v>
      </c>
      <c r="X180" s="128">
        <f t="shared" si="4"/>
        <v>1.3597463215609789E-9</v>
      </c>
      <c r="Y180" s="139">
        <f t="shared" si="5"/>
        <v>1.3438231894831346E-2</v>
      </c>
      <c r="AA180" s="73"/>
      <c r="AB180" s="176"/>
      <c r="AC180" s="176"/>
      <c r="AD180" s="176"/>
      <c r="AJ180" s="135"/>
    </row>
    <row r="181" spans="9:36" x14ac:dyDescent="0.35">
      <c r="I181" s="109">
        <v>4.9060352276099999E-2</v>
      </c>
      <c r="J181" s="49">
        <v>1.0783573367901047E-9</v>
      </c>
      <c r="K181" s="49">
        <v>7.5117693763954521E-11</v>
      </c>
      <c r="L181" s="152">
        <v>1.1603440976937212E-9</v>
      </c>
      <c r="M181" s="33"/>
      <c r="R181" s="60">
        <v>1203.9864245516517</v>
      </c>
      <c r="S181" s="57">
        <v>3.0275673693087792E-6</v>
      </c>
      <c r="U181" s="127">
        <v>1.6589953985247022E-9</v>
      </c>
      <c r="V181" s="127">
        <v>1.1603440976937212E-9</v>
      </c>
      <c r="W181" s="127">
        <v>4.9238679953184949E-10</v>
      </c>
      <c r="X181" s="128">
        <f t="shared" si="4"/>
        <v>1.1180175983609984E-9</v>
      </c>
      <c r="Y181" s="139">
        <f t="shared" si="5"/>
        <v>0.27875756134714791</v>
      </c>
      <c r="AA181" s="73"/>
      <c r="AB181" s="176"/>
      <c r="AC181" s="176"/>
      <c r="AD181" s="176"/>
      <c r="AJ181" s="135"/>
    </row>
    <row r="182" spans="9:36" x14ac:dyDescent="0.35">
      <c r="I182" s="109">
        <v>4.9550955798900002E-2</v>
      </c>
      <c r="J182" s="49">
        <v>9.5888700484261563E-10</v>
      </c>
      <c r="K182" s="49">
        <v>7.0833652628684011E-11</v>
      </c>
      <c r="L182" s="152">
        <v>7.8364819441362738E-10</v>
      </c>
      <c r="M182" s="33"/>
      <c r="R182" s="60">
        <v>1204.6996017396752</v>
      </c>
      <c r="S182" s="57">
        <v>3.0275673693087792E-6</v>
      </c>
      <c r="U182" s="127">
        <v>1.47049765481176E-9</v>
      </c>
      <c r="V182" s="127">
        <v>7.8364819441362738E-10</v>
      </c>
      <c r="W182" s="127">
        <v>2.9707916538560417E-10</v>
      </c>
      <c r="X182" s="128">
        <f t="shared" si="4"/>
        <v>8.3371830225615473E-10</v>
      </c>
      <c r="Y182" s="139">
        <f t="shared" si="5"/>
        <v>3.1225703143740238</v>
      </c>
      <c r="AA182" s="73"/>
      <c r="AB182" s="176"/>
      <c r="AC182" s="176"/>
      <c r="AD182" s="176"/>
      <c r="AJ182" s="135"/>
    </row>
    <row r="183" spans="9:36" x14ac:dyDescent="0.35">
      <c r="I183" s="109">
        <v>5.0046465356900001E-2</v>
      </c>
      <c r="J183" s="49">
        <v>6.5344802615895836E-10</v>
      </c>
      <c r="K183" s="49">
        <v>5.8600928890246558E-11</v>
      </c>
      <c r="L183" s="152">
        <v>4.5669684694970797E-10</v>
      </c>
      <c r="M183" s="33"/>
      <c r="R183" s="60">
        <v>1204.6996017396752</v>
      </c>
      <c r="S183" s="57">
        <v>3.1240728746787833E-6</v>
      </c>
      <c r="U183" s="127">
        <v>1.139351111861292E-9</v>
      </c>
      <c r="V183" s="127">
        <v>4.5669684694970797E-10</v>
      </c>
      <c r="W183" s="127">
        <v>3.0501591368832202E-10</v>
      </c>
      <c r="X183" s="128">
        <f t="shared" si="4"/>
        <v>5.8944017986225743E-10</v>
      </c>
      <c r="Y183" s="139">
        <f t="shared" si="5"/>
        <v>1.1930466587759954</v>
      </c>
      <c r="AA183" s="73"/>
      <c r="AB183" s="176"/>
      <c r="AC183" s="176"/>
      <c r="AD183" s="176"/>
      <c r="AJ183" s="135"/>
    </row>
    <row r="184" spans="9:36" x14ac:dyDescent="0.35">
      <c r="I184" s="109">
        <v>5.0546930010399997E-2</v>
      </c>
      <c r="J184" s="49">
        <v>6.2510092131398065E-10</v>
      </c>
      <c r="K184" s="49">
        <v>5.9045976445744661E-11</v>
      </c>
      <c r="L184" s="152">
        <v>2.8006278362157104E-10</v>
      </c>
      <c r="M184" s="33"/>
      <c r="R184" s="60">
        <v>1205.9811906150492</v>
      </c>
      <c r="S184" s="57">
        <v>3.1240728746787833E-6</v>
      </c>
      <c r="U184" s="127">
        <v>7.5621878453066503E-10</v>
      </c>
      <c r="V184" s="127">
        <v>2.8006278362157104E-10</v>
      </c>
      <c r="W184" s="127">
        <v>5.2165306195937026E-10</v>
      </c>
      <c r="X184" s="128">
        <f t="shared" si="4"/>
        <v>4.5949935343329431E-10</v>
      </c>
      <c r="Y184" s="139">
        <f t="shared" si="5"/>
        <v>7.8658972793459494</v>
      </c>
      <c r="AA184" s="73"/>
      <c r="AB184" s="176"/>
      <c r="AC184" s="176"/>
      <c r="AD184" s="176"/>
      <c r="AJ184" s="135"/>
    </row>
    <row r="185" spans="9:36" x14ac:dyDescent="0.35">
      <c r="I185" s="109">
        <v>5.1052399310499999E-2</v>
      </c>
      <c r="J185" s="49">
        <v>6.480149351765379E-10</v>
      </c>
      <c r="K185" s="49">
        <v>6.4151317051874561E-11</v>
      </c>
      <c r="L185" s="152">
        <v>3.1393528510173266E-10</v>
      </c>
      <c r="M185" s="33"/>
      <c r="R185" s="60">
        <v>1205.9811906150492</v>
      </c>
      <c r="S185" s="57">
        <v>3.1907825106873794E-6</v>
      </c>
      <c r="U185" s="127">
        <v>4.3244523246983298E-10</v>
      </c>
      <c r="V185" s="127">
        <v>3.1393528510173266E-10</v>
      </c>
      <c r="W185" s="127">
        <v>8.8615119000242469E-10</v>
      </c>
      <c r="X185" s="128">
        <f t="shared" si="4"/>
        <v>4.8661674816893079E-10</v>
      </c>
      <c r="Y185" s="139">
        <f t="shared" si="5"/>
        <v>6.3297440593840788</v>
      </c>
      <c r="AA185" s="73"/>
      <c r="AB185" s="176"/>
      <c r="AC185" s="176"/>
      <c r="AD185" s="176"/>
      <c r="AJ185" s="135"/>
    </row>
    <row r="186" spans="9:36" x14ac:dyDescent="0.35">
      <c r="I186" s="109">
        <v>5.1562923303600003E-2</v>
      </c>
      <c r="J186" s="49">
        <v>8.6783709271081566E-10</v>
      </c>
      <c r="K186" s="49">
        <v>7.4710164293293905E-11</v>
      </c>
      <c r="L186" s="152">
        <v>5.5604191996007101E-10</v>
      </c>
      <c r="M186" s="33"/>
      <c r="R186" s="60">
        <v>1207.7022722031234</v>
      </c>
      <c r="S186" s="57">
        <v>3.1907825106873794E-6</v>
      </c>
      <c r="U186" s="127">
        <v>2.6798307832379889E-10</v>
      </c>
      <c r="V186" s="127">
        <v>5.5604191996007101E-10</v>
      </c>
      <c r="W186" s="127">
        <v>1.2861537067261231E-9</v>
      </c>
      <c r="X186" s="128">
        <f t="shared" si="4"/>
        <v>6.6655515624251601E-10</v>
      </c>
      <c r="Y186" s="139">
        <f t="shared" si="5"/>
        <v>7.2585558211143946</v>
      </c>
      <c r="AA186" s="73"/>
      <c r="AB186" s="176"/>
      <c r="AC186" s="176"/>
      <c r="AD186" s="176"/>
      <c r="AJ186" s="135"/>
    </row>
    <row r="187" spans="9:36" x14ac:dyDescent="0.35">
      <c r="I187" s="109">
        <v>5.2078552536699997E-2</v>
      </c>
      <c r="J187" s="49">
        <v>9.1614398377938051E-10</v>
      </c>
      <c r="K187" s="49">
        <v>7.7312973822872998E-11</v>
      </c>
      <c r="L187" s="152">
        <v>9.3754657191301952E-10</v>
      </c>
      <c r="M187" s="33"/>
      <c r="R187" s="60">
        <v>1207.7022722031234</v>
      </c>
      <c r="S187" s="57">
        <v>3.1999999999999999E-6</v>
      </c>
      <c r="U187" s="127">
        <v>3.1966853027621139E-10</v>
      </c>
      <c r="V187" s="127">
        <v>9.3754657191301952E-10</v>
      </c>
      <c r="W187" s="127">
        <v>1.5912159462416767E-9</v>
      </c>
      <c r="X187" s="128">
        <f t="shared" si="4"/>
        <v>9.4649440508598189E-10</v>
      </c>
      <c r="Y187" s="139">
        <f t="shared" si="5"/>
        <v>0.1541078249447414</v>
      </c>
      <c r="AA187" s="73"/>
      <c r="AB187" s="176"/>
      <c r="AC187" s="176"/>
      <c r="AD187" s="176"/>
      <c r="AJ187" s="135"/>
    </row>
    <row r="188" spans="9:36" x14ac:dyDescent="0.35">
      <c r="I188" s="109">
        <v>5.2599338062100001E-2</v>
      </c>
      <c r="J188" s="49">
        <v>1.1229824900186586E-9</v>
      </c>
      <c r="K188" s="49">
        <v>8.4690963802023763E-11</v>
      </c>
      <c r="L188" s="152">
        <v>1.3404003347473681E-9</v>
      </c>
      <c r="M188" s="33"/>
      <c r="R188" s="60">
        <v>1218.0000749877843</v>
      </c>
      <c r="S188" s="57">
        <v>3.1999999999999999E-6</v>
      </c>
      <c r="U188" s="127">
        <v>5.7999744844065626E-10</v>
      </c>
      <c r="V188" s="127">
        <v>1.3404003347473681E-9</v>
      </c>
      <c r="W188" s="127">
        <v>1.6956136986189258E-9</v>
      </c>
      <c r="X188" s="128">
        <f t="shared" si="4"/>
        <v>1.2391029541385795E-9</v>
      </c>
      <c r="Y188" s="139">
        <f t="shared" si="5"/>
        <v>1.879937345929428</v>
      </c>
      <c r="AA188" s="73"/>
      <c r="AB188" s="176"/>
      <c r="AC188" s="176"/>
      <c r="AD188" s="176"/>
      <c r="AJ188" s="135"/>
    </row>
    <row r="189" spans="9:36" x14ac:dyDescent="0.35">
      <c r="I189" s="109">
        <v>5.31253314427E-2</v>
      </c>
      <c r="J189" s="49">
        <v>1.4722713492414544E-9</v>
      </c>
      <c r="K189" s="49">
        <v>1.0219916140772728E-10</v>
      </c>
      <c r="L189" s="152">
        <v>1.6328205147399918E-9</v>
      </c>
      <c r="M189" s="33"/>
      <c r="R189" s="60">
        <v>1218.0000749877843</v>
      </c>
      <c r="S189" s="57">
        <v>3.1956471679501898E-6</v>
      </c>
      <c r="U189" s="127">
        <v>9.7454203412203597E-10</v>
      </c>
      <c r="V189" s="127">
        <v>1.6328205147399918E-9</v>
      </c>
      <c r="W189" s="127">
        <v>1.5567141790082614E-9</v>
      </c>
      <c r="X189" s="128">
        <f t="shared" si="4"/>
        <v>1.4492243106525703E-9</v>
      </c>
      <c r="Y189" s="139">
        <f t="shared" si="5"/>
        <v>5.0855226570026682E-2</v>
      </c>
      <c r="AA189" s="73"/>
      <c r="AB189" s="176"/>
      <c r="AC189" s="176"/>
      <c r="AD189" s="176"/>
      <c r="AJ189" s="135"/>
    </row>
    <row r="190" spans="9:36" x14ac:dyDescent="0.35">
      <c r="I190" s="109">
        <v>5.3656584757100001E-2</v>
      </c>
      <c r="J190" s="49">
        <v>1.5560331887282965E-9</v>
      </c>
      <c r="K190" s="49">
        <v>1.0779200268528775E-10</v>
      </c>
      <c r="L190" s="152">
        <v>1.7128723258131845E-9</v>
      </c>
      <c r="M190" s="33"/>
      <c r="R190" s="60">
        <v>1219.7211565758585</v>
      </c>
      <c r="S190" s="57">
        <v>3.1956471679501898E-6</v>
      </c>
      <c r="U190" s="127">
        <v>1.3810636727194739E-9</v>
      </c>
      <c r="V190" s="127">
        <v>1.7128723258131845E-9</v>
      </c>
      <c r="W190" s="127">
        <v>1.2147832985920956E-9</v>
      </c>
      <c r="X190" s="128">
        <f t="shared" si="4"/>
        <v>1.5053979057344845E-9</v>
      </c>
      <c r="Y190" s="139">
        <f t="shared" si="5"/>
        <v>0.22066497300902779</v>
      </c>
      <c r="AA190" s="73"/>
      <c r="AB190" s="176"/>
      <c r="AC190" s="176"/>
      <c r="AD190" s="176"/>
      <c r="AJ190" s="135"/>
    </row>
    <row r="191" spans="9:36" x14ac:dyDescent="0.35">
      <c r="I191" s="109">
        <v>5.4193150604700001E-2</v>
      </c>
      <c r="J191" s="49">
        <v>1.2738126203274381E-9</v>
      </c>
      <c r="K191" s="49">
        <v>9.5429298494689739E-11</v>
      </c>
      <c r="L191" s="152">
        <v>1.5459227150277124E-9</v>
      </c>
      <c r="M191" s="33"/>
      <c r="R191" s="60">
        <v>1219.7211565758585</v>
      </c>
      <c r="S191" s="57">
        <v>3.1641444634933683E-6</v>
      </c>
      <c r="U191" s="127">
        <v>1.6664448416449396E-9</v>
      </c>
      <c r="V191" s="127">
        <v>1.5459227150277124E-9</v>
      </c>
      <c r="W191" s="127">
        <v>7.8488856827193926E-10</v>
      </c>
      <c r="X191" s="128">
        <f t="shared" si="4"/>
        <v>1.385794709993076E-9</v>
      </c>
      <c r="Y191" s="139">
        <f t="shared" si="5"/>
        <v>1.3769991504628043</v>
      </c>
      <c r="AA191" s="73"/>
      <c r="AB191" s="176"/>
      <c r="AC191" s="176"/>
      <c r="AD191" s="176"/>
      <c r="AJ191" s="135"/>
    </row>
    <row r="192" spans="9:36" x14ac:dyDescent="0.35">
      <c r="I192" s="109">
        <v>5.4735082110700002E-2</v>
      </c>
      <c r="J192" s="49">
        <v>1.2302703531584823E-9</v>
      </c>
      <c r="K192" s="49">
        <v>9.6090163315545401E-11</v>
      </c>
      <c r="L192" s="152">
        <v>1.1819657202534551E-9</v>
      </c>
      <c r="M192" s="33"/>
      <c r="R192" s="60">
        <v>1221.0027454512324</v>
      </c>
      <c r="S192" s="57">
        <v>3.1641444634933683E-6</v>
      </c>
      <c r="U192" s="127">
        <v>1.7308978606819606E-9</v>
      </c>
      <c r="V192" s="127">
        <v>1.1819657202534551E-9</v>
      </c>
      <c r="W192" s="127">
        <v>4.2058465541632545E-10</v>
      </c>
      <c r="X192" s="128">
        <f t="shared" si="4"/>
        <v>1.1288534891512992E-9</v>
      </c>
      <c r="Y192" s="139">
        <f t="shared" si="5"/>
        <v>1.1139417758301922</v>
      </c>
      <c r="AA192" s="73"/>
      <c r="AB192" s="176"/>
      <c r="AC192" s="176"/>
      <c r="AD192" s="176"/>
      <c r="AJ192" s="135"/>
    </row>
    <row r="193" spans="9:36" x14ac:dyDescent="0.35">
      <c r="I193" s="109">
        <v>5.5282432931799998E-2</v>
      </c>
      <c r="J193" s="49">
        <v>1.0442957322131641E-9</v>
      </c>
      <c r="K193" s="49">
        <v>9.0792467521292324E-11</v>
      </c>
      <c r="L193" s="152">
        <v>7.4418575213737223E-10</v>
      </c>
      <c r="M193" s="33"/>
      <c r="R193" s="60">
        <v>1221.0027454512324</v>
      </c>
      <c r="S193" s="57">
        <v>3.1185710711616265E-6</v>
      </c>
      <c r="U193" s="127">
        <v>1.5449193053975957E-9</v>
      </c>
      <c r="V193" s="127">
        <v>7.4418575213737223E-10</v>
      </c>
      <c r="W193" s="127">
        <v>2.5969057144492826E-10</v>
      </c>
      <c r="X193" s="128">
        <f t="shared" si="4"/>
        <v>8.2324534527931715E-10</v>
      </c>
      <c r="Y193" s="139">
        <f t="shared" si="5"/>
        <v>5.9276550165332669</v>
      </c>
      <c r="AA193" s="73"/>
      <c r="AB193" s="176"/>
      <c r="AC193" s="176"/>
      <c r="AD193" s="176"/>
      <c r="AJ193" s="135"/>
    </row>
    <row r="194" spans="9:36" x14ac:dyDescent="0.35">
      <c r="I194" s="109">
        <v>5.5835257261100002E-2</v>
      </c>
      <c r="J194" s="49">
        <v>7.8419801941285667E-10</v>
      </c>
      <c r="K194" s="49">
        <v>8.4184600019237694E-11</v>
      </c>
      <c r="L194" s="152">
        <v>3.8957001546961964E-10</v>
      </c>
      <c r="M194" s="33"/>
      <c r="R194" s="60">
        <v>1221.715922639256</v>
      </c>
      <c r="S194" s="57">
        <v>3.1185710711616265E-6</v>
      </c>
      <c r="U194" s="127">
        <v>1.1650417040991542E-9</v>
      </c>
      <c r="V194" s="127">
        <v>3.8957001546961964E-10</v>
      </c>
      <c r="W194" s="127">
        <v>3.7082602428598439E-10</v>
      </c>
      <c r="X194" s="128">
        <f t="shared" si="4"/>
        <v>5.7875193983109442E-10</v>
      </c>
      <c r="Y194" s="139">
        <f t="shared" si="5"/>
        <v>5.9556670539675141</v>
      </c>
      <c r="AA194" s="73"/>
      <c r="AB194" s="176"/>
      <c r="AC194" s="176"/>
      <c r="AD194" s="176"/>
      <c r="AJ194" s="135"/>
    </row>
    <row r="195" spans="9:36" x14ac:dyDescent="0.35">
      <c r="I195" s="109">
        <v>5.6393609833799999E-2</v>
      </c>
      <c r="J195" s="49">
        <v>6.7796271011219152E-10</v>
      </c>
      <c r="K195" s="49">
        <v>7.3623350417432232E-11</v>
      </c>
      <c r="L195" s="152">
        <v>2.5306289337306615E-10</v>
      </c>
      <c r="M195" s="33"/>
      <c r="R195" s="60">
        <v>1221.715922639256</v>
      </c>
      <c r="S195" s="57">
        <v>3.0670023935046255E-6</v>
      </c>
      <c r="U195" s="127">
        <v>7.2019021041666957E-10</v>
      </c>
      <c r="V195" s="127">
        <v>2.5306289337306615E-10</v>
      </c>
      <c r="W195" s="127">
        <v>7.2168150103289029E-10</v>
      </c>
      <c r="X195" s="128">
        <f t="shared" ref="X195:X254" si="6">(U195+2*V195+W195)/4</f>
        <v>4.8699937454892299E-10</v>
      </c>
      <c r="Y195" s="139">
        <f t="shared" ref="Y195:Y254" si="7">(J195-X195)*(J195-X195)/(K195*K195)</f>
        <v>6.7277342675242444</v>
      </c>
      <c r="AA195" s="73"/>
      <c r="AB195" s="176"/>
      <c r="AC195" s="176"/>
      <c r="AD195" s="176"/>
      <c r="AJ195" s="135"/>
    </row>
    <row r="196" spans="9:36" x14ac:dyDescent="0.35">
      <c r="I196" s="109">
        <v>5.69575459321E-2</v>
      </c>
      <c r="J196" s="49">
        <v>7.065505668293446E-10</v>
      </c>
      <c r="K196" s="49">
        <v>8.1325945422647996E-11</v>
      </c>
      <c r="L196" s="152">
        <v>3.9472086800199089E-10</v>
      </c>
      <c r="M196" s="33"/>
      <c r="R196" s="60">
        <v>1222.2384453491227</v>
      </c>
      <c r="S196" s="57">
        <v>3.0670023935046255E-6</v>
      </c>
      <c r="U196" s="127">
        <v>3.7018582418541135E-10</v>
      </c>
      <c r="V196" s="127">
        <v>3.9472086800199089E-10</v>
      </c>
      <c r="W196" s="127">
        <v>1.1841778722394486E-9</v>
      </c>
      <c r="X196" s="128">
        <f t="shared" si="6"/>
        <v>5.8595135810721046E-10</v>
      </c>
      <c r="Y196" s="139">
        <f t="shared" si="7"/>
        <v>2.1990275746521788</v>
      </c>
      <c r="AA196" s="73"/>
      <c r="AB196" s="176"/>
      <c r="AC196" s="176"/>
      <c r="AD196" s="176"/>
      <c r="AJ196" s="135"/>
    </row>
    <row r="197" spans="9:36" x14ac:dyDescent="0.35">
      <c r="I197" s="109">
        <v>5.7527121391400003E-2</v>
      </c>
      <c r="J197" s="49">
        <v>8.7103628866155171E-10</v>
      </c>
      <c r="K197" s="49">
        <v>9.0363536040955274E-11</v>
      </c>
      <c r="L197" s="152">
        <v>7.7086118568103969E-10</v>
      </c>
      <c r="M197" s="33"/>
      <c r="R197" s="60">
        <v>1222.2384453491227</v>
      </c>
      <c r="S197" s="57">
        <v>3.012579379991785E-6</v>
      </c>
      <c r="U197" s="127">
        <v>2.4867805143867612E-10</v>
      </c>
      <c r="V197" s="127">
        <v>7.7086118568103969E-10</v>
      </c>
      <c r="W197" s="127">
        <v>1.578687113331802E-9</v>
      </c>
      <c r="X197" s="128">
        <f t="shared" si="6"/>
        <v>8.4227188403313945E-10</v>
      </c>
      <c r="Y197" s="139">
        <f t="shared" si="7"/>
        <v>0.10132680398811685</v>
      </c>
      <c r="AA197" s="73"/>
      <c r="AB197" s="176"/>
      <c r="AC197" s="176"/>
      <c r="AD197" s="176"/>
      <c r="AJ197" s="135"/>
    </row>
    <row r="198" spans="9:36" x14ac:dyDescent="0.35">
      <c r="I198" s="109">
        <v>5.81023926053E-2</v>
      </c>
      <c r="J198" s="49">
        <v>1.1460807474878848E-9</v>
      </c>
      <c r="K198" s="49">
        <v>1.0337640651182895E-10</v>
      </c>
      <c r="L198" s="152">
        <v>1.2434771142994258E-9</v>
      </c>
      <c r="M198" s="33"/>
      <c r="R198" s="60">
        <v>1222.6636671771414</v>
      </c>
      <c r="S198" s="57">
        <v>3.012579379991785E-6</v>
      </c>
      <c r="U198" s="127">
        <v>4.1051996842786654E-10</v>
      </c>
      <c r="V198" s="127">
        <v>1.2434771142994258E-9</v>
      </c>
      <c r="W198" s="127">
        <v>1.7435737563420607E-9</v>
      </c>
      <c r="X198" s="128">
        <f t="shared" si="6"/>
        <v>1.1602619883421947E-9</v>
      </c>
      <c r="Y198" s="139">
        <f t="shared" si="7"/>
        <v>1.8818525995309976E-2</v>
      </c>
      <c r="AA198" s="73"/>
      <c r="AB198" s="176"/>
      <c r="AC198" s="176"/>
      <c r="AD198" s="176"/>
      <c r="AJ198" s="135"/>
    </row>
    <row r="199" spans="9:36" x14ac:dyDescent="0.35">
      <c r="I199" s="109">
        <v>5.8683416531400003E-2</v>
      </c>
      <c r="J199" s="49">
        <v>1.3327189902711748E-9</v>
      </c>
      <c r="K199" s="49">
        <v>1.136776270574356E-10</v>
      </c>
      <c r="L199" s="152">
        <v>1.6291098121918983E-9</v>
      </c>
      <c r="M199" s="33"/>
      <c r="R199" s="60">
        <v>1222.6636671771414</v>
      </c>
      <c r="S199" s="57">
        <v>2.9567399323580942E-6</v>
      </c>
      <c r="U199" s="127">
        <v>8.0466963408692681E-10</v>
      </c>
      <c r="V199" s="127">
        <v>1.6291098121918983E-9</v>
      </c>
      <c r="W199" s="127">
        <v>1.6040898401740269E-9</v>
      </c>
      <c r="X199" s="128">
        <f t="shared" si="6"/>
        <v>1.4167447746611875E-9</v>
      </c>
      <c r="Y199" s="139">
        <f t="shared" si="7"/>
        <v>0.5463552893014848</v>
      </c>
      <c r="AA199" s="73"/>
      <c r="AB199" s="176"/>
      <c r="AC199" s="176"/>
      <c r="AD199" s="176"/>
      <c r="AJ199" s="135"/>
    </row>
    <row r="200" spans="9:36" x14ac:dyDescent="0.35">
      <c r="I200" s="109">
        <v>5.92702506967E-2</v>
      </c>
      <c r="J200" s="49">
        <v>1.3022953621636528E-9</v>
      </c>
      <c r="K200" s="49">
        <v>1.168923784353605E-10</v>
      </c>
      <c r="L200" s="152">
        <v>1.7682406383475769E-9</v>
      </c>
      <c r="M200" s="33"/>
      <c r="R200" s="60">
        <v>1223.030848586398</v>
      </c>
      <c r="S200" s="57">
        <v>2.9567399323580942E-6</v>
      </c>
      <c r="U200" s="127">
        <v>1.2865859835639932E-9</v>
      </c>
      <c r="V200" s="127">
        <v>1.7682406383475769E-9</v>
      </c>
      <c r="W200" s="127">
        <v>1.2089954040563087E-9</v>
      </c>
      <c r="X200" s="128">
        <f t="shared" si="6"/>
        <v>1.5080156660788639E-9</v>
      </c>
      <c r="Y200" s="139">
        <f t="shared" si="7"/>
        <v>3.0972903801834999</v>
      </c>
      <c r="AA200" s="73"/>
      <c r="AB200" s="176"/>
      <c r="AC200" s="176"/>
      <c r="AD200" s="176"/>
      <c r="AJ200" s="135"/>
    </row>
    <row r="201" spans="9:36" x14ac:dyDescent="0.35">
      <c r="I201" s="109">
        <v>5.9862953203699998E-2</v>
      </c>
      <c r="J201" s="49">
        <v>1.5838285535610589E-9</v>
      </c>
      <c r="K201" s="49">
        <v>1.2924018730576082E-10</v>
      </c>
      <c r="L201" s="152">
        <v>1.5964133883495667E-9</v>
      </c>
      <c r="M201" s="33"/>
      <c r="R201" s="60">
        <v>1223.030848586398</v>
      </c>
      <c r="S201" s="57">
        <v>2.9002008612193331E-6</v>
      </c>
      <c r="U201" s="127">
        <v>1.6681436693342776E-9</v>
      </c>
      <c r="V201" s="127">
        <v>1.5964133883495667E-9</v>
      </c>
      <c r="W201" s="127">
        <v>7.2134411519490489E-10</v>
      </c>
      <c r="X201" s="128">
        <f t="shared" si="6"/>
        <v>1.395578640307079E-9</v>
      </c>
      <c r="Y201" s="139">
        <f t="shared" si="7"/>
        <v>2.1216532746025054</v>
      </c>
      <c r="AA201" s="73"/>
      <c r="AB201" s="176"/>
      <c r="AC201" s="176"/>
      <c r="AD201" s="176"/>
      <c r="AJ201" s="135"/>
    </row>
    <row r="202" spans="9:36" x14ac:dyDescent="0.35">
      <c r="I202" s="109">
        <v>6.0461582735700001E-2</v>
      </c>
      <c r="J202" s="49">
        <v>1.2456198601547408E-9</v>
      </c>
      <c r="K202" s="49">
        <v>1.2122528864450165E-10</v>
      </c>
      <c r="L202" s="152">
        <v>1.1768179781178495E-9</v>
      </c>
      <c r="M202" s="33"/>
      <c r="R202" s="60">
        <v>1223.3607034360855</v>
      </c>
      <c r="S202" s="57">
        <v>2.9002008612193331E-6</v>
      </c>
      <c r="U202" s="127">
        <v>1.7922568078871189E-9</v>
      </c>
      <c r="V202" s="127">
        <v>1.1768179781178495E-9</v>
      </c>
      <c r="W202" s="127">
        <v>3.5306820545892122E-10</v>
      </c>
      <c r="X202" s="128">
        <f t="shared" si="6"/>
        <v>1.1247402423954348E-9</v>
      </c>
      <c r="Y202" s="139">
        <f t="shared" si="7"/>
        <v>0.99430518082317298</v>
      </c>
      <c r="AA202" s="73"/>
      <c r="AB202" s="176"/>
      <c r="AC202" s="176"/>
      <c r="AD202" s="176"/>
      <c r="AJ202" s="135"/>
    </row>
    <row r="203" spans="9:36" x14ac:dyDescent="0.35">
      <c r="I203" s="109">
        <v>6.1066198563099999E-2</v>
      </c>
      <c r="J203" s="49">
        <v>9.9979426999342176E-10</v>
      </c>
      <c r="K203" s="49">
        <v>1.1267777490876275E-10</v>
      </c>
      <c r="L203" s="152">
        <v>6.8285471480845132E-10</v>
      </c>
      <c r="M203" s="33"/>
      <c r="R203" s="60">
        <v>1223.3607034360855</v>
      </c>
      <c r="S203" s="57">
        <v>2.843332413019509E-6</v>
      </c>
      <c r="U203" s="127">
        <v>1.6001002994605012E-9</v>
      </c>
      <c r="V203" s="127">
        <v>6.8285471480845132E-10</v>
      </c>
      <c r="W203" s="127">
        <v>2.7411999862655715E-10</v>
      </c>
      <c r="X203" s="128">
        <f t="shared" si="6"/>
        <v>8.0998243192599028E-10</v>
      </c>
      <c r="Y203" s="139">
        <f t="shared" si="7"/>
        <v>2.8377234237817404</v>
      </c>
      <c r="AA203" s="73"/>
      <c r="AB203" s="176"/>
      <c r="AC203" s="176"/>
      <c r="AD203" s="176"/>
      <c r="AJ203" s="135"/>
    </row>
    <row r="204" spans="9:36" x14ac:dyDescent="0.35">
      <c r="I204" s="109">
        <v>6.1676860548700002E-2</v>
      </c>
      <c r="J204" s="49">
        <v>8.6204803269546093E-10</v>
      </c>
      <c r="K204" s="49">
        <v>1.0065254390590016E-10</v>
      </c>
      <c r="L204" s="152">
        <v>3.2996442248585947E-10</v>
      </c>
      <c r="M204" s="33"/>
      <c r="R204" s="60">
        <v>1223.6658192957518</v>
      </c>
      <c r="S204" s="57">
        <v>2.843332413019509E-6</v>
      </c>
      <c r="U204" s="127">
        <v>1.1633260642136388E-9</v>
      </c>
      <c r="V204" s="127">
        <v>3.2996442248585947E-10</v>
      </c>
      <c r="W204" s="127">
        <v>5.3172302098216708E-10</v>
      </c>
      <c r="X204" s="128">
        <f t="shared" si="6"/>
        <v>5.8874448254188123E-10</v>
      </c>
      <c r="Y204" s="139">
        <f t="shared" si="7"/>
        <v>7.3729456871049077</v>
      </c>
      <c r="AA204" s="73"/>
      <c r="AB204" s="176"/>
      <c r="AC204" s="176"/>
      <c r="AD204" s="176"/>
      <c r="AJ204" s="135"/>
    </row>
    <row r="205" spans="9:36" x14ac:dyDescent="0.35">
      <c r="I205" s="109">
        <v>6.2293629154200003E-2</v>
      </c>
      <c r="J205" s="49">
        <v>7.6499363599272512E-10</v>
      </c>
      <c r="K205" s="49">
        <v>9.8923313759958383E-11</v>
      </c>
      <c r="L205" s="152">
        <v>2.820989744310471E-10</v>
      </c>
      <c r="M205" s="33"/>
      <c r="R205" s="60">
        <v>1223.6658192957518</v>
      </c>
      <c r="S205" s="57">
        <v>2.7863243235502217E-6</v>
      </c>
      <c r="U205" s="127">
        <v>6.6281625709993732E-10</v>
      </c>
      <c r="V205" s="127">
        <v>2.820989744310471E-10</v>
      </c>
      <c r="W205" s="127">
        <v>1.0194331685472859E-9</v>
      </c>
      <c r="X205" s="128">
        <f t="shared" si="6"/>
        <v>5.6161184362732938E-10</v>
      </c>
      <c r="Y205" s="139">
        <f t="shared" si="7"/>
        <v>4.2269472552806011</v>
      </c>
      <c r="AA205" s="73"/>
      <c r="AB205" s="176"/>
      <c r="AC205" s="176"/>
      <c r="AD205" s="176"/>
      <c r="AJ205" s="135"/>
    </row>
    <row r="206" spans="9:36" x14ac:dyDescent="0.35">
      <c r="I206" s="109">
        <v>6.2916565445699998E-2</v>
      </c>
      <c r="J206" s="49">
        <v>1.0015724231665523E-9</v>
      </c>
      <c r="K206" s="49">
        <v>1.1613199182642859E-10</v>
      </c>
      <c r="L206" s="152">
        <v>5.730202216683138E-10</v>
      </c>
      <c r="M206" s="33"/>
      <c r="R206" s="60">
        <v>1223.9547147786216</v>
      </c>
      <c r="S206" s="57">
        <v>2.7863243235502217E-6</v>
      </c>
      <c r="U206" s="127">
        <v>3.1721118588517739E-10</v>
      </c>
      <c r="V206" s="127">
        <v>5.730202216683138E-10</v>
      </c>
      <c r="W206" s="127">
        <v>1.5164721282558113E-9</v>
      </c>
      <c r="X206" s="128">
        <f t="shared" si="6"/>
        <v>7.4493093936940411E-10</v>
      </c>
      <c r="Y206" s="139">
        <f t="shared" si="7"/>
        <v>4.8837111039193601</v>
      </c>
      <c r="AA206" s="73"/>
      <c r="AB206" s="176"/>
      <c r="AC206" s="176"/>
      <c r="AD206" s="176"/>
      <c r="AJ206" s="135"/>
    </row>
    <row r="207" spans="9:36" x14ac:dyDescent="0.35">
      <c r="I207" s="109">
        <v>6.3545731100199995E-2</v>
      </c>
      <c r="J207" s="49">
        <v>1.0502037090741751E-9</v>
      </c>
      <c r="K207" s="49">
        <v>1.2888225032738071E-10</v>
      </c>
      <c r="L207" s="152">
        <v>1.08108455601998E-9</v>
      </c>
      <c r="M207" s="33"/>
      <c r="R207" s="60">
        <v>1223.9547147786216</v>
      </c>
      <c r="S207" s="57">
        <v>2.7292678628374288E-6</v>
      </c>
      <c r="U207" s="127">
        <v>2.8770471811378102E-10</v>
      </c>
      <c r="V207" s="127">
        <v>1.08108455601998E-9</v>
      </c>
      <c r="W207" s="127">
        <v>1.786122240894271E-9</v>
      </c>
      <c r="X207" s="128">
        <f t="shared" si="6"/>
        <v>1.058999017762003E-9</v>
      </c>
      <c r="Y207" s="139">
        <f t="shared" si="7"/>
        <v>4.6571041671887433E-3</v>
      </c>
      <c r="AA207" s="73"/>
      <c r="AB207" s="176"/>
      <c r="AC207" s="176"/>
      <c r="AD207" s="176"/>
      <c r="AJ207" s="135"/>
    </row>
    <row r="208" spans="9:36" x14ac:dyDescent="0.35">
      <c r="I208" s="109">
        <v>6.4181188411200005E-2</v>
      </c>
      <c r="J208" s="49">
        <v>9.374828587686189E-10</v>
      </c>
      <c r="K208" s="49">
        <v>1.2188474614983075E-10</v>
      </c>
      <c r="L208" s="152">
        <v>1.5756554370559369E-9</v>
      </c>
      <c r="M208" s="33"/>
      <c r="R208" s="60">
        <v>1224.2337326042539</v>
      </c>
      <c r="S208" s="57">
        <v>2.7292678628374288E-6</v>
      </c>
      <c r="U208" s="127">
        <v>6.0022286472319752E-10</v>
      </c>
      <c r="V208" s="127">
        <v>1.5756554370559369E-9</v>
      </c>
      <c r="W208" s="127">
        <v>1.6910622930226383E-9</v>
      </c>
      <c r="X208" s="128">
        <f t="shared" si="6"/>
        <v>1.3606490079644274E-9</v>
      </c>
      <c r="Y208" s="139">
        <f t="shared" si="7"/>
        <v>12.053776221069851</v>
      </c>
      <c r="AA208" s="73"/>
      <c r="AB208" s="176"/>
      <c r="AC208" s="176"/>
      <c r="AD208" s="176"/>
      <c r="AJ208" s="135"/>
    </row>
    <row r="209" spans="9:36" x14ac:dyDescent="0.35">
      <c r="I209" s="109">
        <v>6.4823000295299998E-2</v>
      </c>
      <c r="J209" s="49">
        <v>1.3257658248383579E-9</v>
      </c>
      <c r="K209" s="49">
        <v>1.4495683861645326E-10</v>
      </c>
      <c r="L209" s="152">
        <v>1.8206430790278464E-9</v>
      </c>
      <c r="M209" s="33"/>
      <c r="R209" s="60">
        <v>1224.2337326042539</v>
      </c>
      <c r="S209" s="57">
        <v>2.6722002402748233E-6</v>
      </c>
      <c r="U209" s="127">
        <v>1.1234947212452035E-9</v>
      </c>
      <c r="V209" s="127">
        <v>1.8206430790278464E-9</v>
      </c>
      <c r="W209" s="127">
        <v>1.2693494273477137E-9</v>
      </c>
      <c r="X209" s="128">
        <f t="shared" si="6"/>
        <v>1.5085325766621526E-9</v>
      </c>
      <c r="Y209" s="139">
        <f t="shared" si="7"/>
        <v>1.5897065708398155</v>
      </c>
      <c r="AA209" s="73"/>
      <c r="AB209" s="176"/>
      <c r="AC209" s="176"/>
      <c r="AD209" s="176"/>
      <c r="AJ209" s="135"/>
    </row>
    <row r="210" spans="9:36" x14ac:dyDescent="0.35">
      <c r="I210" s="109">
        <v>6.5471230298199998E-2</v>
      </c>
      <c r="J210" s="49">
        <v>1.3834888744737626E-9</v>
      </c>
      <c r="K210" s="49">
        <v>1.4753503766356148E-10</v>
      </c>
      <c r="L210" s="153">
        <v>1.6902867377059518E-9</v>
      </c>
      <c r="M210" s="18"/>
      <c r="R210" s="60">
        <v>1224.5080634029832</v>
      </c>
      <c r="S210" s="57">
        <v>2.6722002402748233E-6</v>
      </c>
      <c r="U210" s="127">
        <v>1.6198532490347997E-9</v>
      </c>
      <c r="V210" s="127">
        <v>1.6902867377059518E-9</v>
      </c>
      <c r="W210" s="127">
        <v>7.275696043230115E-10</v>
      </c>
      <c r="X210" s="128">
        <f t="shared" si="6"/>
        <v>1.4319990821924286E-9</v>
      </c>
      <c r="Y210" s="139">
        <f t="shared" si="7"/>
        <v>0.1081125036425829</v>
      </c>
      <c r="AA210" s="73"/>
      <c r="AB210" s="176"/>
      <c r="AC210" s="176"/>
      <c r="AD210" s="176"/>
      <c r="AJ210" s="135"/>
    </row>
    <row r="211" spans="9:36" x14ac:dyDescent="0.35">
      <c r="I211" s="49">
        <v>6.61259426012E-2</v>
      </c>
      <c r="J211" s="49">
        <v>1.1332766237076302E-9</v>
      </c>
      <c r="K211" s="49">
        <v>1.398105863470217E-10</v>
      </c>
      <c r="L211" s="153">
        <v>1.2401285975775165E-9</v>
      </c>
      <c r="M211" s="18"/>
      <c r="R211" s="60">
        <v>1224.5080634029832</v>
      </c>
      <c r="S211" s="57">
        <v>2.6151313739544862E-6</v>
      </c>
      <c r="U211" s="127">
        <v>1.8522742253648497E-9</v>
      </c>
      <c r="V211" s="127">
        <v>1.2401285975775165E-9</v>
      </c>
      <c r="W211" s="127">
        <v>3.4541408874900117E-10</v>
      </c>
      <c r="X211" s="128">
        <f t="shared" si="6"/>
        <v>1.1694863773172211E-9</v>
      </c>
      <c r="Y211" s="139">
        <f t="shared" si="7"/>
        <v>6.7076597574989891E-2</v>
      </c>
      <c r="AA211" s="73"/>
      <c r="AB211" s="176"/>
      <c r="AC211" s="176"/>
      <c r="AD211" s="176"/>
      <c r="AJ211" s="135"/>
    </row>
    <row r="212" spans="9:36" x14ac:dyDescent="0.35">
      <c r="I212" s="49">
        <v>6.6787202027199996E-2</v>
      </c>
      <c r="J212" s="49">
        <v>9.6273388338241159E-10</v>
      </c>
      <c r="K212" s="49">
        <v>1.3066277467587271E-10</v>
      </c>
      <c r="L212" s="153">
        <v>6.9165555435812151E-10</v>
      </c>
      <c r="M212" s="18"/>
      <c r="R212" s="60">
        <v>1224.7823942017126</v>
      </c>
      <c r="S212" s="57">
        <v>2.6151313739544862E-6</v>
      </c>
      <c r="U212" s="127">
        <v>1.7009738685537333E-9</v>
      </c>
      <c r="V212" s="127">
        <v>6.9165555435812151E-10</v>
      </c>
      <c r="W212" s="127">
        <v>3.3263223330981363E-10</v>
      </c>
      <c r="X212" s="128">
        <f t="shared" si="6"/>
        <v>8.5422930264494748E-10</v>
      </c>
      <c r="Y212" s="139">
        <f t="shared" si="7"/>
        <v>0.68959228431454656</v>
      </c>
      <c r="AA212" s="73"/>
      <c r="AB212" s="176"/>
      <c r="AC212" s="176"/>
      <c r="AD212" s="176"/>
      <c r="AJ212" s="135"/>
    </row>
    <row r="213" spans="9:36" x14ac:dyDescent="0.35">
      <c r="I213" s="49">
        <v>6.7455074047499994E-2</v>
      </c>
      <c r="J213" s="49">
        <v>9.580838920431289E-10</v>
      </c>
      <c r="K213" s="49">
        <v>1.3074370311675582E-10</v>
      </c>
      <c r="L213" s="153">
        <v>3.2892757972811457E-10</v>
      </c>
      <c r="M213" s="18"/>
      <c r="R213" s="60">
        <v>1224.7823942017126</v>
      </c>
      <c r="S213" s="57">
        <v>2.5580637513918807E-6</v>
      </c>
      <c r="U213" s="127">
        <v>1.2318390581464515E-9</v>
      </c>
      <c r="V213" s="127">
        <v>3.2892757972811457E-10</v>
      </c>
      <c r="W213" s="127">
        <v>7.1080258533187262E-10</v>
      </c>
      <c r="X213" s="128">
        <f t="shared" si="6"/>
        <v>6.5012420073363829E-10</v>
      </c>
      <c r="Y213" s="139">
        <f t="shared" si="7"/>
        <v>5.5481243736233834</v>
      </c>
      <c r="AA213" s="73"/>
      <c r="AB213" s="176"/>
      <c r="AC213" s="176"/>
      <c r="AD213" s="176"/>
      <c r="AJ213" s="135"/>
    </row>
    <row r="214" spans="9:36" x14ac:dyDescent="0.35">
      <c r="I214" s="49">
        <v>6.8129624787999998E-2</v>
      </c>
      <c r="J214" s="49">
        <v>8.3333272488477508E-10</v>
      </c>
      <c r="K214" s="49">
        <v>1.2813916221257506E-10</v>
      </c>
      <c r="L214" s="153">
        <v>3.5245625503193714E-10</v>
      </c>
      <c r="M214" s="18"/>
      <c r="R214" s="60">
        <v>1225.0614120273449</v>
      </c>
      <c r="S214" s="57">
        <v>2.5580637513918807E-6</v>
      </c>
      <c r="U214" s="127">
        <v>6.7611637830897435E-10</v>
      </c>
      <c r="V214" s="127">
        <v>3.5245625503193714E-10</v>
      </c>
      <c r="W214" s="127">
        <v>1.2881875642516994E-9</v>
      </c>
      <c r="X214" s="128">
        <f t="shared" si="6"/>
        <v>6.6730411315613706E-10</v>
      </c>
      <c r="Y214" s="139">
        <f t="shared" si="7"/>
        <v>1.6788121846083119</v>
      </c>
      <c r="AA214" s="73"/>
      <c r="AB214" s="176"/>
      <c r="AC214" s="176"/>
      <c r="AD214" s="176"/>
      <c r="AJ214" s="135"/>
    </row>
    <row r="215" spans="9:36" x14ac:dyDescent="0.35">
      <c r="I215" s="49">
        <v>6.8810921035900002E-2</v>
      </c>
      <c r="J215" s="49">
        <v>8.8678328349109524E-10</v>
      </c>
      <c r="K215" s="49">
        <v>1.377976837742168E-10</v>
      </c>
      <c r="L215" s="153">
        <v>7.6500250348115871E-10</v>
      </c>
      <c r="M215" s="18"/>
      <c r="R215" s="60">
        <v>1225.0614120273449</v>
      </c>
      <c r="S215" s="57">
        <v>2.5010072906790877E-6</v>
      </c>
      <c r="U215" s="127">
        <v>3.2199585042627837E-10</v>
      </c>
      <c r="V215" s="127">
        <v>7.6500250348115871E-10</v>
      </c>
      <c r="W215" s="127">
        <v>1.7521838149271485E-9</v>
      </c>
      <c r="X215" s="128">
        <f t="shared" si="6"/>
        <v>9.010461680789361E-10</v>
      </c>
      <c r="Y215" s="139">
        <f t="shared" si="7"/>
        <v>1.0713488327008195E-2</v>
      </c>
      <c r="AA215" s="73"/>
      <c r="AB215" s="176"/>
      <c r="AC215" s="176"/>
      <c r="AD215" s="176"/>
      <c r="AJ215" s="135"/>
    </row>
    <row r="216" spans="9:36" x14ac:dyDescent="0.35">
      <c r="I216" s="49">
        <v>6.9499030246199994E-2</v>
      </c>
      <c r="J216" s="49">
        <v>1.3447118228690415E-9</v>
      </c>
      <c r="K216" s="49">
        <v>1.5707850117941819E-10</v>
      </c>
      <c r="L216" s="153">
        <v>1.3561204671829615E-9</v>
      </c>
      <c r="M216" s="18"/>
      <c r="R216" s="60">
        <v>1225.3503075102146</v>
      </c>
      <c r="S216" s="57">
        <v>2.5010072906790877E-6</v>
      </c>
      <c r="U216" s="127">
        <v>3.6600237430661824E-10</v>
      </c>
      <c r="V216" s="127">
        <v>1.3561204671829615E-9</v>
      </c>
      <c r="W216" s="127">
        <v>1.8392484855934359E-9</v>
      </c>
      <c r="X216" s="128">
        <f t="shared" si="6"/>
        <v>1.2293729485664943E-9</v>
      </c>
      <c r="Y216" s="139">
        <f t="shared" si="7"/>
        <v>0.53916031646422025</v>
      </c>
      <c r="AA216" s="73"/>
      <c r="AB216" s="176"/>
      <c r="AC216" s="176"/>
      <c r="AD216" s="176"/>
      <c r="AJ216" s="135"/>
    </row>
    <row r="217" spans="9:36" x14ac:dyDescent="0.35">
      <c r="I217" s="49">
        <v>7.0194020548699998E-2</v>
      </c>
      <c r="J217" s="49">
        <v>1.3441698517118171E-9</v>
      </c>
      <c r="K217" s="49">
        <v>1.5672733783528193E-10</v>
      </c>
      <c r="L217" s="153">
        <v>1.8051154720920272E-9</v>
      </c>
      <c r="M217" s="18"/>
      <c r="R217" s="60">
        <v>1225.3503075102146</v>
      </c>
      <c r="S217" s="57">
        <v>2.4439992012098005E-6</v>
      </c>
      <c r="U217" s="127">
        <v>8.0045235194098188E-10</v>
      </c>
      <c r="V217" s="127">
        <v>1.8051154720920272E-9</v>
      </c>
      <c r="W217" s="127">
        <v>1.4914722404328912E-9</v>
      </c>
      <c r="X217" s="128">
        <f t="shared" si="6"/>
        <v>1.4755388841394819E-9</v>
      </c>
      <c r="Y217" s="139">
        <f t="shared" si="7"/>
        <v>0.70258114237945735</v>
      </c>
      <c r="AA217" s="73"/>
      <c r="AB217" s="176"/>
      <c r="AC217" s="176"/>
      <c r="AD217" s="176"/>
      <c r="AJ217" s="135"/>
    </row>
    <row r="218" spans="9:36" x14ac:dyDescent="0.35">
      <c r="I218" s="49">
        <v>7.0895960754200002E-2</v>
      </c>
      <c r="J218" s="49">
        <v>1.4218567003406095E-9</v>
      </c>
      <c r="K218" s="49">
        <v>1.7428149538058229E-10</v>
      </c>
      <c r="L218" s="153">
        <v>1.8563443525248257E-9</v>
      </c>
      <c r="M218" s="18"/>
      <c r="R218" s="60">
        <v>1225.655423369881</v>
      </c>
      <c r="S218" s="57">
        <v>2.4439992012098005E-6</v>
      </c>
      <c r="U218" s="127">
        <v>1.4033006785476988E-9</v>
      </c>
      <c r="V218" s="127">
        <v>1.8563443525248257E-9</v>
      </c>
      <c r="W218" s="127">
        <v>9.0512775070358201E-10</v>
      </c>
      <c r="X218" s="128">
        <f t="shared" si="6"/>
        <v>1.5052792835752331E-9</v>
      </c>
      <c r="Y218" s="139">
        <f t="shared" si="7"/>
        <v>0.22912090317366865</v>
      </c>
      <c r="AA218" s="73"/>
      <c r="AB218" s="176"/>
      <c r="AC218" s="176"/>
      <c r="AD218" s="176"/>
      <c r="AJ218" s="135"/>
    </row>
    <row r="219" spans="9:36" x14ac:dyDescent="0.35">
      <c r="I219" s="49">
        <v>7.1604920361700006E-2</v>
      </c>
      <c r="J219" s="49">
        <v>1.5494858920551874E-9</v>
      </c>
      <c r="K219" s="49">
        <v>1.8704770917249927E-10</v>
      </c>
      <c r="L219" s="153">
        <v>1.4723130365187384E-9</v>
      </c>
      <c r="M219" s="18"/>
      <c r="R219" s="60">
        <v>1225.655423369881</v>
      </c>
      <c r="S219" s="57">
        <v>2.3871307530099764E-6</v>
      </c>
      <c r="U219" s="127">
        <v>1.8474480832953976E-9</v>
      </c>
      <c r="V219" s="127">
        <v>1.4723130365187384E-9</v>
      </c>
      <c r="W219" s="127">
        <v>4.2990860111968867E-10</v>
      </c>
      <c r="X219" s="128">
        <f t="shared" si="6"/>
        <v>1.3054956893631407E-9</v>
      </c>
      <c r="Y219" s="139">
        <f t="shared" si="7"/>
        <v>1.7015314798340424</v>
      </c>
      <c r="AA219" s="73"/>
      <c r="AB219" s="176"/>
      <c r="AC219" s="176"/>
      <c r="AD219" s="176"/>
      <c r="AJ219" s="135"/>
    </row>
    <row r="220" spans="9:36" x14ac:dyDescent="0.35">
      <c r="I220" s="49">
        <v>7.23209695653E-2</v>
      </c>
      <c r="J220" s="49">
        <v>1.0679767742545493E-9</v>
      </c>
      <c r="K220" s="49">
        <v>1.4867873675802763E-10</v>
      </c>
      <c r="L220" s="153">
        <v>8.7098902415543992E-10</v>
      </c>
      <c r="M220" s="18"/>
      <c r="R220" s="60">
        <v>1225.9852782195685</v>
      </c>
      <c r="S220" s="57">
        <v>2.3871307530099764E-6</v>
      </c>
      <c r="U220" s="127">
        <v>1.8799412466492936E-9</v>
      </c>
      <c r="V220" s="127">
        <v>8.7098902415543992E-10</v>
      </c>
      <c r="W220" s="127">
        <v>3.6473123304826307E-10</v>
      </c>
      <c r="X220" s="128">
        <f t="shared" si="6"/>
        <v>9.9666263200210907E-10</v>
      </c>
      <c r="Y220" s="139">
        <f t="shared" si="7"/>
        <v>0.23006661411708454</v>
      </c>
      <c r="AA220" s="73"/>
      <c r="AB220" s="176"/>
      <c r="AC220" s="176"/>
      <c r="AD220" s="176"/>
      <c r="AJ220" s="135"/>
    </row>
    <row r="221" spans="9:36" x14ac:dyDescent="0.35">
      <c r="I221" s="49">
        <v>7.3044179261E-2</v>
      </c>
      <c r="J221" s="49">
        <v>8.055702663333198E-10</v>
      </c>
      <c r="K221" s="49">
        <v>1.5222492071214428E-10</v>
      </c>
      <c r="L221" s="153">
        <v>4.1200988486537921E-10</v>
      </c>
      <c r="M221" s="18"/>
      <c r="R221" s="60">
        <v>1225.9852782195685</v>
      </c>
      <c r="S221" s="57">
        <v>2.3305916818712153E-6</v>
      </c>
      <c r="U221" s="127">
        <v>1.4740339098777836E-9</v>
      </c>
      <c r="V221" s="127">
        <v>4.1200988486537921E-10</v>
      </c>
      <c r="W221" s="127">
        <v>7.6727980322046249E-10</v>
      </c>
      <c r="X221" s="128">
        <f t="shared" si="6"/>
        <v>7.6633337070725111E-10</v>
      </c>
      <c r="Y221" s="139">
        <f t="shared" si="7"/>
        <v>6.6438185889302268E-2</v>
      </c>
      <c r="AA221" s="73"/>
      <c r="AB221" s="176"/>
      <c r="AC221" s="176"/>
      <c r="AD221" s="176"/>
      <c r="AJ221" s="135"/>
    </row>
    <row r="222" spans="9:36" x14ac:dyDescent="0.35">
      <c r="I222" s="49">
        <v>7.3774621053599998E-2</v>
      </c>
      <c r="J222" s="49">
        <v>8.854425269567867E-10</v>
      </c>
      <c r="K222" s="49">
        <v>1.5397934977377408E-10</v>
      </c>
      <c r="L222" s="153">
        <v>3.8553646791639189E-10</v>
      </c>
      <c r="M222" s="18"/>
      <c r="R222" s="60">
        <v>1226.352459628825</v>
      </c>
      <c r="S222" s="57">
        <v>2.3305916818712153E-6</v>
      </c>
      <c r="U222" s="127">
        <v>8.6065895489033736E-10</v>
      </c>
      <c r="V222" s="127">
        <v>3.8553646791639189E-10</v>
      </c>
      <c r="W222" s="127">
        <v>1.4008415694070745E-9</v>
      </c>
      <c r="X222" s="128">
        <f t="shared" si="6"/>
        <v>7.5814336503254897E-10</v>
      </c>
      <c r="Y222" s="139">
        <f t="shared" si="7"/>
        <v>0.68348049651849707</v>
      </c>
      <c r="AA222" s="73"/>
      <c r="AB222" s="176"/>
      <c r="AC222" s="176"/>
      <c r="AD222" s="176"/>
      <c r="AJ222" s="135"/>
    </row>
    <row r="223" spans="9:36" x14ac:dyDescent="0.35">
      <c r="I223" s="49">
        <v>7.4512367264100002E-2</v>
      </c>
      <c r="J223" s="49">
        <v>1.024225793720093E-9</v>
      </c>
      <c r="K223" s="49">
        <v>1.6192085744771905E-10</v>
      </c>
      <c r="L223" s="153">
        <v>8.2599393641293389E-10</v>
      </c>
      <c r="M223" s="18"/>
      <c r="R223" s="60">
        <v>1226.352459628825</v>
      </c>
      <c r="S223" s="57">
        <v>2.2747522342375245E-6</v>
      </c>
      <c r="U223" s="127">
        <v>4.0703023063399995E-10</v>
      </c>
      <c r="V223" s="127">
        <v>8.2599393641293389E-10</v>
      </c>
      <c r="W223" s="127">
        <v>1.8679579784515339E-9</v>
      </c>
      <c r="X223" s="128">
        <f t="shared" si="6"/>
        <v>9.8174402047785033E-10</v>
      </c>
      <c r="Y223" s="139">
        <f t="shared" si="7"/>
        <v>6.8833473077586554E-2</v>
      </c>
      <c r="AA223" s="73"/>
      <c r="AB223" s="176"/>
      <c r="AC223" s="176"/>
      <c r="AD223" s="176"/>
      <c r="AJ223" s="135"/>
    </row>
    <row r="224" spans="9:36" x14ac:dyDescent="0.35">
      <c r="I224" s="49">
        <v>7.5257490936799995E-2</v>
      </c>
      <c r="J224" s="49">
        <v>1.1741764508551586E-9</v>
      </c>
      <c r="K224" s="49">
        <v>1.6982286432630555E-10</v>
      </c>
      <c r="L224" s="153">
        <v>1.4727754849875176E-9</v>
      </c>
      <c r="M224" s="18"/>
      <c r="R224" s="60">
        <v>1226.7776814568438</v>
      </c>
      <c r="S224" s="57">
        <v>2.2747522342375245E-6</v>
      </c>
      <c r="U224" s="127">
        <v>4.006015805383354E-10</v>
      </c>
      <c r="V224" s="127">
        <v>1.4727754849875176E-9</v>
      </c>
      <c r="W224" s="127">
        <v>1.862174311629377E-9</v>
      </c>
      <c r="X224" s="128">
        <f t="shared" si="6"/>
        <v>1.3020817155356869E-9</v>
      </c>
      <c r="Y224" s="139">
        <f t="shared" si="7"/>
        <v>0.5672630793557718</v>
      </c>
      <c r="AA224" s="73"/>
      <c r="AB224" s="176"/>
      <c r="AC224" s="176"/>
      <c r="AD224" s="176"/>
      <c r="AJ224" s="135"/>
    </row>
    <row r="225" spans="9:36" x14ac:dyDescent="0.35">
      <c r="I225" s="49">
        <v>7.6010065846099997E-2</v>
      </c>
      <c r="J225" s="49">
        <v>9.502859226330148E-10</v>
      </c>
      <c r="K225" s="49">
        <v>1.610175004343846E-10</v>
      </c>
      <c r="L225" s="153">
        <v>1.9194080270425375E-9</v>
      </c>
      <c r="M225" s="18"/>
      <c r="R225" s="60">
        <v>1226.7776814568438</v>
      </c>
      <c r="S225" s="57">
        <v>2.220329220724684E-6</v>
      </c>
      <c r="U225" s="127">
        <v>8.6393035897631776E-10</v>
      </c>
      <c r="V225" s="127">
        <v>1.9194080270425375E-9</v>
      </c>
      <c r="W225" s="127">
        <v>1.3802769080477394E-9</v>
      </c>
      <c r="X225" s="128">
        <f t="shared" si="6"/>
        <v>1.5207558302772832E-9</v>
      </c>
      <c r="Y225" s="139">
        <f t="shared" si="7"/>
        <v>12.552184652102579</v>
      </c>
      <c r="AA225" s="73"/>
      <c r="AB225" s="176"/>
      <c r="AC225" s="176"/>
      <c r="AD225" s="176"/>
      <c r="AJ225" s="135"/>
    </row>
    <row r="226" spans="9:36" x14ac:dyDescent="0.35">
      <c r="I226" s="49">
        <v>7.6770166504600001E-2</v>
      </c>
      <c r="J226" s="49">
        <v>1.1049930273717399E-9</v>
      </c>
      <c r="K226" s="49">
        <v>1.7375355847594734E-10</v>
      </c>
      <c r="L226" s="153">
        <v>1.8722990612560297E-9</v>
      </c>
      <c r="M226" s="18"/>
      <c r="R226" s="60">
        <v>1227.3002041667105</v>
      </c>
      <c r="S226" s="57">
        <v>2.220329220724684E-6</v>
      </c>
      <c r="U226" s="127">
        <v>1.5223727643083962E-9</v>
      </c>
      <c r="V226" s="127">
        <v>1.8722990612560297E-9</v>
      </c>
      <c r="W226" s="127">
        <v>7.4468652428554143E-10</v>
      </c>
      <c r="X226" s="128">
        <f t="shared" si="6"/>
        <v>1.5029143527764994E-9</v>
      </c>
      <c r="Y226" s="139">
        <f t="shared" si="7"/>
        <v>5.2447768329912359</v>
      </c>
      <c r="AA226" s="73"/>
      <c r="AB226" s="176"/>
      <c r="AC226" s="176"/>
      <c r="AD226" s="176"/>
      <c r="AJ226" s="135"/>
    </row>
    <row r="227" spans="9:36" x14ac:dyDescent="0.35">
      <c r="I227" s="49">
        <v>7.7537868169599997E-2</v>
      </c>
      <c r="J227" s="49">
        <v>1.490161475556214E-9</v>
      </c>
      <c r="K227" s="49">
        <v>2.0226451662557938E-10</v>
      </c>
      <c r="L227" s="153">
        <v>1.3557798741830926E-9</v>
      </c>
      <c r="M227" s="18"/>
      <c r="R227" s="60">
        <v>1227.3002041667105</v>
      </c>
      <c r="S227" s="57">
        <v>2.168760543067683E-6</v>
      </c>
      <c r="U227" s="127">
        <v>1.9621434832614261E-9</v>
      </c>
      <c r="V227" s="127">
        <v>1.3557798741830926E-9</v>
      </c>
      <c r="W227" s="127">
        <v>4.0011033591086153E-10</v>
      </c>
      <c r="X227" s="128">
        <f t="shared" si="6"/>
        <v>1.2684533918846182E-9</v>
      </c>
      <c r="Y227" s="139">
        <f t="shared" si="7"/>
        <v>1.2014996661129211</v>
      </c>
      <c r="AA227" s="73"/>
      <c r="AB227" s="176"/>
      <c r="AC227" s="176"/>
      <c r="AD227" s="176"/>
      <c r="AJ227" s="135"/>
    </row>
    <row r="228" spans="9:36" x14ac:dyDescent="0.35">
      <c r="I228" s="49">
        <v>7.8313246851300006E-2</v>
      </c>
      <c r="J228" s="49">
        <v>1.153551215031829E-9</v>
      </c>
      <c r="K228" s="49">
        <v>1.8755989756695803E-10</v>
      </c>
      <c r="L228" s="153">
        <v>7.1654538492834805E-10</v>
      </c>
      <c r="M228" s="18"/>
      <c r="R228" s="60">
        <v>1228.0133813547341</v>
      </c>
      <c r="S228" s="57">
        <v>2.168760543067683E-6</v>
      </c>
      <c r="U228" s="127">
        <v>1.8941917209047717E-9</v>
      </c>
      <c r="V228" s="127">
        <v>7.1654538492834805E-10</v>
      </c>
      <c r="W228" s="127">
        <v>6.0568781852588062E-10</v>
      </c>
      <c r="X228" s="128">
        <f t="shared" si="6"/>
        <v>9.8324257732183704E-10</v>
      </c>
      <c r="Y228" s="139">
        <f t="shared" si="7"/>
        <v>0.82450515699833371</v>
      </c>
      <c r="AA228" s="73"/>
      <c r="AB228" s="176"/>
      <c r="AC228" s="176"/>
      <c r="AD228" s="176"/>
      <c r="AJ228" s="135"/>
    </row>
    <row r="229" spans="9:36" x14ac:dyDescent="0.35">
      <c r="I229" s="49">
        <v>7.90963793198E-2</v>
      </c>
      <c r="J229" s="49">
        <v>9.8208247217748806E-10</v>
      </c>
      <c r="K229" s="49">
        <v>1.707990129270578E-10</v>
      </c>
      <c r="L229" s="153">
        <v>4.030698582084979E-10</v>
      </c>
      <c r="M229" s="18"/>
      <c r="R229" s="60">
        <v>1228.0133813547341</v>
      </c>
      <c r="S229" s="57">
        <v>2.1231871507359412E-6</v>
      </c>
      <c r="U229" s="127">
        <v>1.3568308175845026E-9</v>
      </c>
      <c r="V229" s="127">
        <v>4.030698582084979E-10</v>
      </c>
      <c r="W229" s="127">
        <v>1.2354229128170093E-9</v>
      </c>
      <c r="X229" s="128">
        <f t="shared" si="6"/>
        <v>8.495983617046269E-10</v>
      </c>
      <c r="Y229" s="139">
        <f t="shared" si="7"/>
        <v>0.6016679464071244</v>
      </c>
      <c r="AA229" s="73"/>
      <c r="AB229" s="176"/>
      <c r="AC229" s="176"/>
      <c r="AD229" s="176"/>
      <c r="AJ229" s="135"/>
    </row>
    <row r="230" spans="9:36" x14ac:dyDescent="0.35">
      <c r="I230" s="49">
        <v>7.9887343112999998E-2</v>
      </c>
      <c r="J230" s="49">
        <v>1.4758675565048272E-9</v>
      </c>
      <c r="K230" s="49">
        <v>2.0082384667514662E-10</v>
      </c>
      <c r="L230" s="153">
        <v>6.5368057426440021E-10</v>
      </c>
      <c r="M230" s="27"/>
      <c r="R230" s="60">
        <v>1229.294970230108</v>
      </c>
      <c r="S230" s="57">
        <v>2.1231871507359412E-6</v>
      </c>
      <c r="U230" s="127">
        <v>7.1117470389088543E-10</v>
      </c>
      <c r="V230" s="127">
        <v>6.5368057426440021E-10</v>
      </c>
      <c r="W230" s="127">
        <v>1.84599759468235E-9</v>
      </c>
      <c r="X230" s="128">
        <f t="shared" si="6"/>
        <v>9.6613336177550899E-10</v>
      </c>
      <c r="Y230" s="139">
        <f t="shared" si="7"/>
        <v>6.442537781084444</v>
      </c>
      <c r="AA230" s="73"/>
      <c r="AB230" s="176"/>
      <c r="AC230" s="176"/>
      <c r="AD230" s="176"/>
      <c r="AJ230" s="135"/>
    </row>
    <row r="231" spans="9:36" x14ac:dyDescent="0.35">
      <c r="I231" s="49">
        <v>8.0686216544199996E-2</v>
      </c>
      <c r="J231" s="49">
        <v>1.5171799492356282E-9</v>
      </c>
      <c r="K231" s="49">
        <v>2.0947472364920828E-10</v>
      </c>
      <c r="L231" s="153">
        <v>1.3104755758608246E-9</v>
      </c>
      <c r="M231" s="27"/>
      <c r="R231" s="60">
        <v>1229.294970230108</v>
      </c>
      <c r="S231" s="57">
        <v>2.0916844462791197E-6</v>
      </c>
      <c r="U231" s="127">
        <v>4.1061228301265695E-10</v>
      </c>
      <c r="V231" s="127">
        <v>1.3104755758608246E-9</v>
      </c>
      <c r="W231" s="127">
        <v>1.9887371449244767E-9</v>
      </c>
      <c r="X231" s="128">
        <f t="shared" si="6"/>
        <v>1.2550751449146957E-9</v>
      </c>
      <c r="Y231" s="139">
        <f t="shared" si="7"/>
        <v>1.5656212624761954</v>
      </c>
      <c r="AA231" s="73"/>
      <c r="AB231" s="176"/>
      <c r="AC231" s="176"/>
      <c r="AD231" s="176"/>
      <c r="AJ231" s="135"/>
    </row>
    <row r="232" spans="9:36" x14ac:dyDescent="0.35">
      <c r="I232" s="49">
        <v>8.14930787096E-2</v>
      </c>
      <c r="J232" s="49">
        <v>9.6630771111602017E-10</v>
      </c>
      <c r="K232" s="49">
        <v>1.9357647969546899E-10</v>
      </c>
      <c r="L232" s="153">
        <v>1.9100204042863309E-9</v>
      </c>
      <c r="M232" s="27"/>
      <c r="R232" s="60">
        <v>1231.0160518181822</v>
      </c>
      <c r="S232" s="57">
        <v>2.0916844462791197E-6</v>
      </c>
      <c r="U232" s="127">
        <v>6.8495151629733583E-10</v>
      </c>
      <c r="V232" s="127">
        <v>1.9100204042863309E-9</v>
      </c>
      <c r="W232" s="127">
        <v>1.5517489109442898E-9</v>
      </c>
      <c r="X232" s="128">
        <f t="shared" si="6"/>
        <v>1.514185308953572E-9</v>
      </c>
      <c r="Y232" s="139">
        <f t="shared" si="7"/>
        <v>8.0105421601847215</v>
      </c>
      <c r="AA232" s="73"/>
      <c r="AB232" s="176"/>
      <c r="AC232" s="176"/>
      <c r="AD232" s="176"/>
      <c r="AJ232" s="135"/>
    </row>
    <row r="233" spans="9:36" x14ac:dyDescent="0.35">
      <c r="I233" s="49">
        <v>8.2308009496700002E-2</v>
      </c>
      <c r="J233" s="49">
        <v>1.3252571243547649E-9</v>
      </c>
      <c r="K233" s="49">
        <v>2.097286000579004E-10</v>
      </c>
      <c r="L233" s="153">
        <v>2.0112568986802811E-9</v>
      </c>
      <c r="M233" s="27"/>
      <c r="R233" s="60">
        <v>1231.0160518181822</v>
      </c>
      <c r="S233" s="57">
        <v>2.0873316142293096E-6</v>
      </c>
      <c r="U233" s="127">
        <v>1.3597879128560281E-9</v>
      </c>
      <c r="V233" s="127">
        <v>2.0112568986802811E-9</v>
      </c>
      <c r="W233" s="127">
        <v>8.6823840789997582E-10</v>
      </c>
      <c r="X233" s="128">
        <f t="shared" si="6"/>
        <v>1.5626350295291416E-9</v>
      </c>
      <c r="Y233" s="139">
        <f t="shared" si="7"/>
        <v>1.2810476083739846</v>
      </c>
      <c r="AA233" s="73"/>
      <c r="AB233" s="176"/>
      <c r="AC233" s="176"/>
      <c r="AD233" s="176"/>
      <c r="AJ233" s="135"/>
    </row>
    <row r="234" spans="9:36" x14ac:dyDescent="0.35">
      <c r="I234" s="49">
        <v>8.31310895917E-2</v>
      </c>
      <c r="J234" s="49">
        <v>1.7030195891084834E-9</v>
      </c>
      <c r="K234" s="49">
        <v>2.5478997696908639E-10</v>
      </c>
      <c r="L234" s="153">
        <v>1.5336185179287674E-9</v>
      </c>
      <c r="M234" s="27"/>
      <c r="R234" s="60">
        <v>1331.0160518181822</v>
      </c>
      <c r="S234" s="57">
        <v>2.0873316142293096E-6</v>
      </c>
      <c r="U234" s="127">
        <v>1.9588612579362905E-9</v>
      </c>
      <c r="V234" s="127">
        <v>1.5336185179287674E-9</v>
      </c>
      <c r="W234" s="127">
        <v>4.8091081033591705E-10</v>
      </c>
      <c r="X234" s="128">
        <f t="shared" si="6"/>
        <v>1.3767522760324357E-9</v>
      </c>
      <c r="Y234" s="139">
        <f t="shared" si="7"/>
        <v>1.6397681766131991</v>
      </c>
      <c r="AA234" s="73"/>
      <c r="AB234" s="176"/>
      <c r="AC234" s="176"/>
      <c r="AD234" s="176"/>
      <c r="AJ234" s="135"/>
    </row>
    <row r="235" spans="9:36" x14ac:dyDescent="0.35">
      <c r="I235" s="49">
        <v>8.3962400487599995E-2</v>
      </c>
      <c r="J235" s="49">
        <v>1.1789375167278106E-9</v>
      </c>
      <c r="K235" s="49">
        <v>2.2466504594003673E-10</v>
      </c>
      <c r="L235" s="153">
        <v>8.424093011850396E-10</v>
      </c>
      <c r="M235" s="27"/>
      <c r="U235" s="127">
        <v>2.0416692319143008E-9</v>
      </c>
      <c r="V235" s="127">
        <v>8.424093011850396E-10</v>
      </c>
      <c r="W235" s="127">
        <v>7.1792973400327443E-10</v>
      </c>
      <c r="X235" s="128">
        <f t="shared" si="6"/>
        <v>1.1111043920719135E-9</v>
      </c>
      <c r="Y235" s="139">
        <f t="shared" si="7"/>
        <v>9.1161744615783039E-2</v>
      </c>
      <c r="AA235" s="73"/>
      <c r="AB235" s="176"/>
      <c r="AC235" s="176"/>
      <c r="AD235" s="176"/>
      <c r="AJ235" s="135"/>
    </row>
    <row r="236" spans="9:36" x14ac:dyDescent="0.35">
      <c r="I236" s="49">
        <v>8.4802024492500003E-2</v>
      </c>
      <c r="J236" s="49">
        <v>1.2598178153497518E-9</v>
      </c>
      <c r="K236" s="49">
        <v>2.297995299388181E-10</v>
      </c>
      <c r="L236" s="153">
        <v>4.8770330068711898E-10</v>
      </c>
      <c r="M236" s="27"/>
      <c r="U236" s="127">
        <v>1.5417849473341071E-9</v>
      </c>
      <c r="V236" s="127">
        <v>4.8770330068711898E-10</v>
      </c>
      <c r="W236" s="127">
        <v>1.4105707066483461E-9</v>
      </c>
      <c r="X236" s="128">
        <f t="shared" si="6"/>
        <v>9.8194056383917273E-10</v>
      </c>
      <c r="Y236" s="139">
        <f t="shared" si="7"/>
        <v>1.462203156968046</v>
      </c>
      <c r="AA236" s="73"/>
      <c r="AB236" s="176"/>
      <c r="AC236" s="176"/>
      <c r="AD236" s="176"/>
      <c r="AJ236" s="135"/>
    </row>
    <row r="237" spans="9:36" x14ac:dyDescent="0.35">
      <c r="I237" s="49">
        <v>8.5650044737399997E-2</v>
      </c>
      <c r="J237" s="49">
        <v>1.1875469297165515E-9</v>
      </c>
      <c r="K237" s="49">
        <v>2.3095979821739314E-10</v>
      </c>
      <c r="L237" s="153">
        <v>7.727340112539186E-10</v>
      </c>
      <c r="M237" s="27"/>
      <c r="U237" s="127">
        <v>8.4196009249821278E-10</v>
      </c>
      <c r="V237" s="127">
        <v>7.727340112539186E-10</v>
      </c>
      <c r="W237" s="127">
        <v>2.0036020959596816E-9</v>
      </c>
      <c r="X237" s="128">
        <f t="shared" si="6"/>
        <v>1.0977575527414329E-9</v>
      </c>
      <c r="Y237" s="139">
        <f t="shared" si="7"/>
        <v>0.15113920495407246</v>
      </c>
      <c r="AA237" s="73"/>
      <c r="AB237" s="176"/>
      <c r="AC237" s="176"/>
      <c r="AD237" s="176"/>
      <c r="AJ237" s="135"/>
    </row>
    <row r="238" spans="9:36" x14ac:dyDescent="0.35">
      <c r="I238" s="49">
        <v>8.6506545184799999E-2</v>
      </c>
      <c r="J238" s="49">
        <v>1.2170575886305836E-9</v>
      </c>
      <c r="K238" s="49">
        <v>2.3459629832898593E-10</v>
      </c>
      <c r="L238" s="153">
        <v>1.4900556317078212E-9</v>
      </c>
      <c r="M238" s="27"/>
      <c r="U238" s="127">
        <v>4.9947815001161563E-10</v>
      </c>
      <c r="V238" s="127">
        <v>1.4900556317078212E-9</v>
      </c>
      <c r="W238" s="127">
        <v>2.0035184856930321E-9</v>
      </c>
      <c r="X238" s="128">
        <f t="shared" si="6"/>
        <v>1.3707769747800725E-9</v>
      </c>
      <c r="Y238" s="139">
        <f t="shared" si="7"/>
        <v>0.42935346561692439</v>
      </c>
      <c r="AA238" s="73"/>
      <c r="AB238" s="176"/>
      <c r="AC238" s="176"/>
      <c r="AD238" s="176"/>
      <c r="AJ238" s="135"/>
    </row>
    <row r="239" spans="9:36" x14ac:dyDescent="0.35">
      <c r="I239" s="49">
        <v>8.7371610636599997E-2</v>
      </c>
      <c r="J239" s="49">
        <v>1.2861974515646274E-9</v>
      </c>
      <c r="K239" s="49">
        <v>1.3582239369313667E-10</v>
      </c>
      <c r="L239" s="153">
        <v>2.0635817099235884E-9</v>
      </c>
      <c r="M239" s="27"/>
      <c r="U239" s="127">
        <v>8.0833035117761201E-10</v>
      </c>
      <c r="V239" s="127">
        <v>2.0635817099235884E-9</v>
      </c>
      <c r="W239" s="127">
        <v>1.4089519176146372E-9</v>
      </c>
      <c r="X239" s="128">
        <f t="shared" si="6"/>
        <v>1.5861114221598566E-9</v>
      </c>
      <c r="Y239" s="139">
        <f t="shared" si="7"/>
        <v>4.8758533272324502</v>
      </c>
      <c r="AA239" s="73"/>
      <c r="AB239" s="176"/>
      <c r="AC239" s="176"/>
      <c r="AD239" s="176"/>
      <c r="AJ239" s="135"/>
    </row>
    <row r="240" spans="9:36" x14ac:dyDescent="0.35">
      <c r="I240" s="49">
        <v>8.8245326742999994E-2</v>
      </c>
      <c r="J240" s="49">
        <v>1.144738130412971E-9</v>
      </c>
      <c r="K240" s="49">
        <v>1.3564305644178981E-10</v>
      </c>
      <c r="L240" s="153">
        <v>2.015778564159754E-9</v>
      </c>
      <c r="M240" s="27"/>
      <c r="U240" s="127">
        <v>1.5421881574395698E-9</v>
      </c>
      <c r="V240" s="127">
        <v>2.015778564159754E-9</v>
      </c>
      <c r="W240" s="127">
        <v>7.4112250119586803E-10</v>
      </c>
      <c r="X240" s="128">
        <f t="shared" si="6"/>
        <v>1.5787169467387366E-9</v>
      </c>
      <c r="Y240" s="139">
        <f t="shared" si="7"/>
        <v>10.236274593869114</v>
      </c>
      <c r="AA240" s="73"/>
      <c r="AB240" s="176"/>
      <c r="AC240" s="176"/>
      <c r="AD240" s="176"/>
      <c r="AJ240" s="135"/>
    </row>
    <row r="241" spans="9:36" x14ac:dyDescent="0.35">
      <c r="I241" s="49">
        <v>8.9127780010400004E-2</v>
      </c>
      <c r="J241" s="49">
        <v>1.4674182857016533E-9</v>
      </c>
      <c r="K241" s="49">
        <v>1.4511156257711142E-10</v>
      </c>
      <c r="L241" s="153">
        <v>1.3864665566476374E-9</v>
      </c>
      <c r="M241" s="27"/>
      <c r="U241" s="127">
        <v>2.1116779323719507E-9</v>
      </c>
      <c r="V241" s="127">
        <v>1.3864665566476374E-9</v>
      </c>
      <c r="W241" s="127">
        <v>6.0770051785756294E-10</v>
      </c>
      <c r="X241" s="128">
        <f t="shared" si="6"/>
        <v>1.3730778908811973E-9</v>
      </c>
      <c r="Y241" s="139">
        <f t="shared" si="7"/>
        <v>0.42266018773007569</v>
      </c>
      <c r="AA241" s="73"/>
      <c r="AB241" s="176"/>
      <c r="AC241" s="176"/>
      <c r="AD241" s="176"/>
      <c r="AJ241" s="135"/>
    </row>
    <row r="242" spans="9:36" x14ac:dyDescent="0.35">
      <c r="I242" s="49">
        <v>9.00190578105E-2</v>
      </c>
      <c r="J242" s="49">
        <v>1.1786068664640736E-9</v>
      </c>
      <c r="K242" s="49">
        <v>1.2605622242341794E-10</v>
      </c>
      <c r="L242" s="153">
        <v>7.2831989836679288E-10</v>
      </c>
      <c r="M242" s="27"/>
      <c r="U242" s="127">
        <v>2.0430105173327026E-9</v>
      </c>
      <c r="V242" s="127">
        <v>7.2831989836679288E-10</v>
      </c>
      <c r="W242" s="127">
        <v>1.1538659887207157E-9</v>
      </c>
      <c r="X242" s="128">
        <f t="shared" si="6"/>
        <v>1.1633790756967511E-9</v>
      </c>
      <c r="Y242" s="139">
        <f t="shared" si="7"/>
        <v>1.4593021595838251E-2</v>
      </c>
      <c r="AA242" s="73"/>
      <c r="AB242" s="176"/>
      <c r="AC242" s="176"/>
      <c r="AD242" s="176"/>
      <c r="AJ242" s="135"/>
    </row>
    <row r="243" spans="9:36" x14ac:dyDescent="0.35">
      <c r="I243" s="49">
        <v>9.0919248388599994E-2</v>
      </c>
      <c r="J243" s="49">
        <v>1.2355828681803993E-9</v>
      </c>
      <c r="K243" s="49">
        <v>1.3651725775320657E-10</v>
      </c>
      <c r="L243" s="153">
        <v>6.4174690627253284E-10</v>
      </c>
      <c r="M243" s="27"/>
      <c r="U243" s="127">
        <v>1.3942521676178309E-9</v>
      </c>
      <c r="V243" s="127">
        <v>6.4174690627253284E-10</v>
      </c>
      <c r="W243" s="127">
        <v>1.9010704877426285E-9</v>
      </c>
      <c r="X243" s="128">
        <f t="shared" si="6"/>
        <v>1.1447041169763812E-9</v>
      </c>
      <c r="Y243" s="139">
        <f t="shared" si="7"/>
        <v>0.44314881197364614</v>
      </c>
      <c r="AA243" s="73"/>
      <c r="AB243" s="176"/>
      <c r="AC243" s="176"/>
      <c r="AD243" s="176"/>
      <c r="AJ243" s="135"/>
    </row>
    <row r="244" spans="9:36" x14ac:dyDescent="0.35">
      <c r="I244" s="49">
        <v>9.18284408725E-2</v>
      </c>
      <c r="J244" s="49">
        <v>1.2383073261223842E-9</v>
      </c>
      <c r="K244" s="49">
        <v>1.32426940017932E-10</v>
      </c>
      <c r="L244" s="153">
        <v>1.2302706257821614E-9</v>
      </c>
      <c r="M244" s="27"/>
      <c r="U244" s="127">
        <v>7.3544177326873946E-10</v>
      </c>
      <c r="V244" s="127">
        <v>1.2302706257821614E-9</v>
      </c>
      <c r="W244" s="127">
        <v>2.1634879004252437E-9</v>
      </c>
      <c r="X244" s="128">
        <f t="shared" si="6"/>
        <v>1.3398677313145764E-9</v>
      </c>
      <c r="Y244" s="139">
        <f t="shared" si="7"/>
        <v>0.58816091621089939</v>
      </c>
      <c r="AA244" s="73"/>
      <c r="AB244" s="176"/>
      <c r="AC244" s="176"/>
      <c r="AD244" s="176"/>
      <c r="AJ244" s="135"/>
    </row>
    <row r="245" spans="9:36" x14ac:dyDescent="0.35">
      <c r="I245" s="49">
        <v>9.2746725281199996E-2</v>
      </c>
      <c r="J245" s="49">
        <v>1.4604093484288975E-9</v>
      </c>
      <c r="K245" s="49">
        <v>1.5261401804877045E-10</v>
      </c>
      <c r="L245" s="153">
        <v>1.9761744303860662E-9</v>
      </c>
      <c r="M245" s="27"/>
      <c r="U245" s="127">
        <v>6.6798186892423358E-10</v>
      </c>
      <c r="V245" s="127">
        <v>1.9761744303860662E-9</v>
      </c>
      <c r="W245" s="127">
        <v>1.6952727835024401E-9</v>
      </c>
      <c r="X245" s="128">
        <f t="shared" si="6"/>
        <v>1.5789008782997015E-9</v>
      </c>
      <c r="Y245" s="139">
        <f t="shared" si="7"/>
        <v>0.60281737321911644</v>
      </c>
      <c r="AA245" s="73"/>
      <c r="AB245" s="176"/>
      <c r="AC245" s="176"/>
      <c r="AD245" s="176"/>
      <c r="AJ245" s="135"/>
    </row>
    <row r="246" spans="9:36" x14ac:dyDescent="0.35">
      <c r="I246" s="49">
        <v>9.3674192534E-2</v>
      </c>
      <c r="J246" s="49">
        <v>1.5117663913891211E-9</v>
      </c>
      <c r="K246" s="49">
        <v>1.5422128249262593E-10</v>
      </c>
      <c r="L246" s="153">
        <v>2.1943704227191378E-9</v>
      </c>
      <c r="M246" s="27"/>
      <c r="U246" s="127">
        <v>1.2785120943503469E-9</v>
      </c>
      <c r="V246" s="127">
        <v>2.1943704227191378E-9</v>
      </c>
      <c r="W246" s="127">
        <v>9.551263761590805E-10</v>
      </c>
      <c r="X246" s="128">
        <f t="shared" si="6"/>
        <v>1.6555948289869257E-9</v>
      </c>
      <c r="Y246" s="139">
        <f t="shared" si="7"/>
        <v>0.86976295211419097</v>
      </c>
      <c r="AA246" s="73"/>
      <c r="AB246" s="176"/>
      <c r="AC246" s="176"/>
      <c r="AD246" s="176"/>
      <c r="AJ246" s="135"/>
    </row>
    <row r="247" spans="9:36" x14ac:dyDescent="0.35">
      <c r="I247" s="49">
        <v>9.4610934459399998E-2</v>
      </c>
      <c r="J247" s="49">
        <v>1.6198840545483823E-9</v>
      </c>
      <c r="K247" s="49">
        <v>1.6166859236880557E-10</v>
      </c>
      <c r="L247" s="153">
        <v>1.6812812956115606E-9</v>
      </c>
      <c r="M247" s="27"/>
      <c r="U247" s="127">
        <v>2.0294833800701582E-9</v>
      </c>
      <c r="V247" s="127">
        <v>1.6812812956115606E-9</v>
      </c>
      <c r="W247" s="127">
        <v>6.8832840471481446E-10</v>
      </c>
      <c r="X247" s="128">
        <f t="shared" si="6"/>
        <v>1.5200935940020234E-9</v>
      </c>
      <c r="Y247" s="139">
        <f t="shared" si="7"/>
        <v>0.38100154778566014</v>
      </c>
      <c r="AA247" s="73"/>
      <c r="AB247" s="176"/>
      <c r="AC247" s="176"/>
      <c r="AD247" s="176"/>
      <c r="AJ247" s="135"/>
    </row>
    <row r="248" spans="9:36" x14ac:dyDescent="0.35">
      <c r="I248" s="49">
        <v>9.5557043804E-2</v>
      </c>
      <c r="J248" s="49">
        <v>1.6390049359177898E-9</v>
      </c>
      <c r="K248" s="49">
        <v>1.5640038807935678E-10</v>
      </c>
      <c r="L248" s="153">
        <v>9.4015140325507269E-10</v>
      </c>
      <c r="M248" s="27"/>
      <c r="U248" s="127">
        <v>2.2315383914490525E-9</v>
      </c>
      <c r="V248" s="127">
        <v>9.4015140325507269E-10</v>
      </c>
      <c r="W248" s="127">
        <v>1.1878148588969861E-9</v>
      </c>
      <c r="X248" s="128">
        <f t="shared" si="6"/>
        <v>1.324914014214046E-9</v>
      </c>
      <c r="Y248" s="139">
        <f t="shared" si="7"/>
        <v>4.0330640137397564</v>
      </c>
      <c r="AA248" s="73"/>
      <c r="AB248" s="176"/>
      <c r="AC248" s="176"/>
      <c r="AD248" s="176"/>
      <c r="AJ248" s="135"/>
    </row>
    <row r="249" spans="9:36" x14ac:dyDescent="0.35">
      <c r="I249" s="49">
        <v>9.6512614242E-2</v>
      </c>
      <c r="J249" s="49">
        <v>1.4335374240973197E-9</v>
      </c>
      <c r="K249" s="49">
        <v>1.5749285770005128E-10</v>
      </c>
      <c r="L249" s="153">
        <v>7.1852629985080553E-10</v>
      </c>
      <c r="M249" s="27"/>
      <c r="U249" s="127">
        <v>1.6969911516544443E-9</v>
      </c>
      <c r="V249" s="127">
        <v>7.1852629985080553E-10</v>
      </c>
      <c r="W249" s="127">
        <v>1.9687299852240261E-9</v>
      </c>
      <c r="X249" s="128">
        <f t="shared" si="6"/>
        <v>1.2756934341450202E-9</v>
      </c>
      <c r="Y249" s="139">
        <f t="shared" si="7"/>
        <v>1.004463995183108</v>
      </c>
      <c r="AA249" s="73"/>
      <c r="AB249" s="176"/>
      <c r="AC249" s="176"/>
      <c r="AD249" s="176"/>
      <c r="AJ249" s="135"/>
    </row>
    <row r="250" spans="9:36" x14ac:dyDescent="0.35">
      <c r="I250" s="49">
        <v>9.7477740384400005E-2</v>
      </c>
      <c r="J250" s="49">
        <v>1.3477883870446535E-9</v>
      </c>
      <c r="K250" s="49">
        <v>1.556734947959119E-10</v>
      </c>
      <c r="L250" s="153">
        <v>1.2646287132855889E-9</v>
      </c>
      <c r="M250" s="27"/>
      <c r="U250" s="127">
        <v>9.5033224184332528E-10</v>
      </c>
      <c r="V250" s="127">
        <v>1.2646287132855889E-9</v>
      </c>
      <c r="W250" s="127">
        <v>2.2360747536395306E-9</v>
      </c>
      <c r="X250" s="128">
        <f t="shared" si="6"/>
        <v>1.4289161055135083E-9</v>
      </c>
      <c r="Y250" s="139">
        <f t="shared" si="7"/>
        <v>0.27158712316206723</v>
      </c>
      <c r="AA250" s="73"/>
      <c r="AB250" s="176"/>
      <c r="AC250" s="176"/>
      <c r="AD250" s="176"/>
      <c r="AJ250" s="135"/>
    </row>
    <row r="251" spans="9:36" x14ac:dyDescent="0.35">
      <c r="I251" s="49">
        <v>9.8452517788299998E-2</v>
      </c>
      <c r="J251" s="49">
        <v>1.5480495126911409E-9</v>
      </c>
      <c r="K251" s="49">
        <v>1.6208372619892369E-10</v>
      </c>
      <c r="L251" s="153">
        <v>2.0457408455217028E-9</v>
      </c>
      <c r="M251" s="27"/>
      <c r="U251" s="127">
        <v>7.4484366032316194E-10</v>
      </c>
      <c r="V251" s="127">
        <v>2.0457408455217028E-9</v>
      </c>
      <c r="W251" s="127">
        <v>1.7161281905522088E-9</v>
      </c>
      <c r="X251" s="128">
        <f t="shared" si="6"/>
        <v>1.638113385479694E-9</v>
      </c>
      <c r="Y251" s="139">
        <f t="shared" si="7"/>
        <v>0.30876098037865363</v>
      </c>
      <c r="AA251" s="73"/>
      <c r="AB251" s="176"/>
      <c r="AC251" s="176"/>
      <c r="AD251" s="176"/>
      <c r="AJ251" s="135"/>
    </row>
    <row r="252" spans="9:36" x14ac:dyDescent="0.35">
      <c r="I252" s="49">
        <v>9.9437042966199998E-2</v>
      </c>
      <c r="J252" s="49">
        <v>1.6677266986184783E-9</v>
      </c>
      <c r="K252" s="49">
        <v>1.6867103699377329E-10</v>
      </c>
      <c r="L252" s="153">
        <v>2.2662652761771463E-9</v>
      </c>
      <c r="M252" s="27"/>
      <c r="U252" s="127">
        <v>1.3127384103125327E-9</v>
      </c>
      <c r="V252" s="127">
        <v>2.2662652761771463E-9</v>
      </c>
      <c r="W252" s="127">
        <v>9.7916965627103379E-10</v>
      </c>
      <c r="X252" s="128">
        <f t="shared" si="6"/>
        <v>1.7061096547344647E-9</v>
      </c>
      <c r="Y252" s="139">
        <f t="shared" si="7"/>
        <v>5.1784025630179698E-2</v>
      </c>
      <c r="AA252" s="73"/>
      <c r="AB252" s="176"/>
      <c r="AC252" s="176"/>
      <c r="AD252" s="176"/>
      <c r="AJ252" s="135"/>
    </row>
    <row r="253" spans="9:36" x14ac:dyDescent="0.35">
      <c r="I253" s="49">
        <v>0.10043141339599999</v>
      </c>
      <c r="J253" s="49">
        <v>1.2171016618523438E-9</v>
      </c>
      <c r="K253" s="49">
        <v>1.6112472070601051E-10</v>
      </c>
      <c r="L253" s="153">
        <v>1.7023389814010011E-9</v>
      </c>
      <c r="M253" s="27"/>
      <c r="U253" s="127">
        <v>2.0993438396970865E-9</v>
      </c>
      <c r="V253" s="127">
        <v>1.7023389814010011E-9</v>
      </c>
      <c r="W253" s="127">
        <v>8.518972699986224E-10</v>
      </c>
      <c r="X253" s="128">
        <f t="shared" si="6"/>
        <v>1.588979768124428E-9</v>
      </c>
      <c r="Y253" s="139">
        <f t="shared" si="7"/>
        <v>5.3269284848632497</v>
      </c>
      <c r="AA253" s="73"/>
      <c r="AB253" s="176"/>
      <c r="AC253" s="176"/>
      <c r="AD253" s="176"/>
      <c r="AJ253" s="135"/>
    </row>
    <row r="254" spans="9:36" x14ac:dyDescent="0.35">
      <c r="I254" s="49">
        <v>0.10143572753000001</v>
      </c>
      <c r="J254" s="49">
        <v>1.6736544028367616E-9</v>
      </c>
      <c r="K254" s="49">
        <v>1.9223442780224713E-10</v>
      </c>
      <c r="L254" s="153">
        <v>9.7268286078081044E-10</v>
      </c>
      <c r="M254" s="27"/>
      <c r="U254" s="127">
        <v>2.3039052629765587E-9</v>
      </c>
      <c r="V254" s="127">
        <v>9.7268286078081044E-10</v>
      </c>
      <c r="W254" s="127">
        <v>1.5024131638772813E-9</v>
      </c>
      <c r="X254" s="128">
        <f t="shared" si="6"/>
        <v>1.4379210371038653E-9</v>
      </c>
      <c r="Y254" s="139">
        <f t="shared" si="7"/>
        <v>1.5037643174723851</v>
      </c>
      <c r="AA254" s="73"/>
      <c r="AB254" s="176"/>
      <c r="AC254" s="176"/>
      <c r="AD254" s="176"/>
      <c r="AJ254" s="135"/>
    </row>
    <row r="255" spans="9:36" x14ac:dyDescent="0.35">
      <c r="I255" s="49">
        <v>0.10245008480499999</v>
      </c>
      <c r="J255" s="49">
        <v>1.3849457191070904E-9</v>
      </c>
      <c r="K255" s="49">
        <v>1.8252954762644442E-10</v>
      </c>
      <c r="L255" s="153">
        <v>8.9701949562026386E-10</v>
      </c>
      <c r="M255" s="27"/>
      <c r="U255" s="127">
        <v>1.7200939384073024E-9</v>
      </c>
      <c r="V255" s="127">
        <v>8.9701949562026386E-10</v>
      </c>
      <c r="W255" s="127">
        <v>2.2175446599019368E-9</v>
      </c>
      <c r="X255" s="128">
        <f t="shared" ref="X255:X277" si="8">(U255+2*V255+W255)/4</f>
        <v>1.4329193973874417E-9</v>
      </c>
      <c r="Y255" s="139">
        <f t="shared" ref="Y255:Y277" si="9">(J255-X255)*(J255-X255)/(K255*K255)</f>
        <v>6.9077988346632299E-2</v>
      </c>
      <c r="AA255" s="73"/>
      <c r="AB255" s="176"/>
      <c r="AC255" s="176"/>
      <c r="AD255" s="176"/>
      <c r="AJ255" s="135"/>
    </row>
    <row r="256" spans="9:36" x14ac:dyDescent="0.35">
      <c r="I256" s="49">
        <v>0.103474585653</v>
      </c>
      <c r="J256" s="49">
        <v>1.4559520051922761E-9</v>
      </c>
      <c r="K256" s="49">
        <v>1.8145398106762369E-10</v>
      </c>
      <c r="L256" s="153">
        <v>1.5861134202917155E-9</v>
      </c>
      <c r="M256" s="27"/>
      <c r="U256" s="127">
        <v>9.8844822474099578E-10</v>
      </c>
      <c r="V256" s="127">
        <v>1.5861134202917155E-9</v>
      </c>
      <c r="W256" s="127">
        <v>2.1899786754598251E-9</v>
      </c>
      <c r="X256" s="128">
        <f t="shared" si="8"/>
        <v>1.5876634351960631E-9</v>
      </c>
      <c r="Y256" s="139">
        <f t="shared" si="9"/>
        <v>0.52688268669928739</v>
      </c>
      <c r="AA256" s="73"/>
      <c r="AB256" s="176"/>
      <c r="AC256" s="176"/>
      <c r="AD256" s="176"/>
      <c r="AJ256" s="135"/>
    </row>
    <row r="257" spans="9:36" x14ac:dyDescent="0.35">
      <c r="I257" s="49">
        <v>0.10450933151</v>
      </c>
      <c r="J257" s="49">
        <v>1.6869870332304465E-9</v>
      </c>
      <c r="K257" s="49">
        <v>1.9977150218723691E-10</v>
      </c>
      <c r="L257" s="153">
        <v>2.2826127834831167E-9</v>
      </c>
      <c r="M257" s="27"/>
      <c r="U257" s="127">
        <v>9.3090153723837356E-10</v>
      </c>
      <c r="V257" s="127">
        <v>2.2826127834831167E-9</v>
      </c>
      <c r="W257" s="127">
        <v>1.4667210174051351E-9</v>
      </c>
      <c r="X257" s="128">
        <f t="shared" si="8"/>
        <v>1.7407120304024356E-9</v>
      </c>
      <c r="Y257" s="139">
        <f t="shared" si="9"/>
        <v>7.2324548636102035E-2</v>
      </c>
      <c r="AA257" s="73"/>
      <c r="AB257" s="176"/>
      <c r="AC257" s="176"/>
      <c r="AD257" s="176"/>
      <c r="AJ257" s="136"/>
    </row>
    <row r="258" spans="9:36" x14ac:dyDescent="0.35">
      <c r="I258" s="49">
        <v>0.10555442482500001</v>
      </c>
      <c r="J258" s="49">
        <v>1.8801551697335362E-9</v>
      </c>
      <c r="K258" s="49">
        <v>2.2209855522231718E-10</v>
      </c>
      <c r="L258" s="153">
        <v>2.2006031063515322E-9</v>
      </c>
      <c r="M258" s="27"/>
      <c r="U258" s="127">
        <v>1.6379503679094337E-9</v>
      </c>
      <c r="V258" s="127">
        <v>2.2006031063515322E-9</v>
      </c>
      <c r="W258" s="127">
        <v>9.2991401424757102E-10</v>
      </c>
      <c r="X258" s="128">
        <f t="shared" si="8"/>
        <v>1.7422676487150174E-9</v>
      </c>
      <c r="Y258" s="139">
        <f t="shared" si="9"/>
        <v>0.38544148933054195</v>
      </c>
      <c r="AA258" s="73"/>
      <c r="AB258" s="176"/>
      <c r="AC258" s="176"/>
      <c r="AD258" s="176"/>
      <c r="AJ258" s="136"/>
    </row>
    <row r="259" spans="9:36" x14ac:dyDescent="0.35">
      <c r="I259" s="49">
        <v>0.10660996907299999</v>
      </c>
      <c r="J259" s="49">
        <v>1.5323860827176612E-9</v>
      </c>
      <c r="K259" s="49">
        <v>2.0614985680776245E-10</v>
      </c>
      <c r="L259" s="153">
        <v>1.4517249154900399E-9</v>
      </c>
      <c r="M259" s="27"/>
      <c r="U259" s="127">
        <v>2.3321410228696659E-9</v>
      </c>
      <c r="V259" s="127">
        <v>1.4517249154900399E-9</v>
      </c>
      <c r="W259" s="127">
        <v>1.2557132479058839E-9</v>
      </c>
      <c r="X259" s="128">
        <f t="shared" si="8"/>
        <v>1.6228260254389075E-9</v>
      </c>
      <c r="Y259" s="139">
        <f t="shared" si="9"/>
        <v>0.19246620464539929</v>
      </c>
      <c r="AA259" s="73"/>
      <c r="AB259" s="176"/>
      <c r="AC259" s="176"/>
      <c r="AD259" s="176"/>
      <c r="AJ259" s="136"/>
    </row>
    <row r="260" spans="9:36" x14ac:dyDescent="0.35">
      <c r="I260" s="49">
        <v>0.107676068764</v>
      </c>
      <c r="J260" s="49">
        <v>1.4549645656126365E-9</v>
      </c>
      <c r="K260" s="49">
        <v>2.0063349301740802E-10</v>
      </c>
      <c r="L260" s="153">
        <v>9.496687119370735E-10</v>
      </c>
      <c r="M260" s="27"/>
      <c r="U260" s="127">
        <v>2.230897949665915E-9</v>
      </c>
      <c r="V260" s="127">
        <v>9.496687119370735E-10</v>
      </c>
      <c r="W260" s="127">
        <v>2.0666906128256101E-9</v>
      </c>
      <c r="X260" s="128">
        <f t="shared" si="8"/>
        <v>1.5492314965914181E-9</v>
      </c>
      <c r="Y260" s="139">
        <f t="shared" si="9"/>
        <v>0.22075567034158031</v>
      </c>
      <c r="AA260" s="73"/>
      <c r="AB260" s="176"/>
      <c r="AC260" s="176"/>
      <c r="AD260" s="176"/>
      <c r="AJ260" s="136"/>
    </row>
    <row r="261" spans="9:36" x14ac:dyDescent="0.35">
      <c r="I261" s="49">
        <v>0.108752829451</v>
      </c>
      <c r="J261" s="49">
        <v>1.4125167103951397E-9</v>
      </c>
      <c r="K261" s="49">
        <v>2.0063852278826304E-10</v>
      </c>
      <c r="L261" s="153">
        <v>1.3286178123386597E-9</v>
      </c>
      <c r="M261" s="27"/>
      <c r="U261" s="127">
        <v>1.4690590862393464E-9</v>
      </c>
      <c r="V261" s="127">
        <v>1.3286178123386597E-9</v>
      </c>
      <c r="W261" s="127">
        <v>2.3658813389242829E-9</v>
      </c>
      <c r="X261" s="128">
        <f t="shared" si="8"/>
        <v>1.6230440124602373E-9</v>
      </c>
      <c r="Y261" s="139">
        <f t="shared" si="9"/>
        <v>1.1010022503247323</v>
      </c>
      <c r="AA261" s="73"/>
      <c r="AB261" s="176"/>
      <c r="AC261" s="176"/>
      <c r="AD261" s="176"/>
      <c r="AJ261" s="136"/>
    </row>
    <row r="262" spans="9:36" x14ac:dyDescent="0.35">
      <c r="I262" s="49">
        <v>0.109840357746</v>
      </c>
      <c r="J262" s="49">
        <v>1.8361847726537184E-9</v>
      </c>
      <c r="K262" s="49">
        <v>2.3832832074065504E-10</v>
      </c>
      <c r="L262" s="153">
        <v>2.1449726142464687E-9</v>
      </c>
      <c r="M262" s="27"/>
      <c r="U262" s="127">
        <v>9.7582931232261744E-10</v>
      </c>
      <c r="V262" s="127">
        <v>2.1449726142464687E-9</v>
      </c>
      <c r="W262" s="127">
        <v>1.7917520379446985E-9</v>
      </c>
      <c r="X262" s="128">
        <f t="shared" si="8"/>
        <v>1.7643816446900633E-9</v>
      </c>
      <c r="Y262" s="139">
        <f t="shared" si="9"/>
        <v>9.076855501357857E-2</v>
      </c>
      <c r="AA262" s="73"/>
      <c r="AB262" s="176"/>
      <c r="AC262" s="176"/>
      <c r="AD262" s="176"/>
      <c r="AJ262" s="136"/>
    </row>
    <row r="263" spans="9:36" x14ac:dyDescent="0.35">
      <c r="I263" s="49">
        <v>0.110938761323</v>
      </c>
      <c r="J263" s="49">
        <v>1.8037453770805266E-9</v>
      </c>
      <c r="K263" s="49">
        <v>2.3450311225910771E-10</v>
      </c>
      <c r="L263" s="153">
        <v>2.3947234945494758E-9</v>
      </c>
      <c r="M263" s="27"/>
      <c r="U263" s="127">
        <v>1.3742159118056486E-9</v>
      </c>
      <c r="V263" s="127">
        <v>2.3947234945494758E-9</v>
      </c>
      <c r="W263" s="127">
        <v>1.11353542419599E-9</v>
      </c>
      <c r="X263" s="128">
        <f t="shared" si="8"/>
        <v>1.8192995812751476E-9</v>
      </c>
      <c r="Y263" s="139">
        <f t="shared" si="9"/>
        <v>4.3994498375712334E-3</v>
      </c>
      <c r="AA263" s="73"/>
      <c r="AB263" s="176"/>
      <c r="AC263" s="176"/>
      <c r="AD263" s="176"/>
      <c r="AJ263" s="136"/>
    </row>
    <row r="264" spans="9:36" x14ac:dyDescent="0.35">
      <c r="I264" s="49">
        <v>0.11204814893700001</v>
      </c>
      <c r="J264" s="49">
        <v>1.7755079800196217E-9</v>
      </c>
      <c r="K264" s="49">
        <v>2.2949477225211725E-10</v>
      </c>
      <c r="L264" s="153">
        <v>1.7800794055435082E-9</v>
      </c>
      <c r="M264" s="27"/>
      <c r="U264" s="127">
        <v>2.1963618764050215E-9</v>
      </c>
      <c r="V264" s="127">
        <v>1.7800794055435082E-9</v>
      </c>
      <c r="W264" s="127">
        <v>1.2521061838929221E-9</v>
      </c>
      <c r="X264" s="128">
        <f t="shared" si="8"/>
        <v>1.7521567178462398E-9</v>
      </c>
      <c r="Y264" s="139">
        <f t="shared" si="9"/>
        <v>1.0353212443759474E-2</v>
      </c>
      <c r="AA264" s="73"/>
      <c r="AB264" s="176"/>
      <c r="AC264" s="176"/>
      <c r="AD264" s="176"/>
      <c r="AJ264" s="136"/>
    </row>
    <row r="265" spans="9:36" x14ac:dyDescent="0.35">
      <c r="I265" s="49">
        <v>0.11316863042600001</v>
      </c>
      <c r="J265" s="49">
        <v>1.3674023823945469E-9</v>
      </c>
      <c r="K265" s="49">
        <v>2.2447491626199769E-10</v>
      </c>
      <c r="L265" s="153">
        <v>1.1236831531633748E-9</v>
      </c>
      <c r="M265" s="27"/>
      <c r="U265" s="127">
        <v>2.431430089828247E-9</v>
      </c>
      <c r="V265" s="127">
        <v>1.1236831531633748E-9</v>
      </c>
      <c r="W265" s="127">
        <v>2.0439417605714869E-9</v>
      </c>
      <c r="X265" s="128">
        <f t="shared" si="8"/>
        <v>1.6806845391816208E-9</v>
      </c>
      <c r="Y265" s="139">
        <f t="shared" si="9"/>
        <v>1.9477610802802694</v>
      </c>
      <c r="AA265" s="73"/>
      <c r="AB265" s="176"/>
      <c r="AC265" s="176"/>
      <c r="AD265" s="176"/>
      <c r="AJ265" s="136"/>
    </row>
    <row r="266" spans="9:36" x14ac:dyDescent="0.35">
      <c r="I266" s="49">
        <v>0.11430031673</v>
      </c>
      <c r="J266" s="49">
        <v>1.4588316901748096E-9</v>
      </c>
      <c r="K266" s="49">
        <v>2.3210518583532585E-10</v>
      </c>
      <c r="L266" s="153">
        <v>1.3174524193938684E-9</v>
      </c>
      <c r="M266" s="27"/>
      <c r="U266" s="127">
        <v>1.8010901888216296E-9</v>
      </c>
      <c r="V266" s="127">
        <v>1.3174524193938684E-9</v>
      </c>
      <c r="W266" s="127">
        <v>2.4289151532785473E-9</v>
      </c>
      <c r="X266" s="128">
        <f t="shared" si="8"/>
        <v>1.7162275452219786E-9</v>
      </c>
      <c r="Y266" s="139">
        <f t="shared" si="9"/>
        <v>1.229796946329937</v>
      </c>
      <c r="AA266" s="73"/>
      <c r="AB266" s="176"/>
      <c r="AC266" s="176"/>
      <c r="AD266" s="176"/>
      <c r="AJ266" s="136"/>
    </row>
    <row r="267" spans="9:36" x14ac:dyDescent="0.35">
      <c r="I267" s="49">
        <v>0.115443319898</v>
      </c>
      <c r="J267" s="49">
        <v>1.4994248830769979E-9</v>
      </c>
      <c r="K267" s="49">
        <v>2.3091798640935763E-10</v>
      </c>
      <c r="L267" s="152">
        <v>2.1227965495717577E-9</v>
      </c>
      <c r="M267" s="34"/>
      <c r="U267" s="127">
        <v>1.1484057341326787E-9</v>
      </c>
      <c r="V267" s="127">
        <v>2.1227965495717577E-9</v>
      </c>
      <c r="W267" s="127">
        <v>1.8980254631905588E-9</v>
      </c>
      <c r="X267" s="128">
        <f t="shared" si="8"/>
        <v>1.823006074116688E-9</v>
      </c>
      <c r="Y267" s="139">
        <f t="shared" si="9"/>
        <v>1.9635909183598264</v>
      </c>
      <c r="AA267" s="73"/>
      <c r="AB267" s="176"/>
      <c r="AC267" s="176"/>
      <c r="AD267" s="176"/>
      <c r="AJ267" s="136"/>
    </row>
    <row r="268" spans="9:36" x14ac:dyDescent="0.35">
      <c r="I268" s="49">
        <v>0.116597753096</v>
      </c>
      <c r="J268" s="49">
        <v>2.2107092531408994E-9</v>
      </c>
      <c r="K268" s="49">
        <v>2.8405689428816758E-10</v>
      </c>
      <c r="L268" s="152">
        <v>2.4607072461405827E-9</v>
      </c>
      <c r="M268" s="34"/>
      <c r="U268" s="127">
        <v>1.3595402474019164E-9</v>
      </c>
      <c r="V268" s="127">
        <v>2.4607072461405827E-9</v>
      </c>
      <c r="W268" s="127">
        <v>1.2306939583243938E-9</v>
      </c>
      <c r="X268" s="128">
        <f t="shared" si="8"/>
        <v>1.877912174501869E-9</v>
      </c>
      <c r="Y268" s="139">
        <f t="shared" si="9"/>
        <v>1.3726137396201517</v>
      </c>
      <c r="AA268" s="73"/>
      <c r="AB268" s="176"/>
      <c r="AC268" s="176"/>
      <c r="AD268" s="176"/>
      <c r="AJ268" s="136"/>
    </row>
    <row r="269" spans="9:36" x14ac:dyDescent="0.35">
      <c r="I269" s="49">
        <v>0.117763730627</v>
      </c>
      <c r="J269" s="49">
        <v>2.3339656373302005E-9</v>
      </c>
      <c r="K269" s="49">
        <v>2.9158482954763762E-10</v>
      </c>
      <c r="L269" s="152">
        <v>1.8881352643105089E-9</v>
      </c>
      <c r="M269" s="33"/>
      <c r="U269" s="127">
        <v>2.1717647115118645E-9</v>
      </c>
      <c r="V269" s="127">
        <v>1.8881352643105089E-9</v>
      </c>
      <c r="W269" s="127">
        <v>1.4108920574028183E-9</v>
      </c>
      <c r="X269" s="128">
        <f t="shared" si="8"/>
        <v>1.839731824383925E-9</v>
      </c>
      <c r="Y269" s="139">
        <f t="shared" si="9"/>
        <v>2.8729962470866006</v>
      </c>
      <c r="AA269" s="73"/>
      <c r="AB269" s="176"/>
      <c r="AC269" s="176"/>
      <c r="AD269" s="176"/>
      <c r="AJ269" s="136"/>
    </row>
    <row r="270" spans="9:36" x14ac:dyDescent="0.35">
      <c r="I270" s="49">
        <v>0.11894136793399999</v>
      </c>
      <c r="J270" s="49">
        <v>2.1989383682356608E-9</v>
      </c>
      <c r="K270" s="49">
        <v>3.0639650776822851E-10</v>
      </c>
      <c r="L270" s="152">
        <v>1.2437997791011066E-9</v>
      </c>
      <c r="M270" s="34"/>
      <c r="U270" s="127">
        <v>2.4967871686452229E-9</v>
      </c>
      <c r="V270" s="127">
        <v>1.2437997791011066E-9</v>
      </c>
      <c r="W270" s="127">
        <v>2.1941850109172376E-9</v>
      </c>
      <c r="X270" s="128">
        <f t="shared" si="8"/>
        <v>1.7946429344411686E-9</v>
      </c>
      <c r="Y270" s="139">
        <f t="shared" si="9"/>
        <v>1.7411253979847898</v>
      </c>
      <c r="AA270" s="73"/>
      <c r="AB270" s="176"/>
      <c r="AC270" s="176"/>
      <c r="AD270" s="176"/>
      <c r="AJ270" s="136"/>
    </row>
    <row r="271" spans="9:36" x14ac:dyDescent="0.35">
      <c r="I271" s="49">
        <v>0.120130781613</v>
      </c>
      <c r="J271" s="49">
        <v>1.6509595244536068E-9</v>
      </c>
      <c r="K271" s="49">
        <v>2.7981816925483402E-10</v>
      </c>
      <c r="L271" s="152">
        <v>1.4777594594128471E-9</v>
      </c>
      <c r="M271" s="35"/>
      <c r="U271" s="127">
        <v>1.9100423286628555E-9</v>
      </c>
      <c r="V271" s="127">
        <v>1.4777594594128471E-9</v>
      </c>
      <c r="W271" s="127">
        <v>2.4389015463955791E-9</v>
      </c>
      <c r="X271" s="128">
        <f t="shared" si="8"/>
        <v>1.8261156984710321E-9</v>
      </c>
      <c r="Y271" s="139">
        <f t="shared" si="9"/>
        <v>0.3918312582212185</v>
      </c>
      <c r="AA271" s="73"/>
      <c r="AB271" s="176"/>
      <c r="AC271" s="176"/>
      <c r="AD271" s="176"/>
      <c r="AJ271" s="136"/>
    </row>
    <row r="272" spans="9:36" x14ac:dyDescent="0.35">
      <c r="I272" s="49">
        <v>0.12133208942900001</v>
      </c>
      <c r="J272" s="49">
        <v>2.1219439387740339E-9</v>
      </c>
      <c r="K272" s="49">
        <v>2.9276512402711164E-10</v>
      </c>
      <c r="L272" s="152">
        <v>2.2656233070716242E-9</v>
      </c>
      <c r="M272" s="34"/>
      <c r="U272" s="127">
        <v>1.2700004515629461E-9</v>
      </c>
      <c r="V272" s="127">
        <v>2.2656233070716242E-9</v>
      </c>
      <c r="W272" s="127">
        <v>1.807635769221088E-9</v>
      </c>
      <c r="X272" s="128">
        <f t="shared" si="8"/>
        <v>1.9022207087318206E-9</v>
      </c>
      <c r="Y272" s="139">
        <f t="shared" si="9"/>
        <v>0.56326565390135885</v>
      </c>
      <c r="AA272" s="73"/>
      <c r="AB272" s="176"/>
      <c r="AC272" s="176"/>
      <c r="AD272" s="176"/>
      <c r="AJ272" s="136"/>
    </row>
    <row r="273" spans="9:36" x14ac:dyDescent="0.35">
      <c r="I273" s="49">
        <v>0.122545410323</v>
      </c>
      <c r="J273" s="49">
        <v>1.8295596728883344E-9</v>
      </c>
      <c r="K273" s="49">
        <v>2.8072537922799928E-10</v>
      </c>
      <c r="L273" s="152">
        <v>2.4585417859002844E-9</v>
      </c>
      <c r="M273" s="33"/>
      <c r="U273" s="127">
        <v>1.5191228711165733E-9</v>
      </c>
      <c r="V273" s="127">
        <v>2.4585417859002844E-9</v>
      </c>
      <c r="W273" s="127">
        <v>1.3030728336487186E-9</v>
      </c>
      <c r="X273" s="128">
        <f t="shared" si="8"/>
        <v>1.9348198191414653E-9</v>
      </c>
      <c r="Y273" s="139">
        <f t="shared" si="9"/>
        <v>0.14059328674319654</v>
      </c>
      <c r="AA273" s="73"/>
      <c r="AB273" s="176"/>
      <c r="AC273" s="176"/>
      <c r="AD273" s="176"/>
      <c r="AJ273" s="136"/>
    </row>
    <row r="274" spans="9:36" x14ac:dyDescent="0.35">
      <c r="I274" s="49">
        <v>0.123770864427</v>
      </c>
      <c r="J274" s="49">
        <v>1.8483357617589119E-9</v>
      </c>
      <c r="K274" s="49">
        <v>2.913420174529344E-10</v>
      </c>
      <c r="L274" s="152">
        <v>1.7978150990338818E-9</v>
      </c>
      <c r="M274" s="34"/>
      <c r="U274" s="127">
        <v>2.3095589842686176E-9</v>
      </c>
      <c r="V274" s="127">
        <v>1.7978150990338818E-9</v>
      </c>
      <c r="W274" s="127">
        <v>1.7338253859719532E-9</v>
      </c>
      <c r="X274" s="128">
        <f t="shared" si="8"/>
        <v>1.9097536420770836E-9</v>
      </c>
      <c r="Y274" s="139">
        <f t="shared" si="9"/>
        <v>4.4440956850126542E-2</v>
      </c>
      <c r="AA274" s="73"/>
      <c r="AB274" s="176"/>
      <c r="AC274" s="176"/>
      <c r="AD274" s="176"/>
      <c r="AJ274" s="136"/>
    </row>
    <row r="275" spans="9:36" x14ac:dyDescent="0.35">
      <c r="I275" s="49">
        <v>0.125008573071</v>
      </c>
      <c r="J275" s="49">
        <v>1.7010236700323843E-9</v>
      </c>
      <c r="K275" s="49">
        <v>2.9912261613224272E-10</v>
      </c>
      <c r="L275" s="152">
        <v>1.3308719217857049E-9</v>
      </c>
      <c r="M275" s="34"/>
      <c r="U275" s="127">
        <v>2.4885040390233359E-9</v>
      </c>
      <c r="V275" s="127">
        <v>1.3308719217857049E-9</v>
      </c>
      <c r="W275" s="127">
        <v>2.4304730853863498E-9</v>
      </c>
      <c r="X275" s="128">
        <f t="shared" si="8"/>
        <v>1.8951802419952741E-9</v>
      </c>
      <c r="Y275" s="139">
        <f t="shared" si="9"/>
        <v>0.42131380521730427</v>
      </c>
      <c r="AA275" s="73"/>
      <c r="AB275" s="176"/>
      <c r="AC275" s="176"/>
      <c r="AD275" s="176"/>
      <c r="AJ275" s="136"/>
    </row>
    <row r="276" spans="9:36" x14ac:dyDescent="0.35">
      <c r="I276" s="49">
        <v>0.12625865880199999</v>
      </c>
      <c r="J276" s="49">
        <v>1.5752224985528802E-9</v>
      </c>
      <c r="K276" s="49">
        <v>3.1469111960874678E-10</v>
      </c>
      <c r="L276" s="152">
        <v>1.8055909914282334E-9</v>
      </c>
      <c r="M276" s="33"/>
      <c r="U276" s="127">
        <v>1.8185509897464482E-9</v>
      </c>
      <c r="V276" s="127">
        <v>1.8055909914282334E-9</v>
      </c>
      <c r="W276" s="127">
        <v>2.2957136191996934E-9</v>
      </c>
      <c r="X276" s="128">
        <f t="shared" si="8"/>
        <v>1.9313616479506521E-9</v>
      </c>
      <c r="Y276" s="139">
        <f t="shared" si="9"/>
        <v>1.2807679730952377</v>
      </c>
      <c r="AA276" s="73"/>
      <c r="AB276" s="176"/>
      <c r="AC276" s="176"/>
      <c r="AD276" s="176"/>
      <c r="AJ276" s="136"/>
    </row>
    <row r="277" spans="9:36" x14ac:dyDescent="0.35">
      <c r="I277" s="49">
        <v>0.12752124539000001</v>
      </c>
      <c r="J277" s="49">
        <v>1.8946247682985765E-9</v>
      </c>
      <c r="K277" s="49">
        <v>3.2426349014225983E-10</v>
      </c>
      <c r="L277" s="152">
        <v>2.4811013239462547E-9</v>
      </c>
      <c r="M277" s="34"/>
      <c r="U277" s="127">
        <v>1.3601981946321735E-9</v>
      </c>
      <c r="V277" s="127">
        <v>2.4811013239462547E-9</v>
      </c>
      <c r="W277" s="127">
        <v>1.5898846563495039E-9</v>
      </c>
      <c r="X277" s="128">
        <f t="shared" si="8"/>
        <v>1.9780713747185464E-9</v>
      </c>
      <c r="Y277" s="139">
        <f t="shared" si="9"/>
        <v>6.6224891218153406E-2</v>
      </c>
      <c r="AA277" s="73"/>
      <c r="AB277" s="176"/>
      <c r="AC277" s="176"/>
      <c r="AD277" s="176"/>
      <c r="AJ277" s="136"/>
    </row>
    <row r="278" spans="9:36" x14ac:dyDescent="0.35">
      <c r="I278" s="49">
        <v>0.12879645784400001</v>
      </c>
      <c r="J278" s="49">
        <v>2.5834244234626149E-9</v>
      </c>
      <c r="K278" s="49">
        <v>3.7418880937617269E-10</v>
      </c>
      <c r="L278" s="152">
        <v>2.2940831086636732E-9</v>
      </c>
      <c r="M278" s="34"/>
      <c r="U278" s="127">
        <v>1.8456662056916498E-9</v>
      </c>
      <c r="V278" s="127">
        <v>2.2940831086636732E-9</v>
      </c>
      <c r="W278" s="127">
        <v>1.5184761398010642E-9</v>
      </c>
      <c r="X278" s="128">
        <f t="shared" ref="X278:X279" si="10">(U278+2*V278+W278)/4</f>
        <v>1.9880771407050152E-9</v>
      </c>
      <c r="Y278" s="139">
        <f t="shared" ref="Y278:Y279" si="11">(J278-X278)*(J278-X278)/(K278*K278)</f>
        <v>2.5313905890748938</v>
      </c>
      <c r="AA278" s="73"/>
      <c r="AB278" s="176"/>
      <c r="AC278" s="176"/>
      <c r="AD278" s="176"/>
      <c r="AJ278" s="136"/>
    </row>
    <row r="279" spans="9:36" x14ac:dyDescent="0.35">
      <c r="I279" s="49">
        <v>0.130084422422</v>
      </c>
      <c r="J279" s="49">
        <v>1.9582364855478885E-9</v>
      </c>
      <c r="K279" s="49">
        <v>3.552116233940927E-10</v>
      </c>
      <c r="L279" s="152">
        <v>1.5903330855084909E-9</v>
      </c>
      <c r="M279" s="35"/>
      <c r="U279" s="127">
        <v>2.5154301436309851E-9</v>
      </c>
      <c r="V279" s="127">
        <v>1.5903330855084909E-9</v>
      </c>
      <c r="W279" s="127">
        <v>2.2126957069931841E-9</v>
      </c>
      <c r="X279" s="128">
        <f t="shared" si="10"/>
        <v>1.9771980054102876E-9</v>
      </c>
      <c r="Y279" s="139">
        <f t="shared" si="11"/>
        <v>2.8495216014327038E-3</v>
      </c>
      <c r="AA279" s="73"/>
      <c r="AB279" s="176"/>
      <c r="AC279" s="176"/>
      <c r="AD279" s="176"/>
      <c r="AJ279" s="136"/>
    </row>
    <row r="280" spans="9:36" x14ac:dyDescent="0.35">
      <c r="I280" s="49">
        <v>0.131385266646</v>
      </c>
      <c r="J280" s="49">
        <v>2.4317925075692162E-9</v>
      </c>
      <c r="K280" s="49">
        <v>3.8923822398185455E-10</v>
      </c>
      <c r="L280" s="152">
        <v>1.5696290588272471E-9</v>
      </c>
      <c r="M280" s="33"/>
      <c r="U280" s="127">
        <v>2.3151120277575258E-9</v>
      </c>
      <c r="V280" s="127">
        <v>1.5696290588272471E-9</v>
      </c>
      <c r="W280" s="127">
        <v>2.4932914007359949E-9</v>
      </c>
      <c r="X280" s="128">
        <f t="shared" ref="X280:X319" si="12">(U280+2*V280+W280)/4</f>
        <v>1.9869153865370038E-9</v>
      </c>
      <c r="Y280" s="139">
        <f t="shared" ref="Y280:Y319" si="13">(J280-X280)*(J280-X280)/(K280*K280)</f>
        <v>1.3063188046071779</v>
      </c>
      <c r="AA280" s="73"/>
      <c r="AB280" s="176"/>
      <c r="AC280" s="176"/>
      <c r="AD280" s="176"/>
      <c r="AJ280" s="136"/>
    </row>
    <row r="281" spans="9:36" x14ac:dyDescent="0.35">
      <c r="I281" s="49">
        <v>0.13269911931299999</v>
      </c>
      <c r="J281" s="49">
        <v>2.1683493855650565E-9</v>
      </c>
      <c r="K281" s="49">
        <v>3.8585090084963644E-10</v>
      </c>
      <c r="L281" s="152">
        <v>2.274358500821272E-9</v>
      </c>
      <c r="M281" s="34"/>
      <c r="U281" s="127">
        <v>1.6115451743830502E-9</v>
      </c>
      <c r="V281" s="127">
        <v>2.274358500821272E-9</v>
      </c>
      <c r="W281" s="127">
        <v>1.9077888730495231E-9</v>
      </c>
      <c r="X281" s="128">
        <f t="shared" si="12"/>
        <v>2.0170127622687791E-9</v>
      </c>
      <c r="Y281" s="139">
        <f t="shared" si="13"/>
        <v>0.15383283436598402</v>
      </c>
      <c r="AA281" s="73"/>
      <c r="AB281" s="176"/>
      <c r="AC281" s="176"/>
      <c r="AD281" s="176"/>
      <c r="AJ281" s="136"/>
    </row>
    <row r="282" spans="9:36" x14ac:dyDescent="0.35">
      <c r="I282" s="49">
        <v>0.134026110506</v>
      </c>
      <c r="J282" s="49">
        <v>1.5352681220884984E-9</v>
      </c>
      <c r="K282" s="49">
        <v>3.4396074049675919E-10</v>
      </c>
      <c r="L282" s="152">
        <v>2.5059944473073312E-9</v>
      </c>
      <c r="M282" s="34"/>
      <c r="U282" s="127">
        <v>1.6016718245182834E-9</v>
      </c>
      <c r="V282" s="127">
        <v>2.5059944473073312E-9</v>
      </c>
      <c r="W282" s="127">
        <v>1.5338837173749129E-9</v>
      </c>
      <c r="X282" s="128">
        <f t="shared" si="12"/>
        <v>2.0368861091269644E-9</v>
      </c>
      <c r="Y282" s="139">
        <f t="shared" si="13"/>
        <v>2.1268088146738942</v>
      </c>
      <c r="AA282" s="73"/>
      <c r="AB282" s="176"/>
      <c r="AC282" s="176"/>
      <c r="AD282" s="176"/>
      <c r="AJ282" s="136"/>
    </row>
    <row r="283" spans="9:36" x14ac:dyDescent="0.35">
      <c r="I283" s="49">
        <v>0.13536637161100001</v>
      </c>
      <c r="J283" s="49">
        <v>1.5693529493405115E-9</v>
      </c>
      <c r="K283" s="49">
        <v>3.4081287542936063E-10</v>
      </c>
      <c r="L283" s="152">
        <v>1.8973376782492147E-9</v>
      </c>
      <c r="M283" s="33"/>
      <c r="U283" s="127">
        <v>2.3066059120966079E-9</v>
      </c>
      <c r="V283" s="127">
        <v>1.8973376782492147E-9</v>
      </c>
      <c r="W283" s="127">
        <v>2.0570543755885657E-9</v>
      </c>
      <c r="X283" s="128">
        <f t="shared" si="12"/>
        <v>2.0395839110459008E-9</v>
      </c>
      <c r="Y283" s="139">
        <f t="shared" si="13"/>
        <v>1.9036646949336924</v>
      </c>
      <c r="AA283" s="73"/>
      <c r="AB283" s="176"/>
      <c r="AC283" s="176"/>
      <c r="AD283" s="176"/>
      <c r="AJ283" s="136"/>
    </row>
    <row r="284" spans="9:36" x14ac:dyDescent="0.35">
      <c r="I284" s="49">
        <v>0.136720035327</v>
      </c>
      <c r="J284" s="49">
        <v>1.5369172634454661E-9</v>
      </c>
      <c r="K284" s="49">
        <v>3.6931589181936139E-10</v>
      </c>
      <c r="L284" s="152">
        <v>1.5647758785625877E-9</v>
      </c>
      <c r="M284" s="34"/>
      <c r="U284" s="127">
        <v>2.5259540722282844E-9</v>
      </c>
      <c r="V284" s="127">
        <v>1.5647758785625877E-9</v>
      </c>
      <c r="W284" s="127">
        <v>2.5227409734844147E-9</v>
      </c>
      <c r="X284" s="128">
        <f t="shared" si="12"/>
        <v>2.0445617007094686E-9</v>
      </c>
      <c r="Y284" s="139">
        <f t="shared" si="13"/>
        <v>1.8893972168597322</v>
      </c>
      <c r="AA284" s="73"/>
      <c r="AB284" s="176"/>
      <c r="AC284" s="176"/>
      <c r="AD284" s="176"/>
      <c r="AJ284" s="136"/>
    </row>
    <row r="285" spans="9:36" x14ac:dyDescent="0.35">
      <c r="I285" s="49">
        <v>0.13808723568</v>
      </c>
      <c r="J285" s="49">
        <v>2.1879951579768339E-9</v>
      </c>
      <c r="K285" s="49">
        <v>4.0611254905247618E-10</v>
      </c>
      <c r="L285" s="152">
        <v>2.1150658822903858E-9</v>
      </c>
      <c r="M285" s="34"/>
      <c r="U285" s="127">
        <v>1.9129717537725942E-9</v>
      </c>
      <c r="V285" s="127">
        <v>2.1150658822903858E-9</v>
      </c>
      <c r="W285" s="127">
        <v>2.0958195655815989E-9</v>
      </c>
      <c r="X285" s="128">
        <f t="shared" si="12"/>
        <v>2.0597307709837413E-9</v>
      </c>
      <c r="Y285" s="139">
        <f t="shared" si="13"/>
        <v>9.975148290426343E-2</v>
      </c>
      <c r="AA285" s="73"/>
      <c r="AB285" s="176"/>
      <c r="AC285" s="176"/>
      <c r="AD285" s="176"/>
      <c r="AJ285" s="136"/>
    </row>
    <row r="286" spans="9:36" x14ac:dyDescent="0.35">
      <c r="I286" s="49">
        <v>0.13946810803699999</v>
      </c>
      <c r="J286" s="49">
        <v>2.1765799431647025E-9</v>
      </c>
      <c r="K286" s="49">
        <v>4.1073335450816579E-10</v>
      </c>
      <c r="L286" s="152">
        <v>2.5415027486673984E-9</v>
      </c>
      <c r="M286" s="34"/>
      <c r="U286" s="127">
        <v>1.5890047144323833E-9</v>
      </c>
      <c r="V286" s="127">
        <v>2.5415027486673984E-9</v>
      </c>
      <c r="W286" s="127">
        <v>1.6249423139435901E-9</v>
      </c>
      <c r="X286" s="128">
        <f t="shared" si="12"/>
        <v>2.0742381314276924E-9</v>
      </c>
      <c r="Y286" s="139">
        <f t="shared" si="13"/>
        <v>6.2084938837363692E-2</v>
      </c>
      <c r="AA286" s="73"/>
      <c r="AB286" s="176"/>
      <c r="AC286" s="176"/>
      <c r="AD286" s="176"/>
      <c r="AJ286" s="136"/>
    </row>
    <row r="287" spans="9:36" x14ac:dyDescent="0.35">
      <c r="I287" s="49">
        <v>0.14086278911700001</v>
      </c>
      <c r="J287" s="49">
        <v>1.3999137499498918E-9</v>
      </c>
      <c r="K287" s="49">
        <v>3.8667858305325106E-10</v>
      </c>
      <c r="L287" s="152">
        <v>2.0812334524888547E-9</v>
      </c>
      <c r="M287" s="33"/>
      <c r="U287" s="127">
        <v>2.141348896615887E-9</v>
      </c>
      <c r="V287" s="127">
        <v>2.0812334524888547E-9</v>
      </c>
      <c r="W287" s="127">
        <v>2.0247114788377175E-9</v>
      </c>
      <c r="X287" s="128">
        <f t="shared" si="12"/>
        <v>2.0821318201078283E-9</v>
      </c>
      <c r="Y287" s="139">
        <f t="shared" si="13"/>
        <v>3.1127640358879707</v>
      </c>
      <c r="AA287" s="73"/>
      <c r="AB287" s="176"/>
      <c r="AC287" s="176"/>
      <c r="AD287" s="176"/>
      <c r="AJ287" s="136"/>
    </row>
    <row r="288" spans="9:36" x14ac:dyDescent="0.35">
      <c r="I288" s="49">
        <v>0.14227141700900001</v>
      </c>
      <c r="J288" s="49">
        <v>2.0439525930486336E-9</v>
      </c>
      <c r="K288" s="49">
        <v>3.9900362122455742E-10</v>
      </c>
      <c r="L288" s="152">
        <v>1.6430550167854008E-9</v>
      </c>
      <c r="M288" s="35"/>
      <c r="U288" s="127">
        <v>2.5567187358041958E-9</v>
      </c>
      <c r="V288" s="127">
        <v>1.6430550167854008E-9</v>
      </c>
      <c r="W288" s="127">
        <v>2.5107930131436459E-9</v>
      </c>
      <c r="X288" s="128">
        <f t="shared" si="12"/>
        <v>2.0884054456296607E-9</v>
      </c>
      <c r="Y288" s="139">
        <f t="shared" si="13"/>
        <v>1.2412109438341666E-2</v>
      </c>
      <c r="AA288" s="73"/>
      <c r="AB288" s="176"/>
      <c r="AC288" s="176"/>
      <c r="AD288" s="176"/>
      <c r="AJ288" s="136"/>
    </row>
    <row r="289" spans="9:36" x14ac:dyDescent="0.35">
      <c r="I289" s="49">
        <v>0.14369413117900001</v>
      </c>
      <c r="J289" s="49">
        <v>1.5583934583034291E-9</v>
      </c>
      <c r="K289" s="49">
        <v>3.7166398378773544E-10</v>
      </c>
      <c r="L289" s="152">
        <v>2.0735171441058451E-9</v>
      </c>
      <c r="M289" s="34"/>
      <c r="U289" s="127">
        <v>2.0910686097549925E-9</v>
      </c>
      <c r="V289" s="127">
        <v>2.0735171441058451E-9</v>
      </c>
      <c r="W289" s="127">
        <v>2.1464162423043349E-9</v>
      </c>
      <c r="X289" s="128">
        <f t="shared" si="12"/>
        <v>2.0961297850677544E-9</v>
      </c>
      <c r="Y289" s="139">
        <f t="shared" si="13"/>
        <v>2.0933304800183299</v>
      </c>
      <c r="AA289" s="73"/>
      <c r="AB289" s="176"/>
      <c r="AC289" s="176"/>
      <c r="AD289" s="176"/>
      <c r="AJ289" s="136"/>
    </row>
    <row r="290" spans="9:36" x14ac:dyDescent="0.35">
      <c r="I290" s="49">
        <v>0.14513107249099999</v>
      </c>
      <c r="J290" s="49">
        <v>1.4798706599831202E-9</v>
      </c>
      <c r="K290" s="49">
        <v>3.8742217018758558E-10</v>
      </c>
      <c r="L290" s="152">
        <v>2.5248945607415381E-9</v>
      </c>
      <c r="M290" s="34"/>
      <c r="U290" s="127">
        <v>1.6601044501909617E-9</v>
      </c>
      <c r="V290" s="127">
        <v>2.5248945607415381E-9</v>
      </c>
      <c r="W290" s="127">
        <v>1.7039415699353903E-9</v>
      </c>
      <c r="X290" s="128">
        <f t="shared" si="12"/>
        <v>2.1034587854023572E-9</v>
      </c>
      <c r="Y290" s="139">
        <f t="shared" si="13"/>
        <v>2.5907573214007305</v>
      </c>
      <c r="AA290" s="73"/>
      <c r="AB290" s="176"/>
      <c r="AC290" s="176"/>
      <c r="AD290" s="176"/>
      <c r="AJ290" s="136"/>
    </row>
    <row r="291" spans="9:36" x14ac:dyDescent="0.35">
      <c r="I291" s="49">
        <v>0.146582383215</v>
      </c>
      <c r="J291" s="49">
        <v>2.0953986660380763E-9</v>
      </c>
      <c r="K291" s="49">
        <v>4.5426754083054928E-10</v>
      </c>
      <c r="L291" s="152">
        <v>2.1276118794133602E-9</v>
      </c>
      <c r="M291" s="33"/>
      <c r="U291" s="127">
        <v>2.0916443348263876E-9</v>
      </c>
      <c r="V291" s="127">
        <v>2.1276118794133602E-9</v>
      </c>
      <c r="W291" s="127">
        <v>2.0902200579161191E-9</v>
      </c>
      <c r="X291" s="128">
        <f t="shared" si="12"/>
        <v>2.1092720378923067E-9</v>
      </c>
      <c r="Y291" s="139">
        <f t="shared" si="13"/>
        <v>9.3269713394040815E-4</v>
      </c>
      <c r="AA291" s="73"/>
      <c r="AB291" s="176"/>
      <c r="AC291" s="176"/>
      <c r="AD291" s="176"/>
      <c r="AJ291" s="136"/>
    </row>
    <row r="292" spans="9:36" x14ac:dyDescent="0.35">
      <c r="I292" s="49">
        <v>0.14804820704800001</v>
      </c>
      <c r="J292" s="49">
        <v>1.4943080270440338E-9</v>
      </c>
      <c r="K292" s="49">
        <v>4.0471634857478031E-10</v>
      </c>
      <c r="L292" s="152">
        <v>1.7162376663219046E-9</v>
      </c>
      <c r="M292" s="34"/>
      <c r="U292" s="127">
        <v>2.531905029048309E-9</v>
      </c>
      <c r="V292" s="127">
        <v>1.7162376663219046E-9</v>
      </c>
      <c r="W292" s="127">
        <v>2.4918098982598282E-9</v>
      </c>
      <c r="X292" s="128">
        <f t="shared" si="12"/>
        <v>2.1140475649879864E-9</v>
      </c>
      <c r="Y292" s="139">
        <f t="shared" si="13"/>
        <v>2.3448599649653774</v>
      </c>
      <c r="AA292" s="73"/>
      <c r="AB292" s="176"/>
      <c r="AC292" s="176"/>
      <c r="AD292" s="176"/>
      <c r="AJ292" s="136"/>
    </row>
    <row r="293" spans="9:36" x14ac:dyDescent="0.35">
      <c r="I293" s="49">
        <v>0.14952868911799999</v>
      </c>
      <c r="J293" s="49">
        <v>1.3516212216747769E-9</v>
      </c>
      <c r="K293" s="49">
        <v>4.0025832503985067E-10</v>
      </c>
      <c r="L293" s="152">
        <v>2.1276591742636072E-9</v>
      </c>
      <c r="M293" s="34"/>
      <c r="U293" s="127">
        <v>2.1305075535533673E-9</v>
      </c>
      <c r="V293" s="127">
        <v>2.1276591742636072E-9</v>
      </c>
      <c r="W293" s="127">
        <v>2.0868202527638343E-9</v>
      </c>
      <c r="X293" s="128">
        <f t="shared" si="12"/>
        <v>2.118161538711104E-9</v>
      </c>
      <c r="Y293" s="139">
        <f t="shared" si="13"/>
        <v>3.6676615864500914</v>
      </c>
      <c r="AA293" s="73"/>
      <c r="AB293" s="176"/>
      <c r="AC293" s="176"/>
      <c r="AD293" s="176"/>
      <c r="AJ293" s="136"/>
    </row>
    <row r="294" spans="9:36" x14ac:dyDescent="0.35">
      <c r="I294" s="49">
        <v>0.151023976009</v>
      </c>
      <c r="J294" s="49">
        <v>2.0707707205530569E-9</v>
      </c>
      <c r="K294" s="49">
        <v>4.6533191861777655E-10</v>
      </c>
      <c r="L294" s="152">
        <v>2.4920882656160773E-9</v>
      </c>
      <c r="M294" s="33"/>
      <c r="U294" s="127">
        <v>1.7260215446786587E-9</v>
      </c>
      <c r="V294" s="127">
        <v>2.4920882656160773E-9</v>
      </c>
      <c r="W294" s="127">
        <v>1.7718391715159164E-9</v>
      </c>
      <c r="X294" s="128">
        <f t="shared" si="12"/>
        <v>2.1205093118566823E-9</v>
      </c>
      <c r="Y294" s="139">
        <f t="shared" si="13"/>
        <v>1.1425133295053239E-2</v>
      </c>
      <c r="AA294" s="73"/>
      <c r="AB294" s="176"/>
      <c r="AC294" s="176"/>
      <c r="AD294" s="176"/>
      <c r="AJ294" s="136"/>
    </row>
    <row r="295" spans="9:36" x14ac:dyDescent="0.35">
      <c r="I295" s="49">
        <v>0.152534215769</v>
      </c>
      <c r="J295" s="49">
        <v>1.5840964376883755E-9</v>
      </c>
      <c r="K295" s="49">
        <v>4.3816498451694973E-10</v>
      </c>
      <c r="L295" s="152">
        <v>2.0633412467289346E-9</v>
      </c>
      <c r="M295" s="34"/>
      <c r="U295" s="127">
        <v>2.1353964613688344E-9</v>
      </c>
      <c r="V295" s="127">
        <v>2.0633412467289346E-9</v>
      </c>
      <c r="W295" s="127">
        <v>2.2174054398044806E-9</v>
      </c>
      <c r="X295" s="128">
        <f t="shared" si="12"/>
        <v>2.119871098657796E-9</v>
      </c>
      <c r="Y295" s="139">
        <f t="shared" si="13"/>
        <v>1.4951645911668749</v>
      </c>
      <c r="AA295" s="73"/>
      <c r="AB295" s="176"/>
      <c r="AC295" s="176"/>
      <c r="AD295" s="176"/>
      <c r="AJ295" s="136"/>
    </row>
    <row r="296" spans="9:36" x14ac:dyDescent="0.35">
      <c r="I296" s="49">
        <v>0.15405955792699999</v>
      </c>
      <c r="J296" s="49">
        <v>1.8996144838334804E-9</v>
      </c>
      <c r="K296" s="49">
        <v>4.8145730943820242E-10</v>
      </c>
      <c r="L296" s="152">
        <v>1.7830223538895487E-9</v>
      </c>
      <c r="M296" s="35"/>
      <c r="U296" s="127">
        <v>2.488217258152493E-9</v>
      </c>
      <c r="V296" s="127">
        <v>1.7830223538895487E-9</v>
      </c>
      <c r="W296" s="127">
        <v>2.4249706086127327E-9</v>
      </c>
      <c r="X296" s="128">
        <f t="shared" si="12"/>
        <v>2.1198081436360808E-9</v>
      </c>
      <c r="Y296" s="139">
        <f t="shared" si="13"/>
        <v>0.2091674253523067</v>
      </c>
      <c r="AA296" s="73"/>
      <c r="AB296" s="176"/>
      <c r="AC296" s="176"/>
      <c r="AD296" s="176"/>
      <c r="AJ296" s="136"/>
    </row>
    <row r="297" spans="9:36" x14ac:dyDescent="0.35">
      <c r="I297" s="49">
        <v>0.15560015350600001</v>
      </c>
      <c r="J297" s="49">
        <v>1.8274776584104106E-9</v>
      </c>
      <c r="K297" s="49">
        <v>4.7301962617056797E-10</v>
      </c>
      <c r="L297" s="152">
        <v>2.2389810503310596E-9</v>
      </c>
      <c r="M297" s="34"/>
      <c r="U297" s="127">
        <v>2.0587362834114933E-9</v>
      </c>
      <c r="V297" s="127">
        <v>2.2389810503310596E-9</v>
      </c>
      <c r="W297" s="127">
        <v>1.9541273446858106E-9</v>
      </c>
      <c r="X297" s="128">
        <f t="shared" si="12"/>
        <v>2.1227064321898556E-9</v>
      </c>
      <c r="Y297" s="139">
        <f t="shared" si="13"/>
        <v>0.38954626473147652</v>
      </c>
      <c r="AA297" s="73"/>
      <c r="AB297" s="176"/>
      <c r="AC297" s="176"/>
      <c r="AD297" s="176"/>
      <c r="AJ297" s="136"/>
    </row>
    <row r="298" spans="9:36" x14ac:dyDescent="0.35">
      <c r="I298" s="109">
        <v>0.157156155041</v>
      </c>
      <c r="J298" s="109">
        <v>2.022149948536476E-9</v>
      </c>
      <c r="K298" s="109">
        <v>4.9600555338083508E-10</v>
      </c>
      <c r="L298" s="152">
        <v>2.4053910302077075E-9</v>
      </c>
      <c r="M298" s="33"/>
      <c r="U298" s="127">
        <v>1.7844253621133102E-9</v>
      </c>
      <c r="V298" s="127">
        <v>2.4053910302077075E-9</v>
      </c>
      <c r="W298" s="127">
        <v>1.8839248055013881E-9</v>
      </c>
      <c r="X298" s="128">
        <f t="shared" si="12"/>
        <v>2.1197830570075284E-9</v>
      </c>
      <c r="Y298" s="139">
        <f t="shared" si="13"/>
        <v>3.8745489811282556E-2</v>
      </c>
      <c r="AA298" s="73"/>
      <c r="AB298" s="176"/>
      <c r="AC298" s="176"/>
      <c r="AD298" s="176"/>
      <c r="AJ298" s="136"/>
    </row>
    <row r="299" spans="9:36" x14ac:dyDescent="0.35">
      <c r="I299" s="109">
        <v>0.158727716592</v>
      </c>
      <c r="J299" s="109">
        <v>1.6164230522909845E-9</v>
      </c>
      <c r="K299" s="109">
        <v>4.6761273258879001E-10</v>
      </c>
      <c r="L299" s="152">
        <v>1.9297151218477221E-9</v>
      </c>
      <c r="M299" s="34"/>
      <c r="U299" s="127">
        <v>2.2332569395659562E-9</v>
      </c>
      <c r="V299" s="127">
        <v>1.9297151218477221E-9</v>
      </c>
      <c r="W299" s="127">
        <v>2.3414611886803918E-9</v>
      </c>
      <c r="X299" s="128">
        <f t="shared" si="12"/>
        <v>2.1085370929854482E-9</v>
      </c>
      <c r="Y299" s="139">
        <f t="shared" si="13"/>
        <v>1.1075385622869218</v>
      </c>
      <c r="AA299" s="73"/>
      <c r="AB299" s="176"/>
      <c r="AC299" s="176"/>
      <c r="AD299" s="176"/>
      <c r="AJ299" s="136"/>
    </row>
    <row r="300" spans="9:36" x14ac:dyDescent="0.35">
      <c r="I300" s="109">
        <v>0.16031499375800001</v>
      </c>
      <c r="J300" s="109">
        <v>2.3665332485753984E-9</v>
      </c>
      <c r="K300" s="109">
        <v>5.6927762252806193E-10</v>
      </c>
      <c r="L300" s="152">
        <v>1.8938967077903163E-9</v>
      </c>
      <c r="M300" s="34"/>
      <c r="U300" s="127">
        <v>2.3895162425597861E-9</v>
      </c>
      <c r="V300" s="127">
        <v>1.8938967077903163E-9</v>
      </c>
      <c r="W300" s="127">
        <v>2.2439069676644219E-9</v>
      </c>
      <c r="X300" s="128">
        <f t="shared" si="12"/>
        <v>2.10530415645121E-9</v>
      </c>
      <c r="Y300" s="139">
        <f t="shared" si="13"/>
        <v>0.21056920468938853</v>
      </c>
      <c r="AA300" s="73"/>
      <c r="AB300" s="176"/>
      <c r="AC300" s="176"/>
      <c r="AD300" s="176"/>
      <c r="AJ300" s="136"/>
    </row>
    <row r="301" spans="9:36" x14ac:dyDescent="0.35">
      <c r="I301" s="109">
        <v>0.16191814369499999</v>
      </c>
      <c r="J301" s="109">
        <v>1.6795026690313162E-9</v>
      </c>
      <c r="K301" s="109">
        <v>5.1236663714851402E-10</v>
      </c>
      <c r="L301" s="152">
        <v>2.3381675747469452E-9</v>
      </c>
      <c r="M301" s="33"/>
      <c r="U301" s="127">
        <v>1.91790969211175E-9</v>
      </c>
      <c r="V301" s="127">
        <v>2.3381675747469452E-9</v>
      </c>
      <c r="W301" s="127">
        <v>1.8394408138286786E-9</v>
      </c>
      <c r="X301" s="128">
        <f t="shared" si="12"/>
        <v>2.1084214138585799E-9</v>
      </c>
      <c r="Y301" s="139">
        <f t="shared" si="13"/>
        <v>0.70079076032121757</v>
      </c>
      <c r="AA301" s="73"/>
      <c r="AB301" s="176"/>
      <c r="AC301" s="176"/>
      <c r="AD301" s="176"/>
      <c r="AJ301" s="136"/>
    </row>
    <row r="302" spans="9:36" x14ac:dyDescent="0.35">
      <c r="I302" s="109">
        <v>0.16353732513200001</v>
      </c>
      <c r="J302" s="109">
        <v>1.648255671088264E-9</v>
      </c>
      <c r="K302" s="109">
        <v>5.3315479037241956E-10</v>
      </c>
      <c r="L302" s="152">
        <v>2.2061710393939973E-9</v>
      </c>
      <c r="M302" s="34"/>
      <c r="U302" s="127">
        <v>1.8838266710273521E-9</v>
      </c>
      <c r="V302" s="127">
        <v>2.2061710393939973E-9</v>
      </c>
      <c r="W302" s="127">
        <v>2.0755040937400991E-9</v>
      </c>
      <c r="X302" s="128">
        <f t="shared" si="12"/>
        <v>2.0929182108888613E-9</v>
      </c>
      <c r="Y302" s="139">
        <f t="shared" si="13"/>
        <v>0.695591805527499</v>
      </c>
      <c r="AA302" s="73"/>
      <c r="AB302" s="176"/>
      <c r="AC302" s="176"/>
      <c r="AD302" s="176"/>
      <c r="AJ302" s="136"/>
    </row>
    <row r="303" spans="9:36" x14ac:dyDescent="0.35">
      <c r="I303" s="109">
        <v>0.16517269838400001</v>
      </c>
      <c r="J303" s="109">
        <v>1.975122490309647E-9</v>
      </c>
      <c r="K303" s="109">
        <v>5.8382010994504836E-10</v>
      </c>
      <c r="L303" s="152">
        <v>1.8208403107116876E-9</v>
      </c>
      <c r="M303" s="34"/>
      <c r="U303" s="127">
        <v>2.3160111888811397E-9</v>
      </c>
      <c r="V303" s="127">
        <v>1.8208403107116876E-9</v>
      </c>
      <c r="W303" s="127">
        <v>2.3281799323139815E-9</v>
      </c>
      <c r="X303" s="128">
        <f t="shared" si="12"/>
        <v>2.0714679356546242E-9</v>
      </c>
      <c r="Y303" s="139">
        <f t="shared" si="13"/>
        <v>2.7233551211591406E-2</v>
      </c>
      <c r="AA303" s="73"/>
      <c r="AB303" s="176"/>
      <c r="AC303" s="176"/>
      <c r="AD303" s="176"/>
      <c r="AJ303" s="136"/>
    </row>
    <row r="304" spans="9:36" x14ac:dyDescent="0.35">
      <c r="I304" s="109">
        <v>0.16682442536700001</v>
      </c>
      <c r="J304" s="109">
        <v>9.8850933307061587E-10</v>
      </c>
      <c r="K304" s="109">
        <v>5.3809684726396101E-10</v>
      </c>
      <c r="L304" s="152">
        <v>2.0738039706696475E-9</v>
      </c>
      <c r="M304" s="35"/>
      <c r="U304" s="127">
        <v>2.1800235860664044E-9</v>
      </c>
      <c r="V304" s="127">
        <v>2.0738039706696475E-9</v>
      </c>
      <c r="W304" s="127">
        <v>1.9674326739860566E-9</v>
      </c>
      <c r="X304" s="128">
        <f t="shared" si="12"/>
        <v>2.073766050347939E-9</v>
      </c>
      <c r="Y304" s="139">
        <f t="shared" si="13"/>
        <v>4.0676546188212148</v>
      </c>
      <c r="AA304" s="73"/>
      <c r="AB304" s="176"/>
      <c r="AC304" s="176"/>
      <c r="AD304" s="176"/>
      <c r="AJ304" s="136"/>
    </row>
    <row r="305" spans="9:36" x14ac:dyDescent="0.35">
      <c r="I305" s="109">
        <v>0.16849266962100001</v>
      </c>
      <c r="J305" s="109">
        <v>1.9859670990473644E-9</v>
      </c>
      <c r="K305" s="109">
        <v>5.8622990285451253E-10</v>
      </c>
      <c r="L305" s="152">
        <v>2.2931863644731826E-9</v>
      </c>
      <c r="M305" s="33"/>
      <c r="U305" s="127">
        <v>1.8009921069818966E-9</v>
      </c>
      <c r="V305" s="127">
        <v>2.2931863644731826E-9</v>
      </c>
      <c r="W305" s="127">
        <v>1.8847921884650515E-9</v>
      </c>
      <c r="X305" s="128">
        <f t="shared" si="12"/>
        <v>2.0680392560983283E-9</v>
      </c>
      <c r="Y305" s="139">
        <f t="shared" si="13"/>
        <v>1.9599985982247728E-2</v>
      </c>
      <c r="AA305" s="73"/>
      <c r="AB305" s="176"/>
      <c r="AC305" s="176"/>
      <c r="AD305" s="176"/>
      <c r="AJ305" s="136"/>
    </row>
    <row r="306" spans="9:36" x14ac:dyDescent="0.35">
      <c r="I306" s="109">
        <v>0.170177596317</v>
      </c>
      <c r="J306" s="109">
        <v>1.2858832396379427E-9</v>
      </c>
      <c r="K306" s="109">
        <v>5.7047861914304981E-10</v>
      </c>
      <c r="L306" s="152">
        <v>1.9253145255431326E-9</v>
      </c>
      <c r="M306" s="34"/>
      <c r="U306" s="127">
        <v>2.0468228313511898E-9</v>
      </c>
      <c r="V306" s="127">
        <v>1.9253145255431326E-9</v>
      </c>
      <c r="W306" s="127">
        <v>2.2266523729833799E-9</v>
      </c>
      <c r="X306" s="128">
        <f t="shared" si="12"/>
        <v>2.0310260638552088E-9</v>
      </c>
      <c r="Y306" s="139">
        <f t="shared" si="13"/>
        <v>1.7060835777250332</v>
      </c>
      <c r="AA306" s="73"/>
      <c r="AB306" s="176"/>
      <c r="AC306" s="176"/>
      <c r="AD306" s="176"/>
      <c r="AJ306" s="136"/>
    </row>
    <row r="307" spans="9:36" x14ac:dyDescent="0.35">
      <c r="I307" s="109">
        <v>0.17187937228</v>
      </c>
      <c r="J307" s="109">
        <v>7.3226854605408207E-10</v>
      </c>
      <c r="K307" s="109">
        <v>5.380476275430548E-10</v>
      </c>
      <c r="L307" s="152">
        <v>1.8694381662334881E-9</v>
      </c>
      <c r="M307" s="34"/>
      <c r="U307" s="127">
        <v>2.2553343353299473E-9</v>
      </c>
      <c r="V307" s="127">
        <v>1.8694381662334881E-9</v>
      </c>
      <c r="W307" s="127">
        <v>2.0718550969253519E-9</v>
      </c>
      <c r="X307" s="128">
        <f t="shared" si="12"/>
        <v>2.016516441180569E-9</v>
      </c>
      <c r="Y307" s="139">
        <f t="shared" si="13"/>
        <v>5.6971320218847996</v>
      </c>
      <c r="AA307" s="73"/>
      <c r="AB307" s="176"/>
      <c r="AC307" s="176"/>
      <c r="AD307" s="176"/>
      <c r="AJ307" s="136"/>
    </row>
    <row r="308" spans="9:36" x14ac:dyDescent="0.35">
      <c r="I308" s="109">
        <v>0.17359816600299999</v>
      </c>
      <c r="J308" s="109">
        <v>1.5364646655654057E-9</v>
      </c>
      <c r="K308" s="109">
        <v>6.1127807581268364E-10</v>
      </c>
      <c r="L308" s="152">
        <v>2.1946595524707023E-9</v>
      </c>
      <c r="M308" s="33"/>
      <c r="U308" s="127">
        <v>1.8922031425468755E-9</v>
      </c>
      <c r="V308" s="127">
        <v>2.1946595524707023E-9</v>
      </c>
      <c r="W308" s="127">
        <v>1.8091447652437145E-9</v>
      </c>
      <c r="X308" s="128">
        <f t="shared" si="12"/>
        <v>2.0226667531829987E-9</v>
      </c>
      <c r="Y308" s="139">
        <f t="shared" si="13"/>
        <v>0.63263905557178046</v>
      </c>
      <c r="AA308" s="73"/>
      <c r="AB308" s="176"/>
      <c r="AC308" s="176"/>
      <c r="AD308" s="176"/>
      <c r="AJ308" s="136"/>
    </row>
    <row r="309" spans="9:36" x14ac:dyDescent="0.35">
      <c r="I309" s="109">
        <v>0.17533414766300001</v>
      </c>
      <c r="J309" s="109">
        <v>1.7086017599958253E-9</v>
      </c>
      <c r="K309" s="109">
        <v>6.8281108114633584E-10</v>
      </c>
      <c r="L309" s="152">
        <v>2.016513554606922E-9</v>
      </c>
      <c r="M309" s="34"/>
      <c r="U309" s="127">
        <v>1.8357862744924575E-9</v>
      </c>
      <c r="V309" s="127">
        <v>2.016513554606922E-9</v>
      </c>
      <c r="W309" s="127">
        <v>2.0672184934320252E-9</v>
      </c>
      <c r="X309" s="128">
        <f t="shared" si="12"/>
        <v>1.9840079692845817E-9</v>
      </c>
      <c r="Y309" s="139">
        <f t="shared" si="13"/>
        <v>0.16268455890477884</v>
      </c>
      <c r="AA309" s="73"/>
      <c r="AB309" s="176"/>
      <c r="AC309" s="176"/>
      <c r="AD309" s="176"/>
      <c r="AJ309" s="136"/>
    </row>
    <row r="310" spans="9:36" x14ac:dyDescent="0.35">
      <c r="I310" s="109">
        <v>0.17708748914</v>
      </c>
      <c r="J310" s="109">
        <v>1.3087415939538504E-9</v>
      </c>
      <c r="K310" s="109">
        <v>6.5672740323161781E-10</v>
      </c>
      <c r="L310" s="152">
        <v>1.7751824593727939E-9</v>
      </c>
      <c r="M310" s="34"/>
      <c r="U310" s="127">
        <v>2.1477364246045042E-9</v>
      </c>
      <c r="V310" s="127">
        <v>1.7751824593727939E-9</v>
      </c>
      <c r="W310" s="127">
        <v>2.0820202987998241E-9</v>
      </c>
      <c r="X310" s="128">
        <f t="shared" si="12"/>
        <v>1.945030410537479E-9</v>
      </c>
      <c r="Y310" s="139">
        <f t="shared" si="13"/>
        <v>0.9387248255426125</v>
      </c>
      <c r="AA310" s="73"/>
      <c r="AB310" s="176"/>
      <c r="AC310" s="176"/>
      <c r="AD310" s="176"/>
      <c r="AJ310" s="136"/>
    </row>
    <row r="311" spans="9:36" x14ac:dyDescent="0.35">
      <c r="I311" s="109">
        <v>0.178858364031</v>
      </c>
      <c r="J311" s="109">
        <v>2.0696888016909877E-9</v>
      </c>
      <c r="K311" s="109">
        <v>6.899860308122618E-10</v>
      </c>
      <c r="L311" s="152">
        <v>2.0318227493542724E-9</v>
      </c>
      <c r="M311" s="34"/>
      <c r="U311" s="127">
        <v>1.9697047697941671E-9</v>
      </c>
      <c r="V311" s="127">
        <v>2.0318227493542724E-9</v>
      </c>
      <c r="W311" s="127">
        <v>1.7810402591692848E-9</v>
      </c>
      <c r="X311" s="128">
        <f t="shared" si="12"/>
        <v>1.9535976319179993E-9</v>
      </c>
      <c r="Y311" s="139">
        <f t="shared" si="13"/>
        <v>2.8308559990358504E-2</v>
      </c>
      <c r="AA311" s="73"/>
      <c r="AB311" s="176"/>
      <c r="AC311" s="176"/>
      <c r="AD311" s="176"/>
      <c r="AJ311" s="136"/>
    </row>
    <row r="312" spans="9:36" x14ac:dyDescent="0.35">
      <c r="I312" s="109">
        <v>0.18064694767200001</v>
      </c>
      <c r="J312" s="109">
        <v>1.135417820910213E-9</v>
      </c>
      <c r="K312" s="109">
        <v>6.612666367257089E-10</v>
      </c>
      <c r="L312" s="152">
        <v>2.0190916820344403E-9</v>
      </c>
      <c r="M312" s="33"/>
      <c r="U312" s="127">
        <v>1.7323702087012648E-9</v>
      </c>
      <c r="V312" s="127">
        <v>2.0190916820344403E-9</v>
      </c>
      <c r="W312" s="127">
        <v>1.9235807815141486E-9</v>
      </c>
      <c r="X312" s="128">
        <f t="shared" si="12"/>
        <v>1.9235335885710736E-9</v>
      </c>
      <c r="Y312" s="139">
        <f t="shared" si="13"/>
        <v>1.4204528084236316</v>
      </c>
      <c r="AA312" s="73"/>
      <c r="AB312" s="176"/>
      <c r="AC312" s="176"/>
      <c r="AD312" s="176"/>
      <c r="AJ312" s="136"/>
    </row>
    <row r="313" spans="9:36" x14ac:dyDescent="0.35">
      <c r="I313" s="109">
        <v>0.18245341714800001</v>
      </c>
      <c r="J313" s="109">
        <v>1.3862753816598632E-9</v>
      </c>
      <c r="K313" s="109">
        <v>7.3361316753111306E-10</v>
      </c>
      <c r="L313" s="152">
        <v>1.7304215196919119E-9</v>
      </c>
      <c r="M313" s="34"/>
      <c r="U313" s="127">
        <v>1.9768374860944251E-9</v>
      </c>
      <c r="V313" s="127">
        <v>1.7304215196919119E-9</v>
      </c>
      <c r="W313" s="127">
        <v>2.0171720062308527E-9</v>
      </c>
      <c r="X313" s="128">
        <f t="shared" si="12"/>
        <v>1.8637131329272756E-9</v>
      </c>
      <c r="Y313" s="139">
        <f t="shared" si="13"/>
        <v>0.42354472400490795</v>
      </c>
      <c r="AA313" s="73"/>
      <c r="AB313" s="176"/>
      <c r="AC313" s="176"/>
      <c r="AD313" s="176"/>
      <c r="AJ313" s="136"/>
    </row>
    <row r="314" spans="9:36" x14ac:dyDescent="0.35">
      <c r="I314" s="109">
        <v>0.18427795131999999</v>
      </c>
      <c r="J314" s="109">
        <v>7.65128124656136E-10</v>
      </c>
      <c r="K314" s="109">
        <v>6.5792412333937031E-10</v>
      </c>
      <c r="L314" s="152">
        <v>1.879573300233766E-9</v>
      </c>
      <c r="M314" s="34"/>
      <c r="U314" s="127">
        <v>1.9598608640462673E-9</v>
      </c>
      <c r="V314" s="127">
        <v>1.879573300233766E-9</v>
      </c>
      <c r="W314" s="127">
        <v>1.7425624839258696E-9</v>
      </c>
      <c r="X314" s="128">
        <f t="shared" si="12"/>
        <v>1.865392487109917E-9</v>
      </c>
      <c r="Y314" s="139">
        <f t="shared" si="13"/>
        <v>2.7966780374199312</v>
      </c>
      <c r="AA314" s="73"/>
      <c r="AB314" s="176"/>
      <c r="AC314" s="176"/>
      <c r="AD314" s="176"/>
      <c r="AJ314" s="136"/>
    </row>
    <row r="315" spans="9:36" x14ac:dyDescent="0.35">
      <c r="I315" s="109">
        <v>0.18612073083299999</v>
      </c>
      <c r="J315" s="109">
        <v>1.8471347995644452E-9</v>
      </c>
      <c r="K315" s="109">
        <v>7.8783058796231759E-10</v>
      </c>
      <c r="L315" s="152">
        <v>1.9475885866788376E-9</v>
      </c>
      <c r="M315" s="33"/>
      <c r="U315" s="127">
        <v>1.677109699232343E-9</v>
      </c>
      <c r="V315" s="127">
        <v>1.9475885866788376E-9</v>
      </c>
      <c r="W315" s="127">
        <v>1.8073183082227706E-9</v>
      </c>
      <c r="X315" s="128">
        <f t="shared" si="12"/>
        <v>1.8449012952031971E-9</v>
      </c>
      <c r="Y315" s="139">
        <f t="shared" si="13"/>
        <v>8.0372584255026763E-6</v>
      </c>
      <c r="AA315" s="73"/>
      <c r="AB315" s="176"/>
      <c r="AC315" s="176"/>
      <c r="AD315" s="176"/>
      <c r="AJ315" s="136"/>
    </row>
    <row r="316" spans="9:36" x14ac:dyDescent="0.35">
      <c r="I316" s="109">
        <v>0.187981938141</v>
      </c>
      <c r="J316" s="109">
        <v>2.1742233076389974E-9</v>
      </c>
      <c r="K316" s="109">
        <v>7.9579833382702812E-10</v>
      </c>
      <c r="L316" s="152">
        <v>1.6789931897771178E-9</v>
      </c>
      <c r="M316" s="34"/>
      <c r="U316" s="127">
        <v>1.8163557730182248E-9</v>
      </c>
      <c r="V316" s="127">
        <v>1.6789931897771178E-9</v>
      </c>
      <c r="W316" s="127">
        <v>1.9118935520103049E-9</v>
      </c>
      <c r="X316" s="128">
        <f t="shared" si="12"/>
        <v>1.7715589261456912E-9</v>
      </c>
      <c r="Y316" s="139">
        <f t="shared" si="13"/>
        <v>0.25602382328057238</v>
      </c>
      <c r="AA316" s="73"/>
      <c r="AB316" s="176"/>
      <c r="AC316" s="176"/>
      <c r="AD316" s="176"/>
      <c r="AJ316" s="136"/>
    </row>
    <row r="317" spans="9:36" x14ac:dyDescent="0.35">
      <c r="I317" s="109">
        <v>0.189861757523</v>
      </c>
      <c r="J317" s="109">
        <v>2.0979942410435003E-9</v>
      </c>
      <c r="K317" s="109">
        <v>8.2343023989437891E-10</v>
      </c>
      <c r="L317" s="152">
        <v>1.7525287701639218E-9</v>
      </c>
      <c r="M317" s="34"/>
      <c r="U317" s="127">
        <v>1.8775686919053306E-9</v>
      </c>
      <c r="V317" s="127">
        <v>1.7525287701639218E-9</v>
      </c>
      <c r="W317" s="127">
        <v>1.672887702503018E-9</v>
      </c>
      <c r="X317" s="128">
        <f t="shared" si="12"/>
        <v>1.7638784836840482E-9</v>
      </c>
      <c r="Y317" s="139">
        <f t="shared" si="13"/>
        <v>0.16464187064914179</v>
      </c>
      <c r="AA317" s="73"/>
      <c r="AB317" s="176"/>
      <c r="AC317" s="176"/>
      <c r="AD317" s="176"/>
      <c r="AJ317" s="136"/>
    </row>
    <row r="318" spans="9:36" x14ac:dyDescent="0.35">
      <c r="I318" s="109">
        <v>0.19176037509800001</v>
      </c>
      <c r="J318" s="109">
        <v>9.1573636385747107E-10</v>
      </c>
      <c r="K318" s="109">
        <v>7.5609497715990895E-10</v>
      </c>
      <c r="L318" s="152">
        <v>1.8348110155784078E-9</v>
      </c>
      <c r="M318" s="33"/>
      <c r="U318" s="127">
        <v>1.6152813564199204E-9</v>
      </c>
      <c r="V318" s="127">
        <v>1.8348110155784078E-9</v>
      </c>
      <c r="W318" s="127">
        <v>1.7069051034698278E-9</v>
      </c>
      <c r="X318" s="128">
        <f t="shared" si="12"/>
        <v>1.747952122761641E-9</v>
      </c>
      <c r="Y318" s="139">
        <f t="shared" si="13"/>
        <v>1.2114881339447645</v>
      </c>
      <c r="AA318" s="73"/>
      <c r="AB318" s="176"/>
      <c r="AC318" s="176"/>
      <c r="AD318" s="176"/>
      <c r="AJ318" s="136"/>
    </row>
    <row r="319" spans="9:36" x14ac:dyDescent="0.35">
      <c r="I319" s="109">
        <v>0.19367797884900001</v>
      </c>
      <c r="J319" s="109">
        <v>1.0364904090223972E-9</v>
      </c>
      <c r="K319" s="109">
        <v>7.8993944811245914E-10</v>
      </c>
      <c r="L319" s="152">
        <v>1.5995395802772025E-9</v>
      </c>
      <c r="M319" s="34"/>
      <c r="U319" s="127">
        <v>1.6805912537754644E-9</v>
      </c>
      <c r="V319" s="127">
        <v>1.5995395802772025E-9</v>
      </c>
      <c r="W319" s="127">
        <v>1.7854919745621673E-9</v>
      </c>
      <c r="X319" s="128">
        <f t="shared" si="12"/>
        <v>1.6662905972230091E-9</v>
      </c>
      <c r="Y319" s="139">
        <f t="shared" si="13"/>
        <v>0.63564987760093616</v>
      </c>
      <c r="AA319" s="73"/>
      <c r="AB319" s="176"/>
      <c r="AC319" s="176"/>
      <c r="AD319" s="176"/>
      <c r="AJ319" s="136"/>
    </row>
    <row r="320" spans="9:36" x14ac:dyDescent="0.35">
      <c r="I320" s="109">
        <v>0.19561475863700001</v>
      </c>
      <c r="J320" s="109">
        <v>2.0628809136922505E-9</v>
      </c>
      <c r="K320" s="109">
        <v>9.4094345590682471E-10</v>
      </c>
      <c r="L320" s="152">
        <v>1.6402348528375084E-9</v>
      </c>
      <c r="M320" s="34"/>
      <c r="U320" s="127">
        <v>1.754601348361637E-9</v>
      </c>
      <c r="V320" s="127">
        <v>1.6402348528375084E-9</v>
      </c>
      <c r="W320" s="127">
        <v>1.5752330599277929E-9</v>
      </c>
      <c r="X320" s="128">
        <f t="shared" ref="X320:X321" si="14">(U320+2*V320+W320)/4</f>
        <v>1.6525760284911115E-9</v>
      </c>
      <c r="Y320" s="139">
        <f t="shared" ref="Y320:Y321" si="15">(J320-X320)*(J320-X320)/(K320*K320)</f>
        <v>0.1901456188726724</v>
      </c>
      <c r="AA320" s="73"/>
      <c r="AB320" s="176"/>
      <c r="AC320" s="176"/>
      <c r="AD320" s="176"/>
      <c r="AJ320" s="136"/>
    </row>
    <row r="321" spans="9:36" x14ac:dyDescent="0.35">
      <c r="I321" s="109">
        <v>0.197570906224</v>
      </c>
      <c r="J321" s="109">
        <v>1.7666306660562657E-9</v>
      </c>
      <c r="K321" s="109">
        <v>9.8971451324730627E-10</v>
      </c>
      <c r="L321" s="152">
        <v>1.6970913878939715E-9</v>
      </c>
      <c r="M321" s="33"/>
      <c r="U321" s="127">
        <v>1.5255375216463289E-9</v>
      </c>
      <c r="V321" s="127">
        <v>1.6970913878939715E-9</v>
      </c>
      <c r="W321" s="127">
        <v>1.6126509324259996E-9</v>
      </c>
      <c r="X321" s="128">
        <f t="shared" si="14"/>
        <v>1.6330928074650679E-9</v>
      </c>
      <c r="Y321" s="139">
        <f t="shared" si="15"/>
        <v>1.8204926822718868E-2</v>
      </c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66.531917724292455</v>
      </c>
      <c r="C2" s="165">
        <f>dDstack!D4</f>
        <v>29.207739190257051</v>
      </c>
      <c r="D2" s="169"/>
    </row>
    <row r="3" spans="1:4" ht="18" x14ac:dyDescent="0.35">
      <c r="A3" s="93" t="s">
        <v>628</v>
      </c>
      <c r="B3" s="165">
        <f>Reflectivity!H10</f>
        <v>1072.6475739693506</v>
      </c>
      <c r="C3" s="165">
        <f>dTotal!D4</f>
        <v>10.737519873866924</v>
      </c>
      <c r="D3" s="169"/>
    </row>
    <row r="4" spans="1:4" ht="18" x14ac:dyDescent="0.35">
      <c r="A4" s="93" t="s">
        <v>629</v>
      </c>
      <c r="B4" s="165">
        <f>B3-B2</f>
        <v>1006.1156562450581</v>
      </c>
      <c r="C4" s="165">
        <f>SQRT(C2^2+C3^2)</f>
        <v>31.118906819613134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14.249187794541458</v>
      </c>
      <c r="C6" s="165">
        <f>sigDstack!D4</f>
        <v>12.565112999188136</v>
      </c>
      <c r="D6" s="169"/>
    </row>
    <row r="7" spans="1:4" ht="18" x14ac:dyDescent="0.35">
      <c r="A7" s="93" t="s">
        <v>624</v>
      </c>
      <c r="B7" s="165">
        <f>Reflectivity!G5</f>
        <v>66.531917724292455</v>
      </c>
      <c r="C7" s="165">
        <f>sigHstack!D4</f>
        <v>132.49743061855114</v>
      </c>
      <c r="D7" s="167"/>
    </row>
    <row r="9" spans="1:4" ht="18" x14ac:dyDescent="0.35">
      <c r="A9" s="93" t="s">
        <v>622</v>
      </c>
      <c r="B9" s="167">
        <f>Reflectivity!H18</f>
        <v>0.13296112586776113</v>
      </c>
      <c r="C9" s="167">
        <f>'f_d^D'!D4</f>
        <v>5.2026944028305218E-2</v>
      </c>
      <c r="D9" s="165"/>
    </row>
    <row r="10" spans="1:4" ht="18" x14ac:dyDescent="0.35">
      <c r="A10" s="93" t="s">
        <v>619</v>
      </c>
      <c r="B10" s="167">
        <f>Reflectivity!H20</f>
        <v>1.6621116364056054E-2</v>
      </c>
      <c r="C10" s="167">
        <f>'f_d^H'!D4</f>
        <v>3.5025670477396374E-2</v>
      </c>
      <c r="D10" s="165"/>
    </row>
    <row r="11" spans="1:4" ht="18" x14ac:dyDescent="0.35">
      <c r="A11" s="93" t="s">
        <v>616</v>
      </c>
      <c r="B11" s="167">
        <f>Reflectivity!H16</f>
        <v>0.29996142000263898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1.3701415271707418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2.0967066238672001E-6</v>
      </c>
      <c r="C14" s="168">
        <f>SQRT(C12^2*B15^2+C11^2*B16^2+C9^2*B17^2)</f>
        <v>1.450932683629037E-7</v>
      </c>
      <c r="D14" s="168">
        <f>NbDstack!D4</f>
        <v>1.2155293788086531E-7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1.5302847058411335E-6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-4.0979486678093498E-7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2.3365579511526695E-6</v>
      </c>
      <c r="C17" s="168"/>
      <c r="D17" s="167"/>
    </row>
    <row r="19" spans="1:4" ht="18" x14ac:dyDescent="0.35">
      <c r="A19" s="93" t="s">
        <v>638</v>
      </c>
      <c r="B19" s="168">
        <f>Reflectivity!C5</f>
        <v>1.8248714496241409E-6</v>
      </c>
      <c r="C19" s="168">
        <f>SQRT(C12^2*B20^2+C11^2*B21^2+C10^2*B22^2)</f>
        <v>1.2434761894819694E-7</v>
      </c>
      <c r="D19" s="168">
        <f>NbHstack!D4</f>
        <v>7.8023667717618933E-8</v>
      </c>
    </row>
    <row r="20" spans="1:4" ht="18" x14ac:dyDescent="0.35">
      <c r="A20" s="93" t="s">
        <v>639</v>
      </c>
      <c r="B20" s="168">
        <f>B19/B12</f>
        <v>1.331885366172638E-6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-1.3160286559151099E-6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2.3365579511526695E-6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1060</v>
      </c>
      <c r="C2" s="105">
        <v>1080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1060</v>
      </c>
      <c r="B4" s="94">
        <v>3.1627540778437657</v>
      </c>
      <c r="C4" s="106">
        <v>1072.6475739693506</v>
      </c>
      <c r="D4" s="106">
        <v>10.737519873866924</v>
      </c>
    </row>
    <row r="5" spans="1:5" x14ac:dyDescent="0.35">
      <c r="A5" s="106">
        <v>1064</v>
      </c>
      <c r="B5" s="94">
        <v>2.4162831274542094</v>
      </c>
      <c r="C5" s="94"/>
      <c r="D5" s="94"/>
    </row>
    <row r="6" spans="1:5" x14ac:dyDescent="0.35">
      <c r="A6" s="106">
        <v>1068</v>
      </c>
      <c r="B6" s="94">
        <v>1.9552969995608049</v>
      </c>
      <c r="C6" s="94"/>
      <c r="D6" s="94"/>
    </row>
    <row r="7" spans="1:5" x14ac:dyDescent="0.35">
      <c r="A7" s="106">
        <v>1072</v>
      </c>
      <c r="B7" s="94">
        <v>1.7779021890358897</v>
      </c>
      <c r="C7" s="94"/>
      <c r="D7" s="94"/>
    </row>
    <row r="8" spans="1:5" x14ac:dyDescent="0.35">
      <c r="A8" s="106">
        <v>1076</v>
      </c>
      <c r="B8" s="94">
        <v>1.8758701379891549</v>
      </c>
      <c r="C8" s="94"/>
      <c r="D8" s="94"/>
    </row>
    <row r="9" spans="1:5" x14ac:dyDescent="0.35">
      <c r="A9" s="106">
        <v>1080</v>
      </c>
      <c r="B9" s="94">
        <v>2.2365187366874277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40</v>
      </c>
      <c r="C2" s="105">
        <v>80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40</v>
      </c>
      <c r="B4" s="94">
        <v>2.5868199553312392</v>
      </c>
      <c r="C4" s="106">
        <v>66.531917724292455</v>
      </c>
      <c r="D4" s="106">
        <v>29.207739190257051</v>
      </c>
    </row>
    <row r="5" spans="1:5" x14ac:dyDescent="0.35">
      <c r="A5" s="106">
        <v>48</v>
      </c>
      <c r="B5" s="94">
        <v>2.1320992518149193</v>
      </c>
      <c r="C5" s="94"/>
      <c r="D5" s="94"/>
    </row>
    <row r="6" spans="1:5" x14ac:dyDescent="0.35">
      <c r="A6" s="106">
        <v>56</v>
      </c>
      <c r="B6" s="94">
        <v>1.8642594206370646</v>
      </c>
      <c r="C6" s="94"/>
      <c r="D6" s="94"/>
    </row>
    <row r="7" spans="1:5" x14ac:dyDescent="0.35">
      <c r="A7" s="106">
        <v>64</v>
      </c>
      <c r="B7" s="94">
        <v>1.7656045613727096</v>
      </c>
      <c r="C7" s="94"/>
      <c r="D7" s="94"/>
    </row>
    <row r="8" spans="1:5" x14ac:dyDescent="0.35">
      <c r="A8" s="106">
        <v>72</v>
      </c>
      <c r="B8" s="94">
        <v>1.8056563697298462</v>
      </c>
      <c r="C8" s="94"/>
      <c r="D8" s="94"/>
    </row>
    <row r="9" spans="1:5" x14ac:dyDescent="0.35">
      <c r="A9" s="106">
        <v>80</v>
      </c>
      <c r="B9" s="94">
        <v>1.9448599561151176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0.08</v>
      </c>
      <c r="C2" s="162">
        <v>0.22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0.08</v>
      </c>
      <c r="B4" s="94">
        <v>2.7915447706725716</v>
      </c>
      <c r="C4" s="161">
        <v>0.13296112586776113</v>
      </c>
      <c r="D4" s="161">
        <v>5.2026944028305218E-2</v>
      </c>
    </row>
    <row r="5" spans="1:5" x14ac:dyDescent="0.35">
      <c r="A5" s="161">
        <v>0.108</v>
      </c>
      <c r="B5" s="94">
        <v>2.081516360001328</v>
      </c>
      <c r="C5" s="94"/>
      <c r="D5" s="94"/>
    </row>
    <row r="6" spans="1:5" x14ac:dyDescent="0.35">
      <c r="A6" s="161">
        <v>0.13600000000000001</v>
      </c>
      <c r="B6" s="94">
        <v>1.8320320887573895</v>
      </c>
      <c r="C6" s="94"/>
      <c r="D6" s="94"/>
    </row>
    <row r="7" spans="1:5" x14ac:dyDescent="0.35">
      <c r="A7" s="161">
        <v>0.16400000000000001</v>
      </c>
      <c r="B7" s="94">
        <v>2.1196690569610435</v>
      </c>
      <c r="C7" s="94"/>
      <c r="D7" s="94"/>
    </row>
    <row r="8" spans="1:5" x14ac:dyDescent="0.35">
      <c r="A8" s="161">
        <v>0.192</v>
      </c>
      <c r="B8" s="94">
        <v>3.0255099198971185</v>
      </c>
      <c r="C8" s="94"/>
      <c r="D8" s="94"/>
    </row>
    <row r="9" spans="1:5" x14ac:dyDescent="0.35">
      <c r="A9" s="161">
        <v>0.22</v>
      </c>
      <c r="B9" s="94">
        <v>4.635196049620748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3.4084736956698265</v>
      </c>
      <c r="C4" s="161">
        <v>1.6621116364056054E-2</v>
      </c>
      <c r="D4" s="161">
        <v>3.5025670477396374E-2</v>
      </c>
    </row>
    <row r="5" spans="1:5" x14ac:dyDescent="0.35">
      <c r="A5" s="161">
        <v>-1.7999999999999999E-2</v>
      </c>
      <c r="B5" s="94">
        <v>2.6838761979166805</v>
      </c>
      <c r="C5" s="94"/>
      <c r="D5" s="94"/>
    </row>
    <row r="6" spans="1:5" x14ac:dyDescent="0.35">
      <c r="A6" s="161">
        <v>-5.9999999999999984E-3</v>
      </c>
      <c r="B6" s="94">
        <v>2.1596171484145534</v>
      </c>
      <c r="C6" s="94"/>
      <c r="D6" s="94"/>
    </row>
    <row r="7" spans="1:5" x14ac:dyDescent="0.35">
      <c r="A7" s="161">
        <v>6.0000000000000019E-3</v>
      </c>
      <c r="B7" s="94">
        <v>1.8588757051601383</v>
      </c>
      <c r="C7" s="94"/>
      <c r="D7" s="94"/>
    </row>
    <row r="8" spans="1:5" x14ac:dyDescent="0.35">
      <c r="A8" s="161">
        <v>1.8000000000000002E-2</v>
      </c>
      <c r="B8" s="94">
        <v>1.8087205066441299</v>
      </c>
      <c r="C8" s="94"/>
      <c r="D8" s="94"/>
    </row>
    <row r="9" spans="1:5" x14ac:dyDescent="0.35">
      <c r="A9" s="161">
        <v>3.0000000000000002E-2</v>
      </c>
      <c r="B9" s="94">
        <v>2.0194822211770878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5</v>
      </c>
      <c r="C2" s="105">
        <v>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2.2843878534761988</v>
      </c>
      <c r="C4" s="106">
        <v>14.249187794541458</v>
      </c>
      <c r="D4" s="106">
        <v>12.565112999188136</v>
      </c>
    </row>
    <row r="5" spans="1:5" x14ac:dyDescent="0.35">
      <c r="A5" s="106">
        <v>10</v>
      </c>
      <c r="B5" s="94">
        <v>1.9761019277090626</v>
      </c>
      <c r="C5" s="94"/>
      <c r="D5" s="94"/>
    </row>
    <row r="6" spans="1:5" x14ac:dyDescent="0.35">
      <c r="A6" s="106">
        <v>15</v>
      </c>
      <c r="B6" s="94">
        <v>1.802559871838094</v>
      </c>
      <c r="C6" s="94"/>
      <c r="D6" s="94"/>
    </row>
    <row r="7" spans="1:5" x14ac:dyDescent="0.35">
      <c r="A7" s="106">
        <v>20</v>
      </c>
      <c r="B7" s="94">
        <v>1.9542184453280078</v>
      </c>
      <c r="C7" s="94"/>
      <c r="D7" s="94"/>
    </row>
    <row r="8" spans="1:5" x14ac:dyDescent="0.35">
      <c r="A8" s="106">
        <v>25</v>
      </c>
      <c r="B8" s="94">
        <v>2.4891194108265968</v>
      </c>
      <c r="C8" s="94"/>
      <c r="D8" s="94"/>
    </row>
    <row r="9" spans="1:5" x14ac:dyDescent="0.35">
      <c r="A9" s="106">
        <v>30</v>
      </c>
      <c r="B9" s="94">
        <v>3.3875547351544824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2" sqref="B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2.0584641366439924</v>
      </c>
      <c r="C4" s="106">
        <v>67.800936489247505</v>
      </c>
      <c r="D4" s="106">
        <v>132.49743061855114</v>
      </c>
    </row>
    <row r="5" spans="1:5" x14ac:dyDescent="0.35">
      <c r="A5" s="106">
        <v>30</v>
      </c>
      <c r="B5" s="94">
        <v>1.8962639442057574</v>
      </c>
      <c r="C5" s="94"/>
      <c r="D5" s="94"/>
    </row>
    <row r="6" spans="1:5" x14ac:dyDescent="0.35">
      <c r="A6" s="106">
        <v>55</v>
      </c>
      <c r="B6" s="94">
        <v>1.8118323782242505</v>
      </c>
      <c r="C6" s="94"/>
      <c r="D6" s="94"/>
    </row>
    <row r="7" spans="1:5" x14ac:dyDescent="0.35">
      <c r="A7" s="106">
        <v>80</v>
      </c>
      <c r="B7" s="94">
        <v>1.8423395373431046</v>
      </c>
      <c r="C7" s="94"/>
      <c r="D7" s="94"/>
    </row>
    <row r="8" spans="1:5" x14ac:dyDescent="0.35">
      <c r="A8" s="106">
        <v>105</v>
      </c>
      <c r="B8" s="94">
        <v>1.9265766737979746</v>
      </c>
      <c r="C8" s="94"/>
      <c r="D8" s="94"/>
    </row>
    <row r="9" spans="1:5" x14ac:dyDescent="0.35">
      <c r="A9" s="106">
        <v>130</v>
      </c>
      <c r="B9" s="94">
        <v>2.0281753885290623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3.4282116012100809</v>
      </c>
      <c r="C4" s="99">
        <v>2.0873316142293096E-6</v>
      </c>
      <c r="D4" s="99">
        <v>6.9349943658839326E-8</v>
      </c>
    </row>
    <row r="5" spans="1:5" x14ac:dyDescent="0.35">
      <c r="A5" s="99">
        <v>2.024E-6</v>
      </c>
      <c r="B5" s="94">
        <v>2.6291424455190473</v>
      </c>
      <c r="C5" s="94"/>
      <c r="D5" s="94"/>
    </row>
    <row r="6" spans="1:5" x14ac:dyDescent="0.35">
      <c r="A6" s="99">
        <v>2.0480000000000001E-6</v>
      </c>
      <c r="B6" s="94">
        <v>2.2794753379917139</v>
      </c>
      <c r="C6" s="94"/>
      <c r="D6" s="94"/>
    </row>
    <row r="7" spans="1:5" x14ac:dyDescent="0.35">
      <c r="A7" s="99">
        <v>2.0719999999999998E-6</v>
      </c>
      <c r="B7" s="94">
        <v>1.8825771206789566</v>
      </c>
      <c r="C7" s="94"/>
      <c r="D7" s="94"/>
    </row>
    <row r="8" spans="1:5" x14ac:dyDescent="0.35">
      <c r="A8" s="99">
        <v>2.0959999999999999E-6</v>
      </c>
      <c r="B8" s="94">
        <v>1.7587262950706193</v>
      </c>
      <c r="C8" s="94"/>
      <c r="D8" s="94"/>
    </row>
    <row r="9" spans="1:5" x14ac:dyDescent="0.35">
      <c r="A9" s="99">
        <v>2.12E-6</v>
      </c>
      <c r="B9" s="94">
        <v>2.1203731553129641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1.9999999999999999E-6</v>
      </c>
      <c r="C2" s="119">
        <v>2.2000000000000001E-6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2.3445401259994645</v>
      </c>
      <c r="C4" s="99">
        <v>2.0934785024415279E-6</v>
      </c>
      <c r="D4" s="99">
        <v>1.2155293788086531E-7</v>
      </c>
    </row>
    <row r="5" spans="1:5" x14ac:dyDescent="0.35">
      <c r="A5" s="99">
        <v>2.04E-6</v>
      </c>
      <c r="B5" s="94">
        <v>1.9698981629652257</v>
      </c>
      <c r="C5" s="94"/>
      <c r="D5" s="94"/>
    </row>
    <row r="6" spans="1:5" x14ac:dyDescent="0.35">
      <c r="A6" s="99">
        <v>2.08E-6</v>
      </c>
      <c r="B6" s="94">
        <v>1.7830238926792092</v>
      </c>
      <c r="C6" s="94"/>
      <c r="D6" s="94"/>
    </row>
    <row r="7" spans="1:5" x14ac:dyDescent="0.35">
      <c r="A7" s="99">
        <v>2.12E-6</v>
      </c>
      <c r="B7" s="94">
        <v>1.8027313054821863</v>
      </c>
      <c r="C7" s="94"/>
      <c r="D7" s="94"/>
    </row>
    <row r="8" spans="1:5" x14ac:dyDescent="0.35">
      <c r="A8" s="99">
        <v>2.1600000000000001E-6</v>
      </c>
      <c r="B8" s="94">
        <v>2.0485235499317298</v>
      </c>
      <c r="C8" s="94"/>
      <c r="D8" s="94"/>
    </row>
    <row r="9" spans="1:5" x14ac:dyDescent="0.35">
      <c r="A9" s="99">
        <v>2.2000000000000001E-6</v>
      </c>
      <c r="B9" s="94">
        <v>2.5405983544504904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1.77E-6</v>
      </c>
      <c r="C2" s="119">
        <v>1.8700000000000001E-6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1.77E-6</v>
      </c>
      <c r="B4" s="94">
        <v>1.9726550853953584</v>
      </c>
      <c r="C4" s="99">
        <v>1.8088453673519601E-6</v>
      </c>
      <c r="D4" s="99">
        <v>7.8023667717618933E-8</v>
      </c>
    </row>
    <row r="5" spans="1:5" x14ac:dyDescent="0.35">
      <c r="A5" s="99">
        <v>1.79E-6</v>
      </c>
      <c r="B5" s="94">
        <v>1.7821276617764279</v>
      </c>
      <c r="C5" s="94"/>
      <c r="D5" s="94"/>
    </row>
    <row r="6" spans="1:5" x14ac:dyDescent="0.35">
      <c r="A6" s="99">
        <v>1.81E-6</v>
      </c>
      <c r="B6" s="94">
        <v>1.7218234827745029</v>
      </c>
      <c r="C6" s="94"/>
      <c r="D6" s="94"/>
    </row>
    <row r="7" spans="1:5" x14ac:dyDescent="0.35">
      <c r="A7" s="99">
        <v>1.8300000000000001E-6</v>
      </c>
      <c r="B7" s="94">
        <v>1.7973775080258725</v>
      </c>
      <c r="C7" s="94"/>
      <c r="D7" s="94"/>
    </row>
    <row r="8" spans="1:5" x14ac:dyDescent="0.35">
      <c r="A8" s="99">
        <v>1.8500000000000001E-6</v>
      </c>
      <c r="B8" s="94">
        <v>2.0060371092168801</v>
      </c>
      <c r="C8" s="94"/>
      <c r="D8" s="94"/>
    </row>
    <row r="9" spans="1:5" x14ac:dyDescent="0.35">
      <c r="A9" s="99">
        <v>1.8700000000000001E-6</v>
      </c>
      <c r="B9" s="94">
        <v>2.3362496613930785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D21B0-FD30-4037-8CDD-D3A1E2D6FA8D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8.33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174702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643</v>
      </c>
      <c r="F4" s="1">
        <v>11</v>
      </c>
      <c r="G4" s="117">
        <v>0.69843749999999993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174702</v>
      </c>
      <c r="C8" s="1">
        <v>174452</v>
      </c>
      <c r="D8" s="1">
        <v>1.2030000000000001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174703</v>
      </c>
      <c r="C9" s="1">
        <v>174453</v>
      </c>
      <c r="D9" s="1">
        <v>1.2017199999999999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174704</v>
      </c>
      <c r="C10" s="1">
        <v>174454</v>
      </c>
      <c r="D10" s="1">
        <v>1.2016500000000001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174705</v>
      </c>
      <c r="C11" s="1">
        <v>174455</v>
      </c>
      <c r="D11" s="1">
        <v>1.2016500000000001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174706</v>
      </c>
      <c r="C12" s="1">
        <v>174456</v>
      </c>
      <c r="D12" s="1">
        <v>1.2016500000000001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174707</v>
      </c>
      <c r="C13" s="1">
        <v>174456</v>
      </c>
      <c r="D13" s="1">
        <v>2.3692000000000002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174708</v>
      </c>
      <c r="C14" s="1">
        <v>174456</v>
      </c>
      <c r="D14" s="1">
        <v>4.6893399999999996</v>
      </c>
      <c r="E14" s="1">
        <v>2.5495399999999999</v>
      </c>
      <c r="F14" s="1">
        <v>5.9504999999999999</v>
      </c>
      <c r="G14" s="1">
        <v>8.6300000000000002E-2</v>
      </c>
      <c r="H14" s="1">
        <v>0.2016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644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644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174702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1.04571312705</v>
      </c>
      <c r="K22" s="1">
        <v>6074</v>
      </c>
      <c r="L22" s="1">
        <v>44.580647999999997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174703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1.04571312705</v>
      </c>
      <c r="K23" s="1">
        <v>6094</v>
      </c>
      <c r="L23" s="1">
        <v>38.261516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174704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1.04571312705</v>
      </c>
      <c r="K24" s="1">
        <v>6017</v>
      </c>
      <c r="L24" s="1">
        <v>76.204624999999993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174705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1.04571312705</v>
      </c>
      <c r="K25" s="1">
        <v>6019</v>
      </c>
      <c r="L25" s="1">
        <v>75.108660999999998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174706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1.04571312705</v>
      </c>
      <c r="K26" s="1">
        <v>18026</v>
      </c>
      <c r="L26" s="1">
        <v>375.30004200000002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174707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1.04571312705</v>
      </c>
      <c r="K27" s="1">
        <v>18005</v>
      </c>
      <c r="L27" s="1">
        <v>851.051874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174708</v>
      </c>
      <c r="D28" s="1">
        <v>174456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</v>
      </c>
      <c r="J28" s="1">
        <v>1.04571312705</v>
      </c>
      <c r="K28" s="1">
        <v>36015</v>
      </c>
      <c r="L28" s="1">
        <v>975.97482400000001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8.2642749047700005E-3</v>
      </c>
      <c r="B41" s="1">
        <v>0.82177163770600004</v>
      </c>
      <c r="C41" s="1">
        <v>0.270483781639</v>
      </c>
      <c r="D41" s="1">
        <v>5.9007832281000004E-4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8.3469176538099998E-3</v>
      </c>
      <c r="B42" s="1">
        <v>0.959549582736</v>
      </c>
      <c r="C42" s="1">
        <v>0.144050831854</v>
      </c>
      <c r="D42" s="1">
        <v>5.9197910603799996E-4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8.4303868303500003E-3</v>
      </c>
      <c r="B43" s="1">
        <v>1.1636447060799999</v>
      </c>
      <c r="C43" s="1">
        <v>0.11516370261099999</v>
      </c>
      <c r="D43" s="1">
        <v>5.9389889709799998E-4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8.5146906986500008E-3</v>
      </c>
      <c r="B44" s="1">
        <v>1.0743831885299999</v>
      </c>
      <c r="C44" s="1">
        <v>9.0086480836599994E-2</v>
      </c>
      <c r="D44" s="1">
        <v>5.9583788606899996E-4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8.5998376056400008E-3</v>
      </c>
      <c r="B45" s="1">
        <v>0.99641715081799997</v>
      </c>
      <c r="C45" s="1">
        <v>7.8236605365100007E-2</v>
      </c>
      <c r="D45" s="1">
        <v>5.9779626492999997E-4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8.6858359817000002E-3</v>
      </c>
      <c r="B46" s="1">
        <v>0.95832920567699997</v>
      </c>
      <c r="C46" s="1">
        <v>7.0281017504499999E-2</v>
      </c>
      <c r="D46" s="1">
        <v>5.9977422757899999E-4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8.7726943415100001E-3</v>
      </c>
      <c r="B47" s="1">
        <v>1.0114169202600001</v>
      </c>
      <c r="C47" s="1">
        <v>7.1088382362099994E-2</v>
      </c>
      <c r="D47" s="1">
        <v>6.0177196985499999E-4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8.86042128493E-3</v>
      </c>
      <c r="B48" s="1">
        <v>1.0116008889699999</v>
      </c>
      <c r="C48" s="1">
        <v>6.8316622402300006E-2</v>
      </c>
      <c r="D48" s="1">
        <v>6.0378968955299996E-4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8.9490254977800006E-3</v>
      </c>
      <c r="B49" s="1">
        <v>0.99251607658800001</v>
      </c>
      <c r="C49" s="1">
        <v>6.4595511824599994E-2</v>
      </c>
      <c r="D49" s="1">
        <v>6.0582758644900001E-4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9.0385157527600006E-3</v>
      </c>
      <c r="B50" s="1">
        <v>1.0046323643099999</v>
      </c>
      <c r="C50" s="1">
        <v>6.1366005555399998E-2</v>
      </c>
      <c r="D50" s="1">
        <v>6.0788586231300004E-4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9.1289009102799995E-3</v>
      </c>
      <c r="B51" s="1">
        <v>1.1378237233699999</v>
      </c>
      <c r="C51" s="1">
        <v>6.4706607201700003E-2</v>
      </c>
      <c r="D51" s="1">
        <v>6.0996472093700004E-4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9.2201899193900001E-3</v>
      </c>
      <c r="B52" s="1">
        <v>1.08642924004</v>
      </c>
      <c r="C52" s="1">
        <v>6.2210696014500001E-2</v>
      </c>
      <c r="D52" s="1">
        <v>6.1206436814599996E-4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9.3123918185800004E-3</v>
      </c>
      <c r="B53" s="1">
        <v>0.96732730452600002</v>
      </c>
      <c r="C53" s="1">
        <v>5.6283046463400002E-2</v>
      </c>
      <c r="D53" s="1">
        <v>6.1418501182700005E-4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9.4055157367700006E-3</v>
      </c>
      <c r="B54" s="1">
        <v>1.0274552272699999</v>
      </c>
      <c r="C54" s="1">
        <v>4.3528355979600003E-2</v>
      </c>
      <c r="D54" s="1">
        <v>6.1632686194599997E-4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9.4995708941299998E-3</v>
      </c>
      <c r="B55" s="1">
        <v>1.04625953337</v>
      </c>
      <c r="C55" s="1">
        <v>4.1025141893000001E-2</v>
      </c>
      <c r="D55" s="1">
        <v>6.1849013056499997E-4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9.5945666030799997E-3</v>
      </c>
      <c r="B56" s="1">
        <v>0.966470208178</v>
      </c>
      <c r="C56" s="1">
        <v>3.8260450889399999E-2</v>
      </c>
      <c r="D56" s="1">
        <v>6.2067503187099998E-4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9.69051226911E-3</v>
      </c>
      <c r="B57" s="1">
        <v>0.88998213016700001</v>
      </c>
      <c r="C57" s="1">
        <v>3.60063829492E-2</v>
      </c>
      <c r="D57" s="1">
        <v>6.2288178218900003E-4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9.7874173918000001E-3</v>
      </c>
      <c r="B58" s="1">
        <v>0.92905838765100002</v>
      </c>
      <c r="C58" s="1">
        <v>3.6234868637199998E-2</v>
      </c>
      <c r="D58" s="1">
        <v>6.2511060001099999E-4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9.8852915657199995E-3</v>
      </c>
      <c r="B59" s="1">
        <v>0.86019682306400003</v>
      </c>
      <c r="C59" s="1">
        <v>5.1235690766500003E-2</v>
      </c>
      <c r="D59" s="1">
        <v>6.2736170601099999E-4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9.9841444813699998E-3</v>
      </c>
      <c r="B60" s="1">
        <v>0.73845502524999995</v>
      </c>
      <c r="C60" s="1">
        <v>4.4976210693700003E-2</v>
      </c>
      <c r="D60" s="1">
        <v>6.2963532307199995E-4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1.0083985926200001E-2</v>
      </c>
      <c r="B61" s="1">
        <v>0.64505621316700001</v>
      </c>
      <c r="C61" s="1">
        <v>4.1317455788200001E-2</v>
      </c>
      <c r="D61" s="1">
        <v>6.3193167630200004E-4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1.01848257854E-2</v>
      </c>
      <c r="B62" s="1">
        <v>0.49831422960900001</v>
      </c>
      <c r="C62" s="1">
        <v>3.6001190233699999E-2</v>
      </c>
      <c r="D62" s="1">
        <v>6.3425099306499996E-4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1.02866740433E-2</v>
      </c>
      <c r="B63" s="1">
        <v>0.39183881758200001</v>
      </c>
      <c r="C63" s="1">
        <v>3.0111315779499999E-2</v>
      </c>
      <c r="D63" s="1">
        <v>6.3659350299599996E-4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1.03895407837E-2</v>
      </c>
      <c r="B64" s="1">
        <v>0.33465435073499999</v>
      </c>
      <c r="C64" s="1">
        <v>2.7503448561699999E-2</v>
      </c>
      <c r="D64" s="1">
        <v>6.3895943802600005E-4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1.04934361916E-2</v>
      </c>
      <c r="B65" s="1">
        <v>0.28329026764499998</v>
      </c>
      <c r="C65" s="1">
        <v>2.50714381151E-2</v>
      </c>
      <c r="D65" s="1">
        <v>6.4134903240600002E-4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1.05983705535E-2</v>
      </c>
      <c r="B66" s="1">
        <v>0.247741496777</v>
      </c>
      <c r="C66" s="1">
        <v>2.2487593990900001E-2</v>
      </c>
      <c r="D66" s="1">
        <v>6.4376252273E-4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1.0704354259E-2</v>
      </c>
      <c r="B67" s="1">
        <v>0.264971831662</v>
      </c>
      <c r="C67" s="1">
        <v>2.28171717133E-2</v>
      </c>
      <c r="D67" s="1">
        <v>6.46200147958E-4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1.08113978016E-2</v>
      </c>
      <c r="B68" s="1">
        <v>0.238943630967</v>
      </c>
      <c r="C68" s="1">
        <v>2.0916263508899999E-2</v>
      </c>
      <c r="D68" s="1">
        <v>6.4866214943700004E-4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1.0919511779600001E-2</v>
      </c>
      <c r="B69" s="1">
        <v>0.22487944319299999</v>
      </c>
      <c r="C69" s="1">
        <v>2.0010869144E-2</v>
      </c>
      <c r="D69" s="1">
        <v>6.5114877093200004E-4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1.1028706897400001E-2</v>
      </c>
      <c r="B70" s="1">
        <v>0.19057696042300001</v>
      </c>
      <c r="C70" s="1">
        <v>1.7971715486999999E-2</v>
      </c>
      <c r="D70" s="1">
        <v>6.5366025864100003E-4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1.11389939664E-2</v>
      </c>
      <c r="B71" s="1">
        <v>0.17520280144600001</v>
      </c>
      <c r="C71" s="1">
        <v>1.6453566951999999E-2</v>
      </c>
      <c r="D71" s="1">
        <v>6.5619686122700004E-4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1.12503839061E-2</v>
      </c>
      <c r="B72" s="1">
        <v>0.205113637732</v>
      </c>
      <c r="C72" s="1">
        <v>1.7911998526399998E-2</v>
      </c>
      <c r="D72" s="1">
        <v>6.5875882983899999E-4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1.1362887745099999E-2</v>
      </c>
      <c r="B73" s="1">
        <v>0.15009274420099999</v>
      </c>
      <c r="C73" s="1">
        <v>1.4853452937600001E-2</v>
      </c>
      <c r="D73" s="1">
        <v>6.6134641813799997E-4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1.14765166226E-2</v>
      </c>
      <c r="B74" s="1">
        <v>0.16785287875499999</v>
      </c>
      <c r="C74" s="1">
        <v>1.53255535377E-2</v>
      </c>
      <c r="D74" s="1">
        <v>6.6395988231899997E-4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1.1591281788799999E-2</v>
      </c>
      <c r="B75" s="1">
        <v>0.135603922111</v>
      </c>
      <c r="C75" s="1">
        <v>8.2681468235100003E-3</v>
      </c>
      <c r="D75" s="1">
        <v>6.6659948114199997E-4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1.17071946067E-2</v>
      </c>
      <c r="B76" s="1">
        <v>0.124343110033</v>
      </c>
      <c r="C76" s="1">
        <v>7.3724008539399997E-3</v>
      </c>
      <c r="D76" s="1">
        <v>6.69265475954E-4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1.18242665528E-2</v>
      </c>
      <c r="B77" s="1">
        <v>0.116863649093</v>
      </c>
      <c r="C77" s="1">
        <v>7.0322089826100002E-3</v>
      </c>
      <c r="D77" s="1">
        <v>6.7195813071299995E-4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1.19425092183E-2</v>
      </c>
      <c r="B78" s="1">
        <v>9.4855528076999998E-2</v>
      </c>
      <c r="C78" s="1">
        <v>6.32967598127E-3</v>
      </c>
      <c r="D78" s="1">
        <v>6.7467771202100004E-4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1.2061934310500001E-2</v>
      </c>
      <c r="B79" s="1">
        <v>7.5393521978899994E-2</v>
      </c>
      <c r="C79" s="1">
        <v>5.3408947383899999E-3</v>
      </c>
      <c r="D79" s="1">
        <v>6.7742448914099999E-4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1.2182553653599999E-2</v>
      </c>
      <c r="B80" s="1">
        <v>6.7971150437E-2</v>
      </c>
      <c r="C80" s="1">
        <v>6.2304144839099998E-3</v>
      </c>
      <c r="D80" s="1">
        <v>6.8019873403200003E-4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1.2304379190100001E-2</v>
      </c>
      <c r="B81" s="1">
        <v>4.7713852090000002E-2</v>
      </c>
      <c r="C81" s="1">
        <v>5.1962709198900003E-3</v>
      </c>
      <c r="D81" s="1">
        <v>6.8300072137200002E-4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1.2427422981999999E-2</v>
      </c>
      <c r="B82" s="1">
        <v>4.7765029949399997E-2</v>
      </c>
      <c r="C82" s="1">
        <v>4.92712177939E-3</v>
      </c>
      <c r="D82" s="1">
        <v>6.8583072858600003E-4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1.25516972118E-2</v>
      </c>
      <c r="B83" s="1">
        <v>3.8847737657600002E-2</v>
      </c>
      <c r="C83" s="1">
        <v>4.4935467046699996E-3</v>
      </c>
      <c r="D83" s="1">
        <v>6.8868903587199996E-4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1.26772141839E-2</v>
      </c>
      <c r="B84" s="1">
        <v>3.4524883488499997E-2</v>
      </c>
      <c r="C84" s="1">
        <v>4.1491113941799999E-3</v>
      </c>
      <c r="D84" s="1">
        <v>6.9157592623100004E-4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1.28039863258E-2</v>
      </c>
      <c r="B85" s="1">
        <v>2.76670352791E-2</v>
      </c>
      <c r="C85" s="1">
        <v>3.7007087495300002E-3</v>
      </c>
      <c r="D85" s="1">
        <v>6.9449168549300003E-4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1.2932026189000001E-2</v>
      </c>
      <c r="B86" s="1">
        <v>2.2073867405399999E-2</v>
      </c>
      <c r="C86" s="1">
        <v>3.12089260139E-3</v>
      </c>
      <c r="D86" s="1">
        <v>6.9743660234799999E-4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1.3061346450899999E-2</v>
      </c>
      <c r="B87" s="1">
        <v>1.73814548917E-2</v>
      </c>
      <c r="C87" s="1">
        <v>2.7981644095499999E-3</v>
      </c>
      <c r="D87" s="1">
        <v>7.0041096837200004E-4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1.31919599154E-2</v>
      </c>
      <c r="B88" s="1">
        <v>1.7773767485100001E-2</v>
      </c>
      <c r="C88" s="1">
        <v>2.67485003238E-3</v>
      </c>
      <c r="D88" s="1">
        <v>7.0341507805499995E-4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1.33238795146E-2</v>
      </c>
      <c r="B89" s="1">
        <v>1.77323830752E-2</v>
      </c>
      <c r="C89" s="1">
        <v>2.69495779962E-3</v>
      </c>
      <c r="D89" s="1">
        <v>7.0644922883600001E-4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1.3457118309700001E-2</v>
      </c>
      <c r="B90" s="1">
        <v>2.1272456873000001E-2</v>
      </c>
      <c r="C90" s="1">
        <v>2.7146866187099999E-3</v>
      </c>
      <c r="D90" s="1">
        <v>7.0951372112399997E-4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1.3591689492799999E-2</v>
      </c>
      <c r="B91" s="1">
        <v>2.0046251030799999E-2</v>
      </c>
      <c r="C91" s="1">
        <v>2.6467945468899999E-3</v>
      </c>
      <c r="D91" s="1">
        <v>7.1260885833499996E-4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1.37276063878E-2</v>
      </c>
      <c r="B92" s="1">
        <v>2.3448781467699999E-2</v>
      </c>
      <c r="C92" s="1">
        <v>2.6993706337200001E-3</v>
      </c>
      <c r="D92" s="86">
        <v>7.1573494691900001E-4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1.3864882451600001E-2</v>
      </c>
      <c r="B93" s="1">
        <v>2.4568725740100002E-2</v>
      </c>
      <c r="C93" s="1">
        <v>2.7360895013699999E-3</v>
      </c>
      <c r="D93" s="1">
        <v>7.1889229638800003E-4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1.40035312762E-2</v>
      </c>
      <c r="B94" s="1">
        <v>2.6827507479699999E-2</v>
      </c>
      <c r="C94" s="1">
        <v>2.7691849524900001E-3</v>
      </c>
      <c r="D94" s="1">
        <v>7.2208121935199996E-4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1.41435665889E-2</v>
      </c>
      <c r="B95" s="1">
        <v>3.1842270055200003E-2</v>
      </c>
      <c r="C95" s="1">
        <v>2.9640386447400001E-3</v>
      </c>
      <c r="D95" s="1">
        <v>7.2530203154500005E-4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1.42850022548E-2</v>
      </c>
      <c r="B96" s="1">
        <v>3.06709293189E-2</v>
      </c>
      <c r="C96" s="1">
        <v>2.7767846017599999E-3</v>
      </c>
      <c r="D96" s="1">
        <v>7.2855505186099996E-4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1.44278522774E-2</v>
      </c>
      <c r="B97" s="1">
        <v>3.1161000326700002E-2</v>
      </c>
      <c r="C97" s="1">
        <v>2.7543490668700001E-3</v>
      </c>
      <c r="D97" s="1">
        <v>7.3184060237899997E-4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1.4572130800099999E-2</v>
      </c>
      <c r="B98" s="1">
        <v>3.7499696103200003E-2</v>
      </c>
      <c r="C98" s="1">
        <v>2.90359013635E-3</v>
      </c>
      <c r="D98" s="1">
        <v>7.3515900840299996E-4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1.4717852108099999E-2</v>
      </c>
      <c r="B99" s="1">
        <v>2.7950705386900001E-2</v>
      </c>
      <c r="C99" s="1">
        <v>2.5589078808500002E-3</v>
      </c>
      <c r="D99" s="1">
        <v>7.3851059848700003E-4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1.4865030629200001E-2</v>
      </c>
      <c r="B100" s="1">
        <v>3.3120307442999999E-2</v>
      </c>
      <c r="C100" s="1">
        <v>2.6578251601099999E-3</v>
      </c>
      <c r="D100" s="1">
        <v>7.4189570447199995E-4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1.50136809355E-2</v>
      </c>
      <c r="B101" s="1">
        <v>3.0611073202499998E-2</v>
      </c>
      <c r="C101" s="1">
        <v>2.4670890433600001E-3</v>
      </c>
      <c r="D101" s="1">
        <v>7.4531466151699999E-4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1.5163817744900001E-2</v>
      </c>
      <c r="B102" s="1">
        <v>2.4986392856E-2</v>
      </c>
      <c r="C102" s="1">
        <v>1.61224078595E-3</v>
      </c>
      <c r="D102" s="1">
        <v>7.4876780813200002E-4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1.5315455922300001E-2</v>
      </c>
      <c r="B103" s="1">
        <v>3.0988331357799999E-2</v>
      </c>
      <c r="C103" s="1">
        <v>1.73300285512E-3</v>
      </c>
      <c r="D103" s="1">
        <v>7.5225548621300005E-4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1.54686104815E-2</v>
      </c>
      <c r="B104" s="1">
        <v>3.1632250076300002E-2</v>
      </c>
      <c r="C104" s="1">
        <v>1.7321889993099999E-3</v>
      </c>
      <c r="D104" s="1">
        <v>7.5577804107499998E-4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1.56232965864E-2</v>
      </c>
      <c r="B105" s="1">
        <v>2.6546493320599999E-2</v>
      </c>
      <c r="C105" s="1">
        <v>1.5122536958400001E-3</v>
      </c>
      <c r="D105" s="1">
        <v>7.5933582148599997E-4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1.5779529552200001E-2</v>
      </c>
      <c r="B106" s="1">
        <v>2.1516314556500001E-2</v>
      </c>
      <c r="C106" s="1">
        <v>1.32632158833E-3</v>
      </c>
      <c r="D106" s="1">
        <v>7.6292917970100004E-4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1.59373248477E-2</v>
      </c>
      <c r="B107" s="1">
        <v>2.05674957165E-2</v>
      </c>
      <c r="C107" s="1">
        <v>1.2760438255799999E-3</v>
      </c>
      <c r="D107" s="1">
        <v>7.6655847149800001E-4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1.6096698096199999E-2</v>
      </c>
      <c r="B108" s="1">
        <v>2.0148696574000001E-2</v>
      </c>
      <c r="C108" s="1">
        <v>1.2738358496E-3</v>
      </c>
      <c r="D108" s="1">
        <v>7.7022405621299998E-4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1.6257665077200001E-2</v>
      </c>
      <c r="B109" s="1">
        <v>1.7733589995999999E-2</v>
      </c>
      <c r="C109" s="1">
        <v>1.6968515950000001E-3</v>
      </c>
      <c r="D109" s="1">
        <v>7.7392629677499995E-4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1.6420241727999999E-2</v>
      </c>
      <c r="B110" s="1">
        <v>1.51688128165E-2</v>
      </c>
      <c r="C110" s="1">
        <v>1.5070424105400001E-3</v>
      </c>
      <c r="D110" s="1">
        <v>7.7766555974299997E-4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1.6584444145200002E-2</v>
      </c>
      <c r="B111" s="1">
        <v>1.1702474268499999E-2</v>
      </c>
      <c r="C111" s="1">
        <v>1.30054451279E-3</v>
      </c>
      <c r="D111" s="1">
        <v>7.8144221533999999E-4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1.67502885867E-2</v>
      </c>
      <c r="B112" s="1">
        <v>1.12346685674E-2</v>
      </c>
      <c r="C112" s="1">
        <v>1.23715900879E-3</v>
      </c>
      <c r="D112" s="1">
        <v>7.8525663749399999E-4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1.6917791472599999E-2</v>
      </c>
      <c r="B113" s="1">
        <v>7.3113918688799996E-3</v>
      </c>
      <c r="C113" s="1">
        <v>1.0141062497500001E-3</v>
      </c>
      <c r="D113" s="1">
        <v>7.8910920386899999E-4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1.7086969387300002E-2</v>
      </c>
      <c r="B114" s="1">
        <v>6.2772879272799996E-3</v>
      </c>
      <c r="C114" s="1">
        <v>9.7860281676899995E-4</v>
      </c>
      <c r="D114" s="1">
        <v>7.9300029590700005E-4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1.7257839081199999E-2</v>
      </c>
      <c r="B115" s="1">
        <v>6.0267030975800001E-3</v>
      </c>
      <c r="C115" s="1">
        <v>8.8301153126899999E-4</v>
      </c>
      <c r="D115" s="1">
        <v>7.9693029886600004E-4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1.7430417472000002E-2</v>
      </c>
      <c r="B116" s="1">
        <v>5.3936723490299997E-3</v>
      </c>
      <c r="C116" s="1">
        <v>8.2493430793299999E-4</v>
      </c>
      <c r="D116" s="1">
        <v>8.0089960185499996E-4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1.7604721646699999E-2</v>
      </c>
      <c r="B117" s="1">
        <v>6.2911939403300001E-3</v>
      </c>
      <c r="C117" s="1">
        <v>8.90935751913E-4</v>
      </c>
      <c r="D117" s="1">
        <v>8.0490859787399999E-4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1.77807688631E-2</v>
      </c>
      <c r="B118" s="1">
        <v>5.4996902532600004E-3</v>
      </c>
      <c r="C118" s="1">
        <v>7.7517612566000002E-4</v>
      </c>
      <c r="D118" s="1">
        <v>8.08957683852E-4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1.7958576551799998E-2</v>
      </c>
      <c r="B119" s="1">
        <v>4.0160595285899997E-3</v>
      </c>
      <c r="C119" s="1">
        <v>6.7296040477799997E-4</v>
      </c>
      <c r="D119" s="1">
        <v>8.1304726069100005E-4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1.8138162317300002E-2</v>
      </c>
      <c r="B120" s="1">
        <v>6.3477343855700002E-3</v>
      </c>
      <c r="C120" s="1">
        <v>8.3684333494700002E-4</v>
      </c>
      <c r="D120" s="1">
        <v>8.17177733298E-4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1.8319543940500001E-2</v>
      </c>
      <c r="B121" s="1">
        <v>4.33565476823E-3</v>
      </c>
      <c r="C121" s="1">
        <v>6.6825857776300001E-4</v>
      </c>
      <c r="D121" s="1">
        <v>8.2134951063100002E-4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1.8502739379900001E-2</v>
      </c>
      <c r="B122" s="1">
        <v>4.8589286391899997E-3</v>
      </c>
      <c r="C122" s="1">
        <v>6.9960791855999997E-4</v>
      </c>
      <c r="D122" s="1">
        <v>8.2556300573700004E-4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1.8687766773700001E-2</v>
      </c>
      <c r="B123" s="1">
        <v>6.5622200960000002E-3</v>
      </c>
      <c r="C123" s="1">
        <v>7.9543960681699997E-4</v>
      </c>
      <c r="D123" s="1">
        <v>8.2981863579399998E-4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1.8874644441399999E-2</v>
      </c>
      <c r="B124" s="1">
        <v>6.3076549946899998E-3</v>
      </c>
      <c r="C124" s="1">
        <v>7.4438655756899996E-4</v>
      </c>
      <c r="D124" s="1">
        <v>8.34116822152E-4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1.9063390885799999E-2</v>
      </c>
      <c r="B125" s="1">
        <v>8.7340179339400002E-3</v>
      </c>
      <c r="C125" s="1">
        <v>8.6032791710600001E-4</v>
      </c>
      <c r="D125" s="1">
        <v>8.3845799037399996E-4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1.9254024794699998E-2</v>
      </c>
      <c r="B126" s="1">
        <v>7.5756554838399999E-3</v>
      </c>
      <c r="C126" s="1">
        <v>7.6944031747100004E-4</v>
      </c>
      <c r="D126" s="1">
        <v>8.4284257027799996E-4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1.9446565042599999E-2</v>
      </c>
      <c r="B127" s="1">
        <v>8.4581488845600003E-3</v>
      </c>
      <c r="C127" s="1">
        <v>8.0424534758399998E-4</v>
      </c>
      <c r="D127" s="1">
        <v>8.4727099597999998E-4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1.9641030693100001E-2</v>
      </c>
      <c r="B128" s="1">
        <v>7.6485986554500002E-3</v>
      </c>
      <c r="C128" s="1">
        <v>7.5232637873600002E-4</v>
      </c>
      <c r="D128" s="1">
        <v>8.5174370594E-4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1.9837441000000001E-2</v>
      </c>
      <c r="B129" s="1">
        <v>8.1745507943699995E-3</v>
      </c>
      <c r="C129" s="1">
        <v>7.7064355834599997E-4</v>
      </c>
      <c r="D129" s="1">
        <v>8.5626114299999995E-4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2.0035815410000001E-2</v>
      </c>
      <c r="B130" s="1">
        <v>8.7215653465799996E-3</v>
      </c>
      <c r="C130" s="1">
        <v>7.9847659015300004E-4</v>
      </c>
      <c r="D130" s="1">
        <v>8.6082375442999995E-4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2.0236173564099999E-2</v>
      </c>
      <c r="B131" s="1">
        <v>8.5638053997199991E-3</v>
      </c>
      <c r="C131" s="1">
        <v>7.6536418806399996E-4</v>
      </c>
      <c r="D131" s="1">
        <v>8.6543199197399996E-4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2.0438535299700002E-2</v>
      </c>
      <c r="B132" s="1">
        <v>8.0078286284800005E-3</v>
      </c>
      <c r="C132" s="1">
        <v>7.3419497426599999E-4</v>
      </c>
      <c r="D132" s="1">
        <v>8.7008631189400005E-4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2.06429206527E-2</v>
      </c>
      <c r="B133" s="1">
        <v>7.6947332569400001E-3</v>
      </c>
      <c r="C133" s="1">
        <v>7.0071952648300003E-4</v>
      </c>
      <c r="D133" s="1">
        <v>8.7478717501299999E-4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2.0849349859299999E-2</v>
      </c>
      <c r="B134" s="1">
        <v>6.7753048423999998E-3</v>
      </c>
      <c r="C134" s="1">
        <v>6.5557955667200005E-4</v>
      </c>
      <c r="D134" s="1">
        <v>8.7953504676300002E-4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2.1057843357800001E-2</v>
      </c>
      <c r="B135" s="1">
        <v>5.3073140208000002E-3</v>
      </c>
      <c r="C135" s="1">
        <v>5.7083745736799996E-4</v>
      </c>
      <c r="D135" s="1">
        <v>8.8433039722999999E-4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2.12684217914E-2</v>
      </c>
      <c r="B136" s="1">
        <v>5.7703640809500002E-3</v>
      </c>
      <c r="C136" s="1">
        <v>5.8245883245899995E-4</v>
      </c>
      <c r="D136" s="1">
        <v>8.8917370120300001E-4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2.1481106009300002E-2</v>
      </c>
      <c r="B137" s="1">
        <v>5.0972649545600003E-3</v>
      </c>
      <c r="C137" s="1">
        <v>5.3893787113200005E-4</v>
      </c>
      <c r="D137" s="1">
        <v>8.9406543821499997E-4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2.1695917069400002E-2</v>
      </c>
      <c r="B138" s="1">
        <v>3.9191768708899998E-3</v>
      </c>
      <c r="C138" s="1">
        <v>4.7298458550599999E-4</v>
      </c>
      <c r="D138" s="1">
        <v>8.9900609259699999E-4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2.19128762401E-2</v>
      </c>
      <c r="B139" s="1">
        <v>3.4061602671599999E-3</v>
      </c>
      <c r="C139" s="1">
        <v>4.3196515149799999E-4</v>
      </c>
      <c r="D139" s="1">
        <v>9.0399615352299999E-4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2.21320050025E-2</v>
      </c>
      <c r="B140" s="1">
        <v>2.3342087148499999E-3</v>
      </c>
      <c r="C140" s="1">
        <v>3.7071200816E-4</v>
      </c>
      <c r="D140" s="1">
        <v>9.0903611505800002E-4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2.2353325052600001E-2</v>
      </c>
      <c r="B141" s="1">
        <v>2.2534500649E-3</v>
      </c>
      <c r="C141" s="1">
        <v>1.49889737986E-4</v>
      </c>
      <c r="D141" s="1">
        <v>9.1412647620899999E-4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2.2576858303100002E-2</v>
      </c>
      <c r="B142" s="1">
        <v>1.85522277847E-3</v>
      </c>
      <c r="C142" s="1">
        <v>1.3327967893400001E-4</v>
      </c>
      <c r="D142" s="1">
        <v>9.1926774097100003E-4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2.2802626886099998E-2</v>
      </c>
      <c r="B143" s="1">
        <v>1.7129189568900001E-3</v>
      </c>
      <c r="C143" s="1">
        <v>1.20225354922E-4</v>
      </c>
      <c r="D143" s="1">
        <v>9.2446041838000002E-4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2.3030653155000001E-2</v>
      </c>
      <c r="B144" s="1">
        <v>1.55415304194E-3</v>
      </c>
      <c r="C144" s="1">
        <v>1.07759904787E-4</v>
      </c>
      <c r="D144" s="1">
        <v>9.29705022564E-4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2.32609596865E-2</v>
      </c>
      <c r="B145" s="1">
        <v>1.7716566102100001E-3</v>
      </c>
      <c r="C145" s="1">
        <v>1.1817692884200001E-4</v>
      </c>
      <c r="D145" s="1">
        <v>9.3500207279000004E-4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2.34935692834E-2</v>
      </c>
      <c r="B146" s="1">
        <v>1.74982334703E-3</v>
      </c>
      <c r="C146" s="1">
        <v>1.15377063092E-4</v>
      </c>
      <c r="D146" s="1">
        <v>9.4035209351799997E-4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2.37285049762E-2</v>
      </c>
      <c r="B147" s="1">
        <v>2.2241434769799998E-3</v>
      </c>
      <c r="C147" s="1">
        <v>1.27835187472E-4</v>
      </c>
      <c r="D147" s="1">
        <v>9.4575561445300004E-4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2.3965790026000001E-2</v>
      </c>
      <c r="B148" s="1">
        <v>2.4376450274399999E-3</v>
      </c>
      <c r="C148" s="1">
        <v>1.3633549243800001E-4</v>
      </c>
      <c r="D148" s="1">
        <v>9.5121317059800004E-4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2.42054479262E-2</v>
      </c>
      <c r="B149" s="1">
        <v>2.7153219506300002E-3</v>
      </c>
      <c r="C149" s="1">
        <v>1.43032611489E-4</v>
      </c>
      <c r="D149" s="1">
        <v>9.5672530230299997E-4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2.4447502405500001E-2</v>
      </c>
      <c r="B150" s="1">
        <v>2.78796807352E-3</v>
      </c>
      <c r="C150" s="1">
        <v>1.5279221372799999E-4</v>
      </c>
      <c r="D150" s="1">
        <v>9.62292555327E-4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2.4691977429599998E-2</v>
      </c>
      <c r="B151" s="1">
        <v>3.3985604384900001E-3</v>
      </c>
      <c r="C151" s="1">
        <v>1.7248559744499999E-4</v>
      </c>
      <c r="D151" s="1">
        <v>9.6791548087999996E-4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2.4938897203899999E-2</v>
      </c>
      <c r="B152" s="1">
        <v>3.2675149468999998E-3</v>
      </c>
      <c r="C152" s="1">
        <v>1.68381299715E-4</v>
      </c>
      <c r="D152" s="1">
        <v>9.7359463568899996E-4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2.51882861759E-2</v>
      </c>
      <c r="B153" s="1">
        <v>3.1301958269299998E-3</v>
      </c>
      <c r="C153" s="1">
        <v>1.58012439606E-4</v>
      </c>
      <c r="D153" s="86">
        <v>9.7933058204499992E-4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2.5440169037600002E-2</v>
      </c>
      <c r="B154" s="1">
        <v>3.1053665281600001E-3</v>
      </c>
      <c r="C154" s="1">
        <v>1.54960845922E-4</v>
      </c>
      <c r="D154" s="1">
        <v>9.8512388786599998E-4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2.5694570728E-2</v>
      </c>
      <c r="B155" s="1">
        <v>2.94035204521E-3</v>
      </c>
      <c r="C155" s="1">
        <v>1.4688091833599999E-4</v>
      </c>
      <c r="D155" s="1">
        <v>9.9097512674499997E-4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2.5951516435299998E-2</v>
      </c>
      <c r="B156" s="1">
        <v>2.7015971973200002E-3</v>
      </c>
      <c r="C156" s="1">
        <v>1.39452714748E-4</v>
      </c>
      <c r="D156" s="1">
        <v>9.9688487801200009E-4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2.6211031599700001E-2</v>
      </c>
      <c r="B157" s="1">
        <v>2.6045381976000002E-3</v>
      </c>
      <c r="C157" s="1">
        <v>1.3874208613799999E-4</v>
      </c>
      <c r="D157" s="1">
        <v>1.0028537267900001E-3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2.6473141915700001E-2</v>
      </c>
      <c r="B158" s="1">
        <v>2.0133491562899998E-3</v>
      </c>
      <c r="C158" s="1">
        <v>1.16841114305E-4</v>
      </c>
      <c r="D158" s="1">
        <v>1.00888226406E-3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2.6737873334799999E-2</v>
      </c>
      <c r="B159" s="1">
        <v>1.65285693779E-3</v>
      </c>
      <c r="C159" s="1">
        <v>1.0267705505200001E-4</v>
      </c>
      <c r="D159" s="1">
        <v>1.0149710867E-3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2.7005252068200002E-2</v>
      </c>
      <c r="B160" s="1">
        <v>1.5653737898399999E-3</v>
      </c>
      <c r="C160" s="1">
        <v>1.0447010044299999E-4</v>
      </c>
      <c r="D160" s="1">
        <v>1.02112079757E-3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2.7275304588799999E-2</v>
      </c>
      <c r="B161" s="1">
        <v>1.2442041185900001E-3</v>
      </c>
      <c r="C161" s="1">
        <v>9.1645942525400007E-5</v>
      </c>
      <c r="D161" s="1">
        <v>1.02733200554E-3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2.7548057634700002E-2</v>
      </c>
      <c r="B162" s="1">
        <v>1.0631564361800001E-3</v>
      </c>
      <c r="C162" s="1">
        <v>8.2067855297100002E-5</v>
      </c>
      <c r="D162" s="1">
        <v>1.0336053256E-3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2.78235382111E-2</v>
      </c>
      <c r="B163" s="1">
        <v>9.5467777630400005E-4</v>
      </c>
      <c r="C163" s="1">
        <v>8.0273736070099995E-5</v>
      </c>
      <c r="D163" s="1">
        <v>1.0399413788499999E-3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2.81017735932E-2</v>
      </c>
      <c r="B164" s="1">
        <v>7.0285499384300002E-4</v>
      </c>
      <c r="C164" s="1">
        <v>6.8685955360500004E-5</v>
      </c>
      <c r="D164" s="1">
        <v>1.0463407926400001E-3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2.8382791329100002E-2</v>
      </c>
      <c r="B165" s="1">
        <v>7.5131627298400002E-4</v>
      </c>
      <c r="C165" s="1">
        <v>7.2131182837099997E-5</v>
      </c>
      <c r="D165" s="1">
        <v>1.0528042005699999E-3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2.86666192424E-2</v>
      </c>
      <c r="B166" s="1">
        <v>6.5836127751899996E-4</v>
      </c>
      <c r="C166" s="1">
        <v>6.5666474158399994E-5</v>
      </c>
      <c r="D166" s="1">
        <v>1.05933224258E-3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2.89532854348E-2</v>
      </c>
      <c r="B167" s="1">
        <v>8.3965221881199996E-4</v>
      </c>
      <c r="C167" s="1">
        <v>7.6227362917100005E-5</v>
      </c>
      <c r="D167" s="1">
        <v>1.065925565E-3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2.9242818289200001E-2</v>
      </c>
      <c r="B168" s="1">
        <v>9.5033600787200001E-4</v>
      </c>
      <c r="C168" s="1">
        <v>7.8535427228199994E-5</v>
      </c>
      <c r="D168" s="1">
        <v>1.0725848206499999E-3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2.9535246472099999E-2</v>
      </c>
      <c r="B169" s="1">
        <v>1.0382541938600001E-3</v>
      </c>
      <c r="C169" s="1">
        <v>8.2111757303499994E-5</v>
      </c>
      <c r="D169" s="1">
        <v>1.0793106688599999E-3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2.9830598936799999E-2</v>
      </c>
      <c r="B170" s="1">
        <v>1.26902475016E-3</v>
      </c>
      <c r="C170" s="1">
        <v>9.0165862943700006E-5</v>
      </c>
      <c r="D170" s="1">
        <v>1.08610377555E-3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3.01289049262E-2</v>
      </c>
      <c r="B171" s="1">
        <v>1.4514199869899999E-3</v>
      </c>
      <c r="C171" s="1">
        <v>9.6379391646399996E-5</v>
      </c>
      <c r="D171" s="1">
        <v>1.0929648132999999E-3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3.0430193975400002E-2</v>
      </c>
      <c r="B172" s="1">
        <v>1.6156245885E-3</v>
      </c>
      <c r="C172" s="1">
        <v>1.0449172641E-4</v>
      </c>
      <c r="D172" s="1">
        <v>1.09989446143E-3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3.07344959152E-2</v>
      </c>
      <c r="B173" s="1">
        <v>1.61709643839E-3</v>
      </c>
      <c r="C173" s="1">
        <v>1.0595804947E-4</v>
      </c>
      <c r="D173" s="1">
        <v>1.1068934060499999E-3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3.1041840874300002E-2</v>
      </c>
      <c r="B174" s="1">
        <v>1.4244868065399999E-3</v>
      </c>
      <c r="C174" s="1">
        <v>9.6214434665099999E-5</v>
      </c>
      <c r="D174" s="1">
        <v>1.1139623401100001E-3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3.1352259283100002E-2</v>
      </c>
      <c r="B175" s="1">
        <v>1.2352251669199999E-3</v>
      </c>
      <c r="C175" s="1">
        <v>8.7883934740499994E-5</v>
      </c>
      <c r="D175" s="1">
        <v>1.1211019635100001E-3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3.1665781875900002E-2</v>
      </c>
      <c r="B176" s="1">
        <v>1.17075907603E-3</v>
      </c>
      <c r="C176" s="1">
        <v>8.6919565775800002E-5</v>
      </c>
      <c r="D176" s="1">
        <v>1.12831298315E-3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3.19824396947E-2</v>
      </c>
      <c r="B177" s="1">
        <v>1.05078153542E-3</v>
      </c>
      <c r="C177" s="1">
        <v>8.4365923503399996E-5</v>
      </c>
      <c r="D177" s="1">
        <v>1.1355961129799999E-3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3.2302264091600003E-2</v>
      </c>
      <c r="B178" s="1">
        <v>7.4966716353100002E-4</v>
      </c>
      <c r="C178" s="1">
        <v>7.1839785255299994E-5</v>
      </c>
      <c r="D178" s="1">
        <v>1.1429520741100001E-3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3.2625286732500001E-2</v>
      </c>
      <c r="B179" s="1">
        <v>7.4651539105800001E-4</v>
      </c>
      <c r="C179" s="1">
        <v>7.0513154443999995E-5</v>
      </c>
      <c r="D179" s="1">
        <v>1.15038159485E-3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3.29515395999E-2</v>
      </c>
      <c r="B180" s="1">
        <v>6.2189620269800002E-4</v>
      </c>
      <c r="C180" s="1">
        <v>6.4520561163099996E-5</v>
      </c>
      <c r="D180" s="1">
        <v>1.1578854107999999E-3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3.3281054995899999E-2</v>
      </c>
      <c r="B181" s="1">
        <v>4.5421337251899999E-4</v>
      </c>
      <c r="C181" s="1">
        <v>5.6403132446100001E-5</v>
      </c>
      <c r="D181" s="1">
        <v>1.1654642648999999E-3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3.3613865545800002E-2</v>
      </c>
      <c r="B182" s="1">
        <v>4.6122053757500001E-4</v>
      </c>
      <c r="C182" s="1">
        <v>5.7000675039399998E-5</v>
      </c>
      <c r="D182" s="1">
        <v>1.1731189075499999E-3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3.3950004201300003E-2</v>
      </c>
      <c r="B183" s="1">
        <v>3.3873094514399999E-4</v>
      </c>
      <c r="C183" s="1">
        <v>4.8251172276799999E-5</v>
      </c>
      <c r="D183" s="1">
        <v>1.18085009663E-3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3.4289504243299997E-2</v>
      </c>
      <c r="B184" s="1">
        <v>4.0416403770000001E-4</v>
      </c>
      <c r="C184" s="1">
        <v>5.2763081841199998E-5</v>
      </c>
      <c r="D184" s="1">
        <v>1.1886585976000001E-3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3.46323992857E-2</v>
      </c>
      <c r="B185" s="1">
        <v>4.07090290034E-4</v>
      </c>
      <c r="C185" s="1">
        <v>5.3538148054499997E-5</v>
      </c>
      <c r="D185" s="1">
        <v>1.1965451835699999E-3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3.49787232786E-2</v>
      </c>
      <c r="B186" s="1">
        <v>6.4432499403400002E-4</v>
      </c>
      <c r="C186" s="1">
        <v>6.4602974539500004E-5</v>
      </c>
      <c r="D186" s="1">
        <v>1.20451063541E-3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3.5328510511399999E-2</v>
      </c>
      <c r="B187" s="1">
        <v>6.8499573379200002E-4</v>
      </c>
      <c r="C187" s="1">
        <v>6.7145491749699996E-5</v>
      </c>
      <c r="D187" s="1">
        <v>1.2125557417599999E-3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3.5681795616499999E-2</v>
      </c>
      <c r="B188" s="1">
        <v>6.1221158209400005E-4</v>
      </c>
      <c r="C188" s="1">
        <v>6.2583099461300002E-5</v>
      </c>
      <c r="D188" s="1">
        <v>1.2206812991799999E-3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3.6038613572599999E-2</v>
      </c>
      <c r="B189" s="1">
        <v>8.0123587564000004E-4</v>
      </c>
      <c r="C189" s="1">
        <v>7.1759383507400006E-5</v>
      </c>
      <c r="D189" s="1">
        <v>1.2288881121700001E-3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3.63989997084E-2</v>
      </c>
      <c r="B190" s="1">
        <v>7.6247045591400003E-4</v>
      </c>
      <c r="C190" s="1">
        <v>6.6998311874400001E-5</v>
      </c>
      <c r="D190" s="1">
        <v>1.2371769932899999E-3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3.6762989705399998E-2</v>
      </c>
      <c r="B191" s="1">
        <v>6.7573760261099998E-4</v>
      </c>
      <c r="C191" s="1">
        <v>6.1823089962199996E-5</v>
      </c>
      <c r="D191" s="1">
        <v>1.24554876323E-3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3.7130619602499998E-2</v>
      </c>
      <c r="B192" s="1">
        <v>6.0288854034699999E-4</v>
      </c>
      <c r="C192" s="1">
        <v>6.1108895393499998E-5</v>
      </c>
      <c r="D192" s="1">
        <v>1.2540042508600001E-3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3.7501925798500001E-2</v>
      </c>
      <c r="B193" s="1">
        <v>5.0751605167000005E-4</v>
      </c>
      <c r="C193" s="1">
        <v>5.7433541124800002E-5</v>
      </c>
      <c r="D193" s="1">
        <v>1.2625442933699999E-3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3.7876945056500001E-2</v>
      </c>
      <c r="B194" s="1">
        <v>5.1178398350899997E-4</v>
      </c>
      <c r="C194" s="1">
        <v>5.5849788379800001E-5</v>
      </c>
      <c r="D194" s="1">
        <v>1.2711697363000001E-3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3.8255714507099997E-2</v>
      </c>
      <c r="B195" s="1">
        <v>4.7513930514600001E-4</v>
      </c>
      <c r="C195" s="1">
        <v>5.27725989054E-5</v>
      </c>
      <c r="D195" s="1">
        <v>1.2798814336599999E-3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3.8638271652100001E-2</v>
      </c>
      <c r="B196" s="1">
        <v>2.8774980872100001E-4</v>
      </c>
      <c r="C196" s="1">
        <v>4.1164356141700001E-5</v>
      </c>
      <c r="D196" s="1">
        <v>1.288680248E-3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3.90246543687E-2</v>
      </c>
      <c r="B197" s="1">
        <v>2.32347017531E-4</v>
      </c>
      <c r="C197" s="1">
        <v>3.6557957125299999E-5</v>
      </c>
      <c r="D197" s="1">
        <v>1.2975670504800001E-3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3.9414900912399999E-2</v>
      </c>
      <c r="B198" s="1">
        <v>2.6037377875499999E-4</v>
      </c>
      <c r="C198" s="1">
        <v>3.9552295853599997E-5</v>
      </c>
      <c r="D198" s="1">
        <v>1.30654272098E-3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3.98090499215E-2</v>
      </c>
      <c r="B199" s="1">
        <v>1.77450797796E-4</v>
      </c>
      <c r="C199" s="1">
        <v>3.5201610631999999E-5</v>
      </c>
      <c r="D199" s="1">
        <v>1.31560814819E-3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4.0207140420699998E-2</v>
      </c>
      <c r="B200" s="1">
        <v>1.7984845452200001E-4</v>
      </c>
      <c r="C200" s="1">
        <v>3.1980647671600002E-5</v>
      </c>
      <c r="D200" s="1">
        <v>1.32476422968E-3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4.0609211824900002E-2</v>
      </c>
      <c r="B201" s="1">
        <v>2.7960477363799999E-4</v>
      </c>
      <c r="C201" s="1">
        <v>4.1163052240100001E-5</v>
      </c>
      <c r="D201" s="1">
        <v>1.3340118719700001E-3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4.1015303943099997E-2</v>
      </c>
      <c r="B202" s="1">
        <v>3.0300326184300001E-4</v>
      </c>
      <c r="C202" s="1">
        <v>4.1821198778299998E-5</v>
      </c>
      <c r="D202" s="1">
        <v>1.3433519906900001E-3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4.1425456982600001E-2</v>
      </c>
      <c r="B203" s="1">
        <v>3.3997784288500001E-4</v>
      </c>
      <c r="C203" s="1">
        <v>4.51307757247E-5</v>
      </c>
      <c r="D203" s="1">
        <v>1.3527855106E-3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4.1839711552400002E-2</v>
      </c>
      <c r="B204" s="1">
        <v>3.64464947218E-4</v>
      </c>
      <c r="C204" s="1">
        <v>4.6409004517100001E-5</v>
      </c>
      <c r="D204" s="1">
        <v>1.36231336571E-3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4.2258108667900002E-2</v>
      </c>
      <c r="B205" s="1">
        <v>3.6433989892500001E-4</v>
      </c>
      <c r="C205" s="1">
        <v>4.6381646159700001E-5</v>
      </c>
      <c r="D205" s="1">
        <v>1.37193649936E-3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4.2680689754600001E-2</v>
      </c>
      <c r="B206" s="1">
        <v>3.4932298001099998E-4</v>
      </c>
      <c r="C206" s="1">
        <v>4.6466154451899999E-5</v>
      </c>
      <c r="D206" s="1">
        <v>1.3816558643600001E-3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4.3107496652199997E-2</v>
      </c>
      <c r="B207" s="1">
        <v>2.45285956507E-4</v>
      </c>
      <c r="C207" s="1">
        <v>3.9060520059100001E-5</v>
      </c>
      <c r="D207" s="1">
        <v>1.391472423E-3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4.3538571618699999E-2</v>
      </c>
      <c r="B208" s="1">
        <v>2.0031627692E-4</v>
      </c>
      <c r="C208" s="1">
        <v>3.6517872921799998E-5</v>
      </c>
      <c r="D208" s="1">
        <v>1.4013871472299999E-3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4.3973957334899998E-2</v>
      </c>
      <c r="B209" s="1">
        <v>2.0031727963900001E-4</v>
      </c>
      <c r="C209" s="1">
        <v>1.6315574385199999E-5</v>
      </c>
      <c r="D209" s="1">
        <v>1.4114010186999999E-3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4.4413696908199997E-2</v>
      </c>
      <c r="B210" s="1">
        <v>1.88021735357E-4</v>
      </c>
      <c r="C210" s="1">
        <v>1.53541371174E-5</v>
      </c>
      <c r="D210" s="1">
        <v>1.4215150288899999E-3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4.4857833877300003E-2</v>
      </c>
      <c r="B211" s="1">
        <v>1.2663124950700001E-4</v>
      </c>
      <c r="C211" s="1">
        <v>1.19433912962E-5</v>
      </c>
      <c r="D211" s="1">
        <v>1.43173017918E-3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4.5306412216100003E-2</v>
      </c>
      <c r="B212" s="1">
        <v>1.3111750761899999E-4</v>
      </c>
      <c r="C212" s="1">
        <v>1.1644137161E-5</v>
      </c>
      <c r="D212" s="1">
        <v>1.4420474809700001E-3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4.5759476338200003E-2</v>
      </c>
      <c r="B213" s="1">
        <v>1.35012010673E-4</v>
      </c>
      <c r="C213" s="1">
        <v>1.16985700506E-5</v>
      </c>
      <c r="D213" s="1">
        <v>1.4524679557800001E-3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4.6217071101599998E-2</v>
      </c>
      <c r="B214" s="1">
        <v>1.9196550201699999E-4</v>
      </c>
      <c r="C214" s="1">
        <v>1.39559068464E-5</v>
      </c>
      <c r="D214" s="1">
        <v>1.46299263534E-3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4.6679241812599997E-2</v>
      </c>
      <c r="B215" s="1">
        <v>2.0515602685500001E-4</v>
      </c>
      <c r="C215" s="1">
        <v>1.4193526542899999E-5</v>
      </c>
      <c r="D215" s="1">
        <v>1.47362256169E-3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4.71460342308E-2</v>
      </c>
      <c r="B216" s="1">
        <v>2.4745374095299998E-4</v>
      </c>
      <c r="C216" s="1">
        <v>1.5859215329100001E-5</v>
      </c>
      <c r="D216" s="1">
        <v>1.48435878731E-3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4.7617494573100001E-2</v>
      </c>
      <c r="B217" s="1">
        <v>2.4535922948100002E-4</v>
      </c>
      <c r="C217" s="1">
        <v>1.5361490471E-5</v>
      </c>
      <c r="D217" s="1">
        <v>1.4952023751800001E-3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4.8093669518800002E-2</v>
      </c>
      <c r="B218" s="1">
        <v>2.40344656144E-4</v>
      </c>
      <c r="C218" s="1">
        <v>1.4801235211700001E-5</v>
      </c>
      <c r="D218" s="1">
        <v>1.5061543989299999E-3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4.8574606213999998E-2</v>
      </c>
      <c r="B219" s="1">
        <v>2.4248604209800001E-4</v>
      </c>
      <c r="C219" s="1">
        <v>1.5149468748800001E-5</v>
      </c>
      <c r="D219" s="1">
        <v>1.51721594292E-3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4.9060352276099999E-2</v>
      </c>
      <c r="B220" s="1">
        <v>1.86140145137E-4</v>
      </c>
      <c r="C220" s="1">
        <v>1.29664054229E-5</v>
      </c>
      <c r="D220" s="1">
        <v>1.5283881023500001E-3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4.9550955798900002E-2</v>
      </c>
      <c r="B221" s="1">
        <v>1.5905938120299999E-4</v>
      </c>
      <c r="C221" s="1">
        <v>1.1749827558999999E-5</v>
      </c>
      <c r="D221" s="1">
        <v>1.5396719833700001E-3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5.0046465356900001E-2</v>
      </c>
      <c r="B222" s="1">
        <v>1.04163942925E-4</v>
      </c>
      <c r="C222" s="1">
        <v>9.34137615834E-6</v>
      </c>
      <c r="D222" s="1">
        <v>1.5510687032100001E-3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5.0546930010399997E-2</v>
      </c>
      <c r="B223" s="1">
        <v>9.5757104261399995E-5</v>
      </c>
      <c r="C223" s="1">
        <v>9.0450542143600002E-6</v>
      </c>
      <c r="D223" s="1">
        <v>1.56257939024E-3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5.1052399310499999E-2</v>
      </c>
      <c r="B224" s="1">
        <v>9.5393851933199997E-5</v>
      </c>
      <c r="C224" s="1">
        <v>9.4436731438899999E-6</v>
      </c>
      <c r="D224" s="1">
        <v>1.5742051841400001E-3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5.1562923303600003E-2</v>
      </c>
      <c r="B225" s="1">
        <v>1.22768820587E-4</v>
      </c>
      <c r="C225" s="1">
        <v>1.0568894592299999E-5</v>
      </c>
      <c r="D225" s="1">
        <v>1.58594723598E-3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5.2078552536699997E-2</v>
      </c>
      <c r="B226" s="1">
        <v>1.24545521057E-4</v>
      </c>
      <c r="C226" s="1">
        <v>1.05103398371E-5</v>
      </c>
      <c r="D226" s="1">
        <v>1.5978067083399999E-3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5.2599338062100001E-2</v>
      </c>
      <c r="B227" s="1">
        <v>1.4670734899E-4</v>
      </c>
      <c r="C227" s="1">
        <v>1.1064096629499999E-5</v>
      </c>
      <c r="D227" s="1">
        <v>1.6097847754299999E-3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5.31253314427E-2</v>
      </c>
      <c r="B228" s="1">
        <v>1.8483373961099999E-4</v>
      </c>
      <c r="C228" s="1">
        <v>1.2830415532999999E-5</v>
      </c>
      <c r="D228" s="1">
        <v>1.6218826231800001E-3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5.3656584757100001E-2</v>
      </c>
      <c r="B229" s="1">
        <v>1.8772700454E-4</v>
      </c>
      <c r="C229" s="1">
        <v>1.3004523248E-5</v>
      </c>
      <c r="D229" s="1">
        <v>1.6341014494100001E-3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5.4193150604700001E-2</v>
      </c>
      <c r="B230" s="1">
        <v>1.47682129754E-4</v>
      </c>
      <c r="C230" s="1">
        <v>1.10637952692E-5</v>
      </c>
      <c r="D230" s="1">
        <v>1.64644246391E-3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5.4735082110700002E-2</v>
      </c>
      <c r="B231" s="1">
        <v>1.3706843774399999E-4</v>
      </c>
      <c r="C231" s="1">
        <v>1.0705718896999999E-5</v>
      </c>
      <c r="D231" s="1">
        <v>1.65890688855E-3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5.5282432931799998E-2</v>
      </c>
      <c r="B232" s="1">
        <v>1.11808523481E-4</v>
      </c>
      <c r="C232" s="1">
        <v>9.72078255576E-6</v>
      </c>
      <c r="D232" s="1">
        <v>1.6714959574299999E-3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5.5835257261100002E-2</v>
      </c>
      <c r="B233" s="1">
        <v>8.0684786682600005E-5</v>
      </c>
      <c r="C233" s="1">
        <v>8.6616088364999998E-6</v>
      </c>
      <c r="D233" s="1">
        <v>1.6842109170100001E-3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5.6393609833799999E-2</v>
      </c>
      <c r="B234" s="1">
        <v>6.7032624887499999E-5</v>
      </c>
      <c r="C234" s="1">
        <v>7.2794069023000004E-6</v>
      </c>
      <c r="D234" s="1">
        <v>1.69705302618E-3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5.69575459321E-2</v>
      </c>
      <c r="B235" s="1">
        <v>6.7133327368700002E-5</v>
      </c>
      <c r="C235" s="1">
        <v>7.7272336531100002E-6</v>
      </c>
      <c r="D235" s="1">
        <v>1.7100235564399999E-3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5.7527121391400003E-2</v>
      </c>
      <c r="B236" s="1">
        <v>7.9532691047400005E-5</v>
      </c>
      <c r="C236" s="1">
        <v>8.2509251192500003E-6</v>
      </c>
      <c r="D236" s="1">
        <v>1.7231237920000001E-3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5.81023926053E-2</v>
      </c>
      <c r="B237" s="1">
        <v>1.00563215303E-4</v>
      </c>
      <c r="C237" s="1">
        <v>9.0707952716999998E-6</v>
      </c>
      <c r="D237" s="1">
        <v>1.73635502992E-3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5.8683416531400003E-2</v>
      </c>
      <c r="B238" s="1">
        <v>1.12376894031E-4</v>
      </c>
      <c r="C238" s="1">
        <v>9.5854705626500001E-6</v>
      </c>
      <c r="D238" s="1">
        <v>1.74971858022E-3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5.92702506967E-2</v>
      </c>
      <c r="B239" s="1">
        <v>1.0552671942499999E-4</v>
      </c>
      <c r="C239" s="1">
        <v>9.47194436873E-6</v>
      </c>
      <c r="D239" s="1">
        <v>1.7632157660200001E-3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5.9862953203699998E-2</v>
      </c>
      <c r="B240" s="1">
        <v>1.2333195516300001E-4</v>
      </c>
      <c r="C240" s="1">
        <v>1.0063870202500001E-5</v>
      </c>
      <c r="D240" s="1">
        <v>1.7768479236799999E-3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6.0461582735700001E-2</v>
      </c>
      <c r="B241" s="1">
        <v>9.3211066475999997E-5</v>
      </c>
      <c r="C241" s="1">
        <v>9.0714180143300002E-6</v>
      </c>
      <c r="D241" s="1">
        <v>1.79061640292E-3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6.1066198563099999E-2</v>
      </c>
      <c r="B242" s="1">
        <v>7.1896392772800006E-5</v>
      </c>
      <c r="C242" s="1">
        <v>8.1027925491699992E-6</v>
      </c>
      <c r="D242" s="1">
        <v>1.80452256695E-3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6.1676860548700002E-2</v>
      </c>
      <c r="B243" s="1">
        <v>5.9572033876299997E-5</v>
      </c>
      <c r="C243" s="1">
        <v>6.9556179329700003E-6</v>
      </c>
      <c r="D243" s="1">
        <v>1.8185677926199999E-3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6.2293629154200003E-2</v>
      </c>
      <c r="B244" s="1">
        <v>5.0802290065799999E-5</v>
      </c>
      <c r="C244" s="1">
        <v>6.5693760620400002E-6</v>
      </c>
      <c r="D244" s="1">
        <v>1.8327534705499999E-3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6.2916565445699998E-2</v>
      </c>
      <c r="B245" s="1">
        <v>6.3917875404400002E-5</v>
      </c>
      <c r="C245" s="1">
        <v>7.41125655253E-6</v>
      </c>
      <c r="D245" s="1">
        <v>1.8470810052500001E-3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6.3545731100199995E-2</v>
      </c>
      <c r="B246" s="1">
        <v>6.4406251728399999E-5</v>
      </c>
      <c r="C246" s="1">
        <v>7.9040119418599994E-6</v>
      </c>
      <c r="D246" s="1">
        <v>1.8615518153E-3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6.4181188411200005E-2</v>
      </c>
      <c r="B247" s="1">
        <v>5.5250004521499997E-5</v>
      </c>
      <c r="C247" s="1">
        <v>7.1832062985400003E-6</v>
      </c>
      <c r="D247" s="1">
        <v>1.87616733346E-3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6.4823000295299998E-2</v>
      </c>
      <c r="B248" s="1">
        <v>7.5084502372599996E-5</v>
      </c>
      <c r="C248" s="1">
        <v>8.2096037543799993E-6</v>
      </c>
      <c r="D248" s="1">
        <v>1.8909290067899999E-3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6.5471230298199998E-2</v>
      </c>
      <c r="B249" s="1">
        <v>7.5296304707399997E-5</v>
      </c>
      <c r="C249" s="1">
        <v>8.0295861830900003E-6</v>
      </c>
      <c r="D249" s="1">
        <v>1.9058382968600001E-3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6.61259426012E-2</v>
      </c>
      <c r="B250" s="1">
        <v>5.9271842453300001E-5</v>
      </c>
      <c r="C250" s="1">
        <v>7.3122756385399998E-6</v>
      </c>
      <c r="D250" s="1">
        <v>1.9208966798300001E-3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6.6787202027199996E-2</v>
      </c>
      <c r="B251" s="1">
        <v>4.8387508291300003E-5</v>
      </c>
      <c r="C251" s="1">
        <v>6.5671793650600004E-6</v>
      </c>
      <c r="D251" s="1">
        <v>1.93610564663E-3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6.7455074047499994E-2</v>
      </c>
      <c r="B252" s="1">
        <v>4.6274852713200002E-5</v>
      </c>
      <c r="C252" s="1">
        <v>6.3148390815799997E-6</v>
      </c>
      <c r="D252" s="1">
        <v>1.9514667030900001E-3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6.8129624787999998E-2</v>
      </c>
      <c r="B253" s="1">
        <v>3.8678929720900003E-5</v>
      </c>
      <c r="C253" s="1">
        <v>5.9475471221900004E-6</v>
      </c>
      <c r="D253" s="1">
        <v>1.9669813701200002E-3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6.8810921035900002E-2</v>
      </c>
      <c r="B254" s="1">
        <v>3.9553781858E-5</v>
      </c>
      <c r="C254" s="1">
        <v>6.1462813136100003E-6</v>
      </c>
      <c r="D254" s="1">
        <v>1.9826511838199998E-3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6.9499030246199994E-2</v>
      </c>
      <c r="B255" s="1">
        <v>5.7638708941700002E-5</v>
      </c>
      <c r="C255" s="1">
        <v>6.7328938858899996E-6</v>
      </c>
      <c r="D255" s="1">
        <v>1.9984776956599999E-3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7.0194020548699998E-2</v>
      </c>
      <c r="B256" s="1">
        <v>5.5367342184700002E-5</v>
      </c>
      <c r="C256" s="1">
        <v>6.4557140100800002E-6</v>
      </c>
      <c r="D256" s="1">
        <v>2.0144624726199998E-3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7.0895960754200002E-2</v>
      </c>
      <c r="B257" s="1">
        <v>5.62820437964E-5</v>
      </c>
      <c r="C257" s="1">
        <v>6.8986690104300002E-6</v>
      </c>
      <c r="D257" s="1">
        <v>2.0306070973499998E-3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7.1604920361700006E-2</v>
      </c>
      <c r="B258" s="1">
        <v>5.8940818448899997E-5</v>
      </c>
      <c r="C258" s="1">
        <v>7.1150987073500003E-6</v>
      </c>
      <c r="D258" s="1">
        <v>2.0469131683199999E-3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7.23209695653E-2</v>
      </c>
      <c r="B259" s="1">
        <v>3.9039554102300003E-5</v>
      </c>
      <c r="C259" s="1">
        <v>5.43490432325E-6</v>
      </c>
      <c r="D259" s="1">
        <v>2.0633823E-3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7.3044179261E-2</v>
      </c>
      <c r="B260" s="1">
        <v>2.8298340862800001E-5</v>
      </c>
      <c r="C260" s="1">
        <v>5.3474077608800003E-6</v>
      </c>
      <c r="D260" s="1">
        <v>2.080016123E-3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7.3774621053599998E-2</v>
      </c>
      <c r="B261" s="1">
        <v>2.9890448202700001E-5</v>
      </c>
      <c r="C261" s="1">
        <v>5.1979791331199996E-6</v>
      </c>
      <c r="D261" s="1">
        <v>2.0968162842299998E-3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7.4512367264100002E-2</v>
      </c>
      <c r="B262" s="1">
        <v>3.3226321574699998E-5</v>
      </c>
      <c r="C262" s="1">
        <v>5.2527816739199996E-6</v>
      </c>
      <c r="D262" s="1">
        <v>2.11378444707E-3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7.5257490936799995E-2</v>
      </c>
      <c r="B263" s="1">
        <v>3.66044955421E-5</v>
      </c>
      <c r="C263" s="1">
        <v>5.2941619427399996E-6</v>
      </c>
      <c r="D263" s="1">
        <v>2.1309222915499998E-3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7.6010065846099997E-2</v>
      </c>
      <c r="B264" s="1">
        <v>2.8468845842200002E-5</v>
      </c>
      <c r="C264" s="1">
        <v>4.8237928065500003E-6</v>
      </c>
      <c r="D264" s="1">
        <v>2.1482315144599998E-3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7.6770166504600001E-2</v>
      </c>
      <c r="B265" s="1">
        <v>3.1811899915700001E-5</v>
      </c>
      <c r="C265" s="1">
        <v>5.0022313945099997E-6</v>
      </c>
      <c r="D265" s="1">
        <v>2.1657138296100002E-3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7.7537868169599997E-2</v>
      </c>
      <c r="B266" s="1">
        <v>4.1226636713599997E-5</v>
      </c>
      <c r="C266" s="1">
        <v>5.5958269514799999E-6</v>
      </c>
      <c r="D266" s="1">
        <v>2.1833709679000002E-3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7.8313246851300006E-2</v>
      </c>
      <c r="B267" s="1">
        <v>3.0668741895500002E-5</v>
      </c>
      <c r="C267" s="1">
        <v>4.9865372369E-6</v>
      </c>
      <c r="D267" s="1">
        <v>2.2012046775799999E-3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7.90963793198E-2</v>
      </c>
      <c r="B268" s="1">
        <v>2.5091206487000002E-5</v>
      </c>
      <c r="C268" s="1">
        <v>4.3637407473800001E-6</v>
      </c>
      <c r="D268" s="1">
        <v>2.2192167243599999E-3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7.9887343112999998E-2</v>
      </c>
      <c r="B269" s="1">
        <v>3.6235601530299998E-5</v>
      </c>
      <c r="C269" s="1">
        <v>4.9306408653199999E-6</v>
      </c>
      <c r="D269" s="1">
        <v>2.2374088916000002E-3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8.0686216544199996E-2</v>
      </c>
      <c r="B270" s="1">
        <v>3.57964277224E-5</v>
      </c>
      <c r="C270" s="1">
        <v>4.9423582275500002E-6</v>
      </c>
      <c r="D270" s="1">
        <v>2.2557829805199998E-3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8.14930787096E-2</v>
      </c>
      <c r="B271" s="1">
        <v>2.1909503920399999E-5</v>
      </c>
      <c r="C271" s="1">
        <v>4.38904149475E-6</v>
      </c>
      <c r="D271" s="1">
        <v>2.27434081032E-3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8.2308009496700002E-2</v>
      </c>
      <c r="B272" s="1">
        <v>2.8875648831200001E-5</v>
      </c>
      <c r="C272" s="1">
        <v>4.5697165431799996E-6</v>
      </c>
      <c r="D272" s="1">
        <v>2.2930842184199999E-3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8.31310895917E-2</v>
      </c>
      <c r="B273" s="1">
        <v>3.56587202097E-5</v>
      </c>
      <c r="C273" s="1">
        <v>5.3349265969000003E-6</v>
      </c>
      <c r="D273" s="1">
        <v>2.3120150606099998E-3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8.3962400487599995E-2</v>
      </c>
      <c r="B274" s="1">
        <v>2.3722005481799999E-5</v>
      </c>
      <c r="C274" s="1">
        <v>4.5206004353400003E-6</v>
      </c>
      <c r="D274" s="1">
        <v>2.3311352112099998E-3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8.4802024492500003E-2</v>
      </c>
      <c r="B275" s="1">
        <v>2.4360312994900001E-5</v>
      </c>
      <c r="C275" s="1">
        <v>4.4434904850400003E-6</v>
      </c>
      <c r="D275" s="1">
        <v>2.3504465633299998E-3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8.5650044737399997E-2</v>
      </c>
      <c r="B276" s="1">
        <v>2.2066853134900001E-5</v>
      </c>
      <c r="C276" s="1">
        <v>4.2916669815700001E-6</v>
      </c>
      <c r="D276" s="1">
        <v>2.3699510289600001E-3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8.6506545184799999E-2</v>
      </c>
      <c r="B277" s="1">
        <v>2.1732778660500002E-5</v>
      </c>
      <c r="C277" s="1">
        <v>4.1891439433800003E-6</v>
      </c>
      <c r="D277" s="1">
        <v>2.3896505392499998E-3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8.7371610636599997E-2</v>
      </c>
      <c r="B278" s="1">
        <v>2.20712168588E-5</v>
      </c>
      <c r="C278" s="1">
        <v>2.3307195188700001E-6</v>
      </c>
      <c r="D278" s="1">
        <v>2.4095470446400002E-3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8.8245326742999994E-2</v>
      </c>
      <c r="B279" s="1">
        <v>1.8877274328499999E-5</v>
      </c>
      <c r="C279" s="1">
        <v>2.2368182898599998E-6</v>
      </c>
      <c r="D279" s="1">
        <v>2.4296425150899998E-3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8.9127780010400004E-2</v>
      </c>
      <c r="B280" s="1">
        <v>2.3254208895600001E-5</v>
      </c>
      <c r="C280" s="1">
        <v>2.2995860295699998E-6</v>
      </c>
      <c r="D280" s="1">
        <v>2.44993894024E-3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9.00190578105E-2</v>
      </c>
      <c r="B281" s="1">
        <v>1.79486221375E-5</v>
      </c>
      <c r="C281" s="1">
        <v>1.9196693730000002E-6</v>
      </c>
      <c r="D281" s="1">
        <v>2.4704383296399999E-3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9.0919248388599994E-2</v>
      </c>
      <c r="B282" s="1">
        <v>1.8082086008099999E-5</v>
      </c>
      <c r="C282" s="1">
        <v>1.99785612107E-6</v>
      </c>
      <c r="D282" s="1">
        <v>2.49114271294E-3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9.18284408725E-2</v>
      </c>
      <c r="B283" s="1">
        <v>1.7414844455899998E-5</v>
      </c>
      <c r="C283" s="1">
        <v>1.86237657933E-6</v>
      </c>
      <c r="D283" s="1">
        <v>2.51205414007E-3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9.2746725281199996E-2</v>
      </c>
      <c r="B284" s="1">
        <v>1.97369602604E-5</v>
      </c>
      <c r="C284" s="1">
        <v>2.06252912079E-6</v>
      </c>
      <c r="D284" s="1">
        <v>2.5331746814699998E-3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9.3674192534E-2</v>
      </c>
      <c r="B285" s="1">
        <v>1.9633822182399999E-5</v>
      </c>
      <c r="C285" s="1">
        <v>2.00292403274E-6</v>
      </c>
      <c r="D285" s="1">
        <v>2.5545064282799998E-3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9.4610934459399998E-2</v>
      </c>
      <c r="B286" s="1">
        <v>2.0217088049499999E-5</v>
      </c>
      <c r="C286" s="1">
        <v>2.0177173530300001E-6</v>
      </c>
      <c r="D286" s="1">
        <v>2.5760514925700002E-3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9.5557043804E-2</v>
      </c>
      <c r="B287" s="1">
        <v>1.96575522385E-5</v>
      </c>
      <c r="C287" s="1">
        <v>1.8758020378200001E-6</v>
      </c>
      <c r="D287" s="1">
        <v>2.5978120074900001E-3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9.6512614242E-2</v>
      </c>
      <c r="B288" s="1">
        <v>1.6522384211399999E-5</v>
      </c>
      <c r="C288" s="1">
        <v>1.81520026037E-6</v>
      </c>
      <c r="D288" s="1">
        <v>2.61979012757E-3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9.7477740384400005E-2</v>
      </c>
      <c r="B289" s="1">
        <v>1.49279405471E-5</v>
      </c>
      <c r="C289" s="1">
        <v>1.72422072887E-6</v>
      </c>
      <c r="D289" s="1">
        <v>2.6419880288399999E-3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9.8452517788299998E-2</v>
      </c>
      <c r="B290" s="1">
        <v>1.6476977118399999E-5</v>
      </c>
      <c r="C290" s="1">
        <v>1.72517082041E-6</v>
      </c>
      <c r="D290" s="1">
        <v>2.6644079091300002E-3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9.9437042966199998E-2</v>
      </c>
      <c r="B291" s="1">
        <v>1.70581558465E-5</v>
      </c>
      <c r="C291" s="1">
        <v>1.72523282035E-6</v>
      </c>
      <c r="D291" s="1">
        <v>2.68705198822E-3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0.10043141339599999</v>
      </c>
      <c r="B292" s="1">
        <v>1.1963232874899999E-5</v>
      </c>
      <c r="C292" s="1">
        <v>1.5837399751599999E-6</v>
      </c>
      <c r="D292" s="1">
        <v>2.7099225081E-3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0.10143572753000001</v>
      </c>
      <c r="B293" s="1">
        <v>1.58089123117E-5</v>
      </c>
      <c r="C293" s="1">
        <v>1.8157973398E-6</v>
      </c>
      <c r="D293" s="1">
        <v>2.73302173319E-3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0.10245008480499999</v>
      </c>
      <c r="B294" s="1">
        <v>1.2571394736700001E-5</v>
      </c>
      <c r="C294" s="1">
        <v>1.65685265687E-6</v>
      </c>
      <c r="D294" s="1">
        <v>2.7563519505200001E-3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0.103474585653</v>
      </c>
      <c r="B295" s="1">
        <v>1.27002501419E-5</v>
      </c>
      <c r="C295" s="1">
        <v>1.5828206840499999E-6</v>
      </c>
      <c r="D295" s="1">
        <v>2.7799154700199999E-3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0.10450933151</v>
      </c>
      <c r="B296" s="1">
        <v>1.4141369342399999E-5</v>
      </c>
      <c r="C296" s="1">
        <v>1.6746083644200001E-6</v>
      </c>
      <c r="D296" s="1">
        <v>2.8037146247199998E-3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0.10555442482500001</v>
      </c>
      <c r="B297" s="1">
        <v>1.51456500817E-5</v>
      </c>
      <c r="C297" s="1">
        <v>1.78912201248E-6</v>
      </c>
      <c r="D297" s="1">
        <v>2.82775177097E-3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0.10660996907299999</v>
      </c>
      <c r="B298" s="1">
        <v>1.1862519232999999E-5</v>
      </c>
      <c r="C298" s="1">
        <v>1.5958488979000001E-6</v>
      </c>
      <c r="D298" s="1">
        <v>2.8520292886799999E-3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0.107676068764</v>
      </c>
      <c r="B299" s="1">
        <v>1.08236976464E-5</v>
      </c>
      <c r="C299" s="1">
        <v>1.4925423735299999E-6</v>
      </c>
      <c r="D299" s="1">
        <v>2.87654958157E-3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0.108752829451</v>
      </c>
      <c r="B300" s="1">
        <v>1.00979062563E-5</v>
      </c>
      <c r="C300" s="1">
        <v>1.43433984151E-6</v>
      </c>
      <c r="D300" s="1">
        <v>2.9013150773800002E-3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0.109840357746</v>
      </c>
      <c r="B301" s="1">
        <v>1.26144589161E-5</v>
      </c>
      <c r="C301" s="1">
        <v>1.63729862882E-6</v>
      </c>
      <c r="D301" s="1">
        <v>2.9263282281600002E-3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0.110938761323</v>
      </c>
      <c r="B302" s="1">
        <v>1.190808651E-5</v>
      </c>
      <c r="C302" s="1">
        <v>1.5481582839399999E-6</v>
      </c>
      <c r="D302" s="1">
        <v>2.9515915104400001E-3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0.11204814893700001</v>
      </c>
      <c r="B303" s="1">
        <v>1.12642915712E-5</v>
      </c>
      <c r="C303" s="1">
        <v>1.45597544917E-6</v>
      </c>
      <c r="D303" s="1">
        <v>2.97710742554E-3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0.11316863042600001</v>
      </c>
      <c r="B304" s="1">
        <v>8.3366600436299996E-6</v>
      </c>
      <c r="C304" s="1">
        <v>1.3685591668499999E-6</v>
      </c>
      <c r="D304" s="1">
        <v>3.0028784998000001E-3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0.11430031673</v>
      </c>
      <c r="B305" s="1">
        <v>8.54703443235E-6</v>
      </c>
      <c r="C305" s="1">
        <v>1.35986284684E-6</v>
      </c>
      <c r="D305" s="1">
        <v>3.0289072847900001E-3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0.115443319898</v>
      </c>
      <c r="B306" s="1">
        <v>8.4420803859700005E-6</v>
      </c>
      <c r="C306" s="1">
        <v>1.3001172821899999E-6</v>
      </c>
      <c r="D306" s="1">
        <v>3.0551963576400001E-3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0.116597753096</v>
      </c>
      <c r="B307" s="1">
        <v>1.1961093999199999E-5</v>
      </c>
      <c r="C307" s="1">
        <v>1.5368964547799999E-6</v>
      </c>
      <c r="D307" s="1">
        <v>3.0817483212199999E-3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0.117763730627</v>
      </c>
      <c r="B308" s="1">
        <v>1.21352362864E-5</v>
      </c>
      <c r="C308" s="1">
        <v>1.51606808065E-6</v>
      </c>
      <c r="D308" s="1">
        <v>3.1085658044299998E-3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0.11894136793399999</v>
      </c>
      <c r="B309" s="1">
        <v>1.0987056080099999E-5</v>
      </c>
      <c r="C309" s="1">
        <v>1.5309185842699999E-6</v>
      </c>
      <c r="D309" s="1">
        <v>3.1356514624800002E-3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0.120130781613</v>
      </c>
      <c r="B310" s="1">
        <v>7.9271890416399999E-6</v>
      </c>
      <c r="C310" s="1">
        <v>1.3435650554199999E-6</v>
      </c>
      <c r="D310" s="1">
        <v>3.1630079771000001E-3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0.12133208942900001</v>
      </c>
      <c r="B311" s="1">
        <v>9.7910935391300006E-6</v>
      </c>
      <c r="C311" s="1">
        <v>1.35087956942E-6</v>
      </c>
      <c r="D311" s="1">
        <v>3.19063805687E-3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0.122545410323</v>
      </c>
      <c r="B312" s="1">
        <v>8.1125685158400003E-6</v>
      </c>
      <c r="C312" s="1">
        <v>1.24478250525E-6</v>
      </c>
      <c r="D312" s="1">
        <v>3.2185444374399999E-3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0.123770864427</v>
      </c>
      <c r="B313" s="1">
        <v>7.8760265223100004E-6</v>
      </c>
      <c r="C313" s="1">
        <v>1.2414505545999999E-6</v>
      </c>
      <c r="D313" s="1">
        <v>3.2467298818099999E-3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0.125008573071</v>
      </c>
      <c r="B314" s="1">
        <v>6.9654818576000002E-6</v>
      </c>
      <c r="C314" s="1">
        <v>1.22487017234E-6</v>
      </c>
      <c r="D314" s="1">
        <v>3.2751971806300002E-3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0.12625865880199999</v>
      </c>
      <c r="B315" s="1">
        <v>6.1986514893299999E-6</v>
      </c>
      <c r="C315" s="1">
        <v>1.2383397133E-6</v>
      </c>
      <c r="D315" s="1">
        <v>3.3039491524399999E-3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0.12752124539000001</v>
      </c>
      <c r="B316" s="1">
        <v>7.16461781644E-6</v>
      </c>
      <c r="C316" s="1">
        <v>1.22621851966E-6</v>
      </c>
      <c r="D316" s="1">
        <v>3.3329886439600002E-3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0.12879645784400001</v>
      </c>
      <c r="B317" s="1">
        <v>9.3881513865199993E-6</v>
      </c>
      <c r="C317" s="1">
        <v>1.3598002549100001E-6</v>
      </c>
      <c r="D317" s="1">
        <v>3.3623185304E-3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0.130084422422</v>
      </c>
      <c r="B318" s="1">
        <v>6.8385490447699998E-6</v>
      </c>
      <c r="C318" s="1">
        <v>1.2404692312600001E-6</v>
      </c>
      <c r="D318" s="1">
        <v>3.3919417157099998E-3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0.131385266646</v>
      </c>
      <c r="B319" s="1">
        <v>8.1609336854800002E-6</v>
      </c>
      <c r="C319" s="1">
        <v>1.30625755441E-6</v>
      </c>
      <c r="D319" s="1">
        <v>3.4218611328599999E-3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0.13269911931299999</v>
      </c>
      <c r="B320" s="1">
        <v>6.9928964761400001E-6</v>
      </c>
      <c r="C320" s="1">
        <v>1.2443637648200001E-6</v>
      </c>
      <c r="D320" s="1">
        <v>3.4520797441899998E-3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0.134026110506</v>
      </c>
      <c r="B321" s="1">
        <v>4.7580234153900002E-6</v>
      </c>
      <c r="C321" s="1">
        <v>1.0659853049200001E-6</v>
      </c>
      <c r="D321" s="1">
        <v>3.4826005416300002E-3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0.13536637161100001</v>
      </c>
      <c r="B322" s="1">
        <v>4.6738791117499998E-6</v>
      </c>
      <c r="C322" s="1">
        <v>1.0150158892899999E-6</v>
      </c>
      <c r="D322" s="1">
        <v>3.51342654705E-3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0.136720035327</v>
      </c>
      <c r="B323" s="1">
        <v>4.3986746575999998E-6</v>
      </c>
      <c r="C323" s="1">
        <v>1.05698627547E-6</v>
      </c>
      <c r="D323" s="1">
        <v>3.5445608125200001E-3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0.13808723568</v>
      </c>
      <c r="B324" s="1">
        <v>6.0177232873700004E-6</v>
      </c>
      <c r="C324" s="1">
        <v>1.11694623035E-6</v>
      </c>
      <c r="D324" s="1">
        <v>3.5760064206500001E-3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0.13946810803699999</v>
      </c>
      <c r="B325" s="1">
        <v>5.7527431626900003E-6</v>
      </c>
      <c r="C325" s="1">
        <v>1.0855762519799999E-6</v>
      </c>
      <c r="D325" s="1">
        <v>3.6077664848500001E-3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0.14086278911700001</v>
      </c>
      <c r="B326" s="1">
        <v>3.55562659632E-6</v>
      </c>
      <c r="C326" s="1">
        <v>9.8212097293899991E-7</v>
      </c>
      <c r="D326" s="1">
        <v>3.6398441496999999E-3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0.14227141700900001</v>
      </c>
      <c r="B327" s="1">
        <v>4.9888470618900003E-6</v>
      </c>
      <c r="C327" s="1">
        <v>9.7388170850899992E-7</v>
      </c>
      <c r="D327" s="1">
        <v>3.6722425912E-3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0.14369413117900001</v>
      </c>
      <c r="B328" s="1">
        <v>3.6552828863200001E-6</v>
      </c>
      <c r="C328" s="1">
        <v>8.7175481401199997E-7</v>
      </c>
      <c r="D328" s="1">
        <v>3.7049650171100002E-3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0.14513107249099999</v>
      </c>
      <c r="B329" s="1">
        <v>3.33566279824E-6</v>
      </c>
      <c r="C329" s="1">
        <v>8.7325855917899997E-7</v>
      </c>
      <c r="D329" s="1">
        <v>3.7380146672799999E-3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0.146582383215</v>
      </c>
      <c r="B330" s="1">
        <v>4.5387843578200003E-6</v>
      </c>
      <c r="C330" s="1">
        <v>9.8397619603600003E-7</v>
      </c>
      <c r="D330" s="1">
        <v>3.7713948139499998E-3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0.14804820704800001</v>
      </c>
      <c r="B331" s="1">
        <v>3.1104807690799999E-6</v>
      </c>
      <c r="C331" s="1">
        <v>8.4243837039700004E-7</v>
      </c>
      <c r="D331" s="1">
        <v>3.8051087620899998E-3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0.14952868911799999</v>
      </c>
      <c r="B332" s="1">
        <v>2.7036900208E-6</v>
      </c>
      <c r="C332" s="1">
        <v>8.0064919209499998E-7</v>
      </c>
      <c r="D332" s="1">
        <v>3.8391598497200001E-3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0.151023976009</v>
      </c>
      <c r="B333" s="1">
        <v>3.9805988817899998E-6</v>
      </c>
      <c r="C333" s="1">
        <v>8.9449773291E-7</v>
      </c>
      <c r="D333" s="1">
        <v>3.8735514482100002E-3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0.152534215769</v>
      </c>
      <c r="B334" s="1">
        <v>2.9262573879800001E-6</v>
      </c>
      <c r="C334" s="1">
        <v>8.09410016077E-7</v>
      </c>
      <c r="D334" s="1">
        <v>3.9082869626900002E-3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0.15405955792699999</v>
      </c>
      <c r="B335" s="1">
        <v>3.3721810455399999E-6</v>
      </c>
      <c r="C335" s="1">
        <v>8.5467931885200004E-7</v>
      </c>
      <c r="D335" s="1">
        <v>3.9433698323199998E-3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0.15560015350600001</v>
      </c>
      <c r="B336" s="1">
        <v>3.11753969406E-6</v>
      </c>
      <c r="C336" s="1">
        <v>8.0693597203199995E-7</v>
      </c>
      <c r="D336" s="1">
        <v>3.9788035306400002E-3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0.157156155041</v>
      </c>
      <c r="B337" s="1">
        <v>3.3150323980700001E-6</v>
      </c>
      <c r="C337" s="1">
        <v>8.1313182549599997E-7</v>
      </c>
      <c r="D337" s="1">
        <v>4.0145915659500001E-3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0.158727716592</v>
      </c>
      <c r="B338" s="1">
        <v>2.5465016431100002E-6</v>
      </c>
      <c r="C338" s="1">
        <v>7.3667384920599998E-7</v>
      </c>
      <c r="D338" s="1">
        <v>4.0507374816099997E-3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0.16031499375800001</v>
      </c>
      <c r="B339" s="1">
        <v>3.5827461719800001E-6</v>
      </c>
      <c r="C339" s="1">
        <v>8.61841778109E-7</v>
      </c>
      <c r="D339" s="1">
        <v>4.0872448564300001E-3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0.16191814369499999</v>
      </c>
      <c r="B340" s="1">
        <v>2.4434228640100002E-6</v>
      </c>
      <c r="C340" s="1">
        <v>7.45416115764E-7</v>
      </c>
      <c r="D340" s="1">
        <v>4.1241173049900003E-3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0.16353732513200001</v>
      </c>
      <c r="B341" s="1">
        <v>2.3043955007499999E-6</v>
      </c>
      <c r="C341" s="1">
        <v>7.4539376486800001E-7</v>
      </c>
      <c r="D341" s="1">
        <v>4.1613584780400004E-3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0.16517269838400001</v>
      </c>
      <c r="B342" s="1">
        <v>2.6536337314400001E-6</v>
      </c>
      <c r="C342" s="1">
        <v>7.8437906734599998E-7</v>
      </c>
      <c r="D342" s="1">
        <v>4.1989720628199997E-3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0.16682442536700001</v>
      </c>
      <c r="B343" s="1">
        <v>1.27626900944E-6</v>
      </c>
      <c r="C343" s="1">
        <v>6.9473934869899997E-7</v>
      </c>
      <c r="D343" s="1">
        <v>4.2369617834500002E-3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0.16849266962100001</v>
      </c>
      <c r="B344" s="1">
        <v>2.4640414198599998E-6</v>
      </c>
      <c r="C344" s="1">
        <v>7.2735080197799997E-7</v>
      </c>
      <c r="D344" s="1">
        <v>4.27533140128E-3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0.170177596317</v>
      </c>
      <c r="B345" s="1">
        <v>1.5331759393999999E-6</v>
      </c>
      <c r="C345" s="1">
        <v>6.8018935611800005E-7</v>
      </c>
      <c r="D345" s="1">
        <v>4.3140847152999999E-3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0.17187937228</v>
      </c>
      <c r="B346" s="1">
        <v>8.3902585509499995E-7</v>
      </c>
      <c r="C346" s="1">
        <v>6.1648950130900003E-7</v>
      </c>
      <c r="D346" s="1">
        <v>4.3532255624500003E-3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0.17359816600299999</v>
      </c>
      <c r="B347" s="1">
        <v>1.69177283159E-6</v>
      </c>
      <c r="C347" s="1">
        <v>6.7306698577800003E-7</v>
      </c>
      <c r="D347" s="1">
        <v>4.3927578180700004E-3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0.17533414766300001</v>
      </c>
      <c r="B348" s="1">
        <v>1.80790174274E-6</v>
      </c>
      <c r="C348" s="1">
        <v>7.2249448202E-7</v>
      </c>
      <c r="D348" s="1">
        <v>4.4326853962600001E-3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0.17708748914</v>
      </c>
      <c r="B349" s="1">
        <v>1.33076810708E-6</v>
      </c>
      <c r="C349" s="1">
        <v>6.6778032218399998E-7</v>
      </c>
      <c r="D349" s="1">
        <v>4.4730122502200003E-3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0.178858364031</v>
      </c>
      <c r="B350" s="1">
        <v>2.0224045497600001E-6</v>
      </c>
      <c r="C350" s="1">
        <v>6.7422256275699995E-7</v>
      </c>
      <c r="D350" s="1">
        <v>4.5137423727200001E-3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0.18064694767200001</v>
      </c>
      <c r="B351" s="1">
        <v>1.06618653881E-6</v>
      </c>
      <c r="C351" s="1">
        <v>6.2094638084500002E-7</v>
      </c>
      <c r="D351" s="1">
        <v>4.5548797964500001E-3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0.18245341714800001</v>
      </c>
      <c r="B352" s="1">
        <v>1.25095447295E-6</v>
      </c>
      <c r="C352" s="1">
        <v>6.6200171010699999E-7</v>
      </c>
      <c r="D352" s="1">
        <v>4.59642859441E-3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0.18427795131999999</v>
      </c>
      <c r="B353" s="1">
        <v>6.6349959859300004E-7</v>
      </c>
      <c r="C353" s="1">
        <v>5.7053502240099998E-7</v>
      </c>
      <c r="D353" s="1">
        <v>4.63839288036E-3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0.18612073083299999</v>
      </c>
      <c r="B354" s="1">
        <v>1.5392869718300001E-6</v>
      </c>
      <c r="C354" s="1">
        <v>6.5652889022799995E-7</v>
      </c>
      <c r="D354" s="1">
        <v>4.6807768091599996E-3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0.187981938141</v>
      </c>
      <c r="B355" s="1">
        <v>1.74116390372E-6</v>
      </c>
      <c r="C355" s="1">
        <v>6.3729209811699997E-7</v>
      </c>
      <c r="D355" s="1">
        <v>4.7235845772499998E-3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0.189861757523</v>
      </c>
      <c r="B356" s="1">
        <v>1.6145604307600001E-6</v>
      </c>
      <c r="C356" s="1">
        <v>6.3368995815900001E-7</v>
      </c>
      <c r="D356" s="1">
        <v>4.7668204230199998E-3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0.19176037509800001</v>
      </c>
      <c r="B357" s="1">
        <v>6.7722811300699995E-7</v>
      </c>
      <c r="C357" s="1">
        <v>5.5916614742599997E-7</v>
      </c>
      <c r="D357" s="1">
        <v>4.8104886272500001E-3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0.19367797884900001</v>
      </c>
      <c r="B358" s="1">
        <v>7.3662136414199995E-7</v>
      </c>
      <c r="C358" s="1">
        <v>5.6140053857999996E-7</v>
      </c>
      <c r="D358" s="1">
        <v>4.8545935135299997E-3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0.19561475863700001</v>
      </c>
      <c r="B359" s="1">
        <v>1.40885950152E-6</v>
      </c>
      <c r="C359" s="1">
        <v>6.4262416674099998E-7</v>
      </c>
      <c r="D359" s="1">
        <v>4.89913944866E-3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0.197570906224</v>
      </c>
      <c r="B360" s="1">
        <v>1.15945473186E-6</v>
      </c>
      <c r="C360" s="1">
        <v>6.4955805286499997E-7</v>
      </c>
      <c r="D360" s="1">
        <v>4.94413084315E-3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2021-06-28T14:38:39Z</dcterms:modified>
</cp:coreProperties>
</file>