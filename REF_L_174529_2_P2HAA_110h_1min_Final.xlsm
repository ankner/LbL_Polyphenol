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DC87CF9E-5E66-4F0B-BC01-EC9D70EE2916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0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X320" i="1" l="1"/>
  <c r="Y320" i="1" s="1"/>
  <c r="X321" i="1"/>
  <c r="Y321" i="1" s="1"/>
  <c r="G27" i="1" l="1"/>
  <c r="F26" i="1"/>
  <c r="C26" i="1"/>
  <c r="F25" i="1"/>
  <c r="C25" i="1" l="1"/>
  <c r="X280" i="1" l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D19" i="69"/>
  <c r="B10" i="69"/>
  <c r="C10" i="69"/>
  <c r="X278" i="1"/>
  <c r="Y278" i="1" s="1"/>
  <c r="X279" i="1"/>
  <c r="Y279" i="1" s="1"/>
  <c r="C6" i="1"/>
  <c r="F7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29_off_0.0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<sst xmlns="http://schemas.openxmlformats.org/spreadsheetml/2006/main" count="1169" uniqueCount="649">
  <si>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</si>
  <si>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</si>
  <si>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</si>
  <si>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</si>
  <si>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</si>
  <si>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</si>
  <si>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</si>
  <si>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</si>
  <si>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</si>
  <si>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</si>
  <si>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</si>
  <si>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</si>
  <si>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</si>
  <si>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</si>
  <si>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</si>
  <si>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</si>
  <si>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</si>
  <si>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</si>
  <si>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</si>
  <si>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</si>
  <si>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</si>
  <si>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</si>
  <si>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</si>
  <si>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</si>
  <si>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</si>
  <si>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</si>
  <si>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</si>
  <si>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</si>
  <si>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</si>
  <si>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</si>
  <si>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</si>
  <si>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</si>
  <si>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</si>
  <si>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</si>
  <si>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</si>
  <si>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</si>
  <si>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</si>
  <si>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</si>
  <si>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</si>
  <si>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</si>
  <si>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</si>
  <si>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</si>
  <si>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</si>
  <si>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</si>
  <si>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</si>
  <si>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</si>
  <si>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</si>
  <si>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</si>
  <si>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</si>
  <si>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</si>
  <si>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</si>
  <si>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</si>
  <si>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</si>
  <si>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</si>
  <si>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</si>
  <si>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</si>
  <si>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</si>
  <si>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</si>
  <si>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</si>
  <si>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</si>
  <si>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</si>
  <si>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</si>
  <si>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</si>
  <si>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</si>
  <si>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</si>
  <si>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</si>
  <si>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</si>
  <si>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</si>
  <si>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</si>
  <si>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</si>
  <si>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</si>
  <si>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</si>
  <si>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</si>
  <si>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</si>
  <si>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</si>
  <si>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</si>
  <si>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</si>
  <si>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</si>
  <si>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</si>
  <si>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</si>
  <si>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</si>
  <si>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</si>
  <si>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</si>
  <si>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</si>
  <si>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</si>
  <si>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</si>
  <si>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</si>
  <si>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</si>
  <si>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</si>
  <si>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</si>
  <si>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</si>
  <si>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</si>
  <si>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</si>
  <si>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</si>
  <si>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</si>
  <si>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</si>
  <si>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</si>
  <si>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</si>
  <si>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</si>
  <si>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</si>
  <si>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</si>
  <si>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</si>
  <si>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</si>
  <si>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</si>
  <si>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</si>
  <si>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</si>
  <si>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</si>
  <si>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</si>
  <si>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</si>
  <si>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</si>
  <si>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</si>
  <si>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</si>
  <si>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</si>
  <si>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</si>
  <si>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</si>
  <si>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</si>
  <si>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</si>
  <si>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</si>
  <si>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</si>
  <si>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</si>
  <si>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</si>
  <si>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</si>
  <si>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</si>
  <si>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</si>
  <si>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</si>
  <si>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</si>
  <si>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</si>
  <si>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</si>
  <si>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</si>
  <si>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</si>
  <si>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</si>
  <si>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</si>
  <si>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</si>
  <si>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</si>
  <si>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</si>
  <si>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</si>
  <si>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</si>
  <si>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</si>
  <si>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</si>
  <si>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</si>
  <si>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</si>
  <si>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</si>
  <si>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</si>
  <si>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</si>
  <si>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</si>
  <si>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</si>
  <si>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</si>
  <si>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</si>
  <si>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</si>
  <si>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</si>
  <si>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</si>
  <si>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</si>
  <si>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</si>
  <si>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</si>
  <si>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</si>
  <si>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</si>
  <si>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</si>
  <si>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</si>
  <si>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</si>
  <si>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</si>
  <si>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</si>
  <si>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</si>
  <si>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</si>
  <si>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</si>
  <si>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</si>
  <si>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</si>
  <si>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</si>
  <si>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</si>
  <si>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</si>
  <si>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</si>
  <si>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</si>
  <si>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</si>
  <si>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</si>
  <si>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</si>
  <si>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</si>
  <si>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</si>
  <si>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</si>
  <si>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</si>
  <si>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</si>
  <si>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</si>
  <si>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</si>
  <si>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</si>
  <si>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</si>
  <si>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</si>
  <si>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</si>
  <si>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</si>
  <si>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</si>
  <si>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</si>
  <si>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</si>
  <si>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</si>
  <si>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</si>
  <si>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</si>
  <si>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</si>
  <si>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</si>
  <si>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</si>
  <si>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</si>
  <si>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</si>
  <si>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</si>
  <si>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</si>
  <si>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</si>
  <si>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</si>
  <si>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</si>
  <si>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</si>
  <si>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</si>
  <si>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</si>
  <si>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</si>
  <si>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</si>
  <si>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</si>
  <si>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</si>
  <si>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</si>
  <si>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</si>
  <si>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</si>
  <si>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</si>
  <si>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</si>
  <si>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</si>
  <si>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</si>
  <si>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</si>
  <si>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</si>
  <si>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</si>
  <si>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</si>
  <si>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</si>
  <si>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</si>
  <si>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</si>
  <si>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</si>
  <si>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</si>
  <si>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</si>
  <si>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</si>
  <si>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</si>
  <si>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</si>
  <si>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</si>
  <si>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</si>
  <si>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</si>
  <si>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</si>
  <si>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</si>
  <si>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</si>
  <si>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</si>
  <si>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</si>
  <si>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</si>
  <si>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</si>
  <si>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</si>
  <si>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</si>
  <si>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</si>
  <si>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</si>
  <si>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</si>
  <si>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</si>
  <si>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</si>
  <si>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</si>
  <si>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</si>
  <si>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</si>
  <si>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</si>
  <si>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</si>
  <si>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</si>
  <si>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</si>
  <si>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</si>
  <si>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</si>
  <si>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</si>
  <si>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</si>
  <si>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</si>
  <si>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</si>
  <si>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</si>
  <si>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</si>
  <si>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</si>
  <si>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</si>
  <si>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</si>
  <si>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</si>
  <si>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</si>
  <si>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</si>
  <si>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</si>
  <si>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</si>
  <si>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</si>
  <si>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</si>
  <si>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</si>
  <si>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</si>
  <si>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</si>
  <si>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</si>
  <si>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</si>
  <si>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</si>
  <si>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</si>
  <si>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</si>
  <si>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</si>
  <si>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</si>
  <si>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</si>
  <si>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</si>
  <si>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</si>
  <si>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</si>
  <si>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</si>
  <si>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</si>
  <si>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</si>
  <si>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</si>
  <si>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</si>
  <si>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</si>
  <si>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</si>
  <si>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</si>
  <si>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</si>
  <si>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</si>
  <si>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</si>
  <si>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</si>
  <si>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</si>
  <si>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</si>
  <si>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</si>
  <si>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</si>
  <si>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</si>
  <si>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</si>
  <si>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</si>
  <si>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</si>
  <si>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</si>
  <si>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</si>
  <si>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</si>
  <si>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</si>
  <si>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</si>
  <si>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</si>
  <si>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</si>
  <si>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</si>
  <si>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</si>
  <si>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</si>
  <si>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</si>
  <si>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</si>
  <si>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</si>
  <si>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</si>
  <si>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</si>
  <si>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</si>
  <si>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</si>
  <si>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</si>
  <si>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</si>
  <si>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</si>
  <si>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</si>
  <si>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</si>
  <si>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</si>
  <si>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</si>
  <si>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</si>
  <si>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</si>
  <si>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</si>
  <si>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</si>
  <si>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</si>
  <si>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</si>
  <si>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</si>
  <si>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</si>
  <si>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</si>
  <si>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</si>
  <si>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</si>
  <si>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</si>
  <si>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</si>
  <si>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</si>
  <si>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</si>
  <si>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</si>
  <si>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</si>
  <si>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</si>
  <si>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</si>
  <si>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</si>
  <si>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</si>
  <si>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</si>
  <si>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</si>
  <si>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</si>
  <si>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</si>
  <si>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</si>
  <si>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</si>
  <si>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</si>
  <si>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</si>
  <si>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</si>
  <si>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</si>
  <si>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</si>
  <si>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</si>
  <si>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</si>
  <si>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</si>
  <si>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</si>
  <si>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</si>
  <si>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</si>
  <si>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</si>
  <si>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</si>
  <si>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</si>
  <si>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</si>
  <si>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</si>
  <si>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</si>
  <si>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</si>
  <si>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</si>
  <si>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</si>
  <si>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</si>
  <si>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</si>
  <si>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</si>
  <si>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</si>
  <si>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</si>
  <si>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</si>
  <si>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</si>
  <si>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</si>
  <si>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</si>
  <si>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</si>
  <si>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</si>
  <si>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</si>
  <si>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</si>
  <si>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</si>
  <si>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</si>
  <si>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</si>
  <si>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</si>
  <si>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</si>
  <si>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</si>
  <si>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</si>
  <si>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</si>
  <si>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</si>
  <si>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</si>
  <si>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</si>
  <si>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</si>
  <si>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</si>
  <si>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</si>
  <si>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</si>
  <si>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</si>
  <si>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</si>
  <si>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</si>
  <si>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</si>
  <si>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</si>
  <si>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</si>
  <si>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</si>
  <si>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</si>
  <si>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</si>
  <si>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</si>
  <si>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</si>
  <si>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</si>
  <si>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</si>
  <si>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</si>
  <si>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</si>
  <si>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</si>
  <si>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</si>
  <si>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</si>
  <si>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</si>
  <si>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</si>
  <si>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</si>
  <si>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</si>
  <si>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</si>
  <si>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</si>
  <si>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</si>
  <si>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</si>
  <si>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</si>
  <si>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</si>
  <si>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</si>
  <si>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</si>
  <si>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</si>
  <si>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</si>
  <si>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</si>
  <si>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</si>
  <si>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</si>
  <si>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</si>
  <si>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</si>
  <si>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</si>
  <si>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</si>
  <si>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</si>
  <si>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</si>
  <si>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</si>
  <si>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</si>
  <si>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</si>
  <si>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</si>
  <si>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</si>
  <si>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</si>
  <si>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</si>
  <si>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</si>
  <si>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</si>
  <si>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</si>
  <si>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</si>
  <si>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</si>
  <si>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</si>
  <si>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</si>
  <si>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</si>
  <si>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</si>
  <si>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</si>
  <si>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</si>
  <si>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</si>
  <si>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</si>
  <si>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</si>
  <si>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</si>
  <si>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</si>
  <si>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</si>
  <si>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</si>
  <si>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</si>
  <si>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</si>
  <si>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</si>
  <si>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</si>
  <si>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</si>
  <si>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</si>
  <si>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</si>
  <si>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</si>
  <si>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</si>
  <si>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</si>
  <si>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</si>
  <si>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</si>
  <si>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</si>
  <si>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</si>
  <si>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</si>
  <si>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</si>
  <si>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</si>
  <si>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</si>
  <si>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</si>
  <si>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</si>
  <si>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</si>
  <si>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</si>
  <si>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</si>
  <si>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</si>
  <si>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</si>
  <si>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</si>
  <si>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</si>
  <si>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</si>
  <si>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</si>
  <si>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</si>
  <si>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</si>
  <si>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</si>
  <si>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</si>
  <si>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</si>
  <si>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</si>
  <si>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</si>
  <si>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</si>
  <si>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</si>
  <si>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</si>
  <si>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</si>
  <si>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</si>
  <si>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</si>
  <si>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</si>
  <si>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</si>
  <si>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</si>
  <si>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</si>
  <si>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</si>
  <si>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</si>
  <si>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</si>
  <si>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</si>
  <si>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</si>
  <si>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</si>
  <si>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</si>
  <si>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</si>
  <si>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</si>
  <si>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</si>
  <si>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</si>
  <si>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</si>
  <si>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</si>
  <si>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</si>
  <si>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</si>
  <si>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</si>
  <si>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</si>
  <si>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</si>
  <si>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</si>
  <si>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</si>
  <si>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</si>
  <si>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</si>
  <si>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</si>
  <si>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</si>
  <si>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</si>
  <si>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</si>
  <si>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</si>
  <si>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</si>
  <si>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</si>
  <si>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</si>
  <si>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</si>
  <si>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</si>
  <si>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</si>
  <si>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</si>
  <si>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</si>
  <si>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</si>
  <si>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</si>
  <si>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</si>
  <si>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</si>
  <si>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</si>
  <si>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</si>
  <si>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</si>
  <si>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</si>
  <si>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</si>
  <si>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</si>
  <si>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</si>
  <si>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</si>
  <si>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</si>
  <si>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</si>
  <si>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</si>
  <si>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</si>
  <si>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</si>
  <si>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</si>
  <si>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</si>
  <si>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</si>
  <si>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</si>
  <si>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</si>
  <si>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</si>
  <si>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</si>
  <si>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</si>
  <si>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</si>
  <si>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</si>
  <si>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</si>
  <si>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</si>
  <si>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</si>
  <si>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</si>
  <si>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</si>
  <si>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</si>
  <si>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</si>
  <si>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</si>
  <si>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</si>
  <si>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</si>
  <si>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</si>
  <si>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</si>
  <si>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</si>
  <si>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</si>
  <si>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</si>
  <si>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</si>
  <si>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</si>
  <si>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</si>
  <si>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</si>
  <si>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</si>
  <si>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</si>
  <si>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</si>
  <si>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</si>
  <si>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</si>
  <si>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</si>
  <si>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</si>
  <si>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</si>
  <si>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</si>
  <si>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</si>
  <si>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</si>
  <si>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</si>
  <si>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</si>
  <si>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</si>
  <si>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</si>
  <si>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</si>
  <si>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</si>
  <si>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</si>
  <si>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</si>
  <si>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</si>
  <si>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</si>
  <si>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</si>
  <si>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</si>
  <si>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</si>
  <si>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</si>
  <si>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</si>
  <si>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</si>
  <si>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</si>
  <si>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</si>
  <si>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</si>
  <si>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</si>
  <si>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</si>
  <si>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</si>
  <si>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</si>
  <si>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</si>
  <si>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</si>
  <si>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</si>
  <si>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</si>
  <si>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</si>
  <si>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</si>
  <si>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</si>
  <si>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</si>
  <si>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</si>
  <si>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</si>
  <si>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</si>
  <si>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Thu</t>
  </si>
  <si>
    <t>Feb</t>
  </si>
  <si>
    <t>11_02_2021</t>
  </si>
  <si>
    <r>
      <t>S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</si>
  <si>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</si>
  <si>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11_p2hma_58h62d_22h110h_1min-174529-1.</t>
  </si>
  <si>
    <t>2019-11-19T06:14:20.296334667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</si>
</sst>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105.07316262080602</c:v>
                </c:pt>
                <c:pt idx="4">
                  <c:v>105.07316262080602</c:v>
                </c:pt>
                <c:pt idx="5">
                  <c:v>108.85085033929646</c:v>
                </c:pt>
                <c:pt idx="6">
                  <c:v>108.85085033929646</c:v>
                </c:pt>
                <c:pt idx="7">
                  <c:v>110.95305390556719</c:v>
                </c:pt>
                <c:pt idx="8">
                  <c:v>110.95305390556719</c:v>
                </c:pt>
                <c:pt idx="9">
                  <c:v>112.49327297396356</c:v>
                </c:pt>
                <c:pt idx="10">
                  <c:v>112.49327297396356</c:v>
                </c:pt>
                <c:pt idx="11">
                  <c:v>113.74668216641723</c:v>
                </c:pt>
                <c:pt idx="12">
                  <c:v>113.74668216641723</c:v>
                </c:pt>
                <c:pt idx="13">
                  <c:v>114.82900796282476</c:v>
                </c:pt>
                <c:pt idx="14">
                  <c:v>114.82900796282476</c:v>
                </c:pt>
                <c:pt idx="15">
                  <c:v>115.8013077685528</c:v>
                </c:pt>
                <c:pt idx="16">
                  <c:v>115.8013077685528</c:v>
                </c:pt>
                <c:pt idx="17">
                  <c:v>116.70068545349231</c:v>
                </c:pt>
                <c:pt idx="18">
                  <c:v>116.70068545349231</c:v>
                </c:pt>
                <c:pt idx="19">
                  <c:v>117.55225098947281</c:v>
                </c:pt>
                <c:pt idx="20">
                  <c:v>117.55225098947281</c:v>
                </c:pt>
                <c:pt idx="21">
                  <c:v>118.37470055452853</c:v>
                </c:pt>
                <c:pt idx="22">
                  <c:v>118.37470055452853</c:v>
                </c:pt>
                <c:pt idx="23">
                  <c:v>119.18333435985957</c:v>
                </c:pt>
                <c:pt idx="24">
                  <c:v>119.18333435985957</c:v>
                </c:pt>
                <c:pt idx="25">
                  <c:v>120.81164744089757</c:v>
                </c:pt>
                <c:pt idx="26">
                  <c:v>120.81164744089757</c:v>
                </c:pt>
                <c:pt idx="27">
                  <c:v>124.06827360297358</c:v>
                </c:pt>
                <c:pt idx="28">
                  <c:v>124.06827360297358</c:v>
                </c:pt>
                <c:pt idx="29">
                  <c:v>127.32489976504958</c:v>
                </c:pt>
                <c:pt idx="30">
                  <c:v>127.32489976504958</c:v>
                </c:pt>
                <c:pt idx="31">
                  <c:v>130.5815259271256</c:v>
                </c:pt>
                <c:pt idx="32">
                  <c:v>130.5815259271256</c:v>
                </c:pt>
                <c:pt idx="33">
                  <c:v>133.8381520892016</c:v>
                </c:pt>
                <c:pt idx="34">
                  <c:v>133.8381520892016</c:v>
                </c:pt>
                <c:pt idx="35">
                  <c:v>137.0947782512776</c:v>
                </c:pt>
                <c:pt idx="36">
                  <c:v>137.0947782512776</c:v>
                </c:pt>
                <c:pt idx="37">
                  <c:v>140.35140441335361</c:v>
                </c:pt>
                <c:pt idx="38">
                  <c:v>140.35140441335361</c:v>
                </c:pt>
                <c:pt idx="39">
                  <c:v>143.60803057542961</c:v>
                </c:pt>
                <c:pt idx="40">
                  <c:v>143.60803057542961</c:v>
                </c:pt>
                <c:pt idx="41">
                  <c:v>146.86465673750561</c:v>
                </c:pt>
                <c:pt idx="42">
                  <c:v>146.86465673750561</c:v>
                </c:pt>
                <c:pt idx="43">
                  <c:v>150.12128289958162</c:v>
                </c:pt>
                <c:pt idx="44">
                  <c:v>150.12128289958162</c:v>
                </c:pt>
                <c:pt idx="45">
                  <c:v>153.37790906165762</c:v>
                </c:pt>
                <c:pt idx="46">
                  <c:v>153.37790906165762</c:v>
                </c:pt>
                <c:pt idx="47">
                  <c:v>156.63453522373362</c:v>
                </c:pt>
                <c:pt idx="48">
                  <c:v>156.63453522373362</c:v>
                </c:pt>
                <c:pt idx="49">
                  <c:v>159.89116138580962</c:v>
                </c:pt>
                <c:pt idx="50">
                  <c:v>159.89116138580962</c:v>
                </c:pt>
                <c:pt idx="51">
                  <c:v>163.14778754788563</c:v>
                </c:pt>
                <c:pt idx="52">
                  <c:v>163.14778754788563</c:v>
                </c:pt>
                <c:pt idx="53">
                  <c:v>166.40441370996163</c:v>
                </c:pt>
                <c:pt idx="54">
                  <c:v>166.40441370996163</c:v>
                </c:pt>
                <c:pt idx="55">
                  <c:v>169.66103987203763</c:v>
                </c:pt>
                <c:pt idx="56">
                  <c:v>169.66103987203763</c:v>
                </c:pt>
                <c:pt idx="57">
                  <c:v>172.91766603411364</c:v>
                </c:pt>
                <c:pt idx="58">
                  <c:v>172.91766603411364</c:v>
                </c:pt>
                <c:pt idx="59">
                  <c:v>176.17429219618964</c:v>
                </c:pt>
                <c:pt idx="60">
                  <c:v>176.17429219618964</c:v>
                </c:pt>
                <c:pt idx="61">
                  <c:v>179.43091835826564</c:v>
                </c:pt>
                <c:pt idx="62">
                  <c:v>179.43091835826564</c:v>
                </c:pt>
                <c:pt idx="63">
                  <c:v>182.68754452034165</c:v>
                </c:pt>
                <c:pt idx="64">
                  <c:v>182.68754452034165</c:v>
                </c:pt>
                <c:pt idx="65">
                  <c:v>185.94417068241765</c:v>
                </c:pt>
                <c:pt idx="66">
                  <c:v>185.94417068241765</c:v>
                </c:pt>
                <c:pt idx="67">
                  <c:v>189.20079684449365</c:v>
                </c:pt>
                <c:pt idx="68">
                  <c:v>189.20079684449365</c:v>
                </c:pt>
                <c:pt idx="69">
                  <c:v>190.82910992553167</c:v>
                </c:pt>
                <c:pt idx="70">
                  <c:v>190.82910992553167</c:v>
                </c:pt>
                <c:pt idx="71">
                  <c:v>194.7600384928345</c:v>
                </c:pt>
                <c:pt idx="72">
                  <c:v>194.7600384928345</c:v>
                </c:pt>
                <c:pt idx="73">
                  <c:v>198.75812819565095</c:v>
                </c:pt>
                <c:pt idx="74">
                  <c:v>198.75812819565095</c:v>
                </c:pt>
                <c:pt idx="75">
                  <c:v>202.89775638117544</c:v>
                </c:pt>
                <c:pt idx="76">
                  <c:v>202.89775638117544</c:v>
                </c:pt>
                <c:pt idx="77">
                  <c:v>207.26980886181104</c:v>
                </c:pt>
                <c:pt idx="78">
                  <c:v>207.26980886181104</c:v>
                </c:pt>
                <c:pt idx="79">
                  <c:v>211.99635016780391</c:v>
                </c:pt>
                <c:pt idx="80">
                  <c:v>211.99635016780391</c:v>
                </c:pt>
                <c:pt idx="81">
                  <c:v>217.25774953569879</c:v>
                </c:pt>
                <c:pt idx="82">
                  <c:v>217.25774953569879</c:v>
                </c:pt>
                <c:pt idx="83">
                  <c:v>223.35081906686816</c:v>
                </c:pt>
                <c:pt idx="84">
                  <c:v>223.35081906686816</c:v>
                </c:pt>
                <c:pt idx="85">
                  <c:v>230.83812802668245</c:v>
                </c:pt>
                <c:pt idx="86">
                  <c:v>230.83812802668245</c:v>
                </c:pt>
                <c:pt idx="87">
                  <c:v>241.05735457702008</c:v>
                </c:pt>
                <c:pt idx="88">
                  <c:v>241.05735457702008</c:v>
                </c:pt>
                <c:pt idx="89">
                  <c:v>259.42144036351999</c:v>
                </c:pt>
                <c:pt idx="90">
                  <c:v>259.42144036351999</c:v>
                </c:pt>
                <c:pt idx="91">
                  <c:v>284.08308540139382</c:v>
                </c:pt>
                <c:pt idx="92">
                  <c:v>284.08308540139382</c:v>
                </c:pt>
                <c:pt idx="93">
                  <c:v>1165.8212620885899</c:v>
                </c:pt>
                <c:pt idx="94">
                  <c:v>1165.8212620885899</c:v>
                </c:pt>
                <c:pt idx="95">
                  <c:v>1169.2634252647381</c:v>
                </c:pt>
                <c:pt idx="96">
                  <c:v>1169.2634252647381</c:v>
                </c:pt>
                <c:pt idx="97">
                  <c:v>1171.8266030154859</c:v>
                </c:pt>
                <c:pt idx="98">
                  <c:v>1171.8266030154859</c:v>
                </c:pt>
                <c:pt idx="99">
                  <c:v>1173.2529573915328</c:v>
                </c:pt>
                <c:pt idx="100">
                  <c:v>1173.2529573915328</c:v>
                </c:pt>
                <c:pt idx="101">
                  <c:v>1174.2980028112661</c:v>
                </c:pt>
                <c:pt idx="102">
                  <c:v>1174.2980028112661</c:v>
                </c:pt>
                <c:pt idx="103">
                  <c:v>1175.1484464673033</c:v>
                </c:pt>
                <c:pt idx="104">
                  <c:v>1175.1484464673033</c:v>
                </c:pt>
                <c:pt idx="105">
                  <c:v>1175.8828092858162</c:v>
                </c:pt>
                <c:pt idx="106">
                  <c:v>1175.8828092858162</c:v>
                </c:pt>
                <c:pt idx="107">
                  <c:v>1176.5425189851912</c:v>
                </c:pt>
                <c:pt idx="108">
                  <c:v>1176.5425189851912</c:v>
                </c:pt>
                <c:pt idx="109">
                  <c:v>1177.1527507045239</c:v>
                </c:pt>
                <c:pt idx="110">
                  <c:v>1177.1527507045239</c:v>
                </c:pt>
                <c:pt idx="111">
                  <c:v>1177.7305416702634</c:v>
                </c:pt>
                <c:pt idx="112">
                  <c:v>1177.7305416702634</c:v>
                </c:pt>
                <c:pt idx="113">
                  <c:v>1178.2885773215282</c:v>
                </c:pt>
                <c:pt idx="114">
                  <c:v>1178.2885773215282</c:v>
                </c:pt>
                <c:pt idx="115">
                  <c:v>1178.8372389189869</c:v>
                </c:pt>
                <c:pt idx="116">
                  <c:v>1178.8372389189869</c:v>
                </c:pt>
                <c:pt idx="117">
                  <c:v>1179.0645116462597</c:v>
                </c:pt>
                <c:pt idx="118">
                  <c:v>1179.0645116462597</c:v>
                </c:pt>
                <c:pt idx="119">
                  <c:v>1179.5190571008052</c:v>
                </c:pt>
                <c:pt idx="120">
                  <c:v>1179.5190571008052</c:v>
                </c:pt>
                <c:pt idx="121">
                  <c:v>1179.9736025553507</c:v>
                </c:pt>
                <c:pt idx="122">
                  <c:v>1179.9736025553507</c:v>
                </c:pt>
                <c:pt idx="123">
                  <c:v>1180.4281480098962</c:v>
                </c:pt>
                <c:pt idx="124">
                  <c:v>1180.4281480098962</c:v>
                </c:pt>
                <c:pt idx="125">
                  <c:v>1180.8826934644417</c:v>
                </c:pt>
                <c:pt idx="126">
                  <c:v>1180.8826934644417</c:v>
                </c:pt>
                <c:pt idx="127">
                  <c:v>1181.3372389189872</c:v>
                </c:pt>
                <c:pt idx="128">
                  <c:v>1181.3372389189872</c:v>
                </c:pt>
                <c:pt idx="129">
                  <c:v>1181.7917843735327</c:v>
                </c:pt>
                <c:pt idx="130">
                  <c:v>1181.7917843735327</c:v>
                </c:pt>
                <c:pt idx="131">
                  <c:v>1182.2463298280782</c:v>
                </c:pt>
                <c:pt idx="132">
                  <c:v>1182.2463298280782</c:v>
                </c:pt>
                <c:pt idx="133">
                  <c:v>1182.7008752826237</c:v>
                </c:pt>
                <c:pt idx="134">
                  <c:v>1182.7008752826237</c:v>
                </c:pt>
                <c:pt idx="135">
                  <c:v>1183.1554207371692</c:v>
                </c:pt>
                <c:pt idx="136">
                  <c:v>1183.1554207371692</c:v>
                </c:pt>
                <c:pt idx="137">
                  <c:v>1183.6099661917146</c:v>
                </c:pt>
                <c:pt idx="138">
                  <c:v>1183.6099661917146</c:v>
                </c:pt>
                <c:pt idx="139">
                  <c:v>1184.0645116462601</c:v>
                </c:pt>
                <c:pt idx="140">
                  <c:v>1184.0645116462601</c:v>
                </c:pt>
                <c:pt idx="141">
                  <c:v>1184.5190571008056</c:v>
                </c:pt>
                <c:pt idx="142">
                  <c:v>1184.5190571008056</c:v>
                </c:pt>
                <c:pt idx="143">
                  <c:v>1184.9736025553511</c:v>
                </c:pt>
                <c:pt idx="144">
                  <c:v>1184.9736025553511</c:v>
                </c:pt>
                <c:pt idx="145">
                  <c:v>1185.4281480098966</c:v>
                </c:pt>
                <c:pt idx="146">
                  <c:v>1185.4281480098966</c:v>
                </c:pt>
                <c:pt idx="147">
                  <c:v>1185.8826934644421</c:v>
                </c:pt>
                <c:pt idx="148">
                  <c:v>1185.8826934644421</c:v>
                </c:pt>
                <c:pt idx="149">
                  <c:v>1186.3372389189876</c:v>
                </c:pt>
                <c:pt idx="150">
                  <c:v>1186.3372389189876</c:v>
                </c:pt>
                <c:pt idx="151">
                  <c:v>1186.7917843735331</c:v>
                </c:pt>
                <c:pt idx="152">
                  <c:v>1186.7917843735331</c:v>
                </c:pt>
                <c:pt idx="153">
                  <c:v>1187.2463298280786</c:v>
                </c:pt>
                <c:pt idx="154">
                  <c:v>1187.2463298280786</c:v>
                </c:pt>
                <c:pt idx="155">
                  <c:v>1187.7008752826241</c:v>
                </c:pt>
                <c:pt idx="156">
                  <c:v>1187.7008752826241</c:v>
                </c:pt>
                <c:pt idx="157">
                  <c:v>1188.1554207371696</c:v>
                </c:pt>
                <c:pt idx="158">
                  <c:v>1188.1554207371696</c:v>
                </c:pt>
                <c:pt idx="159">
                  <c:v>1188.6099661917151</c:v>
                </c:pt>
                <c:pt idx="160">
                  <c:v>1188.6099661917151</c:v>
                </c:pt>
                <c:pt idx="161">
                  <c:v>1188.8372389189879</c:v>
                </c:pt>
                <c:pt idx="162">
                  <c:v>1188.8372389189879</c:v>
                </c:pt>
                <c:pt idx="163">
                  <c:v>1189.1115697177172</c:v>
                </c:pt>
                <c:pt idx="164">
                  <c:v>1189.1115697177172</c:v>
                </c:pt>
                <c:pt idx="165">
                  <c:v>1189.3905875433495</c:v>
                </c:pt>
                <c:pt idx="166">
                  <c:v>1189.3905875433495</c:v>
                </c:pt>
                <c:pt idx="167">
                  <c:v>1189.6794830262193</c:v>
                </c:pt>
                <c:pt idx="168">
                  <c:v>1189.6794830262193</c:v>
                </c:pt>
                <c:pt idx="169">
                  <c:v>1189.9845988858856</c:v>
                </c:pt>
                <c:pt idx="170">
                  <c:v>1189.9845988858856</c:v>
                </c:pt>
                <c:pt idx="171">
                  <c:v>1190.3144537355731</c:v>
                </c:pt>
                <c:pt idx="172">
                  <c:v>1190.3144537355731</c:v>
                </c:pt>
                <c:pt idx="173">
                  <c:v>1190.6816351448297</c:v>
                </c:pt>
                <c:pt idx="174">
                  <c:v>1190.6816351448297</c:v>
                </c:pt>
                <c:pt idx="175">
                  <c:v>1191.1068569728484</c:v>
                </c:pt>
                <c:pt idx="176">
                  <c:v>1191.1068569728484</c:v>
                </c:pt>
                <c:pt idx="177">
                  <c:v>1191.6293796827151</c:v>
                </c:pt>
                <c:pt idx="178">
                  <c:v>1191.6293796827151</c:v>
                </c:pt>
                <c:pt idx="179">
                  <c:v>1192.3425568707387</c:v>
                </c:pt>
                <c:pt idx="180">
                  <c:v>1192.3425568707387</c:v>
                </c:pt>
                <c:pt idx="181">
                  <c:v>1193.6241457461126</c:v>
                </c:pt>
                <c:pt idx="182">
                  <c:v>1193.6241457461126</c:v>
                </c:pt>
                <c:pt idx="183">
                  <c:v>1195.3452273341868</c:v>
                </c:pt>
                <c:pt idx="184">
                  <c:v>1195.3452273341868</c:v>
                </c:pt>
                <c:pt idx="185">
                  <c:v>1205.6430301188477</c:v>
                </c:pt>
                <c:pt idx="186">
                  <c:v>1205.6430301188477</c:v>
                </c:pt>
                <c:pt idx="187">
                  <c:v>1207.3641117069219</c:v>
                </c:pt>
                <c:pt idx="188">
                  <c:v>1207.3641117069219</c:v>
                </c:pt>
                <c:pt idx="189">
                  <c:v>1208.6457005822958</c:v>
                </c:pt>
                <c:pt idx="190">
                  <c:v>1208.6457005822958</c:v>
                </c:pt>
                <c:pt idx="191">
                  <c:v>1209.3588777703194</c:v>
                </c:pt>
                <c:pt idx="192">
                  <c:v>1209.3588777703194</c:v>
                </c:pt>
                <c:pt idx="193">
                  <c:v>1209.8814004801861</c:v>
                </c:pt>
                <c:pt idx="194">
                  <c:v>1209.8814004801861</c:v>
                </c:pt>
                <c:pt idx="195">
                  <c:v>1210.3066223082049</c:v>
                </c:pt>
                <c:pt idx="196">
                  <c:v>1210.3066223082049</c:v>
                </c:pt>
                <c:pt idx="197">
                  <c:v>1210.6738037174614</c:v>
                </c:pt>
                <c:pt idx="198">
                  <c:v>1210.6738037174614</c:v>
                </c:pt>
                <c:pt idx="199">
                  <c:v>1211.0036585671489</c:v>
                </c:pt>
                <c:pt idx="200">
                  <c:v>1211.0036585671489</c:v>
                </c:pt>
                <c:pt idx="201">
                  <c:v>1211.3087744268153</c:v>
                </c:pt>
                <c:pt idx="202">
                  <c:v>1211.3087744268153</c:v>
                </c:pt>
                <c:pt idx="203">
                  <c:v>1211.597669909685</c:v>
                </c:pt>
                <c:pt idx="204">
                  <c:v>1211.597669909685</c:v>
                </c:pt>
                <c:pt idx="205">
                  <c:v>1211.8766877353173</c:v>
                </c:pt>
                <c:pt idx="206">
                  <c:v>1211.8766877353173</c:v>
                </c:pt>
                <c:pt idx="207">
                  <c:v>1212.1510185340467</c:v>
                </c:pt>
                <c:pt idx="208">
                  <c:v>1212.1510185340467</c:v>
                </c:pt>
                <c:pt idx="209">
                  <c:v>1212.425349332776</c:v>
                </c:pt>
                <c:pt idx="210">
                  <c:v>1212.425349332776</c:v>
                </c:pt>
                <c:pt idx="211">
                  <c:v>1212.7043671584083</c:v>
                </c:pt>
                <c:pt idx="212">
                  <c:v>1212.7043671584083</c:v>
                </c:pt>
                <c:pt idx="213">
                  <c:v>1212.9932626412781</c:v>
                </c:pt>
                <c:pt idx="214">
                  <c:v>1212.9932626412781</c:v>
                </c:pt>
                <c:pt idx="215">
                  <c:v>1213.2983785009444</c:v>
                </c:pt>
                <c:pt idx="216">
                  <c:v>1213.2983785009444</c:v>
                </c:pt>
                <c:pt idx="217">
                  <c:v>1213.6282333506319</c:v>
                </c:pt>
                <c:pt idx="218">
                  <c:v>1213.6282333506319</c:v>
                </c:pt>
                <c:pt idx="219">
                  <c:v>1213.9954147598885</c:v>
                </c:pt>
                <c:pt idx="220">
                  <c:v>1213.9954147598885</c:v>
                </c:pt>
                <c:pt idx="221">
                  <c:v>1214.4206365879072</c:v>
                </c:pt>
                <c:pt idx="222">
                  <c:v>1214.4206365879072</c:v>
                </c:pt>
                <c:pt idx="223">
                  <c:v>1214.9431592977739</c:v>
                </c:pt>
                <c:pt idx="224">
                  <c:v>1214.9431592977739</c:v>
                </c:pt>
                <c:pt idx="225">
                  <c:v>1215.6563364857975</c:v>
                </c:pt>
                <c:pt idx="226">
                  <c:v>1215.6563364857975</c:v>
                </c:pt>
                <c:pt idx="227">
                  <c:v>1216.9379253611714</c:v>
                </c:pt>
                <c:pt idx="228">
                  <c:v>1216.9379253611714</c:v>
                </c:pt>
                <c:pt idx="229">
                  <c:v>1218.6590069492456</c:v>
                </c:pt>
                <c:pt idx="230">
                  <c:v>1218.6590069492456</c:v>
                </c:pt>
                <c:pt idx="231">
                  <c:v>1318.6590069492456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8.1636531372494317E-9</c:v>
                </c:pt>
                <c:pt idx="3">
                  <c:v>8.1636531372494317E-9</c:v>
                </c:pt>
                <c:pt idx="4">
                  <c:v>6.7246371957513057E-8</c:v>
                </c:pt>
                <c:pt idx="5">
                  <c:v>6.7246371957513057E-8</c:v>
                </c:pt>
                <c:pt idx="6">
                  <c:v>1.5271839638361962E-7</c:v>
                </c:pt>
                <c:pt idx="7">
                  <c:v>1.5271839638361962E-7</c:v>
                </c:pt>
                <c:pt idx="8">
                  <c:v>2.4943446360627497E-7</c:v>
                </c:pt>
                <c:pt idx="9">
                  <c:v>2.4943446360627497E-7</c:v>
                </c:pt>
                <c:pt idx="10">
                  <c:v>3.5150378305590423E-7</c:v>
                </c:pt>
                <c:pt idx="11">
                  <c:v>3.5150378305590423E-7</c:v>
                </c:pt>
                <c:pt idx="12">
                  <c:v>4.5622959756945223E-7</c:v>
                </c:pt>
                <c:pt idx="13">
                  <c:v>4.5622959756945223E-7</c:v>
                </c:pt>
                <c:pt idx="14">
                  <c:v>5.6226754256648811E-7</c:v>
                </c:pt>
                <c:pt idx="15">
                  <c:v>5.6226754256648811E-7</c:v>
                </c:pt>
                <c:pt idx="16">
                  <c:v>6.6892322793280842E-7</c:v>
                </c:pt>
                <c:pt idx="17">
                  <c:v>6.6892322793280842E-7</c:v>
                </c:pt>
                <c:pt idx="18">
                  <c:v>7.7584080782538232E-7</c:v>
                </c:pt>
                <c:pt idx="19">
                  <c:v>7.7584080782538232E-7</c:v>
                </c:pt>
                <c:pt idx="20">
                  <c:v>8.8284910705866951E-7</c:v>
                </c:pt>
                <c:pt idx="21">
                  <c:v>8.8284910705866951E-7</c:v>
                </c:pt>
                <c:pt idx="22">
                  <c:v>9.8987834012749162E-7</c:v>
                </c:pt>
                <c:pt idx="23">
                  <c:v>9.8987834012749162E-7</c:v>
                </c:pt>
                <c:pt idx="24">
                  <c:v>1.1487417480334408E-6</c:v>
                </c:pt>
                <c:pt idx="25">
                  <c:v>1.1487417480334408E-6</c:v>
                </c:pt>
                <c:pt idx="26">
                  <c:v>1.4545150229260942E-6</c:v>
                </c:pt>
                <c:pt idx="27">
                  <c:v>1.4545150229260942E-6</c:v>
                </c:pt>
                <c:pt idx="28">
                  <c:v>1.771513595029997E-6</c:v>
                </c:pt>
                <c:pt idx="29">
                  <c:v>1.771513595029997E-6</c:v>
                </c:pt>
                <c:pt idx="30">
                  <c:v>1.9575364998681612E-6</c:v>
                </c:pt>
                <c:pt idx="31">
                  <c:v>1.9575364998681612E-6</c:v>
                </c:pt>
                <c:pt idx="32">
                  <c:v>2.0405974062413372E-6</c:v>
                </c:pt>
                <c:pt idx="33">
                  <c:v>2.0405974062413372E-6</c:v>
                </c:pt>
                <c:pt idx="34">
                  <c:v>2.0679952570916295E-6</c:v>
                </c:pt>
                <c:pt idx="35">
                  <c:v>2.0679952570916295E-6</c:v>
                </c:pt>
                <c:pt idx="36">
                  <c:v>2.0734263324875523E-6</c:v>
                </c:pt>
                <c:pt idx="37">
                  <c:v>2.0734263324875523E-6</c:v>
                </c:pt>
                <c:pt idx="38">
                  <c:v>2.0721636163053465E-6</c:v>
                </c:pt>
                <c:pt idx="39">
                  <c:v>2.0721636163053465E-6</c:v>
                </c:pt>
                <c:pt idx="40">
                  <c:v>2.0690218024082891E-6</c:v>
                </c:pt>
                <c:pt idx="41">
                  <c:v>2.0690218024082891E-6</c:v>
                </c:pt>
                <c:pt idx="42">
                  <c:v>2.0650712350334776E-6</c:v>
                </c:pt>
                <c:pt idx="43">
                  <c:v>2.0650712350334776E-6</c:v>
                </c:pt>
                <c:pt idx="44">
                  <c:v>2.060454962516928E-6</c:v>
                </c:pt>
                <c:pt idx="45">
                  <c:v>2.060454962516928E-6</c:v>
                </c:pt>
                <c:pt idx="46">
                  <c:v>2.0551561611267919E-6</c:v>
                </c:pt>
                <c:pt idx="47">
                  <c:v>2.0551561611267919E-6</c:v>
                </c:pt>
                <c:pt idx="48">
                  <c:v>2.0491462814886453E-6</c:v>
                </c:pt>
                <c:pt idx="49">
                  <c:v>2.0491462814886453E-6</c:v>
                </c:pt>
                <c:pt idx="50">
                  <c:v>2.0424076863464207E-6</c:v>
                </c:pt>
                <c:pt idx="51">
                  <c:v>2.0424076863464207E-6</c:v>
                </c:pt>
                <c:pt idx="52">
                  <c:v>2.0349380031797748E-6</c:v>
                </c:pt>
                <c:pt idx="53">
                  <c:v>2.0349380031797748E-6</c:v>
                </c:pt>
                <c:pt idx="54">
                  <c:v>2.0267521322711689E-6</c:v>
                </c:pt>
                <c:pt idx="55">
                  <c:v>2.0267521322711689E-6</c:v>
                </c:pt>
                <c:pt idx="56">
                  <c:v>2.0178834839137424E-6</c:v>
                </c:pt>
                <c:pt idx="57">
                  <c:v>2.0178834839137424E-6</c:v>
                </c:pt>
                <c:pt idx="58">
                  <c:v>2.0083844454082783E-6</c:v>
                </c:pt>
                <c:pt idx="59">
                  <c:v>2.0083844454082783E-6</c:v>
                </c:pt>
                <c:pt idx="60">
                  <c:v>1.9983259896539519E-6</c:v>
                </c:pt>
                <c:pt idx="61">
                  <c:v>1.9983259896539519E-6</c:v>
                </c:pt>
                <c:pt idx="62">
                  <c:v>1.9877963810361308E-6</c:v>
                </c:pt>
                <c:pt idx="63">
                  <c:v>1.9877963810361308E-6</c:v>
                </c:pt>
                <c:pt idx="64">
                  <c:v>1.9768989927606532E-6</c:v>
                </c:pt>
                <c:pt idx="65">
                  <c:v>1.9768989927606532E-6</c:v>
                </c:pt>
                <c:pt idx="66">
                  <c:v>1.9657493106027076E-6</c:v>
                </c:pt>
                <c:pt idx="67">
                  <c:v>1.9657493106027076E-6</c:v>
                </c:pt>
                <c:pt idx="68">
                  <c:v>1.9572958257736696E-6</c:v>
                </c:pt>
                <c:pt idx="69">
                  <c:v>1.9572958257736696E-6</c:v>
                </c:pt>
                <c:pt idx="70">
                  <c:v>1.9476847042481641E-6</c:v>
                </c:pt>
                <c:pt idx="71">
                  <c:v>1.9476847042481641E-6</c:v>
                </c:pt>
                <c:pt idx="72">
                  <c:v>1.9341118982153967E-6</c:v>
                </c:pt>
                <c:pt idx="73">
                  <c:v>1.9341118982153967E-6</c:v>
                </c:pt>
                <c:pt idx="74">
                  <c:v>1.9205417468862193E-6</c:v>
                </c:pt>
                <c:pt idx="75">
                  <c:v>1.9205417468862193E-6</c:v>
                </c:pt>
                <c:pt idx="76">
                  <c:v>1.9069831000402527E-6</c:v>
                </c:pt>
                <c:pt idx="77">
                  <c:v>1.9069831000402527E-6</c:v>
                </c:pt>
                <c:pt idx="78">
                  <c:v>1.8934576650888682E-6</c:v>
                </c:pt>
                <c:pt idx="79">
                  <c:v>1.8934576650888682E-6</c:v>
                </c:pt>
                <c:pt idx="80">
                  <c:v>1.8800105682696976E-6</c:v>
                </c:pt>
                <c:pt idx="81">
                  <c:v>1.8800105682696976E-6</c:v>
                </c:pt>
                <c:pt idx="82">
                  <c:v>1.8667298679763307E-6</c:v>
                </c:pt>
                <c:pt idx="83">
                  <c:v>1.8667298679763307E-6</c:v>
                </c:pt>
                <c:pt idx="84">
                  <c:v>1.8537860484696024E-6</c:v>
                </c:pt>
                <c:pt idx="85">
                  <c:v>1.8537860484696024E-6</c:v>
                </c:pt>
                <c:pt idx="86">
                  <c:v>1.8415210963343192E-6</c:v>
                </c:pt>
                <c:pt idx="87">
                  <c:v>1.8415210963343192E-6</c:v>
                </c:pt>
                <c:pt idx="88">
                  <c:v>1.8306820463336755E-6</c:v>
                </c:pt>
                <c:pt idx="89">
                  <c:v>1.8306820463336755E-6</c:v>
                </c:pt>
                <c:pt idx="90">
                  <c:v>1.8231895299487332E-6</c:v>
                </c:pt>
                <c:pt idx="91">
                  <c:v>1.8231895299487332E-6</c:v>
                </c:pt>
                <c:pt idx="92">
                  <c:v>1.822154264373398E-6</c:v>
                </c:pt>
                <c:pt idx="93">
                  <c:v>1.822154264373398E-6</c:v>
                </c:pt>
                <c:pt idx="94">
                  <c:v>1.8183269983783706E-6</c:v>
                </c:pt>
                <c:pt idx="95">
                  <c:v>1.8183269983783706E-6</c:v>
                </c:pt>
                <c:pt idx="96">
                  <c:v>1.7906279674625683E-6</c:v>
                </c:pt>
                <c:pt idx="97">
                  <c:v>1.7906279674625683E-6</c:v>
                </c:pt>
                <c:pt idx="98">
                  <c:v>1.7505571600541087E-6</c:v>
                </c:pt>
                <c:pt idx="99">
                  <c:v>1.7505571600541087E-6</c:v>
                </c:pt>
                <c:pt idx="100">
                  <c:v>1.7052149451129719E-6</c:v>
                </c:pt>
                <c:pt idx="101">
                  <c:v>1.7052149451129719E-6</c:v>
                </c:pt>
                <c:pt idx="102">
                  <c:v>1.6573630301800974E-6</c:v>
                </c:pt>
                <c:pt idx="103">
                  <c:v>1.6573630301800974E-6</c:v>
                </c:pt>
                <c:pt idx="104">
                  <c:v>1.6082657030459495E-6</c:v>
                </c:pt>
                <c:pt idx="105">
                  <c:v>1.6082657030459495E-6</c:v>
                </c:pt>
                <c:pt idx="106">
                  <c:v>1.5585532257705523E-6</c:v>
                </c:pt>
                <c:pt idx="107">
                  <c:v>1.5585532257705523E-6</c:v>
                </c:pt>
                <c:pt idx="108">
                  <c:v>1.5085511408073501E-6</c:v>
                </c:pt>
                <c:pt idx="109">
                  <c:v>1.5085511408073501E-6</c:v>
                </c:pt>
                <c:pt idx="110">
                  <c:v>1.4584262750255901E-6</c:v>
                </c:pt>
                <c:pt idx="111">
                  <c:v>1.4584262750255901E-6</c:v>
                </c:pt>
                <c:pt idx="112">
                  <c:v>1.4082588784010854E-6</c:v>
                </c:pt>
                <c:pt idx="113">
                  <c:v>1.4082588784010854E-6</c:v>
                </c:pt>
                <c:pt idx="114">
                  <c:v>1.3580816676216257E-6</c:v>
                </c:pt>
                <c:pt idx="115">
                  <c:v>1.3580816676216257E-6</c:v>
                </c:pt>
                <c:pt idx="116">
                  <c:v>1.322554186197622E-6</c:v>
                </c:pt>
                <c:pt idx="117">
                  <c:v>1.322554186197622E-6</c:v>
                </c:pt>
                <c:pt idx="118">
                  <c:v>1.2913069449591058E-6</c:v>
                </c:pt>
                <c:pt idx="119">
                  <c:v>1.2913069449591058E-6</c:v>
                </c:pt>
                <c:pt idx="120">
                  <c:v>1.2501014842147682E-6</c:v>
                </c:pt>
                <c:pt idx="121">
                  <c:v>1.2501014842147682E-6</c:v>
                </c:pt>
                <c:pt idx="122">
                  <c:v>1.2098491889687374E-6</c:v>
                </c:pt>
                <c:pt idx="123">
                  <c:v>1.2098491889687374E-6</c:v>
                </c:pt>
                <c:pt idx="124">
                  <c:v>1.1710037160547048E-6</c:v>
                </c:pt>
                <c:pt idx="125">
                  <c:v>1.1710037160547048E-6</c:v>
                </c:pt>
                <c:pt idx="126">
                  <c:v>1.134003708808447E-6</c:v>
                </c:pt>
                <c:pt idx="127">
                  <c:v>1.134003708808447E-6</c:v>
                </c:pt>
                <c:pt idx="128">
                  <c:v>1.0992887827933096E-6</c:v>
                </c:pt>
                <c:pt idx="129">
                  <c:v>1.0992887827933096E-6</c:v>
                </c:pt>
                <c:pt idx="130">
                  <c:v>1.0673368011419614E-6</c:v>
                </c:pt>
                <c:pt idx="131">
                  <c:v>1.0673368011419614E-6</c:v>
                </c:pt>
                <c:pt idx="132">
                  <c:v>1.0387293935391389E-6</c:v>
                </c:pt>
                <c:pt idx="133">
                  <c:v>1.0387293935391389E-6</c:v>
                </c:pt>
                <c:pt idx="134">
                  <c:v>1.0142502803598605E-6</c:v>
                </c:pt>
                <c:pt idx="135">
                  <c:v>1.0142502803598605E-6</c:v>
                </c:pt>
                <c:pt idx="136">
                  <c:v>9.9501421951855528E-7</c:v>
                </c:pt>
                <c:pt idx="137">
                  <c:v>9.9501421951855528E-7</c:v>
                </c:pt>
                <c:pt idx="138">
                  <c:v>9.826120783920275E-7</c:v>
                </c:pt>
                <c:pt idx="139">
                  <c:v>9.826120783920275E-7</c:v>
                </c:pt>
                <c:pt idx="140">
                  <c:v>9.7924028577783184E-7</c:v>
                </c:pt>
                <c:pt idx="141">
                  <c:v>9.7924028577783184E-7</c:v>
                </c:pt>
                <c:pt idx="142">
                  <c:v>9.8776460216188029E-7</c:v>
                </c:pt>
                <c:pt idx="143">
                  <c:v>9.8776460216188029E-7</c:v>
                </c:pt>
                <c:pt idx="144">
                  <c:v>1.0116563421398208E-6</c:v>
                </c:pt>
                <c:pt idx="145">
                  <c:v>1.0116563421398208E-6</c:v>
                </c:pt>
                <c:pt idx="146">
                  <c:v>1.0547437388811689E-6</c:v>
                </c:pt>
                <c:pt idx="147">
                  <c:v>1.0547437388811689E-6</c:v>
                </c:pt>
                <c:pt idx="148">
                  <c:v>1.1207502640282688E-6</c:v>
                </c:pt>
                <c:pt idx="149">
                  <c:v>1.1207502640282688E-6</c:v>
                </c:pt>
                <c:pt idx="150">
                  <c:v>1.2126464922241488E-6</c:v>
                </c:pt>
                <c:pt idx="151">
                  <c:v>1.2126464922241488E-6</c:v>
                </c:pt>
                <c:pt idx="152">
                  <c:v>1.3319119963341632E-6</c:v>
                </c:pt>
                <c:pt idx="153">
                  <c:v>1.3319119963341632E-6</c:v>
                </c:pt>
                <c:pt idx="154">
                  <c:v>1.4778664942741728E-6</c:v>
                </c:pt>
                <c:pt idx="155">
                  <c:v>1.4778664942741728E-6</c:v>
                </c:pt>
                <c:pt idx="156">
                  <c:v>1.6472574129516165E-6</c:v>
                </c:pt>
                <c:pt idx="157">
                  <c:v>1.6472574129516165E-6</c:v>
                </c:pt>
                <c:pt idx="158">
                  <c:v>1.8342630456571564E-6</c:v>
                </c:pt>
                <c:pt idx="159">
                  <c:v>1.8342630456571564E-6</c:v>
                </c:pt>
                <c:pt idx="160">
                  <c:v>1.9813789193172719E-6</c:v>
                </c:pt>
                <c:pt idx="161">
                  <c:v>1.9813789193172719E-6</c:v>
                </c:pt>
                <c:pt idx="162">
                  <c:v>2.0823394542220977E-6</c:v>
                </c:pt>
                <c:pt idx="163">
                  <c:v>2.0823394542220977E-6</c:v>
                </c:pt>
                <c:pt idx="164">
                  <c:v>2.2031849623988735E-6</c:v>
                </c:pt>
                <c:pt idx="165">
                  <c:v>2.2031849623988735E-6</c:v>
                </c:pt>
                <c:pt idx="166">
                  <c:v>2.3240068344164358E-6</c:v>
                </c:pt>
                <c:pt idx="167">
                  <c:v>2.3240068344164358E-6</c:v>
                </c:pt>
                <c:pt idx="168">
                  <c:v>2.4447262762425861E-6</c:v>
                </c:pt>
                <c:pt idx="169">
                  <c:v>2.4447262762425861E-6</c:v>
                </c:pt>
                <c:pt idx="170">
                  <c:v>2.5651500158927381E-6</c:v>
                </c:pt>
                <c:pt idx="171">
                  <c:v>2.5651500158927381E-6</c:v>
                </c:pt>
                <c:pt idx="172">
                  <c:v>2.6848762718115108E-6</c:v>
                </c:pt>
                <c:pt idx="173">
                  <c:v>2.6848762718115108E-6</c:v>
                </c:pt>
                <c:pt idx="174">
                  <c:v>2.803121015899125E-6</c:v>
                </c:pt>
                <c:pt idx="175">
                  <c:v>2.803121015899125E-6</c:v>
                </c:pt>
                <c:pt idx="176">
                  <c:v>2.9183663411666309E-6</c:v>
                </c:pt>
                <c:pt idx="177">
                  <c:v>2.9183663411666309E-6</c:v>
                </c:pt>
                <c:pt idx="178">
                  <c:v>3.0275673693087792E-6</c:v>
                </c:pt>
                <c:pt idx="179">
                  <c:v>3.0275673693087792E-6</c:v>
                </c:pt>
                <c:pt idx="180">
                  <c:v>3.1240728746787833E-6</c:v>
                </c:pt>
                <c:pt idx="181">
                  <c:v>3.1240728746787833E-6</c:v>
                </c:pt>
                <c:pt idx="182">
                  <c:v>3.1907825106873794E-6</c:v>
                </c:pt>
                <c:pt idx="183">
                  <c:v>3.1907825106873794E-6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3.19568631623801E-6</c:v>
                </c:pt>
                <c:pt idx="187">
                  <c:v>3.19568631623801E-6</c:v>
                </c:pt>
                <c:pt idx="188">
                  <c:v>3.1644669392624874E-6</c:v>
                </c:pt>
                <c:pt idx="189">
                  <c:v>3.1644669392624874E-6</c:v>
                </c:pt>
                <c:pt idx="190">
                  <c:v>3.1193034226759E-6</c:v>
                </c:pt>
                <c:pt idx="191">
                  <c:v>3.1193034226759E-6</c:v>
                </c:pt>
                <c:pt idx="192">
                  <c:v>3.0681985408677445E-6</c:v>
                </c:pt>
                <c:pt idx="193">
                  <c:v>3.0681985408677445E-6</c:v>
                </c:pt>
                <c:pt idx="194">
                  <c:v>3.0142649943898515E-6</c:v>
                </c:pt>
                <c:pt idx="195">
                  <c:v>3.0142649943898515E-6</c:v>
                </c:pt>
                <c:pt idx="196">
                  <c:v>2.9589277528469699E-6</c:v>
                </c:pt>
                <c:pt idx="197">
                  <c:v>2.9589277528469699E-6</c:v>
                </c:pt>
                <c:pt idx="198">
                  <c:v>2.9028971800386519E-6</c:v>
                </c:pt>
                <c:pt idx="199">
                  <c:v>2.9028971800386519E-6</c:v>
                </c:pt>
                <c:pt idx="200">
                  <c:v>2.84654019250456E-6</c:v>
                </c:pt>
                <c:pt idx="201">
                  <c:v>2.84654019250456E-6</c:v>
                </c:pt>
                <c:pt idx="202">
                  <c:v>2.7900448195998184E-6</c:v>
                </c:pt>
                <c:pt idx="203">
                  <c:v>2.7900448195998184E-6</c:v>
                </c:pt>
                <c:pt idx="204">
                  <c:v>2.7335015104904934E-6</c:v>
                </c:pt>
                <c:pt idx="205">
                  <c:v>2.7335015104904934E-6</c:v>
                </c:pt>
                <c:pt idx="206">
                  <c:v>2.6769471399182546E-6</c:v>
                </c:pt>
                <c:pt idx="207">
                  <c:v>2.6769471399182546E-6</c:v>
                </c:pt>
                <c:pt idx="208">
                  <c:v>2.6203915367743314E-6</c:v>
                </c:pt>
                <c:pt idx="209">
                  <c:v>2.6203915367743314E-6</c:v>
                </c:pt>
                <c:pt idx="210">
                  <c:v>2.5638371662020926E-6</c:v>
                </c:pt>
                <c:pt idx="211">
                  <c:v>2.5638371662020926E-6</c:v>
                </c:pt>
                <c:pt idx="212">
                  <c:v>2.5072938570927676E-6</c:v>
                </c:pt>
                <c:pt idx="213">
                  <c:v>2.5072938570927676E-6</c:v>
                </c:pt>
                <c:pt idx="214">
                  <c:v>2.450798484188026E-6</c:v>
                </c:pt>
                <c:pt idx="215">
                  <c:v>2.450798484188026E-6</c:v>
                </c:pt>
                <c:pt idx="216">
                  <c:v>2.3944414966539341E-6</c:v>
                </c:pt>
                <c:pt idx="217">
                  <c:v>2.3944414966539341E-6</c:v>
                </c:pt>
                <c:pt idx="218">
                  <c:v>2.3384109238456161E-6</c:v>
                </c:pt>
                <c:pt idx="219">
                  <c:v>2.3384109238456161E-6</c:v>
                </c:pt>
                <c:pt idx="220">
                  <c:v>2.2830736823027345E-6</c:v>
                </c:pt>
                <c:pt idx="221">
                  <c:v>2.2830736823027345E-6</c:v>
                </c:pt>
                <c:pt idx="222">
                  <c:v>2.2291401358248415E-6</c:v>
                </c:pt>
                <c:pt idx="223">
                  <c:v>2.2291401358248415E-6</c:v>
                </c:pt>
                <c:pt idx="224">
                  <c:v>2.178035254016686E-6</c:v>
                </c:pt>
                <c:pt idx="225">
                  <c:v>2.178035254016686E-6</c:v>
                </c:pt>
                <c:pt idx="226">
                  <c:v>2.1328717374300986E-6</c:v>
                </c:pt>
                <c:pt idx="227">
                  <c:v>2.1328717374300986E-6</c:v>
                </c:pt>
                <c:pt idx="228">
                  <c:v>2.101652360454576E-6</c:v>
                </c:pt>
                <c:pt idx="229">
                  <c:v>2.101652360454576E-6</c:v>
                </c:pt>
                <c:pt idx="230">
                  <c:v>2.0973386766925862E-6</c:v>
                </c:pt>
                <c:pt idx="231">
                  <c:v>2.0973386766925862E-6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0.18612073083299999</c:v>
                </c:pt>
                <c:pt idx="311">
                  <c:v>0.187981938141</c:v>
                </c:pt>
                <c:pt idx="312">
                  <c:v>0.189861757523</c:v>
                </c:pt>
                <c:pt idx="313">
                  <c:v>0.19176037509800001</c:v>
                </c:pt>
                <c:pt idx="314">
                  <c:v>0.19367797884900001</c:v>
                </c:pt>
                <c:pt idx="315">
                  <c:v>0.19561475863700001</c:v>
                </c:pt>
                <c:pt idx="316">
                  <c:v>0.197570906224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4.8144410888240985E-9</c:v>
                </c:pt>
                <c:pt idx="1">
                  <c:v>5.0078384577348326E-9</c:v>
                </c:pt>
                <c:pt idx="2">
                  <c:v>5.2087527730154199E-9</c:v>
                </c:pt>
                <c:pt idx="3">
                  <c:v>5.4174125489400208E-9</c:v>
                </c:pt>
                <c:pt idx="4">
                  <c:v>5.6340384941767147E-9</c:v>
                </c:pt>
                <c:pt idx="5">
                  <c:v>5.8588319525534601E-9</c:v>
                </c:pt>
                <c:pt idx="6">
                  <c:v>6.0919595704986593E-9</c:v>
                </c:pt>
                <c:pt idx="7">
                  <c:v>6.3335333959690852E-9</c:v>
                </c:pt>
                <c:pt idx="8">
                  <c:v>6.5835797466482539E-9</c:v>
                </c:pt>
                <c:pt idx="9">
                  <c:v>6.8419879423844075E-9</c:v>
                </c:pt>
                <c:pt idx="10">
                  <c:v>7.1084226334622671E-9</c:v>
                </c:pt>
                <c:pt idx="11">
                  <c:v>7.3821669736090911E-9</c:v>
                </c:pt>
                <c:pt idx="12">
                  <c:v>7.6618235274441547E-9</c:v>
                </c:pt>
                <c:pt idx="13">
                  <c:v>7.9446948738858465E-9</c:v>
                </c:pt>
                <c:pt idx="14">
                  <c:v>8.2253594062174944E-9</c:v>
                </c:pt>
                <c:pt idx="15">
                  <c:v>8.4921319757133121E-9</c:v>
                </c:pt>
                <c:pt idx="16">
                  <c:v>8.7176843088541605E-9</c:v>
                </c:pt>
                <c:pt idx="17">
                  <c:v>8.837129041628994E-9</c:v>
                </c:pt>
                <c:pt idx="18">
                  <c:v>8.7060106419819361E-9</c:v>
                </c:pt>
                <c:pt idx="19">
                  <c:v>8.0830881786548346E-9</c:v>
                </c:pt>
                <c:pt idx="20">
                  <c:v>6.8071941720137874E-9</c:v>
                </c:pt>
                <c:pt idx="21">
                  <c:v>5.1569126091566054E-9</c:v>
                </c:pt>
                <c:pt idx="22">
                  <c:v>3.7895644498416723E-9</c:v>
                </c:pt>
                <c:pt idx="23">
                  <c:v>3.1012654182496236E-9</c:v>
                </c:pt>
                <c:pt idx="24">
                  <c:v>2.9477054846702171E-9</c:v>
                </c:pt>
                <c:pt idx="25">
                  <c:v>3.0057874722934442E-9</c:v>
                </c:pt>
                <c:pt idx="26">
                  <c:v>3.0838401743573862E-9</c:v>
                </c:pt>
                <c:pt idx="27">
                  <c:v>3.1230478634235573E-9</c:v>
                </c:pt>
                <c:pt idx="28">
                  <c:v>3.116188857568472E-9</c:v>
                </c:pt>
                <c:pt idx="29">
                  <c:v>3.0671945941377944E-9</c:v>
                </c:pt>
                <c:pt idx="30">
                  <c:v>2.981199174918053E-9</c:v>
                </c:pt>
                <c:pt idx="31">
                  <c:v>2.8631520449576441E-9</c:v>
                </c:pt>
                <c:pt idx="32">
                  <c:v>2.7179370706409974E-9</c:v>
                </c:pt>
                <c:pt idx="33">
                  <c:v>2.5505344332126181E-9</c:v>
                </c:pt>
                <c:pt idx="34">
                  <c:v>2.3661102514138294E-9</c:v>
                </c:pt>
                <c:pt idx="35">
                  <c:v>2.1700275547087478E-9</c:v>
                </c:pt>
                <c:pt idx="36">
                  <c:v>1.9677894145439301E-9</c:v>
                </c:pt>
                <c:pt idx="37">
                  <c:v>1.7649285741184736E-9</c:v>
                </c:pt>
                <c:pt idx="38">
                  <c:v>1.5668594027417995E-9</c:v>
                </c:pt>
                <c:pt idx="39">
                  <c:v>1.3787089683372574E-9</c:v>
                </c:pt>
                <c:pt idx="40">
                  <c:v>1.2051442099188759E-9</c:v>
                </c:pt>
                <c:pt idx="41">
                  <c:v>1.0502111782859715E-9</c:v>
                </c:pt>
                <c:pt idx="42">
                  <c:v>9.1719995597987774E-10</c:v>
                </c:pt>
                <c:pt idx="43">
                  <c:v>8.0854535050789462E-10</c:v>
                </c:pt>
                <c:pt idx="44">
                  <c:v>7.254929274241735E-10</c:v>
                </c:pt>
                <c:pt idx="45">
                  <c:v>6.6924429528444276E-10</c:v>
                </c:pt>
                <c:pt idx="46">
                  <c:v>6.3915887590826473E-10</c:v>
                </c:pt>
                <c:pt idx="47">
                  <c:v>6.3408827158342374E-10</c:v>
                </c:pt>
                <c:pt idx="48">
                  <c:v>6.5213350544855161E-10</c:v>
                </c:pt>
                <c:pt idx="49">
                  <c:v>6.9075399996505343E-10</c:v>
                </c:pt>
                <c:pt idx="50">
                  <c:v>7.4688849338248461E-10</c:v>
                </c:pt>
                <c:pt idx="51">
                  <c:v>8.1708110999737506E-10</c:v>
                </c:pt>
                <c:pt idx="52">
                  <c:v>8.976072535355477E-10</c:v>
                </c:pt>
                <c:pt idx="53">
                  <c:v>9.845955750595317E-10</c:v>
                </c:pt>
                <c:pt idx="54">
                  <c:v>1.074143747164992E-9</c:v>
                </c:pt>
                <c:pt idx="55">
                  <c:v>1.1624269752951403E-9</c:v>
                </c:pt>
                <c:pt idx="56">
                  <c:v>1.2457990210062693E-9</c:v>
                </c:pt>
                <c:pt idx="57">
                  <c:v>1.320885958036195E-9</c:v>
                </c:pt>
                <c:pt idx="58">
                  <c:v>1.3846729564623515E-9</c:v>
                </c:pt>
                <c:pt idx="59">
                  <c:v>1.4345841461460893E-9</c:v>
                </c:pt>
                <c:pt idx="60">
                  <c:v>1.4685551129435465E-9</c:v>
                </c:pt>
                <c:pt idx="61">
                  <c:v>1.4850969221825159E-9</c:v>
                </c:pt>
                <c:pt idx="62">
                  <c:v>1.4833498343979222E-9</c:v>
                </c:pt>
                <c:pt idx="63">
                  <c:v>1.4631241788256469E-9</c:v>
                </c:pt>
                <c:pt idx="64">
                  <c:v>1.4249252860974587E-9</c:v>
                </c:pt>
                <c:pt idx="65">
                  <c:v>1.3699590534773298E-9</c:v>
                </c:pt>
                <c:pt idx="66">
                  <c:v>1.3001147215730515E-9</c:v>
                </c:pt>
                <c:pt idx="67">
                  <c:v>1.2179218518154822E-9</c:v>
                </c:pt>
                <c:pt idx="68">
                  <c:v>1.1264793565109152E-9</c:v>
                </c:pt>
                <c:pt idx="69">
                  <c:v>1.029355746044287E-9</c:v>
                </c:pt>
                <c:pt idx="70">
                  <c:v>9.3046146598874607E-10</c:v>
                </c:pt>
                <c:pt idx="71">
                  <c:v>8.3389618977413334E-10</c:v>
                </c:pt>
                <c:pt idx="72">
                  <c:v>7.4377603883322393E-10</c:v>
                </c:pt>
                <c:pt idx="73">
                  <c:v>6.6404772688454263E-10</c:v>
                </c:pt>
                <c:pt idx="74">
                  <c:v>5.9829834017468332E-10</c:v>
                </c:pt>
                <c:pt idx="75">
                  <c:v>5.4957067255734444E-10</c:v>
                </c:pt>
                <c:pt idx="76">
                  <c:v>5.2019457894094947E-10</c:v>
                </c:pt>
                <c:pt idx="77">
                  <c:v>5.1164460363606142E-10</c:v>
                </c:pt>
                <c:pt idx="78">
                  <c:v>5.2443318556658495E-10</c:v>
                </c:pt>
                <c:pt idx="79">
                  <c:v>5.5804712186872668E-10</c:v>
                </c:pt>
                <c:pt idx="80">
                  <c:v>6.1093283757343674E-10</c:v>
                </c:pt>
                <c:pt idx="81">
                  <c:v>6.8053355013535531E-10</c:v>
                </c:pt>
                <c:pt idx="82">
                  <c:v>7.6337882934348543E-10</c:v>
                </c:pt>
                <c:pt idx="83">
                  <c:v>8.5522450420512842E-10</c:v>
                </c:pt>
                <c:pt idx="84">
                  <c:v>9.5123847642351253E-10</c:v>
                </c:pt>
                <c:pt idx="85">
                  <c:v>1.0462258263608293E-9</c:v>
                </c:pt>
                <c:pt idx="86">
                  <c:v>1.1348846464577716E-9</c:v>
                </c:pt>
                <c:pt idx="87">
                  <c:v>1.2120822779654962E-9</c:v>
                </c:pt>
                <c:pt idx="88">
                  <c:v>1.2731400286115667E-9</c:v>
                </c:pt>
                <c:pt idx="89">
                  <c:v>1.3141129912344564E-9</c:v>
                </c:pt>
                <c:pt idx="90">
                  <c:v>1.3320503212454025E-9</c:v>
                </c:pt>
                <c:pt idx="91">
                  <c:v>1.3252203757298843E-9</c:v>
                </c:pt>
                <c:pt idx="92">
                  <c:v>1.2932846777950848E-9</c:v>
                </c:pt>
                <c:pt idx="93">
                  <c:v>1.2374050171180702E-9</c:v>
                </c:pt>
                <c:pt idx="94">
                  <c:v>1.1602694397292941E-9</c:v>
                </c:pt>
                <c:pt idx="95">
                  <c:v>1.0660257074350023E-9</c:v>
                </c:pt>
                <c:pt idx="96">
                  <c:v>9.6011521217796051E-10</c:v>
                </c:pt>
                <c:pt idx="97">
                  <c:v>8.4900635115401345E-10</c:v>
                </c:pt>
                <c:pt idx="98">
                  <c:v>7.3983379868462048E-10</c:v>
                </c:pt>
                <c:pt idx="99">
                  <c:v>6.3995848889310219E-10</c:v>
                </c:pt>
                <c:pt idx="100">
                  <c:v>5.5647172271288187E-10</c:v>
                </c:pt>
                <c:pt idx="101">
                  <c:v>4.9567471338548719E-10</c:v>
                </c:pt>
                <c:pt idx="102">
                  <c:v>4.625710871372121E-10</c:v>
                </c:pt>
                <c:pt idx="103">
                  <c:v>4.6041341654108895E-10</c:v>
                </c:pt>
                <c:pt idx="104">
                  <c:v>4.9034506785382027E-10</c:v>
                </c:pt>
                <c:pt idx="105">
                  <c:v>5.511751055184199E-10</c:v>
                </c:pt>
                <c:pt idx="106">
                  <c:v>6.3931673934168311E-10</c:v>
                </c:pt>
                <c:pt idx="107">
                  <c:v>7.4890923909742557E-10</c:v>
                </c:pt>
                <c:pt idx="108">
                  <c:v>8.721301120940027E-10</c:v>
                </c:pt>
                <c:pt idx="109">
                  <c:v>9.9968957016155296E-10</c:v>
                </c:pt>
                <c:pt idx="110">
                  <c:v>1.1214839190471531E-9</c:v>
                </c:pt>
                <c:pt idx="111">
                  <c:v>1.22736947650669E-9</c:v>
                </c:pt>
                <c:pt idx="112">
                  <c:v>1.3080049313320917E-9</c:v>
                </c:pt>
                <c:pt idx="113">
                  <c:v>1.3556986452039439E-9</c:v>
                </c:pt>
                <c:pt idx="114">
                  <c:v>1.3651892887071987E-9</c:v>
                </c:pt>
                <c:pt idx="115">
                  <c:v>1.3342845276754903E-9</c:v>
                </c:pt>
                <c:pt idx="116">
                  <c:v>1.2642844807182635E-9</c:v>
                </c:pt>
                <c:pt idx="117">
                  <c:v>1.1601255861466451E-9</c:v>
                </c:pt>
                <c:pt idx="118">
                  <c:v>1.0301973020853023E-9</c:v>
                </c:pt>
                <c:pt idx="119">
                  <c:v>8.8580902590948939E-10</c:v>
                </c:pt>
                <c:pt idx="120">
                  <c:v>7.4031700136234213E-10</c:v>
                </c:pt>
                <c:pt idx="121">
                  <c:v>6.0795864417644089E-10</c:v>
                </c:pt>
                <c:pt idx="122">
                  <c:v>5.0248100001905267E-10</c:v>
                </c:pt>
                <c:pt idx="123">
                  <c:v>4.3568604155250444E-10</c:v>
                </c:pt>
                <c:pt idx="124">
                  <c:v>4.1604261097440071E-10</c:v>
                </c:pt>
                <c:pt idx="125">
                  <c:v>4.4752765782077486E-10</c:v>
                </c:pt>
                <c:pt idx="126">
                  <c:v>5.2885390042028219E-10</c:v>
                </c:pt>
                <c:pt idx="127">
                  <c:v>6.5321518604272227E-10</c:v>
                </c:pt>
                <c:pt idx="128">
                  <c:v>8.0863535148849887E-10</c:v>
                </c:pt>
                <c:pt idx="129">
                  <c:v>9.7894472354024706E-10</c:v>
                </c:pt>
                <c:pt idx="130">
                  <c:v>1.1453362922835461E-9</c:v>
                </c:pt>
                <c:pt idx="131">
                  <c:v>1.2883784064416014E-9</c:v>
                </c:pt>
                <c:pt idx="132">
                  <c:v>1.3902908276160596E-9</c:v>
                </c:pt>
                <c:pt idx="133">
                  <c:v>1.4372346779369735E-9</c:v>
                </c:pt>
                <c:pt idx="134">
                  <c:v>1.4213325568046295E-9</c:v>
                </c:pt>
                <c:pt idx="135">
                  <c:v>1.3421305773646043E-9</c:v>
                </c:pt>
                <c:pt idx="136">
                  <c:v>1.2072455199351507E-9</c:v>
                </c:pt>
                <c:pt idx="137">
                  <c:v>1.0320112674544951E-9</c:v>
                </c:pt>
                <c:pt idx="138">
                  <c:v>8.380482533360746E-10</c:v>
                </c:pt>
                <c:pt idx="139">
                  <c:v>6.5082055529801448E-10</c:v>
                </c:pt>
                <c:pt idx="140">
                  <c:v>4.9640267730961967E-10</c:v>
                </c:pt>
                <c:pt idx="141">
                  <c:v>3.9782983721979077E-10</c:v>
                </c:pt>
                <c:pt idx="142">
                  <c:v>3.71524698128568E-10</c:v>
                </c:pt>
                <c:pt idx="143">
                  <c:v>4.2435267287534194E-10</c:v>
                </c:pt>
                <c:pt idx="144">
                  <c:v>5.5183561922462556E-10</c:v>
                </c:pt>
                <c:pt idx="145">
                  <c:v>7.3793984703814808E-10</c:v>
                </c:pt>
                <c:pt idx="146">
                  <c:v>9.566542328996738E-10</c:v>
                </c:pt>
                <c:pt idx="147">
                  <c:v>1.1753095359063222E-9</c:v>
                </c:pt>
                <c:pt idx="148">
                  <c:v>1.3592963790383459E-9</c:v>
                </c:pt>
                <c:pt idx="149">
                  <c:v>1.4777676178851146E-9</c:v>
                </c:pt>
                <c:pt idx="150">
                  <c:v>1.5083491002296679E-9</c:v>
                </c:pt>
                <c:pt idx="151">
                  <c:v>1.4425036462545738E-9</c:v>
                </c:pt>
                <c:pt idx="152">
                  <c:v>1.2876225818319698E-9</c:v>
                </c:pt>
                <c:pt idx="153">
                  <c:v>1.0671060010065707E-9</c:v>
                </c:pt>
                <c:pt idx="154">
                  <c:v>8.174651916326453E-10</c:v>
                </c:pt>
                <c:pt idx="155">
                  <c:v>5.8271386791684832E-10</c:v>
                </c:pt>
                <c:pt idx="156">
                  <c:v>4.0677578011875587E-10</c:v>
                </c:pt>
                <c:pt idx="157">
                  <c:v>3.2513587929561644E-10</c:v>
                </c:pt>
                <c:pt idx="158">
                  <c:v>3.5729510222016123E-10</c:v>
                </c:pt>
                <c:pt idx="159">
                  <c:v>5.0164861020118959E-10</c:v>
                </c:pt>
                <c:pt idx="160">
                  <c:v>7.3412943889326544E-10</c:v>
                </c:pt>
                <c:pt idx="161">
                  <c:v>1.0113469408238672E-9</c:v>
                </c:pt>
                <c:pt idx="162">
                  <c:v>1.2780839979408336E-9</c:v>
                </c:pt>
                <c:pt idx="163">
                  <c:v>1.4780519882583634E-9</c:v>
                </c:pt>
                <c:pt idx="164">
                  <c:v>1.5659374237305808E-9</c:v>
                </c:pt>
                <c:pt idx="165">
                  <c:v>1.5182181838685185E-9</c:v>
                </c:pt>
                <c:pt idx="166">
                  <c:v>1.3401573075695708E-9</c:v>
                </c:pt>
                <c:pt idx="167">
                  <c:v>1.0669008308594895E-9</c:v>
                </c:pt>
                <c:pt idx="168">
                  <c:v>7.5770207749174575E-10</c:v>
                </c:pt>
                <c:pt idx="169">
                  <c:v>4.8381529200998054E-10</c:v>
                </c:pt>
                <c:pt idx="170">
                  <c:v>3.1224859321503934E-10</c:v>
                </c:pt>
                <c:pt idx="171">
                  <c:v>2.8893479767113258E-10</c:v>
                </c:pt>
                <c:pt idx="172">
                  <c:v>4.2554402651473929E-10</c:v>
                </c:pt>
                <c:pt idx="173">
                  <c:v>6.9380452607012358E-10</c:v>
                </c:pt>
                <c:pt idx="174">
                  <c:v>1.0297285307447396E-9</c:v>
                </c:pt>
                <c:pt idx="175">
                  <c:v>1.3477769387332067E-9</c:v>
                </c:pt>
                <c:pt idx="176">
                  <c:v>1.5622589652000675E-9</c:v>
                </c:pt>
                <c:pt idx="177">
                  <c:v>1.6108685891487639E-9</c:v>
                </c:pt>
                <c:pt idx="178">
                  <c:v>1.4739527754198011E-9</c:v>
                </c:pt>
                <c:pt idx="179">
                  <c:v>1.1834535255006539E-9</c:v>
                </c:pt>
                <c:pt idx="180">
                  <c:v>8.176611113596306E-10</c:v>
                </c:pt>
                <c:pt idx="181">
                  <c:v>4.8164100892175358E-10</c:v>
                </c:pt>
                <c:pt idx="182">
                  <c:v>2.7758767596524828E-10</c:v>
                </c:pt>
                <c:pt idx="183">
                  <c:v>2.731363540839973E-10</c:v>
                </c:pt>
                <c:pt idx="184">
                  <c:v>4.7746408762438386E-10</c:v>
                </c:pt>
                <c:pt idx="185">
                  <c:v>8.3384813568620788E-10</c:v>
                </c:pt>
                <c:pt idx="186">
                  <c:v>1.2330761558011511E-9</c:v>
                </c:pt>
                <c:pt idx="187">
                  <c:v>1.5456502194710861E-9</c:v>
                </c:pt>
                <c:pt idx="188">
                  <c:v>1.6639846155134373E-9</c:v>
                </c:pt>
                <c:pt idx="189">
                  <c:v>1.5411056273541059E-9</c:v>
                </c:pt>
                <c:pt idx="190">
                  <c:v>1.2117553956934582E-9</c:v>
                </c:pt>
                <c:pt idx="191">
                  <c:v>7.8622331230461727E-10</c:v>
                </c:pt>
                <c:pt idx="192">
                  <c:v>4.1594926636922372E-10</c:v>
                </c:pt>
                <c:pt idx="193">
                  <c:v>2.4044812939715715E-10</c:v>
                </c:pt>
                <c:pt idx="194">
                  <c:v>3.3363096586072198E-10</c:v>
                </c:pt>
                <c:pt idx="195">
                  <c:v>6.703597531601338E-10</c:v>
                </c:pt>
                <c:pt idx="196">
                  <c:v>1.1291715335385305E-9</c:v>
                </c:pt>
                <c:pt idx="197">
                  <c:v>1.5327632662496937E-9</c:v>
                </c:pt>
                <c:pt idx="198">
                  <c:v>1.7168442674108155E-9</c:v>
                </c:pt>
                <c:pt idx="199">
                  <c:v>1.5991564437206846E-9</c:v>
                </c:pt>
                <c:pt idx="200">
                  <c:v>1.220303154784271E-9</c:v>
                </c:pt>
                <c:pt idx="201">
                  <c:v>7.3541078712104973E-10</c:v>
                </c:pt>
                <c:pt idx="202">
                  <c:v>3.5454472676398344E-10</c:v>
                </c:pt>
                <c:pt idx="203">
                  <c:v>2.5281032694855709E-10</c:v>
                </c:pt>
                <c:pt idx="204">
                  <c:v>4.8795362108926157E-10</c:v>
                </c:pt>
                <c:pt idx="205">
                  <c:v>9.6491311650605462E-10</c:v>
                </c:pt>
                <c:pt idx="206">
                  <c:v>1.4695973937323538E-9</c:v>
                </c:pt>
                <c:pt idx="207">
                  <c:v>1.7633545849971902E-9</c:v>
                </c:pt>
                <c:pt idx="208">
                  <c:v>1.6983076961873459E-9</c:v>
                </c:pt>
                <c:pt idx="209">
                  <c:v>1.2978703036942435E-9</c:v>
                </c:pt>
                <c:pt idx="210">
                  <c:v>7.5723515125011224E-10</c:v>
                </c:pt>
                <c:pt idx="211">
                  <c:v>3.5451987595641553E-10</c:v>
                </c:pt>
                <c:pt idx="212">
                  <c:v>3.097382552765534E-10</c:v>
                </c:pt>
                <c:pt idx="213">
                  <c:v>6.6217048277880446E-10</c:v>
                </c:pt>
                <c:pt idx="214">
                  <c:v>1.235927142612556E-9</c:v>
                </c:pt>
                <c:pt idx="215">
                  <c:v>1.7229227625663874E-9</c:v>
                </c:pt>
                <c:pt idx="216">
                  <c:v>1.8487910991670596E-9</c:v>
                </c:pt>
                <c:pt idx="217">
                  <c:v>1.5342103835689297E-9</c:v>
                </c:pt>
                <c:pt idx="218">
                  <c:v>9.5538942723812489E-10</c:v>
                </c:pt>
                <c:pt idx="219">
                  <c:v>4.5602955497175014E-10</c:v>
                </c:pt>
                <c:pt idx="220">
                  <c:v>3.4859576579928846E-10</c:v>
                </c:pt>
                <c:pt idx="221">
                  <c:v>7.1736132300741941E-10</c:v>
                </c:pt>
                <c:pt idx="222">
                  <c:v>1.3492140335288616E-9</c:v>
                </c:pt>
                <c:pt idx="223">
                  <c:v>1.8511077655632206E-9</c:v>
                </c:pt>
                <c:pt idx="224">
                  <c:v>1.8965683967184212E-9</c:v>
                </c:pt>
                <c:pt idx="225">
                  <c:v>1.4490107580970421E-9</c:v>
                </c:pt>
                <c:pt idx="226">
                  <c:v>8.0617388210187476E-10</c:v>
                </c:pt>
                <c:pt idx="227">
                  <c:v>4.1551796529315163E-10</c:v>
                </c:pt>
                <c:pt idx="228">
                  <c:v>5.6750356627313303E-10</c:v>
                </c:pt>
                <c:pt idx="229">
                  <c:v>1.1759785493014895E-9</c:v>
                </c:pt>
                <c:pt idx="230">
                  <c:v>1.8168019848405531E-9</c:v>
                </c:pt>
                <c:pt idx="231">
                  <c:v>2.022720001453058E-9</c:v>
                </c:pt>
                <c:pt idx="232">
                  <c:v>1.6358236318296117E-9</c:v>
                </c:pt>
                <c:pt idx="233">
                  <c:v>9.4944784476392212E-10</c:v>
                </c:pt>
                <c:pt idx="234">
                  <c:v>5.0553338833300423E-10</c:v>
                </c:pt>
                <c:pt idx="235">
                  <c:v>6.7549918010230462E-10</c:v>
                </c:pt>
                <c:pt idx="236">
                  <c:v>1.3464433067161616E-9</c:v>
                </c:pt>
                <c:pt idx="237">
                  <c:v>1.9853188529698836E-9</c:v>
                </c:pt>
                <c:pt idx="238">
                  <c:v>2.0643651349574803E-9</c:v>
                </c:pt>
                <c:pt idx="239">
                  <c:v>1.5157476343077431E-9</c:v>
                </c:pt>
                <c:pt idx="240">
                  <c:v>8.1819542361178209E-10</c:v>
                </c:pt>
                <c:pt idx="241">
                  <c:v>6.0205455958245014E-10</c:v>
                </c:pt>
                <c:pt idx="242">
                  <c:v>1.0859886334153479E-9</c:v>
                </c:pt>
                <c:pt idx="243">
                  <c:v>1.8516146478591366E-9</c:v>
                </c:pt>
                <c:pt idx="244">
                  <c:v>2.2009706304376321E-9</c:v>
                </c:pt>
                <c:pt idx="245">
                  <c:v>1.8084974629840151E-9</c:v>
                </c:pt>
                <c:pt idx="246">
                  <c:v>1.058040557247682E-9</c:v>
                </c:pt>
                <c:pt idx="247">
                  <c:v>7.0076895911548685E-10</c:v>
                </c:pt>
                <c:pt idx="248">
                  <c:v>1.1178244671958985E-9</c:v>
                </c:pt>
                <c:pt idx="249">
                  <c:v>1.9106084409294342E-9</c:v>
                </c:pt>
                <c:pt idx="250">
                  <c:v>2.2768748828074481E-9</c:v>
                </c:pt>
                <c:pt idx="251">
                  <c:v>1.8415708574698181E-9</c:v>
                </c:pt>
                <c:pt idx="252">
                  <c:v>1.0822348975514221E-9</c:v>
                </c:pt>
                <c:pt idx="253">
                  <c:v>8.4542090828944641E-10</c:v>
                </c:pt>
                <c:pt idx="254">
                  <c:v>1.4187732092561544E-9</c:v>
                </c:pt>
                <c:pt idx="255">
                  <c:v>2.1790619590287197E-9</c:v>
                </c:pt>
                <c:pt idx="256">
                  <c:v>2.2716585881279547E-9</c:v>
                </c:pt>
                <c:pt idx="257">
                  <c:v>1.6043200781366585E-9</c:v>
                </c:pt>
                <c:pt idx="258">
                  <c:v>9.8921954433162086E-10</c:v>
                </c:pt>
                <c:pt idx="259">
                  <c:v>1.1931277505848393E-9</c:v>
                </c:pt>
                <c:pt idx="260">
                  <c:v>1.988536593141092E-9</c:v>
                </c:pt>
                <c:pt idx="261">
                  <c:v>2.4015612603788478E-9</c:v>
                </c:pt>
                <c:pt idx="262">
                  <c:v>1.9281336835074235E-9</c:v>
                </c:pt>
                <c:pt idx="263">
                  <c:v>1.2050227469980328E-9</c:v>
                </c:pt>
                <c:pt idx="264">
                  <c:v>1.2081124367033132E-9</c:v>
                </c:pt>
                <c:pt idx="265">
                  <c:v>1.9539510333236403E-9</c:v>
                </c:pt>
                <c:pt idx="266">
                  <c:v>2.447231937871462E-9</c:v>
                </c:pt>
                <c:pt idx="267">
                  <c:v>2.0306805923720845E-9</c:v>
                </c:pt>
                <c:pt idx="268">
                  <c:v>1.3208633990569285E-9</c:v>
                </c:pt>
                <c:pt idx="269">
                  <c:v>1.3591368300973894E-9</c:v>
                </c:pt>
                <c:pt idx="270">
                  <c:v>2.1064572899607688E-9</c:v>
                </c:pt>
                <c:pt idx="271">
                  <c:v>2.4754633802601444E-9</c:v>
                </c:pt>
                <c:pt idx="272">
                  <c:v>1.9417305024762341E-9</c:v>
                </c:pt>
                <c:pt idx="273">
                  <c:v>1.3563136314874369E-9</c:v>
                </c:pt>
                <c:pt idx="274">
                  <c:v>1.6510851070444848E-9</c:v>
                </c:pt>
                <c:pt idx="275">
                  <c:v>2.3709014408574368E-9</c:v>
                </c:pt>
                <c:pt idx="276">
                  <c:v>2.380742204551585E-9</c:v>
                </c:pt>
                <c:pt idx="277">
                  <c:v>1.7026423779697229E-9</c:v>
                </c:pt>
                <c:pt idx="278">
                  <c:v>1.4934473864075056E-9</c:v>
                </c:pt>
                <c:pt idx="279">
                  <c:v>2.1153622931459218E-9</c:v>
                </c:pt>
                <c:pt idx="280">
                  <c:v>2.5116317037187593E-9</c:v>
                </c:pt>
                <c:pt idx="281">
                  <c:v>2.0251914152960524E-9</c:v>
                </c:pt>
                <c:pt idx="282">
                  <c:v>1.555045790375869E-9</c:v>
                </c:pt>
                <c:pt idx="283">
                  <c:v>1.9577689891034837E-9</c:v>
                </c:pt>
                <c:pt idx="284">
                  <c:v>2.4964962672771447E-9</c:v>
                </c:pt>
                <c:pt idx="285">
                  <c:v>2.1959656756579073E-9</c:v>
                </c:pt>
                <c:pt idx="286">
                  <c:v>1.6618808411714588E-9</c:v>
                </c:pt>
                <c:pt idx="287">
                  <c:v>1.9269805433028096E-9</c:v>
                </c:pt>
                <c:pt idx="288">
                  <c:v>2.4649872904523614E-9</c:v>
                </c:pt>
                <c:pt idx="289">
                  <c:v>2.2299479186893207E-9</c:v>
                </c:pt>
                <c:pt idx="290">
                  <c:v>1.7288010142038481E-9</c:v>
                </c:pt>
                <c:pt idx="291">
                  <c:v>1.9838200007812339E-9</c:v>
                </c:pt>
                <c:pt idx="292">
                  <c:v>2.4465069329510692E-9</c:v>
                </c:pt>
                <c:pt idx="293">
                  <c:v>2.1573954137036202E-9</c:v>
                </c:pt>
                <c:pt idx="294">
                  <c:v>1.7593332257750173E-9</c:v>
                </c:pt>
                <c:pt idx="295">
                  <c:v>2.0971238980518345E-9</c:v>
                </c:pt>
                <c:pt idx="296">
                  <c:v>2.398437887030854E-9</c:v>
                </c:pt>
                <c:pt idx="297">
                  <c:v>2.0022544942979334E-9</c:v>
                </c:pt>
                <c:pt idx="298">
                  <c:v>1.8124485311020882E-9</c:v>
                </c:pt>
                <c:pt idx="299">
                  <c:v>2.2226671845572792E-9</c:v>
                </c:pt>
                <c:pt idx="300">
                  <c:v>2.2451838693629191E-9</c:v>
                </c:pt>
                <c:pt idx="301">
                  <c:v>1.8330967801516091E-9</c:v>
                </c:pt>
                <c:pt idx="302">
                  <c:v>1.9468864336412831E-9</c:v>
                </c:pt>
                <c:pt idx="303">
                  <c:v>2.2470657225419001E-9</c:v>
                </c:pt>
                <c:pt idx="304">
                  <c:v>1.9692350797324519E-9</c:v>
                </c:pt>
                <c:pt idx="305">
                  <c:v>1.7905408192994012E-9</c:v>
                </c:pt>
                <c:pt idx="306">
                  <c:v>2.0936673769659608E-9</c:v>
                </c:pt>
                <c:pt idx="307">
                  <c:v>2.0371157839914276E-9</c:v>
                </c:pt>
                <c:pt idx="308">
                  <c:v>1.7017707787861211E-9</c:v>
                </c:pt>
                <c:pt idx="309">
                  <c:v>1.7541346485724642E-9</c:v>
                </c:pt>
                <c:pt idx="310">
                  <c:v>1.9665178488221396E-9</c:v>
                </c:pt>
                <c:pt idx="311">
                  <c:v>1.963101578004976E-9</c:v>
                </c:pt>
                <c:pt idx="312">
                  <c:v>1.6753959350308065E-9</c:v>
                </c:pt>
                <c:pt idx="313">
                  <c:v>1.6194562846798538E-9</c:v>
                </c:pt>
                <c:pt idx="314">
                  <c:v>1.6191557117385444E-9</c:v>
                </c:pt>
                <c:pt idx="315">
                  <c:v>1.4023658946653213E-9</c:v>
                </c:pt>
                <c:pt idx="316">
                  <c:v>1.4111854937566324E-9</c:v>
                </c:pt>
                <c:pt idx="317">
                  <c:v>1.4023658946653215E-9</c:v>
                </c:pt>
                <c:pt idx="318">
                  <c:v>1.4111854937566324E-9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6.9104302230921348E-10</c:v>
                  </c:pt>
                  <c:pt idx="1">
                    <c:v>5.167098798170734E-10</c:v>
                  </c:pt>
                  <c:pt idx="2">
                    <c:v>4.6537912240524876E-10</c:v>
                  </c:pt>
                  <c:pt idx="3">
                    <c:v>4.4210853691624958E-10</c:v>
                  </c:pt>
                  <c:pt idx="4">
                    <c:v>4.2610221787905444E-10</c:v>
                  </c:pt>
                  <c:pt idx="5">
                    <c:v>4.4325655103460051E-10</c:v>
                  </c:pt>
                  <c:pt idx="6">
                    <c:v>4.3482873086725727E-10</c:v>
                  </c:pt>
                  <c:pt idx="7">
                    <c:v>4.3471771927745117E-10</c:v>
                  </c:pt>
                  <c:pt idx="8">
                    <c:v>4.1514042958041147E-10</c:v>
                  </c:pt>
                  <c:pt idx="9">
                    <c:v>4.2765241497648793E-10</c:v>
                  </c:pt>
                  <c:pt idx="10">
                    <c:v>4.4490267507685067E-10</c:v>
                  </c:pt>
                  <c:pt idx="11">
                    <c:v>4.4068409278995953E-10</c:v>
                  </c:pt>
                  <c:pt idx="12">
                    <c:v>4.4918454880201479E-10</c:v>
                  </c:pt>
                  <c:pt idx="13">
                    <c:v>3.1776247326576457E-10</c:v>
                  </c:pt>
                  <c:pt idx="14">
                    <c:v>3.2970971349520654E-10</c:v>
                  </c:pt>
                  <c:pt idx="15">
                    <c:v>3.3994667455732248E-10</c:v>
                  </c:pt>
                  <c:pt idx="16">
                    <c:v>3.4637052055499363E-10</c:v>
                  </c:pt>
                  <c:pt idx="17">
                    <c:v>5.5546133253478176E-10</c:v>
                  </c:pt>
                  <c:pt idx="18">
                    <c:v>4.7353169192045168E-10</c:v>
                  </c:pt>
                  <c:pt idx="19">
                    <c:v>4.6491960888734106E-10</c:v>
                  </c:pt>
                  <c:pt idx="20">
                    <c:v>4.1987303385077243E-10</c:v>
                  </c:pt>
                  <c:pt idx="21">
                    <c:v>3.5734062663782022E-10</c:v>
                  </c:pt>
                  <c:pt idx="22">
                    <c:v>3.2486586542269412E-10</c:v>
                  </c:pt>
                  <c:pt idx="23">
                    <c:v>3.2478487995029039E-10</c:v>
                  </c:pt>
                  <c:pt idx="24">
                    <c:v>2.9348835309334755E-10</c:v>
                  </c:pt>
                  <c:pt idx="25">
                    <c:v>2.953113806400041E-10</c:v>
                  </c:pt>
                  <c:pt idx="26">
                    <c:v>2.8901158731958856E-10</c:v>
                  </c:pt>
                  <c:pt idx="27">
                    <c:v>2.7667737062004605E-10</c:v>
                  </c:pt>
                  <c:pt idx="28">
                    <c:v>2.778679897293848E-10</c:v>
                  </c:pt>
                  <c:pt idx="29">
                    <c:v>2.7421672907306805E-10</c:v>
                  </c:pt>
                  <c:pt idx="30">
                    <c:v>2.9214335004637637E-10</c:v>
                  </c:pt>
                  <c:pt idx="31">
                    <c:v>2.7247637915960862E-10</c:v>
                  </c:pt>
                  <c:pt idx="32">
                    <c:v>2.7575126459375243E-10</c:v>
                  </c:pt>
                  <c:pt idx="33">
                    <c:v>1.5589111280210682E-10</c:v>
                  </c:pt>
                  <c:pt idx="34">
                    <c:v>1.4516295563286516E-10</c:v>
                  </c:pt>
                  <c:pt idx="35">
                    <c:v>1.4423741036877454E-10</c:v>
                  </c:pt>
                  <c:pt idx="36">
                    <c:v>1.3579887840783817E-10</c:v>
                  </c:pt>
                  <c:pt idx="37">
                    <c:v>1.234703518107173E-10</c:v>
                  </c:pt>
                  <c:pt idx="38">
                    <c:v>1.498421679314896E-10</c:v>
                  </c:pt>
                  <c:pt idx="39">
                    <c:v>1.3204161688448016E-10</c:v>
                  </c:pt>
                  <c:pt idx="40">
                    <c:v>1.2363784697135513E-10</c:v>
                  </c:pt>
                  <c:pt idx="41">
                    <c:v>1.2308904174434679E-10</c:v>
                  </c:pt>
                  <c:pt idx="42">
                    <c:v>1.0170863738128448E-10</c:v>
                  </c:pt>
                  <c:pt idx="43">
                    <c:v>9.2442391287331328E-11</c:v>
                  </c:pt>
                  <c:pt idx="44">
                    <c:v>1.028448322530383E-10</c:v>
                  </c:pt>
                  <c:pt idx="45">
                    <c:v>9.9842207032458246E-11</c:v>
                  </c:pt>
                  <c:pt idx="46">
                    <c:v>8.6475152165660341E-11</c:v>
                  </c:pt>
                  <c:pt idx="47">
                    <c:v>8.97804670103744E-11</c:v>
                  </c:pt>
                  <c:pt idx="48">
                    <c:v>8.6512762699691709E-11</c:v>
                  </c:pt>
                  <c:pt idx="49">
                    <c:v>8.3937479315967803E-11</c:v>
                  </c:pt>
                  <c:pt idx="50">
                    <c:v>8.3891686543889345E-11</c:v>
                  </c:pt>
                  <c:pt idx="51">
                    <c:v>9.8382337434560419E-11</c:v>
                  </c:pt>
                  <c:pt idx="52">
                    <c:v>9.6290663136509422E-11</c:v>
                  </c:pt>
                  <c:pt idx="53">
                    <c:v>1.0952290666082638E-10</c:v>
                  </c:pt>
                  <c:pt idx="54">
                    <c:v>1.1576849473153567E-10</c:v>
                  </c:pt>
                  <c:pt idx="55">
                    <c:v>1.1404947759632492E-10</c:v>
                  </c:pt>
                  <c:pt idx="56">
                    <c:v>1.2036336704671784E-10</c:v>
                  </c:pt>
                  <c:pt idx="57">
                    <c:v>1.2229846401769807E-10</c:v>
                  </c:pt>
                  <c:pt idx="58">
                    <c:v>1.1653829605115783E-10</c:v>
                  </c:pt>
                  <c:pt idx="59">
                    <c:v>1.3200259780160548E-10</c:v>
                  </c:pt>
                  <c:pt idx="60">
                    <c:v>9.0173257494362319E-11</c:v>
                  </c:pt>
                  <c:pt idx="61">
                    <c:v>9.3230528121440627E-11</c:v>
                  </c:pt>
                  <c:pt idx="62">
                    <c:v>8.5607339090394385E-11</c:v>
                  </c:pt>
                  <c:pt idx="63">
                    <c:v>8.8440827982221194E-11</c:v>
                  </c:pt>
                  <c:pt idx="64">
                    <c:v>8.7141705589256693E-11</c:v>
                  </c:pt>
                  <c:pt idx="65">
                    <c:v>8.4862307169217797E-11</c:v>
                  </c:pt>
                  <c:pt idx="66">
                    <c:v>8.9950445557384672E-11</c:v>
                  </c:pt>
                  <c:pt idx="67">
                    <c:v>1.2135447656846168E-10</c:v>
                  </c:pt>
                  <c:pt idx="68">
                    <c:v>1.1223656316706999E-10</c:v>
                  </c:pt>
                  <c:pt idx="69">
                    <c:v>1.0085196907283523E-10</c:v>
                  </c:pt>
                  <c:pt idx="70">
                    <c:v>9.5749627878510391E-11</c:v>
                  </c:pt>
                  <c:pt idx="71">
                    <c:v>9.0628165487646283E-11</c:v>
                  </c:pt>
                  <c:pt idx="72">
                    <c:v>9.5466857085780332E-11</c:v>
                  </c:pt>
                  <c:pt idx="73">
                    <c:v>9.0620990400285361E-11</c:v>
                  </c:pt>
                  <c:pt idx="74">
                    <c:v>8.5038369919056074E-11</c:v>
                  </c:pt>
                  <c:pt idx="75">
                    <c:v>7.8519751370172109E-11</c:v>
                  </c:pt>
                  <c:pt idx="76">
                    <c:v>7.0451739561000252E-11</c:v>
                  </c:pt>
                  <c:pt idx="77">
                    <c:v>7.3093971090924198E-11</c:v>
                  </c:pt>
                  <c:pt idx="78">
                    <c:v>7.4299548234935659E-11</c:v>
                  </c:pt>
                  <c:pt idx="79">
                    <c:v>7.630236432030114E-11</c:v>
                  </c:pt>
                  <c:pt idx="80">
                    <c:v>8.3494619040286408E-11</c:v>
                  </c:pt>
                  <c:pt idx="81">
                    <c:v>8.8869862355547725E-11</c:v>
                  </c:pt>
                  <c:pt idx="82">
                    <c:v>9.5048801465895428E-11</c:v>
                  </c:pt>
                  <c:pt idx="83">
                    <c:v>9.7831396922035046E-11</c:v>
                  </c:pt>
                  <c:pt idx="84">
                    <c:v>9.4088060528694595E-11</c:v>
                  </c:pt>
                  <c:pt idx="85">
                    <c:v>1.0295921324668405E-10</c:v>
                  </c:pt>
                  <c:pt idx="86">
                    <c:v>1.1442346056691579E-10</c:v>
                  </c:pt>
                  <c:pt idx="87">
                    <c:v>1.1542682998369263E-10</c:v>
                  </c:pt>
                  <c:pt idx="88">
                    <c:v>1.2336853215004499E-10</c:v>
                  </c:pt>
                  <c:pt idx="89">
                    <c:v>1.2241851212333193E-10</c:v>
                  </c:pt>
                  <c:pt idx="90">
                    <c:v>1.2551433343393722E-10</c:v>
                  </c:pt>
                  <c:pt idx="91">
                    <c:v>1.2179997556810012E-10</c:v>
                  </c:pt>
                  <c:pt idx="92">
                    <c:v>1.2522945914868354E-10</c:v>
                  </c:pt>
                  <c:pt idx="93">
                    <c:v>1.246726808926247E-10</c:v>
                  </c:pt>
                  <c:pt idx="94">
                    <c:v>1.1941617644019763E-10</c:v>
                  </c:pt>
                  <c:pt idx="95">
                    <c:v>1.2155663850544008E-10</c:v>
                  </c:pt>
                  <c:pt idx="96">
                    <c:v>1.1162559106286305E-10</c:v>
                  </c:pt>
                  <c:pt idx="97">
                    <c:v>9.2160291169566108E-11</c:v>
                  </c:pt>
                  <c:pt idx="98">
                    <c:v>9.8309655342272728E-11</c:v>
                  </c:pt>
                  <c:pt idx="99">
                    <c:v>3.9960065121068793E-11</c:v>
                  </c:pt>
                  <c:pt idx="100">
                    <c:v>3.848680959816903E-11</c:v>
                  </c:pt>
                  <c:pt idx="101">
                    <c:v>3.5842025459749403E-11</c:v>
                  </c:pt>
                  <c:pt idx="102">
                    <c:v>2.8549627916500537E-11</c:v>
                  </c:pt>
                  <c:pt idx="103">
                    <c:v>3.4123460834642558E-11</c:v>
                  </c:pt>
                  <c:pt idx="104">
                    <c:v>3.3983653242467734E-11</c:v>
                  </c:pt>
                  <c:pt idx="105">
                    <c:v>3.7614871143700447E-11</c:v>
                  </c:pt>
                  <c:pt idx="106">
                    <c:v>3.9094813067079446E-11</c:v>
                  </c:pt>
                  <c:pt idx="107">
                    <c:v>4.3103417743468222E-11</c:v>
                  </c:pt>
                  <c:pt idx="108">
                    <c:v>5.1370804214127448E-11</c:v>
                  </c:pt>
                  <c:pt idx="109">
                    <c:v>5.7980367136306132E-11</c:v>
                  </c:pt>
                  <c:pt idx="110">
                    <c:v>6.0889977529735384E-11</c:v>
                  </c:pt>
                  <c:pt idx="111">
                    <c:v>6.496821860892795E-11</c:v>
                  </c:pt>
                  <c:pt idx="112">
                    <c:v>6.5121348382571815E-11</c:v>
                  </c:pt>
                  <c:pt idx="113">
                    <c:v>6.3306333056481658E-11</c:v>
                  </c:pt>
                  <c:pt idx="114">
                    <c:v>6.5554597690555055E-11</c:v>
                  </c:pt>
                  <c:pt idx="115">
                    <c:v>6.8640614532685006E-11</c:v>
                  </c:pt>
                  <c:pt idx="116">
                    <c:v>6.4613066368918194E-11</c:v>
                  </c:pt>
                  <c:pt idx="117">
                    <c:v>6.2467856392809444E-11</c:v>
                  </c:pt>
                  <c:pt idx="118">
                    <c:v>6.2652735465039163E-11</c:v>
                  </c:pt>
                  <c:pt idx="119">
                    <c:v>5.9480410915171474E-11</c:v>
                  </c:pt>
                  <c:pt idx="120">
                    <c:v>5.3010526857570892E-11</c:v>
                  </c:pt>
                  <c:pt idx="121">
                    <c:v>5.1172558223021754E-11</c:v>
                  </c:pt>
                  <c:pt idx="122">
                    <c:v>4.7423455809522459E-11</c:v>
                  </c:pt>
                  <c:pt idx="123">
                    <c:v>5.0091406681059037E-11</c:v>
                  </c:pt>
                  <c:pt idx="124">
                    <c:v>4.3460442035155914E-11</c:v>
                  </c:pt>
                  <c:pt idx="125">
                    <c:v>4.8986854431450535E-11</c:v>
                  </c:pt>
                  <c:pt idx="126">
                    <c:v>5.2219386780849143E-11</c:v>
                  </c:pt>
                  <c:pt idx="127">
                    <c:v>5.9487347461684622E-11</c:v>
                  </c:pt>
                  <c:pt idx="128">
                    <c:v>6.6292933718067882E-11</c:v>
                  </c:pt>
                  <c:pt idx="129">
                    <c:v>7.2426100384709398E-11</c:v>
                  </c:pt>
                  <c:pt idx="130">
                    <c:v>8.6183390266655886E-11</c:v>
                  </c:pt>
                  <c:pt idx="131">
                    <c:v>9.247016195340791E-11</c:v>
                  </c:pt>
                  <c:pt idx="132">
                    <c:v>8.7950178930216546E-11</c:v>
                  </c:pt>
                  <c:pt idx="133">
                    <c:v>8.5501587553450606E-11</c:v>
                  </c:pt>
                  <c:pt idx="134">
                    <c:v>9.0368438151227858E-11</c:v>
                  </c:pt>
                  <c:pt idx="135">
                    <c:v>9.4483998922030829E-11</c:v>
                  </c:pt>
                  <c:pt idx="136">
                    <c:v>9.8597380102378271E-11</c:v>
                  </c:pt>
                  <c:pt idx="137">
                    <c:v>8.6348908214324792E-11</c:v>
                  </c:pt>
                  <c:pt idx="138">
                    <c:v>8.5839798462208452E-11</c:v>
                  </c:pt>
                  <c:pt idx="139">
                    <c:v>7.324211080605252E-11</c:v>
                  </c:pt>
                  <c:pt idx="140">
                    <c:v>7.4249918461728166E-11</c:v>
                  </c:pt>
                  <c:pt idx="141">
                    <c:v>6.8158480065451043E-11</c:v>
                  </c:pt>
                  <c:pt idx="142">
                    <c:v>6.5924172485433018E-11</c:v>
                  </c:pt>
                  <c:pt idx="143">
                    <c:v>7.9112972947706458E-11</c:v>
                  </c:pt>
                  <c:pt idx="144">
                    <c:v>8.7004194697715267E-11</c:v>
                  </c:pt>
                  <c:pt idx="145">
                    <c:v>8.761256058060244E-11</c:v>
                  </c:pt>
                  <c:pt idx="146">
                    <c:v>9.5098125814589809E-11</c:v>
                  </c:pt>
                  <c:pt idx="147">
                    <c:v>1.1961092578367244E-10</c:v>
                  </c:pt>
                  <c:pt idx="148">
                    <c:v>1.0955473503834614E-10</c:v>
                  </c:pt>
                  <c:pt idx="149">
                    <c:v>1.1537844741270183E-10</c:v>
                  </c:pt>
                  <c:pt idx="150">
                    <c:v>1.1709657839361603E-10</c:v>
                  </c:pt>
                  <c:pt idx="151">
                    <c:v>1.2201833507686543E-10</c:v>
                  </c:pt>
                  <c:pt idx="152">
                    <c:v>1.1832535334042524E-10</c:v>
                  </c:pt>
                  <c:pt idx="153">
                    <c:v>1.0722622222289531E-10</c:v>
                  </c:pt>
                  <c:pt idx="154">
                    <c:v>1.0283123221225161E-10</c:v>
                  </c:pt>
                  <c:pt idx="155">
                    <c:v>1.00482007007838E-10</c:v>
                  </c:pt>
                  <c:pt idx="156">
                    <c:v>9.0557664743857835E-11</c:v>
                  </c:pt>
                  <c:pt idx="157">
                    <c:v>9.4775064909968249E-11</c:v>
                  </c:pt>
                  <c:pt idx="158">
                    <c:v>8.7389153527514135E-11</c:v>
                  </c:pt>
                  <c:pt idx="159">
                    <c:v>9.6379251688629199E-11</c:v>
                  </c:pt>
                  <c:pt idx="160">
                    <c:v>1.0600782269138684E-10</c:v>
                  </c:pt>
                  <c:pt idx="161">
                    <c:v>1.2302478434169875E-10</c:v>
                  </c:pt>
                  <c:pt idx="162">
                    <c:v>1.2853974091299668E-10</c:v>
                  </c:pt>
                  <c:pt idx="163">
                    <c:v>1.5267886102295443E-10</c:v>
                  </c:pt>
                  <c:pt idx="164">
                    <c:v>1.6553833508349363E-10</c:v>
                  </c:pt>
                  <c:pt idx="165">
                    <c:v>1.6545901760430278E-10</c:v>
                  </c:pt>
                  <c:pt idx="166">
                    <c:v>1.755859178012476E-10</c:v>
                  </c:pt>
                  <c:pt idx="167">
                    <c:v>7.2600895044024626E-11</c:v>
                  </c:pt>
                  <c:pt idx="168">
                    <c:v>6.0621816034628347E-11</c:v>
                  </c:pt>
                  <c:pt idx="169">
                    <c:v>5.1344697231745025E-11</c:v>
                  </c:pt>
                  <c:pt idx="170">
                    <c:v>4.6640985677538567E-11</c:v>
                  </c:pt>
                  <c:pt idx="171">
                    <c:v>4.9783663103918542E-11</c:v>
                  </c:pt>
                  <c:pt idx="172">
                    <c:v>5.4273905174599283E-11</c:v>
                  </c:pt>
                  <c:pt idx="173">
                    <c:v>6.181773349420781E-11</c:v>
                  </c:pt>
                  <c:pt idx="174">
                    <c:v>7.1735958505032676E-11</c:v>
                  </c:pt>
                  <c:pt idx="175">
                    <c:v>7.9307371050470551E-11</c:v>
                  </c:pt>
                  <c:pt idx="176">
                    <c:v>8.169108342555452E-11</c:v>
                  </c:pt>
                  <c:pt idx="177">
                    <c:v>8.2382874493455301E-11</c:v>
                  </c:pt>
                  <c:pt idx="178">
                    <c:v>8.1283280958312375E-11</c:v>
                  </c:pt>
                  <c:pt idx="179">
                    <c:v>7.8142202183419035E-11</c:v>
                  </c:pt>
                  <c:pt idx="180">
                    <c:v>6.6613996095069544E-11</c:v>
                  </c:pt>
                  <c:pt idx="181">
                    <c:v>5.9815136412118432E-11</c:v>
                  </c:pt>
                  <c:pt idx="182">
                    <c:v>6.0792786750565332E-11</c:v>
                  </c:pt>
                  <c:pt idx="183">
                    <c:v>6.0240687459040358E-11</c:v>
                  </c:pt>
                  <c:pt idx="184">
                    <c:v>6.779726802148254E-11</c:v>
                  </c:pt>
                  <c:pt idx="185">
                    <c:v>7.7316592408178472E-11</c:v>
                  </c:pt>
                  <c:pt idx="186">
                    <c:v>9.0959972990733915E-11</c:v>
                  </c:pt>
                  <c:pt idx="187">
                    <c:v>9.463809261644037E-11</c:v>
                  </c:pt>
                  <c:pt idx="188">
                    <c:v>9.2223624900435111E-11</c:v>
                  </c:pt>
                  <c:pt idx="189">
                    <c:v>9.4137570280724178E-11</c:v>
                  </c:pt>
                  <c:pt idx="190">
                    <c:v>9.4023615860396775E-11</c:v>
                  </c:pt>
                  <c:pt idx="191">
                    <c:v>9.268058186391064E-11</c:v>
                  </c:pt>
                  <c:pt idx="192">
                    <c:v>7.7588748988885015E-11</c:v>
                  </c:pt>
                  <c:pt idx="193">
                    <c:v>7.4664857451923352E-11</c:v>
                  </c:pt>
                  <c:pt idx="194">
                    <c:v>7.7022669943111041E-11</c:v>
                  </c:pt>
                  <c:pt idx="195">
                    <c:v>9.014172562884654E-11</c:v>
                  </c:pt>
                  <c:pt idx="196">
                    <c:v>9.8394548604437221E-11</c:v>
                  </c:pt>
                  <c:pt idx="197">
                    <c:v>1.1294380948717385E-10</c:v>
                  </c:pt>
                  <c:pt idx="198">
                    <c:v>1.2493973262272272E-10</c:v>
                  </c:pt>
                  <c:pt idx="199">
                    <c:v>1.2671569260562693E-10</c:v>
                  </c:pt>
                  <c:pt idx="200">
                    <c:v>1.240333739752664E-10</c:v>
                  </c:pt>
                  <c:pt idx="201">
                    <c:v>1.0160583325197053E-10</c:v>
                  </c:pt>
                  <c:pt idx="202">
                    <c:v>9.8831336853411988E-11</c:v>
                  </c:pt>
                  <c:pt idx="203">
                    <c:v>1.1137722059281864E-10</c:v>
                  </c:pt>
                  <c:pt idx="204">
                    <c:v>1.0843181266860284E-10</c:v>
                  </c:pt>
                  <c:pt idx="205">
                    <c:v>1.196418206669335E-10</c:v>
                  </c:pt>
                  <c:pt idx="206">
                    <c:v>1.3270849423785353E-10</c:v>
                  </c:pt>
                  <c:pt idx="207">
                    <c:v>1.4147106107445896E-10</c:v>
                  </c:pt>
                  <c:pt idx="208">
                    <c:v>1.5526860514149608E-10</c:v>
                  </c:pt>
                  <c:pt idx="209">
                    <c:v>1.3245212960054677E-10</c:v>
                  </c:pt>
                  <c:pt idx="210">
                    <c:v>1.352359970545964E-10</c:v>
                  </c:pt>
                  <c:pt idx="211">
                    <c:v>1.3257149031529334E-10</c:v>
                  </c:pt>
                  <c:pt idx="212">
                    <c:v>1.0812886989555999E-10</c:v>
                  </c:pt>
                  <c:pt idx="213">
                    <c:v>1.4166515195095497E-10</c:v>
                  </c:pt>
                  <c:pt idx="214">
                    <c:v>1.4476873033032888E-10</c:v>
                  </c:pt>
                  <c:pt idx="215">
                    <c:v>1.7208973609099876E-10</c:v>
                  </c:pt>
                  <c:pt idx="216">
                    <c:v>1.7428822035589023E-10</c:v>
                  </c:pt>
                  <c:pt idx="217">
                    <c:v>1.4942859459837067E-10</c:v>
                  </c:pt>
                  <c:pt idx="218">
                    <c:v>1.5908235405243726E-10</c:v>
                  </c:pt>
                  <c:pt idx="219">
                    <c:v>1.514449588168697E-10</c:v>
                  </c:pt>
                  <c:pt idx="220">
                    <c:v>1.4562835216380895E-10</c:v>
                  </c:pt>
                  <c:pt idx="221">
                    <c:v>1.5144462014163028E-10</c:v>
                  </c:pt>
                  <c:pt idx="222">
                    <c:v>1.5282305908338219E-10</c:v>
                  </c:pt>
                  <c:pt idx="223">
                    <c:v>1.6818869035706205E-10</c:v>
                  </c:pt>
                  <c:pt idx="224">
                    <c:v>1.9307688260600492E-10</c:v>
                  </c:pt>
                  <c:pt idx="225">
                    <c:v>2.0980985176980728E-10</c:v>
                  </c:pt>
                  <c:pt idx="226">
                    <c:v>1.6972706523884447E-10</c:v>
                  </c:pt>
                  <c:pt idx="227">
                    <c:v>1.578437271307831E-10</c:v>
                  </c:pt>
                  <c:pt idx="228">
                    <c:v>1.6775852856475754E-10</c:v>
                  </c:pt>
                  <c:pt idx="229">
                    <c:v>1.7780327274437288E-10</c:v>
                  </c:pt>
                  <c:pt idx="230">
                    <c:v>2.0124717797405625E-10</c:v>
                  </c:pt>
                  <c:pt idx="231">
                    <c:v>2.050729984351546E-10</c:v>
                  </c:pt>
                  <c:pt idx="232">
                    <c:v>2.3893282736968721E-10</c:v>
                  </c:pt>
                  <c:pt idx="233">
                    <c:v>2.1068713015268E-10</c:v>
                  </c:pt>
                  <c:pt idx="234">
                    <c:v>2.0226884806896631E-10</c:v>
                  </c:pt>
                  <c:pt idx="235">
                    <c:v>2.3464707210922985E-10</c:v>
                  </c:pt>
                  <c:pt idx="236">
                    <c:v>1.2474958295581274E-10</c:v>
                  </c:pt>
                  <c:pt idx="237">
                    <c:v>1.434122115894817E-10</c:v>
                  </c:pt>
                  <c:pt idx="238">
                    <c:v>1.4322260654441258E-10</c:v>
                  </c:pt>
                  <c:pt idx="239">
                    <c:v>1.2806264754845503E-10</c:v>
                  </c:pt>
                  <c:pt idx="240">
                    <c:v>1.2596211707717228E-10</c:v>
                  </c:pt>
                  <c:pt idx="241">
                    <c:v>1.3938943458595251E-10</c:v>
                  </c:pt>
                  <c:pt idx="242">
                    <c:v>1.3154268524306189E-10</c:v>
                  </c:pt>
                  <c:pt idx="243">
                    <c:v>1.5165144603857684E-10</c:v>
                  </c:pt>
                  <c:pt idx="244">
                    <c:v>1.5826531537762077E-10</c:v>
                  </c:pt>
                  <c:pt idx="245">
                    <c:v>1.573949406110949E-10</c:v>
                  </c:pt>
                  <c:pt idx="246">
                    <c:v>1.4871075420635722E-10</c:v>
                  </c:pt>
                  <c:pt idx="247">
                    <c:v>1.4794695659639646E-10</c:v>
                  </c:pt>
                  <c:pt idx="248">
                    <c:v>1.5261148209306531E-10</c:v>
                  </c:pt>
                  <c:pt idx="249">
                    <c:v>1.559906247306547E-10</c:v>
                  </c:pt>
                  <c:pt idx="250">
                    <c:v>1.7834681866770947E-10</c:v>
                  </c:pt>
                  <c:pt idx="251">
                    <c:v>1.8607654629415877E-10</c:v>
                  </c:pt>
                  <c:pt idx="252">
                    <c:v>1.7491079754438042E-10</c:v>
                  </c:pt>
                  <c:pt idx="253">
                    <c:v>1.8026519624745817E-10</c:v>
                  </c:pt>
                  <c:pt idx="254">
                    <c:v>1.8426568072771702E-10</c:v>
                  </c:pt>
                  <c:pt idx="255">
                    <c:v>2.0122940623390989E-10</c:v>
                  </c:pt>
                  <c:pt idx="256">
                    <c:v>1.9791139650519334E-10</c:v>
                  </c:pt>
                  <c:pt idx="257">
                    <c:v>2.0228287097851505E-10</c:v>
                  </c:pt>
                  <c:pt idx="258">
                    <c:v>2.0835141902487186E-10</c:v>
                  </c:pt>
                  <c:pt idx="259">
                    <c:v>2.1105895495705533E-10</c:v>
                  </c:pt>
                  <c:pt idx="260">
                    <c:v>2.1132006710484891E-10</c:v>
                  </c:pt>
                  <c:pt idx="261">
                    <c:v>1.9751208593832063E-10</c:v>
                  </c:pt>
                  <c:pt idx="262">
                    <c:v>2.1593699760740397E-10</c:v>
                  </c:pt>
                  <c:pt idx="263">
                    <c:v>2.3663618287131768E-10</c:v>
                  </c:pt>
                  <c:pt idx="264">
                    <c:v>2.381022626206221E-10</c:v>
                  </c:pt>
                  <c:pt idx="265">
                    <c:v>2.5042768286038351E-10</c:v>
                  </c:pt>
                  <c:pt idx="266">
                    <c:v>2.5853190949833808E-10</c:v>
                  </c:pt>
                  <c:pt idx="267">
                    <c:v>2.6375283718626727E-10</c:v>
                  </c:pt>
                  <c:pt idx="268">
                    <c:v>2.8468712681980587E-10</c:v>
                  </c:pt>
                  <c:pt idx="269">
                    <c:v>2.6298636439898497E-10</c:v>
                  </c:pt>
                  <c:pt idx="270">
                    <c:v>2.4435939091795996E-10</c:v>
                  </c:pt>
                  <c:pt idx="271">
                    <c:v>2.7607021982301753E-10</c:v>
                  </c:pt>
                  <c:pt idx="272">
                    <c:v>3.0595517838630575E-10</c:v>
                  </c:pt>
                  <c:pt idx="273">
                    <c:v>3.0219660266107436E-10</c:v>
                  </c:pt>
                  <c:pt idx="274">
                    <c:v>2.9101301983885304E-10</c:v>
                  </c:pt>
                  <c:pt idx="275">
                    <c:v>2.8167650572847299E-10</c:v>
                  </c:pt>
                  <c:pt idx="276">
                    <c:v>2.8932190702693097E-10</c:v>
                  </c:pt>
                  <c:pt idx="277">
                    <c:v>3.1800215684852587E-10</c:v>
                  </c:pt>
                  <c:pt idx="278">
                    <c:v>3.3851489247933618E-10</c:v>
                  </c:pt>
                  <c:pt idx="279">
                    <c:v>3.2307721061421052E-10</c:v>
                  </c:pt>
                  <c:pt idx="280">
                    <c:v>3.4660792563824586E-10</c:v>
                  </c:pt>
                  <c:pt idx="281">
                    <c:v>3.4182206822824373E-10</c:v>
                  </c:pt>
                  <c:pt idx="282">
                    <c:v>3.5440979953503755E-10</c:v>
                  </c:pt>
                  <c:pt idx="283">
                    <c:v>3.6915457678333318E-10</c:v>
                  </c:pt>
                  <c:pt idx="284">
                    <c:v>3.9602189422702237E-10</c:v>
                  </c:pt>
                  <c:pt idx="285">
                    <c:v>3.5774395924576938E-10</c:v>
                  </c:pt>
                  <c:pt idx="286">
                    <c:v>3.0929416005221965E-10</c:v>
                  </c:pt>
                  <c:pt idx="287">
                    <c:v>3.9881557180305215E-10</c:v>
                  </c:pt>
                  <c:pt idx="288">
                    <c:v>3.8285209276579049E-10</c:v>
                  </c:pt>
                  <c:pt idx="289">
                    <c:v>3.8646647159179954E-10</c:v>
                  </c:pt>
                  <c:pt idx="290">
                    <c:v>3.8753398861725924E-10</c:v>
                  </c:pt>
                  <c:pt idx="291">
                    <c:v>3.5740969229657683E-10</c:v>
                  </c:pt>
                  <c:pt idx="292">
                    <c:v>4.1651233321787417E-10</c:v>
                  </c:pt>
                  <c:pt idx="293">
                    <c:v>4.5665482842790683E-10</c:v>
                  </c:pt>
                  <c:pt idx="294">
                    <c:v>4.4788413495785383E-10</c:v>
                  </c:pt>
                  <c:pt idx="295">
                    <c:v>4.1087201959114903E-10</c:v>
                  </c:pt>
                  <c:pt idx="296">
                    <c:v>4.3392736089947299E-10</c:v>
                  </c:pt>
                  <c:pt idx="297">
                    <c:v>5.2956483365731951E-10</c:v>
                  </c:pt>
                  <c:pt idx="298">
                    <c:v>4.9707628339506561E-10</c:v>
                  </c:pt>
                  <c:pt idx="299">
                    <c:v>4.9939619272938711E-10</c:v>
                  </c:pt>
                  <c:pt idx="300">
                    <c:v>5.1090596707363857E-10</c:v>
                  </c:pt>
                  <c:pt idx="301">
                    <c:v>5.0541237818547838E-10</c:v>
                  </c:pt>
                  <c:pt idx="302">
                    <c:v>4.9778526569800643E-10</c:v>
                  </c:pt>
                  <c:pt idx="303">
                    <c:v>5.6023903464794248E-10</c:v>
                  </c:pt>
                  <c:pt idx="304">
                    <c:v>5.8189653264410721E-10</c:v>
                  </c:pt>
                  <c:pt idx="305">
                    <c:v>6.8368062270553049E-10</c:v>
                  </c:pt>
                  <c:pt idx="306">
                    <c:v>5.8940706963731202E-10</c:v>
                  </c:pt>
                  <c:pt idx="307">
                    <c:v>6.28004094879704E-10</c:v>
                  </c:pt>
                  <c:pt idx="308">
                    <c:v>5.8761057034694825E-10</c:v>
                  </c:pt>
                  <c:pt idx="309">
                    <c:v>5.9847544653254343E-10</c:v>
                  </c:pt>
                  <c:pt idx="310">
                    <c:v>6.6334526636099303E-10</c:v>
                  </c:pt>
                  <c:pt idx="311">
                    <c:v>8.0819716443693883E-10</c:v>
                  </c:pt>
                  <c:pt idx="312">
                    <c:v>6.5046979892207702E-10</c:v>
                  </c:pt>
                  <c:pt idx="313">
                    <c:v>6.4289025075043316E-10</c:v>
                  </c:pt>
                  <c:pt idx="314">
                    <c:v>8.2091178361696674E-10</c:v>
                  </c:pt>
                  <c:pt idx="315">
                    <c:v>9.0081486238727287E-10</c:v>
                  </c:pt>
                  <c:pt idx="316">
                    <c:v>8.8437753820354683E-10</c:v>
                  </c:pt>
                  <c:pt idx="317">
                    <c:v>9.4094345590682471E-10</c:v>
                  </c:pt>
                  <c:pt idx="318">
                    <c:v>9.8971451324730627E-10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6.9104302230921348E-10</c:v>
                  </c:pt>
                  <c:pt idx="1">
                    <c:v>5.167098798170734E-10</c:v>
                  </c:pt>
                  <c:pt idx="2">
                    <c:v>4.6537912240524876E-10</c:v>
                  </c:pt>
                  <c:pt idx="3">
                    <c:v>4.4210853691624958E-10</c:v>
                  </c:pt>
                  <c:pt idx="4">
                    <c:v>4.2610221787905444E-10</c:v>
                  </c:pt>
                  <c:pt idx="5">
                    <c:v>4.4325655103460051E-10</c:v>
                  </c:pt>
                  <c:pt idx="6">
                    <c:v>4.3482873086725727E-10</c:v>
                  </c:pt>
                  <c:pt idx="7">
                    <c:v>4.3471771927745117E-10</c:v>
                  </c:pt>
                  <c:pt idx="8">
                    <c:v>4.1514042958041147E-10</c:v>
                  </c:pt>
                  <c:pt idx="9">
                    <c:v>4.2765241497648793E-10</c:v>
                  </c:pt>
                  <c:pt idx="10">
                    <c:v>4.4490267507685067E-10</c:v>
                  </c:pt>
                  <c:pt idx="11">
                    <c:v>4.4068409278995953E-10</c:v>
                  </c:pt>
                  <c:pt idx="12">
                    <c:v>4.4918454880201479E-10</c:v>
                  </c:pt>
                  <c:pt idx="13">
                    <c:v>3.1776247326576457E-10</c:v>
                  </c:pt>
                  <c:pt idx="14">
                    <c:v>3.2970971349520654E-10</c:v>
                  </c:pt>
                  <c:pt idx="15">
                    <c:v>3.3994667455732248E-10</c:v>
                  </c:pt>
                  <c:pt idx="16">
                    <c:v>3.4637052055499363E-10</c:v>
                  </c:pt>
                  <c:pt idx="17">
                    <c:v>5.5546133253478176E-10</c:v>
                  </c:pt>
                  <c:pt idx="18">
                    <c:v>4.7353169192045168E-10</c:v>
                  </c:pt>
                  <c:pt idx="19">
                    <c:v>4.6491960888734106E-10</c:v>
                  </c:pt>
                  <c:pt idx="20">
                    <c:v>4.1987303385077243E-10</c:v>
                  </c:pt>
                  <c:pt idx="21">
                    <c:v>3.5734062663782022E-10</c:v>
                  </c:pt>
                  <c:pt idx="22">
                    <c:v>3.2486586542269412E-10</c:v>
                  </c:pt>
                  <c:pt idx="23">
                    <c:v>3.2478487995029039E-10</c:v>
                  </c:pt>
                  <c:pt idx="24">
                    <c:v>2.9348835309334755E-10</c:v>
                  </c:pt>
                  <c:pt idx="25">
                    <c:v>2.953113806400041E-10</c:v>
                  </c:pt>
                  <c:pt idx="26">
                    <c:v>2.8901158731958856E-10</c:v>
                  </c:pt>
                  <c:pt idx="27">
                    <c:v>2.7667737062004605E-10</c:v>
                  </c:pt>
                  <c:pt idx="28">
                    <c:v>2.778679897293848E-10</c:v>
                  </c:pt>
                  <c:pt idx="29">
                    <c:v>2.7421672907306805E-10</c:v>
                  </c:pt>
                  <c:pt idx="30">
                    <c:v>2.9214335004637637E-10</c:v>
                  </c:pt>
                  <c:pt idx="31">
                    <c:v>2.7247637915960862E-10</c:v>
                  </c:pt>
                  <c:pt idx="32">
                    <c:v>2.7575126459375243E-10</c:v>
                  </c:pt>
                  <c:pt idx="33">
                    <c:v>1.5589111280210682E-10</c:v>
                  </c:pt>
                  <c:pt idx="34">
                    <c:v>1.4516295563286516E-10</c:v>
                  </c:pt>
                  <c:pt idx="35">
                    <c:v>1.4423741036877454E-10</c:v>
                  </c:pt>
                  <c:pt idx="36">
                    <c:v>1.3579887840783817E-10</c:v>
                  </c:pt>
                  <c:pt idx="37">
                    <c:v>1.234703518107173E-10</c:v>
                  </c:pt>
                  <c:pt idx="38">
                    <c:v>1.498421679314896E-10</c:v>
                  </c:pt>
                  <c:pt idx="39">
                    <c:v>1.3204161688448016E-10</c:v>
                  </c:pt>
                  <c:pt idx="40">
                    <c:v>1.2363784697135513E-10</c:v>
                  </c:pt>
                  <c:pt idx="41">
                    <c:v>1.2308904174434679E-10</c:v>
                  </c:pt>
                  <c:pt idx="42">
                    <c:v>1.0170863738128448E-10</c:v>
                  </c:pt>
                  <c:pt idx="43">
                    <c:v>9.2442391287331328E-11</c:v>
                  </c:pt>
                  <c:pt idx="44">
                    <c:v>1.028448322530383E-10</c:v>
                  </c:pt>
                  <c:pt idx="45">
                    <c:v>9.9842207032458246E-11</c:v>
                  </c:pt>
                  <c:pt idx="46">
                    <c:v>8.6475152165660341E-11</c:v>
                  </c:pt>
                  <c:pt idx="47">
                    <c:v>8.97804670103744E-11</c:v>
                  </c:pt>
                  <c:pt idx="48">
                    <c:v>8.6512762699691709E-11</c:v>
                  </c:pt>
                  <c:pt idx="49">
                    <c:v>8.3937479315967803E-11</c:v>
                  </c:pt>
                  <c:pt idx="50">
                    <c:v>8.3891686543889345E-11</c:v>
                  </c:pt>
                  <c:pt idx="51">
                    <c:v>9.8382337434560419E-11</c:v>
                  </c:pt>
                  <c:pt idx="52">
                    <c:v>9.6290663136509422E-11</c:v>
                  </c:pt>
                  <c:pt idx="53">
                    <c:v>1.0952290666082638E-10</c:v>
                  </c:pt>
                  <c:pt idx="54">
                    <c:v>1.1576849473153567E-10</c:v>
                  </c:pt>
                  <c:pt idx="55">
                    <c:v>1.1404947759632492E-10</c:v>
                  </c:pt>
                  <c:pt idx="56">
                    <c:v>1.2036336704671784E-10</c:v>
                  </c:pt>
                  <c:pt idx="57">
                    <c:v>1.2229846401769807E-10</c:v>
                  </c:pt>
                  <c:pt idx="58">
                    <c:v>1.1653829605115783E-10</c:v>
                  </c:pt>
                  <c:pt idx="59">
                    <c:v>1.3200259780160548E-10</c:v>
                  </c:pt>
                  <c:pt idx="60">
                    <c:v>9.0173257494362319E-11</c:v>
                  </c:pt>
                  <c:pt idx="61">
                    <c:v>9.3230528121440627E-11</c:v>
                  </c:pt>
                  <c:pt idx="62">
                    <c:v>8.5607339090394385E-11</c:v>
                  </c:pt>
                  <c:pt idx="63">
                    <c:v>8.8440827982221194E-11</c:v>
                  </c:pt>
                  <c:pt idx="64">
                    <c:v>8.7141705589256693E-11</c:v>
                  </c:pt>
                  <c:pt idx="65">
                    <c:v>8.4862307169217797E-11</c:v>
                  </c:pt>
                  <c:pt idx="66">
                    <c:v>8.9950445557384672E-11</c:v>
                  </c:pt>
                  <c:pt idx="67">
                    <c:v>1.2135447656846168E-10</c:v>
                  </c:pt>
                  <c:pt idx="68">
                    <c:v>1.1223656316706999E-10</c:v>
                  </c:pt>
                  <c:pt idx="69">
                    <c:v>1.0085196907283523E-10</c:v>
                  </c:pt>
                  <c:pt idx="70">
                    <c:v>9.5749627878510391E-11</c:v>
                  </c:pt>
                  <c:pt idx="71">
                    <c:v>9.0628165487646283E-11</c:v>
                  </c:pt>
                  <c:pt idx="72">
                    <c:v>9.5466857085780332E-11</c:v>
                  </c:pt>
                  <c:pt idx="73">
                    <c:v>9.0620990400285361E-11</c:v>
                  </c:pt>
                  <c:pt idx="74">
                    <c:v>8.5038369919056074E-11</c:v>
                  </c:pt>
                  <c:pt idx="75">
                    <c:v>7.8519751370172109E-11</c:v>
                  </c:pt>
                  <c:pt idx="76">
                    <c:v>7.0451739561000252E-11</c:v>
                  </c:pt>
                  <c:pt idx="77">
                    <c:v>7.3093971090924198E-11</c:v>
                  </c:pt>
                  <c:pt idx="78">
                    <c:v>7.4299548234935659E-11</c:v>
                  </c:pt>
                  <c:pt idx="79">
                    <c:v>7.630236432030114E-11</c:v>
                  </c:pt>
                  <c:pt idx="80">
                    <c:v>8.3494619040286408E-11</c:v>
                  </c:pt>
                  <c:pt idx="81">
                    <c:v>8.8869862355547725E-11</c:v>
                  </c:pt>
                  <c:pt idx="82">
                    <c:v>9.5048801465895428E-11</c:v>
                  </c:pt>
                  <c:pt idx="83">
                    <c:v>9.7831396922035046E-11</c:v>
                  </c:pt>
                  <c:pt idx="84">
                    <c:v>9.4088060528694595E-11</c:v>
                  </c:pt>
                  <c:pt idx="85">
                    <c:v>1.0295921324668405E-10</c:v>
                  </c:pt>
                  <c:pt idx="86">
                    <c:v>1.1442346056691579E-10</c:v>
                  </c:pt>
                  <c:pt idx="87">
                    <c:v>1.1542682998369263E-10</c:v>
                  </c:pt>
                  <c:pt idx="88">
                    <c:v>1.2336853215004499E-10</c:v>
                  </c:pt>
                  <c:pt idx="89">
                    <c:v>1.2241851212333193E-10</c:v>
                  </c:pt>
                  <c:pt idx="90">
                    <c:v>1.2551433343393722E-10</c:v>
                  </c:pt>
                  <c:pt idx="91">
                    <c:v>1.2179997556810012E-10</c:v>
                  </c:pt>
                  <c:pt idx="92">
                    <c:v>1.2522945914868354E-10</c:v>
                  </c:pt>
                  <c:pt idx="93">
                    <c:v>1.246726808926247E-10</c:v>
                  </c:pt>
                  <c:pt idx="94">
                    <c:v>1.1941617644019763E-10</c:v>
                  </c:pt>
                  <c:pt idx="95">
                    <c:v>1.2155663850544008E-10</c:v>
                  </c:pt>
                  <c:pt idx="96">
                    <c:v>1.1162559106286305E-10</c:v>
                  </c:pt>
                  <c:pt idx="97">
                    <c:v>9.2160291169566108E-11</c:v>
                  </c:pt>
                  <c:pt idx="98">
                    <c:v>9.8309655342272728E-11</c:v>
                  </c:pt>
                  <c:pt idx="99">
                    <c:v>3.9960065121068793E-11</c:v>
                  </c:pt>
                  <c:pt idx="100">
                    <c:v>3.848680959816903E-11</c:v>
                  </c:pt>
                  <c:pt idx="101">
                    <c:v>3.5842025459749403E-11</c:v>
                  </c:pt>
                  <c:pt idx="102">
                    <c:v>2.8549627916500537E-11</c:v>
                  </c:pt>
                  <c:pt idx="103">
                    <c:v>3.4123460834642558E-11</c:v>
                  </c:pt>
                  <c:pt idx="104">
                    <c:v>3.3983653242467734E-11</c:v>
                  </c:pt>
                  <c:pt idx="105">
                    <c:v>3.7614871143700447E-11</c:v>
                  </c:pt>
                  <c:pt idx="106">
                    <c:v>3.9094813067079446E-11</c:v>
                  </c:pt>
                  <c:pt idx="107">
                    <c:v>4.3103417743468222E-11</c:v>
                  </c:pt>
                  <c:pt idx="108">
                    <c:v>5.1370804214127448E-11</c:v>
                  </c:pt>
                  <c:pt idx="109">
                    <c:v>5.7980367136306132E-11</c:v>
                  </c:pt>
                  <c:pt idx="110">
                    <c:v>6.0889977529735384E-11</c:v>
                  </c:pt>
                  <c:pt idx="111">
                    <c:v>6.496821860892795E-11</c:v>
                  </c:pt>
                  <c:pt idx="112">
                    <c:v>6.5121348382571815E-11</c:v>
                  </c:pt>
                  <c:pt idx="113">
                    <c:v>6.3306333056481658E-11</c:v>
                  </c:pt>
                  <c:pt idx="114">
                    <c:v>6.5554597690555055E-11</c:v>
                  </c:pt>
                  <c:pt idx="115">
                    <c:v>6.8640614532685006E-11</c:v>
                  </c:pt>
                  <c:pt idx="116">
                    <c:v>6.4613066368918194E-11</c:v>
                  </c:pt>
                  <c:pt idx="117">
                    <c:v>6.2467856392809444E-11</c:v>
                  </c:pt>
                  <c:pt idx="118">
                    <c:v>6.2652735465039163E-11</c:v>
                  </c:pt>
                  <c:pt idx="119">
                    <c:v>5.9480410915171474E-11</c:v>
                  </c:pt>
                  <c:pt idx="120">
                    <c:v>5.3010526857570892E-11</c:v>
                  </c:pt>
                  <c:pt idx="121">
                    <c:v>5.1172558223021754E-11</c:v>
                  </c:pt>
                  <c:pt idx="122">
                    <c:v>4.7423455809522459E-11</c:v>
                  </c:pt>
                  <c:pt idx="123">
                    <c:v>5.0091406681059037E-11</c:v>
                  </c:pt>
                  <c:pt idx="124">
                    <c:v>4.3460442035155914E-11</c:v>
                  </c:pt>
                  <c:pt idx="125">
                    <c:v>4.8986854431450535E-11</c:v>
                  </c:pt>
                  <c:pt idx="126">
                    <c:v>5.2219386780849143E-11</c:v>
                  </c:pt>
                  <c:pt idx="127">
                    <c:v>5.9487347461684622E-11</c:v>
                  </c:pt>
                  <c:pt idx="128">
                    <c:v>6.6292933718067882E-11</c:v>
                  </c:pt>
                  <c:pt idx="129">
                    <c:v>7.2426100384709398E-11</c:v>
                  </c:pt>
                  <c:pt idx="130">
                    <c:v>8.6183390266655886E-11</c:v>
                  </c:pt>
                  <c:pt idx="131">
                    <c:v>9.247016195340791E-11</c:v>
                  </c:pt>
                  <c:pt idx="132">
                    <c:v>8.7950178930216546E-11</c:v>
                  </c:pt>
                  <c:pt idx="133">
                    <c:v>8.5501587553450606E-11</c:v>
                  </c:pt>
                  <c:pt idx="134">
                    <c:v>9.0368438151227858E-11</c:v>
                  </c:pt>
                  <c:pt idx="135">
                    <c:v>9.4483998922030829E-11</c:v>
                  </c:pt>
                  <c:pt idx="136">
                    <c:v>9.8597380102378271E-11</c:v>
                  </c:pt>
                  <c:pt idx="137">
                    <c:v>8.6348908214324792E-11</c:v>
                  </c:pt>
                  <c:pt idx="138">
                    <c:v>8.5839798462208452E-11</c:v>
                  </c:pt>
                  <c:pt idx="139">
                    <c:v>7.324211080605252E-11</c:v>
                  </c:pt>
                  <c:pt idx="140">
                    <c:v>7.4249918461728166E-11</c:v>
                  </c:pt>
                  <c:pt idx="141">
                    <c:v>6.8158480065451043E-11</c:v>
                  </c:pt>
                  <c:pt idx="142">
                    <c:v>6.5924172485433018E-11</c:v>
                  </c:pt>
                  <c:pt idx="143">
                    <c:v>7.9112972947706458E-11</c:v>
                  </c:pt>
                  <c:pt idx="144">
                    <c:v>8.7004194697715267E-11</c:v>
                  </c:pt>
                  <c:pt idx="145">
                    <c:v>8.761256058060244E-11</c:v>
                  </c:pt>
                  <c:pt idx="146">
                    <c:v>9.5098125814589809E-11</c:v>
                  </c:pt>
                  <c:pt idx="147">
                    <c:v>1.1961092578367244E-10</c:v>
                  </c:pt>
                  <c:pt idx="148">
                    <c:v>1.0955473503834614E-10</c:v>
                  </c:pt>
                  <c:pt idx="149">
                    <c:v>1.1537844741270183E-10</c:v>
                  </c:pt>
                  <c:pt idx="150">
                    <c:v>1.1709657839361603E-10</c:v>
                  </c:pt>
                  <c:pt idx="151">
                    <c:v>1.2201833507686543E-10</c:v>
                  </c:pt>
                  <c:pt idx="152">
                    <c:v>1.1832535334042524E-10</c:v>
                  </c:pt>
                  <c:pt idx="153">
                    <c:v>1.0722622222289531E-10</c:v>
                  </c:pt>
                  <c:pt idx="154">
                    <c:v>1.0283123221225161E-10</c:v>
                  </c:pt>
                  <c:pt idx="155">
                    <c:v>1.00482007007838E-10</c:v>
                  </c:pt>
                  <c:pt idx="156">
                    <c:v>9.0557664743857835E-11</c:v>
                  </c:pt>
                  <c:pt idx="157">
                    <c:v>9.4775064909968249E-11</c:v>
                  </c:pt>
                  <c:pt idx="158">
                    <c:v>8.7389153527514135E-11</c:v>
                  </c:pt>
                  <c:pt idx="159">
                    <c:v>9.6379251688629199E-11</c:v>
                  </c:pt>
                  <c:pt idx="160">
                    <c:v>1.0600782269138684E-10</c:v>
                  </c:pt>
                  <c:pt idx="161">
                    <c:v>1.2302478434169875E-10</c:v>
                  </c:pt>
                  <c:pt idx="162">
                    <c:v>1.2853974091299668E-10</c:v>
                  </c:pt>
                  <c:pt idx="163">
                    <c:v>1.5267886102295443E-10</c:v>
                  </c:pt>
                  <c:pt idx="164">
                    <c:v>1.6553833508349363E-10</c:v>
                  </c:pt>
                  <c:pt idx="165">
                    <c:v>1.6545901760430278E-10</c:v>
                  </c:pt>
                  <c:pt idx="166">
                    <c:v>1.755859178012476E-10</c:v>
                  </c:pt>
                  <c:pt idx="167">
                    <c:v>7.2600895044024626E-11</c:v>
                  </c:pt>
                  <c:pt idx="168">
                    <c:v>6.0621816034628347E-11</c:v>
                  </c:pt>
                  <c:pt idx="169">
                    <c:v>5.1344697231745025E-11</c:v>
                  </c:pt>
                  <c:pt idx="170">
                    <c:v>4.6640985677538567E-11</c:v>
                  </c:pt>
                  <c:pt idx="171">
                    <c:v>4.9783663103918542E-11</c:v>
                  </c:pt>
                  <c:pt idx="172">
                    <c:v>5.4273905174599283E-11</c:v>
                  </c:pt>
                  <c:pt idx="173">
                    <c:v>6.181773349420781E-11</c:v>
                  </c:pt>
                  <c:pt idx="174">
                    <c:v>7.1735958505032676E-11</c:v>
                  </c:pt>
                  <c:pt idx="175">
                    <c:v>7.9307371050470551E-11</c:v>
                  </c:pt>
                  <c:pt idx="176">
                    <c:v>8.169108342555452E-11</c:v>
                  </c:pt>
                  <c:pt idx="177">
                    <c:v>8.2382874493455301E-11</c:v>
                  </c:pt>
                  <c:pt idx="178">
                    <c:v>8.1283280958312375E-11</c:v>
                  </c:pt>
                  <c:pt idx="179">
                    <c:v>7.8142202183419035E-11</c:v>
                  </c:pt>
                  <c:pt idx="180">
                    <c:v>6.6613996095069544E-11</c:v>
                  </c:pt>
                  <c:pt idx="181">
                    <c:v>5.9815136412118432E-11</c:v>
                  </c:pt>
                  <c:pt idx="182">
                    <c:v>6.0792786750565332E-11</c:v>
                  </c:pt>
                  <c:pt idx="183">
                    <c:v>6.0240687459040358E-11</c:v>
                  </c:pt>
                  <c:pt idx="184">
                    <c:v>6.779726802148254E-11</c:v>
                  </c:pt>
                  <c:pt idx="185">
                    <c:v>7.7316592408178472E-11</c:v>
                  </c:pt>
                  <c:pt idx="186">
                    <c:v>9.0959972990733915E-11</c:v>
                  </c:pt>
                  <c:pt idx="187">
                    <c:v>9.463809261644037E-11</c:v>
                  </c:pt>
                  <c:pt idx="188">
                    <c:v>9.2223624900435111E-11</c:v>
                  </c:pt>
                  <c:pt idx="189">
                    <c:v>9.4137570280724178E-11</c:v>
                  </c:pt>
                  <c:pt idx="190">
                    <c:v>9.4023615860396775E-11</c:v>
                  </c:pt>
                  <c:pt idx="191">
                    <c:v>9.268058186391064E-11</c:v>
                  </c:pt>
                  <c:pt idx="192">
                    <c:v>7.7588748988885015E-11</c:v>
                  </c:pt>
                  <c:pt idx="193">
                    <c:v>7.4664857451923352E-11</c:v>
                  </c:pt>
                  <c:pt idx="194">
                    <c:v>7.7022669943111041E-11</c:v>
                  </c:pt>
                  <c:pt idx="195">
                    <c:v>9.014172562884654E-11</c:v>
                  </c:pt>
                  <c:pt idx="196">
                    <c:v>9.8394548604437221E-11</c:v>
                  </c:pt>
                  <c:pt idx="197">
                    <c:v>1.1294380948717385E-10</c:v>
                  </c:pt>
                  <c:pt idx="198">
                    <c:v>1.2493973262272272E-10</c:v>
                  </c:pt>
                  <c:pt idx="199">
                    <c:v>1.2671569260562693E-10</c:v>
                  </c:pt>
                  <c:pt idx="200">
                    <c:v>1.240333739752664E-10</c:v>
                  </c:pt>
                  <c:pt idx="201">
                    <c:v>1.0160583325197053E-10</c:v>
                  </c:pt>
                  <c:pt idx="202">
                    <c:v>9.8831336853411988E-11</c:v>
                  </c:pt>
                  <c:pt idx="203">
                    <c:v>1.1137722059281864E-10</c:v>
                  </c:pt>
                  <c:pt idx="204">
                    <c:v>1.0843181266860284E-10</c:v>
                  </c:pt>
                  <c:pt idx="205">
                    <c:v>1.196418206669335E-10</c:v>
                  </c:pt>
                  <c:pt idx="206">
                    <c:v>1.3270849423785353E-10</c:v>
                  </c:pt>
                  <c:pt idx="207">
                    <c:v>1.4147106107445896E-10</c:v>
                  </c:pt>
                  <c:pt idx="208">
                    <c:v>1.5526860514149608E-10</c:v>
                  </c:pt>
                  <c:pt idx="209">
                    <c:v>1.3245212960054677E-10</c:v>
                  </c:pt>
                  <c:pt idx="210">
                    <c:v>1.352359970545964E-10</c:v>
                  </c:pt>
                  <c:pt idx="211">
                    <c:v>1.3257149031529334E-10</c:v>
                  </c:pt>
                  <c:pt idx="212">
                    <c:v>1.0812886989555999E-10</c:v>
                  </c:pt>
                  <c:pt idx="213">
                    <c:v>1.4166515195095497E-10</c:v>
                  </c:pt>
                  <c:pt idx="214">
                    <c:v>1.4476873033032888E-10</c:v>
                  </c:pt>
                  <c:pt idx="215">
                    <c:v>1.7208973609099876E-10</c:v>
                  </c:pt>
                  <c:pt idx="216">
                    <c:v>1.7428822035589023E-10</c:v>
                  </c:pt>
                  <c:pt idx="217">
                    <c:v>1.4942859459837067E-10</c:v>
                  </c:pt>
                  <c:pt idx="218">
                    <c:v>1.5908235405243726E-10</c:v>
                  </c:pt>
                  <c:pt idx="219">
                    <c:v>1.514449588168697E-10</c:v>
                  </c:pt>
                  <c:pt idx="220">
                    <c:v>1.4562835216380895E-10</c:v>
                  </c:pt>
                  <c:pt idx="221">
                    <c:v>1.5144462014163028E-10</c:v>
                  </c:pt>
                  <c:pt idx="222">
                    <c:v>1.5282305908338219E-10</c:v>
                  </c:pt>
                  <c:pt idx="223">
                    <c:v>1.6818869035706205E-10</c:v>
                  </c:pt>
                  <c:pt idx="224">
                    <c:v>1.9307688260600492E-10</c:v>
                  </c:pt>
                  <c:pt idx="225">
                    <c:v>2.0980985176980728E-10</c:v>
                  </c:pt>
                  <c:pt idx="226">
                    <c:v>1.6972706523884447E-10</c:v>
                  </c:pt>
                  <c:pt idx="227">
                    <c:v>1.578437271307831E-10</c:v>
                  </c:pt>
                  <c:pt idx="228">
                    <c:v>1.6775852856475754E-10</c:v>
                  </c:pt>
                  <c:pt idx="229">
                    <c:v>1.7780327274437288E-10</c:v>
                  </c:pt>
                  <c:pt idx="230">
                    <c:v>2.0124717797405625E-10</c:v>
                  </c:pt>
                  <c:pt idx="231">
                    <c:v>2.050729984351546E-10</c:v>
                  </c:pt>
                  <c:pt idx="232">
                    <c:v>2.3893282736968721E-10</c:v>
                  </c:pt>
                  <c:pt idx="233">
                    <c:v>2.1068713015268E-10</c:v>
                  </c:pt>
                  <c:pt idx="234">
                    <c:v>2.0226884806896631E-10</c:v>
                  </c:pt>
                  <c:pt idx="235">
                    <c:v>2.3464707210922985E-10</c:v>
                  </c:pt>
                  <c:pt idx="236">
                    <c:v>1.2474958295581274E-10</c:v>
                  </c:pt>
                  <c:pt idx="237">
                    <c:v>1.434122115894817E-10</c:v>
                  </c:pt>
                  <c:pt idx="238">
                    <c:v>1.4322260654441258E-10</c:v>
                  </c:pt>
                  <c:pt idx="239">
                    <c:v>1.2806264754845503E-10</c:v>
                  </c:pt>
                  <c:pt idx="240">
                    <c:v>1.2596211707717228E-10</c:v>
                  </c:pt>
                  <c:pt idx="241">
                    <c:v>1.3938943458595251E-10</c:v>
                  </c:pt>
                  <c:pt idx="242">
                    <c:v>1.3154268524306189E-10</c:v>
                  </c:pt>
                  <c:pt idx="243">
                    <c:v>1.5165144603857684E-10</c:v>
                  </c:pt>
                  <c:pt idx="244">
                    <c:v>1.5826531537762077E-10</c:v>
                  </c:pt>
                  <c:pt idx="245">
                    <c:v>1.573949406110949E-10</c:v>
                  </c:pt>
                  <c:pt idx="246">
                    <c:v>1.4871075420635722E-10</c:v>
                  </c:pt>
                  <c:pt idx="247">
                    <c:v>1.4794695659639646E-10</c:v>
                  </c:pt>
                  <c:pt idx="248">
                    <c:v>1.5261148209306531E-10</c:v>
                  </c:pt>
                  <c:pt idx="249">
                    <c:v>1.559906247306547E-10</c:v>
                  </c:pt>
                  <c:pt idx="250">
                    <c:v>1.7834681866770947E-10</c:v>
                  </c:pt>
                  <c:pt idx="251">
                    <c:v>1.8607654629415877E-10</c:v>
                  </c:pt>
                  <c:pt idx="252">
                    <c:v>1.7491079754438042E-10</c:v>
                  </c:pt>
                  <c:pt idx="253">
                    <c:v>1.8026519624745817E-10</c:v>
                  </c:pt>
                  <c:pt idx="254">
                    <c:v>1.8426568072771702E-10</c:v>
                  </c:pt>
                  <c:pt idx="255">
                    <c:v>2.0122940623390989E-10</c:v>
                  </c:pt>
                  <c:pt idx="256">
                    <c:v>1.9791139650519334E-10</c:v>
                  </c:pt>
                  <c:pt idx="257">
                    <c:v>2.0228287097851505E-10</c:v>
                  </c:pt>
                  <c:pt idx="258">
                    <c:v>2.0835141902487186E-10</c:v>
                  </c:pt>
                  <c:pt idx="259">
                    <c:v>2.1105895495705533E-10</c:v>
                  </c:pt>
                  <c:pt idx="260">
                    <c:v>2.1132006710484891E-10</c:v>
                  </c:pt>
                  <c:pt idx="261">
                    <c:v>1.9751208593832063E-10</c:v>
                  </c:pt>
                  <c:pt idx="262">
                    <c:v>2.1593699760740397E-10</c:v>
                  </c:pt>
                  <c:pt idx="263">
                    <c:v>2.3663618287131768E-10</c:v>
                  </c:pt>
                  <c:pt idx="264">
                    <c:v>2.381022626206221E-10</c:v>
                  </c:pt>
                  <c:pt idx="265">
                    <c:v>2.5042768286038351E-10</c:v>
                  </c:pt>
                  <c:pt idx="266">
                    <c:v>2.5853190949833808E-10</c:v>
                  </c:pt>
                  <c:pt idx="267">
                    <c:v>2.6375283718626727E-10</c:v>
                  </c:pt>
                  <c:pt idx="268">
                    <c:v>2.8468712681980587E-10</c:v>
                  </c:pt>
                  <c:pt idx="269">
                    <c:v>2.6298636439898497E-10</c:v>
                  </c:pt>
                  <c:pt idx="270">
                    <c:v>2.4435939091795996E-10</c:v>
                  </c:pt>
                  <c:pt idx="271">
                    <c:v>2.7607021982301753E-10</c:v>
                  </c:pt>
                  <c:pt idx="272">
                    <c:v>3.0595517838630575E-10</c:v>
                  </c:pt>
                  <c:pt idx="273">
                    <c:v>3.0219660266107436E-10</c:v>
                  </c:pt>
                  <c:pt idx="274">
                    <c:v>2.9101301983885304E-10</c:v>
                  </c:pt>
                  <c:pt idx="275">
                    <c:v>2.8167650572847299E-10</c:v>
                  </c:pt>
                  <c:pt idx="276">
                    <c:v>2.8932190702693097E-10</c:v>
                  </c:pt>
                  <c:pt idx="277">
                    <c:v>3.1800215684852587E-10</c:v>
                  </c:pt>
                  <c:pt idx="278">
                    <c:v>3.3851489247933618E-10</c:v>
                  </c:pt>
                  <c:pt idx="279">
                    <c:v>3.2307721061421052E-10</c:v>
                  </c:pt>
                  <c:pt idx="280">
                    <c:v>3.4660792563824586E-10</c:v>
                  </c:pt>
                  <c:pt idx="281">
                    <c:v>3.4182206822824373E-10</c:v>
                  </c:pt>
                  <c:pt idx="282">
                    <c:v>3.5440979953503755E-10</c:v>
                  </c:pt>
                  <c:pt idx="283">
                    <c:v>3.6915457678333318E-10</c:v>
                  </c:pt>
                  <c:pt idx="284">
                    <c:v>3.9602189422702237E-10</c:v>
                  </c:pt>
                  <c:pt idx="285">
                    <c:v>3.5774395924576938E-10</c:v>
                  </c:pt>
                  <c:pt idx="286">
                    <c:v>3.0929416005221965E-10</c:v>
                  </c:pt>
                  <c:pt idx="287">
                    <c:v>3.9881557180305215E-10</c:v>
                  </c:pt>
                  <c:pt idx="288">
                    <c:v>3.8285209276579049E-10</c:v>
                  </c:pt>
                  <c:pt idx="289">
                    <c:v>3.8646647159179954E-10</c:v>
                  </c:pt>
                  <c:pt idx="290">
                    <c:v>3.8753398861725924E-10</c:v>
                  </c:pt>
                  <c:pt idx="291">
                    <c:v>3.5740969229657683E-10</c:v>
                  </c:pt>
                  <c:pt idx="292">
                    <c:v>4.1651233321787417E-10</c:v>
                  </c:pt>
                  <c:pt idx="293">
                    <c:v>4.5665482842790683E-10</c:v>
                  </c:pt>
                  <c:pt idx="294">
                    <c:v>4.4788413495785383E-10</c:v>
                  </c:pt>
                  <c:pt idx="295">
                    <c:v>4.1087201959114903E-10</c:v>
                  </c:pt>
                  <c:pt idx="296">
                    <c:v>4.3392736089947299E-10</c:v>
                  </c:pt>
                  <c:pt idx="297">
                    <c:v>5.2956483365731951E-10</c:v>
                  </c:pt>
                  <c:pt idx="298">
                    <c:v>4.9707628339506561E-10</c:v>
                  </c:pt>
                  <c:pt idx="299">
                    <c:v>4.9939619272938711E-10</c:v>
                  </c:pt>
                  <c:pt idx="300">
                    <c:v>5.1090596707363857E-10</c:v>
                  </c:pt>
                  <c:pt idx="301">
                    <c:v>5.0541237818547838E-10</c:v>
                  </c:pt>
                  <c:pt idx="302">
                    <c:v>4.9778526569800643E-10</c:v>
                  </c:pt>
                  <c:pt idx="303">
                    <c:v>5.6023903464794248E-10</c:v>
                  </c:pt>
                  <c:pt idx="304">
                    <c:v>5.8189653264410721E-10</c:v>
                  </c:pt>
                  <c:pt idx="305">
                    <c:v>6.8368062270553049E-10</c:v>
                  </c:pt>
                  <c:pt idx="306">
                    <c:v>5.8940706963731202E-10</c:v>
                  </c:pt>
                  <c:pt idx="307">
                    <c:v>6.28004094879704E-10</c:v>
                  </c:pt>
                  <c:pt idx="308">
                    <c:v>5.8761057034694825E-10</c:v>
                  </c:pt>
                  <c:pt idx="309">
                    <c:v>5.9847544653254343E-10</c:v>
                  </c:pt>
                  <c:pt idx="310">
                    <c:v>6.6334526636099303E-10</c:v>
                  </c:pt>
                  <c:pt idx="311">
                    <c:v>8.0819716443693883E-10</c:v>
                  </c:pt>
                  <c:pt idx="312">
                    <c:v>6.5046979892207702E-10</c:v>
                  </c:pt>
                  <c:pt idx="313">
                    <c:v>6.4289025075043316E-10</c:v>
                  </c:pt>
                  <c:pt idx="314">
                    <c:v>8.2091178361696674E-10</c:v>
                  </c:pt>
                  <c:pt idx="315">
                    <c:v>9.0081486238727287E-10</c:v>
                  </c:pt>
                  <c:pt idx="316">
                    <c:v>8.8437753820354683E-10</c:v>
                  </c:pt>
                  <c:pt idx="317">
                    <c:v>9.4094345590682471E-10</c:v>
                  </c:pt>
                  <c:pt idx="318">
                    <c:v>9.8971451324730627E-10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0.18612073083299999</c:v>
                </c:pt>
                <c:pt idx="311">
                  <c:v>0.187981938141</c:v>
                </c:pt>
                <c:pt idx="312">
                  <c:v>0.189861757523</c:v>
                </c:pt>
                <c:pt idx="313">
                  <c:v>0.19176037509800001</c:v>
                </c:pt>
                <c:pt idx="314">
                  <c:v>0.19367797884900001</c:v>
                </c:pt>
                <c:pt idx="315">
                  <c:v>0.19561475863700001</c:v>
                </c:pt>
                <c:pt idx="316">
                  <c:v>0.197570906224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4.2434103893255192E-9</c:v>
                </c:pt>
                <c:pt idx="1">
                  <c:v>4.4551950662124697E-9</c:v>
                </c:pt>
                <c:pt idx="2">
                  <c:v>5.349965128663281E-9</c:v>
                </c:pt>
                <c:pt idx="3">
                  <c:v>5.852129377088346E-9</c:v>
                </c:pt>
                <c:pt idx="4">
                  <c:v>5.7449379398545549E-9</c:v>
                </c:pt>
                <c:pt idx="5">
                  <c:v>6.4141308105647284E-9</c:v>
                </c:pt>
                <c:pt idx="6">
                  <c:v>6.4632068622358214E-9</c:v>
                </c:pt>
                <c:pt idx="7">
                  <c:v>6.7116816460647919E-9</c:v>
                </c:pt>
                <c:pt idx="8">
                  <c:v>6.6228889352731181E-9</c:v>
                </c:pt>
                <c:pt idx="9">
                  <c:v>6.8990244983878107E-9</c:v>
                </c:pt>
                <c:pt idx="10">
                  <c:v>7.5027378506657905E-9</c:v>
                </c:pt>
                <c:pt idx="11">
                  <c:v>7.5073184148191355E-9</c:v>
                </c:pt>
                <c:pt idx="12">
                  <c:v>7.9986935601465366E-9</c:v>
                </c:pt>
                <c:pt idx="13">
                  <c:v>7.3691806162838529E-9</c:v>
                </c:pt>
                <c:pt idx="14">
                  <c:v>8.2912630839906413E-9</c:v>
                </c:pt>
                <c:pt idx="15">
                  <c:v>8.7871648773861303E-9</c:v>
                </c:pt>
                <c:pt idx="16">
                  <c:v>8.9128997463827711E-9</c:v>
                </c:pt>
                <c:pt idx="17">
                  <c:v>1.0011355323362992E-8</c:v>
                </c:pt>
                <c:pt idx="18">
                  <c:v>7.8935936155176872E-9</c:v>
                </c:pt>
                <c:pt idx="19">
                  <c:v>7.7017352852241489E-9</c:v>
                </c:pt>
                <c:pt idx="20">
                  <c:v>6.1737777817845299E-9</c:v>
                </c:pt>
                <c:pt idx="21">
                  <c:v>4.7694257795857173E-9</c:v>
                </c:pt>
                <c:pt idx="22">
                  <c:v>3.8970138217040525E-9</c:v>
                </c:pt>
                <c:pt idx="23">
                  <c:v>3.8918551088186448E-9</c:v>
                </c:pt>
                <c:pt idx="24">
                  <c:v>3.1479967721857691E-9</c:v>
                </c:pt>
                <c:pt idx="25">
                  <c:v>3.2211919794745102E-9</c:v>
                </c:pt>
                <c:pt idx="26">
                  <c:v>3.2754540504976868E-9</c:v>
                </c:pt>
                <c:pt idx="27">
                  <c:v>2.9109610652960613E-9</c:v>
                </c:pt>
                <c:pt idx="28">
                  <c:v>2.9795891246041264E-9</c:v>
                </c:pt>
                <c:pt idx="29">
                  <c:v>3.0953272176565497E-9</c:v>
                </c:pt>
                <c:pt idx="30">
                  <c:v>3.3888846512559553E-9</c:v>
                </c:pt>
                <c:pt idx="31">
                  <c:v>3.082772376763978E-9</c:v>
                </c:pt>
                <c:pt idx="32">
                  <c:v>3.0050751374047965E-9</c:v>
                </c:pt>
                <c:pt idx="33">
                  <c:v>2.5241650015003129E-9</c:v>
                </c:pt>
                <c:pt idx="34">
                  <c:v>2.4235529953396257E-9</c:v>
                </c:pt>
                <c:pt idx="35">
                  <c:v>2.3960188085679118E-9</c:v>
                </c:pt>
                <c:pt idx="36">
                  <c:v>2.0955340563282606E-9</c:v>
                </c:pt>
                <c:pt idx="37">
                  <c:v>1.8737440915304301E-9</c:v>
                </c:pt>
                <c:pt idx="38">
                  <c:v>1.7106990661089665E-9</c:v>
                </c:pt>
                <c:pt idx="39">
                  <c:v>1.4201859348287672E-9</c:v>
                </c:pt>
                <c:pt idx="40">
                  <c:v>1.1919964535950505E-9</c:v>
                </c:pt>
                <c:pt idx="41">
                  <c:v>1.2217536743400339E-9</c:v>
                </c:pt>
                <c:pt idx="42">
                  <c:v>7.9608361616960441E-10</c:v>
                </c:pt>
                <c:pt idx="43">
                  <c:v>6.4933899749151787E-10</c:v>
                </c:pt>
                <c:pt idx="44">
                  <c:v>9.3019419154040843E-10</c:v>
                </c:pt>
                <c:pt idx="45">
                  <c:v>8.2942211442474751E-10</c:v>
                </c:pt>
                <c:pt idx="46">
                  <c:v>6.1108000886009514E-10</c:v>
                </c:pt>
                <c:pt idx="47">
                  <c:v>6.7620433069344614E-10</c:v>
                </c:pt>
                <c:pt idx="48">
                  <c:v>6.3882562808466332E-10</c:v>
                </c:pt>
                <c:pt idx="49">
                  <c:v>6.0684881940405302E-10</c:v>
                </c:pt>
                <c:pt idx="50">
                  <c:v>5.8376942972934556E-10</c:v>
                </c:pt>
                <c:pt idx="51">
                  <c:v>8.2380115060154812E-10</c:v>
                </c:pt>
                <c:pt idx="52">
                  <c:v>8.2008713932688952E-10</c:v>
                </c:pt>
                <c:pt idx="53">
                  <c:v>1.0788577228540007E-9</c:v>
                </c:pt>
                <c:pt idx="54">
                  <c:v>1.2299859772947317E-9</c:v>
                </c:pt>
                <c:pt idx="55">
                  <c:v>1.1994843095363955E-9</c:v>
                </c:pt>
                <c:pt idx="56">
                  <c:v>1.3716060124201489E-9</c:v>
                </c:pt>
                <c:pt idx="57">
                  <c:v>1.3552044258650161E-9</c:v>
                </c:pt>
                <c:pt idx="58">
                  <c:v>1.2700730568574161E-9</c:v>
                </c:pt>
                <c:pt idx="59">
                  <c:v>1.6873394150809951E-9</c:v>
                </c:pt>
                <c:pt idx="60">
                  <c:v>1.4658491840149162E-9</c:v>
                </c:pt>
                <c:pt idx="61">
                  <c:v>1.6133444217490972E-9</c:v>
                </c:pt>
                <c:pt idx="62">
                  <c:v>1.3603844934016131E-9</c:v>
                </c:pt>
                <c:pt idx="63">
                  <c:v>1.5169759013463167E-9</c:v>
                </c:pt>
                <c:pt idx="64">
                  <c:v>1.4802736568768086E-9</c:v>
                </c:pt>
                <c:pt idx="65">
                  <c:v>1.3977411078462752E-9</c:v>
                </c:pt>
                <c:pt idx="66">
                  <c:v>1.5099027938118931E-9</c:v>
                </c:pt>
                <c:pt idx="67">
                  <c:v>1.3467105210869174E-9</c:v>
                </c:pt>
                <c:pt idx="68">
                  <c:v>1.1250951159229171E-9</c:v>
                </c:pt>
                <c:pt idx="69">
                  <c:v>1.014981058798731E-9</c:v>
                </c:pt>
                <c:pt idx="70">
                  <c:v>8.2915869875294412E-10</c:v>
                </c:pt>
                <c:pt idx="71">
                  <c:v>7.8092751338810003E-10</c:v>
                </c:pt>
                <c:pt idx="72">
                  <c:v>8.1295883588716262E-10</c:v>
                </c:pt>
                <c:pt idx="73">
                  <c:v>7.9062347368596753E-10</c:v>
                </c:pt>
                <c:pt idx="74">
                  <c:v>6.7681470952408779E-10</c:v>
                </c:pt>
                <c:pt idx="75">
                  <c:v>5.2508734875252083E-10</c:v>
                </c:pt>
                <c:pt idx="76">
                  <c:v>4.3701779177853038E-10</c:v>
                </c:pt>
                <c:pt idx="77">
                  <c:v>5.0874552993084829E-10</c:v>
                </c:pt>
                <c:pt idx="78">
                  <c:v>4.8098204507507681E-10</c:v>
                </c:pt>
                <c:pt idx="79">
                  <c:v>4.9254392540345853E-10</c:v>
                </c:pt>
                <c:pt idx="80">
                  <c:v>6.093164535712876E-10</c:v>
                </c:pt>
                <c:pt idx="81">
                  <c:v>6.9929355728002067E-10</c:v>
                </c:pt>
                <c:pt idx="82">
                  <c:v>8.2065041717035168E-10</c:v>
                </c:pt>
                <c:pt idx="83">
                  <c:v>8.7380676149430606E-10</c:v>
                </c:pt>
                <c:pt idx="84">
                  <c:v>8.1433231909807971E-10</c:v>
                </c:pt>
                <c:pt idx="85">
                  <c:v>9.6494688208598182E-10</c:v>
                </c:pt>
                <c:pt idx="86">
                  <c:v>1.2075065543130341E-9</c:v>
                </c:pt>
                <c:pt idx="87">
                  <c:v>1.1575079499193137E-9</c:v>
                </c:pt>
                <c:pt idx="88">
                  <c:v>1.3208785624429693E-9</c:v>
                </c:pt>
                <c:pt idx="89">
                  <c:v>1.3082083140180148E-9</c:v>
                </c:pt>
                <c:pt idx="90">
                  <c:v>1.3546528799691969E-9</c:v>
                </c:pt>
                <c:pt idx="91">
                  <c:v>1.3251744949541338E-9</c:v>
                </c:pt>
                <c:pt idx="92">
                  <c:v>1.341735098346435E-9</c:v>
                </c:pt>
                <c:pt idx="93">
                  <c:v>1.3223122970576318E-9</c:v>
                </c:pt>
                <c:pt idx="94">
                  <c:v>1.2036976849510876E-9</c:v>
                </c:pt>
                <c:pt idx="95">
                  <c:v>1.2103786500486968E-9</c:v>
                </c:pt>
                <c:pt idx="96">
                  <c:v>1.0001012223920038E-9</c:v>
                </c:pt>
                <c:pt idx="97">
                  <c:v>6.8620241185127659E-10</c:v>
                </c:pt>
                <c:pt idx="98">
                  <c:v>7.5786021013864355E-10</c:v>
                </c:pt>
                <c:pt idx="99">
                  <c:v>6.3424916121184931E-10</c:v>
                </c:pt>
                <c:pt idx="100">
                  <c:v>5.8182177910001615E-10</c:v>
                </c:pt>
                <c:pt idx="101">
                  <c:v>5.5165681165977118E-10</c:v>
                </c:pt>
                <c:pt idx="102">
                  <c:v>3.8691843270772738E-10</c:v>
                </c:pt>
                <c:pt idx="103">
                  <c:v>4.9927429712306448E-10</c:v>
                </c:pt>
                <c:pt idx="104">
                  <c:v>4.9709898362003464E-10</c:v>
                </c:pt>
                <c:pt idx="105">
                  <c:v>5.6909575406583458E-10</c:v>
                </c:pt>
                <c:pt idx="106">
                  <c:v>6.095898621163763E-10</c:v>
                </c:pt>
                <c:pt idx="107">
                  <c:v>7.3521560685914419E-10</c:v>
                </c:pt>
                <c:pt idx="108">
                  <c:v>8.721307849117343E-10</c:v>
                </c:pt>
                <c:pt idx="109">
                  <c:v>1.0639388986472919E-9</c:v>
                </c:pt>
                <c:pt idx="110">
                  <c:v>1.1018878845310589E-9</c:v>
                </c:pt>
                <c:pt idx="111">
                  <c:v>1.2920407835887528E-9</c:v>
                </c:pt>
                <c:pt idx="112">
                  <c:v>1.2840393076822646E-9</c:v>
                </c:pt>
                <c:pt idx="113">
                  <c:v>1.2497868622840326E-9</c:v>
                </c:pt>
                <c:pt idx="114">
                  <c:v>1.2945204015857405E-9</c:v>
                </c:pt>
                <c:pt idx="115">
                  <c:v>1.3081978729238392E-9</c:v>
                </c:pt>
                <c:pt idx="116">
                  <c:v>1.2253225996612121E-9</c:v>
                </c:pt>
                <c:pt idx="117">
                  <c:v>1.1333691644254369E-9</c:v>
                </c:pt>
                <c:pt idx="118">
                  <c:v>1.0396031992797242E-9</c:v>
                </c:pt>
                <c:pt idx="119">
                  <c:v>8.9614464159951539E-10</c:v>
                </c:pt>
                <c:pt idx="120">
                  <c:v>7.7081413320927408E-10</c:v>
                </c:pt>
                <c:pt idx="121">
                  <c:v>6.3257972799798907E-10</c:v>
                </c:pt>
                <c:pt idx="122">
                  <c:v>5.31299473144511E-10</c:v>
                </c:pt>
                <c:pt idx="123">
                  <c:v>5.3772542662674503E-10</c:v>
                </c:pt>
                <c:pt idx="124">
                  <c:v>4.5625307740750276E-10</c:v>
                </c:pt>
                <c:pt idx="125">
                  <c:v>5.3291549362883838E-10</c:v>
                </c:pt>
                <c:pt idx="126">
                  <c:v>5.9281020667196066E-10</c:v>
                </c:pt>
                <c:pt idx="127">
                  <c:v>7.0003595507111165E-10</c:v>
                </c:pt>
                <c:pt idx="128">
                  <c:v>8.3046592342233628E-10</c:v>
                </c:pt>
                <c:pt idx="129">
                  <c:v>9.7783433738153126E-10</c:v>
                </c:pt>
                <c:pt idx="130">
                  <c:v>1.2295379169353274E-9</c:v>
                </c:pt>
                <c:pt idx="131">
                  <c:v>1.365934608180848E-9</c:v>
                </c:pt>
                <c:pt idx="132">
                  <c:v>1.2990742933467502E-9</c:v>
                </c:pt>
                <c:pt idx="133">
                  <c:v>1.2128423388380983E-9</c:v>
                </c:pt>
                <c:pt idx="134">
                  <c:v>1.2649068265662199E-9</c:v>
                </c:pt>
                <c:pt idx="135">
                  <c:v>1.2582617904210333E-9</c:v>
                </c:pt>
                <c:pt idx="136">
                  <c:v>1.2661801812533697E-9</c:v>
                </c:pt>
                <c:pt idx="137">
                  <c:v>9.6682953212869144E-10</c:v>
                </c:pt>
                <c:pt idx="138">
                  <c:v>8.7416005178700493E-10</c:v>
                </c:pt>
                <c:pt idx="139">
                  <c:v>6.0840734799649499E-10</c:v>
                </c:pt>
                <c:pt idx="140">
                  <c:v>6.0664055550034964E-10</c:v>
                </c:pt>
                <c:pt idx="141">
                  <c:v>5.2595135750518087E-10</c:v>
                </c:pt>
                <c:pt idx="142">
                  <c:v>4.2702309013882143E-10</c:v>
                </c:pt>
                <c:pt idx="143">
                  <c:v>5.9990059013353105E-10</c:v>
                </c:pt>
                <c:pt idx="144">
                  <c:v>7.35166907186181E-10</c:v>
                </c:pt>
                <c:pt idx="145">
                  <c:v>7.3801638093786731E-10</c:v>
                </c:pt>
                <c:pt idx="146">
                  <c:v>8.7744858533727846E-10</c:v>
                </c:pt>
                <c:pt idx="147">
                  <c:v>1.2829017116205967E-9</c:v>
                </c:pt>
                <c:pt idx="148">
                  <c:v>1.1453863914333908E-9</c:v>
                </c:pt>
                <c:pt idx="149">
                  <c:v>1.2883785080079469E-9</c:v>
                </c:pt>
                <c:pt idx="150">
                  <c:v>1.1529052576860366E-9</c:v>
                </c:pt>
                <c:pt idx="151">
                  <c:v>1.2328545348683134E-9</c:v>
                </c:pt>
                <c:pt idx="152">
                  <c:v>1.1008190140912523E-9</c:v>
                </c:pt>
                <c:pt idx="153">
                  <c:v>9.3173296872585053E-10</c:v>
                </c:pt>
                <c:pt idx="154">
                  <c:v>7.8372576972310286E-10</c:v>
                </c:pt>
                <c:pt idx="155">
                  <c:v>7.7431783638905963E-10</c:v>
                </c:pt>
                <c:pt idx="156">
                  <c:v>5.7871734276117198E-10</c:v>
                </c:pt>
                <c:pt idx="157">
                  <c:v>4.854475436215872E-10</c:v>
                </c:pt>
                <c:pt idx="158">
                  <c:v>5.0668297130074808E-10</c:v>
                </c:pt>
                <c:pt idx="159">
                  <c:v>5.9255150693091776E-10</c:v>
                </c:pt>
                <c:pt idx="160">
                  <c:v>6.2476176414125699E-10</c:v>
                </c:pt>
                <c:pt idx="161">
                  <c:v>8.9133084141019806E-10</c:v>
                </c:pt>
                <c:pt idx="162">
                  <c:v>9.4785016608394492E-10</c:v>
                </c:pt>
                <c:pt idx="163">
                  <c:v>1.2153546466293748E-9</c:v>
                </c:pt>
                <c:pt idx="164">
                  <c:v>1.3759952784314514E-9</c:v>
                </c:pt>
                <c:pt idx="165">
                  <c:v>1.3317967085734504E-9</c:v>
                </c:pt>
                <c:pt idx="166">
                  <c:v>1.3417558464874739E-9</c:v>
                </c:pt>
                <c:pt idx="167">
                  <c:v>1.1036661374580396E-9</c:v>
                </c:pt>
                <c:pt idx="168">
                  <c:v>7.2468010010138045E-10</c:v>
                </c:pt>
                <c:pt idx="169">
                  <c:v>5.9259902873565921E-10</c:v>
                </c:pt>
                <c:pt idx="170">
                  <c:v>5.0238318077890043E-10</c:v>
                </c:pt>
                <c:pt idx="171">
                  <c:v>5.8280863128087912E-10</c:v>
                </c:pt>
                <c:pt idx="172">
                  <c:v>6.5289330323221706E-10</c:v>
                </c:pt>
                <c:pt idx="173">
                  <c:v>8.6144271425328707E-10</c:v>
                </c:pt>
                <c:pt idx="174">
                  <c:v>1.0826738512720366E-9</c:v>
                </c:pt>
                <c:pt idx="175">
                  <c:v>1.2840482222493571E-9</c:v>
                </c:pt>
                <c:pt idx="176">
                  <c:v>1.3672092280772228E-9</c:v>
                </c:pt>
                <c:pt idx="177">
                  <c:v>1.3493239940447544E-9</c:v>
                </c:pt>
                <c:pt idx="178">
                  <c:v>1.2851226233003753E-9</c:v>
                </c:pt>
                <c:pt idx="179">
                  <c:v>1.2064198257458545E-9</c:v>
                </c:pt>
                <c:pt idx="180">
                  <c:v>8.7761197507624552E-10</c:v>
                </c:pt>
                <c:pt idx="181">
                  <c:v>6.3555394419813653E-10</c:v>
                </c:pt>
                <c:pt idx="182">
                  <c:v>6.0876346593229025E-10</c:v>
                </c:pt>
                <c:pt idx="183">
                  <c:v>5.4190542642466003E-10</c:v>
                </c:pt>
                <c:pt idx="184">
                  <c:v>7.3422946152005597E-10</c:v>
                </c:pt>
                <c:pt idx="185">
                  <c:v>9.7622963478027847E-10</c:v>
                </c:pt>
                <c:pt idx="186">
                  <c:v>1.2292745287070863E-9</c:v>
                </c:pt>
                <c:pt idx="187">
                  <c:v>1.2445115440249028E-9</c:v>
                </c:pt>
                <c:pt idx="188">
                  <c:v>1.1926353169114449E-9</c:v>
                </c:pt>
                <c:pt idx="189">
                  <c:v>1.1866567370392249E-9</c:v>
                </c:pt>
                <c:pt idx="190">
                  <c:v>1.1733025721945717E-9</c:v>
                </c:pt>
                <c:pt idx="191">
                  <c:v>9.9568838938144154E-10</c:v>
                </c:pt>
                <c:pt idx="192">
                  <c:v>7.710047427981038E-10</c:v>
                </c:pt>
                <c:pt idx="193">
                  <c:v>5.9986086548232991E-10</c:v>
                </c:pt>
                <c:pt idx="194">
                  <c:v>6.6131498976202093E-10</c:v>
                </c:pt>
                <c:pt idx="195">
                  <c:v>8.4656109751903022E-10</c:v>
                </c:pt>
                <c:pt idx="196">
                  <c:v>1.0039703155830871E-9</c:v>
                </c:pt>
                <c:pt idx="197">
                  <c:v>1.3317177759087935E-9</c:v>
                </c:pt>
                <c:pt idx="198">
                  <c:v>1.5494698196415399E-9</c:v>
                </c:pt>
                <c:pt idx="199">
                  <c:v>1.3959441822850813E-9</c:v>
                </c:pt>
                <c:pt idx="200">
                  <c:v>1.2611112273919129E-9</c:v>
                </c:pt>
                <c:pt idx="201">
                  <c:v>8.4359292025748919E-10</c:v>
                </c:pt>
                <c:pt idx="202">
                  <c:v>7.7517673784243716E-10</c:v>
                </c:pt>
                <c:pt idx="203">
                  <c:v>9.3724321656682144E-10</c:v>
                </c:pt>
                <c:pt idx="204">
                  <c:v>7.7035564921420031E-10</c:v>
                </c:pt>
                <c:pt idx="205">
                  <c:v>8.8933982973160514E-10</c:v>
                </c:pt>
                <c:pt idx="206">
                  <c:v>1.2103278850291144E-9</c:v>
                </c:pt>
                <c:pt idx="207">
                  <c:v>1.2403104122839977E-9</c:v>
                </c:pt>
                <c:pt idx="208">
                  <c:v>1.4438141223367924E-9</c:v>
                </c:pt>
                <c:pt idx="209">
                  <c:v>1.0702351288914039E-9</c:v>
                </c:pt>
                <c:pt idx="210">
                  <c:v>1.0828817875216471E-9</c:v>
                </c:pt>
                <c:pt idx="211">
                  <c:v>8.7235396115757904E-10</c:v>
                </c:pt>
                <c:pt idx="212">
                  <c:v>5.8299075726906191E-10</c:v>
                </c:pt>
                <c:pt idx="213">
                  <c:v>1.0225360006832452E-9</c:v>
                </c:pt>
                <c:pt idx="214">
                  <c:v>1.0832635476000121E-9</c:v>
                </c:pt>
                <c:pt idx="215">
                  <c:v>1.4000027486421298E-9</c:v>
                </c:pt>
                <c:pt idx="216">
                  <c:v>1.4856151222322942E-9</c:v>
                </c:pt>
                <c:pt idx="217">
                  <c:v>1.1942132967551663E-9</c:v>
                </c:pt>
                <c:pt idx="218">
                  <c:v>1.097135827555999E-9</c:v>
                </c:pt>
                <c:pt idx="219">
                  <c:v>1.015311339786945E-9</c:v>
                </c:pt>
                <c:pt idx="220">
                  <c:v>9.3993587125917938E-10</c:v>
                </c:pt>
                <c:pt idx="221">
                  <c:v>9.5635834316095081E-10</c:v>
                </c:pt>
                <c:pt idx="222">
                  <c:v>9.1982104576768641E-10</c:v>
                </c:pt>
                <c:pt idx="223">
                  <c:v>1.1292387529412184E-9</c:v>
                </c:pt>
                <c:pt idx="224">
                  <c:v>1.3740632284910146E-9</c:v>
                </c:pt>
                <c:pt idx="225">
                  <c:v>1.5735608777648975E-9</c:v>
                </c:pt>
                <c:pt idx="226">
                  <c:v>9.6203973216467082E-10</c:v>
                </c:pt>
                <c:pt idx="227">
                  <c:v>7.0994948698090803E-10</c:v>
                </c:pt>
                <c:pt idx="228">
                  <c:v>9.4201134546627058E-10</c:v>
                </c:pt>
                <c:pt idx="229">
                  <c:v>1.0354270381035102E-9</c:v>
                </c:pt>
                <c:pt idx="230">
                  <c:v>1.1634055561370507E-9</c:v>
                </c:pt>
                <c:pt idx="231">
                  <c:v>1.1845018484459203E-9</c:v>
                </c:pt>
                <c:pt idx="232">
                  <c:v>1.5403690379764995E-9</c:v>
                </c:pt>
                <c:pt idx="233">
                  <c:v>1.2187644846436325E-9</c:v>
                </c:pt>
                <c:pt idx="234">
                  <c:v>8.1867689071195137E-10</c:v>
                </c:pt>
                <c:pt idx="235">
                  <c:v>1.286844419177368E-9</c:v>
                </c:pt>
                <c:pt idx="236">
                  <c:v>1.0904276133976736E-9</c:v>
                </c:pt>
                <c:pt idx="237">
                  <c:v>1.5223164810712889E-9</c:v>
                </c:pt>
                <c:pt idx="238">
                  <c:v>1.5790747889760077E-9</c:v>
                </c:pt>
                <c:pt idx="239">
                  <c:v>1.3635102496232919E-9</c:v>
                </c:pt>
                <c:pt idx="240">
                  <c:v>1.1378172620738848E-9</c:v>
                </c:pt>
                <c:pt idx="241">
                  <c:v>1.492950630539316E-9</c:v>
                </c:pt>
                <c:pt idx="242">
                  <c:v>1.230762805540639E-9</c:v>
                </c:pt>
                <c:pt idx="243">
                  <c:v>1.5708681522782825E-9</c:v>
                </c:pt>
                <c:pt idx="244">
                  <c:v>1.745176724057632E-9</c:v>
                </c:pt>
                <c:pt idx="245">
                  <c:v>1.6969099552906698E-9</c:v>
                </c:pt>
                <c:pt idx="246">
                  <c:v>1.4531732241970296E-9</c:v>
                </c:pt>
                <c:pt idx="247">
                  <c:v>1.367345787754279E-9</c:v>
                </c:pt>
                <c:pt idx="248">
                  <c:v>1.5061033766845654E-9</c:v>
                </c:pt>
                <c:pt idx="249">
                  <c:v>1.4824830514533609E-9</c:v>
                </c:pt>
                <c:pt idx="250">
                  <c:v>1.577531010217868E-9</c:v>
                </c:pt>
                <c:pt idx="251">
                  <c:v>1.6949697528529417E-9</c:v>
                </c:pt>
                <c:pt idx="252">
                  <c:v>1.4324353516079246E-9</c:v>
                </c:pt>
                <c:pt idx="253">
                  <c:v>1.536250814476557E-9</c:v>
                </c:pt>
                <c:pt idx="254">
                  <c:v>1.5131651172559299E-9</c:v>
                </c:pt>
                <c:pt idx="255">
                  <c:v>1.6316597814076E-9</c:v>
                </c:pt>
                <c:pt idx="256">
                  <c:v>1.5611902157274424E-9</c:v>
                </c:pt>
                <c:pt idx="257">
                  <c:v>1.7523675238666028E-9</c:v>
                </c:pt>
                <c:pt idx="258">
                  <c:v>1.6110422900523321E-9</c:v>
                </c:pt>
                <c:pt idx="259">
                  <c:v>1.589439979551891E-9</c:v>
                </c:pt>
                <c:pt idx="260">
                  <c:v>1.6403748905274226E-9</c:v>
                </c:pt>
                <c:pt idx="261">
                  <c:v>1.3819682507265297E-9</c:v>
                </c:pt>
                <c:pt idx="262">
                  <c:v>1.4764379089840534E-9</c:v>
                </c:pt>
                <c:pt idx="263">
                  <c:v>1.7777705661860648E-9</c:v>
                </c:pt>
                <c:pt idx="264">
                  <c:v>1.8601434002502685E-9</c:v>
                </c:pt>
                <c:pt idx="265">
                  <c:v>1.8465231608320121E-9</c:v>
                </c:pt>
                <c:pt idx="266">
                  <c:v>1.9671977059567862E-9</c:v>
                </c:pt>
                <c:pt idx="267">
                  <c:v>1.7311008383370598E-9</c:v>
                </c:pt>
                <c:pt idx="268">
                  <c:v>1.9644135600265066E-9</c:v>
                </c:pt>
                <c:pt idx="269">
                  <c:v>1.6451076057792578E-9</c:v>
                </c:pt>
                <c:pt idx="270">
                  <c:v>1.414172065663883E-9</c:v>
                </c:pt>
                <c:pt idx="271">
                  <c:v>1.6975380029021749E-9</c:v>
                </c:pt>
                <c:pt idx="272">
                  <c:v>1.9738234286061869E-9</c:v>
                </c:pt>
                <c:pt idx="273">
                  <c:v>1.6530056861239018E-9</c:v>
                </c:pt>
                <c:pt idx="274">
                  <c:v>1.5953828471499635E-9</c:v>
                </c:pt>
                <c:pt idx="275">
                  <c:v>1.3408919745171884E-9</c:v>
                </c:pt>
                <c:pt idx="276">
                  <c:v>1.2942332765011196E-9</c:v>
                </c:pt>
                <c:pt idx="277">
                  <c:v>1.6543515141843557E-9</c:v>
                </c:pt>
                <c:pt idx="278">
                  <c:v>1.9363642887831338E-9</c:v>
                </c:pt>
                <c:pt idx="279">
                  <c:v>1.6349975546595112E-9</c:v>
                </c:pt>
                <c:pt idx="280">
                  <c:v>1.6502637097885423E-9</c:v>
                </c:pt>
                <c:pt idx="281">
                  <c:v>1.6271065557978197E-9</c:v>
                </c:pt>
                <c:pt idx="282">
                  <c:v>1.6970813866618774E-9</c:v>
                </c:pt>
                <c:pt idx="283">
                  <c:v>1.8190423173791803E-9</c:v>
                </c:pt>
                <c:pt idx="284">
                  <c:v>2.1394056233919377E-9</c:v>
                </c:pt>
                <c:pt idx="285">
                  <c:v>1.7874513788192313E-9</c:v>
                </c:pt>
                <c:pt idx="286">
                  <c:v>1.0939034818528138E-9</c:v>
                </c:pt>
                <c:pt idx="287">
                  <c:v>1.8699107513860582E-9</c:v>
                </c:pt>
                <c:pt idx="288">
                  <c:v>1.2690248960812527E-9</c:v>
                </c:pt>
                <c:pt idx="289">
                  <c:v>1.5825921212909104E-9</c:v>
                </c:pt>
                <c:pt idx="290">
                  <c:v>1.6275456979010252E-9</c:v>
                </c:pt>
                <c:pt idx="291">
                  <c:v>1.1260305295993728E-9</c:v>
                </c:pt>
                <c:pt idx="292">
                  <c:v>1.7142714388884917E-9</c:v>
                </c:pt>
                <c:pt idx="293">
                  <c:v>2.0370710761320234E-9</c:v>
                </c:pt>
                <c:pt idx="294">
                  <c:v>1.6765501480354126E-9</c:v>
                </c:pt>
                <c:pt idx="295">
                  <c:v>1.3887034131312519E-9</c:v>
                </c:pt>
                <c:pt idx="296">
                  <c:v>1.4990697277023775E-9</c:v>
                </c:pt>
                <c:pt idx="297">
                  <c:v>2.4033086452489869E-9</c:v>
                </c:pt>
                <c:pt idx="298">
                  <c:v>1.6724225523458855E-9</c:v>
                </c:pt>
                <c:pt idx="299">
                  <c:v>1.5811046852383634E-9</c:v>
                </c:pt>
                <c:pt idx="300">
                  <c:v>1.6372141932825141E-9</c:v>
                </c:pt>
                <c:pt idx="301">
                  <c:v>1.1669783124697847E-9</c:v>
                </c:pt>
                <c:pt idx="302">
                  <c:v>1.305854621659975E-9</c:v>
                </c:pt>
                <c:pt idx="303">
                  <c:v>1.5696368218511205E-9</c:v>
                </c:pt>
                <c:pt idx="304">
                  <c:v>1.9400739142084606E-9</c:v>
                </c:pt>
                <c:pt idx="305">
                  <c:v>3.0896331668136429E-9</c:v>
                </c:pt>
                <c:pt idx="306">
                  <c:v>1.5700078120302131E-9</c:v>
                </c:pt>
                <c:pt idx="307">
                  <c:v>1.7266375378363873E-9</c:v>
                </c:pt>
                <c:pt idx="308">
                  <c:v>1.3833137493160982E-9</c:v>
                </c:pt>
                <c:pt idx="309">
                  <c:v>1.1381748645139529E-9</c:v>
                </c:pt>
                <c:pt idx="310">
                  <c:v>1.1386911881748043E-9</c:v>
                </c:pt>
                <c:pt idx="311">
                  <c:v>2.5029872387203784E-9</c:v>
                </c:pt>
                <c:pt idx="312">
                  <c:v>1.1780470247131023E-9</c:v>
                </c:pt>
                <c:pt idx="313">
                  <c:v>1.3793437657838031E-9</c:v>
                </c:pt>
                <c:pt idx="314">
                  <c:v>2.5934927010218745E-9</c:v>
                </c:pt>
                <c:pt idx="315">
                  <c:v>2.3640617146405066E-9</c:v>
                </c:pt>
                <c:pt idx="316">
                  <c:v>2.1205725349082054E-9</c:v>
                </c:pt>
                <c:pt idx="317">
                  <c:v>2.0628809136922505E-9</c:v>
                </c:pt>
                <c:pt idx="318">
                  <c:v>1.7666306660562657E-9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8.07E-02</c:v>
                </c:pt>
                <c:pt idx="229">
                  <c:v>8.15E-02</c:v>
                </c:pt>
                <c:pt idx="230">
                  <c:v>8.23E-02</c:v>
                </c:pt>
                <c:pt idx="231">
                  <c:v>8.31E-02</c:v>
                </c:pt>
                <c:pt idx="232">
                  <c:v>8.40E-02</c:v>
                </c:pt>
                <c:pt idx="233">
                  <c:v>8.48E-02</c:v>
                </c:pt>
                <c:pt idx="234">
                  <c:v>8.57E-02</c:v>
                </c:pt>
                <c:pt idx="235">
                  <c:v>8.65E-02</c:v>
                </c:pt>
                <c:pt idx="236">
                  <c:v>8.74E-02</c:v>
                </c:pt>
                <c:pt idx="237">
                  <c:v>8.82E-02</c:v>
                </c:pt>
                <c:pt idx="238">
                  <c:v>8.91E-02</c:v>
                </c:pt>
                <c:pt idx="239">
                  <c:v>9.00E-02</c:v>
                </c:pt>
                <c:pt idx="240">
                  <c:v>9.09E-02</c:v>
                </c:pt>
                <c:pt idx="241">
                  <c:v>9.18E-02</c:v>
                </c:pt>
                <c:pt idx="242">
                  <c:v>9.27E-02</c:v>
                </c:pt>
                <c:pt idx="243">
                  <c:v>9.37E-02</c:v>
                </c:pt>
                <c:pt idx="244">
                  <c:v>9.46E-02</c:v>
                </c:pt>
                <c:pt idx="245">
                  <c:v>9.56E-02</c:v>
                </c:pt>
                <c:pt idx="246">
                  <c:v>9.65E-02</c:v>
                </c:pt>
                <c:pt idx="247">
                  <c:v>9.75E-02</c:v>
                </c:pt>
                <c:pt idx="248">
                  <c:v>9.85E-02</c:v>
                </c:pt>
                <c:pt idx="249">
                  <c:v>9.94E-02</c:v>
                </c:pt>
                <c:pt idx="250">
                  <c:v>1.00E-01</c:v>
                </c:pt>
                <c:pt idx="251">
                  <c:v>1.01E-01</c:v>
                </c:pt>
                <c:pt idx="252">
                  <c:v>1.02E-01</c:v>
                </c:pt>
                <c:pt idx="253">
                  <c:v>1.03E-01</c:v>
                </c:pt>
                <c:pt idx="254">
                  <c:v>1.05E-01</c:v>
                </c:pt>
                <c:pt idx="255">
                  <c:v>1.06E-01</c:v>
                </c:pt>
                <c:pt idx="256">
                  <c:v>1.07E-01</c:v>
                </c:pt>
                <c:pt idx="257">
                  <c:v>1.08E-01</c:v>
                </c:pt>
                <c:pt idx="258">
                  <c:v>1.09E-01</c:v>
                </c:pt>
                <c:pt idx="259">
                  <c:v>1.10E-01</c:v>
                </c:pt>
                <c:pt idx="260">
                  <c:v>1.11E-01</c:v>
                </c:pt>
                <c:pt idx="261">
                  <c:v>1.12E-01</c:v>
                </c:pt>
                <c:pt idx="262">
                  <c:v>1.13E-01</c:v>
                </c:pt>
                <c:pt idx="263">
                  <c:v>1.14E-01</c:v>
                </c:pt>
                <c:pt idx="264">
                  <c:v>1.15E-01</c:v>
                </c:pt>
                <c:pt idx="265">
                  <c:v>1.17E-01</c:v>
                </c:pt>
                <c:pt idx="266">
                  <c:v>1.18E-01</c:v>
                </c:pt>
                <c:pt idx="267">
                  <c:v>1.19E-01</c:v>
                </c:pt>
                <c:pt idx="268">
                  <c:v>1.20E-01</c:v>
                </c:pt>
                <c:pt idx="269">
                  <c:v>1.21E-01</c:v>
                </c:pt>
                <c:pt idx="270">
                  <c:v>1.23E-01</c:v>
                </c:pt>
                <c:pt idx="271">
                  <c:v>1.24E-01</c:v>
                </c:pt>
                <c:pt idx="272">
                  <c:v>1.25E-01</c:v>
                </c:pt>
                <c:pt idx="273">
                  <c:v>1.26E-01</c:v>
                </c:pt>
                <c:pt idx="274">
                  <c:v>1.28E-01</c:v>
                </c:pt>
                <c:pt idx="275">
                  <c:v>1.29E-01</c:v>
                </c:pt>
                <c:pt idx="276">
                  <c:v>1.30E-01</c:v>
                </c:pt>
                <c:pt idx="277">
                  <c:v>1.31E-01</c:v>
                </c:pt>
                <c:pt idx="278">
                  <c:v>1.33E-01</c:v>
                </c:pt>
                <c:pt idx="279">
                  <c:v>1.34E-01</c:v>
                </c:pt>
                <c:pt idx="280">
                  <c:v>1.35E-01</c:v>
                </c:pt>
                <c:pt idx="281">
                  <c:v>1.37E-01</c:v>
                </c:pt>
                <c:pt idx="282">
                  <c:v>1.38E-01</c:v>
                </c:pt>
                <c:pt idx="283">
                  <c:v>1.39E-01</c:v>
                </c:pt>
                <c:pt idx="284">
                  <c:v>1.41E-01</c:v>
                </c:pt>
                <c:pt idx="285">
                  <c:v>1.42E-01</c:v>
                </c:pt>
                <c:pt idx="286">
                  <c:v>1.44E-01</c:v>
                </c:pt>
                <c:pt idx="287">
                  <c:v>1.45E-01</c:v>
                </c:pt>
                <c:pt idx="288">
                  <c:v>1.47E-01</c:v>
                </c:pt>
                <c:pt idx="289">
                  <c:v>1.48E-01</c:v>
                </c:pt>
                <c:pt idx="290">
                  <c:v>1.50E-01</c:v>
                </c:pt>
                <c:pt idx="291">
                  <c:v>1.51E-01</c:v>
                </c:pt>
                <c:pt idx="292">
                  <c:v>1.53E-01</c:v>
                </c:pt>
                <c:pt idx="293">
                  <c:v>1.54E-01</c:v>
                </c:pt>
                <c:pt idx="294">
                  <c:v>1.56E-01</c:v>
                </c:pt>
                <c:pt idx="295">
                  <c:v>1.57E-01</c:v>
                </c:pt>
                <c:pt idx="296">
                  <c:v>1.59E-01</c:v>
                </c:pt>
                <c:pt idx="297">
                  <c:v>1.60E-01</c:v>
                </c:pt>
                <c:pt idx="298">
                  <c:v>1.62E-01</c:v>
                </c:pt>
                <c:pt idx="299">
                  <c:v>1.64E-01</c:v>
                </c:pt>
                <c:pt idx="300">
                  <c:v>1.65E-01</c:v>
                </c:pt>
                <c:pt idx="301">
                  <c:v>1.67E-01</c:v>
                </c:pt>
                <c:pt idx="302">
                  <c:v>1.68E-01</c:v>
                </c:pt>
                <c:pt idx="303">
                  <c:v>1.70E-01</c:v>
                </c:pt>
                <c:pt idx="304">
                  <c:v>1.72E-01</c:v>
                </c:pt>
                <c:pt idx="305">
                  <c:v>1.74E-01</c:v>
                </c:pt>
                <c:pt idx="306">
                  <c:v>1.75E-01</c:v>
                </c:pt>
                <c:pt idx="307">
                  <c:v>1.77E-01</c:v>
                </c:pt>
                <c:pt idx="308">
                  <c:v>1.79E-01</c:v>
                </c:pt>
                <c:pt idx="309">
                  <c:v>1.81E-01</c:v>
                </c:pt>
                <c:pt idx="310">
                  <c:v>1.86E-01</c:v>
                </c:pt>
                <c:pt idx="311">
                  <c:v>1.88E-01</c:v>
                </c:pt>
                <c:pt idx="312">
                  <c:v>1.90E-01</c:v>
                </c:pt>
                <c:pt idx="313">
                  <c:v>1.92E-01</c:v>
                </c:pt>
                <c:pt idx="314">
                  <c:v>1.94E-01</c:v>
                </c:pt>
                <c:pt idx="315">
                  <c:v>1.96E-01</c:v>
                </c:pt>
                <c:pt idx="316">
                  <c:v>1.98E-01</c:v>
                </c:pt>
                <c:pt idx="317">
                  <c:v>1.96E-01</c:v>
                </c:pt>
                <c:pt idx="318">
                  <c:v>1.98E-01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0.18612073083299999</c:v>
                </c:pt>
                <c:pt idx="311">
                  <c:v>0.187981938141</c:v>
                </c:pt>
                <c:pt idx="312">
                  <c:v>0.189861757523</c:v>
                </c:pt>
                <c:pt idx="313">
                  <c:v>0.19176037509800001</c:v>
                </c:pt>
                <c:pt idx="314">
                  <c:v>0.19367797884900001</c:v>
                </c:pt>
                <c:pt idx="315">
                  <c:v>0.19561475863700001</c:v>
                </c:pt>
                <c:pt idx="316">
                  <c:v>0.197570906224</c:v>
                </c:pt>
                <c:pt idx="317">
                  <c:v>0.19561475863700001</c:v>
                </c:pt>
                <c:pt idx="318">
                  <c:v>0.197570906224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4.814442126704945E-9</c:v>
                </c:pt>
                <c:pt idx="1">
                  <c:v>5.0078397685413753E-9</c:v>
                </c:pt>
                <c:pt idx="2">
                  <c:v>5.2087544189280844E-9</c:v>
                </c:pt>
                <c:pt idx="3">
                  <c:v>5.4174146067853398E-9</c:v>
                </c:pt>
                <c:pt idx="4">
                  <c:v>5.634041057731826E-9</c:v>
                </c:pt>
                <c:pt idx="5">
                  <c:v>5.8588351348678574E-9</c:v>
                </c:pt>
                <c:pt idx="6">
                  <c:v>6.0919635049897164E-9</c:v>
                </c:pt>
                <c:pt idx="7">
                  <c:v>6.3335382330427758E-9</c:v>
                </c:pt>
                <c:pt idx="8">
                  <c:v>6.5835856386583189E-9</c:v>
                </c:pt>
                <c:pt idx="9">
                  <c:v>6.8419949996024564E-9</c:v>
                </c:pt>
                <c:pt idx="10">
                  <c:v>7.1084308074095116E-9</c:v>
                </c:pt>
                <c:pt idx="11">
                  <c:v>7.3821757512244673E-9</c:v>
                </c:pt>
                <c:pt idx="12">
                  <c:v>7.6618310994348968E-9</c:v>
                </c:pt>
                <c:pt idx="13">
                  <c:v>7.9446957015278571E-9</c:v>
                </c:pt>
                <c:pt idx="14">
                  <c:v>8.2253365409023729E-9</c:v>
                </c:pt>
                <c:pt idx="15">
                  <c:v>8.4920378199513198E-9</c:v>
                </c:pt>
                <c:pt idx="16">
                  <c:v>8.7174124835036251E-9</c:v>
                </c:pt>
                <c:pt idx="17">
                  <c:v>8.8365756255407287E-9</c:v>
                </c:pt>
                <c:pt idx="18">
                  <c:v>8.7053415819536327E-9</c:v>
                </c:pt>
                <c:pt idx="19">
                  <c:v>8.0827871481795255E-9</c:v>
                </c:pt>
                <c:pt idx="20">
                  <c:v>6.8073355426748446E-9</c:v>
                </c:pt>
                <c:pt idx="21">
                  <c:v>5.1568412397603355E-9</c:v>
                </c:pt>
                <c:pt idx="22">
                  <c:v>3.7887846714373534E-9</c:v>
                </c:pt>
                <c:pt idx="23">
                  <c:v>3.0998353684639609E-9</c:v>
                </c:pt>
                <c:pt idx="24">
                  <c:v>2.9457895019436869E-9</c:v>
                </c:pt>
                <c:pt idx="25">
                  <c:v>3.0034532405340894E-9</c:v>
                </c:pt>
                <c:pt idx="26">
                  <c:v>3.0811213310006848E-9</c:v>
                </c:pt>
                <c:pt idx="27">
                  <c:v>3.1199792393041158E-9</c:v>
                </c:pt>
                <c:pt idx="28">
                  <c:v>3.1128082737155924E-9</c:v>
                </c:pt>
                <c:pt idx="29">
                  <c:v>3.0635499790199098E-9</c:v>
                </c:pt>
                <c:pt idx="30">
                  <c:v>2.977354845107166E-9</c:v>
                </c:pt>
                <c:pt idx="31">
                  <c:v>2.8591935102433839E-9</c:v>
                </c:pt>
                <c:pt idx="32">
                  <c:v>2.713973099382724E-9</c:v>
                </c:pt>
                <c:pt idx="33">
                  <c:v>2.5466962129500013E-9</c:v>
                </c:pt>
                <c:pt idx="34">
                  <c:v>2.3625474948504937E-9</c:v>
                </c:pt>
                <c:pt idx="35">
                  <c:v>2.1669015901502601E-9</c:v>
                </c:pt>
                <c:pt idx="36">
                  <c:v>1.9652636247174639E-9</c:v>
                </c:pt>
                <c:pt idx="37">
                  <c:v>1.7631569249520601E-9</c:v>
                </c:pt>
                <c:pt idx="38">
                  <c:v>1.5659741431850039E-9</c:v>
                </c:pt>
                <c:pt idx="39">
                  <c:v>1.3788087983191675E-9</c:v>
                </c:pt>
                <c:pt idx="40">
                  <c:v>1.2062842444515123E-9</c:v>
                </c:pt>
                <c:pt idx="41">
                  <c:v>1.0523958600687134E-9</c:v>
                </c:pt>
                <c:pt idx="42">
                  <c:v>9.2037971227802742E-10</c:v>
                </c:pt>
                <c:pt idx="43">
                  <c:v>8.1261731913943416E-10</c:v>
                </c:pt>
                <c:pt idx="44">
                  <c:v>7.3030697954068131E-10</c:v>
                </c:pt>
                <c:pt idx="45">
                  <c:v>6.7460648981245012E-10</c:v>
                </c:pt>
                <c:pt idx="46">
                  <c:v>6.4484646814858377E-10</c:v>
                </c:pt>
                <c:pt idx="47">
                  <c:v>6.3985979082294803E-10</c:v>
                </c:pt>
                <c:pt idx="48">
                  <c:v>6.5774079031079238E-10</c:v>
                </c:pt>
                <c:pt idx="49">
                  <c:v>6.9595373073929653E-10</c:v>
                </c:pt>
                <c:pt idx="50">
                  <c:v>7.5145259498524807E-10</c:v>
                </c:pt>
                <c:pt idx="51">
                  <c:v>8.208056523432591E-10</c:v>
                </c:pt>
                <c:pt idx="52">
                  <c:v>9.003197090930161E-10</c:v>
                </c:pt>
                <c:pt idx="53">
                  <c:v>9.8616047617214841E-10</c:v>
                </c:pt>
                <c:pt idx="54">
                  <c:v>1.0744669033041464E-9</c:v>
                </c:pt>
                <c:pt idx="55">
                  <c:v>1.1614584609407848E-9</c:v>
                </c:pt>
                <c:pt idx="56">
                  <c:v>1.2435351355844252E-9</c:v>
                </c:pt>
                <c:pt idx="57">
                  <c:v>1.3173703032340546E-9</c:v>
                </c:pt>
                <c:pt idx="58">
                  <c:v>1.3799966886859813E-9</c:v>
                </c:pt>
                <c:pt idx="59">
                  <c:v>1.4288853588648398E-9</c:v>
                </c:pt>
                <c:pt idx="60">
                  <c:v>1.4620172010166007E-9</c:v>
                </c:pt>
                <c:pt idx="61">
                  <c:v>1.4779456931532575E-9</c:v>
                </c:pt>
                <c:pt idx="62">
                  <c:v>1.475849074666403E-9</c:v>
                </c:pt>
                <c:pt idx="63">
                  <c:v>1.4555693689272473E-9</c:v>
                </c:pt>
                <c:pt idx="64">
                  <c:v>1.4176352001897623E-9</c:v>
                </c:pt>
                <c:pt idx="65">
                  <c:v>1.3632650809994546E-9</c:v>
                </c:pt>
                <c:pt idx="66">
                  <c:v>1.2943479153703686E-9</c:v>
                </c:pt>
                <c:pt idx="67">
                  <c:v>1.2133979302472878E-9</c:v>
                </c:pt>
                <c:pt idx="68">
                  <c:v>1.1234821509383986E-9</c:v>
                </c:pt>
                <c:pt idx="69">
                  <c:v>1.0281198634387715E-9</c:v>
                </c:pt>
                <c:pt idx="70">
                  <c:v>9.3115519474835865E-10</c:v>
                </c:pt>
                <c:pt idx="71">
                  <c:v>8.3660587630042056E-10</c:v>
                </c:pt>
                <c:pt idx="72">
                  <c:v>7.4849326566068615E-10</c:v>
                </c:pt>
                <c:pt idx="73">
                  <c:v>6.7066060102123411E-10</c:v>
                </c:pt>
                <c:pt idx="74">
                  <c:v>6.0658803866287063E-10</c:v>
                </c:pt>
                <c:pt idx="75">
                  <c:v>5.5921409618751839E-10</c:v>
                </c:pt>
                <c:pt idx="76">
                  <c:v>5.3077355982352273E-10</c:v>
                </c:pt>
                <c:pt idx="77">
                  <c:v>5.2266164034917134E-10</c:v>
                </c:pt>
                <c:pt idx="78">
                  <c:v>5.3533319317601889E-10</c:v>
                </c:pt>
                <c:pt idx="79">
                  <c:v>5.68244236285426E-10</c:v>
                </c:pt>
                <c:pt idx="80">
                  <c:v>6.198409485106005E-10</c:v>
                </c:pt>
                <c:pt idx="81">
                  <c:v>6.8759898197142182E-10</c:v>
                </c:pt>
                <c:pt idx="82">
                  <c:v>7.6811345189089901E-10</c:v>
                </c:pt>
                <c:pt idx="83">
                  <c:v>8.5723752386389748E-10</c:v>
                </c:pt>
                <c:pt idx="84">
                  <c:v>9.5026520653745425E-10</c:v>
                </c:pt>
                <c:pt idx="85">
                  <c:v>1.0421518319446659E-9</c:v>
                </c:pt>
                <c:pt idx="86">
                  <c:v>1.1277637744929774E-9</c:v>
                </c:pt>
                <c:pt idx="87">
                  <c:v>1.2021472039641534E-9</c:v>
                </c:pt>
                <c:pt idx="88">
                  <c:v>1.2608040748813998E-9</c:v>
                </c:pt>
                <c:pt idx="89">
                  <c:v>1.2999621247753807E-9</c:v>
                </c:pt>
                <c:pt idx="90">
                  <c:v>1.316824459837787E-9</c:v>
                </c:pt>
                <c:pt idx="91">
                  <c:v>1.3097834713478238E-9</c:v>
                </c:pt>
                <c:pt idx="92">
                  <c:v>1.2785835582061135E-9</c:v>
                </c:pt>
                <c:pt idx="93">
                  <c:v>1.2244176853535655E-9</c:v>
                </c:pt>
                <c:pt idx="94">
                  <c:v>1.1499444614324918E-9</c:v>
                </c:pt>
                <c:pt idx="95">
                  <c:v>1.0592154163146141E-9</c:v>
                </c:pt>
                <c:pt idx="96">
                  <c:v>9.5750663808107877E-10</c:v>
                </c:pt>
                <c:pt idx="97">
                  <c:v>8.5105487475791223E-10</c:v>
                </c:pt>
                <c:pt idx="98">
                  <c:v>7.4670537456488849E-10</c:v>
                </c:pt>
                <c:pt idx="99">
                  <c:v>6.5148665741865769E-10</c:v>
                </c:pt>
                <c:pt idx="100">
                  <c:v>5.7213538121318563E-10</c:v>
                </c:pt>
                <c:pt idx="101">
                  <c:v>5.1460163666770117E-10</c:v>
                </c:pt>
                <c:pt idx="102">
                  <c:v>4.8357047529250012E-10</c:v>
                </c:pt>
                <c:pt idx="103">
                  <c:v>4.8203841777485532E-10</c:v>
                </c:pt>
                <c:pt idx="104">
                  <c:v>5.1098349404289835E-10</c:v>
                </c:pt>
                <c:pt idx="105">
                  <c:v>5.6916371708177417E-10</c:v>
                </c:pt>
                <c:pt idx="106">
                  <c:v>6.5307183207182251E-10</c:v>
                </c:pt>
                <c:pt idx="107">
                  <c:v>7.5706409307875248E-10</c:v>
                </c:pt>
                <c:pt idx="108">
                  <c:v>8.7366836140000172E-10</c:v>
                </c:pt>
                <c:pt idx="109">
                  <c:v>9.9406283123226168E-10</c:v>
                </c:pt>
                <c:pt idx="110">
                  <c:v>1.1087021074808477E-9</c:v>
                </c:pt>
                <c:pt idx="111">
                  <c:v>1.2080531371703616E-9</c:v>
                </c:pt>
                <c:pt idx="112">
                  <c:v>1.2833905974578569E-9</c:v>
                </c:pt>
                <c:pt idx="113">
                  <c:v>1.3275907546903812E-9</c:v>
                </c:pt>
                <c:pt idx="114">
                  <c:v>1.3358555825302726E-9</c:v>
                </c:pt>
                <c:pt idx="115">
                  <c:v>1.3062961964179839E-9</c:v>
                </c:pt>
                <c:pt idx="116">
                  <c:v>1.2403075918214538E-9</c:v>
                </c:pt>
                <c:pt idx="117">
                  <c:v>1.1426763186093452E-9</c:v>
                </c:pt>
                <c:pt idx="118">
                  <c:v>1.0213797694522526E-9</c:v>
                </c:pt>
                <c:pt idx="119">
                  <c:v>8.8706020362931997E-10</c:v>
                </c:pt>
                <c:pt idx="120">
                  <c:v>7.5218744652326381E-10</c:v>
                </c:pt>
                <c:pt idx="121">
                  <c:v>6.299591464946958E-10</c:v>
                </c:pt>
                <c:pt idx="122">
                  <c:v>5.3302301100410716E-10</c:v>
                </c:pt>
                <c:pt idx="123">
                  <c:v>4.7213709833421871E-10</c:v>
                </c:pt>
                <c:pt idx="124">
                  <c:v>4.5490708620519029E-10</c:v>
                </c:pt>
                <c:pt idx="125">
                  <c:v>4.8474891355940492E-10</c:v>
                </c:pt>
                <c:pt idx="126">
                  <c:v>5.602179251939351E-10</c:v>
                </c:pt>
                <c:pt idx="127">
                  <c:v>6.7482015723808223E-10</c:v>
                </c:pt>
                <c:pt idx="128">
                  <c:v>8.1737850757704416E-10</c:v>
                </c:pt>
                <c:pt idx="129">
                  <c:v>9.729694060642197E-10</c:v>
                </c:pt>
                <c:pt idx="130">
                  <c:v>1.1243794532146352E-9</c:v>
                </c:pt>
                <c:pt idx="131">
                  <c:v>1.2539630844018143E-9</c:v>
                </c:pt>
                <c:pt idx="132">
                  <c:v>1.345719331521726E-9</c:v>
                </c:pt>
                <c:pt idx="133">
                  <c:v>1.3873562742074134E-9</c:v>
                </c:pt>
                <c:pt idx="134">
                  <c:v>1.3720836758181861E-9</c:v>
                </c:pt>
                <c:pt idx="135">
                  <c:v>1.2998746319382144E-9</c:v>
                </c:pt>
                <c:pt idx="136">
                  <c:v>1.1779710654867597E-9</c:v>
                </c:pt>
                <c:pt idx="137">
                  <c:v>1.0204777877649996E-9</c:v>
                </c:pt>
                <c:pt idx="138">
                  <c:v>8.4699326969530055E-10</c:v>
                </c:pt>
                <c:pt idx="139">
                  <c:v>6.8035404175151104E-10</c:v>
                </c:pt>
                <c:pt idx="140">
                  <c:v>5.4370916816781014E-10</c:v>
                </c:pt>
                <c:pt idx="141">
                  <c:v>4.5727130742793023E-10</c:v>
                </c:pt>
                <c:pt idx="142">
                  <c:v>4.3518811519878345E-10</c:v>
                </c:pt>
                <c:pt idx="143">
                  <c:v>4.8301967074476905E-10</c:v>
                </c:pt>
                <c:pt idx="144">
                  <c:v>5.9627735011827371E-10</c:v>
                </c:pt>
                <c:pt idx="145">
                  <c:v>7.6037033127706166E-10</c:v>
                </c:pt>
                <c:pt idx="146">
                  <c:v>9.5212390851238294E-10</c:v>
                </c:pt>
                <c:pt idx="147">
                  <c:v>1.1427988676503996E-9</c:v>
                </c:pt>
                <c:pt idx="148">
                  <c:v>1.302285072361555E-9</c:v>
                </c:pt>
                <c:pt idx="149">
                  <c:v>1.4040904322814265E-9</c:v>
                </c:pt>
                <c:pt idx="150">
                  <c:v>1.4293513317423434E-9</c:v>
                </c:pt>
                <c:pt idx="151">
                  <c:v>1.3714005488231441E-9</c:v>
                </c:pt>
                <c:pt idx="152">
                  <c:v>1.2373531808329855E-9</c:v>
                </c:pt>
                <c:pt idx="153">
                  <c:v>1.0479612864181036E-9</c:v>
                </c:pt>
                <c:pt idx="154">
                  <c:v>8.3490777295828868E-10</c:v>
                </c:pt>
                <c:pt idx="155">
                  <c:v>6.3583926298940102E-10</c:v>
                </c:pt>
                <c:pt idx="156">
                  <c:v>4.8781680648742233E-10</c:v>
                </c:pt>
                <c:pt idx="157">
                  <c:v>4.2026660341507372E-10</c:v>
                </c:pt>
                <c:pt idx="158">
                  <c:v>4.4876022180023531E-10</c:v>
                </c:pt>
                <c:pt idx="159">
                  <c:v>5.7096367240246221E-10</c:v>
                </c:pt>
                <c:pt idx="160">
                  <c:v>7.6582336168338412E-10</c:v>
                </c:pt>
                <c:pt idx="161">
                  <c:v>9.9651646911439767E-10</c:v>
                </c:pt>
                <c:pt idx="162">
                  <c:v>1.2169589844754815E-9</c:v>
                </c:pt>
                <c:pt idx="163">
                  <c:v>1.3808683258563605E-9</c:v>
                </c:pt>
                <c:pt idx="164">
                  <c:v>1.4516870393738454E-9</c:v>
                </c:pt>
                <c:pt idx="165">
                  <c:v>1.4112624718223018E-9</c:v>
                </c:pt>
                <c:pt idx="166">
                  <c:v>1.2651851817756028E-9</c:v>
                </c:pt>
                <c:pt idx="167">
                  <c:v>1.0431866114838191E-9</c:v>
                </c:pt>
                <c:pt idx="168">
                  <c:v>7.9395212423091744E-10</c:v>
                </c:pt>
                <c:pt idx="169">
                  <c:v>5.7496736794043608E-10</c:v>
                </c:pt>
                <c:pt idx="170">
                  <c:v>4.3932189409738E-10</c:v>
                </c:pt>
                <c:pt idx="171">
                  <c:v>4.2241418389120463E-10</c:v>
                </c:pt>
                <c:pt idx="172">
                  <c:v>5.3191529034514945E-10</c:v>
                </c:pt>
                <c:pt idx="173">
                  <c:v>7.4393592093035841E-10</c:v>
                </c:pt>
                <c:pt idx="174">
                  <c:v>1.0070753067630545E-9</c:v>
                </c:pt>
                <c:pt idx="175">
                  <c:v>1.254117899042228E-9</c:v>
                </c:pt>
                <c:pt idx="176">
                  <c:v>1.4190161276321037E-9</c:v>
                </c:pt>
                <c:pt idx="177">
                  <c:v>1.4550232589599869E-9</c:v>
                </c:pt>
                <c:pt idx="178">
                  <c:v>1.3489888531903378E-9</c:v>
                </c:pt>
                <c:pt idx="179">
                  <c:v>1.127303428441459E-9</c:v>
                </c:pt>
                <c:pt idx="180">
                  <c:v>8.5086199057873709E-10</c:v>
                </c:pt>
                <c:pt idx="181">
                  <c:v>5.9937687582915622E-10</c:v>
                </c:pt>
                <c:pt idx="182">
                  <c:v>4.4867369070501825E-10</c:v>
                </c:pt>
                <c:pt idx="183">
                  <c:v>4.4725739928477328E-10</c:v>
                </c:pt>
                <c:pt idx="184">
                  <c:v>5.9946363004458127E-10</c:v>
                </c:pt>
                <c:pt idx="185">
                  <c:v>8.6129551759311629E-10</c:v>
                </c:pt>
                <c:pt idx="186">
                  <c:v>1.1516226832797874E-9</c:v>
                </c:pt>
                <c:pt idx="187">
                  <c:v>1.3765943023419624E-9</c:v>
                </c:pt>
                <c:pt idx="188">
                  <c:v>1.460341152766856E-9</c:v>
                </c:pt>
                <c:pt idx="189">
                  <c:v>1.3720063490536824E-9</c:v>
                </c:pt>
                <c:pt idx="190">
                  <c:v>1.1392244905289281E-9</c:v>
                </c:pt>
                <c:pt idx="191">
                  <c:v>8.4184607428676386E-10</c:v>
                </c:pt>
                <c:pt idx="192">
                  <c:v>5.8620283655181059E-10</c:v>
                </c:pt>
                <c:pt idx="193">
                  <c:v>4.6752904903789449E-10</c:v>
                </c:pt>
                <c:pt idx="194">
                  <c:v>5.3359312844456368E-10</c:v>
                </c:pt>
                <c:pt idx="195">
                  <c:v>7.6369483819695836E-10</c:v>
                </c:pt>
                <c:pt idx="196">
                  <c:v>1.07298522425572E-9</c:v>
                </c:pt>
                <c:pt idx="197">
                  <c:v>1.341932035828015E-9</c:v>
                </c:pt>
                <c:pt idx="198">
                  <c:v>1.4630900867149481E-9</c:v>
                </c:pt>
                <c:pt idx="199">
                  <c:v>1.3859470355601393E-9</c:v>
                </c:pt>
                <c:pt idx="200">
                  <c:v>1.1411561617661759E-9</c:v>
                </c:pt>
                <c:pt idx="201">
                  <c:v>8.3186514988887237E-10</c:v>
                </c:pt>
                <c:pt idx="202">
                  <c:v>5.9276118666169349E-10</c:v>
                </c:pt>
                <c:pt idx="203">
                  <c:v>5.320924408223297E-10</c:v>
                </c:pt>
                <c:pt idx="204">
                  <c:v>6.8145439033015888E-10</c:v>
                </c:pt>
                <c:pt idx="205">
                  <c:v>9.7732112468562012E-10</c:v>
                </c:pt>
                <c:pt idx="206">
                  <c:v>1.2859409494501893E-9</c:v>
                </c:pt>
                <c:pt idx="207">
                  <c:v>1.463570900020767E-9</c:v>
                </c:pt>
                <c:pt idx="208">
                  <c:v>1.4257621578076831E-9</c:v>
                </c:pt>
                <c:pt idx="209">
                  <c:v>1.1919897785727999E-9</c:v>
                </c:pt>
                <c:pt idx="210">
                  <c:v>8.8081148977883114E-10</c:v>
                </c:pt>
                <c:pt idx="211">
                  <c:v>6.5373020635866562E-10</c:v>
                </c:pt>
                <c:pt idx="212">
                  <c:v>6.3284673019657425E-10</c:v>
                </c:pt>
                <c:pt idx="213">
                  <c:v>8.3415966450287624E-10</c:v>
                </c:pt>
                <c:pt idx="214">
                  <c:v>1.1542076164038398E-9</c:v>
                </c:pt>
                <c:pt idx="215">
                  <c:v>1.4219320513063098E-9</c:v>
                </c:pt>
                <c:pt idx="216">
                  <c:v>1.4918366321923235E-9</c:v>
                </c:pt>
                <c:pt idx="217">
                  <c:v>1.3282048569511411E-9</c:v>
                </c:pt>
                <c:pt idx="218">
                  <c:v>1.0303176129110631E-9</c:v>
                </c:pt>
                <c:pt idx="219">
                  <c:v>7.7894320906651989E-10</c:v>
                </c:pt>
                <c:pt idx="220">
                  <c:v>7.3042205187843006E-10</c:v>
                </c:pt>
                <c:pt idx="221">
                  <c:v>9.1976258669763267E-10</c:v>
                </c:pt>
                <c:pt idx="222">
                  <c:v>1.2343955642977363E-9</c:v>
                </c:pt>
                <c:pt idx="223">
                  <c:v>1.4806702031972035E-9</c:v>
                </c:pt>
                <c:pt idx="224">
                  <c:v>1.5065590187771998E-9</c:v>
                </c:pt>
                <c:pt idx="225">
                  <c:v>1.3032233934860234E-9</c:v>
                </c:pt>
                <c:pt idx="226">
                  <c:v>1.0153735528923841E-9</c:v>
                </c:pt>
                <c:pt idx="227">
                  <c:v>8.4698576283917371E-10</c:v>
                </c:pt>
                <c:pt idx="228">
                  <c:v>9.2120663318616577E-10</c:v>
                </c:pt>
                <c:pt idx="229">
                  <c:v>1.191094317177938E-9</c:v>
                </c:pt>
                <c:pt idx="230">
                  <c:v>1.4691184643869E-9</c:v>
                </c:pt>
                <c:pt idx="231">
                  <c:v>1.5611812233517764E-9</c:v>
                </c:pt>
                <c:pt idx="232">
                  <c:v>1.4111142044410463E-9</c:v>
                </c:pt>
                <c:pt idx="233">
                  <c:v>1.1460690956642314E-9</c:v>
                </c:pt>
                <c:pt idx="234">
                  <c:v>9.8183925361683044E-10</c:v>
                </c:pt>
                <c:pt idx="235">
                  <c:v>1.0549929135774745E-9</c:v>
                </c:pt>
                <c:pt idx="236">
                  <c:v>1.3126541043903981E-9</c:v>
                </c:pt>
                <c:pt idx="237">
                  <c:v>1.5529748928437898E-9</c:v>
                </c:pt>
                <c:pt idx="238">
                  <c:v>1.5902283482150179E-9</c:v>
                </c:pt>
                <c:pt idx="239">
                  <c:v>1.410991995279988E-9</c:v>
                </c:pt>
                <c:pt idx="240">
                  <c:v>1.186784685390715E-9</c:v>
                </c:pt>
                <c:pt idx="241">
                  <c:v>1.1258610648848471E-9</c:v>
                </c:pt>
                <c:pt idx="242">
                  <c:v>1.289259264312618E-9</c:v>
                </c:pt>
                <c:pt idx="243">
                  <c:v>1.5359671934960757E-9</c:v>
                </c:pt>
                <c:pt idx="244">
                  <c:v>1.6522721981231776E-9</c:v>
                </c:pt>
                <c:pt idx="245">
                  <c:v>1.5506303674017126E-9</c:v>
                </c:pt>
                <c:pt idx="246">
                  <c:v>1.3513242619175589E-9</c:v>
                </c:pt>
                <c:pt idx="247">
                  <c:v>1.2647926372796508E-9</c:v>
                </c:pt>
                <c:pt idx="248">
                  <c:v>1.3851026098879108E-9</c:v>
                </c:pt>
                <c:pt idx="249">
                  <c:v>1.5985993895235843E-9</c:v>
                </c:pt>
                <c:pt idx="250">
                  <c:v>1.7025063695550954E-9</c:v>
                </c:pt>
                <c:pt idx="251">
                  <c:v>1.6145694428105156E-9</c:v>
                </c:pt>
                <c:pt idx="252">
                  <c:v>1.4554302931429051E-9</c:v>
                </c:pt>
                <c:pt idx="253">
                  <c:v>1.4150541912777739E-9</c:v>
                </c:pt>
                <c:pt idx="254">
                  <c:v>1.5464563293458162E-9</c:v>
                </c:pt>
                <c:pt idx="255">
                  <c:v>1.7130079193442818E-9</c:v>
                </c:pt>
                <c:pt idx="256">
                  <c:v>1.7475794354747917E-9</c:v>
                </c:pt>
                <c:pt idx="257">
                  <c:v>1.6418381208980608E-9</c:v>
                </c:pt>
                <c:pt idx="258">
                  <c:v>1.5477918099583637E-9</c:v>
                </c:pt>
                <c:pt idx="259">
                  <c:v>1.5928433205302318E-9</c:v>
                </c:pt>
                <c:pt idx="260">
                  <c:v>1.7313715430173378E-9</c:v>
                </c:pt>
                <c:pt idx="261">
                  <c:v>1.8103424234662278E-9</c:v>
                </c:pt>
                <c:pt idx="262">
                  <c:v>1.7621488694121148E-9</c:v>
                </c:pt>
                <c:pt idx="263">
                  <c:v>1.681204954678619E-9</c:v>
                </c:pt>
                <c:pt idx="264">
                  <c:v>1.6930760539060408E-9</c:v>
                </c:pt>
                <c:pt idx="265">
                  <c:v>1.7930465004009442E-9</c:v>
                </c:pt>
                <c:pt idx="266">
                  <c:v>1.8644078141093586E-9</c:v>
                </c:pt>
                <c:pt idx="267">
                  <c:v>1.8413014548281375E-9</c:v>
                </c:pt>
                <c:pt idx="268">
                  <c:v>1.7898070643517312E-9</c:v>
                </c:pt>
                <c:pt idx="269">
                  <c:v>1.8044828342756912E-9</c:v>
                </c:pt>
                <c:pt idx="270">
                  <c:v>1.8771807971146035E-9</c:v>
                </c:pt>
                <c:pt idx="271">
                  <c:v>1.9218945729536429E-9</c:v>
                </c:pt>
                <c:pt idx="272">
                  <c:v>1.9047452128541627E-9</c:v>
                </c:pt>
                <c:pt idx="273">
                  <c:v>1.8832456813146111E-9</c:v>
                </c:pt>
                <c:pt idx="274">
                  <c:v>1.9099229037320256E-9</c:v>
                </c:pt>
                <c:pt idx="275">
                  <c:v>1.9582310892587062E-9</c:v>
                </c:pt>
                <c:pt idx="276">
                  <c:v>1.9758258980932264E-9</c:v>
                </c:pt>
                <c:pt idx="277">
                  <c:v>1.965809130267525E-9</c:v>
                </c:pt>
                <c:pt idx="278">
                  <c:v>1.9698206590790648E-9</c:v>
                </c:pt>
                <c:pt idx="279">
                  <c:v>1.9974478737560164E-9</c:v>
                </c:pt>
                <c:pt idx="280">
                  <c:v>2.0203344363982618E-9</c:v>
                </c:pt>
                <c:pt idx="281">
                  <c:v>2.0249113178130249E-9</c:v>
                </c:pt>
                <c:pt idx="282">
                  <c:v>2.0278856459411893E-9</c:v>
                </c:pt>
                <c:pt idx="283">
                  <c:v>2.0411504222310165E-9</c:v>
                </c:pt>
                <c:pt idx="284">
                  <c:v>2.0559886150949961E-9</c:v>
                </c:pt>
                <c:pt idx="285">
                  <c:v>2.0642529882003359E-9</c:v>
                </c:pt>
                <c:pt idx="286">
                  <c:v>2.0697244289643623E-9</c:v>
                </c:pt>
                <c:pt idx="287">
                  <c:v>2.0765438495908222E-9</c:v>
                </c:pt>
                <c:pt idx="288">
                  <c:v>2.0832776618613299E-9</c:v>
                </c:pt>
                <c:pt idx="289">
                  <c:v>2.0883411822367069E-9</c:v>
                </c:pt>
                <c:pt idx="290">
                  <c:v>2.0921196926459308E-9</c:v>
                </c:pt>
                <c:pt idx="291">
                  <c:v>2.0951906771063326E-9</c:v>
                </c:pt>
                <c:pt idx="292">
                  <c:v>2.096793967124756E-9</c:v>
                </c:pt>
                <c:pt idx="293">
                  <c:v>2.0953228050890131E-9</c:v>
                </c:pt>
                <c:pt idx="294">
                  <c:v>2.0931820817821906E-9</c:v>
                </c:pt>
                <c:pt idx="295">
                  <c:v>2.0940622821416781E-9</c:v>
                </c:pt>
                <c:pt idx="296">
                  <c:v>2.0914337256817069E-9</c:v>
                </c:pt>
                <c:pt idx="297">
                  <c:v>2.0794848820256414E-9</c:v>
                </c:pt>
                <c:pt idx="298">
                  <c:v>2.0717099527077125E-9</c:v>
                </c:pt>
                <c:pt idx="299">
                  <c:v>2.0731552311939036E-9</c:v>
                </c:pt>
                <c:pt idx="300">
                  <c:v>2.0606266837898457E-9</c:v>
                </c:pt>
                <c:pt idx="301">
                  <c:v>2.0359560206130803E-9</c:v>
                </c:pt>
                <c:pt idx="302">
                  <c:v>2.0314321857229819E-9</c:v>
                </c:pt>
                <c:pt idx="303">
                  <c:v>2.0292102249572971E-9</c:v>
                </c:pt>
                <c:pt idx="304">
                  <c:v>1.9951798354700647E-9</c:v>
                </c:pt>
                <c:pt idx="305">
                  <c:v>1.9708637662661617E-9</c:v>
                </c:pt>
                <c:pt idx="306">
                  <c:v>1.975726252509966E-9</c:v>
                </c:pt>
                <c:pt idx="307">
                  <c:v>1.9473288400998394E-9</c:v>
                </c:pt>
                <c:pt idx="308">
                  <c:v>1.9058946697465314E-9</c:v>
                </c:pt>
                <c:pt idx="309">
                  <c:v>1.925452903219281E-9</c:v>
                </c:pt>
                <c:pt idx="310">
                  <c:v>1.7922942866109295E-9</c:v>
                </c:pt>
                <c:pt idx="311">
                  <c:v>1.7947328034638227E-9</c:v>
                </c:pt>
                <c:pt idx="312">
                  <c:v>1.7286464557152551E-9</c:v>
                </c:pt>
                <c:pt idx="313">
                  <c:v>1.6870678851974586E-9</c:v>
                </c:pt>
                <c:pt idx="314">
                  <c:v>1.6396712743911369E-9</c:v>
                </c:pt>
                <c:pt idx="315">
                  <c:v>1.5690489266368189E-9</c:v>
                </c:pt>
                <c:pt idx="316">
                  <c:v>1.5670516821247258E-9</c:v>
                </c:pt>
                <c:pt idx="317">
                  <c:v>1.5690489266368194E-9</c:v>
                </c:pt>
                <c:pt idx="318">
                  <c:v>1.5670516821247256E-9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1050</c:v>
                </c:pt>
                <c:pt idx="1">
                  <c:v>1054</c:v>
                </c:pt>
                <c:pt idx="2">
                  <c:v>1058</c:v>
                </c:pt>
                <c:pt idx="3">
                  <c:v>1062</c:v>
                </c:pt>
                <c:pt idx="4">
                  <c:v>1066</c:v>
                </c:pt>
                <c:pt idx="5">
                  <c:v>1070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2.1718697420704154</c:v>
                </c:pt>
                <c:pt idx="1">
                  <c:v>1.5534811478157473</c:v>
                </c:pt>
                <c:pt idx="2">
                  <c:v>1.2638593545439505</c:v>
                </c:pt>
                <c:pt idx="3">
                  <c:v>1.3010168445607468</c:v>
                </c:pt>
                <c:pt idx="4">
                  <c:v>1.6524236041739222</c:v>
                </c:pt>
                <c:pt idx="5">
                  <c:v>2.2971488969102003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50</c:v>
                </c:pt>
                <c:pt idx="1">
                  <c:v>58</c:v>
                </c:pt>
                <c:pt idx="2">
                  <c:v>66</c:v>
                </c:pt>
                <c:pt idx="3">
                  <c:v>74</c:v>
                </c:pt>
                <c:pt idx="4">
                  <c:v>82</c:v>
                </c:pt>
                <c:pt idx="5">
                  <c:v>90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1.6572462432943431</c:v>
                </c:pt>
                <c:pt idx="1">
                  <c:v>1.3772309907210563</c:v>
                </c:pt>
                <c:pt idx="2">
                  <c:v>1.2520356019921492</c:v>
                </c:pt>
                <c:pt idx="3">
                  <c:v>1.256496579117965</c:v>
                </c:pt>
                <c:pt idx="4">
                  <c:v>1.3552725022805274</c:v>
                </c:pt>
                <c:pt idx="5">
                  <c:v>1.5113189898332131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0.08</c:v>
                </c:pt>
                <c:pt idx="1">
                  <c:v>0.10400000000000001</c:v>
                </c:pt>
                <c:pt idx="2">
                  <c:v>0.128</c:v>
                </c:pt>
                <c:pt idx="3">
                  <c:v>0.152</c:v>
                </c:pt>
                <c:pt idx="4">
                  <c:v>0.17599999999999999</c:v>
                </c:pt>
                <c:pt idx="5">
                  <c:v>0.2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2.1705366744914891</c:v>
                </c:pt>
                <c:pt idx="1">
                  <c:v>1.5144085494851318</c:v>
                </c:pt>
                <c:pt idx="2">
                  <c:v>1.2462565235910963</c:v>
                </c:pt>
                <c:pt idx="3">
                  <c:v>1.4221764157973504</c:v>
                </c:pt>
                <c:pt idx="4">
                  <c:v>2.1012141531554089</c:v>
                </c:pt>
                <c:pt idx="5">
                  <c:v>3.3454022223371473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2.9592299036728709</c:v>
                </c:pt>
                <c:pt idx="1">
                  <c:v>2.1969434035775919</c:v>
                </c:pt>
                <c:pt idx="2">
                  <c:v>1.643263841913583</c:v>
                </c:pt>
                <c:pt idx="3">
                  <c:v>1.3211378388478303</c:v>
                </c:pt>
                <c:pt idx="4">
                  <c:v>1.2503260576072386</c:v>
                </c:pt>
                <c:pt idx="5">
                  <c:v>1.4347103010081568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5</c:v>
                </c:pt>
                <c:pt idx="1">
                  <c:v>9</c:v>
                </c:pt>
                <c:pt idx="2">
                  <c:v>13</c:v>
                </c:pt>
                <c:pt idx="3">
                  <c:v>17</c:v>
                </c:pt>
                <c:pt idx="4">
                  <c:v>21</c:v>
                </c:pt>
                <c:pt idx="5">
                  <c:v>25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1.8276379872816026</c:v>
                </c:pt>
                <c:pt idx="1">
                  <c:v>1.540640729374428</c:v>
                </c:pt>
                <c:pt idx="2">
                  <c:v>1.3108541875069801</c:v>
                </c:pt>
                <c:pt idx="3">
                  <c:v>1.2701258182775994</c:v>
                </c:pt>
                <c:pt idx="4">
                  <c:v>1.4836641185439461</c:v>
                </c:pt>
                <c:pt idx="5">
                  <c:v>1.9615260403038011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1.5576420751875759</c:v>
                </c:pt>
                <c:pt idx="1">
                  <c:v>1.3758089277929599</c:v>
                </c:pt>
                <c:pt idx="2">
                  <c:v>1.2828619332262687</c:v>
                </c:pt>
                <c:pt idx="3">
                  <c:v>1.3125138900626008</c:v>
                </c:pt>
                <c:pt idx="4">
                  <c:v>1.3969477074424834</c:v>
                </c:pt>
                <c:pt idx="5">
                  <c:v>1.4987068900712817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3.1235461792221915</c:v>
                </c:pt>
                <c:pt idx="1">
                  <c:v>2.2571908639081348</c:v>
                </c:pt>
                <c:pt idx="2">
                  <c:v>1.9253454788307496</c:v>
                </c:pt>
                <c:pt idx="3">
                  <c:v>1.3920282607230097</c:v>
                </c:pt>
                <c:pt idx="4">
                  <c:v>1.2451165802415642</c:v>
                </c:pt>
                <c:pt idx="5">
                  <c:v>1.4555951015267345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2.04E-6</c:v>
                </c:pt>
                <c:pt idx="2">
                  <c:v>2.08E-6</c:v>
                </c:pt>
                <c:pt idx="3">
                  <c:v>2.12E-6</c:v>
                </c:pt>
                <c:pt idx="4">
                  <c:v>2.1600000000000001E-6</c:v>
                </c:pt>
                <c:pt idx="5">
                  <c:v>2.2000000000000001E-6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1.8464299464704554</c:v>
                </c:pt>
                <c:pt idx="1">
                  <c:v>1.4590651796112712</c:v>
                </c:pt>
                <c:pt idx="2">
                  <c:v>1.2743289648870297</c:v>
                </c:pt>
                <c:pt idx="3">
                  <c:v>1.3126629384634598</c:v>
                </c:pt>
                <c:pt idx="4">
                  <c:v>1.5952734978855205</c:v>
                </c:pt>
                <c:pt idx="5">
                  <c:v>2.1441385537357243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1.7999999999999999E-6</c:v>
                </c:pt>
                <c:pt idx="1">
                  <c:v>1.812E-6</c:v>
                </c:pt>
                <c:pt idx="2">
                  <c:v>1.824E-6</c:v>
                </c:pt>
                <c:pt idx="3">
                  <c:v>1.8359999999999999E-6</c:v>
                </c:pt>
                <c:pt idx="4">
                  <c:v>1.8479999999999999E-6</c:v>
                </c:pt>
                <c:pt idx="5">
                  <c:v>1.86E-6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1.3280966628304371</c:v>
                </c:pt>
                <c:pt idx="1">
                  <c:v>1.2648901569202227</c:v>
                </c:pt>
                <c:pt idx="2">
                  <c:v>1.2486853099075312</c:v>
                </c:pt>
                <c:pt idx="3">
                  <c:v>1.279560098824204</c:v>
                </c:pt>
                <c:pt idx="4">
                  <c:v>1.3570689771902311</c:v>
                </c:pt>
                <c:pt idx="5">
                  <c:v>1.4800495225736121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498877</xdr:colOff>
      <xdr:row>23</xdr:row>
      <xdr:rowOff>151903</xdr:rowOff>
    </xdr:from>
    <xdr:to>
      <xdr:col>21</xdr:col>
      <xdr:colOff>264522</xdr:colOff>
      <xdr:row>43</xdr:row>
      <xdr:rowOff>97581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ADF9954B-F182-4424-A60A-D146093E19E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G50" sqref="G50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SUM(Y3:Y321)/318</f>
        <v>1.2481098449777941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8.3469176538099998E-3</v>
      </c>
      <c r="J3" s="109">
        <v>4.2434103893255192E-9</v>
      </c>
      <c r="K3" s="109">
        <v>6.9104302230921348E-10</v>
      </c>
      <c r="L3" s="152">
        <v>4.8144410888240985E-9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4.8142443583446016E-9</v>
      </c>
      <c r="V3" s="127">
        <v>4.8144410888240985E-9</v>
      </c>
      <c r="W3" s="128">
        <v>4.814641970826983E-9</v>
      </c>
      <c r="X3" s="128">
        <f t="shared" ref="X3:X66" si="0">(U3+2*V3+W3)/4</f>
        <v>4.814442126704945E-9</v>
      </c>
      <c r="Y3" s="139">
        <f t="shared" ref="Y3:Y66" si="1">(J3-X3)*(J3-X3)/(K3*K3)</f>
        <v>0.68282642688403528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2.0867882459676078E-6</v>
      </c>
      <c r="D4" s="19">
        <v>9.9999999999999994E-12</v>
      </c>
      <c r="E4" s="19">
        <v>5.0000000000000001E-9</v>
      </c>
      <c r="F4" s="149">
        <f>H4*H8</f>
        <v>71.64577556567211</v>
      </c>
      <c r="G4" s="107">
        <v>14.738297870244629</v>
      </c>
      <c r="H4" s="107">
        <v>71.64577556567211</v>
      </c>
      <c r="I4" s="109">
        <v>8.4303868303500003E-3</v>
      </c>
      <c r="J4" s="109">
        <v>4.4551950662124697E-9</v>
      </c>
      <c r="K4" s="109">
        <v>5.167098798170734E-10</v>
      </c>
      <c r="L4" s="152">
        <v>5.0078384577348326E-9</v>
      </c>
      <c r="M4" s="27"/>
      <c r="N4" s="18">
        <v>8.1636531372494317E-9</v>
      </c>
      <c r="O4" s="18">
        <v>3.9120658998460512E-14</v>
      </c>
      <c r="P4" s="18">
        <v>1.9560329499230255E-11</v>
      </c>
      <c r="Q4" s="28">
        <v>5.0731626208060208</v>
      </c>
      <c r="R4" s="60">
        <v>100</v>
      </c>
      <c r="S4" s="57">
        <v>0</v>
      </c>
      <c r="U4" s="127">
        <v>5.0076405706126258E-9</v>
      </c>
      <c r="V4" s="127">
        <v>5.0078384577348326E-9</v>
      </c>
      <c r="W4" s="128">
        <v>5.0080415880832102E-9</v>
      </c>
      <c r="X4" s="128">
        <f t="shared" si="0"/>
        <v>5.0078397685413753E-9</v>
      </c>
      <c r="Y4" s="139">
        <f t="shared" si="1"/>
        <v>1.1439274754135669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1.8321512976474189E-6</v>
      </c>
      <c r="D5" s="101">
        <v>1.5392483148537927E-10</v>
      </c>
      <c r="E5" s="101">
        <v>5.0509225500401457E-8</v>
      </c>
      <c r="F5" s="149">
        <f>(H10-H4)*H8</f>
        <v>988.00812899345544</v>
      </c>
      <c r="G5" s="107">
        <f>F4</f>
        <v>71.64577556567211</v>
      </c>
      <c r="H5" s="111" t="s">
        <v>599</v>
      </c>
      <c r="I5" s="109">
        <v>8.5146906986500008E-3</v>
      </c>
      <c r="J5" s="109">
        <v>5.349965128663281E-9</v>
      </c>
      <c r="K5" s="109">
        <v>4.6537912240524876E-10</v>
      </c>
      <c r="L5" s="152">
        <v>5.2087527730154199E-9</v>
      </c>
      <c r="M5" s="27"/>
      <c r="N5" s="18">
        <v>6.7246371957513057E-8</v>
      </c>
      <c r="O5" s="18">
        <v>3.2224818252381934E-13</v>
      </c>
      <c r="P5" s="18">
        <v>1.6112409126190968E-10</v>
      </c>
      <c r="Q5" s="28">
        <v>3.7776877184904367</v>
      </c>
      <c r="R5" s="60">
        <v>100</v>
      </c>
      <c r="S5" s="57">
        <v>8.1636531372494317E-9</v>
      </c>
      <c r="U5" s="127">
        <v>5.2085571303862366E-9</v>
      </c>
      <c r="V5" s="127">
        <v>5.2087527730154199E-9</v>
      </c>
      <c r="W5" s="128">
        <v>5.2089549992952614E-9</v>
      </c>
      <c r="X5" s="128">
        <f t="shared" si="0"/>
        <v>5.2087544189280844E-9</v>
      </c>
      <c r="Y5" s="139">
        <f t="shared" si="1"/>
        <v>9.2070707212543013E-2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8.4383076650543174E-7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8.5998376056400008E-3</v>
      </c>
      <c r="J6" s="109">
        <v>5.852129377088346E-9</v>
      </c>
      <c r="K6" s="109">
        <v>4.4210853691624958E-10</v>
      </c>
      <c r="L6" s="152">
        <v>5.4174125489400208E-9</v>
      </c>
      <c r="M6" s="27"/>
      <c r="N6" s="18">
        <v>1.5271839638361962E-7</v>
      </c>
      <c r="O6" s="18">
        <v>7.318346587332186E-13</v>
      </c>
      <c r="P6" s="18">
        <v>3.6591732936660931E-10</v>
      </c>
      <c r="Q6" s="28">
        <v>2.1022035662707297</v>
      </c>
      <c r="R6" s="60">
        <v>105.07316262080602</v>
      </c>
      <c r="S6" s="57">
        <v>8.1636531372494317E-9</v>
      </c>
      <c r="U6" s="127">
        <v>5.4172241191493512E-9</v>
      </c>
      <c r="V6" s="127">
        <v>5.4174125489400208E-9</v>
      </c>
      <c r="W6" s="128">
        <v>5.4176092101119666E-9</v>
      </c>
      <c r="X6" s="128">
        <f t="shared" si="0"/>
        <v>5.4174146067853398E-9</v>
      </c>
      <c r="Y6" s="139">
        <f t="shared" si="1"/>
        <v>0.96683194375344994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23.313779615057957</v>
      </c>
      <c r="G7" s="102">
        <v>5</v>
      </c>
      <c r="H7" s="134" t="s">
        <v>600</v>
      </c>
      <c r="I7" s="109">
        <v>8.6858359817000002E-3</v>
      </c>
      <c r="J7" s="109">
        <v>5.7449379398545549E-9</v>
      </c>
      <c r="K7" s="109">
        <v>4.2610221787905444E-10</v>
      </c>
      <c r="L7" s="152">
        <v>5.6340384941767147E-9</v>
      </c>
      <c r="M7" s="27"/>
      <c r="N7" s="18">
        <v>2.4943446360627497E-7</v>
      </c>
      <c r="O7" s="18">
        <v>1.1953031846344163E-12</v>
      </c>
      <c r="P7" s="18">
        <v>5.9765159231720819E-10</v>
      </c>
      <c r="Q7" s="28">
        <v>1.5402190683963637</v>
      </c>
      <c r="R7" s="60">
        <v>105.07316262080602</v>
      </c>
      <c r="S7" s="57">
        <v>6.7246371957513057E-8</v>
      </c>
      <c r="U7" s="127">
        <v>5.6338645046966769E-9</v>
      </c>
      <c r="V7" s="127">
        <v>5.6340384941767147E-9</v>
      </c>
      <c r="W7" s="128">
        <v>5.6342227378771967E-9</v>
      </c>
      <c r="X7" s="128">
        <f t="shared" si="0"/>
        <v>5.634041057731826E-9</v>
      </c>
      <c r="Y7" s="139">
        <f t="shared" si="1"/>
        <v>6.7734679893797264E-2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2.0973386766925862E-6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8.7726943415100001E-3</v>
      </c>
      <c r="J8" s="109">
        <v>6.4141308105647284E-9</v>
      </c>
      <c r="K8" s="109">
        <v>4.4325655103460051E-10</v>
      </c>
      <c r="L8" s="152">
        <v>5.8588319525534601E-9</v>
      </c>
      <c r="M8" s="27"/>
      <c r="N8" s="18">
        <v>3.5150378305590423E-7</v>
      </c>
      <c r="O8" s="18">
        <v>1.6844247792517059E-12</v>
      </c>
      <c r="P8" s="18">
        <v>8.422123896258529E-10</v>
      </c>
      <c r="Q8" s="28">
        <v>1.2534091924536706</v>
      </c>
      <c r="R8" s="60">
        <v>108.85085033929646</v>
      </c>
      <c r="S8" s="57">
        <v>6.7246371957513057E-8</v>
      </c>
      <c r="U8" s="127">
        <v>5.8586829541924967E-9</v>
      </c>
      <c r="V8" s="127">
        <v>5.8588319525534601E-9</v>
      </c>
      <c r="W8" s="128">
        <v>5.8589936801720136E-9</v>
      </c>
      <c r="X8" s="128">
        <f t="shared" si="0"/>
        <v>5.8588351348678574E-9</v>
      </c>
      <c r="Y8" s="139">
        <f t="shared" si="1"/>
        <v>1.5694166550032178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8.86042128493E-3</v>
      </c>
      <c r="J9" s="109">
        <v>6.4632068622358214E-9</v>
      </c>
      <c r="K9" s="109">
        <v>4.3482873086725727E-10</v>
      </c>
      <c r="L9" s="152">
        <v>6.0919595704986593E-9</v>
      </c>
      <c r="M9" s="27"/>
      <c r="N9" s="18">
        <v>4.5622959756945223E-7</v>
      </c>
      <c r="O9" s="18">
        <v>2.1862764391693533E-12</v>
      </c>
      <c r="P9" s="18">
        <v>1.0931382195846767E-9</v>
      </c>
      <c r="Q9" s="28">
        <v>1.0823257964075379</v>
      </c>
      <c r="R9" s="60">
        <v>108.85085033929646</v>
      </c>
      <c r="S9" s="57">
        <v>1.5271839638361962E-7</v>
      </c>
      <c r="U9" s="127">
        <v>6.091851110480709E-9</v>
      </c>
      <c r="V9" s="127">
        <v>6.0919595704986593E-9</v>
      </c>
      <c r="W9" s="128">
        <v>6.0920837684808389E-9</v>
      </c>
      <c r="X9" s="128">
        <f t="shared" si="0"/>
        <v>6.0919635049897164E-9</v>
      </c>
      <c r="Y9" s="139">
        <f t="shared" si="1"/>
        <v>0.72892176658881924</v>
      </c>
      <c r="AA9" s="73"/>
      <c r="AB9" s="176"/>
      <c r="AC9" s="176"/>
      <c r="AD9" s="176"/>
      <c r="AJ9" s="135"/>
    </row>
    <row r="10" spans="1:36" x14ac:dyDescent="0.35">
      <c r="A10" s="69">
        <v>3.5676303434684926</v>
      </c>
      <c r="B10" s="100"/>
      <c r="C10" s="101"/>
      <c r="D10" s="101"/>
      <c r="E10" s="101"/>
      <c r="F10" s="102"/>
      <c r="G10" s="102"/>
      <c r="H10" s="107">
        <v>1059.6539045591276</v>
      </c>
      <c r="I10" s="109">
        <v>8.9490254977800006E-3</v>
      </c>
      <c r="J10" s="109">
        <v>6.7116816460647919E-9</v>
      </c>
      <c r="K10" s="109">
        <v>4.3471771927745117E-10</v>
      </c>
      <c r="L10" s="152">
        <v>6.3335333959690852E-9</v>
      </c>
      <c r="M10" s="27"/>
      <c r="N10" s="18">
        <v>5.6226754256648811E-7</v>
      </c>
      <c r="O10" s="18">
        <v>2.694415897985731E-12</v>
      </c>
      <c r="P10" s="18">
        <v>1.3472079489928657E-9</v>
      </c>
      <c r="Q10" s="28">
        <v>0.97229980572804076</v>
      </c>
      <c r="R10" s="60">
        <v>110.95305390556719</v>
      </c>
      <c r="S10" s="57">
        <v>1.5271839638361962E-7</v>
      </c>
      <c r="U10" s="127">
        <v>6.3334886976519831E-9</v>
      </c>
      <c r="V10" s="127">
        <v>6.3335333959690852E-9</v>
      </c>
      <c r="W10" s="128">
        <v>6.3335974425809531E-9</v>
      </c>
      <c r="X10" s="128">
        <f t="shared" si="0"/>
        <v>6.3335382330427758E-9</v>
      </c>
      <c r="Y10" s="139">
        <f t="shared" si="1"/>
        <v>0.75665585024754689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9.0385157527600006E-3</v>
      </c>
      <c r="J11" s="109">
        <v>6.6228889352731181E-9</v>
      </c>
      <c r="K11" s="109">
        <v>4.1514042958041147E-10</v>
      </c>
      <c r="L11" s="152">
        <v>6.5835797466482539E-9</v>
      </c>
      <c r="M11" s="27"/>
      <c r="N11" s="18">
        <v>6.6892322793280842E-7</v>
      </c>
      <c r="O11" s="18">
        <v>3.2055156014291243E-12</v>
      </c>
      <c r="P11" s="18">
        <v>1.6027578007145623E-9</v>
      </c>
      <c r="Q11" s="28">
        <v>0.89937768493950387</v>
      </c>
      <c r="R11" s="60">
        <v>110.95305390556719</v>
      </c>
      <c r="S11" s="57">
        <v>2.4943446360627497E-7</v>
      </c>
      <c r="U11" s="127">
        <v>6.583634130792501E-9</v>
      </c>
      <c r="V11" s="127">
        <v>6.5835797466482539E-9</v>
      </c>
      <c r="W11" s="128">
        <v>6.5835489305442667E-9</v>
      </c>
      <c r="X11" s="128">
        <f t="shared" si="0"/>
        <v>6.5835856386583189E-9</v>
      </c>
      <c r="Y11" s="139">
        <f t="shared" si="1"/>
        <v>8.9632992699973865E-3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6.8990244983878107E-9</v>
      </c>
      <c r="K12" s="109">
        <v>4.2765241497648793E-10</v>
      </c>
      <c r="L12" s="152">
        <v>6.8419879423844075E-9</v>
      </c>
      <c r="M12" s="27"/>
      <c r="N12" s="18">
        <v>7.7584080782538232E-7</v>
      </c>
      <c r="O12" s="18">
        <v>3.7178703173384912E-12</v>
      </c>
      <c r="P12" s="18">
        <v>1.8589351586692456E-9</v>
      </c>
      <c r="Q12" s="28">
        <v>0.85156553598049844</v>
      </c>
      <c r="R12" s="60">
        <v>112.49327297396356</v>
      </c>
      <c r="S12" s="57">
        <v>2.4943446360627497E-7</v>
      </c>
      <c r="U12" s="127">
        <v>6.8421963932675413E-9</v>
      </c>
      <c r="V12" s="127">
        <v>6.8419879423844075E-9</v>
      </c>
      <c r="W12" s="128">
        <v>6.8418077203734693E-9</v>
      </c>
      <c r="X12" s="128">
        <f t="shared" si="0"/>
        <v>6.8419949996024564E-9</v>
      </c>
      <c r="Y12" s="139">
        <f t="shared" si="1"/>
        <v>1.7783500510613483E-2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9.2201899193900001E-3</v>
      </c>
      <c r="J13" s="109">
        <v>7.5027378506657905E-9</v>
      </c>
      <c r="K13" s="109">
        <v>4.4490267507685067E-10</v>
      </c>
      <c r="L13" s="152">
        <v>7.1084226334622671E-9</v>
      </c>
      <c r="M13" s="27"/>
      <c r="N13" s="18">
        <v>8.8284910705866951E-7</v>
      </c>
      <c r="O13" s="18">
        <v>4.2306597651421388E-12</v>
      </c>
      <c r="P13" s="18">
        <v>2.1153298825710695E-9</v>
      </c>
      <c r="Q13" s="28">
        <v>0.82244956505572275</v>
      </c>
      <c r="R13" s="60">
        <v>112.49327297396356</v>
      </c>
      <c r="S13" s="57">
        <v>3.5150378305590423E-7</v>
      </c>
      <c r="U13" s="127">
        <v>7.1088733304077792E-9</v>
      </c>
      <c r="V13" s="127">
        <v>7.1084226334622671E-9</v>
      </c>
      <c r="W13" s="128">
        <v>7.1080046323057337E-9</v>
      </c>
      <c r="X13" s="128">
        <f t="shared" si="0"/>
        <v>7.1084308074095116E-9</v>
      </c>
      <c r="Y13" s="139">
        <f t="shared" si="1"/>
        <v>0.78548706056109352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1.3701415271707418</v>
      </c>
      <c r="I14" s="109">
        <v>9.3123918185800004E-3</v>
      </c>
      <c r="J14" s="109">
        <v>7.5073184148191355E-9</v>
      </c>
      <c r="K14" s="109">
        <v>4.4068409278995953E-10</v>
      </c>
      <c r="L14" s="152">
        <v>7.3821669736090911E-9</v>
      </c>
      <c r="M14" s="27"/>
      <c r="N14" s="18">
        <v>9.8987834012749162E-7</v>
      </c>
      <c r="O14" s="18">
        <v>4.7435495289964222E-12</v>
      </c>
      <c r="P14" s="18">
        <v>2.3717747644982111E-9</v>
      </c>
      <c r="Q14" s="28">
        <v>0.80863380533104168</v>
      </c>
      <c r="R14" s="60">
        <v>113.74668216641723</v>
      </c>
      <c r="S14" s="57">
        <v>3.5150378305590423E-7</v>
      </c>
      <c r="U14" s="127">
        <v>7.3830068274271745E-9</v>
      </c>
      <c r="V14" s="127">
        <v>7.3821669736090911E-9</v>
      </c>
      <c r="W14" s="128">
        <v>7.381362230252516E-9</v>
      </c>
      <c r="X14" s="128">
        <f t="shared" si="0"/>
        <v>7.3821757512244673E-9</v>
      </c>
      <c r="Y14" s="139">
        <f t="shared" si="1"/>
        <v>8.0641025218430487E-2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645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9.4055157367700006E-3</v>
      </c>
      <c r="J15" s="109">
        <v>7.9986935601465366E-9</v>
      </c>
      <c r="K15" s="109">
        <v>4.4918454880201479E-10</v>
      </c>
      <c r="L15" s="152">
        <v>7.6618235274441547E-9</v>
      </c>
      <c r="M15" s="27"/>
      <c r="N15" s="18">
        <v>1.1487417480334408E-6</v>
      </c>
      <c r="O15" s="18">
        <v>6.9507314993797162E-12</v>
      </c>
      <c r="P15" s="18">
        <v>3.211932404745979E-9</v>
      </c>
      <c r="Q15" s="28">
        <v>1.6283130810380024</v>
      </c>
      <c r="R15" s="60">
        <v>113.74668216641723</v>
      </c>
      <c r="S15" s="57">
        <v>4.5622959756945223E-7</v>
      </c>
      <c r="U15" s="127">
        <v>7.663309743869805E-9</v>
      </c>
      <c r="V15" s="127">
        <v>7.6618235274441547E-9</v>
      </c>
      <c r="W15" s="128">
        <v>7.6603675989814712E-9</v>
      </c>
      <c r="X15" s="128">
        <f t="shared" si="0"/>
        <v>7.6618310994348968E-9</v>
      </c>
      <c r="Y15" s="139">
        <f t="shared" si="1"/>
        <v>0.56241334333373394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1.6199999999999999E-6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0.29996142000263898</v>
      </c>
      <c r="I16" s="109">
        <v>9.4995708941299998E-3</v>
      </c>
      <c r="J16" s="109">
        <v>7.3691806162838529E-9</v>
      </c>
      <c r="K16" s="109">
        <v>3.1776247326576457E-10</v>
      </c>
      <c r="L16" s="152">
        <v>7.9446948738858465E-9</v>
      </c>
      <c r="M16" s="27"/>
      <c r="N16" s="18">
        <v>1.4545150229260942E-6</v>
      </c>
      <c r="O16" s="18">
        <v>8.7559413081542127E-12</v>
      </c>
      <c r="P16" s="18">
        <v>4.052604687273821E-9</v>
      </c>
      <c r="Q16" s="28">
        <v>3.2566261620760049</v>
      </c>
      <c r="R16" s="60">
        <v>114.82900796282476</v>
      </c>
      <c r="S16" s="57">
        <v>4.5622959756945223E-7</v>
      </c>
      <c r="U16" s="127">
        <v>7.9473085276703767E-9</v>
      </c>
      <c r="V16" s="127">
        <v>7.9446948738858465E-9</v>
      </c>
      <c r="W16" s="128">
        <v>7.9420845306693554E-9</v>
      </c>
      <c r="X16" s="128">
        <f t="shared" si="0"/>
        <v>7.9446957015278571E-9</v>
      </c>
      <c r="Y16" s="139">
        <f t="shared" si="1"/>
        <v>3.280259555146031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646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9.5945666030799997E-3</v>
      </c>
      <c r="J17" s="109">
        <v>8.2912630839906413E-9</v>
      </c>
      <c r="K17" s="109">
        <v>3.2970971349520654E-10</v>
      </c>
      <c r="L17" s="152">
        <v>8.2253594062174944E-9</v>
      </c>
      <c r="M17" s="27"/>
      <c r="N17" s="18">
        <v>1.771513595029997E-6</v>
      </c>
      <c r="O17" s="18">
        <v>1.0834473565239351E-11</v>
      </c>
      <c r="P17" s="18">
        <v>4.9899412517174551E-9</v>
      </c>
      <c r="Q17" s="28">
        <v>3.2566261620760049</v>
      </c>
      <c r="R17" s="60">
        <v>114.82900796282476</v>
      </c>
      <c r="S17" s="57">
        <v>5.6226754256648811E-7</v>
      </c>
      <c r="U17" s="127">
        <v>8.2300837585505421E-9</v>
      </c>
      <c r="V17" s="127">
        <v>8.2253594062174944E-9</v>
      </c>
      <c r="W17" s="128">
        <v>8.2205435926239607E-9</v>
      </c>
      <c r="X17" s="128">
        <f t="shared" si="0"/>
        <v>8.2253365409023729E-9</v>
      </c>
      <c r="Y17" s="139">
        <f t="shared" si="1"/>
        <v>3.9981319552339419E-2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193.24</v>
      </c>
      <c r="D18" s="159">
        <v>44.06</v>
      </c>
      <c r="E18" s="159">
        <v>48.06</v>
      </c>
      <c r="F18" s="104"/>
      <c r="G18" s="104"/>
      <c r="H18" s="160">
        <v>0.12871625879964529</v>
      </c>
      <c r="I18" s="109">
        <v>9.69051226911E-3</v>
      </c>
      <c r="J18" s="109">
        <v>8.7871648773861303E-9</v>
      </c>
      <c r="K18" s="109">
        <v>3.3994667455732248E-10</v>
      </c>
      <c r="L18" s="152">
        <v>8.4921319757133121E-9</v>
      </c>
      <c r="N18" s="18">
        <v>1.9575364998681612E-6</v>
      </c>
      <c r="O18" s="18">
        <v>1.2429260790067979E-11</v>
      </c>
      <c r="P18" s="18">
        <v>5.6591881697918529E-9</v>
      </c>
      <c r="Q18" s="28">
        <v>3.2566261620760049</v>
      </c>
      <c r="R18" s="60">
        <v>115.8013077685528</v>
      </c>
      <c r="S18" s="57">
        <v>5.6226754256648811E-7</v>
      </c>
      <c r="U18" s="127">
        <v>8.5011580378995729E-9</v>
      </c>
      <c r="V18" s="127">
        <v>8.4921319757133121E-9</v>
      </c>
      <c r="W18" s="128">
        <v>8.4827292904790836E-9</v>
      </c>
      <c r="X18" s="128">
        <f t="shared" si="0"/>
        <v>8.4920378199513198E-9</v>
      </c>
      <c r="Y18" s="139">
        <f t="shared" si="1"/>
        <v>0.75369643512308693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9.7874173918000001E-3</v>
      </c>
      <c r="J19" s="109">
        <v>8.9128997463827711E-9</v>
      </c>
      <c r="K19" s="109">
        <v>3.4637052055499363E-10</v>
      </c>
      <c r="L19" s="152">
        <v>8.7176843088541605E-9</v>
      </c>
      <c r="N19" s="18">
        <v>2.0405974062413372E-6</v>
      </c>
      <c r="O19" s="18">
        <v>1.3701494872444549E-11</v>
      </c>
      <c r="P19" s="18">
        <v>6.1360314762500172E-9</v>
      </c>
      <c r="Q19" s="28">
        <v>3.2566261620760049</v>
      </c>
      <c r="R19" s="60">
        <v>115.8013077685528</v>
      </c>
      <c r="S19" s="57">
        <v>6.6892322793280842E-7</v>
      </c>
      <c r="U19" s="127">
        <v>8.7357916189119538E-9</v>
      </c>
      <c r="V19" s="127">
        <v>8.7176843088541605E-9</v>
      </c>
      <c r="W19" s="128">
        <v>8.6984896973942257E-9</v>
      </c>
      <c r="X19" s="128">
        <f t="shared" si="0"/>
        <v>8.7174124835036251E-9</v>
      </c>
      <c r="Y19" s="139">
        <f t="shared" si="1"/>
        <v>0.3185334805887754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1.9736745496937928E-2</v>
      </c>
      <c r="I20" s="109">
        <v>9.8852915657199995E-3</v>
      </c>
      <c r="J20" s="109">
        <v>1.0011355323362992E-8</v>
      </c>
      <c r="K20" s="109">
        <v>5.5546133253478176E-10</v>
      </c>
      <c r="L20" s="152">
        <v>8.837129041628994E-9</v>
      </c>
      <c r="N20" s="18">
        <v>2.0679952570916295E-6</v>
      </c>
      <c r="O20" s="18">
        <v>1.4906968897603382E-11</v>
      </c>
      <c r="P20" s="18">
        <v>6.5430596859176184E-9</v>
      </c>
      <c r="Q20" s="28">
        <v>3.2566261620760049</v>
      </c>
      <c r="R20" s="60">
        <v>116.70068545349231</v>
      </c>
      <c r="S20" s="57">
        <v>6.6892322793280842E-7</v>
      </c>
      <c r="U20" s="127">
        <v>8.872187223890566E-9</v>
      </c>
      <c r="V20" s="127">
        <v>8.837129041628994E-9</v>
      </c>
      <c r="W20" s="128">
        <v>8.799857195014361E-9</v>
      </c>
      <c r="X20" s="128">
        <f t="shared" si="0"/>
        <v>8.8365756255407287E-9</v>
      </c>
      <c r="Y20" s="139">
        <f t="shared" si="1"/>
        <v>4.4730649242810756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7.8935936155176872E-9</v>
      </c>
      <c r="K21" s="109">
        <v>4.7353169192045168E-10</v>
      </c>
      <c r="L21" s="152">
        <v>8.7060106419819361E-9</v>
      </c>
      <c r="M21" s="31"/>
      <c r="N21" s="18">
        <v>2.0734263324875523E-6</v>
      </c>
      <c r="O21" s="18">
        <v>1.6237883679834151E-11</v>
      </c>
      <c r="P21" s="30">
        <v>6.9707750514377221E-9</v>
      </c>
      <c r="Q21" s="65">
        <v>3.2566261620760049</v>
      </c>
      <c r="R21" s="62">
        <v>116.70068545349231</v>
      </c>
      <c r="S21" s="61">
        <v>7.7584080782538232E-7</v>
      </c>
      <c r="T21" s="75"/>
      <c r="U21" s="127">
        <v>8.7598853340160476E-9</v>
      </c>
      <c r="V21" s="127">
        <v>8.7060106419819361E-9</v>
      </c>
      <c r="W21" s="128">
        <v>8.6494597098346145E-9</v>
      </c>
      <c r="X21" s="128">
        <f t="shared" si="0"/>
        <v>8.7053415819536327E-9</v>
      </c>
      <c r="Y21" s="139">
        <f t="shared" si="1"/>
        <v>2.9386260097160362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1.0083985926200001E-2</v>
      </c>
      <c r="J22" s="109">
        <v>7.7017352852241489E-9</v>
      </c>
      <c r="K22" s="109">
        <v>4.6491960888734106E-10</v>
      </c>
      <c r="L22" s="152">
        <v>8.0830881786548346E-9</v>
      </c>
      <c r="N22" s="18">
        <v>2.0721636163053465E-6</v>
      </c>
      <c r="O22" s="18">
        <v>1.779893911025421E-11</v>
      </c>
      <c r="P22" s="18">
        <v>7.4657864350760349E-9</v>
      </c>
      <c r="Q22" s="28">
        <v>3.2566261620760049</v>
      </c>
      <c r="R22" s="60">
        <v>117.55225098947281</v>
      </c>
      <c r="S22" s="57">
        <v>7.7584080782538232E-7</v>
      </c>
      <c r="U22" s="127">
        <v>8.1263736391176849E-9</v>
      </c>
      <c r="V22" s="127">
        <v>8.0830881786548346E-9</v>
      </c>
      <c r="W22" s="128">
        <v>8.0385985962907463E-9</v>
      </c>
      <c r="X22" s="128">
        <f t="shared" si="0"/>
        <v>8.0827871481795255E-9</v>
      </c>
      <c r="Y22" s="139">
        <f t="shared" si="1"/>
        <v>0.67175738703430099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6.1737777817845299E-9</v>
      </c>
      <c r="K23" s="109">
        <v>4.1987303385077243E-10</v>
      </c>
      <c r="L23" s="152">
        <v>6.8071941720137874E-9</v>
      </c>
      <c r="N23" s="18">
        <v>2.0690218024082891E-6</v>
      </c>
      <c r="O23" s="18">
        <v>1.9644482957909376E-11</v>
      </c>
      <c r="P23" s="18">
        <v>8.0495695339159579E-9</v>
      </c>
      <c r="Q23" s="28">
        <v>3.2566261620760049</v>
      </c>
      <c r="R23" s="60">
        <v>117.55225098947281</v>
      </c>
      <c r="S23" s="57">
        <v>8.8284910705866951E-7</v>
      </c>
      <c r="U23" s="127">
        <v>6.7732215348041545E-9</v>
      </c>
      <c r="V23" s="127">
        <v>6.8071941720137874E-9</v>
      </c>
      <c r="W23" s="128">
        <v>6.8417322918676474E-9</v>
      </c>
      <c r="X23" s="128">
        <f t="shared" si="0"/>
        <v>6.8073355426748446E-9</v>
      </c>
      <c r="Y23" s="139">
        <f t="shared" si="1"/>
        <v>2.2768607167798631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1.02866740433E-2</v>
      </c>
      <c r="J24" s="109">
        <v>4.7694257795857173E-9</v>
      </c>
      <c r="K24" s="109">
        <v>3.5734062663782022E-10</v>
      </c>
      <c r="L24" s="152">
        <v>5.1569126091566054E-9</v>
      </c>
      <c r="N24" s="18">
        <v>2.0650712350334776E-6</v>
      </c>
      <c r="O24" s="18">
        <v>2.1809472208439338E-11</v>
      </c>
      <c r="P24" s="18">
        <v>8.7341684075673573E-9</v>
      </c>
      <c r="Q24" s="28">
        <v>3.2566261620760049</v>
      </c>
      <c r="R24" s="60">
        <v>118.37470055452853</v>
      </c>
      <c r="S24" s="57">
        <v>8.8284910705866951E-7</v>
      </c>
      <c r="U24" s="127">
        <v>5.0030210385459799E-9</v>
      </c>
      <c r="V24" s="127">
        <v>5.1569126091566054E-9</v>
      </c>
      <c r="W24" s="128">
        <v>5.3105187021821512E-9</v>
      </c>
      <c r="X24" s="128">
        <f t="shared" si="0"/>
        <v>5.1568412397603355E-9</v>
      </c>
      <c r="Y24" s="139">
        <f t="shared" si="1"/>
        <v>1.1754092550903346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1.7860352480266717E-6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21.758164262199287</v>
      </c>
      <c r="H25" s="149">
        <v>200</v>
      </c>
      <c r="I25" s="109">
        <v>1.03895407837E-2</v>
      </c>
      <c r="J25" s="109">
        <v>3.8970138217040525E-9</v>
      </c>
      <c r="K25" s="109">
        <v>3.2486586542269412E-10</v>
      </c>
      <c r="L25" s="152">
        <v>3.7895644498416723E-9</v>
      </c>
      <c r="N25" s="18">
        <v>2.060454962516928E-6</v>
      </c>
      <c r="O25" s="18">
        <v>2.4321605971850126E-11</v>
      </c>
      <c r="P25" s="18">
        <v>9.5285109107370708E-9</v>
      </c>
      <c r="Q25" s="28">
        <v>3.2566261620760049</v>
      </c>
      <c r="R25" s="60">
        <v>118.37470055452853</v>
      </c>
      <c r="S25" s="57">
        <v>9.8987834012749162E-7</v>
      </c>
      <c r="U25" s="127">
        <v>3.5523848402642393E-9</v>
      </c>
      <c r="V25" s="127">
        <v>3.7895644498416723E-9</v>
      </c>
      <c r="W25" s="128">
        <v>4.0236249458018298E-9</v>
      </c>
      <c r="X25" s="128">
        <f t="shared" si="0"/>
        <v>3.7887846714373534E-9</v>
      </c>
      <c r="Y25" s="139">
        <f t="shared" si="1"/>
        <v>0.11098910134961612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1.7860352480266717E-6</v>
      </c>
      <c r="D26" s="101">
        <v>1.5392483148537927E-10</v>
      </c>
      <c r="E26" s="101">
        <v>5.0509225500401457E-8</v>
      </c>
      <c r="F26" s="149">
        <f>(H31-H25)*H29</f>
        <v>864.86357836635534</v>
      </c>
      <c r="G26" s="149">
        <v>55.42680874121109</v>
      </c>
      <c r="H26" s="111" t="s">
        <v>599</v>
      </c>
      <c r="I26" s="109">
        <v>1.04934361916E-2</v>
      </c>
      <c r="J26" s="109">
        <v>3.8918551088186448E-9</v>
      </c>
      <c r="K26" s="109">
        <v>3.2478487995029039E-10</v>
      </c>
      <c r="L26" s="152">
        <v>3.1012654182496236E-9</v>
      </c>
      <c r="N26" s="18">
        <v>2.0551561611267919E-6</v>
      </c>
      <c r="O26" s="18">
        <v>2.7203538506117195E-11</v>
      </c>
      <c r="P26" s="18">
        <v>1.0439782029363915E-8</v>
      </c>
      <c r="Q26" s="28">
        <v>3.2566261620760049</v>
      </c>
      <c r="R26" s="60">
        <v>119.18333435985957</v>
      </c>
      <c r="S26" s="57">
        <v>9.8987834012749162E-7</v>
      </c>
      <c r="U26" s="127">
        <v>2.8515562226316066E-9</v>
      </c>
      <c r="V26" s="127">
        <v>3.1012654182496236E-9</v>
      </c>
      <c r="W26" s="128">
        <v>3.3452544147249895E-9</v>
      </c>
      <c r="X26" s="128">
        <f t="shared" si="0"/>
        <v>3.0998353684639609E-9</v>
      </c>
      <c r="Y26" s="139">
        <f t="shared" si="1"/>
        <v>5.9467599304630676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8.4383076650543174E-7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1.05983705535E-2</v>
      </c>
      <c r="J27" s="109">
        <v>3.1479967721857691E-9</v>
      </c>
      <c r="K27" s="109">
        <v>2.9348835309334755E-10</v>
      </c>
      <c r="L27" s="152">
        <v>2.9477054846702171E-9</v>
      </c>
      <c r="N27" s="18">
        <v>2.0491462814886453E-6</v>
      </c>
      <c r="O27" s="18">
        <v>3.0472099980128197E-11</v>
      </c>
      <c r="P27" s="18">
        <v>1.1473305577573283E-8</v>
      </c>
      <c r="Q27" s="28">
        <v>3.2566261620760049</v>
      </c>
      <c r="R27" s="60">
        <v>119.18333435985957</v>
      </c>
      <c r="S27" s="57">
        <v>1.1487417480334408E-6</v>
      </c>
      <c r="U27" s="127">
        <v>2.7255319342867265E-9</v>
      </c>
      <c r="V27" s="127">
        <v>2.9477054846702171E-9</v>
      </c>
      <c r="W27" s="128">
        <v>3.1622151041475869E-9</v>
      </c>
      <c r="X27" s="128">
        <f t="shared" si="0"/>
        <v>2.9457895019436869E-9</v>
      </c>
      <c r="Y27" s="139">
        <f t="shared" si="1"/>
        <v>0.47469186626169146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23.313779615057957</v>
      </c>
      <c r="G28" s="102">
        <v>5</v>
      </c>
      <c r="H28" s="134" t="s">
        <v>600</v>
      </c>
      <c r="I28" s="109">
        <v>1.0704354259E-2</v>
      </c>
      <c r="J28" s="109">
        <v>3.2211919794745102E-9</v>
      </c>
      <c r="K28" s="109">
        <v>2.953113806400041E-10</v>
      </c>
      <c r="L28" s="152">
        <v>3.0057874722934442E-9</v>
      </c>
      <c r="N28" s="18">
        <v>2.0424076863464207E-6</v>
      </c>
      <c r="O28" s="18">
        <v>3.4136977889911584E-11</v>
      </c>
      <c r="P28" s="18">
        <v>1.2632144907531056E-8</v>
      </c>
      <c r="Q28" s="28">
        <v>3.2566261620760049</v>
      </c>
      <c r="R28" s="60">
        <v>120.81164744089757</v>
      </c>
      <c r="S28" s="57">
        <v>1.1487417480334408E-6</v>
      </c>
      <c r="U28" s="127">
        <v>2.8185625390196263E-9</v>
      </c>
      <c r="V28" s="127">
        <v>3.0057874722934442E-9</v>
      </c>
      <c r="W28" s="128">
        <v>3.1836754785298428E-9</v>
      </c>
      <c r="X28" s="128">
        <f t="shared" si="0"/>
        <v>3.0034532405340894E-9</v>
      </c>
      <c r="Y28" s="139">
        <f t="shared" si="1"/>
        <v>0.54363954284668348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2.0700000000000001E-6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1.08113978016E-2</v>
      </c>
      <c r="J29" s="109">
        <v>3.2754540504976868E-9</v>
      </c>
      <c r="K29" s="109">
        <v>2.8901158731958856E-10</v>
      </c>
      <c r="L29" s="152">
        <v>3.0838401743573862E-9</v>
      </c>
      <c r="N29" s="18">
        <v>2.0349380031797748E-6</v>
      </c>
      <c r="O29" s="18">
        <v>3.8199467848985272E-11</v>
      </c>
      <c r="P29" s="18">
        <v>1.3916709702461317E-8</v>
      </c>
      <c r="Q29" s="28">
        <v>3.2566261620760049</v>
      </c>
      <c r="R29" s="60">
        <v>120.81164744089757</v>
      </c>
      <c r="S29" s="57">
        <v>1.4545150229260942E-6</v>
      </c>
      <c r="U29" s="127">
        <v>2.9288685085022652E-9</v>
      </c>
      <c r="V29" s="127">
        <v>3.0838401743573862E-9</v>
      </c>
      <c r="W29" s="128">
        <v>3.2279364667857007E-9</v>
      </c>
      <c r="X29" s="128">
        <f t="shared" si="0"/>
        <v>3.0811213310006848E-9</v>
      </c>
      <c r="Y29" s="139">
        <f t="shared" si="1"/>
        <v>0.4521279401917237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1.0919511779600001E-2</v>
      </c>
      <c r="J30" s="109">
        <v>2.9109610652960613E-9</v>
      </c>
      <c r="K30" s="109">
        <v>2.7667737062004605E-10</v>
      </c>
      <c r="L30" s="152">
        <v>3.1230478634235573E-9</v>
      </c>
      <c r="N30" s="18">
        <v>2.0267521322711689E-6</v>
      </c>
      <c r="O30" s="18">
        <v>4.2651466356450998E-11</v>
      </c>
      <c r="P30" s="18">
        <v>1.5324437624826753E-8</v>
      </c>
      <c r="Q30" s="28">
        <v>3.2566261620760049</v>
      </c>
      <c r="R30" s="60">
        <v>124.06827360297358</v>
      </c>
      <c r="S30" s="57">
        <v>1.4545150229260942E-6</v>
      </c>
      <c r="U30" s="127">
        <v>2.997929250834904E-9</v>
      </c>
      <c r="V30" s="127">
        <v>3.1230478634235573E-9</v>
      </c>
      <c r="W30" s="128">
        <v>3.2358919795344448E-9</v>
      </c>
      <c r="X30" s="128">
        <f t="shared" si="0"/>
        <v>3.1199792393041158E-9</v>
      </c>
      <c r="Y30" s="139">
        <f t="shared" si="1"/>
        <v>0.57071701341194558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1064.8635783663553</v>
      </c>
      <c r="I31" s="109">
        <v>1.1028706897400001E-2</v>
      </c>
      <c r="J31" s="109">
        <v>2.9795891246041264E-9</v>
      </c>
      <c r="K31" s="109">
        <v>2.778679897293848E-10</v>
      </c>
      <c r="L31" s="152">
        <v>3.116188857568472E-9</v>
      </c>
      <c r="N31" s="18">
        <v>2.0178834839137424E-6</v>
      </c>
      <c r="O31" s="18">
        <v>4.7474802772493568E-11</v>
      </c>
      <c r="P31" s="18">
        <v>1.6849583093864725E-8</v>
      </c>
      <c r="Q31" s="28">
        <v>3.2566261620760049</v>
      </c>
      <c r="R31" s="60">
        <v>124.06827360297358</v>
      </c>
      <c r="S31" s="57">
        <v>1.771513595029997E-6</v>
      </c>
      <c r="U31" s="127">
        <v>3.0196778831933466E-9</v>
      </c>
      <c r="V31" s="127">
        <v>3.116188857568472E-9</v>
      </c>
      <c r="W31" s="128">
        <v>3.1991774965320793E-9</v>
      </c>
      <c r="X31" s="128">
        <f t="shared" si="0"/>
        <v>3.1128082737155924E-9</v>
      </c>
      <c r="Y31" s="139">
        <f t="shared" si="1"/>
        <v>0.22985622645181225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1.11389939664E-2</v>
      </c>
      <c r="J32" s="109">
        <v>3.0953272176565497E-9</v>
      </c>
      <c r="K32" s="109">
        <v>2.7421672907306805E-10</v>
      </c>
      <c r="L32" s="152">
        <v>3.0671945941377944E-9</v>
      </c>
      <c r="N32" s="18">
        <v>2.0083844454082783E-6</v>
      </c>
      <c r="O32" s="18">
        <v>5.2640985542885065E-11</v>
      </c>
      <c r="P32" s="18">
        <v>1.8483137041766471E-8</v>
      </c>
      <c r="Q32" s="28">
        <v>3.2566261620760049</v>
      </c>
      <c r="R32" s="60">
        <v>127.32489976504958</v>
      </c>
      <c r="S32" s="57">
        <v>1.771513595029997E-6</v>
      </c>
      <c r="U32" s="127">
        <v>2.9986971812447098E-9</v>
      </c>
      <c r="V32" s="127">
        <v>3.0671945941377944E-9</v>
      </c>
      <c r="W32" s="128">
        <v>3.1211135465593419E-9</v>
      </c>
      <c r="X32" s="128">
        <f t="shared" si="0"/>
        <v>3.0635499790199098E-9</v>
      </c>
      <c r="Y32" s="139">
        <f t="shared" si="1"/>
        <v>1.3429023025550787E-2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3.3888846512559553E-9</v>
      </c>
      <c r="K33" s="109">
        <v>2.9214335004637637E-10</v>
      </c>
      <c r="L33" s="152">
        <v>2.981199174918053E-9</v>
      </c>
      <c r="N33" s="18">
        <v>1.9983259896539519E-6</v>
      </c>
      <c r="O33" s="18">
        <v>5.8111415080027317E-11</v>
      </c>
      <c r="P33" s="18">
        <v>2.0212894226961816E-8</v>
      </c>
      <c r="Q33" s="28">
        <v>3.2566261620760049</v>
      </c>
      <c r="R33" s="60">
        <v>127.32489976504958</v>
      </c>
      <c r="S33" s="57">
        <v>1.9575364998681612E-6</v>
      </c>
      <c r="U33" s="127">
        <v>2.9402426834354185E-9</v>
      </c>
      <c r="V33" s="127">
        <v>2.981199174918053E-9</v>
      </c>
      <c r="W33" s="128">
        <v>3.0067783471571384E-9</v>
      </c>
      <c r="X33" s="128">
        <f t="shared" si="0"/>
        <v>2.977354845107166E-9</v>
      </c>
      <c r="Y33" s="139">
        <f t="shared" si="1"/>
        <v>1.9843148435892264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1.1362887745099999E-2</v>
      </c>
      <c r="J34" s="109">
        <v>3.082772376763978E-9</v>
      </c>
      <c r="K34" s="109">
        <v>2.7247637915960862E-10</v>
      </c>
      <c r="L34" s="152">
        <v>2.8631520449576441E-9</v>
      </c>
      <c r="N34" s="18">
        <v>1.9877963810361308E-6</v>
      </c>
      <c r="O34" s="18">
        <v>6.3838087583677158E-11</v>
      </c>
      <c r="P34" s="18">
        <v>2.2023675783180098E-8</v>
      </c>
      <c r="Q34" s="28">
        <v>3.2566261620760049</v>
      </c>
      <c r="R34" s="60">
        <v>130.5815259271256</v>
      </c>
      <c r="S34" s="57">
        <v>1.9575364998681612E-6</v>
      </c>
      <c r="U34" s="127">
        <v>2.8490803946926272E-9</v>
      </c>
      <c r="V34" s="127">
        <v>2.8631520449576441E-9</v>
      </c>
      <c r="W34" s="128">
        <v>2.8613895563656201E-9</v>
      </c>
      <c r="X34" s="128">
        <f t="shared" si="0"/>
        <v>2.8591935102433839E-9</v>
      </c>
      <c r="Y34" s="139">
        <f t="shared" si="1"/>
        <v>0.67329250688612574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1.3701415271707418</v>
      </c>
      <c r="I35" s="109">
        <v>1.14765166226E-2</v>
      </c>
      <c r="J35" s="109">
        <v>3.0050751374047965E-9</v>
      </c>
      <c r="K35" s="109">
        <v>2.7575126459375243E-10</v>
      </c>
      <c r="L35" s="152">
        <v>2.7179370706409974E-9</v>
      </c>
      <c r="N35" s="18">
        <v>1.9768989927606532E-6</v>
      </c>
      <c r="O35" s="18">
        <v>6.9764782113723745E-11</v>
      </c>
      <c r="P35" s="18">
        <v>2.3897704573460709E-8</v>
      </c>
      <c r="Q35" s="28">
        <v>3.2566261620760049</v>
      </c>
      <c r="R35" s="60">
        <v>130.5815259271256</v>
      </c>
      <c r="S35" s="57">
        <v>2.0405974062413372E-6</v>
      </c>
      <c r="U35" s="127">
        <v>2.729709384150625E-9</v>
      </c>
      <c r="V35" s="127">
        <v>2.7179370706409974E-9</v>
      </c>
      <c r="W35" s="128">
        <v>2.6903088720982761E-9</v>
      </c>
      <c r="X35" s="128">
        <f t="shared" si="0"/>
        <v>2.713973099382724E-9</v>
      </c>
      <c r="Y35" s="139">
        <f t="shared" si="1"/>
        <v>1.1144368559419846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645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1.1591281788799999E-2</v>
      </c>
      <c r="J36" s="109">
        <v>2.5241650015003129E-9</v>
      </c>
      <c r="K36" s="109">
        <v>1.5589111280210682E-10</v>
      </c>
      <c r="L36" s="152">
        <v>2.5505344332126181E-9</v>
      </c>
      <c r="N36" s="18">
        <v>1.9657493106027076E-6</v>
      </c>
      <c r="O36" s="18">
        <v>7.5828690142582019E-11</v>
      </c>
      <c r="P36" s="18">
        <v>2.5815120456813959E-8</v>
      </c>
      <c r="Q36" s="28">
        <v>3.2566261620760049</v>
      </c>
      <c r="R36" s="60">
        <v>133.8381520892016</v>
      </c>
      <c r="S36" s="57">
        <v>2.0405974062413372E-6</v>
      </c>
      <c r="U36" s="127">
        <v>2.5865876867976742E-9</v>
      </c>
      <c r="V36" s="127">
        <v>2.5505344332126181E-9</v>
      </c>
      <c r="W36" s="128">
        <v>2.4991282985770944E-9</v>
      </c>
      <c r="X36" s="128">
        <f t="shared" si="0"/>
        <v>2.5466962129500013E-9</v>
      </c>
      <c r="Y36" s="139">
        <f t="shared" si="1"/>
        <v>2.0889419539319658E-2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1.6199999999999999E-6</v>
      </c>
      <c r="D37" s="157">
        <v>5.6499999999999999E-7</v>
      </c>
      <c r="E37" s="157">
        <v>5.7300000000000002E-6</v>
      </c>
      <c r="F37" s="102"/>
      <c r="G37" s="102"/>
      <c r="H37" s="160">
        <v>0.29996142000263898</v>
      </c>
      <c r="I37" s="109">
        <v>1.17071946067E-2</v>
      </c>
      <c r="J37" s="109">
        <v>2.4235529953396257E-9</v>
      </c>
      <c r="K37" s="109">
        <v>1.4516295563286516E-10</v>
      </c>
      <c r="L37" s="152">
        <v>2.3661102514138294E-9</v>
      </c>
      <c r="N37" s="18">
        <v>1.9572958257736696E-6</v>
      </c>
      <c r="O37" s="18">
        <v>8.0426234162265537E-11</v>
      </c>
      <c r="P37" s="18">
        <v>2.7268870066109518E-8</v>
      </c>
      <c r="Q37" s="28">
        <v>1.6283130810380024</v>
      </c>
      <c r="R37" s="60">
        <v>133.8381520892016</v>
      </c>
      <c r="S37" s="57">
        <v>2.0679952570916295E-6</v>
      </c>
      <c r="U37" s="127">
        <v>2.4242743825809954E-9</v>
      </c>
      <c r="V37" s="127">
        <v>2.3661102514138294E-9</v>
      </c>
      <c r="W37" s="128">
        <v>2.293695093993321E-9</v>
      </c>
      <c r="X37" s="128">
        <f t="shared" si="0"/>
        <v>2.3625474948504937E-9</v>
      </c>
      <c r="Y37" s="139">
        <f t="shared" si="1"/>
        <v>0.17661451150814919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646</v>
      </c>
      <c r="D38" s="158" t="s">
        <v>612</v>
      </c>
      <c r="E38" s="158" t="s">
        <v>614</v>
      </c>
      <c r="F38" s="104"/>
      <c r="G38" s="104"/>
      <c r="H38" s="144"/>
      <c r="I38" s="109">
        <v>1.18242665528E-2</v>
      </c>
      <c r="J38" s="109">
        <v>2.3960188085679118E-9</v>
      </c>
      <c r="K38" s="109">
        <v>1.4423741036877454E-10</v>
      </c>
      <c r="L38" s="152">
        <v>2.1700275547087478E-9</v>
      </c>
      <c r="N38" s="18">
        <v>1.9476847042481641E-6</v>
      </c>
      <c r="O38" s="18">
        <v>8.5653374825043235E-11</v>
      </c>
      <c r="P38" s="18">
        <v>2.8921698981659327E-8</v>
      </c>
      <c r="Q38" s="28">
        <v>3.9309285673028391</v>
      </c>
      <c r="R38" s="60">
        <v>137.0947782512776</v>
      </c>
      <c r="S38" s="57">
        <v>2.0679952570916295E-6</v>
      </c>
      <c r="U38" s="127">
        <v>2.2474911450054533E-9</v>
      </c>
      <c r="V38" s="127">
        <v>2.1700275547087478E-9</v>
      </c>
      <c r="W38" s="128">
        <v>2.0800601061780916E-9</v>
      </c>
      <c r="X38" s="128">
        <f t="shared" si="0"/>
        <v>2.1669015901502601E-9</v>
      </c>
      <c r="Y38" s="139">
        <f t="shared" si="1"/>
        <v>2.5232461734319735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193.24</v>
      </c>
      <c r="D39" s="159">
        <v>44.06</v>
      </c>
      <c r="E39" s="159">
        <v>48.06</v>
      </c>
      <c r="F39" s="104"/>
      <c r="G39" s="104"/>
      <c r="H39" s="108"/>
      <c r="I39" s="109">
        <v>1.19425092183E-2</v>
      </c>
      <c r="J39" s="109">
        <v>2.0955340563282606E-9</v>
      </c>
      <c r="K39" s="109">
        <v>1.3579887840783817E-10</v>
      </c>
      <c r="L39" s="152">
        <v>1.9677894145439301E-9</v>
      </c>
      <c r="N39" s="18">
        <v>1.9341118982153967E-6</v>
      </c>
      <c r="O39" s="18">
        <v>9.3035132108373614E-11</v>
      </c>
      <c r="P39" s="18">
        <v>3.1255820573668549E-8</v>
      </c>
      <c r="Q39" s="28">
        <v>3.9980897028164697</v>
      </c>
      <c r="R39" s="60">
        <v>137.0947782512776</v>
      </c>
      <c r="S39" s="57">
        <v>2.0734263324875523E-6</v>
      </c>
      <c r="U39" s="127">
        <v>2.0611165593160242E-9</v>
      </c>
      <c r="V39" s="127">
        <v>1.9677894145439301E-9</v>
      </c>
      <c r="W39" s="128">
        <v>1.8643591104659719E-9</v>
      </c>
      <c r="X39" s="128">
        <f t="shared" si="0"/>
        <v>1.9652636247174639E-9</v>
      </c>
      <c r="Y39" s="139">
        <f t="shared" si="1"/>
        <v>0.92023625216360905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1.8737440915304301E-9</v>
      </c>
      <c r="K40" s="109">
        <v>1.234703518107173E-10</v>
      </c>
      <c r="L40" s="152">
        <v>1.7649285741184736E-9</v>
      </c>
      <c r="N40" s="18">
        <v>1.9205417468862193E-6</v>
      </c>
      <c r="O40" s="18">
        <v>1.0041544559463568E-10</v>
      </c>
      <c r="P40" s="18">
        <v>3.3589485635100807E-8</v>
      </c>
      <c r="Q40" s="28">
        <v>4.1396281855244785</v>
      </c>
      <c r="R40" s="60">
        <v>140.35140441335361</v>
      </c>
      <c r="S40" s="57">
        <v>2.0734263324875523E-6</v>
      </c>
      <c r="U40" s="127">
        <v>1.8701265068963691E-9</v>
      </c>
      <c r="V40" s="127">
        <v>1.7649285741184736E-9</v>
      </c>
      <c r="W40" s="128">
        <v>1.6526440446749241E-9</v>
      </c>
      <c r="X40" s="128">
        <f t="shared" si="0"/>
        <v>1.7631569249520601E-9</v>
      </c>
      <c r="Y40" s="139">
        <f t="shared" si="1"/>
        <v>0.80220264676324682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1.2182553653599999E-2</v>
      </c>
      <c r="J41" s="109">
        <v>1.7106990661089665E-9</v>
      </c>
      <c r="K41" s="109">
        <v>1.498421679314896E-10</v>
      </c>
      <c r="L41" s="152">
        <v>1.5668594027417995E-9</v>
      </c>
      <c r="N41" s="18">
        <v>1.9069831000402527E-6</v>
      </c>
      <c r="O41" s="18">
        <v>1.0778950220943518E-10</v>
      </c>
      <c r="P41" s="18">
        <v>3.5921172265352152E-8</v>
      </c>
      <c r="Q41" s="28">
        <v>4.3720524806356034</v>
      </c>
      <c r="R41" s="60">
        <v>140.35140441335361</v>
      </c>
      <c r="S41" s="57">
        <v>2.0721636163053465E-6</v>
      </c>
      <c r="U41" s="127">
        <v>1.6794935232350295E-9</v>
      </c>
      <c r="V41" s="127">
        <v>1.5668594027417995E-9</v>
      </c>
      <c r="W41" s="128">
        <v>1.4506842440213874E-9</v>
      </c>
      <c r="X41" s="128">
        <f t="shared" si="0"/>
        <v>1.5659741431850039E-9</v>
      </c>
      <c r="Y41" s="139">
        <f t="shared" si="1"/>
        <v>0.93286448249194898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1.2304379190100001E-2</v>
      </c>
      <c r="J42" s="109">
        <v>1.4201859348287672E-9</v>
      </c>
      <c r="K42" s="109">
        <v>1.3204161688448016E-10</v>
      </c>
      <c r="L42" s="152">
        <v>1.3787089683372574E-9</v>
      </c>
      <c r="N42" s="18">
        <v>1.8934576650888682E-6</v>
      </c>
      <c r="O42" s="18">
        <v>1.1514549607846696E-10</v>
      </c>
      <c r="P42" s="18">
        <v>3.8247147431071527E-8</v>
      </c>
      <c r="Q42" s="28">
        <v>4.7265413059928578</v>
      </c>
      <c r="R42" s="60">
        <v>143.60803057542961</v>
      </c>
      <c r="S42" s="57">
        <v>2.0721636163053465E-6</v>
      </c>
      <c r="U42" s="127">
        <v>1.494058220658138E-9</v>
      </c>
      <c r="V42" s="127">
        <v>1.3787089683372574E-9</v>
      </c>
      <c r="W42" s="128">
        <v>1.2637590359440171E-9</v>
      </c>
      <c r="X42" s="128">
        <f t="shared" si="0"/>
        <v>1.3788087983191675E-9</v>
      </c>
      <c r="Y42" s="139">
        <f t="shared" si="1"/>
        <v>9.8197220889968365E-2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1.1919964535950505E-9</v>
      </c>
      <c r="K43" s="109">
        <v>1.2363784697135513E-10</v>
      </c>
      <c r="L43" s="152">
        <v>1.2051442099188759E-9</v>
      </c>
      <c r="N43" s="18">
        <v>1.8800105682696976E-6</v>
      </c>
      <c r="O43" s="18">
        <v>1.2245888467658885E-10</v>
      </c>
      <c r="P43" s="18">
        <v>4.055965075276417E-8</v>
      </c>
      <c r="Q43" s="28">
        <v>5.2613993678948958</v>
      </c>
      <c r="R43" s="60">
        <v>143.60803057542961</v>
      </c>
      <c r="S43" s="57">
        <v>2.0690218024082891E-6</v>
      </c>
      <c r="U43" s="127">
        <v>1.3183861662452997E-9</v>
      </c>
      <c r="V43" s="127">
        <v>1.2051442099188759E-9</v>
      </c>
      <c r="W43" s="128">
        <v>1.0964623917229982E-9</v>
      </c>
      <c r="X43" s="128">
        <f t="shared" si="0"/>
        <v>1.2062842444515123E-9</v>
      </c>
      <c r="Y43" s="139">
        <f t="shared" si="1"/>
        <v>1.3354489824953969E-2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1.2217536743400339E-9</v>
      </c>
      <c r="K44" s="109">
        <v>1.2308904174434679E-10</v>
      </c>
      <c r="L44" s="152">
        <v>1.0502111782859715E-9</v>
      </c>
      <c r="N44" s="18">
        <v>1.8667298679763307E-6</v>
      </c>
      <c r="O44" s="18">
        <v>1.2968177623501939E-10</v>
      </c>
      <c r="P44" s="18">
        <v>4.2843538788658475E-8</v>
      </c>
      <c r="Q44" s="28">
        <v>6.0930695311693723</v>
      </c>
      <c r="R44" s="60">
        <v>146.86465673750561</v>
      </c>
      <c r="S44" s="57">
        <v>2.0690218024082891E-6</v>
      </c>
      <c r="U44" s="127">
        <v>1.1566234454615178E-9</v>
      </c>
      <c r="V44" s="127">
        <v>1.0502111782859715E-9</v>
      </c>
      <c r="W44" s="128">
        <v>9.5253763824139306E-10</v>
      </c>
      <c r="X44" s="128">
        <f t="shared" si="0"/>
        <v>1.0523958600687134E-9</v>
      </c>
      <c r="Y44" s="139">
        <f t="shared" si="1"/>
        <v>1.8930919063350624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7.9608361616960441E-10</v>
      </c>
      <c r="K45" s="109">
        <v>1.0170863738128448E-10</v>
      </c>
      <c r="L45" s="152">
        <v>9.1719995597987774E-10</v>
      </c>
      <c r="N45" s="18">
        <v>1.8537860484696024E-6</v>
      </c>
      <c r="O45" s="18">
        <v>1.3672145054313472E-10</v>
      </c>
      <c r="P45" s="18">
        <v>4.5069493283313893E-8</v>
      </c>
      <c r="Q45" s="28">
        <v>7.4873089598142881</v>
      </c>
      <c r="R45" s="60">
        <v>146.86465673750561</v>
      </c>
      <c r="S45" s="57">
        <v>2.0650712350334776E-6</v>
      </c>
      <c r="U45" s="127">
        <v>1.0123631642206273E-9</v>
      </c>
      <c r="V45" s="127">
        <v>9.1719995597987774E-10</v>
      </c>
      <c r="W45" s="128">
        <v>8.3475577293172713E-10</v>
      </c>
      <c r="X45" s="128">
        <f t="shared" si="0"/>
        <v>9.2037971227802742E-10</v>
      </c>
      <c r="Y45" s="139">
        <f t="shared" si="1"/>
        <v>1.4934796354407216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6.4933899749151787E-10</v>
      </c>
      <c r="K46" s="109">
        <v>9.2442391287331328E-11</v>
      </c>
      <c r="L46" s="152">
        <v>8.0854535050789462E-10</v>
      </c>
      <c r="N46" s="18">
        <v>1.8415210963343192E-6</v>
      </c>
      <c r="O46" s="18">
        <v>1.4339191349204541E-10</v>
      </c>
      <c r="P46" s="18">
        <v>4.717870264907152E-8</v>
      </c>
      <c r="Q46" s="28">
        <v>10.219226550337613</v>
      </c>
      <c r="R46" s="60">
        <v>150.12128289958162</v>
      </c>
      <c r="S46" s="57">
        <v>2.0650712350334776E-6</v>
      </c>
      <c r="U46" s="127">
        <v>8.8853324429712759E-10</v>
      </c>
      <c r="V46" s="127">
        <v>8.0854535050789462E-10</v>
      </c>
      <c r="W46" s="128">
        <v>7.4484533124481971E-10</v>
      </c>
      <c r="X46" s="128">
        <f t="shared" si="0"/>
        <v>8.1261731913943416E-10</v>
      </c>
      <c r="Y46" s="139">
        <f t="shared" si="1"/>
        <v>3.1197135032460954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9.3019419154040843E-10</v>
      </c>
      <c r="K47" s="109">
        <v>1.028448322530383E-10</v>
      </c>
      <c r="L47" s="152">
        <v>7.254929274241735E-10</v>
      </c>
      <c r="N47" s="18">
        <v>1.8306820463336755E-6</v>
      </c>
      <c r="O47" s="18">
        <v>1.4928687994875822E-10</v>
      </c>
      <c r="P47" s="18">
        <v>4.9042698979844353E-8</v>
      </c>
      <c r="Q47" s="28">
        <v>18.364085786499942</v>
      </c>
      <c r="R47" s="60">
        <v>150.12128289958162</v>
      </c>
      <c r="S47" s="57">
        <v>2.060454962516928E-6</v>
      </c>
      <c r="U47" s="127">
        <v>7.8701146365762738E-10</v>
      </c>
      <c r="V47" s="127">
        <v>7.254929274241735E-10</v>
      </c>
      <c r="W47" s="128">
        <v>6.8323059965675087E-10</v>
      </c>
      <c r="X47" s="128">
        <f t="shared" si="0"/>
        <v>7.3030697954068131E-10</v>
      </c>
      <c r="Y47" s="139">
        <f t="shared" si="1"/>
        <v>3.7775052169375161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8.2942211442474751E-10</v>
      </c>
      <c r="K48" s="109">
        <v>9.9842207032458246E-11</v>
      </c>
      <c r="L48" s="152">
        <v>6.6924429528444276E-10</v>
      </c>
      <c r="N48" s="18">
        <v>1.8231895299487332E-6</v>
      </c>
      <c r="O48" s="18">
        <v>1.5336178805998422E-10</v>
      </c>
      <c r="P48" s="18">
        <v>5.0331190411192935E-8</v>
      </c>
      <c r="Q48" s="28">
        <v>24.661645037873839</v>
      </c>
      <c r="R48" s="60">
        <v>153.37790906165762</v>
      </c>
      <c r="S48" s="57">
        <v>2.060454962516928E-6</v>
      </c>
      <c r="U48" s="127">
        <v>7.0983285603923252E-10</v>
      </c>
      <c r="V48" s="127">
        <v>6.6924429528444276E-10</v>
      </c>
      <c r="W48" s="128">
        <v>6.5010451264168234E-10</v>
      </c>
      <c r="X48" s="128">
        <f t="shared" si="0"/>
        <v>6.7460648981245012E-10</v>
      </c>
      <c r="Y48" s="139">
        <f t="shared" si="1"/>
        <v>2.4043696282349902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6.1108000886009514E-10</v>
      </c>
      <c r="K49" s="109">
        <v>8.6475152165660341E-11</v>
      </c>
      <c r="L49" s="152">
        <v>6.3915887590826473E-10</v>
      </c>
      <c r="N49" s="18">
        <v>1.822154264373398E-6</v>
      </c>
      <c r="O49" s="18">
        <v>1.5392483148537927E-10</v>
      </c>
      <c r="P49" s="18">
        <v>5.0509225500401457E-8</v>
      </c>
      <c r="Q49" s="28">
        <v>881.73817668719607</v>
      </c>
      <c r="R49" s="60">
        <v>153.37790906165762</v>
      </c>
      <c r="S49" s="57">
        <v>2.0551561611267919E-6</v>
      </c>
      <c r="U49" s="127">
        <v>6.5721236242686553E-10</v>
      </c>
      <c r="V49" s="127">
        <v>6.3915887590826473E-10</v>
      </c>
      <c r="W49" s="128">
        <v>6.438557583509402E-10</v>
      </c>
      <c r="X49" s="128">
        <f t="shared" si="0"/>
        <v>6.4484646814858377E-10</v>
      </c>
      <c r="Y49" s="139">
        <f t="shared" si="1"/>
        <v>0.1524713961407082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1.33238795146E-2</v>
      </c>
      <c r="J50" s="109">
        <v>6.7620433069344614E-10</v>
      </c>
      <c r="K50" s="109">
        <v>8.97804670103744E-11</v>
      </c>
      <c r="L50" s="152">
        <v>6.3408827158342374E-10</v>
      </c>
      <c r="N50" s="18">
        <v>1.8183269983783706E-6</v>
      </c>
      <c r="O50" s="18">
        <v>1.5392483148537927E-10</v>
      </c>
      <c r="P50" s="18">
        <v>5.0509225500401457E-8</v>
      </c>
      <c r="Q50" s="28">
        <v>3.4421631761482474</v>
      </c>
      <c r="R50" s="60">
        <v>156.63453522373362</v>
      </c>
      <c r="S50" s="57">
        <v>2.0551561611267919E-6</v>
      </c>
      <c r="U50" s="127">
        <v>6.2892146461505077E-10</v>
      </c>
      <c r="V50" s="127">
        <v>6.3408827158342374E-10</v>
      </c>
      <c r="W50" s="128">
        <v>6.6234115550989397E-10</v>
      </c>
      <c r="X50" s="128">
        <f t="shared" si="0"/>
        <v>6.3985979082294803E-10</v>
      </c>
      <c r="Y50" s="139">
        <f t="shared" si="1"/>
        <v>0.16387572635994296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6.3882562808466332E-10</v>
      </c>
      <c r="K51" s="109">
        <v>8.6512762699691709E-11</v>
      </c>
      <c r="L51" s="152">
        <v>6.5213350544855161E-10</v>
      </c>
      <c r="N51" s="18">
        <v>1.7906279674625683E-6</v>
      </c>
      <c r="O51" s="18">
        <v>1.5392483148537927E-10</v>
      </c>
      <c r="P51" s="18">
        <v>5.0509225500401457E-8</v>
      </c>
      <c r="Q51" s="28">
        <v>2.563177750747776</v>
      </c>
      <c r="R51" s="60">
        <v>156.63453522373362</v>
      </c>
      <c r="S51" s="57">
        <v>2.0491462814886453E-6</v>
      </c>
      <c r="U51" s="127">
        <v>6.2398378307681878E-10</v>
      </c>
      <c r="V51" s="127">
        <v>6.5213350544855161E-10</v>
      </c>
      <c r="W51" s="128">
        <v>7.0271236726924762E-10</v>
      </c>
      <c r="X51" s="128">
        <f t="shared" si="0"/>
        <v>6.5774079031079238E-10</v>
      </c>
      <c r="Y51" s="139">
        <f t="shared" si="1"/>
        <v>4.7803509190056041E-2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6.0684881940405302E-10</v>
      </c>
      <c r="K52" s="109">
        <v>8.3937479315967803E-11</v>
      </c>
      <c r="L52" s="152">
        <v>6.9075399996505343E-10</v>
      </c>
      <c r="N52" s="18">
        <v>1.7505571600541087E-6</v>
      </c>
      <c r="O52" s="18">
        <v>1.5392483148537927E-10</v>
      </c>
      <c r="P52" s="18">
        <v>5.0509225500401457E-8</v>
      </c>
      <c r="Q52" s="28">
        <v>1.4263543760469788</v>
      </c>
      <c r="R52" s="60">
        <v>159.89116138580962</v>
      </c>
      <c r="S52" s="57">
        <v>2.0491462814886453E-6</v>
      </c>
      <c r="U52" s="127">
        <v>6.4074599582670067E-10</v>
      </c>
      <c r="V52" s="127">
        <v>6.9075399996505343E-10</v>
      </c>
      <c r="W52" s="128">
        <v>7.6156092720037828E-10</v>
      </c>
      <c r="X52" s="128">
        <f t="shared" si="0"/>
        <v>6.9595373073929653E-10</v>
      </c>
      <c r="Y52" s="139">
        <f t="shared" si="1"/>
        <v>1.1269157242313534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5.8376942972934556E-10</v>
      </c>
      <c r="K53" s="109">
        <v>8.3891686543889345E-11</v>
      </c>
      <c r="L53" s="152">
        <v>7.4688849338248461E-10</v>
      </c>
      <c r="N53" s="18">
        <v>1.7052149451129719E-6</v>
      </c>
      <c r="O53" s="18">
        <v>1.5392483148537927E-10</v>
      </c>
      <c r="P53" s="18">
        <v>5.0509225500401457E-8</v>
      </c>
      <c r="Q53" s="28">
        <v>1.0450454197332617</v>
      </c>
      <c r="R53" s="60">
        <v>159.89116138580962</v>
      </c>
      <c r="S53" s="57">
        <v>2.0424076863464207E-6</v>
      </c>
      <c r="U53" s="127">
        <v>6.7696637743082509E-10</v>
      </c>
      <c r="V53" s="127">
        <v>7.4688849338248461E-10</v>
      </c>
      <c r="W53" s="128">
        <v>8.3506701574519784E-10</v>
      </c>
      <c r="X53" s="128">
        <f t="shared" si="0"/>
        <v>7.5145259498524807E-10</v>
      </c>
      <c r="Y53" s="139">
        <f t="shared" si="1"/>
        <v>3.9952234643657949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8.2380115060154812E-10</v>
      </c>
      <c r="K54" s="109">
        <v>9.8382337434560419E-11</v>
      </c>
      <c r="L54" s="152">
        <v>8.1708110999737506E-10</v>
      </c>
      <c r="N54" s="18">
        <v>1.6573630301800974E-6</v>
      </c>
      <c r="O54" s="18">
        <v>1.5392483148537927E-10</v>
      </c>
      <c r="P54" s="18">
        <v>5.0509225500401457E-8</v>
      </c>
      <c r="Q54" s="28">
        <v>0.8504436560372397</v>
      </c>
      <c r="R54" s="60">
        <v>163.14778754788563</v>
      </c>
      <c r="S54" s="57">
        <v>2.0424076863464207E-6</v>
      </c>
      <c r="U54" s="127">
        <v>7.2991495758139201E-10</v>
      </c>
      <c r="V54" s="127">
        <v>8.1708110999737506E-10</v>
      </c>
      <c r="W54" s="128">
        <v>9.1914543179689405E-10</v>
      </c>
      <c r="X54" s="128">
        <f t="shared" si="0"/>
        <v>8.208056523432591E-10</v>
      </c>
      <c r="Y54" s="139">
        <f t="shared" si="1"/>
        <v>9.2705151847032421E-4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8.2008713932688952E-10</v>
      </c>
      <c r="K55" s="109">
        <v>9.6290663136509422E-11</v>
      </c>
      <c r="L55" s="152">
        <v>8.976072535355477E-10</v>
      </c>
      <c r="N55" s="18">
        <v>1.6082657030459495E-6</v>
      </c>
      <c r="O55" s="18">
        <v>1.5392483148537927E-10</v>
      </c>
      <c r="P55" s="18">
        <v>5.0509225500401457E-8</v>
      </c>
      <c r="Q55" s="28">
        <v>0.73436281851289054</v>
      </c>
      <c r="R55" s="60">
        <v>163.14778754788563</v>
      </c>
      <c r="S55" s="57">
        <v>2.0349380031797748E-6</v>
      </c>
      <c r="U55" s="127">
        <v>7.9647994657802247E-10</v>
      </c>
      <c r="V55" s="127">
        <v>8.976072535355477E-10</v>
      </c>
      <c r="W55" s="128">
        <v>1.0095843827229464E-9</v>
      </c>
      <c r="X55" s="128">
        <f t="shared" si="0"/>
        <v>9.003197090930161E-10</v>
      </c>
      <c r="Y55" s="139">
        <f t="shared" si="1"/>
        <v>0.69427743389216978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1.0788577228540007E-9</v>
      </c>
      <c r="K56" s="109">
        <v>1.0952290666082638E-10</v>
      </c>
      <c r="L56" s="152">
        <v>9.845955750595317E-10</v>
      </c>
      <c r="N56" s="18">
        <v>1.5585532257705523E-6</v>
      </c>
      <c r="O56" s="18">
        <v>1.5392483148537927E-10</v>
      </c>
      <c r="P56" s="18">
        <v>5.0509225500401457E-8</v>
      </c>
      <c r="Q56" s="28">
        <v>0.6597096993751439</v>
      </c>
      <c r="R56" s="60">
        <v>166.40441370996163</v>
      </c>
      <c r="S56" s="57">
        <v>2.0349380031797748E-6</v>
      </c>
      <c r="U56" s="127">
        <v>8.732760693816255E-10</v>
      </c>
      <c r="V56" s="127">
        <v>9.845955750595317E-10</v>
      </c>
      <c r="W56" s="128">
        <v>1.1021746851879042E-9</v>
      </c>
      <c r="X56" s="128">
        <f t="shared" si="0"/>
        <v>9.8616047617214841E-10</v>
      </c>
      <c r="Y56" s="139">
        <f t="shared" si="1"/>
        <v>0.71634749627723537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1.42850022548E-2</v>
      </c>
      <c r="J57" s="109">
        <v>1.2299859772947317E-9</v>
      </c>
      <c r="K57" s="109">
        <v>1.1576849473153567E-10</v>
      </c>
      <c r="L57" s="152">
        <v>1.074143747164992E-9</v>
      </c>
      <c r="N57" s="18">
        <v>1.5085511408073501E-6</v>
      </c>
      <c r="O57" s="18">
        <v>1.5392483148537927E-10</v>
      </c>
      <c r="P57" s="18">
        <v>5.0509225500401457E-8</v>
      </c>
      <c r="Q57" s="28">
        <v>0.61023171933257703</v>
      </c>
      <c r="R57" s="60">
        <v>166.40441370996163</v>
      </c>
      <c r="S57" s="57">
        <v>2.0267521322711689E-6</v>
      </c>
      <c r="U57" s="127">
        <v>9.5675158836886133E-10</v>
      </c>
      <c r="V57" s="127">
        <v>1.074143747164992E-9</v>
      </c>
      <c r="W57" s="128">
        <v>1.1928285305177402E-9</v>
      </c>
      <c r="X57" s="128">
        <f t="shared" si="0"/>
        <v>1.0744669033041464E-9</v>
      </c>
      <c r="Y57" s="139">
        <f t="shared" si="1"/>
        <v>1.8046232586506759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1.44278522774E-2</v>
      </c>
      <c r="J58" s="109">
        <v>1.1994843095363955E-9</v>
      </c>
      <c r="K58" s="109">
        <v>1.1404947759632492E-10</v>
      </c>
      <c r="L58" s="152">
        <v>1.1624269752951403E-9</v>
      </c>
      <c r="N58" s="18">
        <v>1.4584262750255901E-6</v>
      </c>
      <c r="O58" s="18">
        <v>1.5392483148537927E-10</v>
      </c>
      <c r="P58" s="18">
        <v>5.0509225500401457E-8</v>
      </c>
      <c r="Q58" s="28">
        <v>0.57779096573949484</v>
      </c>
      <c r="R58" s="60">
        <v>169.66103987203763</v>
      </c>
      <c r="S58" s="57">
        <v>2.0267521322711689E-6</v>
      </c>
      <c r="U58" s="127">
        <v>1.043291888049421E-9</v>
      </c>
      <c r="V58" s="127">
        <v>1.1624269752951403E-9</v>
      </c>
      <c r="W58" s="128">
        <v>1.2776880051234371E-9</v>
      </c>
      <c r="X58" s="128">
        <f t="shared" si="0"/>
        <v>1.1614584609407848E-9</v>
      </c>
      <c r="Y58" s="139">
        <f t="shared" si="1"/>
        <v>0.11116580792626209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1.4572130800099999E-2</v>
      </c>
      <c r="J59" s="109">
        <v>1.3716060124201489E-9</v>
      </c>
      <c r="K59" s="109">
        <v>1.2036336704671784E-10</v>
      </c>
      <c r="L59" s="152">
        <v>1.2457990210062693E-9</v>
      </c>
      <c r="N59" s="18">
        <v>1.4082588784010854E-6</v>
      </c>
      <c r="O59" s="18">
        <v>1.5392483148537927E-10</v>
      </c>
      <c r="P59" s="18">
        <v>5.0509225500401457E-8</v>
      </c>
      <c r="Q59" s="28">
        <v>0.55803565126484422</v>
      </c>
      <c r="R59" s="60">
        <v>169.66103987203763</v>
      </c>
      <c r="S59" s="57">
        <v>2.0178834839137424E-6</v>
      </c>
      <c r="U59" s="127">
        <v>1.129318425195832E-9</v>
      </c>
      <c r="V59" s="127">
        <v>1.2457990210062693E-9</v>
      </c>
      <c r="W59" s="128">
        <v>1.35322407512933E-9</v>
      </c>
      <c r="X59" s="128">
        <f t="shared" si="0"/>
        <v>1.2435351355844252E-9</v>
      </c>
      <c r="Y59" s="139">
        <f t="shared" si="1"/>
        <v>1.1321712163782895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1.4717852108099999E-2</v>
      </c>
      <c r="J60" s="109">
        <v>1.3552044258650161E-9</v>
      </c>
      <c r="K60" s="109">
        <v>1.2229846401769807E-10</v>
      </c>
      <c r="L60" s="152">
        <v>1.320885958036195E-9</v>
      </c>
      <c r="N60" s="18">
        <v>1.3580816676216257E-6</v>
      </c>
      <c r="O60" s="18">
        <v>1.5392483148537927E-10</v>
      </c>
      <c r="P60" s="18">
        <v>5.0509225500401457E-8</v>
      </c>
      <c r="Q60" s="28">
        <v>0.54866159745868937</v>
      </c>
      <c r="R60" s="60">
        <v>172.91766603411364</v>
      </c>
      <c r="S60" s="57">
        <v>2.0178834839137424E-6</v>
      </c>
      <c r="U60" s="127">
        <v>1.2113825220411991E-9</v>
      </c>
      <c r="V60" s="127">
        <v>1.320885958036195E-9</v>
      </c>
      <c r="W60" s="128">
        <v>1.4163267748226287E-9</v>
      </c>
      <c r="X60" s="128">
        <f t="shared" si="0"/>
        <v>1.3173703032340546E-9</v>
      </c>
      <c r="Y60" s="139">
        <f t="shared" si="1"/>
        <v>9.5702950918859567E-2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1.4865030629200001E-2</v>
      </c>
      <c r="J61" s="109">
        <v>1.2700730568574161E-9</v>
      </c>
      <c r="K61" s="109">
        <v>1.1653829605115783E-10</v>
      </c>
      <c r="L61" s="152">
        <v>1.3846729564623515E-9</v>
      </c>
      <c r="N61" s="18">
        <v>1.322554186197622E-6</v>
      </c>
      <c r="O61" s="18">
        <v>1.5392462373247677E-10</v>
      </c>
      <c r="P61" s="18">
        <v>5.050914391620612E-8</v>
      </c>
      <c r="Q61" s="28">
        <v>0.22727272727272727</v>
      </c>
      <c r="R61" s="60">
        <v>172.91766603411364</v>
      </c>
      <c r="S61" s="57">
        <v>2.0083844454082783E-6</v>
      </c>
      <c r="U61" s="127">
        <v>1.2862538678164376E-9</v>
      </c>
      <c r="V61" s="127">
        <v>1.3846729564623515E-9</v>
      </c>
      <c r="W61" s="128">
        <v>1.4643869740027848E-9</v>
      </c>
      <c r="X61" s="128">
        <f t="shared" si="0"/>
        <v>1.3799966886859813E-9</v>
      </c>
      <c r="Y61" s="139">
        <f t="shared" si="1"/>
        <v>0.88970249826143888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1.6873394150809951E-9</v>
      </c>
      <c r="K62" s="109">
        <v>1.3200259780160548E-10</v>
      </c>
      <c r="L62" s="152">
        <v>1.4345841461460893E-9</v>
      </c>
      <c r="N62" s="18">
        <v>1.2913069449591058E-6</v>
      </c>
      <c r="O62" s="18">
        <v>1.5392438425026633E-10</v>
      </c>
      <c r="P62" s="18">
        <v>5.0509049871967987E-8</v>
      </c>
      <c r="Q62" s="28">
        <v>0.45454545454545453</v>
      </c>
      <c r="R62" s="60">
        <v>176.17429219618964</v>
      </c>
      <c r="S62" s="57">
        <v>2.0083844454082783E-6</v>
      </c>
      <c r="U62" s="127">
        <v>1.3510036980632165E-9</v>
      </c>
      <c r="V62" s="127">
        <v>1.4345841461460893E-9</v>
      </c>
      <c r="W62" s="128">
        <v>1.4953694451039645E-9</v>
      </c>
      <c r="X62" s="128">
        <f t="shared" si="0"/>
        <v>1.4288853588648398E-9</v>
      </c>
      <c r="Y62" s="139">
        <f t="shared" si="1"/>
        <v>3.8335554419858426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1.4658491840149162E-9</v>
      </c>
      <c r="K63" s="109">
        <v>9.0173257494362319E-11</v>
      </c>
      <c r="L63" s="152">
        <v>1.4685551129435465E-9</v>
      </c>
      <c r="N63" s="18">
        <v>1.2501014842147682E-6</v>
      </c>
      <c r="O63" s="18">
        <v>1.5392363528405696E-10</v>
      </c>
      <c r="P63" s="18">
        <v>5.0508755754269556E-8</v>
      </c>
      <c r="Q63" s="28">
        <v>0.45454545454545453</v>
      </c>
      <c r="R63" s="60">
        <v>176.17429219618964</v>
      </c>
      <c r="S63" s="57">
        <v>1.9983259896539519E-6</v>
      </c>
      <c r="U63" s="127">
        <v>1.4030824620371265E-9</v>
      </c>
      <c r="V63" s="127">
        <v>1.4685551129435465E-9</v>
      </c>
      <c r="W63" s="128">
        <v>1.5078761161421825E-9</v>
      </c>
      <c r="X63" s="128">
        <f t="shared" si="0"/>
        <v>1.4620172010166007E-9</v>
      </c>
      <c r="Y63" s="139">
        <f t="shared" si="1"/>
        <v>1.805891398821102E-3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1.6133444217490972E-9</v>
      </c>
      <c r="K64" s="109">
        <v>9.3230528121440627E-11</v>
      </c>
      <c r="L64" s="152">
        <v>1.4850969221825159E-9</v>
      </c>
      <c r="N64" s="18">
        <v>1.2098491889687374E-6</v>
      </c>
      <c r="O64" s="18">
        <v>1.5392176934880552E-10</v>
      </c>
      <c r="P64" s="18">
        <v>5.0508023004814749E-8</v>
      </c>
      <c r="Q64" s="28">
        <v>0.45454545454545453</v>
      </c>
      <c r="R64" s="60">
        <v>179.43091835826564</v>
      </c>
      <c r="S64" s="57">
        <v>1.9983259896539519E-6</v>
      </c>
      <c r="U64" s="127">
        <v>1.4403914204865377E-9</v>
      </c>
      <c r="V64" s="127">
        <v>1.4850969221825159E-9</v>
      </c>
      <c r="W64" s="128">
        <v>1.5011975077614599E-9</v>
      </c>
      <c r="X64" s="128">
        <f t="shared" si="0"/>
        <v>1.4779456931532575E-9</v>
      </c>
      <c r="Y64" s="139">
        <f t="shared" si="1"/>
        <v>2.1091763058121376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1.3603844934016131E-9</v>
      </c>
      <c r="K65" s="109">
        <v>8.5607339090394385E-11</v>
      </c>
      <c r="L65" s="152">
        <v>1.4833498343979222E-9</v>
      </c>
      <c r="N65" s="18">
        <v>1.1710037160547048E-6</v>
      </c>
      <c r="O65" s="18">
        <v>1.5391732796236246E-10</v>
      </c>
      <c r="P65" s="18">
        <v>5.0506278880257284E-8</v>
      </c>
      <c r="Q65" s="28">
        <v>0.45454545454545453</v>
      </c>
      <c r="R65" s="60">
        <v>179.43091835826564</v>
      </c>
      <c r="S65" s="57">
        <v>1.9877963810361308E-6</v>
      </c>
      <c r="U65" s="127">
        <v>1.461347097354584E-9</v>
      </c>
      <c r="V65" s="127">
        <v>1.4833498343979222E-9</v>
      </c>
      <c r="W65" s="128">
        <v>1.4753495325151831E-9</v>
      </c>
      <c r="X65" s="128">
        <f t="shared" si="0"/>
        <v>1.475849074666403E-9</v>
      </c>
      <c r="Y65" s="139">
        <f t="shared" si="1"/>
        <v>1.8191795839620692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1.5169759013463167E-9</v>
      </c>
      <c r="K66" s="109">
        <v>8.8440827982221194E-11</v>
      </c>
      <c r="L66" s="152">
        <v>1.4631241788256469E-9</v>
      </c>
      <c r="N66" s="18">
        <v>1.134003708808447E-6</v>
      </c>
      <c r="O66" s="18">
        <v>1.5390722782781785E-10</v>
      </c>
      <c r="P66" s="18">
        <v>5.0502312575384026E-8</v>
      </c>
      <c r="Q66" s="28">
        <v>0.45454545454545453</v>
      </c>
      <c r="R66" s="60">
        <v>182.68754452034165</v>
      </c>
      <c r="S66" s="57">
        <v>1.9877963810361308E-6</v>
      </c>
      <c r="U66" s="127">
        <v>1.464936910644784E-9</v>
      </c>
      <c r="V66" s="127">
        <v>1.4631241788256469E-9</v>
      </c>
      <c r="W66" s="128">
        <v>1.431092207412912E-9</v>
      </c>
      <c r="X66" s="128">
        <f t="shared" si="0"/>
        <v>1.4555693689272473E-9</v>
      </c>
      <c r="Y66" s="139">
        <f t="shared" si="1"/>
        <v>0.48208492154144617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1.4802736568768086E-9</v>
      </c>
      <c r="K67" s="109">
        <v>8.7141705589256693E-11</v>
      </c>
      <c r="L67" s="152">
        <v>1.4249252860974587E-9</v>
      </c>
      <c r="N67" s="18">
        <v>1.0992887827933096E-6</v>
      </c>
      <c r="O67" s="18">
        <v>1.5388528355918637E-10</v>
      </c>
      <c r="P67" s="18">
        <v>5.0493695100118872E-8</v>
      </c>
      <c r="Q67" s="28">
        <v>0.45454545454545453</v>
      </c>
      <c r="R67" s="60">
        <v>182.68754452034165</v>
      </c>
      <c r="S67" s="57">
        <v>1.9768989927606532E-6</v>
      </c>
      <c r="U67" s="127">
        <v>1.4507637124245194E-9</v>
      </c>
      <c r="V67" s="127">
        <v>1.4249252860974587E-9</v>
      </c>
      <c r="W67" s="128">
        <v>1.369926516139612E-9</v>
      </c>
      <c r="X67" s="128">
        <f t="shared" ref="X67:X130" si="2">(U67+2*V67+W67)/4</f>
        <v>1.4176352001897623E-9</v>
      </c>
      <c r="Y67" s="139">
        <f t="shared" ref="Y67:Y130" si="3">(J67-X67)*(J67-X67)/(K67*K67)</f>
        <v>0.51668991610862303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1.3977411078462752E-9</v>
      </c>
      <c r="K68" s="109">
        <v>8.4862307169217797E-11</v>
      </c>
      <c r="L68" s="152">
        <v>1.3699590534773298E-9</v>
      </c>
      <c r="N68" s="18">
        <v>1.0673368011419614E-6</v>
      </c>
      <c r="O68" s="18">
        <v>1.5383973244666914E-10</v>
      </c>
      <c r="P68" s="18">
        <v>5.0475807259242999E-8</v>
      </c>
      <c r="Q68" s="28">
        <v>0.45454545454545453</v>
      </c>
      <c r="R68" s="60">
        <v>185.94417068241765</v>
      </c>
      <c r="S68" s="57">
        <v>1.9768989927606532E-6</v>
      </c>
      <c r="U68" s="127">
        <v>1.419076458145057E-9</v>
      </c>
      <c r="V68" s="127">
        <v>1.3699590534773298E-9</v>
      </c>
      <c r="W68" s="128">
        <v>1.2940657588981019E-9</v>
      </c>
      <c r="X68" s="128">
        <f t="shared" si="2"/>
        <v>1.3632650809994546E-9</v>
      </c>
      <c r="Y68" s="139">
        <f t="shared" si="3"/>
        <v>0.16504590399993499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1.5099027938118931E-9</v>
      </c>
      <c r="K69" s="109">
        <v>8.9950445557384672E-11</v>
      </c>
      <c r="L69" s="152">
        <v>1.3001147215730515E-9</v>
      </c>
      <c r="N69" s="18">
        <v>1.0387293935391389E-6</v>
      </c>
      <c r="O69" s="18">
        <v>1.5374939678812531E-10</v>
      </c>
      <c r="P69" s="18">
        <v>5.0440332606788841E-8</v>
      </c>
      <c r="Q69" s="28">
        <v>0.45454545454545453</v>
      </c>
      <c r="R69" s="60">
        <v>185.94417068241765</v>
      </c>
      <c r="S69" s="57">
        <v>1.9657493106027076E-6</v>
      </c>
      <c r="U69" s="127">
        <v>1.3707838915666644E-9</v>
      </c>
      <c r="V69" s="127">
        <v>1.3001147215730515E-9</v>
      </c>
      <c r="W69" s="128">
        <v>1.2063783267687068E-9</v>
      </c>
      <c r="X69" s="128">
        <f t="shared" si="2"/>
        <v>1.2943479153703686E-9</v>
      </c>
      <c r="Y69" s="139">
        <f t="shared" si="3"/>
        <v>5.7426067184773366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1.3467105210869174E-9</v>
      </c>
      <c r="K70" s="109">
        <v>1.2135447656846168E-10</v>
      </c>
      <c r="L70" s="152">
        <v>1.2179218518154822E-9</v>
      </c>
      <c r="N70" s="18">
        <v>1.0142502803598605E-6</v>
      </c>
      <c r="O70" s="18">
        <v>1.5357823763804676E-10</v>
      </c>
      <c r="P70" s="18">
        <v>5.0373118712948229E-8</v>
      </c>
      <c r="Q70" s="28">
        <v>0.45454545454545453</v>
      </c>
      <c r="R70" s="60">
        <v>189.20079684449365</v>
      </c>
      <c r="S70" s="57">
        <v>1.9657493106027076E-6</v>
      </c>
      <c r="U70" s="127">
        <v>1.3074480552659557E-9</v>
      </c>
      <c r="V70" s="127">
        <v>1.2179218518154822E-9</v>
      </c>
      <c r="W70" s="128">
        <v>1.1102999620922314E-9</v>
      </c>
      <c r="X70" s="128">
        <f t="shared" si="2"/>
        <v>1.2133979302472878E-9</v>
      </c>
      <c r="Y70" s="139">
        <f t="shared" si="3"/>
        <v>1.2067873099943869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1.1250951159229171E-9</v>
      </c>
      <c r="K71" s="109">
        <v>1.1223656316706999E-10</v>
      </c>
      <c r="L71" s="152">
        <v>1.1264793565109152E-9</v>
      </c>
      <c r="N71" s="18">
        <v>9.9501421951855528E-7</v>
      </c>
      <c r="O71" s="18">
        <v>1.5326841009825541E-10</v>
      </c>
      <c r="P71" s="18">
        <v>5.0251449989079967E-8</v>
      </c>
      <c r="Q71" s="28">
        <v>0.45454545454545453</v>
      </c>
      <c r="R71" s="60">
        <v>189.20079684449365</v>
      </c>
      <c r="S71" s="57">
        <v>1.9572958257736696E-6</v>
      </c>
      <c r="U71" s="127">
        <v>1.2312546902968072E-9</v>
      </c>
      <c r="V71" s="127">
        <v>1.1264793565109152E-9</v>
      </c>
      <c r="W71" s="128">
        <v>1.0097152004349566E-9</v>
      </c>
      <c r="X71" s="128">
        <f t="shared" si="2"/>
        <v>1.1234821509383986E-9</v>
      </c>
      <c r="Y71" s="139">
        <f t="shared" si="3"/>
        <v>2.0652905595830478E-4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1.014981058798731E-9</v>
      </c>
      <c r="K72" s="109">
        <v>1.0085196907283523E-10</v>
      </c>
      <c r="L72" s="152">
        <v>1.029355746044287E-9</v>
      </c>
      <c r="N72" s="18">
        <v>9.826120783920275E-7</v>
      </c>
      <c r="O72" s="18">
        <v>1.5273259210709308E-10</v>
      </c>
      <c r="P72" s="18">
        <v>5.0041035216867413E-8</v>
      </c>
      <c r="Q72" s="28">
        <v>0.45454545454545453</v>
      </c>
      <c r="R72" s="60">
        <v>190.82910992553167</v>
      </c>
      <c r="S72" s="57">
        <v>1.9572958257736696E-6</v>
      </c>
      <c r="U72" s="127">
        <v>1.1449582217616346E-9</v>
      </c>
      <c r="V72" s="127">
        <v>1.029355746044287E-9</v>
      </c>
      <c r="W72" s="128">
        <v>9.0880973990487709E-10</v>
      </c>
      <c r="X72" s="128">
        <f t="shared" si="2"/>
        <v>1.0281198634387715E-9</v>
      </c>
      <c r="Y72" s="139">
        <f t="shared" si="3"/>
        <v>1.6972387803916061E-2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1.67502885867E-2</v>
      </c>
      <c r="J73" s="109">
        <v>8.2915869875294412E-10</v>
      </c>
      <c r="K73" s="109">
        <v>9.5749627878510391E-11</v>
      </c>
      <c r="L73" s="152">
        <v>9.3046146598874607E-10</v>
      </c>
      <c r="N73" s="18">
        <v>9.7924028577783184E-7</v>
      </c>
      <c r="O73" s="18">
        <v>1.5184729200633146E-10</v>
      </c>
      <c r="P73" s="18">
        <v>4.9693379441746038E-8</v>
      </c>
      <c r="Q73" s="28">
        <v>0.45454545454545453</v>
      </c>
      <c r="R73" s="60">
        <v>190.82910992553167</v>
      </c>
      <c r="S73" s="57">
        <v>1.9476847042481641E-6</v>
      </c>
      <c r="U73" s="127">
        <v>1.0518000549308588E-9</v>
      </c>
      <c r="V73" s="127">
        <v>9.3046146598874607E-10</v>
      </c>
      <c r="W73" s="128">
        <v>8.1189779208508351E-10</v>
      </c>
      <c r="X73" s="128">
        <f t="shared" si="2"/>
        <v>9.3115519474835865E-10</v>
      </c>
      <c r="Y73" s="139">
        <f t="shared" si="3"/>
        <v>1.1347398709579504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7.8092751338810003E-10</v>
      </c>
      <c r="K74" s="109">
        <v>9.0628165487646283E-11</v>
      </c>
      <c r="L74" s="152">
        <v>8.3389618977413334E-10</v>
      </c>
      <c r="N74" s="18">
        <v>9.8776460216188029E-7</v>
      </c>
      <c r="O74" s="18">
        <v>1.5044983463714939E-10</v>
      </c>
      <c r="P74" s="18">
        <v>4.9144600418153815E-8</v>
      </c>
      <c r="Q74" s="28">
        <v>0.45454545454545453</v>
      </c>
      <c r="R74" s="60">
        <v>194.7600384928345</v>
      </c>
      <c r="S74" s="57">
        <v>1.9476847042481641E-6</v>
      </c>
      <c r="U74" s="127">
        <v>9.5540030441615694E-10</v>
      </c>
      <c r="V74" s="127">
        <v>8.3389618977413334E-10</v>
      </c>
      <c r="W74" s="128">
        <v>7.2323082123725853E-10</v>
      </c>
      <c r="X74" s="128">
        <f t="shared" si="2"/>
        <v>8.3660587630042056E-10</v>
      </c>
      <c r="Y74" s="139">
        <f t="shared" si="3"/>
        <v>0.37743879480071885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8.1295883588716262E-10</v>
      </c>
      <c r="K75" s="109">
        <v>9.5466857085780332E-11</v>
      </c>
      <c r="L75" s="152">
        <v>7.4377603883322393E-10</v>
      </c>
      <c r="N75" s="18">
        <v>1.0116563421398208E-6</v>
      </c>
      <c r="O75" s="18">
        <v>1.4834236768904425E-10</v>
      </c>
      <c r="P75" s="18">
        <v>4.8317001895623606E-8</v>
      </c>
      <c r="Q75" s="28">
        <v>0.45454545454545453</v>
      </c>
      <c r="R75" s="60">
        <v>194.7600384928345</v>
      </c>
      <c r="S75" s="57">
        <v>1.9341118982153967E-6</v>
      </c>
      <c r="U75" s="127">
        <v>8.5962476699792305E-10</v>
      </c>
      <c r="V75" s="127">
        <v>7.4377603883322393E-10</v>
      </c>
      <c r="W75" s="128">
        <v>6.4679621797837358E-10</v>
      </c>
      <c r="X75" s="128">
        <f t="shared" si="2"/>
        <v>7.4849326566068615E-10</v>
      </c>
      <c r="Y75" s="139">
        <f t="shared" si="3"/>
        <v>0.45598484285569096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7.9062347368596753E-10</v>
      </c>
      <c r="K76" s="109">
        <v>9.0620990400285361E-11</v>
      </c>
      <c r="L76" s="152">
        <v>6.6404772688454263E-10</v>
      </c>
      <c r="N76" s="18">
        <v>1.0547437388811689E-6</v>
      </c>
      <c r="O76" s="18">
        <v>1.4530598180669824E-10</v>
      </c>
      <c r="P76" s="18">
        <v>4.7124618559637941E-8</v>
      </c>
      <c r="Q76" s="28">
        <v>0.45454545454545453</v>
      </c>
      <c r="R76" s="60">
        <v>198.75812819565095</v>
      </c>
      <c r="S76" s="57">
        <v>1.9341118982153967E-6</v>
      </c>
      <c r="U76" s="127">
        <v>7.6843081324820932E-10</v>
      </c>
      <c r="V76" s="127">
        <v>6.6404772688454263E-10</v>
      </c>
      <c r="W76" s="128">
        <v>5.8611613706764174E-10</v>
      </c>
      <c r="X76" s="128">
        <f t="shared" si="2"/>
        <v>6.7066060102123411E-10</v>
      </c>
      <c r="Y76" s="139">
        <f t="shared" si="3"/>
        <v>1.7524115435637195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6.7681470952408779E-10</v>
      </c>
      <c r="K77" s="109">
        <v>8.5038369919056074E-11</v>
      </c>
      <c r="L77" s="152">
        <v>5.9829834017468332E-10</v>
      </c>
      <c r="N77" s="18">
        <v>1.1207502640282688E-6</v>
      </c>
      <c r="O77" s="18">
        <v>1.4112645118160966E-10</v>
      </c>
      <c r="P77" s="18">
        <v>4.5483324316184636E-8</v>
      </c>
      <c r="Q77" s="28">
        <v>0.45454545454545453</v>
      </c>
      <c r="R77" s="60">
        <v>198.75812819565095</v>
      </c>
      <c r="S77" s="57">
        <v>1.9205417468862193E-6</v>
      </c>
      <c r="U77" s="127">
        <v>6.8569774441785883E-10</v>
      </c>
      <c r="V77" s="127">
        <v>5.9829834017468332E-10</v>
      </c>
      <c r="W77" s="128">
        <v>5.4405772988425717E-10</v>
      </c>
      <c r="X77" s="128">
        <f t="shared" si="2"/>
        <v>6.0658803866287063E-10</v>
      </c>
      <c r="Y77" s="139">
        <f t="shared" si="3"/>
        <v>0.68198419251115849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5.2508734875252083E-10</v>
      </c>
      <c r="K78" s="109">
        <v>7.8519751370172109E-11</v>
      </c>
      <c r="L78" s="152">
        <v>5.4957067255734444E-10</v>
      </c>
      <c r="N78" s="18">
        <v>1.2126464922241488E-6</v>
      </c>
      <c r="O78" s="18">
        <v>1.3563011623289256E-10</v>
      </c>
      <c r="P78" s="18">
        <v>4.3324923356691892E-8</v>
      </c>
      <c r="Q78" s="28">
        <v>0.45454545454545453</v>
      </c>
      <c r="R78" s="60">
        <v>202.89775638117544</v>
      </c>
      <c r="S78" s="57">
        <v>1.9205417468862193E-6</v>
      </c>
      <c r="U78" s="127">
        <v>6.1504885863311883E-10</v>
      </c>
      <c r="V78" s="127">
        <v>5.4957067255734444E-10</v>
      </c>
      <c r="W78" s="128">
        <v>5.2266618100226596E-10</v>
      </c>
      <c r="X78" s="128">
        <f t="shared" si="2"/>
        <v>5.5921409618751839E-10</v>
      </c>
      <c r="Y78" s="139">
        <f t="shared" si="3"/>
        <v>0.18890000316096783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4.3701779177853038E-10</v>
      </c>
      <c r="K79" s="109">
        <v>7.0451739561000252E-11</v>
      </c>
      <c r="L79" s="152">
        <v>5.2019457894094947E-10</v>
      </c>
      <c r="N79" s="18">
        <v>1.3319119963341632E-6</v>
      </c>
      <c r="O79" s="18">
        <v>1.2872462070995875E-10</v>
      </c>
      <c r="P79" s="18">
        <v>4.0613147545803174E-8</v>
      </c>
      <c r="Q79" s="28">
        <v>0.45454545454545453</v>
      </c>
      <c r="R79" s="60">
        <v>202.89775638117544</v>
      </c>
      <c r="S79" s="57">
        <v>1.9069831000402527E-6</v>
      </c>
      <c r="U79" s="127">
        <v>5.5967381351489412E-10</v>
      </c>
      <c r="V79" s="127">
        <v>5.2019457894094947E-10</v>
      </c>
      <c r="W79" s="128">
        <v>5.2303126789729776E-10</v>
      </c>
      <c r="X79" s="128">
        <f t="shared" si="2"/>
        <v>5.3077355982352273E-10</v>
      </c>
      <c r="Y79" s="139">
        <f t="shared" si="3"/>
        <v>1.7709754866771898</v>
      </c>
      <c r="AA79" s="73"/>
      <c r="AB79" s="176"/>
      <c r="AC79" s="176"/>
      <c r="AD79" s="176"/>
      <c r="AJ79" s="135"/>
    </row>
    <row r="80" spans="2:36" x14ac:dyDescent="0.35">
      <c r="I80" s="109">
        <v>1.7958576551799998E-2</v>
      </c>
      <c r="J80" s="109">
        <v>5.0874552993084829E-10</v>
      </c>
      <c r="K80" s="109">
        <v>7.3093971090924198E-11</v>
      </c>
      <c r="L80" s="152">
        <v>5.1164460363606142E-10</v>
      </c>
      <c r="N80" s="18">
        <v>1.4778664942741728E-6</v>
      </c>
      <c r="O80" s="18">
        <v>1.2043579780249245E-10</v>
      </c>
      <c r="P80" s="18">
        <v>3.7358141531164883E-8</v>
      </c>
      <c r="Q80" s="28">
        <v>0.45454545454545453</v>
      </c>
      <c r="R80" s="60">
        <v>207.26980886181104</v>
      </c>
      <c r="S80" s="57">
        <v>1.9069831000402527E-6</v>
      </c>
      <c r="U80" s="127">
        <v>5.2216069817108723E-10</v>
      </c>
      <c r="V80" s="127">
        <v>5.1164460363606142E-10</v>
      </c>
      <c r="W80" s="128">
        <v>5.451966559534754E-10</v>
      </c>
      <c r="X80" s="128">
        <f t="shared" si="2"/>
        <v>5.2266164034917134E-10</v>
      </c>
      <c r="Y80" s="139">
        <f t="shared" si="3"/>
        <v>3.6247045904270185E-2</v>
      </c>
      <c r="AA80" s="73"/>
      <c r="AB80" s="176"/>
      <c r="AC80" s="176"/>
      <c r="AD80" s="176"/>
      <c r="AJ80" s="135"/>
    </row>
    <row r="81" spans="2:36" x14ac:dyDescent="0.35">
      <c r="I81" s="109">
        <v>1.8138162317300002E-2</v>
      </c>
      <c r="J81" s="109">
        <v>4.8098204507507681E-10</v>
      </c>
      <c r="K81" s="109">
        <v>7.4299548234935659E-11</v>
      </c>
      <c r="L81" s="152">
        <v>5.2443318556658495E-10</v>
      </c>
      <c r="N81" s="18">
        <v>1.6472574129516165E-6</v>
      </c>
      <c r="O81" s="18">
        <v>1.1093048112340735E-10</v>
      </c>
      <c r="P81" s="18">
        <v>3.3625420575865659E-8</v>
      </c>
      <c r="Q81" s="28">
        <v>0.45454545454545453</v>
      </c>
      <c r="R81" s="60">
        <v>207.26980886181104</v>
      </c>
      <c r="S81" s="57">
        <v>1.8934576650888682E-6</v>
      </c>
      <c r="U81" s="127">
        <v>5.04347432200575E-10</v>
      </c>
      <c r="V81" s="127">
        <v>5.2443318556658495E-10</v>
      </c>
      <c r="W81" s="128">
        <v>5.8811896937033047E-10</v>
      </c>
      <c r="X81" s="128">
        <f t="shared" si="2"/>
        <v>5.3533319317601889E-10</v>
      </c>
      <c r="Y81" s="139">
        <f t="shared" si="3"/>
        <v>0.53511250325755666</v>
      </c>
      <c r="AA81" s="73"/>
      <c r="AB81" s="176"/>
      <c r="AC81" s="176"/>
      <c r="AD81" s="176"/>
      <c r="AJ81" s="135"/>
    </row>
    <row r="82" spans="2:36" x14ac:dyDescent="0.35">
      <c r="I82" s="109">
        <v>1.8319543940500001E-2</v>
      </c>
      <c r="J82" s="109">
        <v>4.9254392540345853E-10</v>
      </c>
      <c r="K82" s="109">
        <v>7.630236432030114E-11</v>
      </c>
      <c r="L82" s="152">
        <v>5.5804712186872668E-10</v>
      </c>
      <c r="N82" s="18">
        <v>1.8342630456571564E-6</v>
      </c>
      <c r="O82" s="18">
        <v>1.0051655036892841E-10</v>
      </c>
      <c r="P82" s="18">
        <v>2.9535888489069367E-8</v>
      </c>
      <c r="Q82" s="28">
        <v>0.45454545454545453</v>
      </c>
      <c r="R82" s="60">
        <v>211.99635016780391</v>
      </c>
      <c r="S82" s="57">
        <v>1.8934576650888682E-6</v>
      </c>
      <c r="U82" s="127">
        <v>5.0720164693915936E-10</v>
      </c>
      <c r="V82" s="127">
        <v>5.5804712186872668E-10</v>
      </c>
      <c r="W82" s="128">
        <v>6.4968105446509137E-10</v>
      </c>
      <c r="X82" s="128">
        <f t="shared" si="2"/>
        <v>5.68244236285426E-10</v>
      </c>
      <c r="Y82" s="139">
        <f t="shared" si="3"/>
        <v>0.9842815295895736</v>
      </c>
      <c r="AA82" s="73"/>
      <c r="AB82" s="176"/>
      <c r="AC82" s="176"/>
      <c r="AD82" s="176"/>
      <c r="AJ82" s="135"/>
    </row>
    <row r="83" spans="2:36" x14ac:dyDescent="0.35">
      <c r="I83" s="109">
        <v>1.8502739379900001E-2</v>
      </c>
      <c r="J83" s="109">
        <v>6.093164535712876E-10</v>
      </c>
      <c r="K83" s="109">
        <v>8.3494619040286408E-11</v>
      </c>
      <c r="L83" s="152">
        <v>6.1093283757343674E-10</v>
      </c>
      <c r="N83" s="18">
        <v>1.9813789193172719E-6</v>
      </c>
      <c r="O83" s="18">
        <v>9.2360844852852474E-11</v>
      </c>
      <c r="P83" s="18">
        <v>2.6333157437289582E-8</v>
      </c>
      <c r="Q83" s="28">
        <v>0.22727272727272727</v>
      </c>
      <c r="R83" s="60">
        <v>211.99635016780391</v>
      </c>
      <c r="S83" s="57">
        <v>1.8800105682696976E-6</v>
      </c>
      <c r="U83" s="127">
        <v>5.3073710746147784E-10</v>
      </c>
      <c r="V83" s="127">
        <v>6.1093283757343674E-10</v>
      </c>
      <c r="W83" s="128">
        <v>7.2676101143405049E-10</v>
      </c>
      <c r="X83" s="128">
        <f t="shared" si="2"/>
        <v>6.198409485106005E-10</v>
      </c>
      <c r="Y83" s="139">
        <f t="shared" si="3"/>
        <v>1.5888597093193346E-2</v>
      </c>
      <c r="AA83" s="73"/>
      <c r="AB83" s="176"/>
      <c r="AC83" s="176"/>
      <c r="AD83" s="176"/>
      <c r="AJ83" s="135"/>
    </row>
    <row r="84" spans="2:36" x14ac:dyDescent="0.35">
      <c r="I84" s="109">
        <v>1.8687766773700001E-2</v>
      </c>
      <c r="J84" s="109">
        <v>6.9929355728002067E-10</v>
      </c>
      <c r="K84" s="109">
        <v>8.8869862355547725E-11</v>
      </c>
      <c r="L84" s="152">
        <v>6.8053355013535531E-10</v>
      </c>
      <c r="N84" s="18">
        <v>2.0823394542220977E-6</v>
      </c>
      <c r="O84" s="18">
        <v>8.6317846783659503E-11</v>
      </c>
      <c r="P84" s="18">
        <v>2.3960082842590184E-8</v>
      </c>
      <c r="Q84" s="28">
        <v>0.27433079872934468</v>
      </c>
      <c r="R84" s="60">
        <v>217.25774953569879</v>
      </c>
      <c r="S84" s="57">
        <v>1.8800105682696976E-6</v>
      </c>
      <c r="U84" s="127">
        <v>5.7397309194369633E-10</v>
      </c>
      <c r="V84" s="127">
        <v>6.8053355013535531E-10</v>
      </c>
      <c r="W84" s="128">
        <v>8.1535573567128011E-10</v>
      </c>
      <c r="X84" s="128">
        <f t="shared" si="2"/>
        <v>6.8759898197142182E-10</v>
      </c>
      <c r="Y84" s="139">
        <f t="shared" si="3"/>
        <v>1.7316491131283369E-2</v>
      </c>
      <c r="AA84" s="73"/>
      <c r="AB84" s="176"/>
      <c r="AC84" s="176"/>
      <c r="AD84" s="176"/>
      <c r="AJ84" s="135"/>
    </row>
    <row r="85" spans="2:36" x14ac:dyDescent="0.35">
      <c r="I85" s="109">
        <v>1.8874644441399999E-2</v>
      </c>
      <c r="J85" s="109">
        <v>8.2065041717035168E-10</v>
      </c>
      <c r="K85" s="109">
        <v>9.5048801465895428E-11</v>
      </c>
      <c r="L85" s="152">
        <v>7.6337882934348543E-10</v>
      </c>
      <c r="N85" s="18">
        <v>2.2031849623988735E-6</v>
      </c>
      <c r="O85" s="18">
        <v>7.9721203172187416E-11</v>
      </c>
      <c r="P85" s="18">
        <v>2.1369592628059781E-8</v>
      </c>
      <c r="Q85" s="28">
        <v>0.27901782563242211</v>
      </c>
      <c r="R85" s="60">
        <v>217.25774953569879</v>
      </c>
      <c r="S85" s="57">
        <v>1.8667298679763307E-6</v>
      </c>
      <c r="U85" s="127">
        <v>6.3494110263124894E-10</v>
      </c>
      <c r="V85" s="127">
        <v>7.6337882934348543E-10</v>
      </c>
      <c r="W85" s="128">
        <v>9.1075504624537627E-10</v>
      </c>
      <c r="X85" s="128">
        <f t="shared" si="2"/>
        <v>7.6811345189089901E-10</v>
      </c>
      <c r="Y85" s="139">
        <f t="shared" si="3"/>
        <v>0.30551791091360109</v>
      </c>
      <c r="AA85" s="73"/>
      <c r="AB85" s="176"/>
      <c r="AC85" s="176"/>
      <c r="AD85" s="176"/>
      <c r="AJ85" s="135"/>
    </row>
    <row r="86" spans="2:36" x14ac:dyDescent="0.35">
      <c r="I86" s="109">
        <v>1.9063390885799999E-2</v>
      </c>
      <c r="J86" s="109">
        <v>8.7380676149430606E-10</v>
      </c>
      <c r="K86" s="109">
        <v>9.7831396922035046E-11</v>
      </c>
      <c r="L86" s="152">
        <v>8.5522450420512842E-10</v>
      </c>
      <c r="N86" s="18">
        <v>2.3240068344164358E-6</v>
      </c>
      <c r="O86" s="18">
        <v>7.3125849797489764E-11</v>
      </c>
      <c r="P86" s="18">
        <v>1.8779609087216092E-8</v>
      </c>
      <c r="Q86" s="28">
        <v>0.28889548286974742</v>
      </c>
      <c r="R86" s="60">
        <v>223.35081906686816</v>
      </c>
      <c r="S86" s="57">
        <v>1.8667298679763307E-6</v>
      </c>
      <c r="U86" s="127">
        <v>7.1074100008100846E-10</v>
      </c>
      <c r="V86" s="127">
        <v>8.5522450420512842E-10</v>
      </c>
      <c r="W86" s="128">
        <v>1.0077600869643245E-9</v>
      </c>
      <c r="X86" s="128">
        <f t="shared" si="2"/>
        <v>8.5723752386389748E-10</v>
      </c>
      <c r="Y86" s="139">
        <f t="shared" si="3"/>
        <v>2.8684583173986276E-2</v>
      </c>
      <c r="AA86" s="73"/>
      <c r="AB86" s="176"/>
      <c r="AC86" s="176"/>
      <c r="AD86" s="176"/>
      <c r="AJ86" s="135"/>
    </row>
    <row r="87" spans="2:36" x14ac:dyDescent="0.35">
      <c r="I87" s="109">
        <v>1.9254024794699998E-2</v>
      </c>
      <c r="J87" s="109">
        <v>8.1433231909807971E-10</v>
      </c>
      <c r="K87" s="109">
        <v>9.4088060528694595E-11</v>
      </c>
      <c r="L87" s="152">
        <v>9.5123847642351253E-10</v>
      </c>
      <c r="N87" s="18">
        <v>2.4447262762425861E-6</v>
      </c>
      <c r="O87" s="18">
        <v>6.6536087821909837E-11</v>
      </c>
      <c r="P87" s="18">
        <v>1.619182127886201E-8</v>
      </c>
      <c r="Q87" s="28">
        <v>0.30511585966628851</v>
      </c>
      <c r="R87" s="60">
        <v>223.35081906686816</v>
      </c>
      <c r="S87" s="57">
        <v>1.8537860484696024E-6</v>
      </c>
      <c r="U87" s="127">
        <v>7.9764628675260539E-10</v>
      </c>
      <c r="V87" s="127">
        <v>9.5123847642351253E-10</v>
      </c>
      <c r="W87" s="128">
        <v>1.1009375865501867E-9</v>
      </c>
      <c r="X87" s="128">
        <f t="shared" si="2"/>
        <v>9.5026520653745425E-10</v>
      </c>
      <c r="Y87" s="139">
        <f t="shared" si="3"/>
        <v>2.0872768268131505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9.6494688208598182E-10</v>
      </c>
      <c r="K88" s="109">
        <v>1.0295921324668405E-10</v>
      </c>
      <c r="L88" s="152">
        <v>1.0462258263608293E-9</v>
      </c>
      <c r="N88" s="18">
        <v>2.5651500158927381E-6</v>
      </c>
      <c r="O88" s="18">
        <v>5.9962467463007486E-11</v>
      </c>
      <c r="P88" s="18">
        <v>1.3610372254670404E-8</v>
      </c>
      <c r="Q88" s="28">
        <v>0.32985484968757195</v>
      </c>
      <c r="R88" s="60">
        <v>230.83812802668245</v>
      </c>
      <c r="S88" s="57">
        <v>1.8537860484696024E-6</v>
      </c>
      <c r="U88" s="127">
        <v>8.9125594594502098E-10</v>
      </c>
      <c r="V88" s="127">
        <v>1.0462258263608293E-9</v>
      </c>
      <c r="W88" s="128">
        <v>1.1848997291119843E-9</v>
      </c>
      <c r="X88" s="128">
        <f t="shared" si="2"/>
        <v>1.0421518319446659E-9</v>
      </c>
      <c r="Y88" s="139">
        <f t="shared" si="3"/>
        <v>0.56228935266725155</v>
      </c>
      <c r="AA88" s="73"/>
      <c r="AB88" s="176"/>
      <c r="AC88" s="176"/>
      <c r="AD88" s="176"/>
      <c r="AJ88" s="135"/>
    </row>
    <row r="89" spans="2:36" x14ac:dyDescent="0.35">
      <c r="I89" s="109">
        <v>1.9641030693100001E-2</v>
      </c>
      <c r="J89" s="109">
        <v>1.2075065543130341E-9</v>
      </c>
      <c r="K89" s="109">
        <v>1.1442346056691579E-10</v>
      </c>
      <c r="L89" s="152">
        <v>1.1348846464577716E-9</v>
      </c>
      <c r="N89" s="18">
        <v>2.6848762718115108E-6</v>
      </c>
      <c r="O89" s="18">
        <v>5.3426920936307296E-11</v>
      </c>
      <c r="P89" s="18">
        <v>1.1043874756672797E-8</v>
      </c>
      <c r="Q89" s="28">
        <v>0.36718140925644527</v>
      </c>
      <c r="R89" s="60">
        <v>230.83812802668245</v>
      </c>
      <c r="S89" s="57">
        <v>1.8415210963343192E-6</v>
      </c>
      <c r="U89" s="127">
        <v>9.8668805134429322E-10</v>
      </c>
      <c r="V89" s="127">
        <v>1.1348846464577716E-9</v>
      </c>
      <c r="W89" s="128">
        <v>1.2545977537120732E-9</v>
      </c>
      <c r="X89" s="128">
        <f t="shared" si="2"/>
        <v>1.1277637744929774E-9</v>
      </c>
      <c r="Y89" s="139">
        <f t="shared" si="3"/>
        <v>0.48568264566967462</v>
      </c>
      <c r="AA89" s="73"/>
      <c r="AB89" s="176"/>
      <c r="AC89" s="176"/>
      <c r="AD89" s="176"/>
      <c r="AJ89" s="135"/>
    </row>
    <row r="90" spans="2:36" x14ac:dyDescent="0.35">
      <c r="I90" s="109">
        <v>1.9837441000000001E-2</v>
      </c>
      <c r="J90" s="109">
        <v>1.1575079499193137E-9</v>
      </c>
      <c r="K90" s="109">
        <v>1.1542682998369263E-10</v>
      </c>
      <c r="L90" s="152">
        <v>1.2120822779654962E-9</v>
      </c>
      <c r="N90" s="18">
        <v>2.803121015899125E-6</v>
      </c>
      <c r="O90" s="18">
        <v>4.69722463071545E-11</v>
      </c>
      <c r="P90" s="18">
        <v>8.5091355090167258E-9</v>
      </c>
      <c r="Q90" s="28">
        <v>0.42522182801861985</v>
      </c>
      <c r="R90" s="60">
        <v>241.05735457702008</v>
      </c>
      <c r="S90" s="57">
        <v>1.8415210963343192E-6</v>
      </c>
      <c r="U90" s="127">
        <v>1.0788083366581744E-9</v>
      </c>
      <c r="V90" s="127">
        <v>1.2120822779654962E-9</v>
      </c>
      <c r="W90" s="128">
        <v>1.3056159232674465E-9</v>
      </c>
      <c r="X90" s="128">
        <f t="shared" si="2"/>
        <v>1.2021472039641534E-9</v>
      </c>
      <c r="Y90" s="139">
        <f t="shared" si="3"/>
        <v>0.14956167488035474</v>
      </c>
      <c r="AA90" s="73"/>
      <c r="AB90" s="176"/>
      <c r="AC90" s="176"/>
      <c r="AD90" s="176"/>
      <c r="AJ90" s="135"/>
    </row>
    <row r="91" spans="2:36" x14ac:dyDescent="0.35">
      <c r="I91" s="109">
        <v>2.0035815410000001E-2</v>
      </c>
      <c r="J91" s="109">
        <v>1.3208785624429693E-9</v>
      </c>
      <c r="K91" s="109">
        <v>1.2336853215004499E-10</v>
      </c>
      <c r="L91" s="152">
        <v>1.2731400286115667E-9</v>
      </c>
      <c r="N91" s="18">
        <v>2.9183663411666309E-6</v>
      </c>
      <c r="O91" s="18">
        <v>4.0681302190590146E-11</v>
      </c>
      <c r="P91" s="18">
        <v>6.038692942470242E-9</v>
      </c>
      <c r="Q91" s="28">
        <v>0.52252270986663085</v>
      </c>
      <c r="R91" s="60">
        <v>241.05735457702008</v>
      </c>
      <c r="S91" s="57">
        <v>1.8306820463336755E-6</v>
      </c>
      <c r="U91" s="127">
        <v>1.1624850593436863E-9</v>
      </c>
      <c r="V91" s="127">
        <v>1.2731400286115667E-9</v>
      </c>
      <c r="W91" s="128">
        <v>1.3344511829587791E-9</v>
      </c>
      <c r="X91" s="128">
        <f t="shared" si="2"/>
        <v>1.2608040748813998E-9</v>
      </c>
      <c r="Y91" s="139">
        <f t="shared" si="3"/>
        <v>0.23712173002511708</v>
      </c>
      <c r="AA91" s="73"/>
      <c r="AB91" s="176"/>
      <c r="AC91" s="176"/>
      <c r="AD91" s="176"/>
      <c r="AJ91" s="135"/>
    </row>
    <row r="92" spans="2:36" x14ac:dyDescent="0.35">
      <c r="I92" s="109">
        <v>2.0236173564099999E-2</v>
      </c>
      <c r="J92" s="109">
        <v>1.3082083140180148E-9</v>
      </c>
      <c r="K92" s="109">
        <v>1.2241851212333193E-10</v>
      </c>
      <c r="L92" s="152">
        <v>1.3141129912344564E-9</v>
      </c>
      <c r="N92" s="18">
        <v>3.0275673693087792E-6</v>
      </c>
      <c r="O92" s="18">
        <v>3.4720300614873111E-11</v>
      </c>
      <c r="P92" s="18">
        <v>3.6978182249334949E-9</v>
      </c>
      <c r="Q92" s="28">
        <v>0.71317718802348939</v>
      </c>
      <c r="R92" s="60">
        <v>259.42144036351999</v>
      </c>
      <c r="S92" s="57">
        <v>1.8306820463336755E-6</v>
      </c>
      <c r="U92" s="127">
        <v>1.2328597790856224E-9</v>
      </c>
      <c r="V92" s="127">
        <v>1.3141129912344564E-9</v>
      </c>
      <c r="W92" s="128">
        <v>1.3387627375469883E-9</v>
      </c>
      <c r="X92" s="128">
        <f t="shared" si="2"/>
        <v>1.2999621247753807E-9</v>
      </c>
      <c r="Y92" s="139">
        <f t="shared" si="3"/>
        <v>4.5374557311434315E-3</v>
      </c>
      <c r="AA92" s="73"/>
      <c r="AB92" s="176"/>
      <c r="AC92" s="176"/>
      <c r="AD92" s="176"/>
      <c r="AJ92" s="135"/>
    </row>
    <row r="93" spans="2:36" x14ac:dyDescent="0.35">
      <c r="I93" s="109">
        <v>2.0438535299700002E-2</v>
      </c>
      <c r="J93" s="109">
        <v>1.3546528799691969E-9</v>
      </c>
      <c r="K93" s="109">
        <v>1.2551433343393722E-10</v>
      </c>
      <c r="L93" s="152">
        <v>1.3320503212454025E-9</v>
      </c>
      <c r="N93" s="18">
        <v>3.1240728746787833E-6</v>
      </c>
      <c r="O93" s="18">
        <v>2.9452314778447387E-11</v>
      </c>
      <c r="P93" s="18">
        <v>1.6290895557337576E-9</v>
      </c>
      <c r="Q93" s="28">
        <v>1.281588875373888</v>
      </c>
      <c r="R93" s="60">
        <v>259.42144036351999</v>
      </c>
      <c r="S93" s="57">
        <v>1.8231895299487332E-6</v>
      </c>
      <c r="U93" s="127">
        <v>1.285622099552634E-9</v>
      </c>
      <c r="V93" s="127">
        <v>1.3320503212454025E-9</v>
      </c>
      <c r="W93" s="128">
        <v>1.3175750973077087E-9</v>
      </c>
      <c r="X93" s="128">
        <f t="shared" si="2"/>
        <v>1.316824459837787E-9</v>
      </c>
      <c r="Y93" s="139">
        <f t="shared" si="3"/>
        <v>9.0834276105823911E-2</v>
      </c>
      <c r="AA93" s="73"/>
      <c r="AB93" s="176"/>
      <c r="AC93" s="176"/>
      <c r="AD93" s="176"/>
      <c r="AJ93" s="135"/>
    </row>
    <row r="94" spans="2:36" x14ac:dyDescent="0.35">
      <c r="I94" s="109">
        <v>2.06429206527E-2</v>
      </c>
      <c r="J94" s="109">
        <v>1.3251744949541338E-9</v>
      </c>
      <c r="K94" s="109">
        <v>1.2179997556810012E-10</v>
      </c>
      <c r="L94" s="152">
        <v>1.3252203757298843E-9</v>
      </c>
      <c r="N94" s="18">
        <v>3.1907825106873794E-6</v>
      </c>
      <c r="O94" s="18">
        <v>2.5810808355585536E-11</v>
      </c>
      <c r="P94" s="18">
        <v>1.990764596544104E-10</v>
      </c>
      <c r="Q94" s="28">
        <v>1.7210815880741237</v>
      </c>
      <c r="R94" s="60">
        <v>284.08308540139382</v>
      </c>
      <c r="S94" s="57">
        <v>1.8231895299487332E-6</v>
      </c>
      <c r="U94" s="127">
        <v>1.3172750039986005E-9</v>
      </c>
      <c r="V94" s="127">
        <v>1.3252203757298843E-9</v>
      </c>
      <c r="W94" s="128">
        <v>1.2714181299329263E-9</v>
      </c>
      <c r="X94" s="128">
        <f t="shared" si="2"/>
        <v>1.3097834713478238E-9</v>
      </c>
      <c r="Y94" s="139">
        <f t="shared" si="3"/>
        <v>1.5967635352251482E-2</v>
      </c>
      <c r="AA94" s="73"/>
      <c r="AB94" s="176"/>
      <c r="AC94" s="176"/>
      <c r="AD94" s="176"/>
      <c r="AJ94" s="135"/>
    </row>
    <row r="95" spans="2:36" x14ac:dyDescent="0.35">
      <c r="I95" s="109">
        <v>2.0849349859299999E-2</v>
      </c>
      <c r="J95" s="109">
        <v>1.341735098346435E-9</v>
      </c>
      <c r="K95" s="109">
        <v>1.2522945914868354E-10</v>
      </c>
      <c r="L95" s="152">
        <v>1.2932846777950848E-9</v>
      </c>
      <c r="N95" s="18">
        <v>3.1999999999999999E-6</v>
      </c>
      <c r="O95" s="18">
        <v>2.5307649463664093E-11</v>
      </c>
      <c r="P95" s="18">
        <v>1.486857631694136E-12</v>
      </c>
      <c r="Q95" s="28">
        <v>10.297802784660814</v>
      </c>
      <c r="R95" s="60">
        <v>284.08308540139382</v>
      </c>
      <c r="S95" s="57">
        <v>1.822154264373398E-6</v>
      </c>
      <c r="U95" s="127">
        <v>1.3253762364715542E-9</v>
      </c>
      <c r="V95" s="127">
        <v>1.2932846777950848E-9</v>
      </c>
      <c r="W95" s="128">
        <v>1.2023886407627304E-9</v>
      </c>
      <c r="X95" s="128">
        <f t="shared" si="2"/>
        <v>1.2785835582061135E-9</v>
      </c>
      <c r="Y95" s="139">
        <f t="shared" si="3"/>
        <v>0.25430499077649843</v>
      </c>
      <c r="AA95" s="73"/>
      <c r="AB95" s="176"/>
      <c r="AC95" s="176"/>
      <c r="AD95" s="176"/>
      <c r="AJ95" s="135"/>
    </row>
    <row r="96" spans="2:36" x14ac:dyDescent="0.35">
      <c r="I96" s="109">
        <v>2.1057843357800001E-2</v>
      </c>
      <c r="J96" s="109">
        <v>1.3223122970576318E-9</v>
      </c>
      <c r="K96" s="109">
        <v>1.246726808926247E-10</v>
      </c>
      <c r="L96" s="152">
        <v>1.2374050171180702E-9</v>
      </c>
      <c r="N96" s="18">
        <v>3.19568631623801E-6</v>
      </c>
      <c r="O96" s="18">
        <v>2.5394460155846639E-11</v>
      </c>
      <c r="P96" s="18">
        <v>1.4888560802367562E-12</v>
      </c>
      <c r="Q96" s="28">
        <v>1.7210815880741237</v>
      </c>
      <c r="R96" s="60">
        <v>1165.8212620885899</v>
      </c>
      <c r="S96" s="57">
        <v>1.822154264373398E-6</v>
      </c>
      <c r="U96" s="127">
        <v>1.3087403886510624E-9</v>
      </c>
      <c r="V96" s="127">
        <v>1.2374050171180702E-9</v>
      </c>
      <c r="W96" s="128">
        <v>1.1141203185270592E-9</v>
      </c>
      <c r="X96" s="128">
        <f t="shared" si="2"/>
        <v>1.2244176853535655E-9</v>
      </c>
      <c r="Y96" s="139">
        <f t="shared" si="3"/>
        <v>0.61655947958337021</v>
      </c>
      <c r="AA96" s="73"/>
      <c r="AB96" s="176"/>
      <c r="AC96" s="176"/>
      <c r="AD96" s="176"/>
      <c r="AJ96" s="135"/>
    </row>
    <row r="97" spans="9:36" x14ac:dyDescent="0.35">
      <c r="I97" s="109">
        <v>2.12684217914E-2</v>
      </c>
      <c r="J97" s="109">
        <v>1.2036976849510876E-9</v>
      </c>
      <c r="K97" s="109">
        <v>1.1941617644019763E-10</v>
      </c>
      <c r="L97" s="152">
        <v>1.1602694397292941E-9</v>
      </c>
      <c r="N97" s="18">
        <v>3.1644669392624874E-6</v>
      </c>
      <c r="O97" s="18">
        <v>2.6022734242286083E-11</v>
      </c>
      <c r="P97" s="18">
        <v>1.5033194303246767E-12</v>
      </c>
      <c r="Q97" s="28">
        <v>1.281588875373888</v>
      </c>
      <c r="R97" s="60">
        <v>1165.8212620885899</v>
      </c>
      <c r="S97" s="57">
        <v>1.8183269983783706E-6</v>
      </c>
      <c r="U97" s="127">
        <v>1.2675861662793551E-9</v>
      </c>
      <c r="V97" s="127">
        <v>1.1602694397292941E-9</v>
      </c>
      <c r="W97" s="128">
        <v>1.0116527999920239E-9</v>
      </c>
      <c r="X97" s="128">
        <f t="shared" si="2"/>
        <v>1.1499444614324918E-9</v>
      </c>
      <c r="Y97" s="139">
        <f t="shared" si="3"/>
        <v>0.20262018335956852</v>
      </c>
      <c r="AA97" s="73"/>
      <c r="AB97" s="176"/>
      <c r="AC97" s="176"/>
      <c r="AD97" s="176"/>
      <c r="AJ97" s="135"/>
    </row>
    <row r="98" spans="9:36" x14ac:dyDescent="0.35">
      <c r="I98" s="109">
        <v>2.1481106009300002E-2</v>
      </c>
      <c r="J98" s="109">
        <v>1.2103786500486968E-9</v>
      </c>
      <c r="K98" s="109">
        <v>1.2155663850544008E-10</v>
      </c>
      <c r="L98" s="152">
        <v>1.0660257074350023E-9</v>
      </c>
      <c r="N98" s="18">
        <v>3.1193034226759E-6</v>
      </c>
      <c r="O98" s="18">
        <v>2.6931627047740807E-11</v>
      </c>
      <c r="P98" s="18">
        <v>1.5242428379924715E-12</v>
      </c>
      <c r="Q98" s="28">
        <v>0.71317718802348939</v>
      </c>
      <c r="R98" s="60">
        <v>1169.2634252647381</v>
      </c>
      <c r="S98" s="57">
        <v>1.8183269983783706E-6</v>
      </c>
      <c r="U98" s="127">
        <v>1.2036140000516746E-9</v>
      </c>
      <c r="V98" s="127">
        <v>1.0660257074350023E-9</v>
      </c>
      <c r="W98" s="128">
        <v>9.0119625033677738E-10</v>
      </c>
      <c r="X98" s="128">
        <f t="shared" si="2"/>
        <v>1.0592154163146141E-9</v>
      </c>
      <c r="Y98" s="139">
        <f t="shared" si="3"/>
        <v>1.5464468006051473</v>
      </c>
      <c r="AA98" s="73"/>
      <c r="AB98" s="176"/>
      <c r="AC98" s="176"/>
      <c r="AD98" s="176"/>
      <c r="AJ98" s="135"/>
    </row>
    <row r="99" spans="9:36" x14ac:dyDescent="0.35">
      <c r="I99" s="109">
        <v>2.1695917069400002E-2</v>
      </c>
      <c r="J99" s="109">
        <v>1.0001012223920038E-9</v>
      </c>
      <c r="K99" s="109">
        <v>1.1162559106286305E-10</v>
      </c>
      <c r="L99" s="152">
        <v>9.6011521217796051E-10</v>
      </c>
      <c r="N99" s="18">
        <v>3.0681985408677445E-6</v>
      </c>
      <c r="O99" s="18">
        <v>2.7960086807068764E-11</v>
      </c>
      <c r="P99" s="18">
        <v>1.5479187684049419E-12</v>
      </c>
      <c r="Q99" s="28">
        <v>0.52252270986663085</v>
      </c>
      <c r="R99" s="60">
        <v>1169.2634252647381</v>
      </c>
      <c r="S99" s="57">
        <v>1.7906279674625683E-6</v>
      </c>
      <c r="U99" s="127">
        <v>1.1200010132490346E-9</v>
      </c>
      <c r="V99" s="127">
        <v>9.6011521217796051E-10</v>
      </c>
      <c r="W99" s="128">
        <v>7.897951147193597E-10</v>
      </c>
      <c r="X99" s="128">
        <f t="shared" si="2"/>
        <v>9.5750663808107877E-10</v>
      </c>
      <c r="Y99" s="139">
        <f t="shared" si="3"/>
        <v>0.1456066551475923</v>
      </c>
      <c r="AA99" s="73"/>
      <c r="AB99" s="176"/>
      <c r="AC99" s="176"/>
      <c r="AD99" s="176"/>
      <c r="AJ99" s="135"/>
    </row>
    <row r="100" spans="9:36" x14ac:dyDescent="0.35">
      <c r="I100" s="109">
        <v>2.19128762401E-2</v>
      </c>
      <c r="J100" s="109">
        <v>6.8620241185127659E-10</v>
      </c>
      <c r="K100" s="109">
        <v>9.2160291169566108E-11</v>
      </c>
      <c r="L100" s="152">
        <v>8.4900635115401345E-10</v>
      </c>
      <c r="N100" s="18">
        <v>3.0142649943898515E-6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1171.8266030154859</v>
      </c>
      <c r="S100" s="57">
        <v>1.7906279674625683E-6</v>
      </c>
      <c r="U100" s="127">
        <v>1.0213036031435017E-9</v>
      </c>
      <c r="V100" s="127">
        <v>8.4900635115401345E-10</v>
      </c>
      <c r="W100" s="128">
        <v>6.8490319358012033E-10</v>
      </c>
      <c r="X100" s="128">
        <f t="shared" si="2"/>
        <v>8.5105487475791223E-10</v>
      </c>
      <c r="Y100" s="139">
        <f t="shared" si="3"/>
        <v>3.199655368688378</v>
      </c>
      <c r="AA100" s="73"/>
      <c r="AB100" s="176"/>
      <c r="AC100" s="176"/>
      <c r="AD100" s="176"/>
      <c r="AJ100" s="135"/>
    </row>
    <row r="101" spans="9:36" x14ac:dyDescent="0.35">
      <c r="I101" s="109">
        <v>2.21320050025E-2</v>
      </c>
      <c r="J101" s="109">
        <v>7.5786021013864355E-10</v>
      </c>
      <c r="K101" s="109">
        <v>9.8309655342272728E-11</v>
      </c>
      <c r="L101" s="152">
        <v>7.3983379868462048E-10</v>
      </c>
      <c r="N101" s="18">
        <v>2.9589277528469699E-6</v>
      </c>
      <c r="O101" s="18">
        <v>3.015910585130201E-11</v>
      </c>
      <c r="P101" s="18">
        <v>1.5985418690121882E-12</v>
      </c>
      <c r="Q101" s="28">
        <v>0.36718140925644527</v>
      </c>
      <c r="R101" s="60">
        <v>1171.8266030154859</v>
      </c>
      <c r="S101" s="57">
        <v>1.7505571600541087E-6</v>
      </c>
      <c r="U101" s="127">
        <v>9.1326266242713462E-10</v>
      </c>
      <c r="V101" s="127">
        <v>7.3983379868462048E-10</v>
      </c>
      <c r="W101" s="128">
        <v>5.9389123846317829E-10</v>
      </c>
      <c r="X101" s="128">
        <f t="shared" si="2"/>
        <v>7.4670537456488849E-10</v>
      </c>
      <c r="Y101" s="139">
        <f t="shared" si="3"/>
        <v>1.2874607532376063E-2</v>
      </c>
      <c r="AA101" s="73"/>
      <c r="AB101" s="176"/>
      <c r="AC101" s="176"/>
      <c r="AD101" s="176"/>
      <c r="AJ101" s="135"/>
    </row>
    <row r="102" spans="9:36" x14ac:dyDescent="0.35">
      <c r="I102" s="109">
        <v>2.2353325052600001E-2</v>
      </c>
      <c r="J102" s="109">
        <v>6.3424916121184931E-10</v>
      </c>
      <c r="K102" s="109">
        <v>3.9960065121068793E-11</v>
      </c>
      <c r="L102" s="152">
        <v>6.3995848889310219E-10</v>
      </c>
      <c r="N102" s="18">
        <v>2.9028971800386519E-6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1173.2529573915328</v>
      </c>
      <c r="S102" s="57">
        <v>1.7505571600541087E-6</v>
      </c>
      <c r="U102" s="127">
        <v>8.0251271655202011E-10</v>
      </c>
      <c r="V102" s="127">
        <v>6.3995848889310219E-10</v>
      </c>
      <c r="W102" s="128">
        <v>5.2351693533640604E-10</v>
      </c>
      <c r="X102" s="128">
        <f t="shared" si="2"/>
        <v>6.5148665741865769E-10</v>
      </c>
      <c r="Y102" s="139">
        <f t="shared" si="3"/>
        <v>0.18607841264584474</v>
      </c>
      <c r="AA102" s="73"/>
      <c r="AB102" s="176"/>
      <c r="AC102" s="176"/>
      <c r="AD102" s="176"/>
      <c r="AJ102" s="135"/>
    </row>
    <row r="103" spans="9:36" x14ac:dyDescent="0.35">
      <c r="I103" s="109">
        <v>2.2576858303100002E-2</v>
      </c>
      <c r="J103" s="109">
        <v>5.8182177910001615E-10</v>
      </c>
      <c r="K103" s="109">
        <v>3.848680959816903E-11</v>
      </c>
      <c r="L103" s="152">
        <v>5.5647172271288187E-10</v>
      </c>
      <c r="N103" s="18">
        <v>2.84654019250456E-6</v>
      </c>
      <c r="O103" s="18">
        <v>3.242084835361548E-11</v>
      </c>
      <c r="P103" s="18">
        <v>1.6506089116067295E-12</v>
      </c>
      <c r="Q103" s="28">
        <v>0.30511585966628851</v>
      </c>
      <c r="R103" s="60">
        <v>1173.2529573915328</v>
      </c>
      <c r="S103" s="57">
        <v>1.7052149451129719E-6</v>
      </c>
      <c r="U103" s="127">
        <v>6.9620371087216044E-10</v>
      </c>
      <c r="V103" s="127">
        <v>5.5647172271288187E-10</v>
      </c>
      <c r="W103" s="128">
        <v>4.7939436855481834E-10</v>
      </c>
      <c r="X103" s="128">
        <f t="shared" si="2"/>
        <v>5.7213538121318563E-10</v>
      </c>
      <c r="Y103" s="139">
        <f t="shared" si="3"/>
        <v>6.3343314779419402E-2</v>
      </c>
      <c r="AA103" s="73"/>
      <c r="AB103" s="176"/>
      <c r="AC103" s="176"/>
      <c r="AD103" s="176"/>
      <c r="AJ103" s="135"/>
    </row>
    <row r="104" spans="9:36" x14ac:dyDescent="0.35">
      <c r="I104" s="109">
        <v>2.2802626886099998E-2</v>
      </c>
      <c r="J104" s="109">
        <v>5.5165681165977118E-10</v>
      </c>
      <c r="K104" s="109">
        <v>3.5842025459749403E-11</v>
      </c>
      <c r="L104" s="152">
        <v>4.9567471338548719E-10</v>
      </c>
      <c r="N104" s="18">
        <v>2.7900448195998184E-6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1174.2980028112661</v>
      </c>
      <c r="S104" s="57">
        <v>1.7052149451129719E-6</v>
      </c>
      <c r="U104" s="127">
        <v>6.0155232985489049E-10</v>
      </c>
      <c r="V104" s="127">
        <v>4.9567471338548719E-10</v>
      </c>
      <c r="W104" s="128">
        <v>4.6550479004493977E-10</v>
      </c>
      <c r="X104" s="128">
        <f t="shared" si="2"/>
        <v>5.1460163666770117E-10</v>
      </c>
      <c r="Y104" s="139">
        <f t="shared" si="3"/>
        <v>1.068839878812903</v>
      </c>
      <c r="AA104" s="73"/>
      <c r="AB104" s="176"/>
      <c r="AC104" s="176"/>
      <c r="AD104" s="176"/>
      <c r="AJ104" s="135"/>
    </row>
    <row r="105" spans="9:36" x14ac:dyDescent="0.35">
      <c r="I105" s="109">
        <v>2.3030653155000001E-2</v>
      </c>
      <c r="J105" s="109">
        <v>3.8691843270772738E-10</v>
      </c>
      <c r="K105" s="109">
        <v>2.8549627916500537E-11</v>
      </c>
      <c r="L105" s="152">
        <v>4.625710871372121E-10</v>
      </c>
      <c r="N105" s="18">
        <v>2.7335015104904934E-6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1174.2980028112661</v>
      </c>
      <c r="S105" s="57">
        <v>1.6573630301800974E-6</v>
      </c>
      <c r="U105" s="127">
        <v>5.2534783340482057E-10</v>
      </c>
      <c r="V105" s="127">
        <v>4.625710871372121E-10</v>
      </c>
      <c r="W105" s="128">
        <v>4.8379189349075583E-10</v>
      </c>
      <c r="X105" s="128">
        <f t="shared" si="2"/>
        <v>4.8357047529250012E-10</v>
      </c>
      <c r="Y105" s="139">
        <f t="shared" si="3"/>
        <v>11.460964521033111</v>
      </c>
      <c r="AA105" s="73"/>
      <c r="AB105" s="176"/>
      <c r="AC105" s="176"/>
      <c r="AD105" s="176"/>
      <c r="AJ105" s="135"/>
    </row>
    <row r="106" spans="9:36" x14ac:dyDescent="0.35">
      <c r="I106" s="109">
        <v>2.32609596865E-2</v>
      </c>
      <c r="J106" s="109">
        <v>4.9927429712306448E-10</v>
      </c>
      <c r="K106" s="109">
        <v>3.4123460834642558E-11</v>
      </c>
      <c r="L106" s="152">
        <v>4.6041341654108895E-10</v>
      </c>
      <c r="N106" s="18">
        <v>2.6769471399182546E-6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1175.1484464673033</v>
      </c>
      <c r="S106" s="57">
        <v>1.6573630301800974E-6</v>
      </c>
      <c r="U106" s="127">
        <v>4.7344455447450766E-10</v>
      </c>
      <c r="V106" s="127">
        <v>4.6041341654108895E-10</v>
      </c>
      <c r="W106" s="128">
        <v>5.3388228354273541E-10</v>
      </c>
      <c r="X106" s="128">
        <f t="shared" si="2"/>
        <v>4.8203841777485532E-10</v>
      </c>
      <c r="Y106" s="139">
        <f t="shared" si="3"/>
        <v>0.25512954122771409</v>
      </c>
      <c r="AA106" s="73"/>
      <c r="AB106" s="176"/>
      <c r="AC106" s="176"/>
      <c r="AD106" s="176"/>
      <c r="AJ106" s="135"/>
    </row>
    <row r="107" spans="9:36" x14ac:dyDescent="0.35">
      <c r="I107" s="109">
        <v>2.34935692834E-2</v>
      </c>
      <c r="J107" s="109">
        <v>4.9709898362003464E-10</v>
      </c>
      <c r="K107" s="109">
        <v>3.3983653242467734E-11</v>
      </c>
      <c r="L107" s="152">
        <v>4.9034506785382027E-10</v>
      </c>
      <c r="N107" s="18">
        <v>2.6203915367743314E-6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1175.1484464673033</v>
      </c>
      <c r="S107" s="57">
        <v>1.6082657030459495E-6</v>
      </c>
      <c r="U107" s="127">
        <v>4.5027849308924374E-10</v>
      </c>
      <c r="V107" s="127">
        <v>4.9034506785382027E-10</v>
      </c>
      <c r="W107" s="128">
        <v>6.1296534737470893E-10</v>
      </c>
      <c r="X107" s="128">
        <f t="shared" si="2"/>
        <v>5.1098349404289835E-10</v>
      </c>
      <c r="Y107" s="139">
        <f t="shared" si="3"/>
        <v>0.16692485755126973</v>
      </c>
      <c r="AA107" s="73"/>
      <c r="AB107" s="176"/>
      <c r="AC107" s="176"/>
      <c r="AD107" s="176"/>
      <c r="AJ107" s="135"/>
    </row>
    <row r="108" spans="9:36" x14ac:dyDescent="0.35">
      <c r="I108" s="109">
        <v>2.37285049762E-2</v>
      </c>
      <c r="J108" s="109">
        <v>5.6909575406583458E-10</v>
      </c>
      <c r="K108" s="109">
        <v>3.7614871143700447E-11</v>
      </c>
      <c r="L108" s="152">
        <v>5.511751055184199E-10</v>
      </c>
      <c r="N108" s="18">
        <v>2.5638371662020926E-6</v>
      </c>
      <c r="O108" s="18">
        <v>3.8110103002198277E-11</v>
      </c>
      <c r="P108" s="18">
        <v>1.781579905791945E-12</v>
      </c>
      <c r="Q108" s="28">
        <v>0.27901782563242211</v>
      </c>
      <c r="R108" s="60">
        <v>1175.8828092858162</v>
      </c>
      <c r="S108" s="57">
        <v>1.6082657030459495E-6</v>
      </c>
      <c r="U108" s="127">
        <v>4.584480296171329E-10</v>
      </c>
      <c r="V108" s="127">
        <v>5.511751055184199E-10</v>
      </c>
      <c r="W108" s="128">
        <v>7.158566276731238E-10</v>
      </c>
      <c r="X108" s="128">
        <f t="shared" si="2"/>
        <v>5.6916371708177417E-10</v>
      </c>
      <c r="Y108" s="139">
        <f t="shared" si="3"/>
        <v>3.2645710807606451E-6</v>
      </c>
      <c r="AA108" s="73"/>
      <c r="AB108" s="176"/>
      <c r="AC108" s="176"/>
      <c r="AD108" s="176"/>
      <c r="AJ108" s="135"/>
    </row>
    <row r="109" spans="9:36" x14ac:dyDescent="0.35">
      <c r="I109" s="109">
        <v>2.3965790026000001E-2</v>
      </c>
      <c r="J109" s="109">
        <v>6.095898621163763E-10</v>
      </c>
      <c r="K109" s="109">
        <v>3.9094813067079446E-11</v>
      </c>
      <c r="L109" s="152">
        <v>6.3931673934168311E-10</v>
      </c>
      <c r="N109" s="18">
        <v>2.5072938570927676E-6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1175.8828092858162</v>
      </c>
      <c r="S109" s="57">
        <v>1.5585532257705523E-6</v>
      </c>
      <c r="U109" s="127">
        <v>4.9839805904822789E-10</v>
      </c>
      <c r="V109" s="127">
        <v>6.3931673934168311E-10</v>
      </c>
      <c r="W109" s="128">
        <v>8.3525579055569604E-10</v>
      </c>
      <c r="X109" s="128">
        <f t="shared" si="2"/>
        <v>6.5307183207182251E-10</v>
      </c>
      <c r="Y109" s="139">
        <f t="shared" si="3"/>
        <v>1.2370297418552698</v>
      </c>
      <c r="AA109" s="73"/>
      <c r="AB109" s="176"/>
      <c r="AC109" s="176"/>
      <c r="AD109" s="176"/>
      <c r="AJ109" s="135"/>
    </row>
    <row r="110" spans="9:36" x14ac:dyDescent="0.35">
      <c r="I110" s="109">
        <v>2.42054479262E-2</v>
      </c>
      <c r="J110" s="109">
        <v>7.3521560685914419E-10</v>
      </c>
      <c r="K110" s="109">
        <v>4.3103417743468222E-11</v>
      </c>
      <c r="L110" s="152">
        <v>7.4890923909742557E-10</v>
      </c>
      <c r="N110" s="18">
        <v>2.450798484188026E-6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1176.5425189851912</v>
      </c>
      <c r="S110" s="57">
        <v>1.5585532257705523E-6</v>
      </c>
      <c r="U110" s="127">
        <v>5.6824254847110923E-10</v>
      </c>
      <c r="V110" s="127">
        <v>7.4890923909742557E-10</v>
      </c>
      <c r="W110" s="128">
        <v>9.6219534564904964E-10</v>
      </c>
      <c r="X110" s="128">
        <f t="shared" si="2"/>
        <v>7.5706409307875248E-10</v>
      </c>
      <c r="Y110" s="139">
        <f t="shared" si="3"/>
        <v>0.25693264586872788</v>
      </c>
      <c r="AA110" s="73"/>
      <c r="AB110" s="176"/>
      <c r="AC110" s="176"/>
      <c r="AD110" s="176"/>
      <c r="AJ110" s="135"/>
    </row>
    <row r="111" spans="9:36" x14ac:dyDescent="0.35">
      <c r="I111" s="109">
        <v>2.4447502405500001E-2</v>
      </c>
      <c r="J111" s="109">
        <v>8.721307849117343E-10</v>
      </c>
      <c r="K111" s="109">
        <v>5.1370804214127448E-11</v>
      </c>
      <c r="L111" s="152">
        <v>8.721301120940027E-10</v>
      </c>
      <c r="N111" s="18">
        <v>2.3944414966539341E-6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1176.5425189851912</v>
      </c>
      <c r="S111" s="57">
        <v>1.5085511408073501E-6</v>
      </c>
      <c r="U111" s="127">
        <v>6.6375273678876338E-10</v>
      </c>
      <c r="V111" s="127">
        <v>8.721301120940027E-10</v>
      </c>
      <c r="W111" s="128">
        <v>1.0866604846232383E-9</v>
      </c>
      <c r="X111" s="128">
        <f t="shared" si="2"/>
        <v>8.7366836140000172E-10</v>
      </c>
      <c r="Y111" s="139">
        <f t="shared" si="3"/>
        <v>8.9586120375593483E-4</v>
      </c>
      <c r="AA111" s="73"/>
      <c r="AB111" s="176"/>
      <c r="AC111" s="176"/>
      <c r="AD111" s="176"/>
      <c r="AJ111" s="135"/>
    </row>
    <row r="112" spans="9:36" x14ac:dyDescent="0.35">
      <c r="I112" s="109">
        <v>2.4691977429599998E-2</v>
      </c>
      <c r="J112" s="109">
        <v>1.0639388986472919E-9</v>
      </c>
      <c r="K112" s="109">
        <v>5.7980367136306132E-11</v>
      </c>
      <c r="L112" s="152">
        <v>9.9968957016155296E-10</v>
      </c>
      <c r="N112" s="18">
        <v>2.3384109238456161E-6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1177.1527507045239</v>
      </c>
      <c r="S112" s="57">
        <v>1.5085511408073501E-6</v>
      </c>
      <c r="U112" s="127">
        <v>7.7852737820712729E-10</v>
      </c>
      <c r="V112" s="127">
        <v>9.9968957016155296E-10</v>
      </c>
      <c r="W112" s="128">
        <v>1.1983448063988137E-9</v>
      </c>
      <c r="X112" s="128">
        <f t="shared" si="2"/>
        <v>9.9406283123226168E-10</v>
      </c>
      <c r="Y112" s="139">
        <f t="shared" si="3"/>
        <v>1.4524292561363845</v>
      </c>
      <c r="AA112" s="73"/>
      <c r="AB112" s="176"/>
      <c r="AC112" s="176"/>
      <c r="AD112" s="176"/>
      <c r="AJ112" s="135"/>
    </row>
    <row r="113" spans="9:36" x14ac:dyDescent="0.35">
      <c r="I113" s="109">
        <v>2.4938897203899999E-2</v>
      </c>
      <c r="J113" s="109">
        <v>1.1018878845310589E-9</v>
      </c>
      <c r="K113" s="109">
        <v>6.0889977529735384E-11</v>
      </c>
      <c r="L113" s="152">
        <v>1.1214839190471531E-9</v>
      </c>
      <c r="N113" s="18">
        <v>2.2830736823027345E-6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1177.1527507045239</v>
      </c>
      <c r="S113" s="57">
        <v>1.4584262750255901E-6</v>
      </c>
      <c r="U113" s="127">
        <v>9.0434830395371763E-10</v>
      </c>
      <c r="V113" s="127">
        <v>1.1214839190471531E-9</v>
      </c>
      <c r="W113" s="128">
        <v>1.2874922878753671E-9</v>
      </c>
      <c r="X113" s="128">
        <f t="shared" si="2"/>
        <v>1.1087021074808477E-9</v>
      </c>
      <c r="Y113" s="139">
        <f t="shared" si="3"/>
        <v>1.2523942070191118E-2</v>
      </c>
      <c r="AA113" s="73"/>
      <c r="AB113" s="176"/>
      <c r="AC113" s="176"/>
      <c r="AD113" s="176"/>
      <c r="AJ113" s="135"/>
    </row>
    <row r="114" spans="9:36" x14ac:dyDescent="0.35">
      <c r="I114" s="109">
        <v>2.51882861759E-2</v>
      </c>
      <c r="J114" s="109">
        <v>1.2920407835887528E-9</v>
      </c>
      <c r="K114" s="109">
        <v>6.496821860892795E-11</v>
      </c>
      <c r="L114" s="152">
        <v>1.22736947650669E-9</v>
      </c>
      <c r="N114" s="18">
        <v>2.2291401358248415E-6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1177.7305416702634</v>
      </c>
      <c r="S114" s="57">
        <v>1.4584262750255901E-6</v>
      </c>
      <c r="U114" s="127">
        <v>1.0317100272258532E-9</v>
      </c>
      <c r="V114" s="127">
        <v>1.22736947650669E-9</v>
      </c>
      <c r="W114" s="128">
        <v>1.3457635684422132E-9</v>
      </c>
      <c r="X114" s="128">
        <f t="shared" si="2"/>
        <v>1.2080531371703616E-9</v>
      </c>
      <c r="Y114" s="139">
        <f t="shared" si="3"/>
        <v>1.6712018386715402</v>
      </c>
      <c r="AA114" s="73"/>
      <c r="AB114" s="176"/>
      <c r="AC114" s="176"/>
      <c r="AD114" s="176"/>
      <c r="AJ114" s="135"/>
    </row>
    <row r="115" spans="9:36" x14ac:dyDescent="0.35">
      <c r="I115" s="109">
        <v>2.5440169037600002E-2</v>
      </c>
      <c r="J115" s="109">
        <v>1.2840393076822646E-9</v>
      </c>
      <c r="K115" s="109">
        <v>6.5121348382571815E-11</v>
      </c>
      <c r="L115" s="152">
        <v>1.3080049313320917E-9</v>
      </c>
      <c r="N115" s="18">
        <v>2.178035254016686E-6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1177.7305416702634</v>
      </c>
      <c r="S115" s="57">
        <v>1.4082588784010854E-6</v>
      </c>
      <c r="U115" s="127">
        <v>1.1504971060945311E-9</v>
      </c>
      <c r="V115" s="127">
        <v>1.3080049313320917E-9</v>
      </c>
      <c r="W115" s="128">
        <v>1.3670554210727127E-9</v>
      </c>
      <c r="X115" s="128">
        <f t="shared" si="2"/>
        <v>1.2833905974578569E-9</v>
      </c>
      <c r="Y115" s="139">
        <f t="shared" si="3"/>
        <v>9.9232679228711864E-5</v>
      </c>
      <c r="AA115" s="73"/>
      <c r="AB115" s="176"/>
      <c r="AC115" s="176"/>
      <c r="AD115" s="176"/>
      <c r="AJ115" s="135"/>
    </row>
    <row r="116" spans="9:36" x14ac:dyDescent="0.35">
      <c r="I116" s="109">
        <v>2.5694570728E-2</v>
      </c>
      <c r="J116" s="109">
        <v>1.2497868622840326E-9</v>
      </c>
      <c r="K116" s="109">
        <v>6.3306333056481658E-11</v>
      </c>
      <c r="L116" s="152">
        <v>1.3556986452039439E-9</v>
      </c>
      <c r="N116" s="18">
        <v>2.1328717374300986E-6</v>
      </c>
      <c r="O116" s="18">
        <v>4.6783063108384949E-11</v>
      </c>
      <c r="P116" s="18">
        <v>1.9812380820908275E-12</v>
      </c>
      <c r="Q116" s="28">
        <v>1.281588875373888</v>
      </c>
      <c r="R116" s="60">
        <v>1178.2885773215282</v>
      </c>
      <c r="S116" s="57">
        <v>1.4082588784010854E-6</v>
      </c>
      <c r="U116" s="127">
        <v>1.250768467928766E-9</v>
      </c>
      <c r="V116" s="127">
        <v>1.3556986452039439E-9</v>
      </c>
      <c r="W116" s="128">
        <v>1.3481972604248713E-9</v>
      </c>
      <c r="X116" s="128">
        <f t="shared" si="2"/>
        <v>1.3275907546903812E-9</v>
      </c>
      <c r="Y116" s="139">
        <f t="shared" si="3"/>
        <v>1.5104568834206551</v>
      </c>
      <c r="AA116" s="73"/>
      <c r="AB116" s="176"/>
      <c r="AC116" s="176"/>
      <c r="AD116" s="176"/>
      <c r="AJ116" s="135"/>
    </row>
    <row r="117" spans="9:36" x14ac:dyDescent="0.35">
      <c r="I117" s="109">
        <v>2.5951516435299998E-2</v>
      </c>
      <c r="J117" s="109">
        <v>1.2945204015857405E-9</v>
      </c>
      <c r="K117" s="109">
        <v>6.5554597690555055E-11</v>
      </c>
      <c r="L117" s="152">
        <v>1.3651892887071987E-9</v>
      </c>
      <c r="N117" s="18">
        <v>2.101652360454576E-6</v>
      </c>
      <c r="O117" s="18">
        <v>4.7411337194824393E-11</v>
      </c>
      <c r="P117" s="18">
        <v>1.995701432178748E-12</v>
      </c>
      <c r="Q117" s="28">
        <v>1.7210815880741237</v>
      </c>
      <c r="R117" s="60">
        <v>1178.2885773215282</v>
      </c>
      <c r="S117" s="57">
        <v>1.3580816676216257E-6</v>
      </c>
      <c r="U117" s="127">
        <v>1.3235948381556739E-9</v>
      </c>
      <c r="V117" s="127">
        <v>1.3651892887071987E-9</v>
      </c>
      <c r="W117" s="128">
        <v>1.2894489145510193E-9</v>
      </c>
      <c r="X117" s="128">
        <f t="shared" si="2"/>
        <v>1.3358555825302726E-9</v>
      </c>
      <c r="Y117" s="139">
        <f t="shared" si="3"/>
        <v>0.39758809631403236</v>
      </c>
      <c r="AA117" s="73"/>
      <c r="AB117" s="176"/>
      <c r="AC117" s="176"/>
      <c r="AD117" s="176"/>
      <c r="AJ117" s="135"/>
    </row>
    <row r="118" spans="9:36" x14ac:dyDescent="0.35">
      <c r="I118" s="109">
        <v>2.6211031599700001E-2</v>
      </c>
      <c r="J118" s="109">
        <v>1.3081978729238392E-9</v>
      </c>
      <c r="K118" s="109">
        <v>6.8640614532685006E-11</v>
      </c>
      <c r="L118" s="152">
        <v>1.3342845276754903E-9</v>
      </c>
      <c r="N118" s="18">
        <v>2.0973386766925862E-6</v>
      </c>
      <c r="O118" s="18">
        <v>4.7498147887006942E-11</v>
      </c>
      <c r="P118" s="18">
        <v>1.9976998807213682E-12</v>
      </c>
      <c r="Q118" s="28">
        <v>100</v>
      </c>
      <c r="R118" s="60">
        <v>1178.8372389189869</v>
      </c>
      <c r="S118" s="57">
        <v>1.3580816676216257E-6</v>
      </c>
      <c r="U118" s="127">
        <v>1.361884783811754E-9</v>
      </c>
      <c r="V118" s="127">
        <v>1.3342845276754903E-9</v>
      </c>
      <c r="W118" s="128">
        <v>1.1947309465092004E-9</v>
      </c>
      <c r="X118" s="128">
        <f t="shared" si="2"/>
        <v>1.3062961964179839E-9</v>
      </c>
      <c r="Y118" s="139">
        <f t="shared" si="3"/>
        <v>7.6755756426584269E-4</v>
      </c>
      <c r="AA118" s="73"/>
      <c r="AB118" s="176"/>
      <c r="AC118" s="176"/>
      <c r="AD118" s="176"/>
      <c r="AJ118" s="135"/>
    </row>
    <row r="119" spans="9:36" x14ac:dyDescent="0.35">
      <c r="I119" s="109">
        <v>2.6473141915700001E-2</v>
      </c>
      <c r="J119" s="109">
        <v>1.2253225996612121E-9</v>
      </c>
      <c r="K119" s="109">
        <v>6.4613066368918194E-11</v>
      </c>
      <c r="L119" s="152">
        <v>1.2642844807182635E-9</v>
      </c>
      <c r="R119" s="60">
        <v>1178.8372389189869</v>
      </c>
      <c r="S119" s="57">
        <v>1.322554186197622E-6</v>
      </c>
      <c r="U119" s="127">
        <v>1.361127734798365E-9</v>
      </c>
      <c r="V119" s="127">
        <v>1.2642844807182635E-9</v>
      </c>
      <c r="W119" s="128">
        <v>1.0715336710509232E-9</v>
      </c>
      <c r="X119" s="128">
        <f t="shared" si="2"/>
        <v>1.2403075918214538E-9</v>
      </c>
      <c r="Y119" s="139">
        <f t="shared" si="3"/>
        <v>5.378638251122967E-2</v>
      </c>
      <c r="AA119" s="73"/>
      <c r="AB119" s="176"/>
      <c r="AC119" s="176"/>
      <c r="AD119" s="176"/>
      <c r="AJ119" s="135"/>
    </row>
    <row r="120" spans="9:36" x14ac:dyDescent="0.35">
      <c r="I120" s="109">
        <v>2.6737873334799999E-2</v>
      </c>
      <c r="J120" s="109">
        <v>1.1333691644254369E-9</v>
      </c>
      <c r="K120" s="109">
        <v>6.2467856392809444E-11</v>
      </c>
      <c r="L120" s="152">
        <v>1.1601255861466451E-9</v>
      </c>
      <c r="R120" s="60">
        <v>1179.0645116462597</v>
      </c>
      <c r="S120" s="57">
        <v>1.322554186197622E-6</v>
      </c>
      <c r="U120" s="127">
        <v>1.3199798575739827E-9</v>
      </c>
      <c r="V120" s="127">
        <v>1.1601255861466451E-9</v>
      </c>
      <c r="W120" s="128">
        <v>9.304742445701076E-10</v>
      </c>
      <c r="X120" s="128">
        <f t="shared" si="2"/>
        <v>1.1426763186093452E-9</v>
      </c>
      <c r="Y120" s="139">
        <f t="shared" si="3"/>
        <v>2.2198345710221758E-2</v>
      </c>
      <c r="AA120" s="73"/>
      <c r="AB120" s="176"/>
      <c r="AC120" s="176"/>
      <c r="AD120" s="176"/>
      <c r="AJ120" s="135"/>
    </row>
    <row r="121" spans="9:36" x14ac:dyDescent="0.35">
      <c r="I121" s="109">
        <v>2.7005252068200002E-2</v>
      </c>
      <c r="J121" s="109">
        <v>1.0396031992797242E-9</v>
      </c>
      <c r="K121" s="109">
        <v>6.2652735465039163E-11</v>
      </c>
      <c r="L121" s="152">
        <v>1.0301973020853023E-9</v>
      </c>
      <c r="R121" s="60">
        <v>1179.0645116462597</v>
      </c>
      <c r="S121" s="57">
        <v>1.2913069449591058E-6</v>
      </c>
      <c r="U121" s="127">
        <v>1.2406220661966739E-9</v>
      </c>
      <c r="V121" s="127">
        <v>1.0301973020853023E-9</v>
      </c>
      <c r="W121" s="128">
        <v>7.8450240744173262E-10</v>
      </c>
      <c r="X121" s="128">
        <f t="shared" si="2"/>
        <v>1.0213797694522526E-9</v>
      </c>
      <c r="Y121" s="139">
        <f t="shared" si="3"/>
        <v>8.4601909013390528E-2</v>
      </c>
      <c r="AA121" s="73"/>
      <c r="AB121" s="176"/>
      <c r="AC121" s="176"/>
      <c r="AD121" s="176"/>
      <c r="AJ121" s="135"/>
    </row>
    <row r="122" spans="9:36" x14ac:dyDescent="0.35">
      <c r="I122" s="109">
        <v>2.7275304588799999E-2</v>
      </c>
      <c r="J122" s="109">
        <v>8.9614464159951539E-10</v>
      </c>
      <c r="K122" s="109">
        <v>5.9480410915171474E-11</v>
      </c>
      <c r="L122" s="152">
        <v>8.8580902590948939E-10</v>
      </c>
      <c r="R122" s="60">
        <v>1179.5190571008052</v>
      </c>
      <c r="S122" s="57">
        <v>1.2913069449591058E-6</v>
      </c>
      <c r="U122" s="127">
        <v>1.1288299235978462E-9</v>
      </c>
      <c r="V122" s="127">
        <v>8.8580902590948939E-10</v>
      </c>
      <c r="W122" s="128">
        <v>6.4779283910045497E-10</v>
      </c>
      <c r="X122" s="128">
        <f t="shared" si="2"/>
        <v>8.8706020362931997E-10</v>
      </c>
      <c r="Y122" s="139">
        <f t="shared" si="3"/>
        <v>2.3326426252664879E-2</v>
      </c>
      <c r="AA122" s="73"/>
      <c r="AB122" s="176"/>
      <c r="AC122" s="176"/>
      <c r="AD122" s="176"/>
      <c r="AJ122" s="135"/>
    </row>
    <row r="123" spans="9:36" x14ac:dyDescent="0.35">
      <c r="I123" s="109">
        <v>2.7548057634700002E-2</v>
      </c>
      <c r="J123" s="109">
        <v>7.7081413320927408E-10</v>
      </c>
      <c r="K123" s="109">
        <v>5.3010526857570892E-11</v>
      </c>
      <c r="L123" s="152">
        <v>7.4031700136234213E-10</v>
      </c>
      <c r="R123" s="60">
        <v>1179.5190571008052</v>
      </c>
      <c r="S123" s="57">
        <v>1.2501014842147682E-6</v>
      </c>
      <c r="U123" s="127">
        <v>9.9371350406256497E-10</v>
      </c>
      <c r="V123" s="127">
        <v>7.4031700136234213E-10</v>
      </c>
      <c r="W123" s="128">
        <v>5.344022793058061E-10</v>
      </c>
      <c r="X123" s="128">
        <f t="shared" si="2"/>
        <v>7.5218744652326381E-10</v>
      </c>
      <c r="Y123" s="139">
        <f t="shared" si="3"/>
        <v>0.12346588614821251</v>
      </c>
      <c r="AA123" s="73"/>
      <c r="AB123" s="176"/>
      <c r="AC123" s="176"/>
      <c r="AD123" s="176"/>
      <c r="AJ123" s="135"/>
    </row>
    <row r="124" spans="9:36" x14ac:dyDescent="0.35">
      <c r="I124" s="109">
        <v>2.78235382111E-2</v>
      </c>
      <c r="J124" s="109">
        <v>6.3257972799798907E-10</v>
      </c>
      <c r="K124" s="109">
        <v>5.1172558223021754E-11</v>
      </c>
      <c r="L124" s="152">
        <v>6.0795864417644089E-10</v>
      </c>
      <c r="R124" s="60">
        <v>1179.9736025553507</v>
      </c>
      <c r="S124" s="57">
        <v>1.2501014842147682E-6</v>
      </c>
      <c r="U124" s="127">
        <v>8.4711152648995789E-10</v>
      </c>
      <c r="V124" s="127">
        <v>6.0795864417644089E-10</v>
      </c>
      <c r="W124" s="128">
        <v>4.568077711359436E-10</v>
      </c>
      <c r="X124" s="128">
        <f t="shared" si="2"/>
        <v>6.299591464946958E-10</v>
      </c>
      <c r="Y124" s="139">
        <f t="shared" si="3"/>
        <v>2.6225337447668986E-3</v>
      </c>
      <c r="AA124" s="73"/>
      <c r="AB124" s="176"/>
      <c r="AC124" s="176"/>
      <c r="AD124" s="176"/>
      <c r="AJ124" s="135"/>
    </row>
    <row r="125" spans="9:36" x14ac:dyDescent="0.35">
      <c r="I125" s="109">
        <v>2.81017735932E-2</v>
      </c>
      <c r="J125" s="109">
        <v>5.31299473144511E-10</v>
      </c>
      <c r="K125" s="109">
        <v>4.7423455809522459E-11</v>
      </c>
      <c r="L125" s="152">
        <v>5.0248100001905267E-10</v>
      </c>
      <c r="R125" s="60">
        <v>1179.9736025553507</v>
      </c>
      <c r="S125" s="57">
        <v>1.2098491889687374E-6</v>
      </c>
      <c r="U125" s="127">
        <v>7.0265717804735184E-10</v>
      </c>
      <c r="V125" s="127">
        <v>5.0248100001905267E-10</v>
      </c>
      <c r="W125" s="128">
        <v>4.2447286593097154E-10</v>
      </c>
      <c r="X125" s="128">
        <f t="shared" si="2"/>
        <v>5.3302301100410716E-10</v>
      </c>
      <c r="Y125" s="139">
        <f t="shared" si="3"/>
        <v>1.3208553466419731E-3</v>
      </c>
      <c r="AA125" s="73"/>
      <c r="AB125" s="176"/>
      <c r="AC125" s="176"/>
      <c r="AD125" s="176"/>
      <c r="AJ125" s="135"/>
    </row>
    <row r="126" spans="9:36" x14ac:dyDescent="0.35">
      <c r="I126" s="109">
        <v>2.8382791329100002E-2</v>
      </c>
      <c r="J126" s="109">
        <v>5.3772542662674503E-10</v>
      </c>
      <c r="K126" s="109">
        <v>5.0091406681059037E-11</v>
      </c>
      <c r="L126" s="152">
        <v>4.3568604155250444E-10</v>
      </c>
      <c r="R126" s="60">
        <v>1180.4281480098962</v>
      </c>
      <c r="S126" s="57">
        <v>1.2098491889687374E-6</v>
      </c>
      <c r="U126" s="127">
        <v>5.7457061988583293E-10</v>
      </c>
      <c r="V126" s="127">
        <v>4.3568604155250444E-10</v>
      </c>
      <c r="W126" s="128">
        <v>4.4260569034603303E-10</v>
      </c>
      <c r="X126" s="128">
        <f t="shared" si="2"/>
        <v>4.7213709833421871E-10</v>
      </c>
      <c r="Y126" s="139">
        <f t="shared" si="3"/>
        <v>1.7144572794534003</v>
      </c>
      <c r="AA126" s="73"/>
      <c r="AB126" s="176"/>
      <c r="AC126" s="176"/>
      <c r="AD126" s="176"/>
      <c r="AJ126" s="135"/>
    </row>
    <row r="127" spans="9:36" x14ac:dyDescent="0.35">
      <c r="I127" s="109">
        <v>2.86666192424E-2</v>
      </c>
      <c r="J127" s="109">
        <v>4.5625307740750276E-10</v>
      </c>
      <c r="K127" s="109">
        <v>4.3460442035155914E-11</v>
      </c>
      <c r="L127" s="152">
        <v>4.1604261097440071E-10</v>
      </c>
      <c r="R127" s="60">
        <v>1180.4281480098962</v>
      </c>
      <c r="S127" s="57">
        <v>1.1710037160547048E-6</v>
      </c>
      <c r="U127" s="127">
        <v>4.7627136771343079E-10</v>
      </c>
      <c r="V127" s="127">
        <v>4.1604261097440071E-10</v>
      </c>
      <c r="W127" s="128">
        <v>5.1127175515852906E-10</v>
      </c>
      <c r="X127" s="128">
        <f t="shared" si="2"/>
        <v>4.5490708620519029E-10</v>
      </c>
      <c r="Y127" s="139">
        <f t="shared" si="3"/>
        <v>9.5917127487953741E-4</v>
      </c>
      <c r="AA127" s="73"/>
      <c r="AB127" s="176"/>
      <c r="AC127" s="176"/>
      <c r="AD127" s="176"/>
      <c r="AJ127" s="135"/>
    </row>
    <row r="128" spans="9:36" x14ac:dyDescent="0.35">
      <c r="I128" s="109">
        <v>2.89532854348E-2</v>
      </c>
      <c r="J128" s="109">
        <v>5.3291549362883838E-10</v>
      </c>
      <c r="K128" s="109">
        <v>4.8986854431450535E-11</v>
      </c>
      <c r="L128" s="152">
        <v>4.4752765782077486E-10</v>
      </c>
      <c r="R128" s="60">
        <v>1180.8826934644417</v>
      </c>
      <c r="S128" s="57">
        <v>1.1710037160547048E-6</v>
      </c>
      <c r="U128" s="127">
        <v>4.1893762260513094E-10</v>
      </c>
      <c r="V128" s="127">
        <v>4.4752765782077486E-10</v>
      </c>
      <c r="W128" s="128">
        <v>6.2500271599093902E-10</v>
      </c>
      <c r="X128" s="128">
        <f t="shared" si="2"/>
        <v>4.8474891355940492E-10</v>
      </c>
      <c r="Y128" s="139">
        <f t="shared" si="3"/>
        <v>0.96679081715284643</v>
      </c>
      <c r="AA128" s="73"/>
      <c r="AB128" s="176"/>
      <c r="AC128" s="176"/>
      <c r="AD128" s="176"/>
      <c r="AJ128" s="135"/>
    </row>
    <row r="129" spans="9:36" x14ac:dyDescent="0.35">
      <c r="I129" s="109">
        <v>2.9242818289200001E-2</v>
      </c>
      <c r="J129" s="109">
        <v>5.9281020667196066E-10</v>
      </c>
      <c r="K129" s="109">
        <v>5.2219386780849143E-11</v>
      </c>
      <c r="L129" s="152">
        <v>5.2885390042028219E-10</v>
      </c>
      <c r="R129" s="60">
        <v>1180.8826934644417</v>
      </c>
      <c r="S129" s="57">
        <v>1.134003708808447E-6</v>
      </c>
      <c r="U129" s="127">
        <v>4.1016376305735214E-10</v>
      </c>
      <c r="V129" s="127">
        <v>5.2885390042028219E-10</v>
      </c>
      <c r="W129" s="128">
        <v>7.7300013687782396E-10</v>
      </c>
      <c r="X129" s="128">
        <f t="shared" si="2"/>
        <v>5.602179251939351E-10</v>
      </c>
      <c r="Y129" s="139">
        <f t="shared" si="3"/>
        <v>0.38955249449644958</v>
      </c>
      <c r="AA129" s="73"/>
      <c r="AB129" s="176"/>
      <c r="AC129" s="176"/>
      <c r="AD129" s="176"/>
      <c r="AJ129" s="135"/>
    </row>
    <row r="130" spans="9:36" x14ac:dyDescent="0.35">
      <c r="I130" s="109">
        <v>2.9535246472099999E-2</v>
      </c>
      <c r="J130" s="109">
        <v>7.0003595507111165E-10</v>
      </c>
      <c r="K130" s="109">
        <v>5.9487347461684622E-11</v>
      </c>
      <c r="L130" s="152">
        <v>6.5321518604272227E-10</v>
      </c>
      <c r="R130" s="60">
        <v>1181.3372389189872</v>
      </c>
      <c r="S130" s="57">
        <v>1.134003708808447E-6</v>
      </c>
      <c r="U130" s="127">
        <v>4.5287657219330911E-10</v>
      </c>
      <c r="V130" s="127">
        <v>6.5321518604272227E-10</v>
      </c>
      <c r="W130" s="127">
        <v>9.3997368467357549E-10</v>
      </c>
      <c r="X130" s="128">
        <f t="shared" si="2"/>
        <v>6.7482015723808223E-10</v>
      </c>
      <c r="Y130" s="139">
        <f t="shared" si="3"/>
        <v>0.17967854387732599</v>
      </c>
      <c r="AA130" s="73"/>
      <c r="AB130" s="176"/>
      <c r="AC130" s="176"/>
      <c r="AD130" s="176"/>
      <c r="AJ130" s="135"/>
    </row>
    <row r="131" spans="9:36" x14ac:dyDescent="0.35">
      <c r="I131" s="109">
        <v>2.9830598936799999E-2</v>
      </c>
      <c r="J131" s="49">
        <v>8.3046592342233628E-10</v>
      </c>
      <c r="K131" s="49">
        <v>6.6292933718067882E-11</v>
      </c>
      <c r="L131" s="152">
        <v>8.0863535148849887E-10</v>
      </c>
      <c r="R131" s="60">
        <v>1181.3372389189872</v>
      </c>
      <c r="S131" s="57">
        <v>1.0992887827933096E-6</v>
      </c>
      <c r="U131" s="127">
        <v>5.4466170302283196E-10</v>
      </c>
      <c r="V131" s="127">
        <v>8.0863535148849887E-10</v>
      </c>
      <c r="W131" s="127">
        <v>1.1075816243083466E-9</v>
      </c>
      <c r="X131" s="128">
        <f t="shared" ref="X131:X194" si="4">(U131+2*V131+W131)/4</f>
        <v>8.1737850757704416E-10</v>
      </c>
      <c r="Y131" s="139">
        <f t="shared" ref="Y131:Y194" si="5">(J131-X131)*(J131-X131)/(K131*K131)</f>
        <v>3.8973851575326124E-2</v>
      </c>
      <c r="AA131" s="73"/>
      <c r="AB131" s="176"/>
      <c r="AC131" s="176"/>
      <c r="AD131" s="176"/>
      <c r="AJ131" s="135"/>
    </row>
    <row r="132" spans="9:36" x14ac:dyDescent="0.35">
      <c r="I132" s="109">
        <v>3.01289049262E-2</v>
      </c>
      <c r="J132" s="49">
        <v>9.7783433738153126E-10</v>
      </c>
      <c r="K132" s="49">
        <v>7.2426100384709398E-11</v>
      </c>
      <c r="L132" s="152">
        <v>9.7894472354024706E-10</v>
      </c>
      <c r="R132" s="60">
        <v>1181.7917843735327</v>
      </c>
      <c r="S132" s="57">
        <v>1.0992887827933096E-6</v>
      </c>
      <c r="U132" s="127">
        <v>6.7762288630890073E-10</v>
      </c>
      <c r="V132" s="127">
        <v>9.7894472354024706E-10</v>
      </c>
      <c r="W132" s="127">
        <v>1.2563652908674839E-9</v>
      </c>
      <c r="X132" s="128">
        <f t="shared" si="4"/>
        <v>9.729694060642197E-10</v>
      </c>
      <c r="Y132" s="139">
        <f t="shared" si="5"/>
        <v>4.5119390273917533E-3</v>
      </c>
      <c r="AA132" s="73"/>
      <c r="AB132" s="176"/>
      <c r="AC132" s="176"/>
      <c r="AD132" s="176"/>
      <c r="AJ132" s="135"/>
    </row>
    <row r="133" spans="9:36" x14ac:dyDescent="0.35">
      <c r="I133" s="109">
        <v>3.0430193975400002E-2</v>
      </c>
      <c r="J133" s="49">
        <v>1.2295379169353274E-9</v>
      </c>
      <c r="K133" s="49">
        <v>8.6183390266655886E-11</v>
      </c>
      <c r="L133" s="152">
        <v>1.1453362922835461E-9</v>
      </c>
      <c r="R133" s="60">
        <v>1181.7917843735327</v>
      </c>
      <c r="S133" s="57">
        <v>1.0673368011419614E-6</v>
      </c>
      <c r="U133" s="127">
        <v>8.3884856391831232E-10</v>
      </c>
      <c r="V133" s="127">
        <v>1.1453362922835461E-9</v>
      </c>
      <c r="W133" s="127">
        <v>1.3679966643731358E-9</v>
      </c>
      <c r="X133" s="128">
        <f t="shared" si="4"/>
        <v>1.1243794532146352E-9</v>
      </c>
      <c r="Y133" s="139">
        <f t="shared" si="5"/>
        <v>1.4888169927563375</v>
      </c>
      <c r="AA133" s="73"/>
      <c r="AB133" s="176"/>
      <c r="AC133" s="176"/>
      <c r="AD133" s="176"/>
      <c r="AJ133" s="135"/>
    </row>
    <row r="134" spans="9:36" x14ac:dyDescent="0.35">
      <c r="I134" s="109">
        <v>3.07344959152E-2</v>
      </c>
      <c r="J134" s="49">
        <v>1.365934608180848E-9</v>
      </c>
      <c r="K134" s="49">
        <v>9.247016195340791E-11</v>
      </c>
      <c r="L134" s="152">
        <v>1.2883784064416014E-9</v>
      </c>
      <c r="R134" s="60">
        <v>1182.2463298280782</v>
      </c>
      <c r="S134" s="57">
        <v>1.0673368011419614E-6</v>
      </c>
      <c r="U134" s="127">
        <v>1.0114976822310948E-9</v>
      </c>
      <c r="V134" s="127">
        <v>1.2883784064416014E-9</v>
      </c>
      <c r="W134" s="127">
        <v>1.4275978424929594E-9</v>
      </c>
      <c r="X134" s="128">
        <f t="shared" si="4"/>
        <v>1.2539630844018143E-9</v>
      </c>
      <c r="Y134" s="139">
        <f t="shared" si="5"/>
        <v>1.4662632182980564</v>
      </c>
      <c r="AA134" s="73"/>
      <c r="AB134" s="176"/>
      <c r="AC134" s="176"/>
      <c r="AD134" s="176"/>
      <c r="AJ134" s="135"/>
    </row>
    <row r="135" spans="9:36" x14ac:dyDescent="0.35">
      <c r="I135" s="109">
        <v>3.1041840874300002E-2</v>
      </c>
      <c r="J135" s="49">
        <v>1.2990742933467502E-9</v>
      </c>
      <c r="K135" s="49">
        <v>8.7950178930216546E-11</v>
      </c>
      <c r="L135" s="152">
        <v>1.3902908276160596E-9</v>
      </c>
      <c r="R135" s="60">
        <v>1182.2463298280782</v>
      </c>
      <c r="S135" s="57">
        <v>1.0387293935391389E-6</v>
      </c>
      <c r="U135" s="127">
        <v>1.1764441662127288E-9</v>
      </c>
      <c r="V135" s="127">
        <v>1.3902908276160596E-9</v>
      </c>
      <c r="W135" s="127">
        <v>1.4258515046420564E-9</v>
      </c>
      <c r="X135" s="128">
        <f t="shared" si="4"/>
        <v>1.345719331521726E-9</v>
      </c>
      <c r="Y135" s="139">
        <f t="shared" si="5"/>
        <v>0.28127909171182103</v>
      </c>
      <c r="AA135" s="73"/>
      <c r="AB135" s="176"/>
      <c r="AC135" s="176"/>
      <c r="AD135" s="176"/>
      <c r="AJ135" s="135"/>
    </row>
    <row r="136" spans="9:36" x14ac:dyDescent="0.35">
      <c r="I136" s="109">
        <v>3.1352259283100002E-2</v>
      </c>
      <c r="J136" s="49">
        <v>1.2128423388380983E-9</v>
      </c>
      <c r="K136" s="49">
        <v>8.5501587553450606E-11</v>
      </c>
      <c r="L136" s="152">
        <v>1.4372346779369735E-9</v>
      </c>
      <c r="R136" s="60">
        <v>1182.7008752826237</v>
      </c>
      <c r="S136" s="57">
        <v>1.0387293935391389E-6</v>
      </c>
      <c r="U136" s="127">
        <v>1.3143455096041562E-9</v>
      </c>
      <c r="V136" s="127">
        <v>1.4372346779369735E-9</v>
      </c>
      <c r="W136" s="127">
        <v>1.3606102313515512E-9</v>
      </c>
      <c r="X136" s="128">
        <f t="shared" si="4"/>
        <v>1.3873562742074134E-9</v>
      </c>
      <c r="Y136" s="139">
        <f t="shared" si="5"/>
        <v>4.1659290306076704</v>
      </c>
      <c r="AA136" s="73"/>
      <c r="AB136" s="176"/>
      <c r="AC136" s="176"/>
      <c r="AD136" s="176"/>
      <c r="AJ136" s="135"/>
    </row>
    <row r="137" spans="9:36" x14ac:dyDescent="0.35">
      <c r="I137" s="109">
        <v>3.1665781875900002E-2</v>
      </c>
      <c r="J137" s="49">
        <v>1.2649068265662199E-9</v>
      </c>
      <c r="K137" s="49">
        <v>9.0368438151227858E-11</v>
      </c>
      <c r="L137" s="152">
        <v>1.4213325568046295E-9</v>
      </c>
      <c r="R137" s="60">
        <v>1182.7008752826237</v>
      </c>
      <c r="S137" s="57">
        <v>1.0142502803598605E-6</v>
      </c>
      <c r="U137" s="127">
        <v>1.4079331801313259E-9</v>
      </c>
      <c r="V137" s="127">
        <v>1.4213325568046295E-9</v>
      </c>
      <c r="W137" s="127">
        <v>1.2377364095321595E-9</v>
      </c>
      <c r="X137" s="128">
        <f t="shared" si="4"/>
        <v>1.3720836758181861E-9</v>
      </c>
      <c r="Y137" s="139">
        <f t="shared" si="5"/>
        <v>1.406592892347418</v>
      </c>
      <c r="AA137" s="73"/>
      <c r="AB137" s="176"/>
      <c r="AC137" s="176"/>
      <c r="AD137" s="176"/>
      <c r="AJ137" s="135"/>
    </row>
    <row r="138" spans="9:36" x14ac:dyDescent="0.35">
      <c r="I138" s="109">
        <v>3.19824396947E-2</v>
      </c>
      <c r="J138" s="49">
        <v>1.2582617904210333E-9</v>
      </c>
      <c r="K138" s="49">
        <v>9.4483998922030829E-11</v>
      </c>
      <c r="L138" s="152">
        <v>1.3421305773646043E-9</v>
      </c>
      <c r="R138" s="60">
        <v>1183.1554207371692</v>
      </c>
      <c r="S138" s="57">
        <v>1.0142502803598605E-6</v>
      </c>
      <c r="U138" s="127">
        <v>1.4442696653667327E-9</v>
      </c>
      <c r="V138" s="127">
        <v>1.3421305773646043E-9</v>
      </c>
      <c r="W138" s="127">
        <v>1.070967707656916E-9</v>
      </c>
      <c r="X138" s="128">
        <f t="shared" si="4"/>
        <v>1.2998746319382144E-9</v>
      </c>
      <c r="Y138" s="139">
        <f t="shared" si="5"/>
        <v>0.19397162892365835</v>
      </c>
      <c r="AA138" s="73"/>
      <c r="AB138" s="176"/>
      <c r="AC138" s="176"/>
      <c r="AD138" s="176"/>
      <c r="AJ138" s="135"/>
    </row>
    <row r="139" spans="9:36" x14ac:dyDescent="0.35">
      <c r="I139" s="109">
        <v>3.2302264091600003E-2</v>
      </c>
      <c r="J139" s="49">
        <v>1.2661801812533697E-9</v>
      </c>
      <c r="K139" s="49">
        <v>9.8597380102378271E-11</v>
      </c>
      <c r="L139" s="152">
        <v>1.2072455199351507E-9</v>
      </c>
      <c r="R139" s="60">
        <v>1183.1554207371692</v>
      </c>
      <c r="S139" s="57">
        <v>9.9501421951855528E-7</v>
      </c>
      <c r="U139" s="127">
        <v>1.4166872545195217E-9</v>
      </c>
      <c r="V139" s="127">
        <v>1.2072455199351507E-9</v>
      </c>
      <c r="W139" s="127">
        <v>8.8070596755721611E-10</v>
      </c>
      <c r="X139" s="128">
        <f t="shared" si="4"/>
        <v>1.1779710654867597E-9</v>
      </c>
      <c r="Y139" s="139">
        <f t="shared" si="5"/>
        <v>0.80037992443580563</v>
      </c>
      <c r="AA139" s="73"/>
      <c r="AB139" s="176"/>
      <c r="AC139" s="176"/>
      <c r="AD139" s="176"/>
      <c r="AJ139" s="135"/>
    </row>
    <row r="140" spans="9:36" x14ac:dyDescent="0.35">
      <c r="I140" s="109">
        <v>3.2625286732500001E-2</v>
      </c>
      <c r="J140" s="49">
        <v>9.6682953212869144E-10</v>
      </c>
      <c r="K140" s="49">
        <v>8.6348908214324792E-11</v>
      </c>
      <c r="L140" s="152">
        <v>1.0320112674544951E-9</v>
      </c>
      <c r="R140" s="60">
        <v>1183.6099661917146</v>
      </c>
      <c r="S140" s="57">
        <v>9.9501421951855528E-7</v>
      </c>
      <c r="U140" s="127">
        <v>1.3261246030041357E-9</v>
      </c>
      <c r="V140" s="127">
        <v>1.0320112674544951E-9</v>
      </c>
      <c r="W140" s="127">
        <v>6.9176401314687234E-10</v>
      </c>
      <c r="X140" s="128">
        <f t="shared" si="4"/>
        <v>1.0204777877649996E-9</v>
      </c>
      <c r="Y140" s="139">
        <f t="shared" si="5"/>
        <v>0.38600907014198699</v>
      </c>
      <c r="AA140" s="73"/>
      <c r="AB140" s="176"/>
      <c r="AC140" s="176"/>
      <c r="AD140" s="176"/>
      <c r="AJ140" s="135"/>
    </row>
    <row r="141" spans="9:36" x14ac:dyDescent="0.35">
      <c r="I141" s="109">
        <v>3.29515395999E-2</v>
      </c>
      <c r="J141" s="49">
        <v>8.7416005178700493E-10</v>
      </c>
      <c r="K141" s="49">
        <v>8.5839798462208452E-11</v>
      </c>
      <c r="L141" s="152">
        <v>8.380482533360746E-10</v>
      </c>
      <c r="R141" s="60">
        <v>1183.6099661917146</v>
      </c>
      <c r="S141" s="57">
        <v>9.826120783920275E-7</v>
      </c>
      <c r="U141" s="127">
        <v>1.1816146362570907E-9</v>
      </c>
      <c r="V141" s="127">
        <v>8.380482533360746E-10</v>
      </c>
      <c r="W141" s="127">
        <v>5.3026193585196224E-10</v>
      </c>
      <c r="X141" s="128">
        <f t="shared" si="4"/>
        <v>8.4699326969530055E-10</v>
      </c>
      <c r="Y141" s="139">
        <f t="shared" si="5"/>
        <v>0.10016108487295237</v>
      </c>
      <c r="AA141" s="73"/>
      <c r="AB141" s="176"/>
      <c r="AC141" s="176"/>
      <c r="AD141" s="176"/>
      <c r="AJ141" s="135"/>
    </row>
    <row r="142" spans="9:36" x14ac:dyDescent="0.35">
      <c r="I142" s="109">
        <v>3.3281054995899999E-2</v>
      </c>
      <c r="J142" s="49">
        <v>6.0840734799649499E-10</v>
      </c>
      <c r="K142" s="49">
        <v>7.324211080605252E-11</v>
      </c>
      <c r="L142" s="152">
        <v>6.5082055529801448E-10</v>
      </c>
      <c r="R142" s="60">
        <v>1184.0645116462601</v>
      </c>
      <c r="S142" s="57">
        <v>9.826120783920275E-7</v>
      </c>
      <c r="U142" s="127">
        <v>9.9975430078445768E-10</v>
      </c>
      <c r="V142" s="127">
        <v>6.5082055529801448E-10</v>
      </c>
      <c r="W142" s="127">
        <v>4.2002075562555763E-10</v>
      </c>
      <c r="X142" s="128">
        <f t="shared" si="4"/>
        <v>6.8035404175151104E-10</v>
      </c>
      <c r="Y142" s="139">
        <f t="shared" si="5"/>
        <v>0.96493926351523507</v>
      </c>
      <c r="AA142" s="73"/>
      <c r="AB142" s="176"/>
      <c r="AC142" s="176"/>
      <c r="AD142" s="176"/>
      <c r="AJ142" s="135"/>
    </row>
    <row r="143" spans="9:36" x14ac:dyDescent="0.35">
      <c r="I143" s="109">
        <v>3.3613865545800002E-2</v>
      </c>
      <c r="J143" s="49">
        <v>6.0664055550034964E-10</v>
      </c>
      <c r="K143" s="49">
        <v>7.4249918461728166E-11</v>
      </c>
      <c r="L143" s="152">
        <v>4.9640267730961967E-10</v>
      </c>
      <c r="R143" s="60">
        <v>1184.0645116462601</v>
      </c>
      <c r="S143" s="57">
        <v>9.7924028577783184E-7</v>
      </c>
      <c r="U143" s="127">
        <v>8.0310116706531517E-10</v>
      </c>
      <c r="V143" s="127">
        <v>4.9640267730961967E-10</v>
      </c>
      <c r="W143" s="127">
        <v>3.789301509866858E-10</v>
      </c>
      <c r="X143" s="128">
        <f t="shared" si="4"/>
        <v>5.4370916816781014E-10</v>
      </c>
      <c r="Y143" s="139">
        <f t="shared" si="5"/>
        <v>0.71836084024400304</v>
      </c>
      <c r="AA143" s="73"/>
      <c r="AB143" s="176"/>
      <c r="AC143" s="176"/>
      <c r="AD143" s="176"/>
      <c r="AJ143" s="135"/>
    </row>
    <row r="144" spans="9:36" x14ac:dyDescent="0.35">
      <c r="I144" s="109">
        <v>3.3950004201300003E-2</v>
      </c>
      <c r="J144" s="49">
        <v>5.2595135750518087E-10</v>
      </c>
      <c r="K144" s="49">
        <v>6.8158480065451043E-11</v>
      </c>
      <c r="L144" s="152">
        <v>3.9782983721979077E-10</v>
      </c>
      <c r="O144" s="30"/>
      <c r="R144" s="60">
        <v>1184.5190571008056</v>
      </c>
      <c r="S144" s="57">
        <v>9.7924028577783184E-7</v>
      </c>
      <c r="U144" s="127">
        <v>6.1758553068142588E-10</v>
      </c>
      <c r="V144" s="127">
        <v>3.9782983721979077E-10</v>
      </c>
      <c r="W144" s="127">
        <v>4.1584002459071356E-10</v>
      </c>
      <c r="X144" s="128">
        <f t="shared" si="4"/>
        <v>4.5727130742793023E-10</v>
      </c>
      <c r="Y144" s="139">
        <f t="shared" si="5"/>
        <v>1.0153631835611525</v>
      </c>
      <c r="AA144" s="73"/>
      <c r="AB144" s="176"/>
      <c r="AC144" s="176"/>
      <c r="AD144" s="176"/>
      <c r="AJ144" s="135"/>
    </row>
    <row r="145" spans="9:36" x14ac:dyDescent="0.35">
      <c r="I145" s="109">
        <v>3.4289504243299997E-2</v>
      </c>
      <c r="J145" s="49">
        <v>4.2702309013882143E-10</v>
      </c>
      <c r="K145" s="49">
        <v>6.5924172485433018E-11</v>
      </c>
      <c r="L145" s="152">
        <v>3.71524698128568E-10</v>
      </c>
      <c r="R145" s="60">
        <v>1184.5190571008056</v>
      </c>
      <c r="S145" s="57">
        <v>9.8776460216188029E-7</v>
      </c>
      <c r="U145" s="127">
        <v>4.691835463178139E-10</v>
      </c>
      <c r="V145" s="127">
        <v>3.71524698128568E-10</v>
      </c>
      <c r="W145" s="127">
        <v>5.2851951822018389E-10</v>
      </c>
      <c r="X145" s="128">
        <f t="shared" si="4"/>
        <v>4.3518811519878345E-10</v>
      </c>
      <c r="Y145" s="139">
        <f t="shared" si="5"/>
        <v>1.534001096305262E-2</v>
      </c>
      <c r="AA145" s="73"/>
      <c r="AB145" s="176"/>
      <c r="AC145" s="176"/>
      <c r="AD145" s="176"/>
      <c r="AJ145" s="135"/>
    </row>
    <row r="146" spans="9:36" x14ac:dyDescent="0.35">
      <c r="I146" s="109">
        <v>3.46323992857E-2</v>
      </c>
      <c r="J146" s="49">
        <v>5.9990059013353105E-10</v>
      </c>
      <c r="K146" s="49">
        <v>7.9112972947706458E-11</v>
      </c>
      <c r="L146" s="152">
        <v>4.2435267287534194E-10</v>
      </c>
      <c r="R146" s="60">
        <v>1184.9736025553511</v>
      </c>
      <c r="S146" s="57">
        <v>9.8776460216188029E-7</v>
      </c>
      <c r="U146" s="127">
        <v>3.8024428624431237E-10</v>
      </c>
      <c r="V146" s="127">
        <v>4.2435267287534194E-10</v>
      </c>
      <c r="W146" s="127">
        <v>7.0312905098407996E-10</v>
      </c>
      <c r="X146" s="128">
        <f t="shared" si="4"/>
        <v>4.8301967074476905E-10</v>
      </c>
      <c r="Y146" s="139">
        <f t="shared" si="5"/>
        <v>2.1826888419407493</v>
      </c>
      <c r="AA146" s="73"/>
      <c r="AB146" s="176"/>
      <c r="AC146" s="176"/>
      <c r="AD146" s="176"/>
      <c r="AJ146" s="135"/>
    </row>
    <row r="147" spans="9:36" x14ac:dyDescent="0.35">
      <c r="I147" s="109">
        <v>3.49787232786E-2</v>
      </c>
      <c r="J147" s="49">
        <v>7.35166907186181E-10</v>
      </c>
      <c r="K147" s="49">
        <v>8.7004194697715267E-11</v>
      </c>
      <c r="L147" s="152">
        <v>5.5183561922462556E-10</v>
      </c>
      <c r="R147" s="60">
        <v>1184.9736025553511</v>
      </c>
      <c r="S147" s="57">
        <v>1.0116563421398208E-6</v>
      </c>
      <c r="U147" s="127">
        <v>3.6597449933530766E-10</v>
      </c>
      <c r="V147" s="127">
        <v>5.5183561922462556E-10</v>
      </c>
      <c r="W147" s="127">
        <v>9.1546366268853616E-10</v>
      </c>
      <c r="X147" s="128">
        <f t="shared" si="4"/>
        <v>5.9627735011827371E-10</v>
      </c>
      <c r="Y147" s="139">
        <f t="shared" si="5"/>
        <v>2.548348399493944</v>
      </c>
      <c r="AA147" s="73"/>
      <c r="AB147" s="176"/>
      <c r="AC147" s="176"/>
      <c r="AD147" s="176"/>
      <c r="AJ147" s="135"/>
    </row>
    <row r="148" spans="9:36" x14ac:dyDescent="0.35">
      <c r="I148" s="109">
        <v>3.5328510511399999E-2</v>
      </c>
      <c r="J148" s="49">
        <v>7.3801638093786731E-10</v>
      </c>
      <c r="K148" s="49">
        <v>8.761256058060244E-11</v>
      </c>
      <c r="L148" s="152">
        <v>7.3793984703814808E-10</v>
      </c>
      <c r="R148" s="60">
        <v>1185.4281480098966</v>
      </c>
      <c r="S148" s="57">
        <v>1.0116563421398208E-6</v>
      </c>
      <c r="U148" s="127">
        <v>4.3163287084046648E-10</v>
      </c>
      <c r="V148" s="127">
        <v>7.3793984703814808E-10</v>
      </c>
      <c r="W148" s="127">
        <v>1.1339687601914839E-9</v>
      </c>
      <c r="X148" s="128">
        <f t="shared" si="4"/>
        <v>7.6037033127706166E-10</v>
      </c>
      <c r="Y148" s="139">
        <f t="shared" si="5"/>
        <v>6.5099224793222443E-2</v>
      </c>
      <c r="AA148" s="73"/>
      <c r="AB148" s="176"/>
      <c r="AC148" s="176"/>
      <c r="AD148" s="176"/>
      <c r="AJ148" s="135"/>
    </row>
    <row r="149" spans="9:36" x14ac:dyDescent="0.35">
      <c r="I149" s="109">
        <v>3.5681795616499999E-2</v>
      </c>
      <c r="J149" s="49">
        <v>8.7744858533727846E-10</v>
      </c>
      <c r="K149" s="49">
        <v>9.5098125814589809E-11</v>
      </c>
      <c r="L149" s="152">
        <v>9.566542328996738E-10</v>
      </c>
      <c r="R149" s="60">
        <v>1185.4281480098966</v>
      </c>
      <c r="S149" s="57">
        <v>1.0547437388811689E-6</v>
      </c>
      <c r="U149" s="127">
        <v>5.7095079146703158E-10</v>
      </c>
      <c r="V149" s="127">
        <v>9.566542328996738E-10</v>
      </c>
      <c r="W149" s="127">
        <v>1.3242363767831527E-9</v>
      </c>
      <c r="X149" s="128">
        <f t="shared" si="4"/>
        <v>9.5212390851238294E-10</v>
      </c>
      <c r="Y149" s="139">
        <f t="shared" si="5"/>
        <v>0.61660963356039833</v>
      </c>
      <c r="AA149" s="73"/>
      <c r="AB149" s="176"/>
      <c r="AC149" s="176"/>
      <c r="AD149" s="176"/>
      <c r="AJ149" s="135"/>
    </row>
    <row r="150" spans="9:36" x14ac:dyDescent="0.35">
      <c r="I150" s="109">
        <v>3.6038613572599999E-2</v>
      </c>
      <c r="J150" s="49">
        <v>1.2829017116205967E-9</v>
      </c>
      <c r="K150" s="49">
        <v>1.1961092578367244E-10</v>
      </c>
      <c r="L150" s="152">
        <v>1.1753095359063222E-9</v>
      </c>
      <c r="R150" s="60">
        <v>1185.8826934644421</v>
      </c>
      <c r="S150" s="57">
        <v>1.0547437388811689E-6</v>
      </c>
      <c r="U150" s="127">
        <v>7.6617095464961929E-10</v>
      </c>
      <c r="V150" s="127">
        <v>1.1753095359063222E-9</v>
      </c>
      <c r="W150" s="127">
        <v>1.4544054441393347E-9</v>
      </c>
      <c r="X150" s="128">
        <f t="shared" si="4"/>
        <v>1.1427988676503996E-9</v>
      </c>
      <c r="Y150" s="139">
        <f t="shared" si="5"/>
        <v>1.3719939577467191</v>
      </c>
      <c r="AA150" s="73"/>
      <c r="AB150" s="176"/>
      <c r="AC150" s="176"/>
      <c r="AD150" s="176"/>
      <c r="AJ150" s="135"/>
    </row>
    <row r="151" spans="9:36" x14ac:dyDescent="0.35">
      <c r="I151" s="109">
        <v>3.63989997084E-2</v>
      </c>
      <c r="J151" s="49">
        <v>1.1453863914333908E-9</v>
      </c>
      <c r="K151" s="49">
        <v>1.0955473503834614E-10</v>
      </c>
      <c r="L151" s="152">
        <v>1.3592963790383459E-9</v>
      </c>
      <c r="R151" s="60">
        <v>1185.8826934644421</v>
      </c>
      <c r="S151" s="57">
        <v>1.1207502640282688E-6</v>
      </c>
      <c r="U151" s="127">
        <v>9.8988582539214864E-10</v>
      </c>
      <c r="V151" s="127">
        <v>1.3592963790383459E-9</v>
      </c>
      <c r="W151" s="127">
        <v>1.5006617059773791E-9</v>
      </c>
      <c r="X151" s="128">
        <f t="shared" si="4"/>
        <v>1.302285072361555E-9</v>
      </c>
      <c r="Y151" s="139">
        <f t="shared" si="5"/>
        <v>2.0510501489654849</v>
      </c>
      <c r="AA151" s="73"/>
      <c r="AB151" s="176"/>
      <c r="AC151" s="176"/>
      <c r="AD151" s="176"/>
      <c r="AJ151" s="135"/>
    </row>
    <row r="152" spans="9:36" x14ac:dyDescent="0.35">
      <c r="I152" s="109">
        <v>3.6762989705399998E-2</v>
      </c>
      <c r="J152" s="49">
        <v>1.2883785080079469E-9</v>
      </c>
      <c r="K152" s="49">
        <v>1.1537844741270183E-10</v>
      </c>
      <c r="L152" s="152">
        <v>1.4777676178851146E-9</v>
      </c>
      <c r="R152" s="60">
        <v>1186.3372389189876</v>
      </c>
      <c r="S152" s="57">
        <v>1.1207502640282688E-6</v>
      </c>
      <c r="U152" s="127">
        <v>1.2085689657554644E-9</v>
      </c>
      <c r="V152" s="127">
        <v>1.4777676178851146E-9</v>
      </c>
      <c r="W152" s="127">
        <v>1.4522575276000124E-9</v>
      </c>
      <c r="X152" s="128">
        <f t="shared" si="4"/>
        <v>1.4040904322814265E-9</v>
      </c>
      <c r="Y152" s="139">
        <f t="shared" si="5"/>
        <v>1.0057889283524561</v>
      </c>
      <c r="AA152" s="73"/>
      <c r="AB152" s="176"/>
      <c r="AC152" s="176"/>
      <c r="AD152" s="176"/>
      <c r="AJ152" s="135"/>
    </row>
    <row r="153" spans="9:36" x14ac:dyDescent="0.35">
      <c r="I153" s="109">
        <v>3.7130619602499998E-2</v>
      </c>
      <c r="J153" s="49">
        <v>1.1529052576860366E-9</v>
      </c>
      <c r="K153" s="49">
        <v>1.1709657839361603E-10</v>
      </c>
      <c r="L153" s="152">
        <v>1.5083491002296679E-9</v>
      </c>
      <c r="R153" s="60">
        <v>1186.3372389189876</v>
      </c>
      <c r="S153" s="57">
        <v>1.2126464922241488E-6</v>
      </c>
      <c r="U153" s="127">
        <v>1.387656789938991E-9</v>
      </c>
      <c r="V153" s="127">
        <v>1.5083491002296679E-9</v>
      </c>
      <c r="W153" s="127">
        <v>1.3130503365710466E-9</v>
      </c>
      <c r="X153" s="128">
        <f t="shared" si="4"/>
        <v>1.4293513317423434E-9</v>
      </c>
      <c r="Y153" s="139">
        <f t="shared" si="5"/>
        <v>5.5735569539724823</v>
      </c>
      <c r="AA153" s="73"/>
      <c r="AB153" s="176"/>
      <c r="AC153" s="176"/>
      <c r="AD153" s="176"/>
      <c r="AJ153" s="135"/>
    </row>
    <row r="154" spans="9:36" x14ac:dyDescent="0.35">
      <c r="I154" s="109">
        <v>3.7501925798500001E-2</v>
      </c>
      <c r="J154" s="49">
        <v>1.2328545348683134E-9</v>
      </c>
      <c r="K154" s="49">
        <v>1.2201833507686543E-10</v>
      </c>
      <c r="L154" s="152">
        <v>1.4425036462545738E-9</v>
      </c>
      <c r="R154" s="60">
        <v>1186.7917843735331</v>
      </c>
      <c r="S154" s="57">
        <v>1.2126464922241488E-6</v>
      </c>
      <c r="U154" s="127">
        <v>1.4966200467516007E-9</v>
      </c>
      <c r="V154" s="127">
        <v>1.4425036462545738E-9</v>
      </c>
      <c r="W154" s="127">
        <v>1.1039748560318279E-9</v>
      </c>
      <c r="X154" s="128">
        <f t="shared" si="4"/>
        <v>1.3714005488231441E-9</v>
      </c>
      <c r="Y154" s="139">
        <f t="shared" si="5"/>
        <v>1.2892522000833095</v>
      </c>
      <c r="AA154" s="73"/>
      <c r="AB154" s="176"/>
      <c r="AC154" s="176"/>
      <c r="AD154" s="176"/>
      <c r="AJ154" s="135"/>
    </row>
    <row r="155" spans="9:36" x14ac:dyDescent="0.35">
      <c r="I155" s="109">
        <v>3.7876945056500001E-2</v>
      </c>
      <c r="J155" s="49">
        <v>1.1008190140912523E-9</v>
      </c>
      <c r="K155" s="49">
        <v>1.1832535334042524E-10</v>
      </c>
      <c r="L155" s="152">
        <v>1.2876225818319698E-9</v>
      </c>
      <c r="R155" s="60">
        <v>1186.7917843735331</v>
      </c>
      <c r="S155" s="57">
        <v>1.3319119963341632E-6</v>
      </c>
      <c r="U155" s="127">
        <v>1.5147884092586285E-9</v>
      </c>
      <c r="V155" s="127">
        <v>1.2876225818319698E-9</v>
      </c>
      <c r="W155" s="127">
        <v>8.5937915040937409E-10</v>
      </c>
      <c r="X155" s="128">
        <f t="shared" si="4"/>
        <v>1.2373531808329855E-9</v>
      </c>
      <c r="Y155" s="139">
        <f t="shared" si="5"/>
        <v>1.3314567642193069</v>
      </c>
      <c r="AA155" s="73"/>
      <c r="AB155" s="176"/>
      <c r="AC155" s="176"/>
      <c r="AD155" s="176"/>
      <c r="AJ155" s="135"/>
    </row>
    <row r="156" spans="9:36" x14ac:dyDescent="0.35">
      <c r="I156" s="109">
        <v>3.8255714507099997E-2</v>
      </c>
      <c r="J156" s="49">
        <v>9.3173296872585053E-10</v>
      </c>
      <c r="K156" s="49">
        <v>1.0722622222289531E-10</v>
      </c>
      <c r="L156" s="152">
        <v>1.0671060010065707E-9</v>
      </c>
      <c r="R156" s="60">
        <v>1187.2463298280786</v>
      </c>
      <c r="S156" s="57">
        <v>1.3319119963341632E-6</v>
      </c>
      <c r="U156" s="127">
        <v>1.4354944370465025E-9</v>
      </c>
      <c r="V156" s="127">
        <v>1.0671060010065707E-9</v>
      </c>
      <c r="W156" s="127">
        <v>6.221387066127709E-10</v>
      </c>
      <c r="X156" s="128">
        <f t="shared" si="4"/>
        <v>1.0479612864181036E-9</v>
      </c>
      <c r="Y156" s="139">
        <f t="shared" si="5"/>
        <v>1.1749567837906583</v>
      </c>
      <c r="AA156" s="73"/>
      <c r="AB156" s="176"/>
      <c r="AC156" s="176"/>
      <c r="AD156" s="176"/>
      <c r="AJ156" s="135"/>
    </row>
    <row r="157" spans="9:36" x14ac:dyDescent="0.35">
      <c r="I157" s="109">
        <v>3.8638271652100001E-2</v>
      </c>
      <c r="J157" s="49">
        <v>7.8372576972310286E-10</v>
      </c>
      <c r="K157" s="49">
        <v>1.0283123221225161E-10</v>
      </c>
      <c r="L157" s="152">
        <v>8.174651916326453E-10</v>
      </c>
      <c r="R157" s="60">
        <v>1187.2463298280786</v>
      </c>
      <c r="S157" s="57">
        <v>1.4778664942741728E-6</v>
      </c>
      <c r="U157" s="127">
        <v>1.268351256134271E-9</v>
      </c>
      <c r="V157" s="127">
        <v>8.174651916326453E-10</v>
      </c>
      <c r="W157" s="127">
        <v>4.3634945243359352E-10</v>
      </c>
      <c r="X157" s="128">
        <f t="shared" si="4"/>
        <v>8.3490777295828868E-10</v>
      </c>
      <c r="Y157" s="139">
        <f t="shared" si="5"/>
        <v>0.24773335257964293</v>
      </c>
      <c r="AA157" s="73"/>
      <c r="AB157" s="176"/>
      <c r="AC157" s="176"/>
      <c r="AD157" s="176"/>
      <c r="AJ157" s="135"/>
    </row>
    <row r="158" spans="9:36" x14ac:dyDescent="0.35">
      <c r="I158" s="109">
        <v>3.90246543687E-2</v>
      </c>
      <c r="J158" s="49">
        <v>7.7431783638905963E-10</v>
      </c>
      <c r="K158" s="49">
        <v>1.00482007007838E-10</v>
      </c>
      <c r="L158" s="152">
        <v>5.8271386791684832E-10</v>
      </c>
      <c r="R158" s="60">
        <v>1187.7008752826241</v>
      </c>
      <c r="S158" s="57">
        <v>1.4778664942741728E-6</v>
      </c>
      <c r="U158" s="127">
        <v>1.0388854039409158E-9</v>
      </c>
      <c r="V158" s="127">
        <v>5.8271386791684832E-10</v>
      </c>
      <c r="W158" s="127">
        <v>3.3904391218299151E-10</v>
      </c>
      <c r="X158" s="128">
        <f t="shared" si="4"/>
        <v>6.3583926298940102E-10</v>
      </c>
      <c r="Y158" s="139">
        <f t="shared" si="5"/>
        <v>1.899278095967162</v>
      </c>
      <c r="AA158" s="73"/>
      <c r="AB158" s="176"/>
      <c r="AC158" s="176"/>
      <c r="AD158" s="176"/>
      <c r="AJ158" s="135"/>
    </row>
    <row r="159" spans="9:36" x14ac:dyDescent="0.35">
      <c r="I159" s="109">
        <v>3.9414900912399999E-2</v>
      </c>
      <c r="J159" s="49">
        <v>5.7871734276117198E-10</v>
      </c>
      <c r="K159" s="49">
        <v>9.0557664743857835E-11</v>
      </c>
      <c r="L159" s="152">
        <v>4.0677578011875587E-10</v>
      </c>
      <c r="R159" s="60">
        <v>1187.7008752826241</v>
      </c>
      <c r="S159" s="57">
        <v>1.6472574129516165E-6</v>
      </c>
      <c r="U159" s="127">
        <v>7.8526353745359158E-10</v>
      </c>
      <c r="V159" s="127">
        <v>4.0677578011875587E-10</v>
      </c>
      <c r="W159" s="127">
        <v>3.5245212825858601E-10</v>
      </c>
      <c r="X159" s="128">
        <f t="shared" si="4"/>
        <v>4.8781680648742233E-10</v>
      </c>
      <c r="Y159" s="139">
        <f t="shared" si="5"/>
        <v>1.0075867818573183</v>
      </c>
      <c r="AA159" s="73"/>
      <c r="AB159" s="176"/>
      <c r="AC159" s="176"/>
      <c r="AD159" s="176"/>
      <c r="AJ159" s="135"/>
    </row>
    <row r="160" spans="9:36" x14ac:dyDescent="0.35">
      <c r="I160" s="109">
        <v>3.98090499215E-2</v>
      </c>
      <c r="J160" s="49">
        <v>4.854475436215872E-10</v>
      </c>
      <c r="K160" s="49">
        <v>9.4775064909968249E-11</v>
      </c>
      <c r="L160" s="153">
        <v>3.2513587929561644E-10</v>
      </c>
      <c r="M160" s="32"/>
      <c r="R160" s="60">
        <v>1188.1554207371696</v>
      </c>
      <c r="S160" s="57">
        <v>1.6472574129516165E-6</v>
      </c>
      <c r="U160" s="127">
        <v>5.5235812210112876E-10</v>
      </c>
      <c r="V160" s="127">
        <v>3.2513587929561644E-10</v>
      </c>
      <c r="W160" s="127">
        <v>4.7843653296793324E-10</v>
      </c>
      <c r="X160" s="128">
        <f t="shared" si="4"/>
        <v>4.2026660341507372E-10</v>
      </c>
      <c r="Y160" s="139">
        <f t="shared" si="5"/>
        <v>0.47299119947553647</v>
      </c>
      <c r="AA160" s="73"/>
      <c r="AB160" s="176"/>
      <c r="AC160" s="176"/>
      <c r="AD160" s="176"/>
      <c r="AJ160" s="135"/>
    </row>
    <row r="161" spans="1:36" x14ac:dyDescent="0.35">
      <c r="I161" s="109">
        <v>4.0207140420699998E-2</v>
      </c>
      <c r="J161" s="49">
        <v>5.0668297130074808E-10</v>
      </c>
      <c r="K161" s="49">
        <v>8.7389153527514135E-11</v>
      </c>
      <c r="L161" s="153">
        <v>3.5729510222016123E-10</v>
      </c>
      <c r="M161" s="32"/>
      <c r="R161" s="60">
        <v>1188.1554207371696</v>
      </c>
      <c r="S161" s="57">
        <v>1.8342630456571564E-6</v>
      </c>
      <c r="U161" s="127">
        <v>3.8394591880900124E-10</v>
      </c>
      <c r="V161" s="127">
        <v>3.5729510222016123E-10</v>
      </c>
      <c r="W161" s="127">
        <v>6.9650476395161749E-10</v>
      </c>
      <c r="X161" s="128">
        <f t="shared" si="4"/>
        <v>4.4876022180023531E-10</v>
      </c>
      <c r="Y161" s="139">
        <f t="shared" si="5"/>
        <v>0.43932232418061856</v>
      </c>
      <c r="AA161" s="73"/>
      <c r="AB161" s="176"/>
      <c r="AC161" s="176"/>
      <c r="AD161" s="176"/>
      <c r="AJ161" s="135"/>
    </row>
    <row r="162" spans="1:36" x14ac:dyDescent="0.35">
      <c r="I162" s="109">
        <v>4.0609211824900002E-2</v>
      </c>
      <c r="J162" s="49">
        <v>5.9255150693091776E-10</v>
      </c>
      <c r="K162" s="49">
        <v>9.6379251688629199E-11</v>
      </c>
      <c r="L162" s="153">
        <v>5.0164861020118959E-10</v>
      </c>
      <c r="M162" s="32"/>
      <c r="R162" s="60">
        <v>1188.6099661917151</v>
      </c>
      <c r="S162" s="57">
        <v>1.8342630456571564E-6</v>
      </c>
      <c r="U162" s="127">
        <v>3.1431907261888504E-10</v>
      </c>
      <c r="V162" s="127">
        <v>5.0164861020118959E-10</v>
      </c>
      <c r="W162" s="127">
        <v>9.6623839658858439E-10</v>
      </c>
      <c r="X162" s="128">
        <f t="shared" si="4"/>
        <v>5.7096367240246221E-10</v>
      </c>
      <c r="Y162" s="139">
        <f t="shared" si="5"/>
        <v>5.0170804029548564E-2</v>
      </c>
      <c r="AA162" s="73"/>
      <c r="AB162" s="176"/>
      <c r="AC162" s="176"/>
      <c r="AD162" s="176"/>
      <c r="AJ162" s="135"/>
    </row>
    <row r="163" spans="1:36" x14ac:dyDescent="0.35">
      <c r="I163" s="109">
        <v>4.1015303943099997E-2</v>
      </c>
      <c r="J163" s="49">
        <v>6.2476176414125699E-10</v>
      </c>
      <c r="K163" s="49">
        <v>1.0600782269138684E-10</v>
      </c>
      <c r="L163" s="153">
        <v>7.3412943889326544E-10</v>
      </c>
      <c r="M163" s="32"/>
      <c r="R163" s="60">
        <v>1188.6099661917151</v>
      </c>
      <c r="S163" s="57">
        <v>1.9813789193172719E-6</v>
      </c>
      <c r="U163" s="127">
        <v>3.608947884431958E-10</v>
      </c>
      <c r="V163" s="127">
        <v>7.3412943889326544E-10</v>
      </c>
      <c r="W163" s="127">
        <v>1.2341397805038095E-9</v>
      </c>
      <c r="X163" s="128">
        <f t="shared" si="4"/>
        <v>7.6582336168338412E-10</v>
      </c>
      <c r="Y163" s="139">
        <f t="shared" si="5"/>
        <v>1.7706868696113316</v>
      </c>
      <c r="AA163" s="73"/>
      <c r="AB163" s="176"/>
      <c r="AC163" s="176"/>
      <c r="AD163" s="176"/>
      <c r="AJ163" s="135"/>
    </row>
    <row r="164" spans="1:36" x14ac:dyDescent="0.35">
      <c r="I164" s="109">
        <v>4.1425456982600001E-2</v>
      </c>
      <c r="J164" s="49">
        <v>8.9133084141019806E-10</v>
      </c>
      <c r="K164" s="49">
        <v>1.2302478434169875E-10</v>
      </c>
      <c r="L164" s="153">
        <v>1.0113469408238672E-9</v>
      </c>
      <c r="M164" s="32"/>
      <c r="R164" s="60">
        <v>1188.8372389189879</v>
      </c>
      <c r="S164" s="57">
        <v>1.9813789193172719E-6</v>
      </c>
      <c r="U164" s="127">
        <v>5.1943340583430854E-10</v>
      </c>
      <c r="V164" s="127">
        <v>1.0113469408238672E-9</v>
      </c>
      <c r="W164" s="127">
        <v>1.443938588975548E-9</v>
      </c>
      <c r="X164" s="128">
        <f t="shared" si="4"/>
        <v>9.9651646911439767E-10</v>
      </c>
      <c r="Y164" s="139">
        <f t="shared" si="5"/>
        <v>0.73101717580401493</v>
      </c>
      <c r="AA164" s="73"/>
      <c r="AB164" s="176"/>
      <c r="AC164" s="176"/>
      <c r="AD164" s="176"/>
      <c r="AJ164" s="135"/>
    </row>
    <row r="165" spans="1:36" x14ac:dyDescent="0.35">
      <c r="I165" s="109">
        <v>4.1839711552400002E-2</v>
      </c>
      <c r="J165" s="49">
        <v>9.4785016608394492E-10</v>
      </c>
      <c r="K165" s="49">
        <v>1.2853974091299668E-10</v>
      </c>
      <c r="L165" s="153">
        <v>1.2780839979408336E-9</v>
      </c>
      <c r="M165" s="32"/>
      <c r="R165" s="60">
        <v>1188.8372389189879</v>
      </c>
      <c r="S165" s="57">
        <v>2.0823394542220977E-6</v>
      </c>
      <c r="U165" s="127">
        <v>7.6315823391634922E-10</v>
      </c>
      <c r="V165" s="127">
        <v>1.2780839979408336E-9</v>
      </c>
      <c r="W165" s="127">
        <v>1.5485097081039093E-9</v>
      </c>
      <c r="X165" s="128">
        <f t="shared" si="4"/>
        <v>1.2169589844754815E-9</v>
      </c>
      <c r="Y165" s="139">
        <f t="shared" si="5"/>
        <v>4.3830963577452806</v>
      </c>
      <c r="AA165" s="73"/>
      <c r="AB165" s="176"/>
      <c r="AC165" s="176"/>
      <c r="AD165" s="176"/>
      <c r="AJ165" s="135"/>
    </row>
    <row r="166" spans="1:36" x14ac:dyDescent="0.35">
      <c r="I166" s="109">
        <v>4.2258108667900002E-2</v>
      </c>
      <c r="J166" s="49">
        <v>1.2153546466293748E-9</v>
      </c>
      <c r="K166" s="49">
        <v>1.5267886102295443E-10</v>
      </c>
      <c r="L166" s="153">
        <v>1.4780519882583634E-9</v>
      </c>
      <c r="M166" s="32"/>
      <c r="R166" s="60">
        <v>1189.1115697177172</v>
      </c>
      <c r="S166" s="57">
        <v>2.0823394542220977E-6</v>
      </c>
      <c r="U166" s="127">
        <v>1.046424685586338E-9</v>
      </c>
      <c r="V166" s="127">
        <v>1.4780519882583634E-9</v>
      </c>
      <c r="W166" s="127">
        <v>1.520944641322377E-9</v>
      </c>
      <c r="X166" s="128">
        <f t="shared" si="4"/>
        <v>1.3808683258563605E-9</v>
      </c>
      <c r="Y166" s="139">
        <f t="shared" si="5"/>
        <v>1.175195074629142</v>
      </c>
      <c r="AA166" s="73"/>
      <c r="AB166" s="176"/>
      <c r="AC166" s="176"/>
      <c r="AD166" s="176"/>
      <c r="AJ166" s="135"/>
    </row>
    <row r="167" spans="1:36" x14ac:dyDescent="0.35">
      <c r="I167" s="109">
        <v>4.2680689754600001E-2</v>
      </c>
      <c r="J167" s="49">
        <v>1.3759952784314514E-9</v>
      </c>
      <c r="K167" s="49">
        <v>1.6553833508349363E-10</v>
      </c>
      <c r="L167" s="153">
        <v>1.5659374237305808E-9</v>
      </c>
      <c r="M167" s="32"/>
      <c r="R167" s="60">
        <v>1189.1115697177172</v>
      </c>
      <c r="S167" s="57">
        <v>2.2031849623988735E-6</v>
      </c>
      <c r="U167" s="127">
        <v>1.3127004302536573E-9</v>
      </c>
      <c r="V167" s="127">
        <v>1.5659374237305808E-9</v>
      </c>
      <c r="W167" s="127">
        <v>1.3621728797805621E-9</v>
      </c>
      <c r="X167" s="128">
        <f t="shared" si="4"/>
        <v>1.4516870393738454E-9</v>
      </c>
      <c r="Y167" s="139">
        <f t="shared" si="5"/>
        <v>0.20907401157136046</v>
      </c>
      <c r="AA167" s="73"/>
      <c r="AB167" s="176"/>
      <c r="AC167" s="176"/>
      <c r="AD167" s="176"/>
      <c r="AJ167" s="135"/>
    </row>
    <row r="168" spans="1:36" x14ac:dyDescent="0.35">
      <c r="I168" s="109">
        <v>4.3107496652199997E-2</v>
      </c>
      <c r="J168" s="49">
        <v>1.3317967085734504E-9</v>
      </c>
      <c r="K168" s="49">
        <v>1.6545901760430278E-10</v>
      </c>
      <c r="L168" s="153">
        <v>1.5182181838685185E-9</v>
      </c>
      <c r="M168" s="32"/>
      <c r="R168" s="60">
        <v>1189.3905875433495</v>
      </c>
      <c r="S168" s="57">
        <v>2.2031849623988735E-6</v>
      </c>
      <c r="U168" s="127">
        <v>1.5056512838817011E-9</v>
      </c>
      <c r="V168" s="127">
        <v>1.5182181838685185E-9</v>
      </c>
      <c r="W168" s="127">
        <v>1.1029622356704694E-9</v>
      </c>
      <c r="X168" s="128">
        <f t="shared" si="4"/>
        <v>1.4112624718223018E-9</v>
      </c>
      <c r="Y168" s="139">
        <f t="shared" si="5"/>
        <v>0.23066368996863476</v>
      </c>
      <c r="AA168" s="73"/>
      <c r="AB168" s="176"/>
      <c r="AC168" s="176"/>
      <c r="AD168" s="176"/>
      <c r="AJ168" s="135"/>
    </row>
    <row r="169" spans="1:36" x14ac:dyDescent="0.35">
      <c r="I169" s="109">
        <v>4.3538571618699999E-2</v>
      </c>
      <c r="J169" s="49">
        <v>1.3417558464874739E-9</v>
      </c>
      <c r="K169" s="49">
        <v>1.755859178012476E-10</v>
      </c>
      <c r="L169" s="153">
        <v>1.3401573075695708E-9</v>
      </c>
      <c r="M169" s="32"/>
      <c r="R169" s="60">
        <v>1189.3905875433495</v>
      </c>
      <c r="S169" s="57">
        <v>2.3240068344164358E-6</v>
      </c>
      <c r="U169" s="127">
        <v>1.5812816169412996E-9</v>
      </c>
      <c r="V169" s="127">
        <v>1.3401573075695708E-9</v>
      </c>
      <c r="W169" s="127">
        <v>7.9914449502196977E-10</v>
      </c>
      <c r="X169" s="128">
        <f t="shared" si="4"/>
        <v>1.2651851817756028E-9</v>
      </c>
      <c r="Y169" s="139">
        <f t="shared" si="5"/>
        <v>0.19017151678879923</v>
      </c>
      <c r="AA169" s="73"/>
      <c r="AB169" s="176"/>
      <c r="AC169" s="176"/>
      <c r="AD169" s="176"/>
      <c r="AJ169" s="135"/>
    </row>
    <row r="170" spans="1:36" x14ac:dyDescent="0.35">
      <c r="I170" s="109">
        <v>4.3973957334899998E-2</v>
      </c>
      <c r="J170" s="49">
        <v>1.1036661374580396E-9</v>
      </c>
      <c r="K170" s="49">
        <v>7.2600895044024626E-11</v>
      </c>
      <c r="L170" s="153">
        <v>1.0669008308594895E-9</v>
      </c>
      <c r="M170" s="32"/>
      <c r="R170" s="60">
        <v>1189.6794830262193</v>
      </c>
      <c r="S170" s="57">
        <v>2.3240068344164358E-6</v>
      </c>
      <c r="U170" s="127">
        <v>1.518561652630639E-9</v>
      </c>
      <c r="V170" s="127">
        <v>1.0669008308594895E-9</v>
      </c>
      <c r="W170" s="127">
        <v>5.2038313158565819E-10</v>
      </c>
      <c r="X170" s="128">
        <f t="shared" si="4"/>
        <v>1.0431866114838191E-9</v>
      </c>
      <c r="Y170" s="139">
        <f t="shared" si="5"/>
        <v>0.6939573941016568</v>
      </c>
      <c r="AA170" s="73"/>
      <c r="AB170" s="176"/>
      <c r="AC170" s="176"/>
      <c r="AD170" s="176"/>
      <c r="AJ170" s="135"/>
    </row>
    <row r="171" spans="1:36" x14ac:dyDescent="0.35">
      <c r="I171" s="109">
        <v>4.4413696908199997E-2</v>
      </c>
      <c r="J171" s="49">
        <v>7.2468010010138045E-10</v>
      </c>
      <c r="K171" s="49">
        <v>6.0621816034628347E-11</v>
      </c>
      <c r="L171" s="153">
        <v>7.5770207749174575E-10</v>
      </c>
      <c r="M171" s="32"/>
      <c r="R171" s="60">
        <v>1189.6794830262193</v>
      </c>
      <c r="S171" s="57">
        <v>2.4447262762425861E-6</v>
      </c>
      <c r="U171" s="127">
        <v>1.3259595599435536E-9</v>
      </c>
      <c r="V171" s="127">
        <v>7.5770207749174575E-10</v>
      </c>
      <c r="W171" s="127">
        <v>3.3444478199662491E-10</v>
      </c>
      <c r="X171" s="128">
        <f t="shared" si="4"/>
        <v>7.9395212423091744E-10</v>
      </c>
      <c r="Y171" s="139">
        <f t="shared" si="5"/>
        <v>1.3057434959359282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5.9259902873565921E-10</v>
      </c>
      <c r="K172" s="49">
        <v>5.1344697231745025E-11</v>
      </c>
      <c r="L172" s="153">
        <v>4.8381529200998054E-10</v>
      </c>
      <c r="M172" s="32"/>
      <c r="N172" s="18"/>
      <c r="O172" s="18"/>
      <c r="P172" s="30"/>
      <c r="Q172" s="65"/>
      <c r="R172" s="62">
        <v>1189.9845988858856</v>
      </c>
      <c r="S172" s="61">
        <v>2.4447262762425861E-6</v>
      </c>
      <c r="T172" s="75"/>
      <c r="U172" s="127">
        <v>1.041877278152762E-9</v>
      </c>
      <c r="V172" s="127">
        <v>4.8381529200998054E-10</v>
      </c>
      <c r="W172" s="127">
        <v>2.9036160958902121E-10</v>
      </c>
      <c r="X172" s="128">
        <f t="shared" si="4"/>
        <v>5.7496736794043608E-10</v>
      </c>
      <c r="Y172" s="139">
        <f t="shared" si="5"/>
        <v>0.1179221122362456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4.5306412216100003E-2</v>
      </c>
      <c r="J173" s="49">
        <v>5.0238318077890043E-10</v>
      </c>
      <c r="K173" s="49">
        <v>4.6640985677538567E-11</v>
      </c>
      <c r="L173" s="153">
        <v>3.1224859321503934E-10</v>
      </c>
      <c r="M173" s="32"/>
      <c r="R173" s="60">
        <v>1189.9845988858856</v>
      </c>
      <c r="S173" s="57">
        <v>2.5651500158927381E-6</v>
      </c>
      <c r="U173" s="127">
        <v>7.2814143680602811E-10</v>
      </c>
      <c r="V173" s="127">
        <v>3.1224859321503934E-10</v>
      </c>
      <c r="W173" s="127">
        <v>4.0464895315341326E-10</v>
      </c>
      <c r="X173" s="128">
        <f t="shared" si="4"/>
        <v>4.3932189409738E-10</v>
      </c>
      <c r="Y173" s="139">
        <f t="shared" si="5"/>
        <v>1.8280590304352506</v>
      </c>
      <c r="AA173" s="73"/>
      <c r="AB173" s="176"/>
      <c r="AC173" s="176"/>
      <c r="AD173" s="176"/>
      <c r="AJ173" s="135"/>
    </row>
    <row r="174" spans="1:36" x14ac:dyDescent="0.35">
      <c r="I174" s="109">
        <v>4.5759476338200003E-2</v>
      </c>
      <c r="J174" s="49">
        <v>5.8280863128087912E-10</v>
      </c>
      <c r="K174" s="49">
        <v>4.9783663103918542E-11</v>
      </c>
      <c r="L174" s="153">
        <v>2.8893479767113258E-10</v>
      </c>
      <c r="M174" s="32"/>
      <c r="R174" s="60">
        <v>1190.3144537355731</v>
      </c>
      <c r="S174" s="57">
        <v>2.5651500158927381E-6</v>
      </c>
      <c r="U174" s="127">
        <v>4.572564200716993E-10</v>
      </c>
      <c r="V174" s="127">
        <v>2.8893479767113258E-10</v>
      </c>
      <c r="W174" s="127">
        <v>6.5453072015085408E-10</v>
      </c>
      <c r="X174" s="128">
        <f t="shared" si="4"/>
        <v>4.2241418389120463E-10</v>
      </c>
      <c r="Y174" s="139">
        <f t="shared" si="5"/>
        <v>10.380181830226515</v>
      </c>
      <c r="AA174" s="73"/>
      <c r="AB174" s="176"/>
      <c r="AC174" s="176"/>
      <c r="AD174" s="176"/>
      <c r="AJ174" s="135"/>
    </row>
    <row r="175" spans="1:36" x14ac:dyDescent="0.35">
      <c r="I175" s="109">
        <v>4.6217071101599998E-2</v>
      </c>
      <c r="J175" s="49">
        <v>6.5289330323221706E-10</v>
      </c>
      <c r="K175" s="49">
        <v>5.4273905174599283E-11</v>
      </c>
      <c r="L175" s="153">
        <v>4.2554402651473929E-10</v>
      </c>
      <c r="M175" s="32"/>
      <c r="R175" s="60">
        <v>1190.3144537355731</v>
      </c>
      <c r="S175" s="57">
        <v>2.6848762718115108E-6</v>
      </c>
      <c r="U175" s="127">
        <v>2.9577384432714954E-10</v>
      </c>
      <c r="V175" s="127">
        <v>4.2554402651473929E-10</v>
      </c>
      <c r="W175" s="127">
        <v>9.8079926402396978E-10</v>
      </c>
      <c r="X175" s="128">
        <f t="shared" si="4"/>
        <v>5.3191529034514945E-10</v>
      </c>
      <c r="Y175" s="139">
        <f t="shared" si="5"/>
        <v>4.9685624228385947</v>
      </c>
      <c r="AA175" s="73"/>
      <c r="AB175" s="176"/>
      <c r="AC175" s="176"/>
      <c r="AD175" s="176"/>
      <c r="AJ175" s="135"/>
    </row>
    <row r="176" spans="1:36" x14ac:dyDescent="0.35">
      <c r="I176" s="109">
        <v>4.6679241812599997E-2</v>
      </c>
      <c r="J176" s="49">
        <v>8.6144271425328707E-10</v>
      </c>
      <c r="K176" s="49">
        <v>6.181773349420781E-11</v>
      </c>
      <c r="L176" s="153">
        <v>6.9380452607012358E-10</v>
      </c>
      <c r="M176" s="32"/>
      <c r="R176" s="60">
        <v>1190.6816351448297</v>
      </c>
      <c r="S176" s="57">
        <v>2.6848762718115108E-6</v>
      </c>
      <c r="U176" s="127">
        <v>2.8745922983505785E-10</v>
      </c>
      <c r="V176" s="127">
        <v>6.9380452607012358E-10</v>
      </c>
      <c r="W176" s="127">
        <v>1.3006754017461287E-9</v>
      </c>
      <c r="X176" s="128">
        <f t="shared" si="4"/>
        <v>7.4393592093035841E-10</v>
      </c>
      <c r="Y176" s="139">
        <f t="shared" si="5"/>
        <v>3.613264830311087</v>
      </c>
      <c r="AA176" s="73"/>
      <c r="AB176" s="176"/>
      <c r="AC176" s="176"/>
      <c r="AD176" s="176"/>
      <c r="AJ176" s="135"/>
    </row>
    <row r="177" spans="9:36" x14ac:dyDescent="0.35">
      <c r="I177" s="109">
        <v>4.71460342308E-2</v>
      </c>
      <c r="J177" s="49">
        <v>1.0826738512720366E-9</v>
      </c>
      <c r="K177" s="49">
        <v>7.1735958505032676E-11</v>
      </c>
      <c r="L177" s="152">
        <v>1.0297285307447396E-9</v>
      </c>
      <c r="M177" s="33"/>
      <c r="R177" s="60">
        <v>1190.6816351448297</v>
      </c>
      <c r="S177" s="57">
        <v>2.803121015899125E-6</v>
      </c>
      <c r="U177" s="127">
        <v>4.4052152257098585E-10</v>
      </c>
      <c r="V177" s="127">
        <v>1.0297285307447396E-9</v>
      </c>
      <c r="W177" s="127">
        <v>1.528322642991753E-9</v>
      </c>
      <c r="X177" s="128">
        <f t="shared" si="4"/>
        <v>1.0070753067630545E-9</v>
      </c>
      <c r="Y177" s="139">
        <f t="shared" si="5"/>
        <v>1.1105882062705656</v>
      </c>
      <c r="AA177" s="73"/>
      <c r="AB177" s="176"/>
      <c r="AC177" s="176"/>
      <c r="AD177" s="176"/>
      <c r="AJ177" s="135"/>
    </row>
    <row r="178" spans="9:36" x14ac:dyDescent="0.35">
      <c r="I178" s="109">
        <v>4.7617494573100001E-2</v>
      </c>
      <c r="J178" s="49">
        <v>1.2840482222493571E-9</v>
      </c>
      <c r="K178" s="49">
        <v>7.9307371050470551E-11</v>
      </c>
      <c r="L178" s="152">
        <v>1.3477769387332067E-9</v>
      </c>
      <c r="M178" s="33"/>
      <c r="R178" s="60">
        <v>1191.1068569728484</v>
      </c>
      <c r="S178" s="57">
        <v>2.803121015899125E-6</v>
      </c>
      <c r="U178" s="127">
        <v>7.2271055526401886E-10</v>
      </c>
      <c r="V178" s="127">
        <v>1.3477769387332067E-9</v>
      </c>
      <c r="W178" s="127">
        <v>1.5982071634384798E-9</v>
      </c>
      <c r="X178" s="128">
        <f t="shared" si="4"/>
        <v>1.254117899042228E-9</v>
      </c>
      <c r="Y178" s="139">
        <f t="shared" si="5"/>
        <v>0.14242810820460755</v>
      </c>
      <c r="AA178" s="73"/>
      <c r="AB178" s="176"/>
      <c r="AC178" s="176"/>
      <c r="AD178" s="176"/>
      <c r="AJ178" s="135"/>
    </row>
    <row r="179" spans="9:36" x14ac:dyDescent="0.35">
      <c r="I179" s="109">
        <v>4.8093669518800002E-2</v>
      </c>
      <c r="J179" s="49">
        <v>1.3672092280772228E-9</v>
      </c>
      <c r="K179" s="49">
        <v>8.169108342555452E-11</v>
      </c>
      <c r="L179" s="152">
        <v>1.5622589652000675E-9</v>
      </c>
      <c r="M179" s="33"/>
      <c r="R179" s="60">
        <v>1191.1068569728484</v>
      </c>
      <c r="S179" s="57">
        <v>2.9183663411666309E-6</v>
      </c>
      <c r="U179" s="127">
        <v>1.0665170489596438E-9</v>
      </c>
      <c r="V179" s="127">
        <v>1.5622589652000675E-9</v>
      </c>
      <c r="W179" s="127">
        <v>1.4850295311686362E-9</v>
      </c>
      <c r="X179" s="128">
        <f t="shared" si="4"/>
        <v>1.4190161276321037E-9</v>
      </c>
      <c r="Y179" s="139">
        <f t="shared" si="5"/>
        <v>0.40218502182461402</v>
      </c>
      <c r="AA179" s="73"/>
      <c r="AB179" s="176"/>
      <c r="AC179" s="176"/>
      <c r="AD179" s="176"/>
      <c r="AJ179" s="135"/>
    </row>
    <row r="180" spans="9:36" x14ac:dyDescent="0.35">
      <c r="I180" s="109">
        <v>4.8574606213999998E-2</v>
      </c>
      <c r="J180" s="49">
        <v>1.3493239940447544E-9</v>
      </c>
      <c r="K180" s="49">
        <v>8.2382874493455301E-11</v>
      </c>
      <c r="L180" s="152">
        <v>1.6108685891487639E-9</v>
      </c>
      <c r="M180" s="33"/>
      <c r="R180" s="60">
        <v>1191.6293796827151</v>
      </c>
      <c r="S180" s="57">
        <v>2.9183663411666309E-6</v>
      </c>
      <c r="U180" s="127">
        <v>1.3842755018921549E-9</v>
      </c>
      <c r="V180" s="127">
        <v>1.6108685891487639E-9</v>
      </c>
      <c r="W180" s="127">
        <v>1.2140803556502649E-9</v>
      </c>
      <c r="X180" s="128">
        <f t="shared" si="4"/>
        <v>1.4550232589599869E-9</v>
      </c>
      <c r="Y180" s="139">
        <f t="shared" si="5"/>
        <v>1.6461524456950909</v>
      </c>
      <c r="AA180" s="73"/>
      <c r="AB180" s="176"/>
      <c r="AC180" s="176"/>
      <c r="AD180" s="176"/>
      <c r="AJ180" s="135"/>
    </row>
    <row r="181" spans="9:36" x14ac:dyDescent="0.35">
      <c r="I181" s="109">
        <v>4.9060352276099999E-2</v>
      </c>
      <c r="J181" s="49">
        <v>1.2851226233003753E-9</v>
      </c>
      <c r="K181" s="49">
        <v>8.1283280958312375E-11</v>
      </c>
      <c r="L181" s="152">
        <v>1.4739527754198011E-9</v>
      </c>
      <c r="M181" s="33"/>
      <c r="R181" s="60">
        <v>1191.6293796827151</v>
      </c>
      <c r="S181" s="57">
        <v>3.0275673693087792E-6</v>
      </c>
      <c r="U181" s="127">
        <v>1.5902141451497788E-9</v>
      </c>
      <c r="V181" s="127">
        <v>1.4739527754198011E-9</v>
      </c>
      <c r="W181" s="127">
        <v>8.5783571677197002E-10</v>
      </c>
      <c r="X181" s="128">
        <f t="shared" si="4"/>
        <v>1.3489888531903378E-9</v>
      </c>
      <c r="Y181" s="139">
        <f t="shared" si="5"/>
        <v>0.61736230552476945</v>
      </c>
      <c r="AA181" s="73"/>
      <c r="AB181" s="176"/>
      <c r="AC181" s="176"/>
      <c r="AD181" s="176"/>
      <c r="AJ181" s="135"/>
    </row>
    <row r="182" spans="9:36" x14ac:dyDescent="0.35">
      <c r="I182" s="109">
        <v>4.9550955798900002E-2</v>
      </c>
      <c r="J182" s="49">
        <v>1.2064198257458545E-9</v>
      </c>
      <c r="K182" s="49">
        <v>7.8142202183419035E-11</v>
      </c>
      <c r="L182" s="152">
        <v>1.1834535255006539E-9</v>
      </c>
      <c r="M182" s="33"/>
      <c r="R182" s="60">
        <v>1192.3425568707387</v>
      </c>
      <c r="S182" s="57">
        <v>3.0275673693087792E-6</v>
      </c>
      <c r="U182" s="127">
        <v>1.624148257603258E-9</v>
      </c>
      <c r="V182" s="127">
        <v>1.1834535255006539E-9</v>
      </c>
      <c r="W182" s="127">
        <v>5.1815840516126974E-10</v>
      </c>
      <c r="X182" s="128">
        <f t="shared" si="4"/>
        <v>1.127303428441459E-9</v>
      </c>
      <c r="Y182" s="139">
        <f t="shared" si="5"/>
        <v>1.0250893298556716</v>
      </c>
      <c r="AA182" s="73"/>
      <c r="AB182" s="176"/>
      <c r="AC182" s="176"/>
      <c r="AD182" s="176"/>
      <c r="AJ182" s="135"/>
    </row>
    <row r="183" spans="9:36" x14ac:dyDescent="0.35">
      <c r="I183" s="109">
        <v>5.0046465356900001E-2</v>
      </c>
      <c r="J183" s="49">
        <v>8.7761197507624552E-10</v>
      </c>
      <c r="K183" s="49">
        <v>6.6613996095069544E-11</v>
      </c>
      <c r="L183" s="152">
        <v>8.176611113596306E-10</v>
      </c>
      <c r="M183" s="33"/>
      <c r="R183" s="60">
        <v>1192.3425568707387</v>
      </c>
      <c r="S183" s="57">
        <v>3.1240728746787833E-6</v>
      </c>
      <c r="U183" s="127">
        <v>1.4703155289034475E-9</v>
      </c>
      <c r="V183" s="127">
        <v>8.176611113596306E-10</v>
      </c>
      <c r="W183" s="127">
        <v>2.9781021069224004E-10</v>
      </c>
      <c r="X183" s="128">
        <f t="shared" si="4"/>
        <v>8.5086199057873709E-10</v>
      </c>
      <c r="Y183" s="139">
        <f t="shared" si="5"/>
        <v>0.16125607872917402</v>
      </c>
      <c r="AA183" s="73"/>
      <c r="AB183" s="176"/>
      <c r="AC183" s="176"/>
      <c r="AD183" s="176"/>
      <c r="AJ183" s="135"/>
    </row>
    <row r="184" spans="9:36" x14ac:dyDescent="0.35">
      <c r="I184" s="109">
        <v>5.0546930010399997E-2</v>
      </c>
      <c r="J184" s="49">
        <v>6.3555394419813653E-10</v>
      </c>
      <c r="K184" s="49">
        <v>5.9815136412118432E-11</v>
      </c>
      <c r="L184" s="152">
        <v>4.8164100892175358E-10</v>
      </c>
      <c r="M184" s="33"/>
      <c r="R184" s="60">
        <v>1193.6241457461126</v>
      </c>
      <c r="S184" s="57">
        <v>3.1240728746787833E-6</v>
      </c>
      <c r="U184" s="127">
        <v>1.1653522192862123E-9</v>
      </c>
      <c r="V184" s="127">
        <v>4.8164100892175358E-10</v>
      </c>
      <c r="W184" s="127">
        <v>2.6887326618690548E-10</v>
      </c>
      <c r="X184" s="128">
        <f t="shared" si="4"/>
        <v>5.9937687582915622E-10</v>
      </c>
      <c r="Y184" s="139">
        <f t="shared" si="5"/>
        <v>0.36580071181803753</v>
      </c>
      <c r="AA184" s="73"/>
      <c r="AB184" s="176"/>
      <c r="AC184" s="176"/>
      <c r="AD184" s="176"/>
      <c r="AJ184" s="135"/>
    </row>
    <row r="185" spans="9:36" x14ac:dyDescent="0.35">
      <c r="I185" s="109">
        <v>5.1052399310499999E-2</v>
      </c>
      <c r="J185" s="49">
        <v>6.0876346593229025E-10</v>
      </c>
      <c r="K185" s="49">
        <v>6.0792786750565332E-11</v>
      </c>
      <c r="L185" s="152">
        <v>2.7758767596524828E-10</v>
      </c>
      <c r="M185" s="33"/>
      <c r="R185" s="60">
        <v>1193.6241457461126</v>
      </c>
      <c r="S185" s="57">
        <v>3.1907825106873794E-6</v>
      </c>
      <c r="U185" s="127">
        <v>7.9176549382981461E-10</v>
      </c>
      <c r="V185" s="127">
        <v>2.7758767596524828E-10</v>
      </c>
      <c r="W185" s="127">
        <v>4.4775391705976182E-10</v>
      </c>
      <c r="X185" s="128">
        <f t="shared" si="4"/>
        <v>4.4867369070501825E-10</v>
      </c>
      <c r="Y185" s="139">
        <f t="shared" si="5"/>
        <v>6.9346266740722937</v>
      </c>
      <c r="AA185" s="73"/>
      <c r="AB185" s="176"/>
      <c r="AC185" s="176"/>
      <c r="AD185" s="176"/>
      <c r="AJ185" s="135"/>
    </row>
    <row r="186" spans="9:36" x14ac:dyDescent="0.35">
      <c r="I186" s="109">
        <v>5.1562923303600003E-2</v>
      </c>
      <c r="J186" s="49">
        <v>5.4190542642466003E-10</v>
      </c>
      <c r="K186" s="49">
        <v>6.0240687459040358E-11</v>
      </c>
      <c r="L186" s="152">
        <v>2.731363540839973E-10</v>
      </c>
      <c r="M186" s="33"/>
      <c r="R186" s="60">
        <v>1195.3452273341868</v>
      </c>
      <c r="S186" s="57">
        <v>3.1907825106873794E-6</v>
      </c>
      <c r="U186" s="127">
        <v>4.5710545855690606E-10</v>
      </c>
      <c r="V186" s="127">
        <v>2.731363540839973E-10</v>
      </c>
      <c r="W186" s="127">
        <v>7.8565143041419242E-10</v>
      </c>
      <c r="X186" s="128">
        <f t="shared" si="4"/>
        <v>4.4725739928477328E-10</v>
      </c>
      <c r="Y186" s="139">
        <f t="shared" si="5"/>
        <v>2.468557758190586</v>
      </c>
      <c r="AA186" s="73"/>
      <c r="AB186" s="176"/>
      <c r="AC186" s="176"/>
      <c r="AD186" s="176"/>
      <c r="AJ186" s="135"/>
    </row>
    <row r="187" spans="9:36" x14ac:dyDescent="0.35">
      <c r="I187" s="109">
        <v>5.2078552536699997E-2</v>
      </c>
      <c r="J187" s="49">
        <v>7.3422946152005597E-10</v>
      </c>
      <c r="K187" s="49">
        <v>6.779726802148254E-11</v>
      </c>
      <c r="L187" s="152">
        <v>4.7746408762438386E-10</v>
      </c>
      <c r="M187" s="33"/>
      <c r="R187" s="60">
        <v>1195.3452273341868</v>
      </c>
      <c r="S187" s="57">
        <v>3.1999999999999999E-6</v>
      </c>
      <c r="U187" s="127">
        <v>2.6346940502274313E-10</v>
      </c>
      <c r="V187" s="127">
        <v>4.7746408762438386E-10</v>
      </c>
      <c r="W187" s="127">
        <v>1.1794569399068142E-9</v>
      </c>
      <c r="X187" s="128">
        <f t="shared" si="4"/>
        <v>5.9946363004458127E-10</v>
      </c>
      <c r="Y187" s="139">
        <f t="shared" si="5"/>
        <v>3.9512563133647758</v>
      </c>
      <c r="AA187" s="73"/>
      <c r="AB187" s="176"/>
      <c r="AC187" s="176"/>
      <c r="AD187" s="176"/>
      <c r="AJ187" s="135"/>
    </row>
    <row r="188" spans="9:36" x14ac:dyDescent="0.35">
      <c r="I188" s="109">
        <v>5.2599338062100001E-2</v>
      </c>
      <c r="J188" s="49">
        <v>9.7622963478027847E-10</v>
      </c>
      <c r="K188" s="49">
        <v>7.7316592408178472E-11</v>
      </c>
      <c r="L188" s="152">
        <v>8.3384813568620788E-10</v>
      </c>
      <c r="M188" s="33"/>
      <c r="R188" s="60">
        <v>1205.6430301188477</v>
      </c>
      <c r="S188" s="57">
        <v>3.1999999999999999E-6</v>
      </c>
      <c r="U188" s="127">
        <v>2.7567355040511505E-10</v>
      </c>
      <c r="V188" s="127">
        <v>8.3384813568620788E-10</v>
      </c>
      <c r="W188" s="127">
        <v>1.5018122485949346E-9</v>
      </c>
      <c r="X188" s="128">
        <f t="shared" si="4"/>
        <v>8.6129551759311629E-10</v>
      </c>
      <c r="Y188" s="139">
        <f t="shared" si="5"/>
        <v>2.2097977072917132</v>
      </c>
      <c r="AA188" s="73"/>
      <c r="AB188" s="176"/>
      <c r="AC188" s="176"/>
      <c r="AD188" s="176"/>
      <c r="AJ188" s="135"/>
    </row>
    <row r="189" spans="9:36" x14ac:dyDescent="0.35">
      <c r="I189" s="109">
        <v>5.31253314427E-2</v>
      </c>
      <c r="J189" s="49">
        <v>1.2292745287070863E-9</v>
      </c>
      <c r="K189" s="49">
        <v>9.0959972990733915E-11</v>
      </c>
      <c r="L189" s="152">
        <v>1.2330761558011511E-9</v>
      </c>
      <c r="M189" s="33"/>
      <c r="R189" s="60">
        <v>1205.6430301188477</v>
      </c>
      <c r="S189" s="57">
        <v>3.19568631623801E-6</v>
      </c>
      <c r="U189" s="127">
        <v>4.9804286877171272E-10</v>
      </c>
      <c r="V189" s="127">
        <v>1.2330761558011511E-9</v>
      </c>
      <c r="W189" s="127">
        <v>1.6422955527451352E-9</v>
      </c>
      <c r="X189" s="128">
        <f t="shared" si="4"/>
        <v>1.1516226832797874E-9</v>
      </c>
      <c r="Y189" s="139">
        <f t="shared" si="5"/>
        <v>0.72879085987099079</v>
      </c>
      <c r="AA189" s="73"/>
      <c r="AB189" s="176"/>
      <c r="AC189" s="176"/>
      <c r="AD189" s="176"/>
      <c r="AJ189" s="135"/>
    </row>
    <row r="190" spans="9:36" x14ac:dyDescent="0.35">
      <c r="I190" s="109">
        <v>5.3656584757100001E-2</v>
      </c>
      <c r="J190" s="49">
        <v>1.2445115440249028E-9</v>
      </c>
      <c r="K190" s="49">
        <v>9.463809261644037E-11</v>
      </c>
      <c r="L190" s="152">
        <v>1.5456502194710861E-9</v>
      </c>
      <c r="M190" s="33"/>
      <c r="R190" s="60">
        <v>1207.3641117069219</v>
      </c>
      <c r="S190" s="57">
        <v>3.19568631623801E-6</v>
      </c>
      <c r="U190" s="127">
        <v>8.6835592071777048E-10</v>
      </c>
      <c r="V190" s="127">
        <v>1.5456502194710861E-9</v>
      </c>
      <c r="W190" s="127">
        <v>1.5467208497079065E-9</v>
      </c>
      <c r="X190" s="128">
        <f t="shared" si="4"/>
        <v>1.3765943023419624E-9</v>
      </c>
      <c r="Y190" s="139">
        <f t="shared" si="5"/>
        <v>1.9478714950538778</v>
      </c>
      <c r="AA190" s="73"/>
      <c r="AB190" s="176"/>
      <c r="AC190" s="176"/>
      <c r="AD190" s="176"/>
      <c r="AJ190" s="135"/>
    </row>
    <row r="191" spans="9:36" x14ac:dyDescent="0.35">
      <c r="I191" s="109">
        <v>5.4193150604700001E-2</v>
      </c>
      <c r="J191" s="49">
        <v>1.1926353169114449E-9</v>
      </c>
      <c r="K191" s="49">
        <v>9.2223624900435111E-11</v>
      </c>
      <c r="L191" s="152">
        <v>1.6639846155134373E-9</v>
      </c>
      <c r="M191" s="33"/>
      <c r="R191" s="60">
        <v>1207.3641117069219</v>
      </c>
      <c r="S191" s="57">
        <v>3.1644669392624874E-6</v>
      </c>
      <c r="U191" s="127">
        <v>1.2729651269135027E-9</v>
      </c>
      <c r="V191" s="127">
        <v>1.6639846155134373E-9</v>
      </c>
      <c r="W191" s="127">
        <v>1.2404302531270468E-9</v>
      </c>
      <c r="X191" s="128">
        <f t="shared" si="4"/>
        <v>1.460341152766856E-9</v>
      </c>
      <c r="Y191" s="139">
        <f t="shared" si="5"/>
        <v>8.4261910261681638</v>
      </c>
      <c r="AA191" s="73"/>
      <c r="AB191" s="176"/>
      <c r="AC191" s="176"/>
      <c r="AD191" s="176"/>
      <c r="AJ191" s="135"/>
    </row>
    <row r="192" spans="9:36" x14ac:dyDescent="0.35">
      <c r="I192" s="109">
        <v>5.4735082110700002E-2</v>
      </c>
      <c r="J192" s="49">
        <v>1.1866567370392249E-9</v>
      </c>
      <c r="K192" s="49">
        <v>9.4137570280724178E-11</v>
      </c>
      <c r="L192" s="152">
        <v>1.5411056273541059E-9</v>
      </c>
      <c r="M192" s="33"/>
      <c r="R192" s="60">
        <v>1208.6457005822958</v>
      </c>
      <c r="S192" s="57">
        <v>3.1644669392624874E-6</v>
      </c>
      <c r="U192" s="127">
        <v>1.5805085729402284E-9</v>
      </c>
      <c r="V192" s="127">
        <v>1.5411056273541059E-9</v>
      </c>
      <c r="W192" s="127">
        <v>8.2530556856628955E-10</v>
      </c>
      <c r="X192" s="128">
        <f t="shared" si="4"/>
        <v>1.3720063490536824E-9</v>
      </c>
      <c r="Y192" s="139">
        <f t="shared" si="5"/>
        <v>3.8766571409484216</v>
      </c>
      <c r="AA192" s="73"/>
      <c r="AB192" s="176"/>
      <c r="AC192" s="176"/>
      <c r="AD192" s="176"/>
      <c r="AJ192" s="135"/>
    </row>
    <row r="193" spans="9:36" x14ac:dyDescent="0.35">
      <c r="I193" s="109">
        <v>5.5282432931799998E-2</v>
      </c>
      <c r="J193" s="49">
        <v>1.1733025721945717E-9</v>
      </c>
      <c r="K193" s="49">
        <v>9.4023615860396775E-11</v>
      </c>
      <c r="L193" s="152">
        <v>1.2117553956934582E-9</v>
      </c>
      <c r="M193" s="33"/>
      <c r="R193" s="60">
        <v>1208.6457005822958</v>
      </c>
      <c r="S193" s="57">
        <v>3.1193034226759E-6</v>
      </c>
      <c r="U193" s="127">
        <v>1.6848903086585009E-9</v>
      </c>
      <c r="V193" s="127">
        <v>1.2117553956934582E-9</v>
      </c>
      <c r="W193" s="127">
        <v>4.4849686207029537E-10</v>
      </c>
      <c r="X193" s="128">
        <f t="shared" si="4"/>
        <v>1.1392244905289281E-9</v>
      </c>
      <c r="Y193" s="139">
        <f t="shared" si="5"/>
        <v>0.13136400511931506</v>
      </c>
      <c r="AA193" s="73"/>
      <c r="AB193" s="176"/>
      <c r="AC193" s="176"/>
      <c r="AD193" s="176"/>
      <c r="AJ193" s="135"/>
    </row>
    <row r="194" spans="9:36" x14ac:dyDescent="0.35">
      <c r="I194" s="109">
        <v>5.5835257261100002E-2</v>
      </c>
      <c r="J194" s="49">
        <v>9.9568838938144154E-10</v>
      </c>
      <c r="K194" s="49">
        <v>9.268058186391064E-11</v>
      </c>
      <c r="L194" s="152">
        <v>7.8622331230461727E-10</v>
      </c>
      <c r="M194" s="33"/>
      <c r="R194" s="60">
        <v>1209.3588777703194</v>
      </c>
      <c r="S194" s="57">
        <v>3.1193034226759E-6</v>
      </c>
      <c r="U194" s="127">
        <v>1.543695272362228E-9</v>
      </c>
      <c r="V194" s="127">
        <v>7.8622331230461727E-10</v>
      </c>
      <c r="W194" s="127">
        <v>2.512424001755926E-10</v>
      </c>
      <c r="X194" s="128">
        <f t="shared" si="4"/>
        <v>8.4184607428676386E-10</v>
      </c>
      <c r="Y194" s="139">
        <f t="shared" si="5"/>
        <v>2.7553331042320783</v>
      </c>
      <c r="AA194" s="73"/>
      <c r="AB194" s="176"/>
      <c r="AC194" s="176"/>
      <c r="AD194" s="176"/>
      <c r="AJ194" s="135"/>
    </row>
    <row r="195" spans="9:36" x14ac:dyDescent="0.35">
      <c r="I195" s="109">
        <v>5.6393609833799999E-2</v>
      </c>
      <c r="J195" s="49">
        <v>7.710047427981038E-10</v>
      </c>
      <c r="K195" s="49">
        <v>7.7588748988885015E-11</v>
      </c>
      <c r="L195" s="152">
        <v>4.1594926636922372E-10</v>
      </c>
      <c r="M195" s="33"/>
      <c r="R195" s="60">
        <v>1209.3588777703194</v>
      </c>
      <c r="S195" s="57">
        <v>3.0681985408677445E-6</v>
      </c>
      <c r="U195" s="127">
        <v>1.1979251722966045E-9</v>
      </c>
      <c r="V195" s="127">
        <v>4.1594926636922372E-10</v>
      </c>
      <c r="W195" s="127">
        <v>3.1498764117219025E-10</v>
      </c>
      <c r="X195" s="128">
        <f t="shared" ref="X195:X254" si="6">(U195+2*V195+W195)/4</f>
        <v>5.8620283655181059E-10</v>
      </c>
      <c r="Y195" s="139">
        <f t="shared" ref="Y195:Y254" si="7">(J195-X195)*(J195-X195)/(K195*K195)</f>
        <v>5.6730341033064766</v>
      </c>
      <c r="AA195" s="73"/>
      <c r="AB195" s="176"/>
      <c r="AC195" s="176"/>
      <c r="AD195" s="176"/>
      <c r="AJ195" s="135"/>
    </row>
    <row r="196" spans="9:36" x14ac:dyDescent="0.35">
      <c r="I196" s="109">
        <v>5.69575459321E-2</v>
      </c>
      <c r="J196" s="49">
        <v>5.9986086548232991E-10</v>
      </c>
      <c r="K196" s="49">
        <v>7.4664857451923352E-11</v>
      </c>
      <c r="L196" s="152">
        <v>2.4044812939715715E-10</v>
      </c>
      <c r="M196" s="33"/>
      <c r="R196" s="60">
        <v>1209.8814004801861</v>
      </c>
      <c r="S196" s="57">
        <v>3.0681985408677445E-6</v>
      </c>
      <c r="U196" s="127">
        <v>7.6374519986333425E-10</v>
      </c>
      <c r="V196" s="127">
        <v>2.4044812939715715E-10</v>
      </c>
      <c r="W196" s="127">
        <v>6.254747374939295E-10</v>
      </c>
      <c r="X196" s="128">
        <f t="shared" si="6"/>
        <v>4.6752904903789449E-10</v>
      </c>
      <c r="Y196" s="139">
        <f t="shared" si="7"/>
        <v>3.141203459837802</v>
      </c>
      <c r="AA196" s="73"/>
      <c r="AB196" s="176"/>
      <c r="AC196" s="176"/>
      <c r="AD196" s="176"/>
      <c r="AJ196" s="135"/>
    </row>
    <row r="197" spans="9:36" x14ac:dyDescent="0.35">
      <c r="I197" s="109">
        <v>5.7527121391400003E-2</v>
      </c>
      <c r="J197" s="49">
        <v>6.6131498976202093E-10</v>
      </c>
      <c r="K197" s="49">
        <v>7.7022669943111041E-11</v>
      </c>
      <c r="L197" s="152">
        <v>3.3363096586072198E-10</v>
      </c>
      <c r="M197" s="33"/>
      <c r="R197" s="60">
        <v>1209.8814004801861</v>
      </c>
      <c r="S197" s="57">
        <v>3.0142649943898515E-6</v>
      </c>
      <c r="U197" s="127">
        <v>3.9596104121953308E-10</v>
      </c>
      <c r="V197" s="127">
        <v>3.3363096586072198E-10</v>
      </c>
      <c r="W197" s="127">
        <v>1.0711495408372774E-9</v>
      </c>
      <c r="X197" s="128">
        <f t="shared" si="6"/>
        <v>5.3359312844456368E-10</v>
      </c>
      <c r="Y197" s="139">
        <f t="shared" si="7"/>
        <v>2.749750817044915</v>
      </c>
      <c r="AA197" s="73"/>
      <c r="AB197" s="176"/>
      <c r="AC197" s="176"/>
      <c r="AD197" s="176"/>
      <c r="AJ197" s="135"/>
    </row>
    <row r="198" spans="9:36" x14ac:dyDescent="0.35">
      <c r="I198" s="109">
        <v>5.81023926053E-2</v>
      </c>
      <c r="J198" s="49">
        <v>8.4656109751903022E-10</v>
      </c>
      <c r="K198" s="49">
        <v>9.014172562884654E-11</v>
      </c>
      <c r="L198" s="152">
        <v>6.703597531601338E-10</v>
      </c>
      <c r="M198" s="33"/>
      <c r="R198" s="60">
        <v>1210.3066223082049</v>
      </c>
      <c r="S198" s="57">
        <v>3.0142649943898515E-6</v>
      </c>
      <c r="U198" s="127">
        <v>2.3355492900535416E-10</v>
      </c>
      <c r="V198" s="127">
        <v>6.703597531601338E-10</v>
      </c>
      <c r="W198" s="127">
        <v>1.4805049174622115E-9</v>
      </c>
      <c r="X198" s="128">
        <f t="shared" si="6"/>
        <v>7.6369483819695836E-10</v>
      </c>
      <c r="Y198" s="139">
        <f t="shared" si="7"/>
        <v>0.84509150086471774</v>
      </c>
      <c r="AA198" s="73"/>
      <c r="AB198" s="176"/>
      <c r="AC198" s="176"/>
      <c r="AD198" s="176"/>
      <c r="AJ198" s="135"/>
    </row>
    <row r="199" spans="9:36" x14ac:dyDescent="0.35">
      <c r="I199" s="109">
        <v>5.8683416531400003E-2</v>
      </c>
      <c r="J199" s="49">
        <v>1.0039703155830871E-9</v>
      </c>
      <c r="K199" s="49">
        <v>9.8394548604437221E-11</v>
      </c>
      <c r="L199" s="152">
        <v>1.1291715335385305E-9</v>
      </c>
      <c r="M199" s="33"/>
      <c r="R199" s="60">
        <v>1210.3066223082049</v>
      </c>
      <c r="S199" s="57">
        <v>2.9589277528469699E-6</v>
      </c>
      <c r="U199" s="127">
        <v>3.4554785466639984E-10</v>
      </c>
      <c r="V199" s="127">
        <v>1.1291715335385305E-9</v>
      </c>
      <c r="W199" s="127">
        <v>1.6880499752794193E-9</v>
      </c>
      <c r="X199" s="128">
        <f t="shared" si="6"/>
        <v>1.07298522425572E-9</v>
      </c>
      <c r="Y199" s="139">
        <f t="shared" si="7"/>
        <v>0.49197582180523131</v>
      </c>
      <c r="AA199" s="73"/>
      <c r="AB199" s="176"/>
      <c r="AC199" s="176"/>
      <c r="AD199" s="176"/>
      <c r="AJ199" s="135"/>
    </row>
    <row r="200" spans="9:36" x14ac:dyDescent="0.35">
      <c r="I200" s="109">
        <v>5.92702506967E-2</v>
      </c>
      <c r="J200" s="49">
        <v>1.3317177759087935E-9</v>
      </c>
      <c r="K200" s="49">
        <v>1.1294380948717385E-10</v>
      </c>
      <c r="L200" s="152">
        <v>1.5327632662496937E-9</v>
      </c>
      <c r="M200" s="33"/>
      <c r="R200" s="60">
        <v>1210.6738037174614</v>
      </c>
      <c r="S200" s="57">
        <v>2.9589277528469699E-6</v>
      </c>
      <c r="U200" s="127">
        <v>7.0100406914681882E-10</v>
      </c>
      <c r="V200" s="127">
        <v>1.5327632662496937E-9</v>
      </c>
      <c r="W200" s="127">
        <v>1.6011975416658543E-9</v>
      </c>
      <c r="X200" s="128">
        <f t="shared" si="6"/>
        <v>1.341932035828015E-9</v>
      </c>
      <c r="Y200" s="139">
        <f t="shared" si="7"/>
        <v>8.1787879049819486E-3</v>
      </c>
      <c r="AA200" s="73"/>
      <c r="AB200" s="176"/>
      <c r="AC200" s="176"/>
      <c r="AD200" s="176"/>
      <c r="AJ200" s="135"/>
    </row>
    <row r="201" spans="9:36" x14ac:dyDescent="0.35">
      <c r="I201" s="109">
        <v>5.9862953203699998E-2</v>
      </c>
      <c r="J201" s="49">
        <v>1.5494698196415399E-9</v>
      </c>
      <c r="K201" s="49">
        <v>1.2493973262272272E-10</v>
      </c>
      <c r="L201" s="152">
        <v>1.7168442674108155E-9</v>
      </c>
      <c r="M201" s="33"/>
      <c r="R201" s="60">
        <v>1210.6738037174614</v>
      </c>
      <c r="S201" s="57">
        <v>2.9028971800386519E-6</v>
      </c>
      <c r="U201" s="127">
        <v>1.1704289014551729E-9</v>
      </c>
      <c r="V201" s="127">
        <v>1.7168442674108155E-9</v>
      </c>
      <c r="W201" s="127">
        <v>1.2482429105829892E-9</v>
      </c>
      <c r="X201" s="128">
        <f t="shared" si="6"/>
        <v>1.4630900867149481E-9</v>
      </c>
      <c r="Y201" s="139">
        <f t="shared" si="7"/>
        <v>0.47799413680412572</v>
      </c>
      <c r="AA201" s="73"/>
      <c r="AB201" s="176"/>
      <c r="AC201" s="176"/>
      <c r="AD201" s="176"/>
      <c r="AJ201" s="135"/>
    </row>
    <row r="202" spans="9:36" x14ac:dyDescent="0.35">
      <c r="I202" s="109">
        <v>6.0461582735700001E-2</v>
      </c>
      <c r="J202" s="49">
        <v>1.3959441822850813E-9</v>
      </c>
      <c r="K202" s="49">
        <v>1.2671569260562693E-10</v>
      </c>
      <c r="L202" s="152">
        <v>1.5991564437206846E-9</v>
      </c>
      <c r="M202" s="33"/>
      <c r="R202" s="60">
        <v>1211.0036585671489</v>
      </c>
      <c r="S202" s="57">
        <v>2.9028971800386519E-6</v>
      </c>
      <c r="U202" s="127">
        <v>1.5725691853614561E-9</v>
      </c>
      <c r="V202" s="127">
        <v>1.5991564437206846E-9</v>
      </c>
      <c r="W202" s="127">
        <v>7.729060694377326E-10</v>
      </c>
      <c r="X202" s="128">
        <f t="shared" si="6"/>
        <v>1.3859470355601393E-9</v>
      </c>
      <c r="Y202" s="139">
        <f t="shared" si="7"/>
        <v>6.2243116406450003E-3</v>
      </c>
      <c r="AA202" s="73"/>
      <c r="AB202" s="176"/>
      <c r="AC202" s="176"/>
      <c r="AD202" s="176"/>
      <c r="AJ202" s="135"/>
    </row>
    <row r="203" spans="9:36" x14ac:dyDescent="0.35">
      <c r="I203" s="109">
        <v>6.1066198563099999E-2</v>
      </c>
      <c r="J203" s="49">
        <v>1.2611112273919129E-9</v>
      </c>
      <c r="K203" s="49">
        <v>1.240333739752664E-10</v>
      </c>
      <c r="L203" s="152">
        <v>1.220303154784271E-9</v>
      </c>
      <c r="M203" s="33"/>
      <c r="R203" s="60">
        <v>1211.0036585671489</v>
      </c>
      <c r="S203" s="57">
        <v>2.84654019250456E-6</v>
      </c>
      <c r="U203" s="127">
        <v>1.7436357535683547E-9</v>
      </c>
      <c r="V203" s="127">
        <v>1.220303154784271E-9</v>
      </c>
      <c r="W203" s="127">
        <v>3.803825839278065E-10</v>
      </c>
      <c r="X203" s="128">
        <f t="shared" si="6"/>
        <v>1.1411561617661759E-9</v>
      </c>
      <c r="Y203" s="139">
        <f t="shared" si="7"/>
        <v>0.93531967509370117</v>
      </c>
      <c r="AA203" s="73"/>
      <c r="AB203" s="176"/>
      <c r="AC203" s="176"/>
      <c r="AD203" s="176"/>
      <c r="AJ203" s="135"/>
    </row>
    <row r="204" spans="9:36" x14ac:dyDescent="0.35">
      <c r="I204" s="109">
        <v>6.1676860548700002E-2</v>
      </c>
      <c r="J204" s="49">
        <v>8.4359292025748919E-10</v>
      </c>
      <c r="K204" s="49">
        <v>1.0160583325197053E-10</v>
      </c>
      <c r="L204" s="152">
        <v>7.3541078712104973E-10</v>
      </c>
      <c r="M204" s="33"/>
      <c r="R204" s="60">
        <v>1211.3087744268153</v>
      </c>
      <c r="S204" s="57">
        <v>2.84654019250456E-6</v>
      </c>
      <c r="U204" s="127">
        <v>1.6065341621344318E-9</v>
      </c>
      <c r="V204" s="127">
        <v>7.3541078712104973E-10</v>
      </c>
      <c r="W204" s="127">
        <v>2.5010486317895811E-10</v>
      </c>
      <c r="X204" s="128">
        <f t="shared" si="6"/>
        <v>8.3186514988887237E-10</v>
      </c>
      <c r="Y204" s="139">
        <f t="shared" si="7"/>
        <v>1.3322742197238096E-2</v>
      </c>
      <c r="AA204" s="73"/>
      <c r="AB204" s="176"/>
      <c r="AC204" s="176"/>
      <c r="AD204" s="176"/>
      <c r="AJ204" s="135"/>
    </row>
    <row r="205" spans="9:36" x14ac:dyDescent="0.35">
      <c r="I205" s="109">
        <v>6.2293629154200003E-2</v>
      </c>
      <c r="J205" s="49">
        <v>7.7517673784243716E-10</v>
      </c>
      <c r="K205" s="49">
        <v>9.8831336853411988E-11</v>
      </c>
      <c r="L205" s="152">
        <v>3.5454472676398344E-10</v>
      </c>
      <c r="M205" s="33"/>
      <c r="R205" s="60">
        <v>1211.3087744268153</v>
      </c>
      <c r="S205" s="57">
        <v>2.7900448195998184E-6</v>
      </c>
      <c r="U205" s="127">
        <v>1.2099083476616087E-9</v>
      </c>
      <c r="V205" s="127">
        <v>3.5454472676398344E-10</v>
      </c>
      <c r="W205" s="127">
        <v>4.5204694545719838E-10</v>
      </c>
      <c r="X205" s="128">
        <f t="shared" si="6"/>
        <v>5.9276118666169349E-10</v>
      </c>
      <c r="Y205" s="139">
        <f t="shared" si="7"/>
        <v>3.4067038371749625</v>
      </c>
      <c r="AA205" s="73"/>
      <c r="AB205" s="176"/>
      <c r="AC205" s="176"/>
      <c r="AD205" s="176"/>
      <c r="AJ205" s="135"/>
    </row>
    <row r="206" spans="9:36" x14ac:dyDescent="0.35">
      <c r="I206" s="109">
        <v>6.2916565445699998E-2</v>
      </c>
      <c r="J206" s="49">
        <v>9.3724321656682144E-10</v>
      </c>
      <c r="K206" s="49">
        <v>1.1137722059281864E-10</v>
      </c>
      <c r="L206" s="152">
        <v>2.5281032694855709E-10</v>
      </c>
      <c r="M206" s="33"/>
      <c r="R206" s="60">
        <v>1211.597669909685</v>
      </c>
      <c r="S206" s="57">
        <v>2.7900448195998184E-6</v>
      </c>
      <c r="U206" s="127">
        <v>7.1657218854021572E-10</v>
      </c>
      <c r="V206" s="127">
        <v>2.5281032694855709E-10</v>
      </c>
      <c r="W206" s="127">
        <v>9.0617692085198889E-10</v>
      </c>
      <c r="X206" s="128">
        <f t="shared" si="6"/>
        <v>5.320924408223297E-10</v>
      </c>
      <c r="Y206" s="139">
        <f t="shared" si="7"/>
        <v>13.232460240747326</v>
      </c>
      <c r="AA206" s="73"/>
      <c r="AB206" s="176"/>
      <c r="AC206" s="176"/>
      <c r="AD206" s="176"/>
      <c r="AJ206" s="135"/>
    </row>
    <row r="207" spans="9:36" x14ac:dyDescent="0.35">
      <c r="I207" s="109">
        <v>6.3545731100199995E-2</v>
      </c>
      <c r="J207" s="49">
        <v>7.7035564921420031E-10</v>
      </c>
      <c r="K207" s="49">
        <v>1.0843181266860284E-10</v>
      </c>
      <c r="L207" s="152">
        <v>4.8795362108926157E-10</v>
      </c>
      <c r="M207" s="33"/>
      <c r="R207" s="60">
        <v>1211.597669909685</v>
      </c>
      <c r="S207" s="57">
        <v>2.7335015104904934E-6</v>
      </c>
      <c r="U207" s="127">
        <v>3.4057970448636045E-10</v>
      </c>
      <c r="V207" s="127">
        <v>4.8795362108926157E-10</v>
      </c>
      <c r="W207" s="127">
        <v>1.4093306146557521E-9</v>
      </c>
      <c r="X207" s="128">
        <f t="shared" si="6"/>
        <v>6.8145439033015888E-10</v>
      </c>
      <c r="Y207" s="139">
        <f t="shared" si="7"/>
        <v>0.67220600168073152</v>
      </c>
      <c r="AA207" s="73"/>
      <c r="AB207" s="176"/>
      <c r="AC207" s="176"/>
      <c r="AD207" s="176"/>
      <c r="AJ207" s="135"/>
    </row>
    <row r="208" spans="9:36" x14ac:dyDescent="0.35">
      <c r="I208" s="109">
        <v>6.4181188411200005E-2</v>
      </c>
      <c r="J208" s="49">
        <v>8.8933982973160514E-10</v>
      </c>
      <c r="K208" s="49">
        <v>1.196418206669335E-10</v>
      </c>
      <c r="L208" s="152">
        <v>9.6491311650605462E-10</v>
      </c>
      <c r="M208" s="33"/>
      <c r="R208" s="60">
        <v>1211.8766877353173</v>
      </c>
      <c r="S208" s="57">
        <v>2.7335015104904934E-6</v>
      </c>
      <c r="U208" s="127">
        <v>2.5533988954654E-10</v>
      </c>
      <c r="V208" s="127">
        <v>9.6491311650605462E-10</v>
      </c>
      <c r="W208" s="127">
        <v>1.7241183761838317E-9</v>
      </c>
      <c r="X208" s="128">
        <f t="shared" si="6"/>
        <v>9.7732112468562012E-10</v>
      </c>
      <c r="Y208" s="139">
        <f t="shared" si="7"/>
        <v>0.54077259310906489</v>
      </c>
      <c r="AA208" s="73"/>
      <c r="AB208" s="176"/>
      <c r="AC208" s="176"/>
      <c r="AD208" s="176"/>
      <c r="AJ208" s="135"/>
    </row>
    <row r="209" spans="9:36" x14ac:dyDescent="0.35">
      <c r="I209" s="109">
        <v>6.4823000295299998E-2</v>
      </c>
      <c r="J209" s="49">
        <v>1.2103278850291144E-9</v>
      </c>
      <c r="K209" s="49">
        <v>1.3270849423785353E-10</v>
      </c>
      <c r="L209" s="152">
        <v>1.4695973937323538E-9</v>
      </c>
      <c r="M209" s="33"/>
      <c r="R209" s="60">
        <v>1211.8766877353173</v>
      </c>
      <c r="S209" s="57">
        <v>2.6769471399182546E-6</v>
      </c>
      <c r="U209" s="127">
        <v>5.116311957118501E-10</v>
      </c>
      <c r="V209" s="127">
        <v>1.4695973937323538E-9</v>
      </c>
      <c r="W209" s="127">
        <v>1.6929378146241999E-9</v>
      </c>
      <c r="X209" s="128">
        <f t="shared" si="6"/>
        <v>1.2859409494501893E-9</v>
      </c>
      <c r="Y209" s="139">
        <f t="shared" si="7"/>
        <v>0.32463566893234902</v>
      </c>
      <c r="AA209" s="73"/>
      <c r="AB209" s="176"/>
      <c r="AC209" s="176"/>
      <c r="AD209" s="176"/>
      <c r="AJ209" s="135"/>
    </row>
    <row r="210" spans="9:36" x14ac:dyDescent="0.35">
      <c r="I210" s="109">
        <v>6.5471230298199998E-2</v>
      </c>
      <c r="J210" s="49">
        <v>1.2403104122839977E-9</v>
      </c>
      <c r="K210" s="49">
        <v>1.4147106107445896E-10</v>
      </c>
      <c r="L210" s="153">
        <v>1.7633545849971902E-9</v>
      </c>
      <c r="M210" s="18"/>
      <c r="R210" s="60">
        <v>1212.1510185340467</v>
      </c>
      <c r="S210" s="57">
        <v>2.6769471399182546E-6</v>
      </c>
      <c r="U210" s="127">
        <v>1.0050206058018877E-9</v>
      </c>
      <c r="V210" s="127">
        <v>1.7633545849971902E-9</v>
      </c>
      <c r="W210" s="127">
        <v>1.3225538242868E-9</v>
      </c>
      <c r="X210" s="128">
        <f t="shared" si="6"/>
        <v>1.463570900020767E-9</v>
      </c>
      <c r="Y210" s="139">
        <f t="shared" si="7"/>
        <v>2.4905113001194552</v>
      </c>
      <c r="AA210" s="73"/>
      <c r="AB210" s="176"/>
      <c r="AC210" s="176"/>
      <c r="AD210" s="176"/>
      <c r="AJ210" s="135"/>
    </row>
    <row r="211" spans="9:36" x14ac:dyDescent="0.35">
      <c r="I211" s="49">
        <v>6.61259426012E-2</v>
      </c>
      <c r="J211" s="49">
        <v>1.4438141223367924E-9</v>
      </c>
      <c r="K211" s="49">
        <v>1.5526860514149608E-10</v>
      </c>
      <c r="L211" s="153">
        <v>1.6983076961873459E-9</v>
      </c>
      <c r="M211" s="18"/>
      <c r="R211" s="60">
        <v>1212.1510185340467</v>
      </c>
      <c r="S211" s="57">
        <v>2.6203915367743314E-6</v>
      </c>
      <c r="U211" s="127">
        <v>1.5138632050034238E-9</v>
      </c>
      <c r="V211" s="127">
        <v>1.6983076961873459E-9</v>
      </c>
      <c r="W211" s="127">
        <v>7.9257003385261698E-10</v>
      </c>
      <c r="X211" s="128">
        <f t="shared" si="6"/>
        <v>1.4257621578076831E-9</v>
      </c>
      <c r="Y211" s="139">
        <f t="shared" si="7"/>
        <v>1.3517041274500886E-2</v>
      </c>
      <c r="AA211" s="73"/>
      <c r="AB211" s="176"/>
      <c r="AC211" s="176"/>
      <c r="AD211" s="176"/>
      <c r="AJ211" s="135"/>
    </row>
    <row r="212" spans="9:36" x14ac:dyDescent="0.35">
      <c r="I212" s="49">
        <v>6.6787202027199996E-2</v>
      </c>
      <c r="J212" s="49">
        <v>1.0702351288914039E-9</v>
      </c>
      <c r="K212" s="49">
        <v>1.3245212960054677E-10</v>
      </c>
      <c r="L212" s="153">
        <v>1.2978703036942435E-9</v>
      </c>
      <c r="M212" s="18"/>
      <c r="R212" s="60">
        <v>1212.425349332776</v>
      </c>
      <c r="S212" s="57">
        <v>2.6203915367743314E-6</v>
      </c>
      <c r="U212" s="127">
        <v>1.7974669911450217E-9</v>
      </c>
      <c r="V212" s="127">
        <v>1.2978703036942435E-9</v>
      </c>
      <c r="W212" s="127">
        <v>3.7475151575769093E-10</v>
      </c>
      <c r="X212" s="128">
        <f t="shared" si="6"/>
        <v>1.1919897785727999E-9</v>
      </c>
      <c r="Y212" s="139">
        <f t="shared" si="7"/>
        <v>0.84499321186242038</v>
      </c>
      <c r="AA212" s="73"/>
      <c r="AB212" s="176"/>
      <c r="AC212" s="176"/>
      <c r="AD212" s="176"/>
      <c r="AJ212" s="135"/>
    </row>
    <row r="213" spans="9:36" x14ac:dyDescent="0.35">
      <c r="I213" s="49">
        <v>6.7455074047499994E-2</v>
      </c>
      <c r="J213" s="49">
        <v>1.0828817875216471E-9</v>
      </c>
      <c r="K213" s="49">
        <v>1.352359970545964E-10</v>
      </c>
      <c r="L213" s="153">
        <v>7.5723515125011224E-10</v>
      </c>
      <c r="M213" s="18"/>
      <c r="R213" s="60">
        <v>1212.425349332776</v>
      </c>
      <c r="S213" s="57">
        <v>2.5638371662020926E-6</v>
      </c>
      <c r="U213" s="127">
        <v>1.7127460744417299E-9</v>
      </c>
      <c r="V213" s="127">
        <v>7.5723515125011224E-10</v>
      </c>
      <c r="W213" s="127">
        <v>2.9602958217337017E-10</v>
      </c>
      <c r="X213" s="128">
        <f t="shared" si="6"/>
        <v>8.8081148977883114E-10</v>
      </c>
      <c r="Y213" s="139">
        <f t="shared" si="7"/>
        <v>2.2326484663179782</v>
      </c>
      <c r="AA213" s="73"/>
      <c r="AB213" s="176"/>
      <c r="AC213" s="176"/>
      <c r="AD213" s="176"/>
      <c r="AJ213" s="135"/>
    </row>
    <row r="214" spans="9:36" x14ac:dyDescent="0.35">
      <c r="I214" s="49">
        <v>6.8129624787999998E-2</v>
      </c>
      <c r="J214" s="49">
        <v>8.7235396115757904E-10</v>
      </c>
      <c r="K214" s="49">
        <v>1.3257149031529334E-10</v>
      </c>
      <c r="L214" s="153">
        <v>3.5451987595641553E-10</v>
      </c>
      <c r="M214" s="18"/>
      <c r="R214" s="60">
        <v>1212.7043671584083</v>
      </c>
      <c r="S214" s="57">
        <v>2.5638371662020926E-6</v>
      </c>
      <c r="U214" s="127">
        <v>1.2927833156822238E-9</v>
      </c>
      <c r="V214" s="127">
        <v>3.5451987595641553E-10</v>
      </c>
      <c r="W214" s="127">
        <v>6.1309775783960745E-10</v>
      </c>
      <c r="X214" s="128">
        <f t="shared" si="6"/>
        <v>6.5373020635866562E-10</v>
      </c>
      <c r="Y214" s="139">
        <f t="shared" si="7"/>
        <v>2.7195335496369548</v>
      </c>
      <c r="AA214" s="73"/>
      <c r="AB214" s="176"/>
      <c r="AC214" s="176"/>
      <c r="AD214" s="176"/>
      <c r="AJ214" s="135"/>
    </row>
    <row r="215" spans="9:36" x14ac:dyDescent="0.35">
      <c r="I215" s="49">
        <v>6.8810921035900002E-2</v>
      </c>
      <c r="J215" s="49">
        <v>5.8299075726906191E-10</v>
      </c>
      <c r="K215" s="49">
        <v>1.0812886989555999E-10</v>
      </c>
      <c r="L215" s="153">
        <v>3.097382552765534E-10</v>
      </c>
      <c r="M215" s="18"/>
      <c r="R215" s="60">
        <v>1212.7043671584083</v>
      </c>
      <c r="S215" s="57">
        <v>2.5072938570927676E-6</v>
      </c>
      <c r="U215" s="127">
        <v>7.4275070601832415E-10</v>
      </c>
      <c r="V215" s="127">
        <v>3.097382552765534E-10</v>
      </c>
      <c r="W215" s="127">
        <v>1.1691597042148662E-9</v>
      </c>
      <c r="X215" s="128">
        <f t="shared" si="6"/>
        <v>6.3284673019657425E-10</v>
      </c>
      <c r="Y215" s="139">
        <f t="shared" si="7"/>
        <v>0.21259402951833842</v>
      </c>
      <c r="AA215" s="73"/>
      <c r="AB215" s="176"/>
      <c r="AC215" s="176"/>
      <c r="AD215" s="176"/>
      <c r="AJ215" s="135"/>
    </row>
    <row r="216" spans="9:36" x14ac:dyDescent="0.35">
      <c r="I216" s="49">
        <v>6.9499030246199994E-2</v>
      </c>
      <c r="J216" s="49">
        <v>1.0225360006832452E-9</v>
      </c>
      <c r="K216" s="49">
        <v>1.4166515195095497E-10</v>
      </c>
      <c r="L216" s="153">
        <v>6.6217048277880446E-10</v>
      </c>
      <c r="M216" s="18"/>
      <c r="R216" s="60">
        <v>1212.9932626412781</v>
      </c>
      <c r="S216" s="57">
        <v>2.5072938570927676E-6</v>
      </c>
      <c r="U216" s="127">
        <v>3.4596219842122152E-10</v>
      </c>
      <c r="V216" s="127">
        <v>6.6217048277880446E-10</v>
      </c>
      <c r="W216" s="127">
        <v>1.6663354940326747E-9</v>
      </c>
      <c r="X216" s="128">
        <f t="shared" si="6"/>
        <v>8.3415966450287624E-10</v>
      </c>
      <c r="Y216" s="139">
        <f t="shared" si="7"/>
        <v>1.7681806278208279</v>
      </c>
      <c r="AA216" s="73"/>
      <c r="AB216" s="176"/>
      <c r="AC216" s="176"/>
      <c r="AD216" s="176"/>
      <c r="AJ216" s="135"/>
    </row>
    <row r="217" spans="9:36" x14ac:dyDescent="0.35">
      <c r="I217" s="49">
        <v>7.0194020548699998E-2</v>
      </c>
      <c r="J217" s="49">
        <v>1.0832635476000121E-9</v>
      </c>
      <c r="K217" s="49">
        <v>1.4476873033032888E-10</v>
      </c>
      <c r="L217" s="153">
        <v>1.235927142612556E-9</v>
      </c>
      <c r="M217" s="18"/>
      <c r="R217" s="60">
        <v>1212.9932626412781</v>
      </c>
      <c r="S217" s="57">
        <v>2.450798484188026E-6</v>
      </c>
      <c r="U217" s="127">
        <v>3.198520188494266E-10</v>
      </c>
      <c r="V217" s="127">
        <v>1.235927142612556E-9</v>
      </c>
      <c r="W217" s="127">
        <v>1.8251241615408199E-9</v>
      </c>
      <c r="X217" s="128">
        <f t="shared" si="6"/>
        <v>1.1542076164038398E-9</v>
      </c>
      <c r="Y217" s="139">
        <f t="shared" si="7"/>
        <v>0.24015003497954068</v>
      </c>
      <c r="AA217" s="73"/>
      <c r="AB217" s="176"/>
      <c r="AC217" s="176"/>
      <c r="AD217" s="176"/>
      <c r="AJ217" s="135"/>
    </row>
    <row r="218" spans="9:36" x14ac:dyDescent="0.35">
      <c r="I218" s="49">
        <v>7.0895960754200002E-2</v>
      </c>
      <c r="J218" s="49">
        <v>1.4000027486421298E-9</v>
      </c>
      <c r="K218" s="49">
        <v>1.7208973609099876E-10</v>
      </c>
      <c r="L218" s="153">
        <v>1.7229227625663874E-9</v>
      </c>
      <c r="M218" s="18"/>
      <c r="R218" s="60">
        <v>1213.2983785009444</v>
      </c>
      <c r="S218" s="57">
        <v>2.450798484188026E-6</v>
      </c>
      <c r="U218" s="127">
        <v>6.9426445738582198E-10</v>
      </c>
      <c r="V218" s="127">
        <v>1.7229227625663874E-9</v>
      </c>
      <c r="W218" s="127">
        <v>1.5476182227066417E-9</v>
      </c>
      <c r="X218" s="128">
        <f t="shared" si="6"/>
        <v>1.4219320513063098E-9</v>
      </c>
      <c r="Y218" s="139">
        <f t="shared" si="7"/>
        <v>1.6238268049786966E-2</v>
      </c>
      <c r="AA218" s="73"/>
      <c r="AB218" s="176"/>
      <c r="AC218" s="176"/>
      <c r="AD218" s="176"/>
      <c r="AJ218" s="135"/>
    </row>
    <row r="219" spans="9:36" x14ac:dyDescent="0.35">
      <c r="I219" s="49">
        <v>7.1604920361700006E-2</v>
      </c>
      <c r="J219" s="49">
        <v>1.4856151222322942E-9</v>
      </c>
      <c r="K219" s="49">
        <v>1.7428822035589023E-10</v>
      </c>
      <c r="L219" s="153">
        <v>1.8487910991670596E-9</v>
      </c>
      <c r="M219" s="18"/>
      <c r="R219" s="60">
        <v>1213.2983785009444</v>
      </c>
      <c r="S219" s="57">
        <v>2.3944414966539341E-6</v>
      </c>
      <c r="U219" s="127">
        <v>1.2817335558629052E-9</v>
      </c>
      <c r="V219" s="127">
        <v>1.8487910991670596E-9</v>
      </c>
      <c r="W219" s="127">
        <v>9.8803077457226986E-10</v>
      </c>
      <c r="X219" s="128">
        <f t="shared" si="6"/>
        <v>1.4918366321923235E-9</v>
      </c>
      <c r="Y219" s="139">
        <f t="shared" si="7"/>
        <v>1.2742526067342566E-3</v>
      </c>
      <c r="AA219" s="73"/>
      <c r="AB219" s="176"/>
      <c r="AC219" s="176"/>
      <c r="AD219" s="176"/>
      <c r="AJ219" s="135"/>
    </row>
    <row r="220" spans="9:36" x14ac:dyDescent="0.35">
      <c r="I220" s="49">
        <v>7.23209695653E-2</v>
      </c>
      <c r="J220" s="49">
        <v>1.1942132967551663E-9</v>
      </c>
      <c r="K220" s="49">
        <v>1.4942859459837067E-10</v>
      </c>
      <c r="L220" s="153">
        <v>1.5342103835689297E-9</v>
      </c>
      <c r="M220" s="18"/>
      <c r="R220" s="60">
        <v>1213.6282333506319</v>
      </c>
      <c r="S220" s="57">
        <v>2.3944414966539341E-6</v>
      </c>
      <c r="U220" s="127">
        <v>1.7667208690984257E-9</v>
      </c>
      <c r="V220" s="127">
        <v>1.5342103835689297E-9</v>
      </c>
      <c r="W220" s="127">
        <v>4.7767779156827895E-10</v>
      </c>
      <c r="X220" s="128">
        <f t="shared" si="6"/>
        <v>1.3282048569511411E-9</v>
      </c>
      <c r="Y220" s="139">
        <f t="shared" si="7"/>
        <v>0.80405816126264851</v>
      </c>
      <c r="AA220" s="73"/>
      <c r="AB220" s="176"/>
      <c r="AC220" s="176"/>
      <c r="AD220" s="176"/>
      <c r="AJ220" s="135"/>
    </row>
    <row r="221" spans="9:36" x14ac:dyDescent="0.35">
      <c r="I221" s="49">
        <v>7.3044179261E-2</v>
      </c>
      <c r="J221" s="49">
        <v>1.097135827555999E-9</v>
      </c>
      <c r="K221" s="49">
        <v>1.5908235405243726E-10</v>
      </c>
      <c r="L221" s="153">
        <v>9.5538942723812489E-10</v>
      </c>
      <c r="M221" s="18"/>
      <c r="R221" s="60">
        <v>1213.6282333506319</v>
      </c>
      <c r="S221" s="57">
        <v>2.3384109238456161E-6</v>
      </c>
      <c r="U221" s="127">
        <v>1.8759535610122967E-9</v>
      </c>
      <c r="V221" s="127">
        <v>9.5538942723812489E-10</v>
      </c>
      <c r="W221" s="127">
        <v>3.3453803615570599E-10</v>
      </c>
      <c r="X221" s="128">
        <f t="shared" si="6"/>
        <v>1.0303176129110631E-9</v>
      </c>
      <c r="Y221" s="139">
        <f t="shared" si="7"/>
        <v>0.17641914652765858</v>
      </c>
      <c r="AA221" s="73"/>
      <c r="AB221" s="176"/>
      <c r="AC221" s="176"/>
      <c r="AD221" s="176"/>
      <c r="AJ221" s="135"/>
    </row>
    <row r="222" spans="9:36" x14ac:dyDescent="0.35">
      <c r="I222" s="49">
        <v>7.3774621053599998E-2</v>
      </c>
      <c r="J222" s="49">
        <v>1.015311339786945E-9</v>
      </c>
      <c r="K222" s="49">
        <v>1.514449588168697E-10</v>
      </c>
      <c r="L222" s="153">
        <v>4.5602955497175014E-10</v>
      </c>
      <c r="M222" s="18"/>
      <c r="R222" s="60">
        <v>1213.9954147598885</v>
      </c>
      <c r="S222" s="57">
        <v>2.3384109238456161E-6</v>
      </c>
      <c r="U222" s="127">
        <v>1.539606565382949E-9</v>
      </c>
      <c r="V222" s="127">
        <v>4.5602955497175014E-10</v>
      </c>
      <c r="W222" s="127">
        <v>6.6410716093963029E-10</v>
      </c>
      <c r="X222" s="128">
        <f t="shared" si="6"/>
        <v>7.7894320906651989E-10</v>
      </c>
      <c r="Y222" s="139">
        <f t="shared" si="7"/>
        <v>2.4359490389037308</v>
      </c>
      <c r="AA222" s="73"/>
      <c r="AB222" s="176"/>
      <c r="AC222" s="176"/>
      <c r="AD222" s="176"/>
      <c r="AJ222" s="135"/>
    </row>
    <row r="223" spans="9:36" x14ac:dyDescent="0.35">
      <c r="I223" s="49">
        <v>7.4512367264100002E-2</v>
      </c>
      <c r="J223" s="49">
        <v>9.3993587125917938E-10</v>
      </c>
      <c r="K223" s="49">
        <v>1.4562835216380895E-10</v>
      </c>
      <c r="L223" s="153">
        <v>3.4859576579928846E-10</v>
      </c>
      <c r="M223" s="18"/>
      <c r="R223" s="60">
        <v>1213.9954147598885</v>
      </c>
      <c r="S223" s="57">
        <v>2.2830736823027345E-6</v>
      </c>
      <c r="U223" s="127">
        <v>9.4671986245455157E-10</v>
      </c>
      <c r="V223" s="127">
        <v>3.4859576579928846E-10</v>
      </c>
      <c r="W223" s="127">
        <v>1.2777768134605915E-9</v>
      </c>
      <c r="X223" s="128">
        <f t="shared" si="6"/>
        <v>7.3042205187843006E-10</v>
      </c>
      <c r="Y223" s="139">
        <f t="shared" si="7"/>
        <v>2.0698242809096463</v>
      </c>
      <c r="AA223" s="73"/>
      <c r="AB223" s="176"/>
      <c r="AC223" s="176"/>
      <c r="AD223" s="176"/>
      <c r="AJ223" s="135"/>
    </row>
    <row r="224" spans="9:36" x14ac:dyDescent="0.35">
      <c r="I224" s="49">
        <v>7.5257490936799995E-2</v>
      </c>
      <c r="J224" s="49">
        <v>9.5635834316095081E-10</v>
      </c>
      <c r="K224" s="49">
        <v>1.5144462014163028E-10</v>
      </c>
      <c r="L224" s="153">
        <v>7.1736132300741941E-10</v>
      </c>
      <c r="M224" s="18"/>
      <c r="R224" s="60">
        <v>1214.4206365879072</v>
      </c>
      <c r="S224" s="57">
        <v>2.2830736823027345E-6</v>
      </c>
      <c r="U224" s="127">
        <v>4.4971818436745044E-10</v>
      </c>
      <c r="V224" s="127">
        <v>7.1736132300741941E-10</v>
      </c>
      <c r="W224" s="127">
        <v>1.7946095164082416E-9</v>
      </c>
      <c r="X224" s="128">
        <f t="shared" si="6"/>
        <v>9.1976258669763267E-10</v>
      </c>
      <c r="Y224" s="139">
        <f t="shared" si="7"/>
        <v>5.8392054651911433E-2</v>
      </c>
      <c r="AA224" s="73"/>
      <c r="AB224" s="176"/>
      <c r="AC224" s="176"/>
      <c r="AD224" s="176"/>
      <c r="AJ224" s="135"/>
    </row>
    <row r="225" spans="9:36" x14ac:dyDescent="0.35">
      <c r="I225" s="49">
        <v>7.6010065846099997E-2</v>
      </c>
      <c r="J225" s="49">
        <v>9.1982104576768641E-10</v>
      </c>
      <c r="K225" s="49">
        <v>1.5282305908338219E-10</v>
      </c>
      <c r="L225" s="153">
        <v>1.3492140335288616E-9</v>
      </c>
      <c r="M225" s="18"/>
      <c r="R225" s="60">
        <v>1214.4206365879072</v>
      </c>
      <c r="S225" s="57">
        <v>2.2291401358248415E-6</v>
      </c>
      <c r="U225" s="127">
        <v>3.6017262212285962E-10</v>
      </c>
      <c r="V225" s="127">
        <v>1.3492140335288616E-9</v>
      </c>
      <c r="W225" s="127">
        <v>1.8789815680103629E-9</v>
      </c>
      <c r="X225" s="128">
        <f t="shared" si="6"/>
        <v>1.2343955642977363E-9</v>
      </c>
      <c r="Y225" s="139">
        <f t="shared" si="7"/>
        <v>4.2371057529029406</v>
      </c>
      <c r="AA225" s="73"/>
      <c r="AB225" s="176"/>
      <c r="AC225" s="176"/>
      <c r="AD225" s="176"/>
      <c r="AJ225" s="135"/>
    </row>
    <row r="226" spans="9:36" x14ac:dyDescent="0.35">
      <c r="I226" s="49">
        <v>7.6770166504600001E-2</v>
      </c>
      <c r="J226" s="49">
        <v>1.1292387529412184E-9</v>
      </c>
      <c r="K226" s="49">
        <v>1.6818869035706205E-10</v>
      </c>
      <c r="L226" s="153">
        <v>1.8511077655632206E-9</v>
      </c>
      <c r="M226" s="18"/>
      <c r="R226" s="60">
        <v>1214.9431592977739</v>
      </c>
      <c r="S226" s="57">
        <v>2.2291401358248415E-6</v>
      </c>
      <c r="U226" s="127">
        <v>7.5187358618169291E-10</v>
      </c>
      <c r="V226" s="127">
        <v>1.8511077655632206E-9</v>
      </c>
      <c r="W226" s="127">
        <v>1.46859169548068E-9</v>
      </c>
      <c r="X226" s="128">
        <f t="shared" si="6"/>
        <v>1.4806702031972035E-9</v>
      </c>
      <c r="Y226" s="139">
        <f t="shared" si="7"/>
        <v>4.3660396132231529</v>
      </c>
      <c r="AA226" s="73"/>
      <c r="AB226" s="176"/>
      <c r="AC226" s="176"/>
      <c r="AD226" s="176"/>
      <c r="AJ226" s="135"/>
    </row>
    <row r="227" spans="9:36" x14ac:dyDescent="0.35">
      <c r="I227" s="49">
        <v>7.7537868169599997E-2</v>
      </c>
      <c r="J227" s="49">
        <v>1.3740632284910146E-9</v>
      </c>
      <c r="K227" s="49">
        <v>1.9307688260600492E-10</v>
      </c>
      <c r="L227" s="153">
        <v>1.8965683967184212E-9</v>
      </c>
      <c r="M227" s="18"/>
      <c r="R227" s="60">
        <v>1214.9431592977739</v>
      </c>
      <c r="S227" s="57">
        <v>2.178035254016686E-6</v>
      </c>
      <c r="U227" s="127">
        <v>1.3977083664010438E-9</v>
      </c>
      <c r="V227" s="127">
        <v>1.8965683967184212E-9</v>
      </c>
      <c r="W227" s="127">
        <v>8.3539091527091322E-10</v>
      </c>
      <c r="X227" s="128">
        <f t="shared" si="6"/>
        <v>1.5065590187771998E-9</v>
      </c>
      <c r="Y227" s="139">
        <f t="shared" si="7"/>
        <v>0.47091617033276673</v>
      </c>
      <c r="AA227" s="73"/>
      <c r="AB227" s="176"/>
      <c r="AC227" s="176"/>
      <c r="AD227" s="176"/>
      <c r="AJ227" s="135"/>
    </row>
    <row r="228" spans="9:36" x14ac:dyDescent="0.35">
      <c r="I228" s="49">
        <v>7.8313246851300006E-2</v>
      </c>
      <c r="J228" s="49">
        <v>1.5735608777648975E-9</v>
      </c>
      <c r="K228" s="49">
        <v>2.0980985176980728E-10</v>
      </c>
      <c r="L228" s="153">
        <v>1.4490107580970421E-9</v>
      </c>
      <c r="M228" s="18"/>
      <c r="R228" s="60">
        <v>1215.6563364857975</v>
      </c>
      <c r="S228" s="57">
        <v>2.178035254016686E-6</v>
      </c>
      <c r="U228" s="127">
        <v>1.8958843742695487E-9</v>
      </c>
      <c r="V228" s="127">
        <v>1.4490107580970421E-9</v>
      </c>
      <c r="W228" s="127">
        <v>4.1898768348046125E-10</v>
      </c>
      <c r="X228" s="128">
        <f t="shared" si="6"/>
        <v>1.3032233934860234E-9</v>
      </c>
      <c r="Y228" s="139">
        <f t="shared" si="7"/>
        <v>1.6602014243015253</v>
      </c>
      <c r="AA228" s="73"/>
      <c r="AB228" s="176"/>
      <c r="AC228" s="176"/>
      <c r="AD228" s="176"/>
      <c r="AJ228" s="135"/>
    </row>
    <row r="229" spans="9:36" x14ac:dyDescent="0.35">
      <c r="I229" s="49">
        <v>7.90963793198E-2</v>
      </c>
      <c r="J229" s="49">
        <v>9.6203973216467082E-10</v>
      </c>
      <c r="K229" s="49">
        <v>1.6972706523884447E-10</v>
      </c>
      <c r="L229" s="153">
        <v>8.0617388210187476E-10</v>
      </c>
      <c r="M229" s="18"/>
      <c r="R229" s="60">
        <v>1215.6563364857975</v>
      </c>
      <c r="S229" s="57">
        <v>2.1328717374300986E-6</v>
      </c>
      <c r="U229" s="127">
        <v>1.9224113761883668E-9</v>
      </c>
      <c r="V229" s="127">
        <v>8.0617388210187476E-10</v>
      </c>
      <c r="W229" s="127">
        <v>5.2673507117742041E-10</v>
      </c>
      <c r="X229" s="128">
        <f t="shared" si="6"/>
        <v>1.0153735528923841E-9</v>
      </c>
      <c r="Y229" s="139">
        <f t="shared" si="7"/>
        <v>9.8742288816381141E-2</v>
      </c>
      <c r="AA229" s="73"/>
      <c r="AB229" s="176"/>
      <c r="AC229" s="176"/>
      <c r="AD229" s="176"/>
      <c r="AJ229" s="135"/>
    </row>
    <row r="230" spans="9:36" x14ac:dyDescent="0.35">
      <c r="I230" s="49">
        <v>7.9887343112999998E-2</v>
      </c>
      <c r="J230" s="49">
        <v>7.0994948698090803E-10</v>
      </c>
      <c r="K230" s="49">
        <v>1.578437271307831E-10</v>
      </c>
      <c r="L230" s="153">
        <v>4.1551796529315163E-10</v>
      </c>
      <c r="M230" s="27"/>
      <c r="R230" s="60">
        <v>1216.9379253611714</v>
      </c>
      <c r="S230" s="57">
        <v>2.1328717374300986E-6</v>
      </c>
      <c r="U230" s="127">
        <v>1.4533539546002971E-9</v>
      </c>
      <c r="V230" s="127">
        <v>4.1551796529315163E-10</v>
      </c>
      <c r="W230" s="127">
        <v>1.1035531661700945E-9</v>
      </c>
      <c r="X230" s="128">
        <f t="shared" si="6"/>
        <v>8.4698576283917371E-10</v>
      </c>
      <c r="Y230" s="139">
        <f t="shared" si="7"/>
        <v>0.75373110938033994</v>
      </c>
      <c r="AA230" s="73"/>
      <c r="AB230" s="176"/>
      <c r="AC230" s="176"/>
      <c r="AD230" s="176"/>
      <c r="AJ230" s="135"/>
    </row>
    <row r="231" spans="9:36" x14ac:dyDescent="0.35">
      <c r="I231" s="49">
        <v>8.0686216544199996E-2</v>
      </c>
      <c r="J231" s="49">
        <v>9.4201134546627058E-10</v>
      </c>
      <c r="K231" s="49">
        <v>1.6775852856475754E-10</v>
      </c>
      <c r="L231" s="153">
        <v>5.6750356627313303E-10</v>
      </c>
      <c r="M231" s="27"/>
      <c r="R231" s="60">
        <v>1216.9379253611714</v>
      </c>
      <c r="S231" s="57">
        <v>2.101652360454576E-6</v>
      </c>
      <c r="U231" s="127">
        <v>8.0123582294484374E-10</v>
      </c>
      <c r="V231" s="127">
        <v>5.6750356627313303E-10</v>
      </c>
      <c r="W231" s="127">
        <v>1.7485835772535534E-9</v>
      </c>
      <c r="X231" s="128">
        <f t="shared" si="6"/>
        <v>9.2120663318616577E-10</v>
      </c>
      <c r="Y231" s="139">
        <f t="shared" si="7"/>
        <v>1.5379924790344729E-2</v>
      </c>
      <c r="AA231" s="73"/>
      <c r="AB231" s="176"/>
      <c r="AC231" s="176"/>
      <c r="AD231" s="176"/>
      <c r="AJ231" s="135"/>
    </row>
    <row r="232" spans="9:36" x14ac:dyDescent="0.35">
      <c r="I232" s="49">
        <v>8.14930787096E-2</v>
      </c>
      <c r="J232" s="49">
        <v>1.0354270381035102E-9</v>
      </c>
      <c r="K232" s="49">
        <v>1.7780327274437288E-10</v>
      </c>
      <c r="L232" s="153">
        <v>1.1759785493014895E-9</v>
      </c>
      <c r="M232" s="27"/>
      <c r="R232" s="60">
        <v>1218.6590069492456</v>
      </c>
      <c r="S232" s="57">
        <v>2.101652360454576E-6</v>
      </c>
      <c r="U232" s="127">
        <v>4.2036139463015255E-10</v>
      </c>
      <c r="V232" s="127">
        <v>1.1759785493014895E-9</v>
      </c>
      <c r="W232" s="127">
        <v>1.9920587754786206E-9</v>
      </c>
      <c r="X232" s="128">
        <f t="shared" si="6"/>
        <v>1.191094317177938E-9</v>
      </c>
      <c r="Y232" s="139">
        <f t="shared" si="7"/>
        <v>0.7665053097609017</v>
      </c>
      <c r="AA232" s="73"/>
      <c r="AB232" s="176"/>
      <c r="AC232" s="176"/>
      <c r="AD232" s="176"/>
      <c r="AJ232" s="135"/>
    </row>
    <row r="233" spans="9:36" x14ac:dyDescent="0.35">
      <c r="I233" s="49">
        <v>8.2308009496700002E-2</v>
      </c>
      <c r="J233" s="49">
        <v>1.1634055561370507E-9</v>
      </c>
      <c r="K233" s="49">
        <v>2.0124717797405625E-10</v>
      </c>
      <c r="L233" s="153">
        <v>1.8168019848405531E-9</v>
      </c>
      <c r="M233" s="27"/>
      <c r="R233" s="60">
        <v>1218.6590069492456</v>
      </c>
      <c r="S233" s="57">
        <v>2.0973386766925862E-6</v>
      </c>
      <c r="U233" s="127">
        <v>5.9489670285730338E-10</v>
      </c>
      <c r="V233" s="127">
        <v>1.8168019848405531E-9</v>
      </c>
      <c r="W233" s="127">
        <v>1.6479731850091905E-9</v>
      </c>
      <c r="X233" s="128">
        <f t="shared" si="6"/>
        <v>1.4691184643869E-9</v>
      </c>
      <c r="Y233" s="139">
        <f t="shared" si="7"/>
        <v>2.3076394502090642</v>
      </c>
      <c r="AA233" s="73"/>
      <c r="AB233" s="176"/>
      <c r="AC233" s="176"/>
      <c r="AD233" s="176"/>
      <c r="AJ233" s="135"/>
    </row>
    <row r="234" spans="9:36" x14ac:dyDescent="0.35">
      <c r="I234" s="49">
        <v>8.31310895917E-2</v>
      </c>
      <c r="J234" s="49">
        <v>1.1845018484459203E-9</v>
      </c>
      <c r="K234" s="49">
        <v>2.050729984351546E-10</v>
      </c>
      <c r="L234" s="153">
        <v>2.022720001453058E-9</v>
      </c>
      <c r="M234" s="27"/>
      <c r="R234" s="60">
        <v>1318.6590069492456</v>
      </c>
      <c r="S234" s="57">
        <v>2.0973386766925862E-6</v>
      </c>
      <c r="U234" s="127">
        <v>1.2231073060134665E-9</v>
      </c>
      <c r="V234" s="127">
        <v>2.022720001453058E-9</v>
      </c>
      <c r="W234" s="127">
        <v>9.7617758448752328E-10</v>
      </c>
      <c r="X234" s="128">
        <f t="shared" si="6"/>
        <v>1.5611812233517764E-9</v>
      </c>
      <c r="Y234" s="139">
        <f t="shared" si="7"/>
        <v>3.373857373334662</v>
      </c>
      <c r="AA234" s="73"/>
      <c r="AB234" s="176"/>
      <c r="AC234" s="176"/>
      <c r="AD234" s="176"/>
      <c r="AJ234" s="135"/>
    </row>
    <row r="235" spans="9:36" x14ac:dyDescent="0.35">
      <c r="I235" s="49">
        <v>8.3962400487599995E-2</v>
      </c>
      <c r="J235" s="49">
        <v>1.5403690379764995E-9</v>
      </c>
      <c r="K235" s="49">
        <v>2.3893282736968721E-10</v>
      </c>
      <c r="L235" s="153">
        <v>1.6358236318296117E-9</v>
      </c>
      <c r="M235" s="27"/>
      <c r="U235" s="127">
        <v>1.8668678397177619E-9</v>
      </c>
      <c r="V235" s="127">
        <v>1.6358236318296117E-9</v>
      </c>
      <c r="W235" s="127">
        <v>5.0594171438719937E-10</v>
      </c>
      <c r="X235" s="128">
        <f t="shared" si="6"/>
        <v>1.4111142044410463E-9</v>
      </c>
      <c r="Y235" s="139">
        <f t="shared" si="7"/>
        <v>0.29264556094723204</v>
      </c>
      <c r="AA235" s="73"/>
      <c r="AB235" s="176"/>
      <c r="AC235" s="176"/>
      <c r="AD235" s="176"/>
      <c r="AJ235" s="135"/>
    </row>
    <row r="236" spans="9:36" x14ac:dyDescent="0.35">
      <c r="I236" s="49">
        <v>8.4802024492500003E-2</v>
      </c>
      <c r="J236" s="49">
        <v>1.2187644846436325E-9</v>
      </c>
      <c r="K236" s="49">
        <v>2.1068713015268E-10</v>
      </c>
      <c r="L236" s="153">
        <v>9.4944784476392212E-10</v>
      </c>
      <c r="M236" s="27"/>
      <c r="U236" s="127">
        <v>2.0569713443051404E-9</v>
      </c>
      <c r="V236" s="127">
        <v>9.4944784476392212E-10</v>
      </c>
      <c r="W236" s="127">
        <v>6.2840934882394098E-10</v>
      </c>
      <c r="X236" s="128">
        <f t="shared" si="6"/>
        <v>1.1460690956642314E-9</v>
      </c>
      <c r="Y236" s="139">
        <f t="shared" si="7"/>
        <v>0.11905227927524481</v>
      </c>
      <c r="AA236" s="73"/>
      <c r="AB236" s="176"/>
      <c r="AC236" s="176"/>
      <c r="AD236" s="176"/>
      <c r="AJ236" s="135"/>
    </row>
    <row r="237" spans="9:36" x14ac:dyDescent="0.35">
      <c r="I237" s="49">
        <v>8.5650044737399997E-2</v>
      </c>
      <c r="J237" s="49">
        <v>8.1867689071195137E-10</v>
      </c>
      <c r="K237" s="49">
        <v>2.0226884806896631E-10</v>
      </c>
      <c r="L237" s="153">
        <v>5.0553338833300423E-10</v>
      </c>
      <c r="M237" s="27"/>
      <c r="U237" s="127">
        <v>1.6476224572501106E-9</v>
      </c>
      <c r="V237" s="127">
        <v>5.0553338833300423E-10</v>
      </c>
      <c r="W237" s="127">
        <v>1.2686677805512025E-9</v>
      </c>
      <c r="X237" s="128">
        <f t="shared" si="6"/>
        <v>9.8183925361683044E-10</v>
      </c>
      <c r="Y237" s="139">
        <f t="shared" si="7"/>
        <v>0.65070174281950632</v>
      </c>
      <c r="AA237" s="73"/>
      <c r="AB237" s="176"/>
      <c r="AC237" s="176"/>
      <c r="AD237" s="176"/>
      <c r="AJ237" s="135"/>
    </row>
    <row r="238" spans="9:36" x14ac:dyDescent="0.35">
      <c r="I238" s="49">
        <v>8.6506545184799999E-2</v>
      </c>
      <c r="J238" s="49">
        <v>1.286844419177368E-9</v>
      </c>
      <c r="K238" s="49">
        <v>2.3464707210922985E-10</v>
      </c>
      <c r="L238" s="153">
        <v>6.7549918010230462E-10</v>
      </c>
      <c r="M238" s="27"/>
      <c r="U238" s="127">
        <v>9.4967826107996088E-10</v>
      </c>
      <c r="V238" s="127">
        <v>6.7549918010230462E-10</v>
      </c>
      <c r="W238" s="127">
        <v>1.9192950330253281E-9</v>
      </c>
      <c r="X238" s="128">
        <f t="shared" si="6"/>
        <v>1.0549929135774745E-9</v>
      </c>
      <c r="Y238" s="139">
        <f t="shared" si="7"/>
        <v>0.97631410095082616</v>
      </c>
      <c r="AA238" s="73"/>
      <c r="AB238" s="176"/>
      <c r="AC238" s="176"/>
      <c r="AD238" s="176"/>
      <c r="AJ238" s="135"/>
    </row>
    <row r="239" spans="9:36" x14ac:dyDescent="0.35">
      <c r="I239" s="49">
        <v>8.7371610636599997E-2</v>
      </c>
      <c r="J239" s="49">
        <v>1.0904276133976736E-9</v>
      </c>
      <c r="K239" s="49">
        <v>1.2474958295581274E-10</v>
      </c>
      <c r="L239" s="153">
        <v>1.3464433067161616E-9</v>
      </c>
      <c r="M239" s="27"/>
      <c r="U239" s="127">
        <v>5.1454816816817944E-10</v>
      </c>
      <c r="V239" s="127">
        <v>1.3464433067161616E-9</v>
      </c>
      <c r="W239" s="127">
        <v>2.0431816359610891E-9</v>
      </c>
      <c r="X239" s="128">
        <f t="shared" si="6"/>
        <v>1.3126541043903981E-9</v>
      </c>
      <c r="Y239" s="139">
        <f t="shared" si="7"/>
        <v>3.1733169579257114</v>
      </c>
      <c r="AA239" s="73"/>
      <c r="AB239" s="176"/>
      <c r="AC239" s="176"/>
      <c r="AD239" s="176"/>
      <c r="AJ239" s="135"/>
    </row>
    <row r="240" spans="9:36" x14ac:dyDescent="0.35">
      <c r="I240" s="49">
        <v>8.8245326742999994E-2</v>
      </c>
      <c r="J240" s="49">
        <v>1.5223164810712889E-9</v>
      </c>
      <c r="K240" s="49">
        <v>1.434122115894817E-10</v>
      </c>
      <c r="L240" s="153">
        <v>1.9853188529698836E-9</v>
      </c>
      <c r="M240" s="27"/>
      <c r="U240" s="127">
        <v>7.0716976696958025E-10</v>
      </c>
      <c r="V240" s="127">
        <v>1.9853188529698836E-9</v>
      </c>
      <c r="W240" s="127">
        <v>1.5340920984658114E-9</v>
      </c>
      <c r="X240" s="128">
        <f t="shared" si="6"/>
        <v>1.5529748928437898E-9</v>
      </c>
      <c r="Y240" s="139">
        <f t="shared" si="7"/>
        <v>4.5701140621069662E-2</v>
      </c>
      <c r="AA240" s="73"/>
      <c r="AB240" s="176"/>
      <c r="AC240" s="176"/>
      <c r="AD240" s="176"/>
      <c r="AJ240" s="135"/>
    </row>
    <row r="241" spans="9:36" x14ac:dyDescent="0.35">
      <c r="I241" s="49">
        <v>8.9127780010400004E-2</v>
      </c>
      <c r="J241" s="49">
        <v>1.5790747889760077E-9</v>
      </c>
      <c r="K241" s="49">
        <v>1.4322260654441258E-10</v>
      </c>
      <c r="L241" s="153">
        <v>2.0643651349574803E-9</v>
      </c>
      <c r="M241" s="27"/>
      <c r="U241" s="127">
        <v>1.3967783747893706E-9</v>
      </c>
      <c r="V241" s="127">
        <v>2.0643651349574803E-9</v>
      </c>
      <c r="W241" s="127">
        <v>8.3540474815574064E-10</v>
      </c>
      <c r="X241" s="128">
        <f t="shared" si="6"/>
        <v>1.5902283482150179E-9</v>
      </c>
      <c r="Y241" s="139">
        <f t="shared" si="7"/>
        <v>6.0646230176852126E-3</v>
      </c>
      <c r="AA241" s="73"/>
      <c r="AB241" s="176"/>
      <c r="AC241" s="176"/>
      <c r="AD241" s="176"/>
      <c r="AJ241" s="135"/>
    </row>
    <row r="242" spans="9:36" x14ac:dyDescent="0.35">
      <c r="I242" s="49">
        <v>9.00190578105E-2</v>
      </c>
      <c r="J242" s="49">
        <v>1.3635102496232919E-9</v>
      </c>
      <c r="K242" s="49">
        <v>1.2806264754845503E-10</v>
      </c>
      <c r="L242" s="153">
        <v>1.5157476343077431E-9</v>
      </c>
      <c r="M242" s="27"/>
      <c r="U242" s="127">
        <v>2.0353497475666798E-9</v>
      </c>
      <c r="V242" s="127">
        <v>1.5157476343077431E-9</v>
      </c>
      <c r="W242" s="127">
        <v>5.7712296493778572E-10</v>
      </c>
      <c r="X242" s="128">
        <f t="shared" si="6"/>
        <v>1.410991995279988E-9</v>
      </c>
      <c r="Y242" s="139">
        <f t="shared" si="7"/>
        <v>0.13747014868889773</v>
      </c>
      <c r="AA242" s="73"/>
      <c r="AB242" s="176"/>
      <c r="AC242" s="176"/>
      <c r="AD242" s="176"/>
      <c r="AJ242" s="135"/>
    </row>
    <row r="243" spans="9:36" x14ac:dyDescent="0.35">
      <c r="I243" s="49">
        <v>9.0919248388599994E-2</v>
      </c>
      <c r="J243" s="49">
        <v>1.1378172620738848E-9</v>
      </c>
      <c r="K243" s="49">
        <v>1.2596211707717228E-10</v>
      </c>
      <c r="L243" s="153">
        <v>8.1819542361178209E-10</v>
      </c>
      <c r="M243" s="27"/>
      <c r="U243" s="127">
        <v>2.0957353795438353E-9</v>
      </c>
      <c r="V243" s="127">
        <v>8.1819542361178209E-10</v>
      </c>
      <c r="W243" s="127">
        <v>1.0150125147954607E-9</v>
      </c>
      <c r="X243" s="128">
        <f t="shared" si="6"/>
        <v>1.186784685390715E-9</v>
      </c>
      <c r="Y243" s="139">
        <f t="shared" si="7"/>
        <v>0.15112440400670732</v>
      </c>
      <c r="AA243" s="73"/>
      <c r="AB243" s="176"/>
      <c r="AC243" s="176"/>
      <c r="AD243" s="176"/>
      <c r="AJ243" s="135"/>
    </row>
    <row r="244" spans="9:36" x14ac:dyDescent="0.35">
      <c r="I244" s="49">
        <v>9.18284408725E-2</v>
      </c>
      <c r="J244" s="49">
        <v>1.492950630539316E-9</v>
      </c>
      <c r="K244" s="49">
        <v>1.3938943458595251E-10</v>
      </c>
      <c r="L244" s="153">
        <v>6.0205455958245014E-10</v>
      </c>
      <c r="M244" s="27"/>
      <c r="U244" s="127">
        <v>1.5264006837110248E-9</v>
      </c>
      <c r="V244" s="127">
        <v>6.0205455958245014E-10</v>
      </c>
      <c r="W244" s="127">
        <v>1.772934456663464E-9</v>
      </c>
      <c r="X244" s="128">
        <f t="shared" si="6"/>
        <v>1.1258610648848471E-9</v>
      </c>
      <c r="Y244" s="139">
        <f t="shared" si="7"/>
        <v>6.9356052593033075</v>
      </c>
      <c r="AA244" s="73"/>
      <c r="AB244" s="176"/>
      <c r="AC244" s="176"/>
      <c r="AD244" s="176"/>
      <c r="AJ244" s="135"/>
    </row>
    <row r="245" spans="9:36" x14ac:dyDescent="0.35">
      <c r="I245" s="49">
        <v>9.2746725281199996E-2</v>
      </c>
      <c r="J245" s="49">
        <v>1.230762805540639E-9</v>
      </c>
      <c r="K245" s="49">
        <v>1.3154268524306189E-10</v>
      </c>
      <c r="L245" s="153">
        <v>1.0859886334153479E-9</v>
      </c>
      <c r="M245" s="27"/>
      <c r="U245" s="127">
        <v>8.2447330198935248E-10</v>
      </c>
      <c r="V245" s="127">
        <v>1.0859886334153479E-9</v>
      </c>
      <c r="W245" s="127">
        <v>2.1605864884304233E-9</v>
      </c>
      <c r="X245" s="128">
        <f t="shared" si="6"/>
        <v>1.289259264312618E-9</v>
      </c>
      <c r="Y245" s="139">
        <f t="shared" si="7"/>
        <v>0.19775421338778004</v>
      </c>
      <c r="AA245" s="73"/>
      <c r="AB245" s="176"/>
      <c r="AC245" s="176"/>
      <c r="AD245" s="176"/>
      <c r="AJ245" s="135"/>
    </row>
    <row r="246" spans="9:36" x14ac:dyDescent="0.35">
      <c r="I246" s="49">
        <v>9.3674192534E-2</v>
      </c>
      <c r="J246" s="49">
        <v>1.5708681522782825E-9</v>
      </c>
      <c r="K246" s="49">
        <v>1.5165144603857684E-10</v>
      </c>
      <c r="L246" s="153">
        <v>1.8516146478591366E-9</v>
      </c>
      <c r="M246" s="27"/>
      <c r="U246" s="127">
        <v>6.2455938726768899E-10</v>
      </c>
      <c r="V246" s="127">
        <v>1.8516146478591366E-9</v>
      </c>
      <c r="W246" s="127">
        <v>1.81608009099834E-9</v>
      </c>
      <c r="X246" s="128">
        <f t="shared" si="6"/>
        <v>1.5359671934960757E-9</v>
      </c>
      <c r="Y246" s="139">
        <f t="shared" si="7"/>
        <v>5.2964100885458949E-2</v>
      </c>
      <c r="AA246" s="73"/>
      <c r="AB246" s="176"/>
      <c r="AC246" s="176"/>
      <c r="AD246" s="176"/>
      <c r="AJ246" s="135"/>
    </row>
    <row r="247" spans="9:36" x14ac:dyDescent="0.35">
      <c r="I247" s="49">
        <v>9.4610934459399998E-2</v>
      </c>
      <c r="J247" s="49">
        <v>1.745176724057632E-9</v>
      </c>
      <c r="K247" s="49">
        <v>1.5826531537762077E-10</v>
      </c>
      <c r="L247" s="153">
        <v>2.2009706304376321E-9</v>
      </c>
      <c r="M247" s="27"/>
      <c r="U247" s="127">
        <v>1.1310823340543344E-9</v>
      </c>
      <c r="V247" s="127">
        <v>2.2009706304376321E-9</v>
      </c>
      <c r="W247" s="127">
        <v>1.0760651975631124E-9</v>
      </c>
      <c r="X247" s="128">
        <f t="shared" si="6"/>
        <v>1.6522721981231776E-9</v>
      </c>
      <c r="Y247" s="139">
        <f t="shared" si="7"/>
        <v>0.34458966521887568</v>
      </c>
      <c r="AA247" s="73"/>
      <c r="AB247" s="176"/>
      <c r="AC247" s="176"/>
      <c r="AD247" s="176"/>
      <c r="AJ247" s="135"/>
    </row>
    <row r="248" spans="9:36" x14ac:dyDescent="0.35">
      <c r="I248" s="49">
        <v>9.5557043804E-2</v>
      </c>
      <c r="J248" s="49">
        <v>1.6969099552906698E-9</v>
      </c>
      <c r="K248" s="49">
        <v>1.573949406110949E-10</v>
      </c>
      <c r="L248" s="153">
        <v>1.8084974629840151E-9</v>
      </c>
      <c r="M248" s="27"/>
      <c r="U248" s="127">
        <v>1.9053514244806099E-9</v>
      </c>
      <c r="V248" s="127">
        <v>1.8084974629840151E-9</v>
      </c>
      <c r="W248" s="127">
        <v>6.8017511915821034E-10</v>
      </c>
      <c r="X248" s="128">
        <f t="shared" si="6"/>
        <v>1.5506303674017126E-9</v>
      </c>
      <c r="Y248" s="139">
        <f t="shared" si="7"/>
        <v>0.86374574344704858</v>
      </c>
      <c r="AA248" s="73"/>
      <c r="AB248" s="176"/>
      <c r="AC248" s="176"/>
      <c r="AD248" s="176"/>
      <c r="AJ248" s="135"/>
    </row>
    <row r="249" spans="9:36" x14ac:dyDescent="0.35">
      <c r="I249" s="49">
        <v>9.6512614242E-2</v>
      </c>
      <c r="J249" s="49">
        <v>1.4531732241970296E-9</v>
      </c>
      <c r="K249" s="49">
        <v>1.4871075420635722E-10</v>
      </c>
      <c r="L249" s="153">
        <v>1.058040557247682E-9</v>
      </c>
      <c r="M249" s="27"/>
      <c r="U249" s="127">
        <v>2.2418148511394455E-9</v>
      </c>
      <c r="V249" s="127">
        <v>1.058040557247682E-9</v>
      </c>
      <c r="W249" s="127">
        <v>1.0474010820354264E-9</v>
      </c>
      <c r="X249" s="128">
        <f t="shared" si="6"/>
        <v>1.3513242619175589E-9</v>
      </c>
      <c r="Y249" s="139">
        <f t="shared" si="7"/>
        <v>0.46906007039165398</v>
      </c>
      <c r="AA249" s="73"/>
      <c r="AB249" s="176"/>
      <c r="AC249" s="176"/>
      <c r="AD249" s="176"/>
      <c r="AJ249" s="135"/>
    </row>
    <row r="250" spans="9:36" x14ac:dyDescent="0.35">
      <c r="I250" s="49">
        <v>9.7477740384400005E-2</v>
      </c>
      <c r="J250" s="49">
        <v>1.367345787754279E-9</v>
      </c>
      <c r="K250" s="49">
        <v>1.4794695659639646E-10</v>
      </c>
      <c r="L250" s="153">
        <v>7.0076895911548685E-10</v>
      </c>
      <c r="M250" s="27"/>
      <c r="U250" s="127">
        <v>1.8276796529895024E-9</v>
      </c>
      <c r="V250" s="127">
        <v>7.0076895911548685E-10</v>
      </c>
      <c r="W250" s="127">
        <v>1.8299529778981274E-9</v>
      </c>
      <c r="X250" s="128">
        <f t="shared" si="6"/>
        <v>1.2647926372796508E-9</v>
      </c>
      <c r="Y250" s="139">
        <f t="shared" si="7"/>
        <v>0.48049175712867498</v>
      </c>
      <c r="AA250" s="73"/>
      <c r="AB250" s="176"/>
      <c r="AC250" s="176"/>
      <c r="AD250" s="176"/>
      <c r="AJ250" s="135"/>
    </row>
    <row r="251" spans="9:36" x14ac:dyDescent="0.35">
      <c r="I251" s="49">
        <v>9.8452517788299998E-2</v>
      </c>
      <c r="J251" s="49">
        <v>1.5061033766845654E-9</v>
      </c>
      <c r="K251" s="49">
        <v>1.5261148209306531E-10</v>
      </c>
      <c r="L251" s="153">
        <v>1.1178244671958985E-9</v>
      </c>
      <c r="M251" s="27"/>
      <c r="U251" s="127">
        <v>1.06817930872233E-9</v>
      </c>
      <c r="V251" s="127">
        <v>1.1178244671958985E-9</v>
      </c>
      <c r="W251" s="127">
        <v>2.2365821964375159E-9</v>
      </c>
      <c r="X251" s="128">
        <f t="shared" si="6"/>
        <v>1.3851026098879108E-9</v>
      </c>
      <c r="Y251" s="139">
        <f t="shared" si="7"/>
        <v>0.6286397299759543</v>
      </c>
      <c r="AA251" s="73"/>
      <c r="AB251" s="176"/>
      <c r="AC251" s="176"/>
      <c r="AD251" s="176"/>
      <c r="AJ251" s="135"/>
    </row>
    <row r="252" spans="9:36" x14ac:dyDescent="0.35">
      <c r="I252" s="49">
        <v>9.9437042966199998E-2</v>
      </c>
      <c r="J252" s="49">
        <v>1.4824830514533609E-9</v>
      </c>
      <c r="K252" s="49">
        <v>1.559906247306547E-10</v>
      </c>
      <c r="L252" s="153">
        <v>1.9106084409294342E-9</v>
      </c>
      <c r="M252" s="27"/>
      <c r="U252" s="127">
        <v>7.2365615950817652E-10</v>
      </c>
      <c r="V252" s="127">
        <v>1.9106084409294342E-9</v>
      </c>
      <c r="W252" s="127">
        <v>1.8495245167272929E-9</v>
      </c>
      <c r="X252" s="128">
        <f t="shared" si="6"/>
        <v>1.5985993895235843E-9</v>
      </c>
      <c r="Y252" s="139">
        <f t="shared" si="7"/>
        <v>0.55410193593286594</v>
      </c>
      <c r="AA252" s="73"/>
      <c r="AB252" s="176"/>
      <c r="AC252" s="176"/>
      <c r="AD252" s="176"/>
      <c r="AJ252" s="135"/>
    </row>
    <row r="253" spans="9:36" x14ac:dyDescent="0.35">
      <c r="I253" s="49">
        <v>0.10043141339599999</v>
      </c>
      <c r="J253" s="49">
        <v>1.577531010217868E-9</v>
      </c>
      <c r="K253" s="49">
        <v>1.7834681866770947E-10</v>
      </c>
      <c r="L253" s="153">
        <v>2.2768748828074481E-9</v>
      </c>
      <c r="M253" s="27"/>
      <c r="U253" s="127">
        <v>1.1626550460973179E-9</v>
      </c>
      <c r="V253" s="127">
        <v>2.2768748828074481E-9</v>
      </c>
      <c r="W253" s="127">
        <v>1.0936206665081684E-9</v>
      </c>
      <c r="X253" s="128">
        <f t="shared" si="6"/>
        <v>1.7025063695550954E-9</v>
      </c>
      <c r="Y253" s="139">
        <f t="shared" si="7"/>
        <v>0.49104133814214235</v>
      </c>
      <c r="AA253" s="73"/>
      <c r="AB253" s="176"/>
      <c r="AC253" s="176"/>
      <c r="AD253" s="176"/>
      <c r="AJ253" s="135"/>
    </row>
    <row r="254" spans="9:36" x14ac:dyDescent="0.35">
      <c r="I254" s="49">
        <v>0.10143572753000001</v>
      </c>
      <c r="J254" s="49">
        <v>1.6949697528529417E-9</v>
      </c>
      <c r="K254" s="49">
        <v>1.8607654629415877E-10</v>
      </c>
      <c r="L254" s="153">
        <v>1.8415708574698181E-9</v>
      </c>
      <c r="M254" s="27"/>
      <c r="U254" s="127">
        <v>1.9644917690608807E-9</v>
      </c>
      <c r="V254" s="127">
        <v>1.8415708574698181E-9</v>
      </c>
      <c r="W254" s="127">
        <v>8.1064428724154631E-10</v>
      </c>
      <c r="X254" s="128">
        <f t="shared" si="6"/>
        <v>1.6145694428105156E-9</v>
      </c>
      <c r="Y254" s="139">
        <f t="shared" si="7"/>
        <v>0.18669477933374243</v>
      </c>
      <c r="AA254" s="73"/>
      <c r="AB254" s="176"/>
      <c r="AC254" s="176"/>
      <c r="AD254" s="176"/>
      <c r="AJ254" s="135"/>
    </row>
    <row r="255" spans="9:36" x14ac:dyDescent="0.35">
      <c r="I255" s="49">
        <v>0.10245008480499999</v>
      </c>
      <c r="J255" s="49">
        <v>1.4324353516079246E-9</v>
      </c>
      <c r="K255" s="49">
        <v>1.7491079754438042E-10</v>
      </c>
      <c r="L255" s="153">
        <v>1.0822348975514221E-9</v>
      </c>
      <c r="M255" s="27"/>
      <c r="U255" s="127">
        <v>2.318062950238653E-9</v>
      </c>
      <c r="V255" s="127">
        <v>1.0822348975514221E-9</v>
      </c>
      <c r="W255" s="127">
        <v>1.3391884272301225E-9</v>
      </c>
      <c r="X255" s="128">
        <f t="shared" ref="X255:X277" si="8">(U255+2*V255+W255)/4</f>
        <v>1.4554302931429051E-9</v>
      </c>
      <c r="Y255" s="139">
        <f t="shared" ref="Y255:Y277" si="9">(J255-X255)*(J255-X255)/(K255*K255)</f>
        <v>1.7283487477706101E-2</v>
      </c>
      <c r="AA255" s="73"/>
      <c r="AB255" s="176"/>
      <c r="AC255" s="176"/>
      <c r="AD255" s="176"/>
      <c r="AJ255" s="135"/>
    </row>
    <row r="256" spans="9:36" x14ac:dyDescent="0.35">
      <c r="I256" s="49">
        <v>0.103474585653</v>
      </c>
      <c r="J256" s="49">
        <v>1.536250814476557E-9</v>
      </c>
      <c r="K256" s="49">
        <v>1.8026519624745817E-10</v>
      </c>
      <c r="L256" s="153">
        <v>8.4542090828944641E-10</v>
      </c>
      <c r="M256" s="27"/>
      <c r="U256" s="127">
        <v>1.8623688388954656E-9</v>
      </c>
      <c r="V256" s="127">
        <v>8.4542090828944641E-10</v>
      </c>
      <c r="W256" s="127">
        <v>2.1070061096367374E-9</v>
      </c>
      <c r="X256" s="128">
        <f t="shared" si="8"/>
        <v>1.4150541912777739E-9</v>
      </c>
      <c r="Y256" s="139">
        <f t="shared" si="9"/>
        <v>0.45201960123302448</v>
      </c>
      <c r="AA256" s="73"/>
      <c r="AB256" s="176"/>
      <c r="AC256" s="176"/>
      <c r="AD256" s="176"/>
      <c r="AJ256" s="135"/>
    </row>
    <row r="257" spans="9:36" x14ac:dyDescent="0.35">
      <c r="I257" s="49">
        <v>0.10450933151</v>
      </c>
      <c r="J257" s="49">
        <v>1.5131651172559299E-9</v>
      </c>
      <c r="K257" s="49">
        <v>1.8426568072771702E-10</v>
      </c>
      <c r="L257" s="153">
        <v>1.4187732092561544E-9</v>
      </c>
      <c r="M257" s="27"/>
      <c r="U257" s="127">
        <v>1.0972877603213954E-9</v>
      </c>
      <c r="V257" s="127">
        <v>1.4187732092561544E-9</v>
      </c>
      <c r="W257" s="127">
        <v>2.2509911385495607E-9</v>
      </c>
      <c r="X257" s="128">
        <f t="shared" si="8"/>
        <v>1.5464563293458162E-9</v>
      </c>
      <c r="Y257" s="139">
        <f t="shared" si="9"/>
        <v>3.2641514677055006E-2</v>
      </c>
      <c r="AA257" s="73"/>
      <c r="AB257" s="176"/>
      <c r="AC257" s="176"/>
      <c r="AD257" s="176"/>
      <c r="AJ257" s="136"/>
    </row>
    <row r="258" spans="9:36" x14ac:dyDescent="0.35">
      <c r="I258" s="49">
        <v>0.10555442482500001</v>
      </c>
      <c r="J258" s="49">
        <v>1.6316597814076E-9</v>
      </c>
      <c r="K258" s="49">
        <v>2.0122940623390989E-10</v>
      </c>
      <c r="L258" s="153">
        <v>2.1790619590287197E-9</v>
      </c>
      <c r="M258" s="27"/>
      <c r="U258" s="127">
        <v>8.7569246778448673E-10</v>
      </c>
      <c r="V258" s="127">
        <v>2.1790619590287197E-9</v>
      </c>
      <c r="W258" s="127">
        <v>1.6182152915352012E-9</v>
      </c>
      <c r="X258" s="128">
        <f t="shared" si="8"/>
        <v>1.7130079193442818E-9</v>
      </c>
      <c r="Y258" s="139">
        <f t="shared" si="9"/>
        <v>0.16342268488029796</v>
      </c>
      <c r="AA258" s="73"/>
      <c r="AB258" s="176"/>
      <c r="AC258" s="176"/>
      <c r="AD258" s="176"/>
      <c r="AJ258" s="136"/>
    </row>
    <row r="259" spans="9:36" x14ac:dyDescent="0.35">
      <c r="I259" s="49">
        <v>0.10660996907299999</v>
      </c>
      <c r="J259" s="49">
        <v>1.5611902157274424E-9</v>
      </c>
      <c r="K259" s="49">
        <v>1.9791139650519334E-10</v>
      </c>
      <c r="L259" s="153">
        <v>2.2716585881279547E-9</v>
      </c>
      <c r="M259" s="27"/>
      <c r="U259" s="127">
        <v>1.4681780022588391E-9</v>
      </c>
      <c r="V259" s="127">
        <v>2.2716585881279547E-9</v>
      </c>
      <c r="W259" s="127">
        <v>9.7882256338441854E-10</v>
      </c>
      <c r="X259" s="128">
        <f t="shared" si="8"/>
        <v>1.7475794354747917E-9</v>
      </c>
      <c r="Y259" s="139">
        <f t="shared" si="9"/>
        <v>0.88695170735781126</v>
      </c>
      <c r="AA259" s="73"/>
      <c r="AB259" s="176"/>
      <c r="AC259" s="176"/>
      <c r="AD259" s="176"/>
      <c r="AJ259" s="136"/>
    </row>
    <row r="260" spans="9:36" x14ac:dyDescent="0.35">
      <c r="I260" s="49">
        <v>0.107676068764</v>
      </c>
      <c r="J260" s="49">
        <v>1.7523675238666028E-9</v>
      </c>
      <c r="K260" s="49">
        <v>2.0228287097851505E-10</v>
      </c>
      <c r="L260" s="153">
        <v>1.6043200781366585E-9</v>
      </c>
      <c r="M260" s="27"/>
      <c r="U260" s="127">
        <v>2.2300398082296553E-9</v>
      </c>
      <c r="V260" s="127">
        <v>1.6043200781366585E-9</v>
      </c>
      <c r="W260" s="127">
        <v>1.1286725190892709E-9</v>
      </c>
      <c r="X260" s="128">
        <f t="shared" si="8"/>
        <v>1.6418381208980608E-9</v>
      </c>
      <c r="Y260" s="139">
        <f t="shared" si="9"/>
        <v>0.29856399310805931</v>
      </c>
      <c r="AA260" s="73"/>
      <c r="AB260" s="176"/>
      <c r="AC260" s="176"/>
      <c r="AD260" s="176"/>
      <c r="AJ260" s="136"/>
    </row>
    <row r="261" spans="9:36" x14ac:dyDescent="0.35">
      <c r="I261" s="49">
        <v>0.108752829451</v>
      </c>
      <c r="J261" s="49">
        <v>1.6110422900523321E-9</v>
      </c>
      <c r="K261" s="49">
        <v>2.0835141902487186E-10</v>
      </c>
      <c r="L261" s="153">
        <v>9.8921954433162086E-10</v>
      </c>
      <c r="M261" s="27"/>
      <c r="U261" s="127">
        <v>2.3054688145809851E-9</v>
      </c>
      <c r="V261" s="127">
        <v>9.8921954433162086E-10</v>
      </c>
      <c r="W261" s="127">
        <v>1.9072593365892285E-9</v>
      </c>
      <c r="X261" s="128">
        <f t="shared" si="8"/>
        <v>1.5477918099583637E-9</v>
      </c>
      <c r="Y261" s="139">
        <f t="shared" si="9"/>
        <v>9.2158357796197382E-2</v>
      </c>
      <c r="AA261" s="73"/>
      <c r="AB261" s="176"/>
      <c r="AC261" s="176"/>
      <c r="AD261" s="176"/>
      <c r="AJ261" s="136"/>
    </row>
    <row r="262" spans="9:36" x14ac:dyDescent="0.35">
      <c r="I262" s="49">
        <v>0.109840357746</v>
      </c>
      <c r="J262" s="49">
        <v>1.589439979551891E-9</v>
      </c>
      <c r="K262" s="49">
        <v>2.1105895495705533E-10</v>
      </c>
      <c r="L262" s="153">
        <v>1.1931277505848393E-9</v>
      </c>
      <c r="M262" s="27"/>
      <c r="U262" s="127">
        <v>1.6229915863182442E-9</v>
      </c>
      <c r="V262" s="127">
        <v>1.1931277505848393E-9</v>
      </c>
      <c r="W262" s="127">
        <v>2.3621261946330045E-9</v>
      </c>
      <c r="X262" s="128">
        <f t="shared" si="8"/>
        <v>1.5928433205302318E-9</v>
      </c>
      <c r="Y262" s="139">
        <f t="shared" si="9"/>
        <v>2.6001796739098896E-4</v>
      </c>
      <c r="AA262" s="73"/>
      <c r="AB262" s="176"/>
      <c r="AC262" s="176"/>
      <c r="AD262" s="176"/>
      <c r="AJ262" s="136"/>
    </row>
    <row r="263" spans="9:36" x14ac:dyDescent="0.35">
      <c r="I263" s="49">
        <v>0.110938761323</v>
      </c>
      <c r="J263" s="49">
        <v>1.6403748905274226E-9</v>
      </c>
      <c r="K263" s="49">
        <v>2.1132006710484891E-10</v>
      </c>
      <c r="L263" s="153">
        <v>1.988536593141092E-9</v>
      </c>
      <c r="M263" s="27"/>
      <c r="U263" s="127">
        <v>1.0129275134246576E-9</v>
      </c>
      <c r="V263" s="127">
        <v>1.988536593141092E-9</v>
      </c>
      <c r="W263" s="127">
        <v>1.9354854723625099E-9</v>
      </c>
      <c r="X263" s="128">
        <f t="shared" si="8"/>
        <v>1.7313715430173378E-9</v>
      </c>
      <c r="Y263" s="139">
        <f t="shared" si="9"/>
        <v>0.18542545460627105</v>
      </c>
      <c r="AA263" s="73"/>
      <c r="AB263" s="176"/>
      <c r="AC263" s="176"/>
      <c r="AD263" s="176"/>
      <c r="AJ263" s="136"/>
    </row>
    <row r="264" spans="9:36" x14ac:dyDescent="0.35">
      <c r="I264" s="49">
        <v>0.11204814893700001</v>
      </c>
      <c r="J264" s="49">
        <v>1.3819682507265297E-9</v>
      </c>
      <c r="K264" s="49">
        <v>1.9751208593832063E-10</v>
      </c>
      <c r="L264" s="153">
        <v>2.4015612603788478E-9</v>
      </c>
      <c r="M264" s="27"/>
      <c r="U264" s="127">
        <v>1.2354727861276122E-9</v>
      </c>
      <c r="V264" s="127">
        <v>2.4015612603788478E-9</v>
      </c>
      <c r="W264" s="127">
        <v>1.2027743869796032E-9</v>
      </c>
      <c r="X264" s="128">
        <f t="shared" si="8"/>
        <v>1.8103424234662278E-9</v>
      </c>
      <c r="Y264" s="139">
        <f t="shared" si="9"/>
        <v>4.7039121925905132</v>
      </c>
      <c r="AA264" s="73"/>
      <c r="AB264" s="176"/>
      <c r="AC264" s="176"/>
      <c r="AD264" s="176"/>
      <c r="AJ264" s="136"/>
    </row>
    <row r="265" spans="9:36" x14ac:dyDescent="0.35">
      <c r="I265" s="49">
        <v>0.11316863042600001</v>
      </c>
      <c r="J265" s="49">
        <v>1.4764379089840534E-9</v>
      </c>
      <c r="K265" s="49">
        <v>2.1593699760740397E-10</v>
      </c>
      <c r="L265" s="153">
        <v>1.9281336835074235E-9</v>
      </c>
      <c r="M265" s="27"/>
      <c r="U265" s="127">
        <v>2.0397657793139828E-9</v>
      </c>
      <c r="V265" s="127">
        <v>1.9281336835074235E-9</v>
      </c>
      <c r="W265" s="127">
        <v>1.152562331319629E-9</v>
      </c>
      <c r="X265" s="128">
        <f t="shared" si="8"/>
        <v>1.7621488694121148E-9</v>
      </c>
      <c r="Y265" s="139">
        <f t="shared" si="9"/>
        <v>1.7506514381618414</v>
      </c>
      <c r="AA265" s="73"/>
      <c r="AB265" s="176"/>
      <c r="AC265" s="176"/>
      <c r="AD265" s="176"/>
      <c r="AJ265" s="136"/>
    </row>
    <row r="266" spans="9:36" x14ac:dyDescent="0.35">
      <c r="I266" s="49">
        <v>0.11430031673</v>
      </c>
      <c r="J266" s="49">
        <v>1.7777705661860648E-9</v>
      </c>
      <c r="K266" s="49">
        <v>2.3663618287131768E-10</v>
      </c>
      <c r="L266" s="153">
        <v>1.2050227469980328E-9</v>
      </c>
      <c r="M266" s="27"/>
      <c r="U266" s="127">
        <v>2.4410947292130118E-9</v>
      </c>
      <c r="V266" s="127">
        <v>1.2050227469980328E-9</v>
      </c>
      <c r="W266" s="127">
        <v>1.8736795955053991E-9</v>
      </c>
      <c r="X266" s="128">
        <f t="shared" si="8"/>
        <v>1.681204954678619E-9</v>
      </c>
      <c r="Y266" s="139">
        <f t="shared" si="9"/>
        <v>0.16652624439371094</v>
      </c>
      <c r="AA266" s="73"/>
      <c r="AB266" s="176"/>
      <c r="AC266" s="176"/>
      <c r="AD266" s="176"/>
      <c r="AJ266" s="136"/>
    </row>
    <row r="267" spans="9:36" x14ac:dyDescent="0.35">
      <c r="I267" s="49">
        <v>0.115443319898</v>
      </c>
      <c r="J267" s="49">
        <v>1.8601434002502685E-9</v>
      </c>
      <c r="K267" s="49">
        <v>2.381022626206221E-10</v>
      </c>
      <c r="L267" s="152">
        <v>1.2081124367033132E-9</v>
      </c>
      <c r="M267" s="34"/>
      <c r="U267" s="127">
        <v>1.9510083596361377E-9</v>
      </c>
      <c r="V267" s="127">
        <v>1.2081124367033132E-9</v>
      </c>
      <c r="W267" s="127">
        <v>2.4050709825813992E-9</v>
      </c>
      <c r="X267" s="128">
        <f t="shared" si="8"/>
        <v>1.6930760539060408E-9</v>
      </c>
      <c r="Y267" s="139">
        <f t="shared" si="9"/>
        <v>0.49232977765790803</v>
      </c>
      <c r="AA267" s="73"/>
      <c r="AB267" s="176"/>
      <c r="AC267" s="176"/>
      <c r="AD267" s="176"/>
      <c r="AJ267" s="136"/>
    </row>
    <row r="268" spans="9:36" x14ac:dyDescent="0.35">
      <c r="I268" s="49">
        <v>0.116597753096</v>
      </c>
      <c r="J268" s="49">
        <v>1.8465231608320121E-9</v>
      </c>
      <c r="K268" s="49">
        <v>2.5042768286038351E-10</v>
      </c>
      <c r="L268" s="152">
        <v>1.9539510333236403E-9</v>
      </c>
      <c r="M268" s="34"/>
      <c r="U268" s="127">
        <v>1.2280245582846868E-9</v>
      </c>
      <c r="V268" s="127">
        <v>1.9539510333236403E-9</v>
      </c>
      <c r="W268" s="127">
        <v>2.0362593766718093E-9</v>
      </c>
      <c r="X268" s="128">
        <f t="shared" si="8"/>
        <v>1.7930465004009442E-9</v>
      </c>
      <c r="Y268" s="139">
        <f t="shared" si="9"/>
        <v>4.5599899557189169E-2</v>
      </c>
      <c r="AA268" s="73"/>
      <c r="AB268" s="176"/>
      <c r="AC268" s="176"/>
      <c r="AD268" s="176"/>
      <c r="AJ268" s="136"/>
    </row>
    <row r="269" spans="9:36" x14ac:dyDescent="0.35">
      <c r="I269" s="49">
        <v>0.117763730627</v>
      </c>
      <c r="J269" s="49">
        <v>1.9671977059567862E-9</v>
      </c>
      <c r="K269" s="49">
        <v>2.5853190949833808E-10</v>
      </c>
      <c r="L269" s="152">
        <v>2.447231937871462E-9</v>
      </c>
      <c r="M269" s="33"/>
      <c r="U269" s="127">
        <v>1.2470524541486779E-9</v>
      </c>
      <c r="V269" s="127">
        <v>2.447231937871462E-9</v>
      </c>
      <c r="W269" s="127">
        <v>1.3161149265458327E-9</v>
      </c>
      <c r="X269" s="128">
        <f t="shared" si="8"/>
        <v>1.8644078141093586E-9</v>
      </c>
      <c r="Y269" s="139">
        <f t="shared" si="9"/>
        <v>0.15807839233955334</v>
      </c>
      <c r="AA269" s="73"/>
      <c r="AB269" s="176"/>
      <c r="AC269" s="176"/>
      <c r="AD269" s="176"/>
      <c r="AJ269" s="136"/>
    </row>
    <row r="270" spans="9:36" x14ac:dyDescent="0.35">
      <c r="I270" s="49">
        <v>0.11894136793399999</v>
      </c>
      <c r="J270" s="49">
        <v>1.7311008383370598E-9</v>
      </c>
      <c r="K270" s="49">
        <v>2.6375283718626727E-10</v>
      </c>
      <c r="L270" s="152">
        <v>2.0306805923720845E-9</v>
      </c>
      <c r="M270" s="34"/>
      <c r="U270" s="127">
        <v>2.0022977501131291E-9</v>
      </c>
      <c r="V270" s="127">
        <v>2.0306805923720845E-9</v>
      </c>
      <c r="W270" s="127">
        <v>1.3015468844552523E-9</v>
      </c>
      <c r="X270" s="128">
        <f t="shared" si="8"/>
        <v>1.8413014548281375E-9</v>
      </c>
      <c r="Y270" s="139">
        <f t="shared" si="9"/>
        <v>0.17457167063662393</v>
      </c>
      <c r="AA270" s="73"/>
      <c r="AB270" s="176"/>
      <c r="AC270" s="176"/>
      <c r="AD270" s="176"/>
      <c r="AJ270" s="136"/>
    </row>
    <row r="271" spans="9:36" x14ac:dyDescent="0.35">
      <c r="I271" s="49">
        <v>0.120130781613</v>
      </c>
      <c r="J271" s="49">
        <v>1.9644135600265066E-9</v>
      </c>
      <c r="K271" s="49">
        <v>2.8468712681980587E-10</v>
      </c>
      <c r="L271" s="152">
        <v>1.3208633990569285E-9</v>
      </c>
      <c r="M271" s="35"/>
      <c r="U271" s="127">
        <v>2.4855136767947168E-9</v>
      </c>
      <c r="V271" s="127">
        <v>1.3208633990569285E-9</v>
      </c>
      <c r="W271" s="127">
        <v>2.0319877824983516E-9</v>
      </c>
      <c r="X271" s="128">
        <f t="shared" si="8"/>
        <v>1.7898070643517312E-9</v>
      </c>
      <c r="Y271" s="139">
        <f t="shared" si="9"/>
        <v>0.37617084588297695</v>
      </c>
      <c r="AA271" s="73"/>
      <c r="AB271" s="176"/>
      <c r="AC271" s="176"/>
      <c r="AD271" s="176"/>
      <c r="AJ271" s="136"/>
    </row>
    <row r="272" spans="9:36" x14ac:dyDescent="0.35">
      <c r="I272" s="49">
        <v>0.12133208942900001</v>
      </c>
      <c r="J272" s="49">
        <v>1.6451076057792578E-9</v>
      </c>
      <c r="K272" s="49">
        <v>2.6298636439898497E-10</v>
      </c>
      <c r="L272" s="152">
        <v>1.3591368300973894E-9</v>
      </c>
      <c r="M272" s="34"/>
      <c r="U272" s="127">
        <v>2.0539201731248046E-9</v>
      </c>
      <c r="V272" s="127">
        <v>1.3591368300973894E-9</v>
      </c>
      <c r="W272" s="127">
        <v>2.4457375037831816E-9</v>
      </c>
      <c r="X272" s="128">
        <f t="shared" si="8"/>
        <v>1.8044828342756912E-9</v>
      </c>
      <c r="Y272" s="139">
        <f t="shared" si="9"/>
        <v>0.36726130937114554</v>
      </c>
      <c r="AA272" s="73"/>
      <c r="AB272" s="176"/>
      <c r="AC272" s="176"/>
      <c r="AD272" s="176"/>
      <c r="AJ272" s="136"/>
    </row>
    <row r="273" spans="9:36" x14ac:dyDescent="0.35">
      <c r="I273" s="49">
        <v>0.122545410323</v>
      </c>
      <c r="J273" s="49">
        <v>1.414172065663883E-9</v>
      </c>
      <c r="K273" s="49">
        <v>2.4435939091795996E-10</v>
      </c>
      <c r="L273" s="152">
        <v>2.1064572899607688E-9</v>
      </c>
      <c r="M273" s="33"/>
      <c r="U273" s="127">
        <v>1.3451832469702274E-9</v>
      </c>
      <c r="V273" s="127">
        <v>2.1064572899607688E-9</v>
      </c>
      <c r="W273" s="127">
        <v>1.950625361566649E-9</v>
      </c>
      <c r="X273" s="128">
        <f t="shared" si="8"/>
        <v>1.8771807971146035E-9</v>
      </c>
      <c r="Y273" s="139">
        <f t="shared" si="9"/>
        <v>3.5902136534685547</v>
      </c>
      <c r="AA273" s="73"/>
      <c r="AB273" s="176"/>
      <c r="AC273" s="176"/>
      <c r="AD273" s="176"/>
      <c r="AJ273" s="136"/>
    </row>
    <row r="274" spans="9:36" x14ac:dyDescent="0.35">
      <c r="I274" s="49">
        <v>0.123770864427</v>
      </c>
      <c r="J274" s="49">
        <v>1.6975380029021749E-9</v>
      </c>
      <c r="K274" s="49">
        <v>2.7607021982301753E-10</v>
      </c>
      <c r="L274" s="152">
        <v>2.4754633802601444E-9</v>
      </c>
      <c r="M274" s="34"/>
      <c r="U274" s="127">
        <v>1.3977488305901251E-9</v>
      </c>
      <c r="V274" s="127">
        <v>2.4754633802601444E-9</v>
      </c>
      <c r="W274" s="127">
        <v>1.3389027007041578E-9</v>
      </c>
      <c r="X274" s="128">
        <f t="shared" si="8"/>
        <v>1.9218945729536429E-9</v>
      </c>
      <c r="Y274" s="139">
        <f t="shared" si="9"/>
        <v>0.66044774505863757</v>
      </c>
      <c r="AA274" s="73"/>
      <c r="AB274" s="176"/>
      <c r="AC274" s="176"/>
      <c r="AD274" s="176"/>
      <c r="AJ274" s="136"/>
    </row>
    <row r="275" spans="9:36" x14ac:dyDescent="0.35">
      <c r="I275" s="49">
        <v>0.125008573071</v>
      </c>
      <c r="J275" s="49">
        <v>1.9738234286061869E-9</v>
      </c>
      <c r="K275" s="49">
        <v>3.0595517838630575E-10</v>
      </c>
      <c r="L275" s="152">
        <v>1.9417305024762341E-9</v>
      </c>
      <c r="M275" s="34"/>
      <c r="U275" s="127">
        <v>2.150197715436201E-9</v>
      </c>
      <c r="V275" s="127">
        <v>1.9417305024762341E-9</v>
      </c>
      <c r="W275" s="127">
        <v>1.5853221310279821E-9</v>
      </c>
      <c r="X275" s="128">
        <f t="shared" si="8"/>
        <v>1.9047452128541627E-9</v>
      </c>
      <c r="Y275" s="139">
        <f t="shared" si="9"/>
        <v>5.0976100064985826E-2</v>
      </c>
      <c r="AA275" s="73"/>
      <c r="AB275" s="176"/>
      <c r="AC275" s="176"/>
      <c r="AD275" s="176"/>
      <c r="AJ275" s="136"/>
    </row>
    <row r="276" spans="9:36" x14ac:dyDescent="0.35">
      <c r="I276" s="49">
        <v>0.12625865880199999</v>
      </c>
      <c r="J276" s="49">
        <v>1.6530056861239018E-9</v>
      </c>
      <c r="K276" s="49">
        <v>3.0219660266107436E-10</v>
      </c>
      <c r="L276" s="152">
        <v>1.3563136314874369E-9</v>
      </c>
      <c r="M276" s="33"/>
      <c r="U276" s="127">
        <v>2.5071276673387593E-9</v>
      </c>
      <c r="V276" s="127">
        <v>1.3563136314874369E-9</v>
      </c>
      <c r="W276" s="127">
        <v>2.3132277949448127E-9</v>
      </c>
      <c r="X276" s="128">
        <f t="shared" si="8"/>
        <v>1.8832456813146111E-9</v>
      </c>
      <c r="Y276" s="139">
        <f t="shared" si="9"/>
        <v>0.5804734757256107</v>
      </c>
      <c r="AA276" s="73"/>
      <c r="AB276" s="176"/>
      <c r="AC276" s="176"/>
      <c r="AD276" s="176"/>
      <c r="AJ276" s="136"/>
    </row>
    <row r="277" spans="9:36" x14ac:dyDescent="0.35">
      <c r="I277" s="49">
        <v>0.12752124539000001</v>
      </c>
      <c r="J277" s="49">
        <v>1.5953828471499635E-9</v>
      </c>
      <c r="K277" s="49">
        <v>2.9101301983885304E-10</v>
      </c>
      <c r="L277" s="152">
        <v>1.6510851070444848E-9</v>
      </c>
      <c r="M277" s="34"/>
      <c r="U277" s="127">
        <v>1.9624850532743477E-9</v>
      </c>
      <c r="V277" s="127">
        <v>1.6510851070444848E-9</v>
      </c>
      <c r="W277" s="127">
        <v>2.375036347564785E-9</v>
      </c>
      <c r="X277" s="128">
        <f t="shared" si="8"/>
        <v>1.9099229037320256E-9</v>
      </c>
      <c r="Y277" s="139">
        <f t="shared" si="9"/>
        <v>1.1682265762773836</v>
      </c>
      <c r="AA277" s="73"/>
      <c r="AB277" s="176"/>
      <c r="AC277" s="176"/>
      <c r="AD277" s="176"/>
      <c r="AJ277" s="136"/>
    </row>
    <row r="278" spans="9:36" x14ac:dyDescent="0.35">
      <c r="I278" s="49">
        <v>0.12879645784400001</v>
      </c>
      <c r="J278" s="49">
        <v>1.3408919745171884E-9</v>
      </c>
      <c r="K278" s="49">
        <v>2.8167650572847299E-10</v>
      </c>
      <c r="L278" s="152">
        <v>2.3709014408574368E-9</v>
      </c>
      <c r="M278" s="34"/>
      <c r="U278" s="127">
        <v>1.3831533805538815E-9</v>
      </c>
      <c r="V278" s="127">
        <v>2.3709014408574368E-9</v>
      </c>
      <c r="W278" s="127">
        <v>1.7079680947660695E-9</v>
      </c>
      <c r="X278" s="128">
        <f t="shared" ref="X278:X279" si="10">(U278+2*V278+W278)/4</f>
        <v>1.9582310892587062E-9</v>
      </c>
      <c r="Y278" s="139">
        <f t="shared" ref="Y278:Y279" si="11">(J278-X278)*(J278-X278)/(K278*K278)</f>
        <v>4.8033733096755933</v>
      </c>
      <c r="AA278" s="73"/>
      <c r="AB278" s="176"/>
      <c r="AC278" s="176"/>
      <c r="AD278" s="176"/>
      <c r="AJ278" s="136"/>
    </row>
    <row r="279" spans="9:36" x14ac:dyDescent="0.35">
      <c r="I279" s="49">
        <v>0.130084422422</v>
      </c>
      <c r="J279" s="49">
        <v>1.2942332765011196E-9</v>
      </c>
      <c r="K279" s="49">
        <v>2.8932190702693097E-10</v>
      </c>
      <c r="L279" s="152">
        <v>2.380742204551585E-9</v>
      </c>
      <c r="M279" s="35"/>
      <c r="U279" s="127">
        <v>1.6892768354400415E-9</v>
      </c>
      <c r="V279" s="127">
        <v>2.380742204551585E-9</v>
      </c>
      <c r="W279" s="127">
        <v>1.4525423478296947E-9</v>
      </c>
      <c r="X279" s="128">
        <f t="shared" si="10"/>
        <v>1.9758258980932264E-9</v>
      </c>
      <c r="Y279" s="139">
        <f t="shared" si="11"/>
        <v>5.5499251096752795</v>
      </c>
      <c r="AA279" s="73"/>
      <c r="AB279" s="176"/>
      <c r="AC279" s="176"/>
      <c r="AD279" s="176"/>
      <c r="AJ279" s="136"/>
    </row>
    <row r="280" spans="9:36" x14ac:dyDescent="0.35">
      <c r="I280" s="49">
        <v>0.131385266646</v>
      </c>
      <c r="J280" s="49">
        <v>1.6543515141843557E-9</v>
      </c>
      <c r="K280" s="49">
        <v>3.1800215684852587E-10</v>
      </c>
      <c r="L280" s="152">
        <v>1.7026423779697229E-9</v>
      </c>
      <c r="M280" s="33"/>
      <c r="U280" s="127">
        <v>2.4057801741268703E-9</v>
      </c>
      <c r="V280" s="127">
        <v>1.7026423779697229E-9</v>
      </c>
      <c r="W280" s="127">
        <v>2.0521715910037839E-9</v>
      </c>
      <c r="X280" s="128">
        <f t="shared" ref="X280:X319" si="12">(U280+2*V280+W280)/4</f>
        <v>1.965809130267525E-9</v>
      </c>
      <c r="Y280" s="139">
        <f t="shared" ref="Y280:Y319" si="13">(J280-X280)*(J280-X280)/(K280*K280)</f>
        <v>0.95926318912460884</v>
      </c>
      <c r="AA280" s="73"/>
      <c r="AB280" s="176"/>
      <c r="AC280" s="176"/>
      <c r="AD280" s="176"/>
      <c r="AJ280" s="136"/>
    </row>
    <row r="281" spans="9:36" x14ac:dyDescent="0.35">
      <c r="I281" s="49">
        <v>0.13269911931299999</v>
      </c>
      <c r="J281" s="49">
        <v>1.9363642887831338E-9</v>
      </c>
      <c r="K281" s="49">
        <v>3.3851489247933618E-10</v>
      </c>
      <c r="L281" s="152">
        <v>1.4934473864075056E-9</v>
      </c>
      <c r="M281" s="34"/>
      <c r="U281" s="127">
        <v>2.4023492184992569E-9</v>
      </c>
      <c r="V281" s="127">
        <v>1.4934473864075056E-9</v>
      </c>
      <c r="W281" s="127">
        <v>2.4900386450019909E-9</v>
      </c>
      <c r="X281" s="128">
        <f t="shared" si="12"/>
        <v>1.9698206590790648E-9</v>
      </c>
      <c r="Y281" s="139">
        <f t="shared" si="13"/>
        <v>9.7679198044015418E-3</v>
      </c>
      <c r="AA281" s="73"/>
      <c r="AB281" s="176"/>
      <c r="AC281" s="176"/>
      <c r="AD281" s="176"/>
      <c r="AJ281" s="136"/>
    </row>
    <row r="282" spans="9:36" x14ac:dyDescent="0.35">
      <c r="I282" s="49">
        <v>0.134026110506</v>
      </c>
      <c r="J282" s="49">
        <v>1.6349975546595112E-9</v>
      </c>
      <c r="K282" s="49">
        <v>3.2307721061421052E-10</v>
      </c>
      <c r="L282" s="152">
        <v>2.1153622931459218E-9</v>
      </c>
      <c r="M282" s="34"/>
      <c r="U282" s="127">
        <v>1.7220684695250908E-9</v>
      </c>
      <c r="V282" s="127">
        <v>2.1153622931459218E-9</v>
      </c>
      <c r="W282" s="127">
        <v>2.0369984392071321E-9</v>
      </c>
      <c r="X282" s="128">
        <f t="shared" si="12"/>
        <v>1.9974478737560164E-9</v>
      </c>
      <c r="Y282" s="139">
        <f t="shared" si="13"/>
        <v>1.2585901358188305</v>
      </c>
      <c r="AA282" s="73"/>
      <c r="AB282" s="176"/>
      <c r="AC282" s="176"/>
      <c r="AD282" s="176"/>
      <c r="AJ282" s="136"/>
    </row>
    <row r="283" spans="9:36" x14ac:dyDescent="0.35">
      <c r="I283" s="49">
        <v>0.13536637161100001</v>
      </c>
      <c r="J283" s="49">
        <v>1.6502637097885423E-9</v>
      </c>
      <c r="K283" s="49">
        <v>3.4660792563824586E-10</v>
      </c>
      <c r="L283" s="152">
        <v>2.5116317037187593E-9</v>
      </c>
      <c r="M283" s="33"/>
      <c r="U283" s="127">
        <v>1.5230683461142927E-9</v>
      </c>
      <c r="V283" s="127">
        <v>2.5116317037187593E-9</v>
      </c>
      <c r="W283" s="127">
        <v>1.5350059920412361E-9</v>
      </c>
      <c r="X283" s="128">
        <f t="shared" si="12"/>
        <v>2.0203344363982618E-9</v>
      </c>
      <c r="Y283" s="139">
        <f t="shared" si="13"/>
        <v>1.139967545417478</v>
      </c>
      <c r="AA283" s="73"/>
      <c r="AB283" s="176"/>
      <c r="AC283" s="176"/>
      <c r="AD283" s="176"/>
      <c r="AJ283" s="136"/>
    </row>
    <row r="284" spans="9:36" x14ac:dyDescent="0.35">
      <c r="I284" s="49">
        <v>0.136720035327</v>
      </c>
      <c r="J284" s="49">
        <v>1.6271065557978197E-9</v>
      </c>
      <c r="K284" s="49">
        <v>3.4182206822824373E-10</v>
      </c>
      <c r="L284" s="152">
        <v>2.0251914152960524E-9</v>
      </c>
      <c r="M284" s="34"/>
      <c r="U284" s="127">
        <v>2.147171123266541E-9</v>
      </c>
      <c r="V284" s="127">
        <v>2.0251914152960524E-9</v>
      </c>
      <c r="W284" s="127">
        <v>1.9020913173934543E-9</v>
      </c>
      <c r="X284" s="128">
        <f t="shared" si="12"/>
        <v>2.0249113178130249E-9</v>
      </c>
      <c r="Y284" s="139">
        <f t="shared" si="13"/>
        <v>1.3543775929106623</v>
      </c>
      <c r="AA284" s="73"/>
      <c r="AB284" s="176"/>
      <c r="AC284" s="176"/>
      <c r="AD284" s="176"/>
      <c r="AJ284" s="136"/>
    </row>
    <row r="285" spans="9:36" x14ac:dyDescent="0.35">
      <c r="I285" s="49">
        <v>0.13808723568</v>
      </c>
      <c r="J285" s="49">
        <v>1.6970813866618774E-9</v>
      </c>
      <c r="K285" s="49">
        <v>3.5440979953503755E-10</v>
      </c>
      <c r="L285" s="152">
        <v>1.555045790375869E-9</v>
      </c>
      <c r="M285" s="34"/>
      <c r="U285" s="127">
        <v>2.5318951877736353E-9</v>
      </c>
      <c r="V285" s="127">
        <v>1.555045790375869E-9</v>
      </c>
      <c r="W285" s="127">
        <v>2.4695558152393836E-9</v>
      </c>
      <c r="X285" s="128">
        <f t="shared" si="12"/>
        <v>2.0278856459411893E-9</v>
      </c>
      <c r="Y285" s="139">
        <f t="shared" si="13"/>
        <v>0.87122582803845305</v>
      </c>
      <c r="AA285" s="73"/>
      <c r="AB285" s="176"/>
      <c r="AC285" s="176"/>
      <c r="AD285" s="176"/>
      <c r="AJ285" s="136"/>
    </row>
    <row r="286" spans="9:36" x14ac:dyDescent="0.35">
      <c r="I286" s="49">
        <v>0.13946810803699999</v>
      </c>
      <c r="J286" s="49">
        <v>1.8190423173791803E-9</v>
      </c>
      <c r="K286" s="49">
        <v>3.6915457678333318E-10</v>
      </c>
      <c r="L286" s="152">
        <v>1.9577689891034837E-9</v>
      </c>
      <c r="M286" s="34"/>
      <c r="U286" s="127">
        <v>2.0391919007345182E-9</v>
      </c>
      <c r="V286" s="127">
        <v>1.9577689891034837E-9</v>
      </c>
      <c r="W286" s="127">
        <v>2.2098718099825812E-9</v>
      </c>
      <c r="X286" s="128">
        <f t="shared" si="12"/>
        <v>2.0411504222310165E-9</v>
      </c>
      <c r="Y286" s="139">
        <f t="shared" si="13"/>
        <v>0.36200310750914705</v>
      </c>
      <c r="AA286" s="73"/>
      <c r="AB286" s="176"/>
      <c r="AC286" s="176"/>
      <c r="AD286" s="176"/>
      <c r="AJ286" s="136"/>
    </row>
    <row r="287" spans="9:36" x14ac:dyDescent="0.35">
      <c r="I287" s="49">
        <v>0.14086278911700001</v>
      </c>
      <c r="J287" s="49">
        <v>2.1394056233919377E-9</v>
      </c>
      <c r="K287" s="49">
        <v>3.9602189422702237E-10</v>
      </c>
      <c r="L287" s="152">
        <v>2.4964962672771447E-9</v>
      </c>
      <c r="M287" s="33"/>
      <c r="U287" s="127">
        <v>1.5766737004805457E-9</v>
      </c>
      <c r="V287" s="127">
        <v>2.4964962672771447E-9</v>
      </c>
      <c r="W287" s="127">
        <v>1.6542882253451493E-9</v>
      </c>
      <c r="X287" s="128">
        <f t="shared" si="12"/>
        <v>2.0559886150949961E-9</v>
      </c>
      <c r="Y287" s="139">
        <f t="shared" si="13"/>
        <v>4.4368099549730533E-2</v>
      </c>
      <c r="AA287" s="73"/>
      <c r="AB287" s="176"/>
      <c r="AC287" s="176"/>
      <c r="AD287" s="176"/>
      <c r="AJ287" s="136"/>
    </row>
    <row r="288" spans="9:36" x14ac:dyDescent="0.35">
      <c r="I288" s="49">
        <v>0.14227141700900001</v>
      </c>
      <c r="J288" s="49">
        <v>1.7874513788192313E-9</v>
      </c>
      <c r="K288" s="49">
        <v>3.5774395924576938E-10</v>
      </c>
      <c r="L288" s="152">
        <v>2.1959656756579073E-9</v>
      </c>
      <c r="M288" s="35"/>
      <c r="U288" s="127">
        <v>1.9831564769561565E-9</v>
      </c>
      <c r="V288" s="127">
        <v>2.1959656756579073E-9</v>
      </c>
      <c r="W288" s="127">
        <v>1.8819241245293724E-9</v>
      </c>
      <c r="X288" s="128">
        <f t="shared" si="12"/>
        <v>2.0642529882003359E-9</v>
      </c>
      <c r="Y288" s="139">
        <f t="shared" si="13"/>
        <v>0.59867704101699126</v>
      </c>
      <c r="AA288" s="73"/>
      <c r="AB288" s="176"/>
      <c r="AC288" s="176"/>
      <c r="AD288" s="176"/>
      <c r="AJ288" s="136"/>
    </row>
    <row r="289" spans="9:36" x14ac:dyDescent="0.35">
      <c r="I289" s="49">
        <v>0.14369413117900001</v>
      </c>
      <c r="J289" s="49">
        <v>1.0939034818528138E-9</v>
      </c>
      <c r="K289" s="49">
        <v>3.0929416005221965E-10</v>
      </c>
      <c r="L289" s="152">
        <v>1.6618808411714588E-9</v>
      </c>
      <c r="M289" s="34"/>
      <c r="U289" s="127">
        <v>2.5116000461587146E-9</v>
      </c>
      <c r="V289" s="127">
        <v>1.6618808411714588E-9</v>
      </c>
      <c r="W289" s="127">
        <v>2.4435359873558172E-9</v>
      </c>
      <c r="X289" s="128">
        <f t="shared" si="12"/>
        <v>2.0697244289643623E-9</v>
      </c>
      <c r="Y289" s="139">
        <f t="shared" si="13"/>
        <v>9.9539815890960259</v>
      </c>
      <c r="AA289" s="73"/>
      <c r="AB289" s="176"/>
      <c r="AC289" s="176"/>
      <c r="AD289" s="176"/>
      <c r="AJ289" s="136"/>
    </row>
    <row r="290" spans="9:36" x14ac:dyDescent="0.35">
      <c r="I290" s="49">
        <v>0.14513107249099999</v>
      </c>
      <c r="J290" s="49">
        <v>1.8699107513860582E-9</v>
      </c>
      <c r="K290" s="49">
        <v>3.9881557180305215E-10</v>
      </c>
      <c r="L290" s="152">
        <v>1.9269805433028096E-9</v>
      </c>
      <c r="M290" s="34"/>
      <c r="U290" s="127">
        <v>2.2038068395593117E-9</v>
      </c>
      <c r="V290" s="127">
        <v>1.9269805433028096E-9</v>
      </c>
      <c r="W290" s="127">
        <v>2.2484074721983584E-9</v>
      </c>
      <c r="X290" s="128">
        <f t="shared" si="12"/>
        <v>2.0765438495908222E-9</v>
      </c>
      <c r="Y290" s="139">
        <f t="shared" si="13"/>
        <v>0.26844514927072449</v>
      </c>
      <c r="AA290" s="73"/>
      <c r="AB290" s="176"/>
      <c r="AC290" s="176"/>
      <c r="AD290" s="176"/>
      <c r="AJ290" s="136"/>
    </row>
    <row r="291" spans="9:36" x14ac:dyDescent="0.35">
      <c r="I291" s="49">
        <v>0.146582383215</v>
      </c>
      <c r="J291" s="49">
        <v>1.2690248960812527E-9</v>
      </c>
      <c r="K291" s="49">
        <v>3.8285209276579049E-10</v>
      </c>
      <c r="L291" s="152">
        <v>2.4649872904523614E-9</v>
      </c>
      <c r="M291" s="33"/>
      <c r="U291" s="127">
        <v>1.6761232252004161E-9</v>
      </c>
      <c r="V291" s="127">
        <v>2.4649872904523614E-9</v>
      </c>
      <c r="W291" s="127">
        <v>1.7270128413401807E-9</v>
      </c>
      <c r="X291" s="128">
        <f t="shared" si="12"/>
        <v>2.0832776618613299E-9</v>
      </c>
      <c r="Y291" s="139">
        <f t="shared" si="13"/>
        <v>4.5233108475080881</v>
      </c>
      <c r="AA291" s="73"/>
      <c r="AB291" s="176"/>
      <c r="AC291" s="176"/>
      <c r="AD291" s="176"/>
      <c r="AJ291" s="136"/>
    </row>
    <row r="292" spans="9:36" x14ac:dyDescent="0.35">
      <c r="I292" s="49">
        <v>0.14804820704800001</v>
      </c>
      <c r="J292" s="49">
        <v>1.5825921212909104E-9</v>
      </c>
      <c r="K292" s="49">
        <v>3.8646647159179954E-10</v>
      </c>
      <c r="L292" s="152">
        <v>2.2299479186893207E-9</v>
      </c>
      <c r="M292" s="34"/>
      <c r="U292" s="127">
        <v>1.9441434272432498E-9</v>
      </c>
      <c r="V292" s="127">
        <v>2.2299479186893207E-9</v>
      </c>
      <c r="W292" s="127">
        <v>1.9493254643249357E-9</v>
      </c>
      <c r="X292" s="128">
        <f t="shared" si="12"/>
        <v>2.0883411822367069E-9</v>
      </c>
      <c r="Y292" s="139">
        <f t="shared" si="13"/>
        <v>1.7125628781295774</v>
      </c>
      <c r="AA292" s="73"/>
      <c r="AB292" s="176"/>
      <c r="AC292" s="176"/>
      <c r="AD292" s="176"/>
      <c r="AJ292" s="136"/>
    </row>
    <row r="293" spans="9:36" x14ac:dyDescent="0.35">
      <c r="I293" s="49">
        <v>0.14952868911799999</v>
      </c>
      <c r="J293" s="49">
        <v>1.6275456979010252E-9</v>
      </c>
      <c r="K293" s="49">
        <v>3.8753398861725924E-10</v>
      </c>
      <c r="L293" s="152">
        <v>1.7288010142038481E-9</v>
      </c>
      <c r="M293" s="34"/>
      <c r="U293" s="127">
        <v>2.4714777824058361E-9</v>
      </c>
      <c r="V293" s="127">
        <v>1.7288010142038481E-9</v>
      </c>
      <c r="W293" s="127">
        <v>2.4393989597701906E-9</v>
      </c>
      <c r="X293" s="128">
        <f t="shared" si="12"/>
        <v>2.0921196926459308E-9</v>
      </c>
      <c r="Y293" s="139">
        <f t="shared" si="13"/>
        <v>1.4371106080910938</v>
      </c>
      <c r="AA293" s="73"/>
      <c r="AB293" s="176"/>
      <c r="AC293" s="176"/>
      <c r="AD293" s="176"/>
      <c r="AJ293" s="136"/>
    </row>
    <row r="294" spans="9:36" x14ac:dyDescent="0.35">
      <c r="I294" s="49">
        <v>0.151023976009</v>
      </c>
      <c r="J294" s="49">
        <v>1.1260305295993728E-9</v>
      </c>
      <c r="K294" s="49">
        <v>3.5740969229657683E-10</v>
      </c>
      <c r="L294" s="152">
        <v>1.9838200007812339E-9</v>
      </c>
      <c r="M294" s="33"/>
      <c r="U294" s="127">
        <v>2.2301641666023319E-9</v>
      </c>
      <c r="V294" s="127">
        <v>1.9838200007812339E-9</v>
      </c>
      <c r="W294" s="127">
        <v>2.1829585402605302E-9</v>
      </c>
      <c r="X294" s="128">
        <f t="shared" si="12"/>
        <v>2.0951906771063326E-9</v>
      </c>
      <c r="Y294" s="139">
        <f t="shared" si="13"/>
        <v>7.3528963421159101</v>
      </c>
      <c r="AA294" s="73"/>
      <c r="AB294" s="176"/>
      <c r="AC294" s="176"/>
      <c r="AD294" s="176"/>
      <c r="AJ294" s="136"/>
    </row>
    <row r="295" spans="9:36" x14ac:dyDescent="0.35">
      <c r="I295" s="49">
        <v>0.152534215769</v>
      </c>
      <c r="J295" s="49">
        <v>1.7142714388884917E-9</v>
      </c>
      <c r="K295" s="49">
        <v>4.1651233321787417E-10</v>
      </c>
      <c r="L295" s="152">
        <v>2.4465069329510692E-9</v>
      </c>
      <c r="M295" s="34"/>
      <c r="U295" s="127">
        <v>1.7356513374109458E-9</v>
      </c>
      <c r="V295" s="127">
        <v>2.4465069329510692E-9</v>
      </c>
      <c r="W295" s="127">
        <v>1.75851066518594E-9</v>
      </c>
      <c r="X295" s="128">
        <f t="shared" si="12"/>
        <v>2.096793967124756E-9</v>
      </c>
      <c r="Y295" s="139">
        <f t="shared" si="13"/>
        <v>0.84344798235837448</v>
      </c>
      <c r="AA295" s="73"/>
      <c r="AB295" s="176"/>
      <c r="AC295" s="176"/>
      <c r="AD295" s="176"/>
      <c r="AJ295" s="136"/>
    </row>
    <row r="296" spans="9:36" x14ac:dyDescent="0.35">
      <c r="I296" s="49">
        <v>0.15405955792699999</v>
      </c>
      <c r="J296" s="49">
        <v>2.0370710761320234E-9</v>
      </c>
      <c r="K296" s="49">
        <v>4.5665482842790683E-10</v>
      </c>
      <c r="L296" s="152">
        <v>2.1573954137036202E-9</v>
      </c>
      <c r="M296" s="35"/>
      <c r="U296" s="127">
        <v>1.9908074328869261E-9</v>
      </c>
      <c r="V296" s="127">
        <v>2.1573954137036202E-9</v>
      </c>
      <c r="W296" s="127">
        <v>2.0756929600618858E-9</v>
      </c>
      <c r="X296" s="128">
        <f t="shared" si="12"/>
        <v>2.0953228050890131E-9</v>
      </c>
      <c r="Y296" s="139">
        <f t="shared" si="13"/>
        <v>1.6272022352564381E-2</v>
      </c>
      <c r="AA296" s="73"/>
      <c r="AB296" s="176"/>
      <c r="AC296" s="176"/>
      <c r="AD296" s="176"/>
      <c r="AJ296" s="136"/>
    </row>
    <row r="297" spans="9:36" x14ac:dyDescent="0.35">
      <c r="I297" s="49">
        <v>0.15560015350600001</v>
      </c>
      <c r="J297" s="49">
        <v>1.6765501480354126E-9</v>
      </c>
      <c r="K297" s="49">
        <v>4.4788413495785383E-10</v>
      </c>
      <c r="L297" s="152">
        <v>1.7593332257750173E-9</v>
      </c>
      <c r="M297" s="34"/>
      <c r="U297" s="127">
        <v>2.4415146055524515E-9</v>
      </c>
      <c r="V297" s="127">
        <v>1.7593332257750173E-9</v>
      </c>
      <c r="W297" s="127">
        <v>2.4125472700262757E-9</v>
      </c>
      <c r="X297" s="128">
        <f t="shared" si="12"/>
        <v>2.0931820817821906E-9</v>
      </c>
      <c r="Y297" s="139">
        <f t="shared" si="13"/>
        <v>0.86531404080350527</v>
      </c>
      <c r="AA297" s="73"/>
      <c r="AB297" s="176"/>
      <c r="AC297" s="176"/>
      <c r="AD297" s="176"/>
      <c r="AJ297" s="136"/>
    </row>
    <row r="298" spans="9:36" x14ac:dyDescent="0.35">
      <c r="I298" s="109">
        <v>0.157156155041</v>
      </c>
      <c r="J298" s="109">
        <v>1.3887034131312519E-9</v>
      </c>
      <c r="K298" s="109">
        <v>4.1087201959114903E-10</v>
      </c>
      <c r="L298" s="152">
        <v>2.0971238980518345E-9</v>
      </c>
      <c r="M298" s="33"/>
      <c r="U298" s="127">
        <v>2.1492662485596763E-9</v>
      </c>
      <c r="V298" s="127">
        <v>2.0971238980518345E-9</v>
      </c>
      <c r="W298" s="127">
        <v>2.0327350839033662E-9</v>
      </c>
      <c r="X298" s="128">
        <f t="shared" si="12"/>
        <v>2.0940622821416781E-9</v>
      </c>
      <c r="Y298" s="139">
        <f t="shared" si="13"/>
        <v>2.9471831754700313</v>
      </c>
      <c r="AA298" s="73"/>
      <c r="AB298" s="176"/>
      <c r="AC298" s="176"/>
      <c r="AD298" s="176"/>
      <c r="AJ298" s="136"/>
    </row>
    <row r="299" spans="9:36" x14ac:dyDescent="0.35">
      <c r="I299" s="109">
        <v>0.158727716592</v>
      </c>
      <c r="J299" s="109">
        <v>1.4990697277023775E-9</v>
      </c>
      <c r="K299" s="109">
        <v>4.3392736089947299E-10</v>
      </c>
      <c r="L299" s="152">
        <v>2.398437887030854E-9</v>
      </c>
      <c r="M299" s="34"/>
      <c r="U299" s="127">
        <v>1.7581086976313411E-9</v>
      </c>
      <c r="V299" s="127">
        <v>2.398437887030854E-9</v>
      </c>
      <c r="W299" s="127">
        <v>1.8107504310337791E-9</v>
      </c>
      <c r="X299" s="128">
        <f t="shared" si="12"/>
        <v>2.0914337256817069E-9</v>
      </c>
      <c r="Y299" s="139">
        <f t="shared" si="13"/>
        <v>1.8635594038265779</v>
      </c>
      <c r="AA299" s="73"/>
      <c r="AB299" s="176"/>
      <c r="AC299" s="176"/>
      <c r="AD299" s="176"/>
      <c r="AJ299" s="136"/>
    </row>
    <row r="300" spans="9:36" x14ac:dyDescent="0.35">
      <c r="I300" s="109">
        <v>0.16031499375800001</v>
      </c>
      <c r="J300" s="109">
        <v>2.4033086452489869E-9</v>
      </c>
      <c r="K300" s="109">
        <v>5.2956483365731951E-10</v>
      </c>
      <c r="L300" s="152">
        <v>2.0022544942979334E-9</v>
      </c>
      <c r="M300" s="34"/>
      <c r="U300" s="127">
        <v>2.0909476622052648E-9</v>
      </c>
      <c r="V300" s="127">
        <v>2.0022544942979334E-9</v>
      </c>
      <c r="W300" s="127">
        <v>2.2224828773014353E-9</v>
      </c>
      <c r="X300" s="128">
        <f t="shared" si="12"/>
        <v>2.0794848820256414E-9</v>
      </c>
      <c r="Y300" s="139">
        <f t="shared" si="13"/>
        <v>0.37392039674159028</v>
      </c>
      <c r="AA300" s="73"/>
      <c r="AB300" s="176"/>
      <c r="AC300" s="176"/>
      <c r="AD300" s="176"/>
      <c r="AJ300" s="136"/>
    </row>
    <row r="301" spans="9:36" x14ac:dyDescent="0.35">
      <c r="I301" s="109">
        <v>0.16191814369499999</v>
      </c>
      <c r="J301" s="109">
        <v>1.6724225523458855E-9</v>
      </c>
      <c r="K301" s="109">
        <v>4.9707628339506561E-10</v>
      </c>
      <c r="L301" s="152">
        <v>1.8124485311020882E-9</v>
      </c>
      <c r="M301" s="33"/>
      <c r="U301" s="127">
        <v>2.3803218567857163E-9</v>
      </c>
      <c r="V301" s="127">
        <v>1.8124485311020882E-9</v>
      </c>
      <c r="W301" s="127">
        <v>2.2816208918409565E-9</v>
      </c>
      <c r="X301" s="128">
        <f t="shared" si="12"/>
        <v>2.0717099527077125E-9</v>
      </c>
      <c r="Y301" s="139">
        <f t="shared" si="13"/>
        <v>0.64524571221511118</v>
      </c>
      <c r="AA301" s="73"/>
      <c r="AB301" s="176"/>
      <c r="AC301" s="176"/>
      <c r="AD301" s="176"/>
      <c r="AJ301" s="136"/>
    </row>
    <row r="302" spans="9:36" x14ac:dyDescent="0.35">
      <c r="I302" s="109">
        <v>0.16353732513200001</v>
      </c>
      <c r="J302" s="109">
        <v>1.5811046852383634E-9</v>
      </c>
      <c r="K302" s="109">
        <v>4.9939619272938711E-10</v>
      </c>
      <c r="L302" s="152">
        <v>2.2226671845572792E-9</v>
      </c>
      <c r="M302" s="34"/>
      <c r="U302" s="127">
        <v>1.9863682883647802E-9</v>
      </c>
      <c r="V302" s="127">
        <v>2.2226671845572792E-9</v>
      </c>
      <c r="W302" s="127">
        <v>1.8609182672962751E-9</v>
      </c>
      <c r="X302" s="128">
        <f t="shared" si="12"/>
        <v>2.0731552311939036E-9</v>
      </c>
      <c r="Y302" s="139">
        <f t="shared" si="13"/>
        <v>0.97079824350448729</v>
      </c>
      <c r="AA302" s="73"/>
      <c r="AB302" s="176"/>
      <c r="AC302" s="176"/>
      <c r="AD302" s="176"/>
      <c r="AJ302" s="136"/>
    </row>
    <row r="303" spans="9:36" x14ac:dyDescent="0.35">
      <c r="I303" s="109">
        <v>0.16517269838400001</v>
      </c>
      <c r="J303" s="109">
        <v>1.6372141932825141E-9</v>
      </c>
      <c r="K303" s="109">
        <v>5.1090596707363857E-10</v>
      </c>
      <c r="L303" s="152">
        <v>2.2451838693629191E-9</v>
      </c>
      <c r="M303" s="34"/>
      <c r="U303" s="127">
        <v>1.8007782509107678E-9</v>
      </c>
      <c r="V303" s="127">
        <v>2.2451838693629191E-9</v>
      </c>
      <c r="W303" s="127">
        <v>1.9513607455227774E-9</v>
      </c>
      <c r="X303" s="128">
        <f t="shared" si="12"/>
        <v>2.0606266837898457E-9</v>
      </c>
      <c r="Y303" s="139">
        <f t="shared" si="13"/>
        <v>0.68682387074321938</v>
      </c>
      <c r="AA303" s="73"/>
      <c r="AB303" s="176"/>
      <c r="AC303" s="176"/>
      <c r="AD303" s="176"/>
      <c r="AJ303" s="136"/>
    </row>
    <row r="304" spans="9:36" x14ac:dyDescent="0.35">
      <c r="I304" s="109">
        <v>0.16682442536700001</v>
      </c>
      <c r="J304" s="109">
        <v>1.1669783124697847E-9</v>
      </c>
      <c r="K304" s="109">
        <v>5.0541237818547838E-10</v>
      </c>
      <c r="L304" s="152">
        <v>1.8330967801516091E-9</v>
      </c>
      <c r="M304" s="35"/>
      <c r="U304" s="127">
        <v>2.1997790661008909E-9</v>
      </c>
      <c r="V304" s="127">
        <v>1.8330967801516091E-9</v>
      </c>
      <c r="W304" s="127">
        <v>2.2778514560482119E-9</v>
      </c>
      <c r="X304" s="128">
        <f t="shared" si="12"/>
        <v>2.0359560206130803E-9</v>
      </c>
      <c r="Y304" s="139">
        <f t="shared" si="13"/>
        <v>2.9561435738710826</v>
      </c>
      <c r="AA304" s="73"/>
      <c r="AB304" s="176"/>
      <c r="AC304" s="176"/>
      <c r="AD304" s="176"/>
      <c r="AJ304" s="136"/>
    </row>
    <row r="305" spans="9:36" x14ac:dyDescent="0.35">
      <c r="I305" s="109">
        <v>0.16849266962100001</v>
      </c>
      <c r="J305" s="109">
        <v>1.305854621659975E-9</v>
      </c>
      <c r="K305" s="109">
        <v>4.9778526569800643E-10</v>
      </c>
      <c r="L305" s="152">
        <v>1.9468864336412831E-9</v>
      </c>
      <c r="M305" s="33"/>
      <c r="U305" s="127">
        <v>2.2152035779033893E-9</v>
      </c>
      <c r="V305" s="127">
        <v>1.9468864336412831E-9</v>
      </c>
      <c r="W305" s="127">
        <v>2.0167522977059717E-9</v>
      </c>
      <c r="X305" s="128">
        <f t="shared" si="12"/>
        <v>2.0314321857229819E-9</v>
      </c>
      <c r="Y305" s="139">
        <f t="shared" si="13"/>
        <v>2.1246314972323468</v>
      </c>
      <c r="AA305" s="73"/>
      <c r="AB305" s="176"/>
      <c r="AC305" s="176"/>
      <c r="AD305" s="176"/>
      <c r="AJ305" s="136"/>
    </row>
    <row r="306" spans="9:36" x14ac:dyDescent="0.35">
      <c r="I306" s="109">
        <v>0.170177596317</v>
      </c>
      <c r="J306" s="109">
        <v>1.5696368218511205E-9</v>
      </c>
      <c r="K306" s="109">
        <v>5.6023903464794248E-10</v>
      </c>
      <c r="L306" s="152">
        <v>2.2470657225419001E-9</v>
      </c>
      <c r="M306" s="34"/>
      <c r="U306" s="127">
        <v>1.8098239556427166E-9</v>
      </c>
      <c r="V306" s="127">
        <v>2.2470657225419001E-9</v>
      </c>
      <c r="W306" s="127">
        <v>1.8128854991026728E-9</v>
      </c>
      <c r="X306" s="128">
        <f t="shared" si="12"/>
        <v>2.0292102249572971E-9</v>
      </c>
      <c r="Y306" s="139">
        <f t="shared" si="13"/>
        <v>0.67291939163826364</v>
      </c>
      <c r="AA306" s="73"/>
      <c r="AB306" s="176"/>
      <c r="AC306" s="176"/>
      <c r="AD306" s="176"/>
      <c r="AJ306" s="136"/>
    </row>
    <row r="307" spans="9:36" x14ac:dyDescent="0.35">
      <c r="I307" s="109">
        <v>0.17187937228</v>
      </c>
      <c r="J307" s="109">
        <v>1.9400739142084606E-9</v>
      </c>
      <c r="K307" s="109">
        <v>5.8189653264410721E-10</v>
      </c>
      <c r="L307" s="152">
        <v>1.9692350797324519E-9</v>
      </c>
      <c r="M307" s="34"/>
      <c r="U307" s="127">
        <v>1.9194862218303853E-9</v>
      </c>
      <c r="V307" s="127">
        <v>1.9692350797324519E-9</v>
      </c>
      <c r="W307" s="127">
        <v>2.1227629605849711E-9</v>
      </c>
      <c r="X307" s="128">
        <f t="shared" si="12"/>
        <v>1.9951798354700647E-9</v>
      </c>
      <c r="Y307" s="139">
        <f t="shared" si="13"/>
        <v>8.9681940326577034E-3</v>
      </c>
      <c r="AA307" s="73"/>
      <c r="AB307" s="176"/>
      <c r="AC307" s="176"/>
      <c r="AD307" s="176"/>
      <c r="AJ307" s="136"/>
    </row>
    <row r="308" spans="9:36" x14ac:dyDescent="0.35">
      <c r="I308" s="109">
        <v>0.17359816600299999</v>
      </c>
      <c r="J308" s="109">
        <v>3.0896331668136429E-9</v>
      </c>
      <c r="K308" s="109">
        <v>6.8368062270553049E-10</v>
      </c>
      <c r="L308" s="152">
        <v>1.7905408192994012E-9</v>
      </c>
      <c r="M308" s="33"/>
      <c r="U308" s="127">
        <v>2.2067658703828715E-9</v>
      </c>
      <c r="V308" s="127">
        <v>1.7905408192994012E-9</v>
      </c>
      <c r="W308" s="127">
        <v>2.0956075560829725E-9</v>
      </c>
      <c r="X308" s="128">
        <f t="shared" si="12"/>
        <v>1.9708637662661617E-9</v>
      </c>
      <c r="Y308" s="139">
        <f t="shared" si="13"/>
        <v>2.6777782941625783</v>
      </c>
      <c r="AA308" s="73"/>
      <c r="AB308" s="176"/>
      <c r="AC308" s="176"/>
      <c r="AD308" s="176"/>
      <c r="AJ308" s="136"/>
    </row>
    <row r="309" spans="9:36" x14ac:dyDescent="0.35">
      <c r="I309" s="109">
        <v>0.17533414766300001</v>
      </c>
      <c r="J309" s="109">
        <v>1.5700078120302131E-9</v>
      </c>
      <c r="K309" s="109">
        <v>5.8940706963731202E-10</v>
      </c>
      <c r="L309" s="152">
        <v>2.0936673769659608E-9</v>
      </c>
      <c r="M309" s="34"/>
      <c r="U309" s="127">
        <v>1.9315891493064397E-9</v>
      </c>
      <c r="V309" s="127">
        <v>2.0936673769659608E-9</v>
      </c>
      <c r="W309" s="127">
        <v>1.7839811068015021E-9</v>
      </c>
      <c r="X309" s="128">
        <f t="shared" si="12"/>
        <v>1.975726252509966E-9</v>
      </c>
      <c r="Y309" s="139">
        <f t="shared" si="13"/>
        <v>0.47382591892362552</v>
      </c>
      <c r="AA309" s="73"/>
      <c r="AB309" s="176"/>
      <c r="AC309" s="176"/>
      <c r="AD309" s="176"/>
      <c r="AJ309" s="136"/>
    </row>
    <row r="310" spans="9:36" x14ac:dyDescent="0.35">
      <c r="I310" s="109">
        <v>0.17708748914</v>
      </c>
      <c r="J310" s="109">
        <v>1.7266375378363873E-9</v>
      </c>
      <c r="K310" s="109">
        <v>6.28004094879704E-10</v>
      </c>
      <c r="L310" s="152">
        <v>2.0371157839914276E-9</v>
      </c>
      <c r="M310" s="34"/>
      <c r="U310" s="127">
        <v>1.7600273617772354E-9</v>
      </c>
      <c r="V310" s="127">
        <v>2.0371157839914276E-9</v>
      </c>
      <c r="W310" s="127">
        <v>1.9550564306392672E-9</v>
      </c>
      <c r="X310" s="128">
        <f t="shared" si="12"/>
        <v>1.9473288400998394E-9</v>
      </c>
      <c r="Y310" s="139">
        <f t="shared" si="13"/>
        <v>0.12349389362325451</v>
      </c>
      <c r="AA310" s="73"/>
      <c r="AB310" s="176"/>
      <c r="AC310" s="176"/>
      <c r="AD310" s="176"/>
      <c r="AJ310" s="136"/>
    </row>
    <row r="311" spans="9:36" x14ac:dyDescent="0.35">
      <c r="I311" s="109">
        <v>0.178858364031</v>
      </c>
      <c r="J311" s="109">
        <v>1.3833137493160982E-9</v>
      </c>
      <c r="K311" s="109">
        <v>5.8761057034694825E-10</v>
      </c>
      <c r="L311" s="152">
        <v>1.7017707787861211E-9</v>
      </c>
      <c r="M311" s="34"/>
      <c r="U311" s="127">
        <v>2.1213400961172259E-9</v>
      </c>
      <c r="V311" s="127">
        <v>1.7017707787861211E-9</v>
      </c>
      <c r="W311" s="127">
        <v>2.0986970252966577E-9</v>
      </c>
      <c r="X311" s="128">
        <f t="shared" si="12"/>
        <v>1.9058946697465314E-9</v>
      </c>
      <c r="Y311" s="139">
        <f t="shared" si="13"/>
        <v>0.79091151726028586</v>
      </c>
      <c r="AA311" s="73"/>
      <c r="AB311" s="176"/>
      <c r="AC311" s="176"/>
      <c r="AD311" s="176"/>
      <c r="AJ311" s="136"/>
    </row>
    <row r="312" spans="9:36" x14ac:dyDescent="0.35">
      <c r="I312" s="109">
        <v>0.18064694767200001</v>
      </c>
      <c r="J312" s="109">
        <v>1.1381748645139529E-9</v>
      </c>
      <c r="K312" s="109">
        <v>5.9847544653254343E-10</v>
      </c>
      <c r="L312" s="152">
        <v>1.7541346485724642E-9</v>
      </c>
      <c r="M312" s="33"/>
      <c r="U312" s="127">
        <v>2.4162595715247793E-9</v>
      </c>
      <c r="V312" s="127">
        <v>1.7541346485724642E-9</v>
      </c>
      <c r="W312" s="127">
        <v>1.7772827442074158E-9</v>
      </c>
      <c r="X312" s="128">
        <f t="shared" si="12"/>
        <v>1.925452903219281E-9</v>
      </c>
      <c r="Y312" s="139">
        <f t="shared" si="13"/>
        <v>1.7304681042852719</v>
      </c>
      <c r="AA312" s="73"/>
      <c r="AB312" s="176"/>
      <c r="AC312" s="176"/>
      <c r="AD312" s="176"/>
      <c r="AJ312" s="136"/>
    </row>
    <row r="313" spans="9:36" x14ac:dyDescent="0.35">
      <c r="I313" s="109">
        <v>0.18612073083299999</v>
      </c>
      <c r="J313" s="109">
        <v>1.1386911881748043E-9</v>
      </c>
      <c r="K313" s="109">
        <v>6.6334526636099303E-10</v>
      </c>
      <c r="L313" s="152">
        <v>1.9665178488221396E-9</v>
      </c>
      <c r="M313" s="34"/>
      <c r="U313" s="127">
        <v>1.9387733913336566E-9</v>
      </c>
      <c r="V313" s="127">
        <v>1.9665178488221396E-9</v>
      </c>
      <c r="W313" s="127">
        <v>1.2973680574657819E-9</v>
      </c>
      <c r="X313" s="128">
        <f t="shared" si="12"/>
        <v>1.7922942866109295E-9</v>
      </c>
      <c r="Y313" s="139">
        <f t="shared" si="13"/>
        <v>0.97084284873977633</v>
      </c>
      <c r="AA313" s="73"/>
      <c r="AB313" s="176"/>
      <c r="AC313" s="176"/>
      <c r="AD313" s="176"/>
      <c r="AJ313" s="136"/>
    </row>
    <row r="314" spans="9:36" x14ac:dyDescent="0.35">
      <c r="I314" s="109">
        <v>0.187981938141</v>
      </c>
      <c r="J314" s="109">
        <v>2.5029872387203784E-9</v>
      </c>
      <c r="K314" s="109">
        <v>8.0819716443693883E-10</v>
      </c>
      <c r="L314" s="152">
        <v>1.963101578004976E-9</v>
      </c>
      <c r="M314" s="34"/>
      <c r="U314" s="127">
        <v>1.6278139199081111E-9</v>
      </c>
      <c r="V314" s="127">
        <v>1.963101578004976E-9</v>
      </c>
      <c r="W314" s="127">
        <v>1.6249141379372276E-9</v>
      </c>
      <c r="X314" s="128">
        <f t="shared" si="12"/>
        <v>1.7947328034638227E-9</v>
      </c>
      <c r="Y314" s="139">
        <f t="shared" si="13"/>
        <v>0.76796947988282094</v>
      </c>
      <c r="AA314" s="73"/>
      <c r="AB314" s="176"/>
      <c r="AC314" s="176"/>
      <c r="AD314" s="176"/>
      <c r="AJ314" s="136"/>
    </row>
    <row r="315" spans="9:36" x14ac:dyDescent="0.35">
      <c r="I315" s="109">
        <v>0.189861757523</v>
      </c>
      <c r="J315" s="109">
        <v>1.1780470247131023E-9</v>
      </c>
      <c r="K315" s="109">
        <v>6.5046979892207702E-10</v>
      </c>
      <c r="L315" s="152">
        <v>1.6753959350308065E-9</v>
      </c>
      <c r="M315" s="33"/>
      <c r="U315" s="127">
        <v>1.7063577660057583E-9</v>
      </c>
      <c r="V315" s="127">
        <v>1.6753959350308065E-9</v>
      </c>
      <c r="W315" s="127">
        <v>1.8574361867936494E-9</v>
      </c>
      <c r="X315" s="128">
        <f t="shared" si="12"/>
        <v>1.7286464557152551E-9</v>
      </c>
      <c r="Y315" s="139">
        <f t="shared" si="13"/>
        <v>0.71650172785520838</v>
      </c>
      <c r="AA315" s="73"/>
      <c r="AB315" s="176"/>
      <c r="AC315" s="176"/>
      <c r="AD315" s="176"/>
      <c r="AJ315" s="136"/>
    </row>
    <row r="316" spans="9:36" x14ac:dyDescent="0.35">
      <c r="I316" s="109">
        <v>0.19176037509800001</v>
      </c>
      <c r="J316" s="109">
        <v>1.3793437657838031E-9</v>
      </c>
      <c r="K316" s="109">
        <v>6.4289025075043316E-10</v>
      </c>
      <c r="L316" s="152">
        <v>1.6194562846798538E-9</v>
      </c>
      <c r="M316" s="34"/>
      <c r="U316" s="127">
        <v>1.8100653596901801E-9</v>
      </c>
      <c r="V316" s="127">
        <v>1.6194562846798538E-9</v>
      </c>
      <c r="W316" s="127">
        <v>1.6992936117399471E-9</v>
      </c>
      <c r="X316" s="128">
        <f t="shared" si="12"/>
        <v>1.6870678851974586E-9</v>
      </c>
      <c r="Y316" s="139">
        <f t="shared" si="13"/>
        <v>0.22911282244787942</v>
      </c>
      <c r="AA316" s="73"/>
      <c r="AB316" s="176"/>
      <c r="AC316" s="176"/>
      <c r="AD316" s="176"/>
      <c r="AJ316" s="136"/>
    </row>
    <row r="317" spans="9:36" x14ac:dyDescent="0.35">
      <c r="I317" s="109">
        <v>0.19367797884900001</v>
      </c>
      <c r="J317" s="109">
        <v>2.5934927010218745E-9</v>
      </c>
      <c r="K317" s="109">
        <v>8.2091178361696674E-10</v>
      </c>
      <c r="L317" s="152">
        <v>1.6191557117385444E-9</v>
      </c>
      <c r="M317" s="34"/>
      <c r="U317" s="127">
        <v>1.5706973398634959E-9</v>
      </c>
      <c r="V317" s="127">
        <v>1.6191557117385444E-9</v>
      </c>
      <c r="W317" s="127">
        <v>1.7496763342239634E-9</v>
      </c>
      <c r="X317" s="128">
        <f t="shared" si="12"/>
        <v>1.6396712743911369E-9</v>
      </c>
      <c r="Y317" s="139">
        <f t="shared" si="13"/>
        <v>1.3500230045091375</v>
      </c>
      <c r="AA317" s="73"/>
      <c r="AB317" s="176"/>
      <c r="AC317" s="176"/>
      <c r="AD317" s="176"/>
      <c r="AJ317" s="136"/>
    </row>
    <row r="318" spans="9:36" x14ac:dyDescent="0.35">
      <c r="I318" s="109">
        <v>0.19561475863700001</v>
      </c>
      <c r="J318" s="109">
        <v>2.3640617146405066E-9</v>
      </c>
      <c r="K318" s="109">
        <v>9.0081486238727287E-10</v>
      </c>
      <c r="L318" s="152">
        <v>1.4023658946653213E-9</v>
      </c>
      <c r="M318" s="33"/>
      <c r="U318" s="127">
        <v>1.6405213477860017E-9</v>
      </c>
      <c r="V318" s="127">
        <v>1.4023658946653213E-9</v>
      </c>
      <c r="W318" s="127">
        <v>1.8309425694306313E-9</v>
      </c>
      <c r="X318" s="128">
        <f t="shared" si="12"/>
        <v>1.5690489266368189E-9</v>
      </c>
      <c r="Y318" s="139">
        <f t="shared" si="13"/>
        <v>0.77889182041715077</v>
      </c>
      <c r="AA318" s="73"/>
      <c r="AB318" s="176"/>
      <c r="AC318" s="176"/>
      <c r="AD318" s="176"/>
      <c r="AJ318" s="136"/>
    </row>
    <row r="319" spans="9:36" x14ac:dyDescent="0.35">
      <c r="I319" s="109">
        <v>0.197570906224</v>
      </c>
      <c r="J319" s="109">
        <v>2.1205725349082054E-9</v>
      </c>
      <c r="K319" s="109">
        <v>8.8437753820354683E-10</v>
      </c>
      <c r="L319" s="152">
        <v>1.4111854937566324E-9</v>
      </c>
      <c r="M319" s="34"/>
      <c r="U319" s="127">
        <v>1.8496515116408999E-9</v>
      </c>
      <c r="V319" s="127">
        <v>1.4111854937566324E-9</v>
      </c>
      <c r="W319" s="127">
        <v>1.5961842293447387E-9</v>
      </c>
      <c r="X319" s="128">
        <f t="shared" si="12"/>
        <v>1.5670516821247258E-9</v>
      </c>
      <c r="Y319" s="139">
        <f t="shared" si="13"/>
        <v>0.39173517163164689</v>
      </c>
      <c r="AA319" s="73"/>
      <c r="AB319" s="176"/>
      <c r="AC319" s="176"/>
      <c r="AD319" s="176"/>
      <c r="AJ319" s="136"/>
    </row>
    <row r="320" spans="9:36" x14ac:dyDescent="0.35">
      <c r="I320" s="109">
        <v>0.19561475863700001</v>
      </c>
      <c r="J320" s="109">
        <v>2.0628809136922505E-9</v>
      </c>
      <c r="K320" s="109">
        <v>9.4094345590682471E-10</v>
      </c>
      <c r="L320" s="152">
        <v>1.4023658946653215E-9</v>
      </c>
      <c r="M320" s="34"/>
      <c r="U320" s="127">
        <v>1.6405213477860021E-9</v>
      </c>
      <c r="V320" s="127">
        <v>1.4023658946653215E-9</v>
      </c>
      <c r="W320" s="127">
        <v>1.8309425694306319E-9</v>
      </c>
      <c r="X320" s="128">
        <f t="shared" ref="X320:X321" si="14">(U320+2*V320+W320)/4</f>
        <v>1.5690489266368194E-9</v>
      </c>
      <c r="Y320" s="139">
        <f t="shared" ref="Y320:Y321" si="15">(J320-X320)*(J320-X320)/(K320*K320)</f>
        <v>0.27544277299231329</v>
      </c>
      <c r="AA320" s="73"/>
      <c r="AB320" s="176"/>
      <c r="AC320" s="176"/>
      <c r="AD320" s="176"/>
      <c r="AJ320" s="136"/>
    </row>
    <row r="321" spans="9:36" x14ac:dyDescent="0.35">
      <c r="I321" s="109">
        <v>0.197570906224</v>
      </c>
      <c r="J321" s="109">
        <v>1.7666306660562657E-9</v>
      </c>
      <c r="K321" s="109">
        <v>9.8971451324730627E-10</v>
      </c>
      <c r="L321" s="152">
        <v>1.4111854937566324E-9</v>
      </c>
      <c r="M321" s="33"/>
      <c r="U321" s="127">
        <v>1.8496515116408991E-9</v>
      </c>
      <c r="V321" s="127">
        <v>1.4111854937566324E-9</v>
      </c>
      <c r="W321" s="127">
        <v>1.5961842293447383E-9</v>
      </c>
      <c r="X321" s="128">
        <f t="shared" si="14"/>
        <v>1.5670516821247256E-9</v>
      </c>
      <c r="Y321" s="139">
        <f t="shared" si="15"/>
        <v>4.0663966309393153E-2</v>
      </c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B20" sqref="B20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71.64577556567211</v>
      </c>
      <c r="C2" s="165">
        <f>dDstack!D4</f>
        <v>34.133210871434287</v>
      </c>
      <c r="D2" s="169"/>
    </row>
    <row r="3" spans="1:4" ht="18" x14ac:dyDescent="0.35">
      <c r="A3" s="93" t="s">
        <v>628</v>
      </c>
      <c r="B3" s="165">
        <f>Reflectivity!H10</f>
        <v>1059.6539045591276</v>
      </c>
      <c r="C3" s="165">
        <f>dTotal!D4</f>
        <v>10.045122978870133</v>
      </c>
      <c r="D3" s="169"/>
    </row>
    <row r="4" spans="1:4" ht="18" x14ac:dyDescent="0.35">
      <c r="A4" s="93" t="s">
        <v>629</v>
      </c>
      <c r="B4" s="165">
        <f>B3-B2</f>
        <v>988.00812899345544</v>
      </c>
      <c r="C4" s="165">
        <f>SQRT(C2^2+C3^2)</f>
        <v>35.580620849760685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14.738297870244629</v>
      </c>
      <c r="C6" s="165">
        <f>sigDstack!D4</f>
        <v>12.651827384900011</v>
      </c>
      <c r="D6" s="169"/>
    </row>
    <row r="7" spans="1:4" ht="18" x14ac:dyDescent="0.35">
      <c r="A7" s="93" t="s">
        <v>624</v>
      </c>
      <c r="B7" s="165">
        <f>Reflectivity!G5</f>
        <v>71.64577556567211</v>
      </c>
      <c r="C7" s="165">
        <f>sigHstack!D4</f>
        <v>128.26281855137756</v>
      </c>
      <c r="D7" s="167"/>
    </row>
    <row r="9" spans="1:4" ht="18" x14ac:dyDescent="0.35">
      <c r="A9" s="93" t="s">
        <v>622</v>
      </c>
      <c r="B9" s="167">
        <f>Reflectivity!H18</f>
        <v>0.12871625879964529</v>
      </c>
      <c r="C9" s="167">
        <f>'f_d^D'!D4</f>
        <v>4.9264855026547649E-2</v>
      </c>
      <c r="D9" s="165"/>
    </row>
    <row r="10" spans="1:4" ht="18" x14ac:dyDescent="0.35">
      <c r="A10" s="93" t="s">
        <v>619</v>
      </c>
      <c r="B10" s="167">
        <f>Reflectivity!H20</f>
        <v>1.9736745496937928E-2</v>
      </c>
      <c r="C10" s="167">
        <f>'f_d^H'!D4</f>
        <v>3.4784109497459838E-2</v>
      </c>
      <c r="D10" s="165"/>
    </row>
    <row r="11" spans="1:4" ht="18" x14ac:dyDescent="0.35">
      <c r="A11" s="93" t="s">
        <v>616</v>
      </c>
      <c r="B11" s="167">
        <f>Reflectivity!H16</f>
        <v>0.29996142000263898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1.3701415271707418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2.0867882459676078E-6</v>
      </c>
      <c r="C14" s="168">
        <f>SQRT(C12^2*B15^2+C11^2*B16^2+C9^2*B17^2)</f>
        <v>1.3978497707818958E-7</v>
      </c>
      <c r="D14" s="168">
        <f>NbDstack!D4</f>
        <v>1.1695413437840245E-7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1.5230457617591503E-6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-4.4286037867078046E-7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2.3365579511526695E-6</v>
      </c>
      <c r="C17" s="168"/>
      <c r="D17" s="167"/>
    </row>
    <row r="19" spans="1:4" ht="18" x14ac:dyDescent="0.35">
      <c r="A19" s="93" t="s">
        <v>638</v>
      </c>
      <c r="B19" s="168">
        <f>Reflectivity!C5</f>
        <v>1.8321512976474189E-6</v>
      </c>
      <c r="C19" s="168">
        <f>SQRT(C12^2*B20^2+C11^2*B21^2+C10^2*B22^2)</f>
        <v>1.2348075010280207E-7</v>
      </c>
      <c r="D19" s="168">
        <f>NbHstack!D4</f>
        <v>7.8584798705956943E-8</v>
      </c>
    </row>
    <row r="20" spans="1:4" ht="18" x14ac:dyDescent="0.35">
      <c r="A20" s="93" t="s">
        <v>639</v>
      </c>
      <c r="B20" s="168">
        <f>B19/B12</f>
        <v>1.3371985749754618E-6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-1.2917593748081794E-6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2.3365579511526695E-6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A54" sqref="A54:XFD54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1050</v>
      </c>
      <c r="C2" s="105">
        <v>1070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1050</v>
      </c>
      <c r="B4" s="94">
        <v>2.1718697420704154</v>
      </c>
      <c r="C4" s="106">
        <v>1059.6539045591276</v>
      </c>
      <c r="D4" s="106">
        <v>10.045122978870133</v>
      </c>
    </row>
    <row r="5" spans="1:5" x14ac:dyDescent="0.35">
      <c r="A5" s="106">
        <v>1054</v>
      </c>
      <c r="B5" s="94">
        <v>1.5534811478157473</v>
      </c>
      <c r="C5" s="94"/>
      <c r="D5" s="94"/>
    </row>
    <row r="6" spans="1:5" x14ac:dyDescent="0.35">
      <c r="A6" s="106">
        <v>1058</v>
      </c>
      <c r="B6" s="94">
        <v>1.2638593545439505</v>
      </c>
      <c r="C6" s="94"/>
      <c r="D6" s="94"/>
    </row>
    <row r="7" spans="1:5" x14ac:dyDescent="0.35">
      <c r="A7" s="106">
        <v>1062</v>
      </c>
      <c r="B7" s="94">
        <v>1.3010168445607468</v>
      </c>
      <c r="C7" s="94"/>
      <c r="D7" s="94"/>
    </row>
    <row r="8" spans="1:5" x14ac:dyDescent="0.35">
      <c r="A8" s="106">
        <v>1066</v>
      </c>
      <c r="B8" s="94">
        <v>1.6524236041739222</v>
      </c>
      <c r="C8" s="94"/>
      <c r="D8" s="94"/>
    </row>
    <row r="9" spans="1:5" x14ac:dyDescent="0.35">
      <c r="A9" s="106">
        <v>1070</v>
      </c>
      <c r="B9" s="94">
        <v>2.2971488969102003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50</v>
      </c>
      <c r="C2" s="105">
        <v>90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1.6572462432943431</v>
      </c>
      <c r="C4" s="106">
        <v>71.64577556567211</v>
      </c>
      <c r="D4" s="106">
        <v>34.133210871434287</v>
      </c>
    </row>
    <row r="5" spans="1:5" x14ac:dyDescent="0.35">
      <c r="A5" s="106">
        <v>58</v>
      </c>
      <c r="B5" s="94">
        <v>1.3772309907210563</v>
      </c>
      <c r="C5" s="94"/>
      <c r="D5" s="94"/>
    </row>
    <row r="6" spans="1:5" x14ac:dyDescent="0.35">
      <c r="A6" s="106">
        <v>66</v>
      </c>
      <c r="B6" s="94">
        <v>1.2520356019921492</v>
      </c>
      <c r="C6" s="94"/>
      <c r="D6" s="94"/>
    </row>
    <row r="7" spans="1:5" x14ac:dyDescent="0.35">
      <c r="A7" s="106">
        <v>74</v>
      </c>
      <c r="B7" s="94">
        <v>1.256496579117965</v>
      </c>
      <c r="C7" s="94"/>
      <c r="D7" s="94"/>
    </row>
    <row r="8" spans="1:5" x14ac:dyDescent="0.35">
      <c r="A8" s="106">
        <v>82</v>
      </c>
      <c r="B8" s="94">
        <v>1.3552725022805274</v>
      </c>
      <c r="C8" s="94"/>
      <c r="D8" s="94"/>
    </row>
    <row r="9" spans="1:5" x14ac:dyDescent="0.35">
      <c r="A9" s="106">
        <v>90</v>
      </c>
      <c r="B9" s="94">
        <v>1.5113189898332131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0.08</v>
      </c>
      <c r="C2" s="162">
        <v>0.2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0.08</v>
      </c>
      <c r="B4" s="94">
        <v>2.1705366744914891</v>
      </c>
      <c r="C4" s="161">
        <v>0.12871625879964529</v>
      </c>
      <c r="D4" s="161">
        <v>4.9264855026547649E-2</v>
      </c>
    </row>
    <row r="5" spans="1:5" x14ac:dyDescent="0.35">
      <c r="A5" s="161">
        <v>0.10400000000000001</v>
      </c>
      <c r="B5" s="94">
        <v>1.5144085494851318</v>
      </c>
      <c r="C5" s="94"/>
      <c r="D5" s="94"/>
    </row>
    <row r="6" spans="1:5" x14ac:dyDescent="0.35">
      <c r="A6" s="161">
        <v>0.128</v>
      </c>
      <c r="B6" s="94">
        <v>1.2462565235910963</v>
      </c>
      <c r="C6" s="94"/>
      <c r="D6" s="94"/>
    </row>
    <row r="7" spans="1:5" x14ac:dyDescent="0.35">
      <c r="A7" s="161">
        <v>0.152</v>
      </c>
      <c r="B7" s="94">
        <v>1.4221764157973504</v>
      </c>
      <c r="C7" s="94"/>
      <c r="D7" s="94"/>
    </row>
    <row r="8" spans="1:5" x14ac:dyDescent="0.35">
      <c r="A8" s="161">
        <v>0.17599999999999999</v>
      </c>
      <c r="B8" s="94">
        <v>2.1012141531554089</v>
      </c>
      <c r="C8" s="94"/>
      <c r="D8" s="94"/>
    </row>
    <row r="9" spans="1:5" x14ac:dyDescent="0.35">
      <c r="A9" s="161">
        <v>0.2</v>
      </c>
      <c r="B9" s="94">
        <v>3.3454022223371473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2.9592299036728709</v>
      </c>
      <c r="C4" s="161">
        <v>1.9736745496937928E-2</v>
      </c>
      <c r="D4" s="161">
        <v>3.4784109497459838E-2</v>
      </c>
    </row>
    <row r="5" spans="1:5" x14ac:dyDescent="0.35">
      <c r="A5" s="161">
        <v>-1.7999999999999999E-2</v>
      </c>
      <c r="B5" s="94">
        <v>2.1969434035775919</v>
      </c>
      <c r="C5" s="94"/>
      <c r="D5" s="94"/>
    </row>
    <row r="6" spans="1:5" x14ac:dyDescent="0.35">
      <c r="A6" s="161">
        <v>-5.9999999999999984E-3</v>
      </c>
      <c r="B6" s="94">
        <v>1.643263841913583</v>
      </c>
      <c r="C6" s="94"/>
      <c r="D6" s="94"/>
    </row>
    <row r="7" spans="1:5" x14ac:dyDescent="0.35">
      <c r="A7" s="161">
        <v>6.0000000000000019E-3</v>
      </c>
      <c r="B7" s="94">
        <v>1.3211378388478303</v>
      </c>
      <c r="C7" s="94"/>
      <c r="D7" s="94"/>
    </row>
    <row r="8" spans="1:5" x14ac:dyDescent="0.35">
      <c r="A8" s="161">
        <v>1.8000000000000002E-2</v>
      </c>
      <c r="B8" s="94">
        <v>1.2503260576072386</v>
      </c>
      <c r="C8" s="94"/>
      <c r="D8" s="94"/>
    </row>
    <row r="9" spans="1:5" x14ac:dyDescent="0.35">
      <c r="A9" s="161">
        <v>3.0000000000000002E-2</v>
      </c>
      <c r="B9" s="94">
        <v>1.4347103010081568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5</v>
      </c>
      <c r="C2" s="105">
        <v>25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1.8276379872816026</v>
      </c>
      <c r="C4" s="106">
        <v>14.738297870244629</v>
      </c>
      <c r="D4" s="106">
        <v>12.651827384900011</v>
      </c>
    </row>
    <row r="5" spans="1:5" x14ac:dyDescent="0.35">
      <c r="A5" s="106">
        <v>9</v>
      </c>
      <c r="B5" s="94">
        <v>1.540640729374428</v>
      </c>
      <c r="C5" s="94"/>
      <c r="D5" s="94"/>
    </row>
    <row r="6" spans="1:5" x14ac:dyDescent="0.35">
      <c r="A6" s="106">
        <v>13</v>
      </c>
      <c r="B6" s="94">
        <v>1.3108541875069801</v>
      </c>
      <c r="C6" s="94"/>
      <c r="D6" s="94"/>
    </row>
    <row r="7" spans="1:5" x14ac:dyDescent="0.35">
      <c r="A7" s="106">
        <v>17</v>
      </c>
      <c r="B7" s="94">
        <v>1.2701258182775994</v>
      </c>
      <c r="C7" s="94"/>
      <c r="D7" s="94"/>
    </row>
    <row r="8" spans="1:5" x14ac:dyDescent="0.35">
      <c r="A8" s="106">
        <v>21</v>
      </c>
      <c r="B8" s="94">
        <v>1.4836641185439461</v>
      </c>
      <c r="C8" s="94"/>
      <c r="D8" s="94"/>
    </row>
    <row r="9" spans="1:5" x14ac:dyDescent="0.35">
      <c r="A9" s="106">
        <v>25</v>
      </c>
      <c r="B9" s="94">
        <v>1.9615260403038011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2" sqref="B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1.5576420751875759</v>
      </c>
      <c r="C4" s="106">
        <v>69.395267317716332</v>
      </c>
      <c r="D4" s="106">
        <v>128.26281855137756</v>
      </c>
    </row>
    <row r="5" spans="1:5" x14ac:dyDescent="0.35">
      <c r="A5" s="106">
        <v>30</v>
      </c>
      <c r="B5" s="94">
        <v>1.3758089277929599</v>
      </c>
      <c r="C5" s="94"/>
      <c r="D5" s="94"/>
    </row>
    <row r="6" spans="1:5" x14ac:dyDescent="0.35">
      <c r="A6" s="106">
        <v>55</v>
      </c>
      <c r="B6" s="94">
        <v>1.2828619332262687</v>
      </c>
      <c r="C6" s="94"/>
      <c r="D6" s="94"/>
    </row>
    <row r="7" spans="1:5" x14ac:dyDescent="0.35">
      <c r="A7" s="106">
        <v>80</v>
      </c>
      <c r="B7" s="94">
        <v>1.3125138900626008</v>
      </c>
      <c r="C7" s="94"/>
      <c r="D7" s="94"/>
    </row>
    <row r="8" spans="1:5" x14ac:dyDescent="0.35">
      <c r="A8" s="106">
        <v>105</v>
      </c>
      <c r="B8" s="94">
        <v>1.3969477074424834</v>
      </c>
      <c r="C8" s="94"/>
      <c r="D8" s="94"/>
    </row>
    <row r="9" spans="1:5" x14ac:dyDescent="0.35">
      <c r="A9" s="106">
        <v>130</v>
      </c>
      <c r="B9" s="94">
        <v>1.4987068900712817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3.1235461792221915</v>
      </c>
      <c r="C4" s="99">
        <v>2.0973386766925862E-6</v>
      </c>
      <c r="D4" s="99">
        <v>7.2575672212837597E-8</v>
      </c>
    </row>
    <row r="5" spans="1:5" x14ac:dyDescent="0.35">
      <c r="A5" s="99">
        <v>2.024E-6</v>
      </c>
      <c r="B5" s="94">
        <v>2.2571908639081348</v>
      </c>
      <c r="C5" s="94"/>
      <c r="D5" s="94"/>
    </row>
    <row r="6" spans="1:5" x14ac:dyDescent="0.35">
      <c r="A6" s="99">
        <v>2.0480000000000001E-6</v>
      </c>
      <c r="B6" s="94">
        <v>1.9253454788307496</v>
      </c>
      <c r="C6" s="94"/>
      <c r="D6" s="94"/>
    </row>
    <row r="7" spans="1:5" x14ac:dyDescent="0.35">
      <c r="A7" s="99">
        <v>2.0719999999999998E-6</v>
      </c>
      <c r="B7" s="94">
        <v>1.3920282607230097</v>
      </c>
      <c r="C7" s="94"/>
      <c r="D7" s="94"/>
    </row>
    <row r="8" spans="1:5" x14ac:dyDescent="0.35">
      <c r="A8" s="99">
        <v>2.0959999999999999E-6</v>
      </c>
      <c r="B8" s="94">
        <v>1.2451165802415642</v>
      </c>
      <c r="C8" s="94"/>
      <c r="D8" s="94"/>
    </row>
    <row r="9" spans="1:5" x14ac:dyDescent="0.35">
      <c r="A9" s="99">
        <v>2.12E-6</v>
      </c>
      <c r="B9" s="94">
        <v>1.4555951015267345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1.9999999999999999E-6</v>
      </c>
      <c r="C2" s="119">
        <v>2.2000000000000001E-6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1.8464299464704554</v>
      </c>
      <c r="C4" s="99">
        <v>2.09054488657706E-6</v>
      </c>
      <c r="D4" s="99">
        <v>1.1695413437840245E-7</v>
      </c>
    </row>
    <row r="5" spans="1:5" x14ac:dyDescent="0.35">
      <c r="A5" s="99">
        <v>2.04E-6</v>
      </c>
      <c r="B5" s="94">
        <v>1.4590651796112712</v>
      </c>
      <c r="C5" s="94"/>
      <c r="D5" s="94"/>
    </row>
    <row r="6" spans="1:5" x14ac:dyDescent="0.35">
      <c r="A6" s="99">
        <v>2.08E-6</v>
      </c>
      <c r="B6" s="94">
        <v>1.2743289648870297</v>
      </c>
      <c r="C6" s="94"/>
      <c r="D6" s="94"/>
    </row>
    <row r="7" spans="1:5" x14ac:dyDescent="0.35">
      <c r="A7" s="99">
        <v>2.12E-6</v>
      </c>
      <c r="B7" s="94">
        <v>1.3126629384634598</v>
      </c>
      <c r="C7" s="94"/>
      <c r="D7" s="94"/>
    </row>
    <row r="8" spans="1:5" x14ac:dyDescent="0.35">
      <c r="A8" s="99">
        <v>2.1600000000000001E-6</v>
      </c>
      <c r="B8" s="94">
        <v>1.5952734978855205</v>
      </c>
      <c r="C8" s="94"/>
      <c r="D8" s="94"/>
    </row>
    <row r="9" spans="1:5" x14ac:dyDescent="0.35">
      <c r="A9" s="99">
        <v>2.2000000000000001E-6</v>
      </c>
      <c r="B9" s="94">
        <v>2.1441385537357243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1.7999999999999999E-6</v>
      </c>
      <c r="C2" s="119">
        <v>1.86E-6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1.7999999999999999E-6</v>
      </c>
      <c r="B4" s="94">
        <v>1.3280966628304371</v>
      </c>
      <c r="C4" s="99">
        <v>1.822154264373398E-6</v>
      </c>
      <c r="D4" s="99">
        <v>7.8584798705956943E-8</v>
      </c>
    </row>
    <row r="5" spans="1:5" x14ac:dyDescent="0.35">
      <c r="A5" s="99">
        <v>1.812E-6</v>
      </c>
      <c r="B5" s="94">
        <v>1.2648901569202227</v>
      </c>
      <c r="C5" s="94"/>
      <c r="D5" s="94"/>
    </row>
    <row r="6" spans="1:5" x14ac:dyDescent="0.35">
      <c r="A6" s="99">
        <v>1.824E-6</v>
      </c>
      <c r="B6" s="94">
        <v>1.2486853099075312</v>
      </c>
      <c r="C6" s="94"/>
      <c r="D6" s="94"/>
    </row>
    <row r="7" spans="1:5" x14ac:dyDescent="0.35">
      <c r="A7" s="99">
        <v>1.8359999999999999E-6</v>
      </c>
      <c r="B7" s="94">
        <v>1.279560098824204</v>
      </c>
      <c r="C7" s="94"/>
      <c r="D7" s="94"/>
    </row>
    <row r="8" spans="1:5" x14ac:dyDescent="0.35">
      <c r="A8" s="99">
        <v>1.8479999999999999E-6</v>
      </c>
      <c r="B8" s="94">
        <v>1.3570689771902311</v>
      </c>
      <c r="C8" s="94"/>
      <c r="D8" s="94"/>
    </row>
    <row r="9" spans="1:5" x14ac:dyDescent="0.35">
      <c r="A9" s="99">
        <v>1.86E-6</v>
      </c>
      <c r="B9" s="94">
        <v>1.4800495225736121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AA581-CD01-407A-AFC6-31F68F27C258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8.33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174529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643</v>
      </c>
      <c r="F4" s="1">
        <v>11</v>
      </c>
      <c r="G4" s="117">
        <v>0.68596064814814817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174529</v>
      </c>
      <c r="C8" s="1">
        <v>174452</v>
      </c>
      <c r="D8" s="1">
        <v>1.2029300000000001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174530</v>
      </c>
      <c r="C9" s="1">
        <v>174453</v>
      </c>
      <c r="D9" s="1">
        <v>1.2019500000000001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174531</v>
      </c>
      <c r="C10" s="1">
        <v>174454</v>
      </c>
      <c r="D10" s="1">
        <v>1.2020200000000001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174532</v>
      </c>
      <c r="C11" s="1">
        <v>174455</v>
      </c>
      <c r="D11" s="1">
        <v>1.2020200000000001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174533</v>
      </c>
      <c r="C12" s="1">
        <v>174456</v>
      </c>
      <c r="D12" s="1">
        <v>1.2019500000000001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174534</v>
      </c>
      <c r="C13" s="1">
        <v>174456</v>
      </c>
      <c r="D13" s="1">
        <v>2.3693499999999998</v>
      </c>
      <c r="E13" s="1">
        <v>2.5495399999999999</v>
      </c>
      <c r="F13" s="1">
        <v>5.9504999999999999</v>
      </c>
      <c r="G13" s="1">
        <v>4.36E-2</v>
      </c>
      <c r="H13" s="1">
        <v>0.1019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174535</v>
      </c>
      <c r="C14" s="1">
        <v>174456</v>
      </c>
      <c r="D14" s="1">
        <v>4.68994</v>
      </c>
      <c r="E14" s="1">
        <v>2.5495399999999999</v>
      </c>
      <c r="F14" s="1">
        <v>5.9504999999999999</v>
      </c>
      <c r="G14" s="1">
        <v>8.6400000000000005E-2</v>
      </c>
      <c r="H14" s="1">
        <v>0.2016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644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644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174529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1.03466459596</v>
      </c>
      <c r="K22" s="1">
        <v>6039</v>
      </c>
      <c r="L22" s="1">
        <v>42.532829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174530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1.03466459596</v>
      </c>
      <c r="K23" s="1">
        <v>6102</v>
      </c>
      <c r="L23" s="1">
        <v>36.089913000000003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174531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1.03466459596</v>
      </c>
      <c r="K24" s="1">
        <v>6040</v>
      </c>
      <c r="L24" s="1">
        <v>72.250573000000003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174532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1.03466459596</v>
      </c>
      <c r="K25" s="1">
        <v>6034</v>
      </c>
      <c r="L25" s="1">
        <v>74.582351000000003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174533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5.1700000000000003E-2</v>
      </c>
      <c r="J26" s="1">
        <v>1.03466459596</v>
      </c>
      <c r="K26" s="1">
        <v>18017</v>
      </c>
      <c r="L26" s="1">
        <v>364.93653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174534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1.03466459596</v>
      </c>
      <c r="K27" s="1">
        <v>18009</v>
      </c>
      <c r="L27" s="1">
        <v>860.58478000000002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174535</v>
      </c>
      <c r="D28" s="1">
        <v>174456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</v>
      </c>
      <c r="J28" s="1">
        <v>1.03466459596</v>
      </c>
      <c r="K28" s="1">
        <v>36024</v>
      </c>
      <c r="L28" s="1">
        <v>1018.796709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8.2642749047700005E-3</v>
      </c>
      <c r="B41" s="1">
        <v>1.17346239187</v>
      </c>
      <c r="C41" s="1">
        <v>0.309459999195</v>
      </c>
      <c r="D41" s="1">
        <v>5.9007832281000004E-4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8.3469176538099998E-3</v>
      </c>
      <c r="B42" s="1">
        <v>0.87419943067999994</v>
      </c>
      <c r="C42" s="1">
        <v>0.142364127259</v>
      </c>
      <c r="D42" s="1">
        <v>5.9197910603799996E-4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8.4303868303500003E-3</v>
      </c>
      <c r="B43" s="1">
        <v>0.88201650642200002</v>
      </c>
      <c r="C43" s="1">
        <v>0.10229555300199999</v>
      </c>
      <c r="D43" s="1">
        <v>5.9389889709799998E-4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8.5146906986500008E-3</v>
      </c>
      <c r="B44" s="1">
        <v>1.0178304632499999</v>
      </c>
      <c r="C44" s="1">
        <v>8.8538343027099994E-2</v>
      </c>
      <c r="D44" s="1">
        <v>5.9583788606899996E-4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8.5998376056400008E-3</v>
      </c>
      <c r="B45" s="1">
        <v>1.0699239701500001</v>
      </c>
      <c r="C45" s="1">
        <v>8.0829129121199994E-2</v>
      </c>
      <c r="D45" s="1">
        <v>5.9779626492999997E-4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8.6858359817000002E-3</v>
      </c>
      <c r="B46" s="1">
        <v>1.0093431616399999</v>
      </c>
      <c r="C46" s="1">
        <v>7.4863012321200004E-2</v>
      </c>
      <c r="D46" s="1">
        <v>5.9977422757899999E-4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8.7726943415100001E-3</v>
      </c>
      <c r="B47" s="1">
        <v>1.08294355516</v>
      </c>
      <c r="C47" s="1">
        <v>7.4838172061400005E-2</v>
      </c>
      <c r="D47" s="1">
        <v>6.0177196985499999E-4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8.86042128493E-3</v>
      </c>
      <c r="B48" s="1">
        <v>1.04865001988</v>
      </c>
      <c r="C48" s="1">
        <v>7.0550605448299997E-2</v>
      </c>
      <c r="D48" s="1">
        <v>6.0378968955299996E-4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8.9490254977800006E-3</v>
      </c>
      <c r="B49" s="1">
        <v>1.0464738167300001</v>
      </c>
      <c r="C49" s="1">
        <v>6.7780436391700005E-2</v>
      </c>
      <c r="D49" s="1">
        <v>6.0582758644900001E-4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9.0385157527600006E-3</v>
      </c>
      <c r="B50" s="1">
        <v>0.99233656665799996</v>
      </c>
      <c r="C50" s="1">
        <v>6.2202315726100001E-2</v>
      </c>
      <c r="D50" s="1">
        <v>6.0788586231300004E-4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9.1289009102799995E-3</v>
      </c>
      <c r="B51" s="1">
        <v>0.99337611827100003</v>
      </c>
      <c r="C51" s="1">
        <v>6.1576777420900002E-2</v>
      </c>
      <c r="D51" s="1">
        <v>6.0996472093700004E-4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9.2201899193900001E-3</v>
      </c>
      <c r="B52" s="1">
        <v>1.0381504700099999</v>
      </c>
      <c r="C52" s="1">
        <v>6.1560983527999998E-2</v>
      </c>
      <c r="D52" s="1">
        <v>6.1206436814599996E-4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9.3123918185800004E-3</v>
      </c>
      <c r="B53" s="1">
        <v>0.99825127583200002</v>
      </c>
      <c r="C53" s="1">
        <v>5.8597948502900003E-2</v>
      </c>
      <c r="D53" s="1">
        <v>6.1418501182700005E-4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9.4055157367700006E-3</v>
      </c>
      <c r="B54" s="1">
        <v>1.02208873367</v>
      </c>
      <c r="C54" s="1">
        <v>5.7397681660999997E-2</v>
      </c>
      <c r="D54" s="1">
        <v>6.1632686194599997E-4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9.4995708941299998E-3</v>
      </c>
      <c r="B55" s="1">
        <v>0.90490554269800005</v>
      </c>
      <c r="C55" s="1">
        <v>3.9019945132600001E-2</v>
      </c>
      <c r="D55" s="1">
        <v>6.1849013056499997E-4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9.5945666030799997E-3</v>
      </c>
      <c r="B56" s="1">
        <v>0.97840631646300003</v>
      </c>
      <c r="C56" s="1">
        <v>3.8907228369799998E-2</v>
      </c>
      <c r="D56" s="1">
        <v>6.2067503187099998E-4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9.69051226911E-3</v>
      </c>
      <c r="B57" s="1">
        <v>0.99646450272800002</v>
      </c>
      <c r="C57" s="1">
        <v>3.85499531127E-2</v>
      </c>
      <c r="D57" s="1">
        <v>6.2288178218900003E-4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9.7874173918000001E-3</v>
      </c>
      <c r="B58" s="1">
        <v>0.97128478003200003</v>
      </c>
      <c r="C58" s="1">
        <v>3.7745786942499998E-2</v>
      </c>
      <c r="D58" s="1">
        <v>6.2511060001099999E-4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9.8852915657199995E-3</v>
      </c>
      <c r="B59" s="1">
        <v>1.0484191437199999</v>
      </c>
      <c r="C59" s="1">
        <v>5.8169576027999999E-2</v>
      </c>
      <c r="D59" s="1">
        <v>6.2736170601099999E-4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9.9841444813699998E-3</v>
      </c>
      <c r="B60" s="1">
        <v>0.79438554977499998</v>
      </c>
      <c r="C60" s="1">
        <v>4.7654687046800003E-2</v>
      </c>
      <c r="D60" s="1">
        <v>6.2963532307199995E-4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1.0083985926200001E-2</v>
      </c>
      <c r="B61" s="1">
        <v>0.74483429325499995</v>
      </c>
      <c r="C61" s="1">
        <v>4.4962343612400001E-2</v>
      </c>
      <c r="D61" s="1">
        <v>6.3193167630200004E-4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1.01848257854E-2</v>
      </c>
      <c r="B62" s="1">
        <v>0.57376833239500002</v>
      </c>
      <c r="C62" s="1">
        <v>3.9021464484999997E-2</v>
      </c>
      <c r="D62" s="1">
        <v>6.3425099306499996E-4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1.02866740433E-2</v>
      </c>
      <c r="B63" s="1">
        <v>0.42595741329800002</v>
      </c>
      <c r="C63" s="1">
        <v>3.19140911345E-2</v>
      </c>
      <c r="D63" s="1">
        <v>6.3659350299599996E-4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1.03895407837E-2</v>
      </c>
      <c r="B64" s="1">
        <v>0.33446181118099999</v>
      </c>
      <c r="C64" s="1">
        <v>2.7881662912000001E-2</v>
      </c>
      <c r="D64" s="1">
        <v>6.3895943802600005E-4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1.04934361916E-2</v>
      </c>
      <c r="B65" s="1">
        <v>0.32098575503799998</v>
      </c>
      <c r="C65" s="1">
        <v>2.67870506483E-2</v>
      </c>
      <c r="D65" s="1">
        <v>6.4134903240600002E-4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1.05983705535E-2</v>
      </c>
      <c r="B66" s="1">
        <v>0.24950421065699999</v>
      </c>
      <c r="C66" s="1">
        <v>2.3261326225799999E-2</v>
      </c>
      <c r="D66" s="1">
        <v>6.4376252273E-4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1.0704354259E-2</v>
      </c>
      <c r="B67" s="1">
        <v>0.24534358941000001</v>
      </c>
      <c r="C67" s="1">
        <v>2.2492529033199999E-2</v>
      </c>
      <c r="D67" s="1">
        <v>6.46200147958E-4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1.08113978016E-2</v>
      </c>
      <c r="B68" s="1">
        <v>0.23974199883700001</v>
      </c>
      <c r="C68" s="1">
        <v>2.1153774274599999E-2</v>
      </c>
      <c r="D68" s="1">
        <v>6.4866214943700004E-4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1.0919511779600001E-2</v>
      </c>
      <c r="B69" s="1">
        <v>0.20474981222800001</v>
      </c>
      <c r="C69" s="1">
        <v>1.94608029484E-2</v>
      </c>
      <c r="D69" s="1">
        <v>6.5114877093200004E-4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1.1028706897400001E-2</v>
      </c>
      <c r="B70" s="1">
        <v>0.201399320411</v>
      </c>
      <c r="C70" s="1">
        <v>1.87819266198E-2</v>
      </c>
      <c r="D70" s="1">
        <v>6.5366025864100003E-4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1.11389939664E-2</v>
      </c>
      <c r="B71" s="1">
        <v>0.201058617385</v>
      </c>
      <c r="C71" s="1">
        <v>1.7811892744899999E-2</v>
      </c>
      <c r="D71" s="1">
        <v>6.5619686122700004E-4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1.12503839061E-2</v>
      </c>
      <c r="B72" s="1">
        <v>0.21153752408099999</v>
      </c>
      <c r="C72" s="1">
        <v>1.8235876196800001E-2</v>
      </c>
      <c r="D72" s="1">
        <v>6.5875882983899999E-4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1.1362887745099999E-2</v>
      </c>
      <c r="B73" s="1">
        <v>0.18492115347499999</v>
      </c>
      <c r="C73" s="1">
        <v>1.6344588627000001E-2</v>
      </c>
      <c r="D73" s="1">
        <v>6.6134641813799997E-4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1.14765166226E-2</v>
      </c>
      <c r="B74" s="1">
        <v>0.173226757067</v>
      </c>
      <c r="C74" s="1">
        <v>1.5895608308800002E-2</v>
      </c>
      <c r="D74" s="1">
        <v>6.6395988231899997E-4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1.1591281788799999E-2</v>
      </c>
      <c r="B75" s="1">
        <v>0.139827272227</v>
      </c>
      <c r="C75" s="1">
        <v>8.6356593386700004E-3</v>
      </c>
      <c r="D75" s="1">
        <v>6.6659948114199997E-4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1.17071946067E-2</v>
      </c>
      <c r="B76" s="1">
        <v>0.129015286255</v>
      </c>
      <c r="C76" s="1">
        <v>7.7275967600500001E-3</v>
      </c>
      <c r="D76" s="1">
        <v>6.69265475954E-4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1.18242665528E-2</v>
      </c>
      <c r="B77" s="1">
        <v>0.12257259404199999</v>
      </c>
      <c r="C77" s="1">
        <v>7.3787206859900001E-3</v>
      </c>
      <c r="D77" s="1">
        <v>6.7195813071299995E-4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1.19425092183E-2</v>
      </c>
      <c r="B78" s="1">
        <v>0.103017826457</v>
      </c>
      <c r="C78" s="1">
        <v>6.67596178961E-3</v>
      </c>
      <c r="D78" s="1">
        <v>6.7467771202100004E-4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1.2061934310500001E-2</v>
      </c>
      <c r="B79" s="1">
        <v>8.8520211015900005E-2</v>
      </c>
      <c r="C79" s="1">
        <v>5.8330385914999996E-3</v>
      </c>
      <c r="D79" s="1">
        <v>6.7742448914099999E-4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1.2182553653599999E-2</v>
      </c>
      <c r="B80" s="1">
        <v>7.7664095252400006E-2</v>
      </c>
      <c r="C80" s="1">
        <v>6.8026905687899996E-3</v>
      </c>
      <c r="D80" s="1">
        <v>6.8019873403200003E-4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1.2304379190100001E-2</v>
      </c>
      <c r="B81" s="1">
        <v>6.1959282665899999E-2</v>
      </c>
      <c r="C81" s="1">
        <v>5.7606568714500001E-3</v>
      </c>
      <c r="D81" s="1">
        <v>6.8300072137200002E-4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1.2427422981999999E-2</v>
      </c>
      <c r="B82" s="1">
        <v>4.9974751360700002E-2</v>
      </c>
      <c r="C82" s="1">
        <v>5.1835478558100003E-3</v>
      </c>
      <c r="D82" s="1">
        <v>6.8583072858600003E-4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1.25516972118E-2</v>
      </c>
      <c r="B83" s="1">
        <v>4.9223652646800002E-2</v>
      </c>
      <c r="C83" s="1">
        <v>4.9591766022099998E-3</v>
      </c>
      <c r="D83" s="1">
        <v>6.8868903587199996E-4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1.26772141839E-2</v>
      </c>
      <c r="B84" s="1">
        <v>3.08221815696E-2</v>
      </c>
      <c r="C84" s="1">
        <v>3.9378804247299998E-3</v>
      </c>
      <c r="D84" s="1">
        <v>6.9157592623100004E-4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1.28039863258E-2</v>
      </c>
      <c r="B85" s="1">
        <v>2.4159652288700002E-2</v>
      </c>
      <c r="C85" s="1">
        <v>3.4394608037800001E-3</v>
      </c>
      <c r="D85" s="1">
        <v>6.9449168549300003E-4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1.2932026189000001E-2</v>
      </c>
      <c r="B86" s="1">
        <v>3.3258857129699997E-2</v>
      </c>
      <c r="C86" s="1">
        <v>3.6771908635200002E-3</v>
      </c>
      <c r="D86" s="1">
        <v>6.9743660234799999E-4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1.3061346450899999E-2</v>
      </c>
      <c r="B87" s="1">
        <v>2.84986188932E-2</v>
      </c>
      <c r="C87" s="1">
        <v>3.4305391165600002E-3</v>
      </c>
      <c r="D87" s="1">
        <v>7.0041096837200004E-4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1.31919599154E-2</v>
      </c>
      <c r="B88" s="1">
        <v>2.0177194675699998E-2</v>
      </c>
      <c r="C88" s="1">
        <v>2.8553151053199999E-3</v>
      </c>
      <c r="D88" s="1">
        <v>7.0341507805499995E-4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1.33238795146E-2</v>
      </c>
      <c r="B89" s="1">
        <v>2.1456316197900002E-2</v>
      </c>
      <c r="C89" s="1">
        <v>2.8487810579300001E-3</v>
      </c>
      <c r="D89" s="1">
        <v>7.0644922883600001E-4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1.3457118309700001E-2</v>
      </c>
      <c r="B90" s="1">
        <v>1.9479331492700001E-2</v>
      </c>
      <c r="C90" s="1">
        <v>2.6379824304E-3</v>
      </c>
      <c r="D90" s="1">
        <v>7.0951372112399997E-4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1.3591689492799999E-2</v>
      </c>
      <c r="B91" s="1">
        <v>1.7782250911999999E-2</v>
      </c>
      <c r="C91" s="1">
        <v>2.45958675438E-3</v>
      </c>
      <c r="D91" s="1">
        <v>7.1260885833499996E-4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1.37276063878E-2</v>
      </c>
      <c r="B92" s="1">
        <v>1.6438495835899999E-2</v>
      </c>
      <c r="C92" s="1">
        <v>2.3623250374E-3</v>
      </c>
      <c r="D92" s="86">
        <v>7.1573494691900001E-4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1.3864882451600001E-2</v>
      </c>
      <c r="B93" s="1">
        <v>2.22924410319E-2</v>
      </c>
      <c r="C93" s="1">
        <v>2.6622716589299999E-3</v>
      </c>
      <c r="D93" s="1">
        <v>7.1889229638800003E-4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1.40035312762E-2</v>
      </c>
      <c r="B94" s="1">
        <v>2.1326016382100001E-2</v>
      </c>
      <c r="C94" s="1">
        <v>2.5039976375899999E-3</v>
      </c>
      <c r="D94" s="1">
        <v>7.2208121935199996E-4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1.41435665889E-2</v>
      </c>
      <c r="B95" s="1">
        <v>2.6960529462400001E-2</v>
      </c>
      <c r="C95" s="1">
        <v>2.7369647445499999E-3</v>
      </c>
      <c r="D95" s="1">
        <v>7.2530203154500005E-4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1.42850022548E-2</v>
      </c>
      <c r="B96" s="1">
        <v>2.9537851796399998E-2</v>
      </c>
      <c r="C96" s="1">
        <v>2.7801557929899999E-3</v>
      </c>
      <c r="D96" s="1">
        <v>7.2855505186099996E-4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1.44278522774E-2</v>
      </c>
      <c r="B97" s="1">
        <v>2.76813854756E-2</v>
      </c>
      <c r="C97" s="1">
        <v>2.6320040433500001E-3</v>
      </c>
      <c r="D97" s="1">
        <v>7.3184060237899997E-4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1.4572130800099999E-2</v>
      </c>
      <c r="B98" s="1">
        <v>3.0418453952300001E-2</v>
      </c>
      <c r="C98" s="1">
        <v>2.6693288779E-3</v>
      </c>
      <c r="D98" s="1">
        <v>7.3515900840299996E-4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1.4717852108099999E-2</v>
      </c>
      <c r="B99" s="1">
        <v>2.8881987311300001E-2</v>
      </c>
      <c r="C99" s="1">
        <v>2.60641318648E-3</v>
      </c>
      <c r="D99" s="1">
        <v>7.3851059848700003E-4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1.4865030629200001E-2</v>
      </c>
      <c r="B100" s="1">
        <v>2.60115043227E-2</v>
      </c>
      <c r="C100" s="1">
        <v>2.3867417509000001E-3</v>
      </c>
      <c r="D100" s="1">
        <v>7.4189570447199995E-4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1.50136809355E-2</v>
      </c>
      <c r="B101" s="1">
        <v>3.3208841296999997E-2</v>
      </c>
      <c r="C101" s="1">
        <v>2.5979677129600001E-3</v>
      </c>
      <c r="D101" s="1">
        <v>7.4531466151699999E-4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1.5163817744900001E-2</v>
      </c>
      <c r="B102" s="1">
        <v>2.7723947370000002E-2</v>
      </c>
      <c r="C102" s="1">
        <v>1.7054678422700001E-3</v>
      </c>
      <c r="D102" s="1">
        <v>7.4876780813200002E-4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1.5315455922300001E-2</v>
      </c>
      <c r="B103" s="1">
        <v>2.9322930620999998E-2</v>
      </c>
      <c r="C103" s="1">
        <v>1.69448771819E-3</v>
      </c>
      <c r="D103" s="1">
        <v>7.5225548621300005E-4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1.54686104815E-2</v>
      </c>
      <c r="B104" s="1">
        <v>2.3760548329999999E-2</v>
      </c>
      <c r="C104" s="1">
        <v>1.4952223637700001E-3</v>
      </c>
      <c r="D104" s="1">
        <v>7.5577804107499998E-4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1.56232965864E-2</v>
      </c>
      <c r="B105" s="1">
        <v>2.5461733745199999E-2</v>
      </c>
      <c r="C105" s="1">
        <v>1.48443809311E-3</v>
      </c>
      <c r="D105" s="1">
        <v>7.5933582148599997E-4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1.5779529552200001E-2</v>
      </c>
      <c r="B106" s="1">
        <v>2.3876232873399999E-2</v>
      </c>
      <c r="C106" s="1">
        <v>1.40556149599E-3</v>
      </c>
      <c r="D106" s="1">
        <v>7.6292917970100004E-4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1.59373248477E-2</v>
      </c>
      <c r="B107" s="1">
        <v>2.1665316533900001E-2</v>
      </c>
      <c r="C107" s="1">
        <v>1.3153857579900001E-3</v>
      </c>
      <c r="D107" s="1">
        <v>7.6655847149800001E-4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1.6096698096199999E-2</v>
      </c>
      <c r="B108" s="1">
        <v>2.2490638966399999E-2</v>
      </c>
      <c r="C108" s="1">
        <v>1.3398498262199999E-3</v>
      </c>
      <c r="D108" s="1">
        <v>7.7022405621299998E-4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1.6257665077200001E-2</v>
      </c>
      <c r="B109" s="1">
        <v>1.9277093917900001E-2</v>
      </c>
      <c r="C109" s="1">
        <v>1.7370931655600001E-3</v>
      </c>
      <c r="D109" s="1">
        <v>7.7392629677499995E-4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1.6420241727999999E-2</v>
      </c>
      <c r="B110" s="1">
        <v>1.5476439506E-2</v>
      </c>
      <c r="C110" s="1">
        <v>1.5438893615599999E-3</v>
      </c>
      <c r="D110" s="1">
        <v>7.7766555974299997E-4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1.6584444145200002E-2</v>
      </c>
      <c r="B111" s="1">
        <v>1.3416964097499999E-2</v>
      </c>
      <c r="C111" s="1">
        <v>1.33315517219E-3</v>
      </c>
      <c r="D111" s="1">
        <v>7.8144221533999999E-4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1.67502885867E-2</v>
      </c>
      <c r="B112" s="1">
        <v>1.05329127364E-2</v>
      </c>
      <c r="C112" s="1">
        <v>1.2163202008300001E-3</v>
      </c>
      <c r="D112" s="1">
        <v>7.8525663749399999E-4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1.6917791472599999E-2</v>
      </c>
      <c r="B113" s="1">
        <v>9.5331418168400003E-3</v>
      </c>
      <c r="C113" s="1">
        <v>1.1063397554599999E-3</v>
      </c>
      <c r="D113" s="1">
        <v>7.8910920386899999E-4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1.7086969387300002E-2</v>
      </c>
      <c r="B114" s="1">
        <v>9.5369255043200006E-3</v>
      </c>
      <c r="C114" s="1">
        <v>1.1199340777999999E-3</v>
      </c>
      <c r="D114" s="1">
        <v>7.9300029590700005E-4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1.7257839081199999E-2</v>
      </c>
      <c r="B115" s="1">
        <v>8.9130028188999996E-3</v>
      </c>
      <c r="C115" s="1">
        <v>1.0216053150099999E-3</v>
      </c>
      <c r="D115" s="1">
        <v>7.9693029886600004E-4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1.7430417472000002E-2</v>
      </c>
      <c r="B116" s="1">
        <v>7.3322731119499999E-3</v>
      </c>
      <c r="C116" s="1">
        <v>9.2126330067500005E-4</v>
      </c>
      <c r="D116" s="1">
        <v>8.0089960185499996E-4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1.7604721646699999E-2</v>
      </c>
      <c r="B117" s="1">
        <v>5.4665698767300003E-3</v>
      </c>
      <c r="C117" s="1">
        <v>8.1745200791500001E-4</v>
      </c>
      <c r="D117" s="1">
        <v>8.0490859787399999E-4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1.77807688631E-2</v>
      </c>
      <c r="B118" s="1">
        <v>4.3721693186300004E-3</v>
      </c>
      <c r="C118" s="1">
        <v>7.0483842980200004E-4</v>
      </c>
      <c r="D118" s="1">
        <v>8.08957683852E-4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1.7958576551799998E-2</v>
      </c>
      <c r="B119" s="1">
        <v>4.8911723382000002E-3</v>
      </c>
      <c r="C119" s="1">
        <v>7.0273877303200002E-4</v>
      </c>
      <c r="D119" s="1">
        <v>8.1304726069100005E-4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1.8138162317300002E-2</v>
      </c>
      <c r="B120" s="1">
        <v>4.4438125216900003E-3</v>
      </c>
      <c r="C120" s="1">
        <v>6.8645652406999996E-4</v>
      </c>
      <c r="D120" s="1">
        <v>8.17177733298E-4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1.8319543940500001E-2</v>
      </c>
      <c r="B121" s="1">
        <v>4.3730690606599999E-3</v>
      </c>
      <c r="C121" s="1">
        <v>6.7745330203999995E-4</v>
      </c>
      <c r="D121" s="1">
        <v>8.2134951063100002E-4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1.8502739379900001E-2</v>
      </c>
      <c r="B122" s="1">
        <v>5.1987481544800004E-3</v>
      </c>
      <c r="C122" s="1">
        <v>7.1238433510299997E-4</v>
      </c>
      <c r="D122" s="1">
        <v>8.2556300573700004E-4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1.8687766773700001E-2</v>
      </c>
      <c r="B123" s="1">
        <v>5.7336331895800003E-3</v>
      </c>
      <c r="C123" s="1">
        <v>7.2865992693700002E-4</v>
      </c>
      <c r="D123" s="1">
        <v>8.2981863579399998E-4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1.8874644441399999E-2</v>
      </c>
      <c r="B124" s="1">
        <v>6.4661098423300003E-3</v>
      </c>
      <c r="C124" s="1">
        <v>7.4891327391199999E-4</v>
      </c>
      <c r="D124" s="1">
        <v>8.34116822152E-4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1.9063390885799999E-2</v>
      </c>
      <c r="B125" s="1">
        <v>6.6162939071700002E-3</v>
      </c>
      <c r="C125" s="1">
        <v>7.4076020455399996E-4</v>
      </c>
      <c r="D125" s="1">
        <v>8.3845799037399996E-4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1.9254024794699998E-2</v>
      </c>
      <c r="B126" s="1">
        <v>5.9253712281400004E-3</v>
      </c>
      <c r="C126" s="1">
        <v>6.8461815120599999E-4</v>
      </c>
      <c r="D126" s="1">
        <v>8.4284257027799996E-4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1.9446565042599999E-2</v>
      </c>
      <c r="B127" s="1">
        <v>6.74732772859E-3</v>
      </c>
      <c r="C127" s="1">
        <v>7.1993553982099996E-4</v>
      </c>
      <c r="D127" s="1">
        <v>8.4727099597999998E-4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1.9641030693100001E-2</v>
      </c>
      <c r="B128" s="1">
        <v>8.1139513517399994E-3</v>
      </c>
      <c r="C128" s="1">
        <v>7.6887896734100002E-4</v>
      </c>
      <c r="D128" s="1">
        <v>8.5174370594E-4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1.9837441000000001E-2</v>
      </c>
      <c r="B129" s="1">
        <v>7.4744869866100001E-3</v>
      </c>
      <c r="C129" s="1">
        <v>7.4535672837399997E-4</v>
      </c>
      <c r="D129" s="1">
        <v>8.5626114299999995E-4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2.0035815410000001E-2</v>
      </c>
      <c r="B130" s="1">
        <v>8.1966200529099992E-3</v>
      </c>
      <c r="C130" s="1">
        <v>7.6555484604799999E-4</v>
      </c>
      <c r="D130" s="1">
        <v>8.6082375442999995E-4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2.0236173564099999E-2</v>
      </c>
      <c r="B131" s="1">
        <v>7.8012343115199997E-3</v>
      </c>
      <c r="C131" s="1">
        <v>7.3001790839300005E-4</v>
      </c>
      <c r="D131" s="1">
        <v>8.6543199197399996E-4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2.0438535299700002E-2</v>
      </c>
      <c r="B132" s="1">
        <v>7.7629885724599997E-3</v>
      </c>
      <c r="C132" s="1">
        <v>7.1927380846799999E-4</v>
      </c>
      <c r="D132" s="1">
        <v>8.7008631189400005E-4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2.06429206527E-2</v>
      </c>
      <c r="B133" s="1">
        <v>7.2977418352400004E-3</v>
      </c>
      <c r="C133" s="1">
        <v>6.7075300695799999E-4</v>
      </c>
      <c r="D133" s="1">
        <v>8.7478717501299999E-4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2.0849349859299999E-2</v>
      </c>
      <c r="B134" s="1">
        <v>7.1006272132699997E-3</v>
      </c>
      <c r="C134" s="1">
        <v>6.62729704716E-4</v>
      </c>
      <c r="D134" s="1">
        <v>8.7953504676300002E-4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2.1057843357800001E-2</v>
      </c>
      <c r="B135" s="1">
        <v>6.7247860782299997E-3</v>
      </c>
      <c r="C135" s="1">
        <v>6.3403865385500005E-4</v>
      </c>
      <c r="D135" s="1">
        <v>8.8433039722999999E-4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2.12684217914E-2</v>
      </c>
      <c r="B136" s="1">
        <v>5.8826954719900003E-3</v>
      </c>
      <c r="C136" s="1">
        <v>5.8360916466799995E-4</v>
      </c>
      <c r="D136" s="1">
        <v>8.8917370120300001E-4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2.1481106009300002E-2</v>
      </c>
      <c r="B137" s="1">
        <v>5.6845318101700001E-3</v>
      </c>
      <c r="C137" s="1">
        <v>5.70889595825E-4</v>
      </c>
      <c r="D137" s="1">
        <v>8.9406543821499997E-4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2.1695917069400002E-2</v>
      </c>
      <c r="B138" s="1">
        <v>4.5136918821699996E-3</v>
      </c>
      <c r="C138" s="1">
        <v>5.0379252913799999E-4</v>
      </c>
      <c r="D138" s="1">
        <v>8.9900609259699999E-4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2.19128762401E-2</v>
      </c>
      <c r="B139" s="1">
        <v>2.97614917982E-3</v>
      </c>
      <c r="C139" s="1">
        <v>3.9971117885799999E-4</v>
      </c>
      <c r="D139" s="1">
        <v>9.0399615352299999E-4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2.21320050025E-2</v>
      </c>
      <c r="B140" s="1">
        <v>3.1586831751100001E-3</v>
      </c>
      <c r="C140" s="1">
        <v>4.0974450185699999E-4</v>
      </c>
      <c r="D140" s="1">
        <v>9.0903611505800002E-4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2.2353325052600001E-2</v>
      </c>
      <c r="B141" s="1">
        <v>2.5403371978599998E-3</v>
      </c>
      <c r="C141" s="1">
        <v>1.6005072779599999E-4</v>
      </c>
      <c r="D141" s="1">
        <v>9.1412647620899999E-4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2.2576858303100002E-2</v>
      </c>
      <c r="B142" s="1">
        <v>2.2394220232599999E-3</v>
      </c>
      <c r="C142" s="1">
        <v>1.4813506835800001E-4</v>
      </c>
      <c r="D142" s="1">
        <v>9.1926774097100003E-4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2.2802626886099998E-2</v>
      </c>
      <c r="B143" s="1">
        <v>2.0404664616699999E-3</v>
      </c>
      <c r="C143" s="1">
        <v>1.3257236985600001E-4</v>
      </c>
      <c r="D143" s="1">
        <v>9.2446041838000002E-4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2.3030653155000001E-2</v>
      </c>
      <c r="B144" s="1">
        <v>1.37529036542E-3</v>
      </c>
      <c r="C144" s="1">
        <v>1.01478825744E-4</v>
      </c>
      <c r="D144" s="1">
        <v>9.29705022564E-4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2.32609596865E-2</v>
      </c>
      <c r="B145" s="1">
        <v>1.7054095650799999E-3</v>
      </c>
      <c r="C145" s="1">
        <v>1.1655812613700001E-4</v>
      </c>
      <c r="D145" s="1">
        <v>9.3500207279000004E-4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2.34935692834E-2</v>
      </c>
      <c r="B146" s="1">
        <v>1.6317246169900001E-3</v>
      </c>
      <c r="C146" s="1">
        <v>1.1155115057199999E-4</v>
      </c>
      <c r="D146" s="1">
        <v>9.4035209351799997E-4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2.37285049762E-2</v>
      </c>
      <c r="B147" s="1">
        <v>1.7951628025400001E-3</v>
      </c>
      <c r="C147" s="1">
        <v>1.18652822512E-4</v>
      </c>
      <c r="D147" s="1">
        <v>9.4575561445300004E-4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2.3965790026000001E-2</v>
      </c>
      <c r="B148" s="1">
        <v>1.8478671114699999E-3</v>
      </c>
      <c r="C148" s="1">
        <v>1.1850922035499999E-4</v>
      </c>
      <c r="D148" s="1">
        <v>9.5121317059800004E-4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2.42054479262E-2</v>
      </c>
      <c r="B149" s="1">
        <v>2.14171768339E-3</v>
      </c>
      <c r="C149" s="1">
        <v>1.2556228558600001E-4</v>
      </c>
      <c r="D149" s="1">
        <v>9.5672530230299997E-4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2.4447502405500001E-2</v>
      </c>
      <c r="B150" s="1">
        <v>2.4414263445399998E-3</v>
      </c>
      <c r="C150" s="1">
        <v>1.4380645302100001E-4</v>
      </c>
      <c r="D150" s="1">
        <v>9.62292555327E-4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2.4691977429599998E-2</v>
      </c>
      <c r="B151" s="1">
        <v>2.86215534843E-3</v>
      </c>
      <c r="C151" s="1">
        <v>1.5597589120400001E-4</v>
      </c>
      <c r="D151" s="1">
        <v>9.6791548087999996E-4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2.4938897203899999E-2</v>
      </c>
      <c r="B152" s="1">
        <v>2.8485800444799998E-3</v>
      </c>
      <c r="C152" s="1">
        <v>1.5741163627899999E-4</v>
      </c>
      <c r="D152" s="1">
        <v>9.7359463568899996E-4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2.51882861759E-2</v>
      </c>
      <c r="B153" s="1">
        <v>3.2098278949899998E-3</v>
      </c>
      <c r="C153" s="1">
        <v>1.6140109741700001E-4</v>
      </c>
      <c r="D153" s="86">
        <v>9.7933058204499992E-4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2.5440169037600002E-2</v>
      </c>
      <c r="B154" s="1">
        <v>3.0654790196800001E-3</v>
      </c>
      <c r="C154" s="1">
        <v>1.55468859875E-4</v>
      </c>
      <c r="D154" s="1">
        <v>9.8512388786599998E-4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2.5694570728E-2</v>
      </c>
      <c r="B155" s="1">
        <v>2.8672825344400001E-3</v>
      </c>
      <c r="C155" s="1">
        <v>1.45238479112E-4</v>
      </c>
      <c r="D155" s="1">
        <v>9.9097512674499997E-4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2.5951516435299998E-2</v>
      </c>
      <c r="B156" s="1">
        <v>2.8540260866200002E-3</v>
      </c>
      <c r="C156" s="1">
        <v>1.4452806744299999E-4</v>
      </c>
      <c r="D156" s="1">
        <v>9.9688487801200009E-4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2.6211031599700001E-2</v>
      </c>
      <c r="B157" s="1">
        <v>2.7716410352000001E-3</v>
      </c>
      <c r="C157" s="1">
        <v>1.45426886756E-4</v>
      </c>
      <c r="D157" s="1">
        <v>1.0028537267900001E-3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2.6473141915700001E-2</v>
      </c>
      <c r="B158" s="1">
        <v>2.4947583935200001E-3</v>
      </c>
      <c r="C158" s="1">
        <v>1.31552286475E-4</v>
      </c>
      <c r="D158" s="1">
        <v>1.00888226406E-3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2.6737873334799999E-2</v>
      </c>
      <c r="B159" s="1">
        <v>2.2175016227199999E-3</v>
      </c>
      <c r="C159" s="1">
        <v>1.22221935506E-4</v>
      </c>
      <c r="D159" s="1">
        <v>1.0149710867E-3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2.7005252068200002E-2</v>
      </c>
      <c r="B160" s="1">
        <v>1.9546754836300001E-3</v>
      </c>
      <c r="C160" s="1">
        <v>1.17800489726E-4</v>
      </c>
      <c r="D160" s="1">
        <v>1.02112079757E-3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2.7275304588799999E-2</v>
      </c>
      <c r="B161" s="1">
        <v>1.6191969449700001E-3</v>
      </c>
      <c r="C161" s="1">
        <v>1.07472047668E-4</v>
      </c>
      <c r="D161" s="1">
        <v>1.02733200554E-3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2.7548057634700002E-2</v>
      </c>
      <c r="B162" s="1">
        <v>1.3383994125599999E-3</v>
      </c>
      <c r="C162" s="1">
        <v>9.2044573326999999E-5</v>
      </c>
      <c r="D162" s="1">
        <v>1.0336053256E-3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2.78235382111E-2</v>
      </c>
      <c r="B163" s="1">
        <v>1.0555184848600001E-3</v>
      </c>
      <c r="C163" s="1">
        <v>8.5386203084499994E-5</v>
      </c>
      <c r="D163" s="1">
        <v>1.0399413788499999E-3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2.81017735932E-2</v>
      </c>
      <c r="B164" s="1">
        <v>8.51931081766E-4</v>
      </c>
      <c r="C164" s="1">
        <v>7.6042830928799997E-5</v>
      </c>
      <c r="D164" s="1">
        <v>1.0463407926400001E-3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2.8382791329100002E-2</v>
      </c>
      <c r="B165" s="1">
        <v>8.2859089306700005E-4</v>
      </c>
      <c r="C165" s="1">
        <v>7.7186759899399999E-5</v>
      </c>
      <c r="D165" s="1">
        <v>1.0528042005699999E-3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2.86666192424E-2</v>
      </c>
      <c r="B166" s="1">
        <v>6.7561595104400002E-4</v>
      </c>
      <c r="C166" s="1">
        <v>6.4355879077500005E-5</v>
      </c>
      <c r="D166" s="1">
        <v>1.05933224258E-3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2.89532854348E-2</v>
      </c>
      <c r="B167" s="1">
        <v>7.5834519519899998E-4</v>
      </c>
      <c r="C167" s="1">
        <v>6.9708886549799993E-5</v>
      </c>
      <c r="D167" s="1">
        <v>1.065925565E-3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2.9242818289200001E-2</v>
      </c>
      <c r="B168" s="1">
        <v>8.1066004783299998E-4</v>
      </c>
      <c r="C168" s="1">
        <v>7.1409314666200004E-5</v>
      </c>
      <c r="D168" s="1">
        <v>1.0725848206499999E-3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2.9535246472099999E-2</v>
      </c>
      <c r="B169" s="1">
        <v>9.19936708747E-4</v>
      </c>
      <c r="C169" s="1">
        <v>7.8173976978700006E-5</v>
      </c>
      <c r="D169" s="1">
        <v>1.0793106688599999E-3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2.9830598936799999E-2</v>
      </c>
      <c r="B170" s="1">
        <v>1.04875470926E-3</v>
      </c>
      <c r="C170" s="1">
        <v>8.3718096632999996E-5</v>
      </c>
      <c r="D170" s="1">
        <v>1.08610377555E-3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3.01289049262E-2</v>
      </c>
      <c r="B171" s="1">
        <v>1.18667528098E-3</v>
      </c>
      <c r="C171" s="1">
        <v>8.7894502922099998E-5</v>
      </c>
      <c r="D171" s="1">
        <v>1.0929648132999999E-3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3.0430193975400002E-2</v>
      </c>
      <c r="B172" s="1">
        <v>1.4339137960000001E-3</v>
      </c>
      <c r="C172" s="1">
        <v>1.00508939649E-4</v>
      </c>
      <c r="D172" s="1">
        <v>1.09989446143E-3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3.07344959152E-2</v>
      </c>
      <c r="B173" s="1">
        <v>1.5308249453299999E-3</v>
      </c>
      <c r="C173" s="1">
        <v>1.0363280187000001E-4</v>
      </c>
      <c r="D173" s="1">
        <v>1.1068934060499999E-3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3.1041840874300002E-2</v>
      </c>
      <c r="B174" s="1">
        <v>1.39908504886E-3</v>
      </c>
      <c r="C174" s="1">
        <v>9.4721126432900001E-5</v>
      </c>
      <c r="D174" s="1">
        <v>1.1139623401100001E-3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3.1352259283100002E-2</v>
      </c>
      <c r="B175" s="1">
        <v>1.2552463894099999E-3</v>
      </c>
      <c r="C175" s="1">
        <v>8.8490940354300004E-5</v>
      </c>
      <c r="D175" s="1">
        <v>1.1211019635100001E-3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3.1665781875900002E-2</v>
      </c>
      <c r="B176" s="1">
        <v>1.2580493361299999E-3</v>
      </c>
      <c r="C176" s="1">
        <v>8.9878520089799999E-5</v>
      </c>
      <c r="D176" s="1">
        <v>1.12831298315E-3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3.19824396947E-2</v>
      </c>
      <c r="B177" s="1">
        <v>1.2026095545999999E-3</v>
      </c>
      <c r="C177" s="1">
        <v>9.0305022949500004E-5</v>
      </c>
      <c r="D177" s="1">
        <v>1.1355961129799999E-3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3.2302264091600003E-2</v>
      </c>
      <c r="B178" s="1">
        <v>1.1629570015900001E-3</v>
      </c>
      <c r="C178" s="1">
        <v>9.0559396858499999E-5</v>
      </c>
      <c r="D178" s="1">
        <v>1.1429520741100001E-3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3.2625286732500001E-2</v>
      </c>
      <c r="B179" s="1">
        <v>8.5336054351799998E-4</v>
      </c>
      <c r="C179" s="1">
        <v>7.6214832912400006E-5</v>
      </c>
      <c r="D179" s="1">
        <v>1.15038159485E-3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3.29515395999E-2</v>
      </c>
      <c r="B180" s="1">
        <v>7.4146065713500005E-4</v>
      </c>
      <c r="C180" s="1">
        <v>7.2809130600299998E-5</v>
      </c>
      <c r="D180" s="1">
        <v>1.1578854107999999E-3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3.3281054995899999E-2</v>
      </c>
      <c r="B181" s="1">
        <v>4.9591370595399996E-4</v>
      </c>
      <c r="C181" s="1">
        <v>5.9699750046299997E-5</v>
      </c>
      <c r="D181" s="1">
        <v>1.1654642648999999E-3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3.3613865545800002E-2</v>
      </c>
      <c r="B182" s="1">
        <v>4.7517940167100001E-4</v>
      </c>
      <c r="C182" s="1">
        <v>5.8159698537899999E-5</v>
      </c>
      <c r="D182" s="1">
        <v>1.1731189075499999E-3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3.3950004201300003E-2</v>
      </c>
      <c r="B183" s="1">
        <v>3.95900682956E-4</v>
      </c>
      <c r="C183" s="1">
        <v>5.1305103451300001E-5</v>
      </c>
      <c r="D183" s="1">
        <v>1.18085009663E-3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3.4289504243299997E-2</v>
      </c>
      <c r="B184" s="1">
        <v>3.0889191021399998E-4</v>
      </c>
      <c r="C184" s="1">
        <v>4.7686984705400001E-5</v>
      </c>
      <c r="D184" s="1">
        <v>1.1886585976000001E-3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3.46323992857E-2</v>
      </c>
      <c r="B185" s="1">
        <v>4.17012400391E-4</v>
      </c>
      <c r="C185" s="1">
        <v>5.4994262872200003E-5</v>
      </c>
      <c r="D185" s="1">
        <v>1.1965451835699999E-3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3.49787232786E-2</v>
      </c>
      <c r="B186" s="1">
        <v>4.9110022674299998E-4</v>
      </c>
      <c r="C186" s="1">
        <v>5.8119835544799999E-5</v>
      </c>
      <c r="D186" s="1">
        <v>1.20451063541E-3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3.5328510511399999E-2</v>
      </c>
      <c r="B187" s="1">
        <v>4.7376687416000001E-4</v>
      </c>
      <c r="C187" s="1">
        <v>5.6242557801600002E-5</v>
      </c>
      <c r="D187" s="1">
        <v>1.2125557417599999E-3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3.5681795616499999E-2</v>
      </c>
      <c r="B188" s="1">
        <v>5.4129606882100004E-4</v>
      </c>
      <c r="C188" s="1">
        <v>5.86658210132E-5</v>
      </c>
      <c r="D188" s="1">
        <v>1.2206812991799999E-3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3.6038613572599999E-2</v>
      </c>
      <c r="B189" s="1">
        <v>7.6053829078100003E-4</v>
      </c>
      <c r="C189" s="1">
        <v>7.0908541340499993E-5</v>
      </c>
      <c r="D189" s="1">
        <v>1.2288881121700001E-3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3.63989997084E-2</v>
      </c>
      <c r="B190" s="1">
        <v>6.5252059498000002E-4</v>
      </c>
      <c r="C190" s="1">
        <v>6.2412755577299998E-5</v>
      </c>
      <c r="D190" s="1">
        <v>1.2371769932899999E-3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3.6762989705399998E-2</v>
      </c>
      <c r="B191" s="1">
        <v>7.05342708343E-4</v>
      </c>
      <c r="C191" s="1">
        <v>6.3165712619900002E-5</v>
      </c>
      <c r="D191" s="1">
        <v>1.24554876323E-3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3.7130619602499998E-2</v>
      </c>
      <c r="B192" s="1">
        <v>6.0654752385499999E-4</v>
      </c>
      <c r="C192" s="1">
        <v>6.1604923043800006E-5</v>
      </c>
      <c r="D192" s="1">
        <v>1.2540042508600001E-3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3.7501925798500001E-2</v>
      </c>
      <c r="B193" s="1">
        <v>6.2330061621300003E-4</v>
      </c>
      <c r="C193" s="1">
        <v>6.1689438041299995E-5</v>
      </c>
      <c r="D193" s="1">
        <v>1.2625442933699999E-3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3.7876945056500001E-2</v>
      </c>
      <c r="B194" s="1">
        <v>5.3483047601299999E-4</v>
      </c>
      <c r="C194" s="1">
        <v>5.7488110435399997E-5</v>
      </c>
      <c r="D194" s="1">
        <v>1.2711697363000001E-3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3.8255714507099997E-2</v>
      </c>
      <c r="B195" s="1">
        <v>4.3501696285000002E-4</v>
      </c>
      <c r="C195" s="1">
        <v>5.0062868970999997E-5</v>
      </c>
      <c r="D195" s="1">
        <v>1.2798814336599999E-3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3.8638271652100001E-2</v>
      </c>
      <c r="B196" s="1">
        <v>3.5163602411799997E-4</v>
      </c>
      <c r="C196" s="1">
        <v>4.6137522903000002E-5</v>
      </c>
      <c r="D196" s="1">
        <v>1.288680248E-3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3.90246543687E-2</v>
      </c>
      <c r="B197" s="1">
        <v>3.3385893377699998E-4</v>
      </c>
      <c r="C197" s="1">
        <v>4.3324348409500002E-5</v>
      </c>
      <c r="D197" s="1">
        <v>1.2975670504800001E-3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3.9414900912399999E-2</v>
      </c>
      <c r="B198" s="1">
        <v>2.3978650677999999E-4</v>
      </c>
      <c r="C198" s="1">
        <v>3.7521782201100002E-5</v>
      </c>
      <c r="D198" s="1">
        <v>1.30654272098E-3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3.98090499215E-2</v>
      </c>
      <c r="B199" s="1">
        <v>1.9329252367399999E-4</v>
      </c>
      <c r="C199" s="1">
        <v>3.77369537008E-5</v>
      </c>
      <c r="D199" s="1">
        <v>1.31560814819E-3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4.0207140420699998E-2</v>
      </c>
      <c r="B200" s="1">
        <v>1.9387578176200001E-4</v>
      </c>
      <c r="C200" s="1">
        <v>3.3438345903300002E-5</v>
      </c>
      <c r="D200" s="1">
        <v>1.32476422968E-3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4.0609211824900002E-2</v>
      </c>
      <c r="B201" s="1">
        <v>2.17885267044E-4</v>
      </c>
      <c r="C201" s="1">
        <v>3.54393141289E-5</v>
      </c>
      <c r="D201" s="1">
        <v>1.3340118719700001E-3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4.1015303943099997E-2</v>
      </c>
      <c r="B202" s="1">
        <v>2.2076524603500001E-4</v>
      </c>
      <c r="C202" s="1">
        <v>3.7458827350400002E-5</v>
      </c>
      <c r="D202" s="1">
        <v>1.3433519906900001E-3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4.1425456982600001E-2</v>
      </c>
      <c r="B203" s="1">
        <v>3.0267022666099997E-4</v>
      </c>
      <c r="C203" s="1">
        <v>4.1775665815300001E-5</v>
      </c>
      <c r="D203" s="1">
        <v>1.3527855106E-3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4.1839711552400002E-2</v>
      </c>
      <c r="B204" s="1">
        <v>3.0930359183000002E-4</v>
      </c>
      <c r="C204" s="1">
        <v>4.1945240904000001E-5</v>
      </c>
      <c r="D204" s="1">
        <v>1.36231336571E-3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4.2258108667900002E-2</v>
      </c>
      <c r="B205" s="1">
        <v>3.8112093340999999E-4</v>
      </c>
      <c r="C205" s="1">
        <v>4.7878296418599997E-5</v>
      </c>
      <c r="D205" s="1">
        <v>1.37193649936E-3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4.2680689754600001E-2</v>
      </c>
      <c r="B206" s="1">
        <v>4.1465912434E-4</v>
      </c>
      <c r="C206" s="1">
        <v>4.9885331836800003E-5</v>
      </c>
      <c r="D206" s="1">
        <v>1.3816558643600001E-3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4.3107496652199997E-2</v>
      </c>
      <c r="B207" s="1">
        <v>3.8567965026799997E-4</v>
      </c>
      <c r="C207" s="1">
        <v>4.7915853547699999E-5</v>
      </c>
      <c r="D207" s="1">
        <v>1.391472423E-3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4.3538571618699999E-2</v>
      </c>
      <c r="B208" s="1">
        <v>3.7340212798700001E-4</v>
      </c>
      <c r="C208" s="1">
        <v>4.8864445437799999E-5</v>
      </c>
      <c r="D208" s="1">
        <v>1.4013871472299999E-3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4.3973957334899998E-2</v>
      </c>
      <c r="B209" s="1">
        <v>2.9515864976600002E-4</v>
      </c>
      <c r="C209" s="1">
        <v>1.94160003879E-5</v>
      </c>
      <c r="D209" s="1">
        <v>1.4114010186999999E-3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4.4413696908199997E-2</v>
      </c>
      <c r="B210" s="1">
        <v>1.8624243352199999E-4</v>
      </c>
      <c r="C210" s="1">
        <v>1.5579777257900001E-5</v>
      </c>
      <c r="D210" s="1">
        <v>1.4215150288899999E-3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4.4857833877300003E-2</v>
      </c>
      <c r="B211" s="1">
        <v>1.46355060052E-4</v>
      </c>
      <c r="C211" s="1">
        <v>1.26806759416E-5</v>
      </c>
      <c r="D211" s="1">
        <v>1.43173017918E-3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4.5306412216100003E-2</v>
      </c>
      <c r="B212" s="1">
        <v>1.19232981265E-4</v>
      </c>
      <c r="C212" s="1">
        <v>1.10695261789E-5</v>
      </c>
      <c r="D212" s="1">
        <v>1.4420474809700001E-3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4.5759476338200003E-2</v>
      </c>
      <c r="B213" s="1">
        <v>1.3292350718300001E-4</v>
      </c>
      <c r="C213" s="1">
        <v>1.1354360153600001E-5</v>
      </c>
      <c r="D213" s="1">
        <v>1.4524679557800001E-3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4.6217071101599998E-2</v>
      </c>
      <c r="B214" s="1">
        <v>1.4309766116099999E-4</v>
      </c>
      <c r="C214" s="1">
        <v>1.1895464165599999E-5</v>
      </c>
      <c r="D214" s="1">
        <v>1.46299263534E-3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4.6679241812599997E-2</v>
      </c>
      <c r="B215" s="1">
        <v>1.8143924441499999E-4</v>
      </c>
      <c r="C215" s="1">
        <v>1.30202074625E-5</v>
      </c>
      <c r="D215" s="1">
        <v>1.47362256169E-3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4.71460342308E-2</v>
      </c>
      <c r="B216" s="1">
        <v>2.1913763943E-4</v>
      </c>
      <c r="C216" s="1">
        <v>1.45196529782E-5</v>
      </c>
      <c r="D216" s="1">
        <v>1.48435878731E-3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4.7617494573100001E-2</v>
      </c>
      <c r="B217" s="1">
        <v>2.4975556279399998E-4</v>
      </c>
      <c r="C217" s="1">
        <v>1.54257891154E-5</v>
      </c>
      <c r="D217" s="1">
        <v>1.4952023751800001E-3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4.8093669518800002E-2</v>
      </c>
      <c r="B218" s="1">
        <v>2.5555437599599997E-4</v>
      </c>
      <c r="C218" s="1">
        <v>1.5269436031099999E-5</v>
      </c>
      <c r="D218" s="1">
        <v>1.5061543989299999E-3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4.8574606213999998E-2</v>
      </c>
      <c r="B219" s="1">
        <v>2.42370126226E-4</v>
      </c>
      <c r="C219" s="1">
        <v>1.4797889741800001E-5</v>
      </c>
      <c r="D219" s="1">
        <v>1.51721594292E-3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4.9060352276099999E-2</v>
      </c>
      <c r="B220" s="1">
        <v>2.2183083794099999E-4</v>
      </c>
      <c r="C220" s="1">
        <v>1.4030675360199999E-5</v>
      </c>
      <c r="D220" s="1">
        <v>1.5283881023500001E-3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4.9550955798900002E-2</v>
      </c>
      <c r="B221" s="1">
        <v>2.0011992026699999E-4</v>
      </c>
      <c r="C221" s="1">
        <v>1.2962163698500001E-5</v>
      </c>
      <c r="D221" s="1">
        <v>1.5396719833700001E-3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5.0046465356900001E-2</v>
      </c>
      <c r="B222" s="1">
        <v>1.3989716094099999E-4</v>
      </c>
      <c r="C222" s="1">
        <v>1.06187121385E-5</v>
      </c>
      <c r="D222" s="1">
        <v>1.5510687032100001E-3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5.0546930010399997E-2</v>
      </c>
      <c r="B223" s="1">
        <v>9.7358367622300005E-5</v>
      </c>
      <c r="C223" s="1">
        <v>9.1628792384200007E-6</v>
      </c>
      <c r="D223" s="1">
        <v>1.56257939024E-3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5.1052399310499999E-2</v>
      </c>
      <c r="B224" s="1">
        <v>8.9615668990200003E-5</v>
      </c>
      <c r="C224" s="1">
        <v>8.9492661095999998E-6</v>
      </c>
      <c r="D224" s="1">
        <v>1.5742051841400001E-3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5.1562923303600003E-2</v>
      </c>
      <c r="B225" s="1">
        <v>7.6660804926E-5</v>
      </c>
      <c r="C225" s="1">
        <v>8.5219659459300002E-6</v>
      </c>
      <c r="D225" s="1">
        <v>1.58594723598E-3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5.2078552536699997E-2</v>
      </c>
      <c r="B226" s="1">
        <v>9.9815086361399998E-5</v>
      </c>
      <c r="C226" s="1">
        <v>9.21672381359E-6</v>
      </c>
      <c r="D226" s="1">
        <v>1.5978067083399999E-3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5.2599338062100001E-2</v>
      </c>
      <c r="B227" s="1">
        <v>1.2753543621300001E-4</v>
      </c>
      <c r="C227" s="1">
        <v>1.01007027322E-5</v>
      </c>
      <c r="D227" s="1">
        <v>1.6097847754299999E-3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5.31253314427E-2</v>
      </c>
      <c r="B228" s="1">
        <v>1.5432712744599999E-4</v>
      </c>
      <c r="C228" s="1">
        <v>1.14194112189E-5</v>
      </c>
      <c r="D228" s="1">
        <v>1.6218826231800001E-3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5.3656584757100001E-2</v>
      </c>
      <c r="B229" s="1">
        <v>1.5014359974299999E-4</v>
      </c>
      <c r="C229" s="1">
        <v>1.1417575004800001E-5</v>
      </c>
      <c r="D229" s="1">
        <v>1.6341014494100001E-3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5.4193150604700001E-2</v>
      </c>
      <c r="B230" s="1">
        <v>1.38270669336E-4</v>
      </c>
      <c r="C230" s="1">
        <v>1.06921387978E-5</v>
      </c>
      <c r="D230" s="1">
        <v>1.64644246391E-3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5.4735082110700002E-2</v>
      </c>
      <c r="B231" s="1">
        <v>1.32209302343E-4</v>
      </c>
      <c r="C231" s="1">
        <v>1.04881741304E-5</v>
      </c>
      <c r="D231" s="1">
        <v>1.65890688855E-3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5.5282432931799998E-2</v>
      </c>
      <c r="B232" s="1">
        <v>1.2562076445100001E-4</v>
      </c>
      <c r="C232" s="1">
        <v>1.0066728549600001E-5</v>
      </c>
      <c r="D232" s="1">
        <v>1.6714959574299999E-3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5.5835257261100002E-2</v>
      </c>
      <c r="B233" s="1">
        <v>1.02444667432E-4</v>
      </c>
      <c r="C233" s="1">
        <v>9.5357458093400004E-6</v>
      </c>
      <c r="D233" s="1">
        <v>1.6842109170100001E-3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5.6393609833799999E-2</v>
      </c>
      <c r="B234" s="1">
        <v>7.6232027130100004E-5</v>
      </c>
      <c r="C234" s="1">
        <v>7.6714801992599993E-6</v>
      </c>
      <c r="D234" s="1">
        <v>1.69705302618E-3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5.69575459321E-2</v>
      </c>
      <c r="B235" s="1">
        <v>5.69961411804E-5</v>
      </c>
      <c r="C235" s="1">
        <v>7.0943263703699998E-6</v>
      </c>
      <c r="D235" s="1">
        <v>1.7100235564399999E-3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5.7527121391400003E-2</v>
      </c>
      <c r="B236" s="1">
        <v>6.0383432298300002E-5</v>
      </c>
      <c r="C236" s="1">
        <v>7.03279563891E-6</v>
      </c>
      <c r="D236" s="1">
        <v>1.7231237920000001E-3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5.81023926053E-2</v>
      </c>
      <c r="B237" s="1">
        <v>7.42817695032E-5</v>
      </c>
      <c r="C237" s="1">
        <v>7.9095140391000007E-6</v>
      </c>
      <c r="D237" s="1">
        <v>1.73635502992E-3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5.8683416531400003E-2</v>
      </c>
      <c r="B238" s="1">
        <v>8.4656305333800002E-5</v>
      </c>
      <c r="C238" s="1">
        <v>8.2967781223699992E-6</v>
      </c>
      <c r="D238" s="1">
        <v>1.74971858022E-3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5.92702506967E-2</v>
      </c>
      <c r="B239" s="1">
        <v>1.07910856611E-4</v>
      </c>
      <c r="C239" s="1">
        <v>9.15198659292E-6</v>
      </c>
      <c r="D239" s="1">
        <v>1.7632157660200001E-3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5.9862953203699998E-2</v>
      </c>
      <c r="B240" s="1">
        <v>1.2065645735E-4</v>
      </c>
      <c r="C240" s="1">
        <v>9.7289958987399998E-6</v>
      </c>
      <c r="D240" s="1">
        <v>1.7768479236799999E-3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6.0461582735700001E-2</v>
      </c>
      <c r="B241" s="1">
        <v>1.04459996291E-4</v>
      </c>
      <c r="C241" s="1">
        <v>9.4822708153900006E-6</v>
      </c>
      <c r="D241" s="1">
        <v>1.79061640292E-3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6.1066198563099999E-2</v>
      </c>
      <c r="B242" s="1">
        <v>9.0688005378700005E-5</v>
      </c>
      <c r="C242" s="1">
        <v>8.9193871578399996E-6</v>
      </c>
      <c r="D242" s="1">
        <v>1.80452256695E-3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6.1676860548700002E-2</v>
      </c>
      <c r="B243" s="1">
        <v>5.8296688951599999E-5</v>
      </c>
      <c r="C243" s="1">
        <v>7.02149521946E-6</v>
      </c>
      <c r="D243" s="1">
        <v>1.8185677926199999E-3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6.2293629154200003E-2</v>
      </c>
      <c r="B244" s="1">
        <v>5.1478537382899997E-5</v>
      </c>
      <c r="C244" s="1">
        <v>6.5632679883699999E-6</v>
      </c>
      <c r="D244" s="1">
        <v>1.8327534705499999E-3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6.2916565445699998E-2</v>
      </c>
      <c r="B245" s="1">
        <v>5.9812544509499998E-5</v>
      </c>
      <c r="C245" s="1">
        <v>7.1078188097800003E-6</v>
      </c>
      <c r="D245" s="1">
        <v>1.8470810052500001E-3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6.3545731100199995E-2</v>
      </c>
      <c r="B246" s="1">
        <v>4.7243900811799999E-5</v>
      </c>
      <c r="C246" s="1">
        <v>6.6498399898599997E-6</v>
      </c>
      <c r="D246" s="1">
        <v>1.8615518153E-3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6.4181188411200005E-2</v>
      </c>
      <c r="B247" s="1">
        <v>5.2412723234600002E-5</v>
      </c>
      <c r="C247" s="1">
        <v>7.0510207957200001E-6</v>
      </c>
      <c r="D247" s="1">
        <v>1.87616733346E-3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6.4823000295299998E-2</v>
      </c>
      <c r="B248" s="1">
        <v>6.8546695994500006E-5</v>
      </c>
      <c r="C248" s="1">
        <v>7.5159210350600001E-6</v>
      </c>
      <c r="D248" s="1">
        <v>1.8909290067899999E-3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6.5471230298199998E-2</v>
      </c>
      <c r="B249" s="1">
        <v>6.7503824901100004E-5</v>
      </c>
      <c r="C249" s="1">
        <v>7.6995545959800007E-6</v>
      </c>
      <c r="D249" s="1">
        <v>1.9058382968600001E-3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6.61259426012E-2</v>
      </c>
      <c r="B250" s="1">
        <v>7.5513357816399997E-5</v>
      </c>
      <c r="C250" s="1">
        <v>8.1207501411100005E-6</v>
      </c>
      <c r="D250" s="1">
        <v>1.9208966798300001E-3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6.6787202027199996E-2</v>
      </c>
      <c r="B251" s="1">
        <v>5.37905770917E-5</v>
      </c>
      <c r="C251" s="1">
        <v>6.65711327904E-6</v>
      </c>
      <c r="D251" s="1">
        <v>1.93610564663E-3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6.7455074047499994E-2</v>
      </c>
      <c r="B252" s="1">
        <v>5.2302513004900003E-5</v>
      </c>
      <c r="C252" s="1">
        <v>6.53181406889E-6</v>
      </c>
      <c r="D252" s="1">
        <v>1.9514667030900001E-3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6.8129624787999998E-2</v>
      </c>
      <c r="B253" s="1">
        <v>4.0490090629799997E-5</v>
      </c>
      <c r="C253" s="1">
        <v>6.1532725210199999E-6</v>
      </c>
      <c r="D253" s="1">
        <v>1.9669813701200002E-3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6.8810921035900002E-2</v>
      </c>
      <c r="B254" s="1">
        <v>2.6003522695499999E-5</v>
      </c>
      <c r="C254" s="1">
        <v>4.8229435669599999E-6</v>
      </c>
      <c r="D254" s="1">
        <v>1.9826511838199998E-3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6.9499030246199994E-2</v>
      </c>
      <c r="B255" s="1">
        <v>4.3829208551200001E-5</v>
      </c>
      <c r="C255" s="1">
        <v>6.0722277603399998E-6</v>
      </c>
      <c r="D255" s="1">
        <v>1.9984776956599999E-3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7.0194020548699998E-2</v>
      </c>
      <c r="B256" s="1">
        <v>4.4620420135000001E-5</v>
      </c>
      <c r="C256" s="1">
        <v>5.9631301949200004E-6</v>
      </c>
      <c r="D256" s="1">
        <v>2.0144624726199998E-3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7.0895960754200002E-2</v>
      </c>
      <c r="B257" s="1">
        <v>5.5416988220600002E-5</v>
      </c>
      <c r="C257" s="1">
        <v>6.8119115388099999E-6</v>
      </c>
      <c r="D257" s="1">
        <v>2.0306070973499998E-3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7.1604920361700006E-2</v>
      </c>
      <c r="B258" s="1">
        <v>5.65112413436E-5</v>
      </c>
      <c r="C258" s="1">
        <v>6.6297411331400004E-6</v>
      </c>
      <c r="D258" s="1">
        <v>2.0469131683199999E-3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7.23209695653E-2</v>
      </c>
      <c r="B259" s="1">
        <v>4.36540903625E-5</v>
      </c>
      <c r="C259" s="1">
        <v>5.4623151400700001E-6</v>
      </c>
      <c r="D259" s="1">
        <v>2.0633823E-3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7.3044179261E-2</v>
      </c>
      <c r="B260" s="1">
        <v>3.8540553094500003E-5</v>
      </c>
      <c r="C260" s="1">
        <v>5.5882979652699999E-6</v>
      </c>
      <c r="D260" s="1">
        <v>2.080016123E-3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7.3774621053599998E-2</v>
      </c>
      <c r="B261" s="1">
        <v>3.4274512560200003E-5</v>
      </c>
      <c r="C261" s="1">
        <v>5.1124240809100002E-6</v>
      </c>
      <c r="D261" s="1">
        <v>2.0968162842299998E-3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7.4512367264100002E-2</v>
      </c>
      <c r="B262" s="1">
        <v>3.04919205409E-5</v>
      </c>
      <c r="C262" s="1">
        <v>4.7242458538499999E-6</v>
      </c>
      <c r="D262" s="1">
        <v>2.11378444707E-3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7.5257490936799995E-2</v>
      </c>
      <c r="B263" s="1">
        <v>2.9814100498600001E-5</v>
      </c>
      <c r="C263" s="1">
        <v>4.7212273068599997E-6</v>
      </c>
      <c r="D263" s="1">
        <v>2.1309222915499998E-3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7.6010065846099997E-2</v>
      </c>
      <c r="B264" s="1">
        <v>2.7556173284999998E-5</v>
      </c>
      <c r="C264" s="1">
        <v>4.5783021789099996E-6</v>
      </c>
      <c r="D264" s="1">
        <v>2.1482315144599998E-3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7.6770166504600001E-2</v>
      </c>
      <c r="B265" s="1">
        <v>3.2509915718599997E-5</v>
      </c>
      <c r="C265" s="1">
        <v>4.84202311875E-6</v>
      </c>
      <c r="D265" s="1">
        <v>2.1657138296100002E-3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7.7537868169599997E-2</v>
      </c>
      <c r="B266" s="1">
        <v>3.8014675907100003E-5</v>
      </c>
      <c r="C266" s="1">
        <v>5.3416429209599997E-6</v>
      </c>
      <c r="D266" s="1">
        <v>2.1833709679000002E-3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7.8313246851300006E-2</v>
      </c>
      <c r="B267" s="1">
        <v>4.1835275094999997E-5</v>
      </c>
      <c r="C267" s="1">
        <v>5.5780827996300002E-6</v>
      </c>
      <c r="D267" s="1">
        <v>2.2012046775799999E-3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7.90963793198E-2</v>
      </c>
      <c r="B268" s="1">
        <v>2.4579134901900001E-5</v>
      </c>
      <c r="C268" s="1">
        <v>4.3363535761900003E-6</v>
      </c>
      <c r="D268" s="1">
        <v>2.2192167243599999E-3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7.9887343112999998E-2</v>
      </c>
      <c r="B269" s="1">
        <v>1.7430728525400001E-5</v>
      </c>
      <c r="C269" s="1">
        <v>3.87539002071E-6</v>
      </c>
      <c r="D269" s="1">
        <v>2.2374088916000002E-3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8.0686216544199996E-2</v>
      </c>
      <c r="B270" s="1">
        <v>2.2225867840300001E-5</v>
      </c>
      <c r="C270" s="1">
        <v>3.9581040110700002E-6</v>
      </c>
      <c r="D270" s="1">
        <v>2.2557829805199998E-3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8.14930787096E-2</v>
      </c>
      <c r="B271" s="1">
        <v>2.3476675690000001E-5</v>
      </c>
      <c r="C271" s="1">
        <v>4.0314088943300001E-6</v>
      </c>
      <c r="D271" s="1">
        <v>2.27434081032E-3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8.2308009496700002E-2</v>
      </c>
      <c r="B272" s="1">
        <v>2.5349111255400001E-5</v>
      </c>
      <c r="C272" s="1">
        <v>4.3849172607000004E-6</v>
      </c>
      <c r="D272" s="1">
        <v>2.2930842184199999E-3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8.31310895917E-2</v>
      </c>
      <c r="B273" s="1">
        <v>2.4801722934800001E-5</v>
      </c>
      <c r="C273" s="1">
        <v>4.2939263415000004E-6</v>
      </c>
      <c r="D273" s="1">
        <v>2.3120150606099998E-3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8.3962400487599995E-2</v>
      </c>
      <c r="B274" s="1">
        <v>3.0994554201899997E-5</v>
      </c>
      <c r="C274" s="1">
        <v>4.8076897716999999E-6</v>
      </c>
      <c r="D274" s="1">
        <v>2.3311352112099998E-3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8.4802024492500003E-2</v>
      </c>
      <c r="B275" s="1">
        <v>2.3566490290299998E-5</v>
      </c>
      <c r="C275" s="1">
        <v>4.07392590578E-6</v>
      </c>
      <c r="D275" s="1">
        <v>2.3504465633299998E-3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8.5650044737399997E-2</v>
      </c>
      <c r="B276" s="1">
        <v>1.52125547717E-5</v>
      </c>
      <c r="C276" s="1">
        <v>3.7585352228300001E-6</v>
      </c>
      <c r="D276" s="1">
        <v>2.3699510289600001E-3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8.6506545184799999E-2</v>
      </c>
      <c r="B277" s="1">
        <v>2.2978949553200001E-5</v>
      </c>
      <c r="C277" s="1">
        <v>4.1900506016500001E-6</v>
      </c>
      <c r="D277" s="1">
        <v>2.3896505392499998E-3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8.7371610636599997E-2</v>
      </c>
      <c r="B278" s="1">
        <v>1.87117959959E-5</v>
      </c>
      <c r="C278" s="1">
        <v>2.1407094961299999E-6</v>
      </c>
      <c r="D278" s="1">
        <v>2.4095470446400002E-3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8.8245326742999994E-2</v>
      </c>
      <c r="B279" s="1">
        <v>2.5103720287199998E-5</v>
      </c>
      <c r="C279" s="1">
        <v>2.3649353405E-6</v>
      </c>
      <c r="D279" s="1">
        <v>2.4296425150899998E-3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8.9127780010400004E-2</v>
      </c>
      <c r="B280" s="1">
        <v>2.5023631886299999E-5</v>
      </c>
      <c r="C280" s="1">
        <v>2.2696517029999999E-6</v>
      </c>
      <c r="D280" s="1">
        <v>2.44993894024E-3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9.00190578105E-2</v>
      </c>
      <c r="B281" s="1">
        <v>2.07644558567E-5</v>
      </c>
      <c r="C281" s="1">
        <v>1.9502245712100001E-6</v>
      </c>
      <c r="D281" s="1">
        <v>2.4704383296399999E-3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9.0919248388599994E-2</v>
      </c>
      <c r="B282" s="1">
        <v>1.6651339318599999E-5</v>
      </c>
      <c r="C282" s="1">
        <v>1.84338735459E-6</v>
      </c>
      <c r="D282" s="1">
        <v>2.49114271294E-3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9.18284408725E-2</v>
      </c>
      <c r="B283" s="1">
        <v>2.0996001931600001E-5</v>
      </c>
      <c r="C283" s="1">
        <v>1.9602931121399998E-6</v>
      </c>
      <c r="D283" s="1">
        <v>2.51205414007E-3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9.2746725281199996E-2</v>
      </c>
      <c r="B284" s="1">
        <v>1.66333614675E-5</v>
      </c>
      <c r="C284" s="1">
        <v>1.77775686932E-6</v>
      </c>
      <c r="D284" s="1">
        <v>2.5331746814699998E-3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9.3674192534E-2</v>
      </c>
      <c r="B285" s="1">
        <v>2.0401396769700001E-5</v>
      </c>
      <c r="C285" s="1">
        <v>1.9695486962700002E-6</v>
      </c>
      <c r="D285" s="1">
        <v>2.5545064282799998E-3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9.4610934459399998E-2</v>
      </c>
      <c r="B286" s="1">
        <v>2.1780812887899999E-5</v>
      </c>
      <c r="C286" s="1">
        <v>1.9752424917000001E-6</v>
      </c>
      <c r="D286" s="1">
        <v>2.5760514925700002E-3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9.5557043804E-2</v>
      </c>
      <c r="B287" s="1">
        <v>2.03520412655E-5</v>
      </c>
      <c r="C287" s="1">
        <v>1.8877302925300001E-6</v>
      </c>
      <c r="D287" s="1">
        <v>2.5978120074900001E-3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9.6512614242E-2</v>
      </c>
      <c r="B288" s="1">
        <v>1.67486986613E-5</v>
      </c>
      <c r="C288" s="1">
        <v>1.71398121602E-6</v>
      </c>
      <c r="D288" s="1">
        <v>2.61979012757E-3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9.7477740384400005E-2</v>
      </c>
      <c r="B289" s="1">
        <v>1.5144555943000001E-5</v>
      </c>
      <c r="C289" s="1">
        <v>1.6386425298099999E-6</v>
      </c>
      <c r="D289" s="1">
        <v>2.6419880288399999E-3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9.8452517788299998E-2</v>
      </c>
      <c r="B290" s="1">
        <v>1.60305149623E-5</v>
      </c>
      <c r="C290" s="1">
        <v>1.6243510803999999E-6</v>
      </c>
      <c r="D290" s="1">
        <v>2.6644079091300002E-3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9.9437042966199998E-2</v>
      </c>
      <c r="B291" s="1">
        <v>1.5163411938200001E-5</v>
      </c>
      <c r="C291" s="1">
        <v>1.5955326429999999E-6</v>
      </c>
      <c r="D291" s="1">
        <v>2.68705198822E-3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0.10043141339599999</v>
      </c>
      <c r="B292" s="1">
        <v>1.5505993816399998E-5</v>
      </c>
      <c r="C292" s="1">
        <v>1.75302079612E-6</v>
      </c>
      <c r="D292" s="1">
        <v>2.7099225081E-3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0.10143572753000001</v>
      </c>
      <c r="B293" s="1">
        <v>1.6010251667499998E-5</v>
      </c>
      <c r="C293" s="1">
        <v>1.7576315627899999E-6</v>
      </c>
      <c r="D293" s="1">
        <v>2.73302173319E-3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0.10245008480499999</v>
      </c>
      <c r="B294" s="1">
        <v>1.3002466444300001E-5</v>
      </c>
      <c r="C294" s="1">
        <v>1.5876959286599999E-6</v>
      </c>
      <c r="D294" s="1">
        <v>2.7563519505200001E-3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0.103474585653</v>
      </c>
      <c r="B295" s="1">
        <v>1.3400695596399999E-5</v>
      </c>
      <c r="C295" s="1">
        <v>1.5724509297399999E-6</v>
      </c>
      <c r="D295" s="1">
        <v>2.7799154700199999E-3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0.10450933151</v>
      </c>
      <c r="B296" s="1">
        <v>1.26842864691E-5</v>
      </c>
      <c r="C296" s="1">
        <v>1.54462897282E-6</v>
      </c>
      <c r="D296" s="1">
        <v>2.8037146247199998E-3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0.10555442482500001</v>
      </c>
      <c r="B297" s="1">
        <v>1.31438875362E-5</v>
      </c>
      <c r="C297" s="1">
        <v>1.62100991558E-6</v>
      </c>
      <c r="D297" s="1">
        <v>2.82775177097E-3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0.10660996907299999</v>
      </c>
      <c r="B298" s="1">
        <v>1.20854980147E-5</v>
      </c>
      <c r="C298" s="1">
        <v>1.53207326401E-6</v>
      </c>
      <c r="D298" s="1">
        <v>2.8520292886799999E-3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0.107676068764</v>
      </c>
      <c r="B299" s="1">
        <v>1.30361224541E-5</v>
      </c>
      <c r="C299" s="1">
        <v>1.5048123413199999E-6</v>
      </c>
      <c r="D299" s="1">
        <v>2.87654958157E-3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0.108752829451</v>
      </c>
      <c r="B300" s="1">
        <v>1.15171409302E-5</v>
      </c>
      <c r="C300" s="1">
        <v>1.48947837728E-6</v>
      </c>
      <c r="D300" s="1">
        <v>2.9013150773800002E-3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0.109840357746</v>
      </c>
      <c r="B301" s="1">
        <v>1.09193397202E-5</v>
      </c>
      <c r="C301" s="1">
        <v>1.44996002354E-6</v>
      </c>
      <c r="D301" s="1">
        <v>2.9263282281600002E-3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0.110938761323</v>
      </c>
      <c r="B302" s="1">
        <v>1.0829536337800001E-5</v>
      </c>
      <c r="C302" s="1">
        <v>1.3951069105199999E-6</v>
      </c>
      <c r="D302" s="1">
        <v>2.9515915104400001E-3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0.11204814893700001</v>
      </c>
      <c r="B303" s="1">
        <v>8.7675715871199992E-6</v>
      </c>
      <c r="C303" s="1">
        <v>1.25306883995E-6</v>
      </c>
      <c r="D303" s="1">
        <v>2.97710742554E-3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0.11316863042600001</v>
      </c>
      <c r="B304" s="1">
        <v>9.0014183690199992E-6</v>
      </c>
      <c r="C304" s="1">
        <v>1.3165059261799999E-6</v>
      </c>
      <c r="D304" s="1">
        <v>3.0028784998000001E-3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0.11430031673</v>
      </c>
      <c r="B305" s="1">
        <v>1.04156403678E-5</v>
      </c>
      <c r="C305" s="1">
        <v>1.38640914957E-6</v>
      </c>
      <c r="D305" s="1">
        <v>3.0289072847900001E-3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0.115443319898</v>
      </c>
      <c r="B306" s="1">
        <v>1.04730022101E-5</v>
      </c>
      <c r="C306" s="1">
        <v>1.3405662823199999E-6</v>
      </c>
      <c r="D306" s="1">
        <v>3.0551963576400001E-3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0.116597753096</v>
      </c>
      <c r="B307" s="1">
        <v>9.9906566487800007E-6</v>
      </c>
      <c r="C307" s="1">
        <v>1.3549448216400001E-6</v>
      </c>
      <c r="D307" s="1">
        <v>3.0817483212199999E-3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0.117763730627</v>
      </c>
      <c r="B308" s="1">
        <v>1.02282606916E-5</v>
      </c>
      <c r="C308" s="1">
        <v>1.34421251074E-6</v>
      </c>
      <c r="D308" s="1">
        <v>3.1085658044299998E-3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0.11894136793399999</v>
      </c>
      <c r="B309" s="1">
        <v>8.6494929852800005E-6</v>
      </c>
      <c r="C309" s="1">
        <v>1.3178483104899999E-6</v>
      </c>
      <c r="D309" s="1">
        <v>3.1356514624800002E-3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0.120130781613</v>
      </c>
      <c r="B310" s="1">
        <v>9.4322588868100003E-6</v>
      </c>
      <c r="C310" s="1">
        <v>1.36694367039E-6</v>
      </c>
      <c r="D310" s="1">
        <v>3.1630079771000001E-3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0.12133208942900001</v>
      </c>
      <c r="B311" s="1">
        <v>7.5908708782500001E-6</v>
      </c>
      <c r="C311" s="1">
        <v>1.21347413864E-6</v>
      </c>
      <c r="D311" s="1">
        <v>3.19063805687E-3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0.122545410323</v>
      </c>
      <c r="B312" s="1">
        <v>6.2706715423899996E-6</v>
      </c>
      <c r="C312" s="1">
        <v>1.0835297316000001E-6</v>
      </c>
      <c r="D312" s="1">
        <v>3.2185444374399999E-3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0.123770864427</v>
      </c>
      <c r="B313" s="1">
        <v>7.2334554197900001E-6</v>
      </c>
      <c r="C313" s="1">
        <v>1.1763752118700001E-6</v>
      </c>
      <c r="D313" s="1">
        <v>3.2467298818099999E-3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0.125008573071</v>
      </c>
      <c r="B314" s="1">
        <v>8.0825631790300001E-6</v>
      </c>
      <c r="C314" s="1">
        <v>1.2528486709699999E-6</v>
      </c>
      <c r="D314" s="1">
        <v>3.2751971806300002E-3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0.12625865880199999</v>
      </c>
      <c r="B315" s="1">
        <v>6.5047357865799996E-6</v>
      </c>
      <c r="C315" s="1">
        <v>1.1891725917300001E-6</v>
      </c>
      <c r="D315" s="1">
        <v>3.3039491524399999E-3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0.12752124539000001</v>
      </c>
      <c r="B316" s="1">
        <v>6.0330196047200001E-6</v>
      </c>
      <c r="C316" s="1">
        <v>1.10048021204E-6</v>
      </c>
      <c r="D316" s="1">
        <v>3.3329886439600002E-3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0.12879645784400001</v>
      </c>
      <c r="B317" s="1">
        <v>4.8727947043500004E-6</v>
      </c>
      <c r="C317" s="1">
        <v>1.0236110078499999E-6</v>
      </c>
      <c r="D317" s="1">
        <v>3.3623185304E-3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0.130084422422</v>
      </c>
      <c r="B318" s="1">
        <v>4.5197185335099997E-6</v>
      </c>
      <c r="C318" s="1">
        <v>1.01036931215E-6</v>
      </c>
      <c r="D318" s="1">
        <v>3.3919417157099998E-3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0.131385266646</v>
      </c>
      <c r="B319" s="1">
        <v>5.5518934932600003E-6</v>
      </c>
      <c r="C319" s="1">
        <v>1.0671940578E-6</v>
      </c>
      <c r="D319" s="1">
        <v>3.4218611328599999E-3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0.13269911931299999</v>
      </c>
      <c r="B320" s="1">
        <v>6.2447477798999999E-6</v>
      </c>
      <c r="C320" s="1">
        <v>1.09170579912E-6</v>
      </c>
      <c r="D320" s="1">
        <v>3.4520797441899998E-3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0.134026110506</v>
      </c>
      <c r="B321" s="1">
        <v>5.0670997054199998E-6</v>
      </c>
      <c r="C321" s="1">
        <v>1.0012641511700001E-6</v>
      </c>
      <c r="D321" s="1">
        <v>3.4826005416300002E-3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0.13536637161100001</v>
      </c>
      <c r="B322" s="1">
        <v>4.9148491964800001E-6</v>
      </c>
      <c r="C322" s="1">
        <v>1.03227482657E-6</v>
      </c>
      <c r="D322" s="1">
        <v>3.51342654705E-3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0.136720035327</v>
      </c>
      <c r="B323" s="1">
        <v>4.65679743629E-6</v>
      </c>
      <c r="C323" s="1">
        <v>9.7829864019699991E-7</v>
      </c>
      <c r="D323" s="1">
        <v>3.5445608125200001E-3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0.13808723568</v>
      </c>
      <c r="B324" s="1">
        <v>4.6675451469100004E-6</v>
      </c>
      <c r="C324" s="1">
        <v>9.7474626310699991E-7</v>
      </c>
      <c r="D324" s="1">
        <v>3.5760064206500001E-3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0.13946810803699999</v>
      </c>
      <c r="B325" s="1">
        <v>4.8077642573199999E-6</v>
      </c>
      <c r="C325" s="1">
        <v>9.756827330120001E-7</v>
      </c>
      <c r="D325" s="1">
        <v>3.6077664848500001E-3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0.14086278911700001</v>
      </c>
      <c r="B326" s="1">
        <v>5.4338544321900001E-6</v>
      </c>
      <c r="C326" s="1">
        <v>1.0058519533000001E-6</v>
      </c>
      <c r="D326" s="1">
        <v>3.6398441496999999E-3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0.14227141700900001</v>
      </c>
      <c r="B327" s="1">
        <v>4.3627829675799996E-6</v>
      </c>
      <c r="C327" s="1">
        <v>8.7317578013399996E-7</v>
      </c>
      <c r="D327" s="1">
        <v>3.6722425912E-3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0.14369413117900001</v>
      </c>
      <c r="B328" s="1">
        <v>2.5658004756099999E-6</v>
      </c>
      <c r="C328" s="1">
        <v>7.2546354969199997E-7</v>
      </c>
      <c r="D328" s="1">
        <v>3.7049650171100002E-3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0.14513107249099999</v>
      </c>
      <c r="B329" s="1">
        <v>4.2148222125700002E-6</v>
      </c>
      <c r="C329" s="1">
        <v>8.9893955072899995E-7</v>
      </c>
      <c r="D329" s="1">
        <v>3.7380146672799999E-3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0.146582383215</v>
      </c>
      <c r="B330" s="1">
        <v>2.7487992816700002E-6</v>
      </c>
      <c r="C330" s="1">
        <v>8.2928519434900004E-7</v>
      </c>
      <c r="D330" s="1">
        <v>3.7713948139499998E-3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0.14804820704800001</v>
      </c>
      <c r="B331" s="1">
        <v>3.2942487556000001E-6</v>
      </c>
      <c r="C331" s="1">
        <v>8.0445029138899996E-7</v>
      </c>
      <c r="D331" s="1">
        <v>3.8051087620899998E-3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0.14952868911799999</v>
      </c>
      <c r="B332" s="1">
        <v>3.2556303432100001E-6</v>
      </c>
      <c r="C332" s="1">
        <v>7.7519630569799998E-7</v>
      </c>
      <c r="D332" s="1">
        <v>3.8391598497200001E-3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0.151023976009</v>
      </c>
      <c r="B333" s="1">
        <v>2.1645447380999999E-6</v>
      </c>
      <c r="C333" s="1">
        <v>6.8704111342499995E-7</v>
      </c>
      <c r="D333" s="1">
        <v>3.8735514482100002E-3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0.152534215769</v>
      </c>
      <c r="B334" s="1">
        <v>3.1667260551199999E-6</v>
      </c>
      <c r="C334" s="1">
        <v>7.6941167423000003E-7</v>
      </c>
      <c r="D334" s="1">
        <v>3.9082869626900002E-3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0.15405955792699999</v>
      </c>
      <c r="B335" s="1">
        <v>3.6161929327300001E-6</v>
      </c>
      <c r="C335" s="1">
        <v>8.1065014500800003E-7</v>
      </c>
      <c r="D335" s="1">
        <v>3.9433698323199998E-3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0.15560015350600001</v>
      </c>
      <c r="B336" s="1">
        <v>2.8600686916899998E-6</v>
      </c>
      <c r="C336" s="1">
        <v>7.6405671097800002E-7</v>
      </c>
      <c r="D336" s="1">
        <v>3.9788035306400002E-3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0.157156155041</v>
      </c>
      <c r="B337" s="1">
        <v>2.27658527953E-6</v>
      </c>
      <c r="C337" s="1">
        <v>6.7356728782199997E-7</v>
      </c>
      <c r="D337" s="1">
        <v>4.0145915659500001E-3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0.158727716592</v>
      </c>
      <c r="B338" s="1">
        <v>2.3616240311099999E-6</v>
      </c>
      <c r="C338" s="1">
        <v>6.8360614874599999E-7</v>
      </c>
      <c r="D338" s="1">
        <v>4.0507374816099997E-3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0.16031499375800001</v>
      </c>
      <c r="B339" s="1">
        <v>3.6384212450999999E-6</v>
      </c>
      <c r="C339" s="1">
        <v>8.0171972303499999E-7</v>
      </c>
      <c r="D339" s="1">
        <v>4.0872448564300001E-3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0.16191814369499999</v>
      </c>
      <c r="B340" s="1">
        <v>2.4331223629700002E-6</v>
      </c>
      <c r="C340" s="1">
        <v>7.2317095911799997E-7</v>
      </c>
      <c r="D340" s="1">
        <v>4.1241173049900003E-3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0.16353732513200001</v>
      </c>
      <c r="B341" s="1">
        <v>2.2105129603300001E-6</v>
      </c>
      <c r="C341" s="1">
        <v>6.9819649936799997E-7</v>
      </c>
      <c r="D341" s="1">
        <v>4.1613584780400004E-3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0.16517269838400001</v>
      </c>
      <c r="B342" s="1">
        <v>2.1996442398900001E-6</v>
      </c>
      <c r="C342" s="1">
        <v>6.8641682451200002E-7</v>
      </c>
      <c r="D342" s="1">
        <v>4.1989720628199997E-3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0.16682442536700001</v>
      </c>
      <c r="B343" s="1">
        <v>1.50669114096E-6</v>
      </c>
      <c r="C343" s="1">
        <v>6.5254027826099996E-7</v>
      </c>
      <c r="D343" s="1">
        <v>4.2369617834500002E-3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0.16849266962100001</v>
      </c>
      <c r="B344" s="1">
        <v>1.6202080475700001E-6</v>
      </c>
      <c r="C344" s="1">
        <v>6.1761522306399999E-7</v>
      </c>
      <c r="D344" s="1">
        <v>4.27533140128E-3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0.170177596317</v>
      </c>
      <c r="B345" s="1">
        <v>1.8714991646800001E-6</v>
      </c>
      <c r="C345" s="1">
        <v>6.6798056134299996E-7</v>
      </c>
      <c r="D345" s="1">
        <v>4.3140847152999999E-3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0.17187937228</v>
      </c>
      <c r="B346" s="1">
        <v>2.2229169661700002E-6</v>
      </c>
      <c r="C346" s="1">
        <v>6.6673113096200005E-7</v>
      </c>
      <c r="D346" s="1">
        <v>4.3532255624500003E-3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0.17359816600299999</v>
      </c>
      <c r="B347" s="1">
        <v>3.4019379477700001E-6</v>
      </c>
      <c r="C347" s="1">
        <v>7.5278809132399997E-7</v>
      </c>
      <c r="D347" s="1">
        <v>4.3927578180700004E-3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0.17533414766300001</v>
      </c>
      <c r="B348" s="1">
        <v>1.66125303505E-6</v>
      </c>
      <c r="C348" s="1">
        <v>6.2366204538099999E-7</v>
      </c>
      <c r="D348" s="1">
        <v>4.4326853962600001E-3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0.17708748914</v>
      </c>
      <c r="B349" s="1">
        <v>1.7556973649E-6</v>
      </c>
      <c r="C349" s="1">
        <v>6.3857359194700002E-7</v>
      </c>
      <c r="D349" s="1">
        <v>4.4730122502200003E-3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0.178858364031</v>
      </c>
      <c r="B350" s="1">
        <v>1.35171046878E-6</v>
      </c>
      <c r="C350" s="1">
        <v>5.7418597906400002E-7</v>
      </c>
      <c r="D350" s="1">
        <v>4.5137423727200001E-3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0.18064694767200001</v>
      </c>
      <c r="B351" s="1">
        <v>1.06877547367E-6</v>
      </c>
      <c r="C351" s="1">
        <v>5.6198383815199996E-7</v>
      </c>
      <c r="D351" s="1">
        <v>4.5548797964500001E-3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0.18612073083299999</v>
      </c>
      <c r="B352" s="1">
        <v>9.4891423804500001E-7</v>
      </c>
      <c r="C352" s="1">
        <v>5.5279058495099996E-7</v>
      </c>
      <c r="D352" s="1">
        <v>4.6807768091599996E-3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0.187981938141</v>
      </c>
      <c r="B353" s="1">
        <v>2.00444499708E-6</v>
      </c>
      <c r="C353" s="1">
        <v>6.4722134330099998E-7</v>
      </c>
      <c r="D353" s="1">
        <v>4.7235845772499998E-3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0.189861757523</v>
      </c>
      <c r="B354" s="1">
        <v>9.0659358089100003E-7</v>
      </c>
      <c r="C354" s="1">
        <v>5.0058421429299996E-7</v>
      </c>
      <c r="D354" s="1">
        <v>4.7668204230199998E-3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0.19176037509800001</v>
      </c>
      <c r="B355" s="1">
        <v>1.0200865801099999E-6</v>
      </c>
      <c r="C355" s="1">
        <v>4.7544617487099999E-7</v>
      </c>
      <c r="D355" s="1">
        <v>4.8104886272500001E-3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0.19367797884900001</v>
      </c>
      <c r="B356" s="1">
        <v>1.84316431169E-6</v>
      </c>
      <c r="C356" s="1">
        <v>5.83412207797E-7</v>
      </c>
      <c r="D356" s="1">
        <v>4.8545935135299997E-3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0.19561475863700001</v>
      </c>
      <c r="B357" s="1">
        <v>1.6145531168299999E-6</v>
      </c>
      <c r="C357" s="1">
        <v>6.1521805236599997E-7</v>
      </c>
      <c r="D357" s="1">
        <v>4.89913944866E-3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0.197570906224</v>
      </c>
      <c r="B358" s="1">
        <v>1.3917497907700001E-6</v>
      </c>
      <c r="C358" s="1">
        <v>5.8042450022100003E-7</v>
      </c>
      <c r="D358" s="1">
        <v>4.94413084315E-3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2021-06-28T14:33:57Z</dcterms:modified>
</cp:coreProperties>
</file>