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queryTables/queryTable1.xml" ContentType="application/vnd.openxmlformats-officedocument.spreadsheetml.queryTable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8_{FE721F0B-5A8C-4FDA-AF01-C853A071B1EE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73" r:id="rId2"/>
    <sheet name="dTotal" sheetId="45" r:id="rId3"/>
    <sheet name="density" sheetId="66" r:id="rId4"/>
    <sheet name="f_PEO" sheetId="67" r:id="rId5"/>
    <sheet name="sigDstack" sheetId="52" r:id="rId6"/>
    <sheet name="dSiOx" sheetId="70" r:id="rId7"/>
    <sheet name="NbBPEI" sheetId="72" r:id="rId8"/>
    <sheet name="NbSi" sheetId="74" r:id="rId9"/>
    <sheet name="NbD" sheetId="75" r:id="rId10"/>
    <sheet name="ScaledCombined" sheetId="18" r:id="rId11"/>
    <sheet name="ScatteringParameters" sheetId="7" r:id="rId12"/>
    <sheet name="AtomicParameters" sheetId="6" r:id="rId13"/>
  </sheets>
  <functionGroups builtInGroupCount="19"/>
  <definedNames>
    <definedName name="REF_L_2790_2008_01_10T13_3A40_3A12_04_3A00_CE_scaling" localSheetId="10">ScaledCombined!$A$1:$M$267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4" i="1"/>
  <c r="C13" i="73"/>
  <c r="B13" i="73"/>
  <c r="B8" i="73"/>
  <c r="B11" i="73" s="1"/>
  <c r="C8" i="73"/>
  <c r="C7" i="73"/>
  <c r="B7" i="73"/>
  <c r="B12" i="73" s="1"/>
  <c r="C5" i="73"/>
  <c r="B5" i="73"/>
  <c r="C3" i="73"/>
  <c r="B3" i="73"/>
  <c r="C2" i="73"/>
  <c r="B2" i="73"/>
  <c r="C5" i="1"/>
  <c r="B10" i="73" s="1"/>
  <c r="C10" i="73" l="1"/>
  <c r="G6" i="1"/>
  <c r="X128" i="1"/>
  <c r="Y128" i="1" s="1"/>
  <c r="X129" i="1"/>
  <c r="Y129" i="1" s="1"/>
  <c r="X130" i="1"/>
  <c r="Y130" i="1" s="1"/>
  <c r="X131" i="1"/>
  <c r="Y131" i="1" s="1"/>
  <c r="X132" i="1"/>
  <c r="Y132" i="1" s="1"/>
  <c r="X133" i="1"/>
  <c r="Y133" i="1" s="1"/>
  <c r="X134" i="1"/>
  <c r="Y134" i="1" s="1"/>
  <c r="X135" i="1"/>
  <c r="Y135" i="1" s="1"/>
  <c r="X136" i="1"/>
  <c r="Y136" i="1" s="1"/>
  <c r="X137" i="1"/>
  <c r="Y137" i="1" s="1"/>
  <c r="X138" i="1"/>
  <c r="Y138" i="1" s="1"/>
  <c r="X139" i="1"/>
  <c r="Y139" i="1" s="1"/>
  <c r="X140" i="1"/>
  <c r="Y140" i="1" s="1"/>
  <c r="X141" i="1"/>
  <c r="Y141" i="1" s="1"/>
  <c r="X142" i="1"/>
  <c r="Y142" i="1" s="1"/>
  <c r="X143" i="1"/>
  <c r="Y143" i="1" s="1"/>
  <c r="X144" i="1"/>
  <c r="Y144" i="1" s="1"/>
  <c r="X145" i="1"/>
  <c r="Y145" i="1" s="1"/>
  <c r="X146" i="1"/>
  <c r="Y146" i="1" s="1"/>
  <c r="X147" i="1"/>
  <c r="Y147" i="1" s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Y153" i="1" s="1"/>
  <c r="X154" i="1"/>
  <c r="Y154" i="1" s="1"/>
  <c r="X155" i="1"/>
  <c r="Y155" i="1" s="1"/>
  <c r="X156" i="1"/>
  <c r="Y156" i="1" s="1"/>
  <c r="X157" i="1"/>
  <c r="Y157" i="1" s="1"/>
  <c r="X158" i="1"/>
  <c r="Y158" i="1" s="1"/>
  <c r="X159" i="1"/>
  <c r="Y159" i="1" s="1"/>
  <c r="X160" i="1"/>
  <c r="Y160" i="1" s="1"/>
  <c r="X161" i="1"/>
  <c r="Y161" i="1" s="1"/>
  <c r="X162" i="1"/>
  <c r="Y162" i="1" s="1"/>
  <c r="X163" i="1"/>
  <c r="Y163" i="1" s="1"/>
  <c r="X164" i="1"/>
  <c r="Y164" i="1" s="1"/>
  <c r="X165" i="1"/>
  <c r="Y165" i="1" s="1"/>
  <c r="X166" i="1"/>
  <c r="Y166" i="1" s="1"/>
  <c r="X167" i="1"/>
  <c r="Y167" i="1" s="1"/>
  <c r="X168" i="1"/>
  <c r="Y168" i="1" s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Y174" i="1" s="1"/>
  <c r="X175" i="1"/>
  <c r="Y175" i="1" s="1"/>
  <c r="X176" i="1"/>
  <c r="Y176" i="1" s="1"/>
  <c r="X177" i="1"/>
  <c r="Y177" i="1" s="1"/>
  <c r="X178" i="1"/>
  <c r="Y178" i="1" s="1"/>
  <c r="X179" i="1"/>
  <c r="Y179" i="1" s="1"/>
  <c r="X180" i="1"/>
  <c r="Y180" i="1" s="1"/>
  <c r="X181" i="1"/>
  <c r="Y181" i="1" s="1"/>
  <c r="X182" i="1"/>
  <c r="Y182" i="1" s="1"/>
  <c r="X183" i="1"/>
  <c r="Y183" i="1" s="1"/>
  <c r="X184" i="1"/>
  <c r="Y184" i="1" s="1"/>
  <c r="X185" i="1"/>
  <c r="Y185" i="1" s="1"/>
  <c r="X186" i="1"/>
  <c r="Y186" i="1" s="1"/>
  <c r="X187" i="1"/>
  <c r="Y187" i="1" s="1"/>
  <c r="X188" i="1"/>
  <c r="Y188" i="1" s="1"/>
  <c r="X189" i="1"/>
  <c r="Y189" i="1" s="1"/>
  <c r="X190" i="1"/>
  <c r="Y190" i="1" s="1"/>
  <c r="X191" i="1"/>
  <c r="Y191" i="1" s="1"/>
  <c r="X192" i="1"/>
  <c r="Y192" i="1" s="1"/>
  <c r="X193" i="1"/>
  <c r="Y193" i="1" s="1"/>
  <c r="X194" i="1"/>
  <c r="Y194" i="1" s="1"/>
  <c r="X195" i="1"/>
  <c r="Y195" i="1" s="1"/>
  <c r="X196" i="1"/>
  <c r="Y196" i="1" s="1"/>
  <c r="X197" i="1"/>
  <c r="Y197" i="1" s="1"/>
  <c r="X198" i="1"/>
  <c r="Y198" i="1" s="1"/>
  <c r="X199" i="1"/>
  <c r="Y199" i="1" s="1"/>
  <c r="X200" i="1"/>
  <c r="Y200" i="1" s="1"/>
  <c r="X201" i="1"/>
  <c r="Y201" i="1" s="1"/>
  <c r="X202" i="1"/>
  <c r="Y202" i="1" s="1"/>
  <c r="X203" i="1"/>
  <c r="Y203" i="1" s="1"/>
  <c r="X204" i="1"/>
  <c r="Y204" i="1" s="1"/>
  <c r="X205" i="1"/>
  <c r="Y205" i="1" s="1"/>
  <c r="X206" i="1"/>
  <c r="Y206" i="1" s="1"/>
  <c r="X207" i="1"/>
  <c r="Y207" i="1" s="1"/>
  <c r="X208" i="1"/>
  <c r="Y208" i="1" s="1"/>
  <c r="X209" i="1"/>
  <c r="Y209" i="1" s="1"/>
  <c r="X210" i="1"/>
  <c r="Y210" i="1" s="1"/>
  <c r="X211" i="1"/>
  <c r="Y211" i="1" s="1"/>
  <c r="X212" i="1"/>
  <c r="Y212" i="1" s="1"/>
  <c r="X213" i="1"/>
  <c r="Y213" i="1" s="1"/>
  <c r="X214" i="1"/>
  <c r="Y214" i="1" s="1"/>
  <c r="X215" i="1"/>
  <c r="Y215" i="1" s="1"/>
  <c r="X216" i="1"/>
  <c r="Y216" i="1" s="1"/>
  <c r="X217" i="1"/>
  <c r="Y217" i="1" s="1"/>
  <c r="X218" i="1"/>
  <c r="Y218" i="1" s="1"/>
  <c r="X219" i="1"/>
  <c r="Y219" i="1" s="1"/>
  <c r="X220" i="1"/>
  <c r="Y220" i="1" s="1"/>
  <c r="X221" i="1"/>
  <c r="Y221" i="1" s="1"/>
  <c r="X222" i="1"/>
  <c r="Y222" i="1" s="1"/>
  <c r="X223" i="1"/>
  <c r="Y223" i="1" s="1"/>
  <c r="X224" i="1"/>
  <c r="Y224" i="1" s="1"/>
  <c r="X225" i="1"/>
  <c r="Y225" i="1" s="1"/>
  <c r="X226" i="1"/>
  <c r="Y226" i="1" s="1"/>
  <c r="X227" i="1"/>
  <c r="Y227" i="1" s="1"/>
  <c r="X228" i="1"/>
  <c r="Y228" i="1" s="1"/>
  <c r="X229" i="1"/>
  <c r="Y229" i="1" s="1"/>
  <c r="X230" i="1"/>
  <c r="Y230" i="1" s="1"/>
  <c r="F5" i="1" l="1"/>
  <c r="F4" i="1"/>
  <c r="X3" i="1" l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 s="1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83" i="1" l="1"/>
  <c r="Y104" i="1"/>
  <c r="Y67" i="1"/>
  <c r="Y111" i="1"/>
  <c r="Y99" i="1"/>
  <c r="Y92" i="1"/>
  <c r="Y51" i="1"/>
  <c r="Y123" i="1"/>
  <c r="Y121" i="1"/>
  <c r="Y72" i="1"/>
  <c r="Y87" i="1"/>
  <c r="Y29" i="1"/>
  <c r="Y56" i="1"/>
  <c r="Y85" i="1"/>
  <c r="Y25" i="1"/>
  <c r="Y52" i="1"/>
  <c r="Y5" i="1"/>
  <c r="Y124" i="1"/>
  <c r="Y109" i="1"/>
  <c r="Y37" i="1"/>
  <c r="Y53" i="1"/>
  <c r="Y126" i="1"/>
  <c r="Y34" i="1"/>
  <c r="Y93" i="1"/>
  <c r="Y36" i="1"/>
  <c r="Y122" i="1"/>
  <c r="Y62" i="1"/>
  <c r="Y110" i="1"/>
  <c r="Y21" i="1"/>
  <c r="Y22" i="1"/>
  <c r="Y17" i="1"/>
  <c r="Y10" i="1"/>
  <c r="Y115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473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<sst xmlns="http://schemas.openxmlformats.org/spreadsheetml/2006/main" count="1119" uniqueCount="639">
  <si>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</si>
  <si>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</si>
  <si>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</si>
  <si>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</si>
  <si>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</si>
  <si>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</si>
  <si>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</si>
  <si>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</si>
  <si>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</si>
  <si>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</si>
  <si>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</si>
  <si>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</si>
  <si>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</si>
  <si>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</si>
  <si>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</si>
  <si>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</si>
  <si>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</si>
  <si>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</si>
  <si>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</si>
  <si>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</si>
  <si>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</si>
  <si>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</si>
  <si>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</si>
  <si>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</si>
  <si>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</si>
  <si>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</si>
  <si>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</si>
  <si>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</si>
  <si>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</si>
  <si>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</si>
  <si>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</si>
  <si>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</si>
  <si>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</si>
  <si>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</si>
  <si>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</si>
  <si>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</si>
  <si>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</si>
  <si>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</si>
  <si>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</si>
  <si>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</si>
  <si>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</si>
  <si>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</si>
  <si>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</si>
  <si>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</si>
  <si>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</si>
  <si>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</si>
  <si>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</si>
  <si>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</si>
  <si>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</si>
  <si>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</si>
  <si>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</si>
  <si>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</si>
  <si>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</si>
  <si>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</si>
  <si>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</si>
  <si>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</si>
  <si>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</si>
  <si>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</si>
  <si>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</si>
  <si>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</si>
  <si>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</si>
  <si>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</si>
  <si>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</si>
  <si>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</si>
  <si>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</si>
  <si>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</si>
  <si>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</si>
  <si>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</si>
  <si>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</si>
  <si>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</si>
  <si>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</si>
  <si>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</si>
  <si>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</si>
  <si>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</si>
  <si>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</si>
  <si>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</si>
  <si>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</si>
  <si>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</si>
  <si>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</si>
  <si>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</si>
  <si>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</si>
  <si>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</si>
  <si>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</si>
  <si>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</si>
  <si>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</si>
  <si>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</si>
  <si>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</si>
  <si>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</si>
  <si>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</si>
  <si>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</si>
  <si>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</si>
  <si>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</si>
  <si>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</si>
  <si>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</si>
  <si>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</si>
  <si>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</si>
  <si>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</si>
  <si>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</si>
  <si>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</si>
  <si>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</si>
  <si>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</si>
  <si>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</si>
  <si>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</si>
  <si>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</si>
  <si>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</si>
  <si>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</si>
  <si>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</si>
  <si>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</si>
  <si>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</si>
  <si>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</si>
  <si>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</si>
  <si>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</si>
  <si>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</si>
  <si>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</si>
  <si>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</si>
  <si>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</si>
  <si>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</si>
  <si>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</si>
  <si>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</si>
  <si>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</si>
  <si>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</si>
  <si>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</si>
  <si>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</si>
  <si>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</si>
  <si>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</si>
  <si>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</si>
  <si>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</si>
  <si>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</si>
  <si>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</si>
  <si>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</si>
  <si>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</si>
  <si>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</si>
  <si>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</si>
  <si>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</si>
  <si>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</si>
  <si>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</si>
  <si>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</si>
  <si>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</si>
  <si>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</si>
  <si>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</si>
  <si>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</si>
  <si>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</si>
  <si>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</si>
  <si>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</si>
  <si>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</si>
  <si>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</si>
  <si>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</si>
  <si>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</si>
  <si>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</si>
  <si>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</si>
  <si>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</si>
  <si>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</si>
  <si>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</si>
  <si>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</si>
  <si>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</si>
  <si>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</si>
  <si>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</si>
  <si>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</si>
  <si>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</si>
  <si>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</si>
  <si>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</si>
  <si>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</si>
  <si>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</si>
  <si>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</si>
  <si>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</si>
  <si>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</si>
  <si>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</si>
  <si>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</si>
  <si>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</si>
  <si>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</si>
  <si>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</si>
  <si>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</si>
  <si>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</si>
  <si>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</si>
  <si>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</si>
  <si>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</si>
  <si>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</si>
  <si>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</si>
  <si>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</si>
  <si>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</si>
  <si>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</si>
  <si>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</si>
  <si>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</si>
  <si>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</si>
  <si>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</si>
  <si>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</si>
  <si>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</si>
  <si>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</si>
  <si>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</si>
  <si>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</si>
  <si>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</si>
  <si>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</si>
  <si>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</si>
  <si>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</si>
  <si>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</si>
  <si>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</si>
  <si>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</si>
  <si>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</si>
  <si>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</si>
  <si>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</si>
  <si>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</si>
  <si>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</si>
  <si>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</si>
  <si>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</si>
  <si>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</si>
  <si>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</si>
  <si>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</si>
  <si>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</si>
  <si>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</si>
  <si>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</si>
  <si>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</si>
  <si>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</si>
  <si>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</si>
  <si>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</si>
  <si>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</si>
  <si>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</si>
  <si>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</si>
  <si>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</si>
  <si>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</si>
  <si>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</si>
  <si>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</si>
  <si>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</si>
  <si>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</si>
  <si>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</si>
  <si>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</si>
  <si>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</si>
  <si>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</si>
  <si>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</si>
  <si>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</si>
  <si>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</si>
  <si>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</si>
  <si>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</si>
  <si>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</si>
  <si>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</si>
  <si>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</si>
  <si>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</si>
  <si>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</si>
  <si>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</si>
  <si>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</si>
  <si>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</si>
  <si>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</si>
  <si>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</si>
  <si>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</si>
  <si>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</si>
  <si>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</si>
  <si>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</si>
  <si>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</si>
  <si>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</si>
  <si>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</si>
  <si>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</si>
  <si>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</si>
  <si>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</si>
  <si>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</si>
  <si>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</si>
  <si>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</si>
  <si>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</si>
  <si>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</si>
  <si>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</si>
  <si>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</si>
  <si>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</si>
  <si>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</si>
  <si>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</si>
  <si>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</si>
  <si>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</si>
  <si>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</si>
  <si>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</si>
  <si>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</si>
  <si>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</si>
  <si>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</si>
  <si>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</si>
  <si>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</si>
  <si>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</si>
  <si>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</si>
  <si>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</si>
  <si>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</si>
  <si>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</si>
  <si>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</si>
  <si>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</si>
  <si>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</si>
  <si>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</si>
  <si>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</si>
  <si>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</si>
  <si>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</si>
  <si>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</si>
  <si>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</si>
  <si>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</si>
  <si>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</si>
  <si>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</si>
  <si>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</si>
  <si>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</si>
  <si>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</si>
  <si>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</si>
  <si>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</si>
  <si>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</si>
  <si>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</si>
  <si>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</si>
  <si>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</si>
  <si>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</si>
  <si>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</si>
  <si>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</si>
  <si>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</si>
  <si>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</si>
  <si>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</si>
  <si>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</si>
  <si>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</si>
  <si>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</si>
  <si>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</si>
  <si>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</si>
  <si>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</si>
  <si>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</si>
  <si>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</si>
  <si>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</si>
  <si>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</si>
  <si>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</si>
  <si>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</si>
  <si>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</si>
  <si>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</si>
  <si>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</si>
  <si>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</si>
  <si>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</si>
  <si>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</si>
  <si>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</si>
  <si>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</si>
  <si>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</si>
  <si>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</si>
  <si>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</si>
  <si>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</si>
  <si>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</si>
  <si>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</si>
  <si>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</si>
  <si>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</si>
  <si>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</si>
  <si>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</si>
  <si>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</si>
  <si>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</si>
  <si>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</si>
  <si>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</si>
  <si>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</si>
  <si>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</si>
  <si>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</si>
  <si>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</si>
  <si>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</si>
  <si>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</si>
  <si>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</si>
  <si>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</si>
  <si>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</si>
  <si>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</si>
  <si>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</si>
  <si>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</si>
  <si>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</si>
  <si>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</si>
  <si>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</si>
  <si>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</si>
  <si>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</si>
  <si>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</si>
  <si>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</si>
  <si>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</si>
  <si>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</si>
  <si>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</si>
  <si>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</si>
  <si>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</si>
  <si>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</si>
  <si>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</si>
  <si>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</si>
  <si>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</si>
  <si>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</si>
  <si>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</si>
  <si>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</si>
  <si>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</si>
  <si>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</si>
  <si>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</si>
  <si>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</si>
  <si>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</si>
  <si>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</si>
  <si>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</si>
  <si>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</si>
  <si>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</si>
  <si>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</si>
  <si>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</si>
  <si>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</si>
  <si>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</si>
  <si>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</si>
  <si>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</si>
  <si>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</si>
  <si>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</si>
  <si>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</si>
  <si>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</si>
  <si>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</si>
  <si>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</si>
  <si>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</si>
  <si>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</si>
  <si>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</si>
  <si>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</si>
  <si>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</si>
  <si>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</si>
  <si>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</si>
  <si>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</si>
  <si>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</si>
  <si>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</si>
  <si>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</si>
  <si>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</si>
  <si>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</si>
  <si>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</si>
  <si>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</si>
  <si>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</si>
  <si>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</si>
  <si>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</si>
  <si>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</si>
  <si>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</si>
  <si>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</si>
  <si>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</si>
  <si>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</si>
  <si>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</si>
  <si>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</si>
  <si>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</si>
  <si>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</si>
  <si>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</si>
  <si>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</si>
  <si>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</si>
  <si>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</si>
  <si>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</si>
  <si>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</si>
  <si>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</si>
  <si>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</si>
  <si>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</si>
  <si>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</si>
  <si>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</si>
  <si>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</si>
  <si>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</si>
  <si>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</si>
  <si>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</si>
  <si>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</si>
  <si>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</si>
  <si>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</si>
  <si>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</si>
  <si>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</si>
  <si>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</si>
  <si>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</si>
  <si>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</si>
  <si>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</si>
  <si>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</si>
  <si>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</si>
  <si>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</si>
  <si>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</si>
  <si>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</si>
  <si>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</si>
  <si>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</si>
  <si>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</si>
  <si>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</si>
  <si>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</si>
  <si>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</si>
  <si>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</si>
  <si>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</si>
  <si>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</si>
  <si>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</si>
  <si>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</si>
  <si>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</si>
  <si>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</si>
  <si>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</si>
  <si>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</si>
  <si>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</si>
  <si>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</si>
  <si>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</si>
  <si>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</si>
  <si>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</si>
  <si>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</si>
  <si>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</si>
  <si>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</si>
  <si>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</si>
  <si>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</si>
  <si>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</si>
  <si>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</si>
  <si>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</si>
  <si>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</si>
  <si>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</si>
  <si>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</si>
  <si>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</si>
  <si>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</si>
  <si>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</si>
  <si>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</si>
  <si>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</si>
  <si>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</si>
  <si>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</si>
  <si>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</si>
  <si>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</si>
  <si>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</si>
  <si>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</si>
  <si>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</si>
  <si>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</si>
  <si>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</si>
  <si>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</si>
  <si>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</si>
  <si>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</si>
  <si>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</si>
  <si>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</si>
  <si>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</si>
  <si>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</si>
  <si>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</si>
  <si>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</si>
  <si>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</si>
  <si>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</si>
  <si>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</si>
  <si>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</si>
  <si>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</si>
  <si>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</si>
  <si>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</si>
  <si>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</si>
  <si>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</si>
  <si>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</si>
  <si>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</si>
  <si>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</si>
  <si>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</si>
  <si>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</si>
  <si>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</si>
  <si>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</si>
  <si>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</si>
  <si>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</si>
  <si>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</si>
  <si>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</si>
  <si>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</si>
  <si>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</si>
  <si>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</si>
  <si>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</si>
  <si>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</si>
  <si>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</si>
  <si>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</si>
  <si>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</si>
  <si>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</si>
  <si>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</si>
  <si>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</si>
  <si>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</si>
  <si>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</si>
  <si>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</si>
  <si>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</si>
  <si>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</si>
  <si>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</si>
  <si>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</si>
  <si>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</si>
  <si>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</si>
  <si>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</si>
  <si>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</si>
  <si>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</si>
  <si>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</si>
  <si>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</si>
  <si>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</si>
  <si>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</si>
  <si>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</si>
  <si>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</si>
  <si>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</si>
  <si>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</si>
  <si>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</si>
  <si>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</si>
  <si>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</si>
  <si>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</si>
  <si>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</si>
  <si>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</si>
  <si>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</si>
  <si>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</si>
  <si>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</si>
  <si>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</si>
  <si>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</si>
  <si>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</si>
  <si>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</si>
  <si>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</si>
  <si>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</si>
  <si>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</si>
  <si>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</si>
  <si>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</si>
  <si>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</si>
  <si>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</si>
  <si>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</si>
  <si>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</si>
  <si>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</si>
  <si>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</si>
  <si>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</si>
  <si>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</si>
  <si>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</si>
  <si>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</si>
  <si>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</si>
  <si>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</si>
  <si>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</si>
  <si>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</si>
  <si>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</si>
  <si>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</si>
  <si>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</si>
  <si>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</si>
  <si>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</si>
  <si>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</si>
  <si>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</si>
  <si>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</si>
  <si>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</si>
  <si>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</si>
  <si>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</si>
  <si>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</si>
  <si>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</si>
  <si>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</si>
  <si>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</si>
  <si>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</si>
  <si>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</si>
  <si>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</si>
  <si>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</si>
  <si>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</si>
  <si>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</si>
  <si>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</si>
  <si>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</si>
  <si>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G4</t>
  </si>
  <si>
    <t>D-stack</t>
  </si>
  <si>
    <t>H10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</si>
  <si>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</si>
  <si>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</si>
  <si>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</si>
  <si>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</si>
  <si>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</si>
  <si>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</si>
  <si>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</si>
  <si>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t>H14</t>
  </si>
  <si>
    <t>H16</t>
  </si>
  <si>
    <t>F7</t>
  </si>
  <si>
    <t>IPTS-23087</t>
  </si>
  <si>
    <t>4.1.0</t>
  </si>
  <si>
    <t>C6</t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</si>
  <si>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</si>
  <si>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</si>
  <si>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</si>
  <si>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SiOx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</si>
  <si>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</si>
  <si>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×[(1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</si>
  <si>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</si>
  <si>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</si>
  <si>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BPEI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</si>
  <si>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3_p3haa_57h62d_43h108h0m-174473-1.</t>
  </si>
  <si>
    <t>2019-11-18T20:01:39.231471667</t>
  </si>
  <si>
    <t>Tue</t>
  </si>
  <si>
    <t>Dec</t>
  </si>
  <si>
    <t>17_12_2019</t>
  </si>
  <si>
    <r>
      <t>S</t>
    </r>
    <r>
      <rPr>
        <b/>
        <vertAlign val="subscript"/>
        <sz val="12"/>
        <rFont val="Times New Roman"/>
        <family val="1"/>
      </rPr>
      <t>P3HAA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</si>
  <si>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P3HAA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</si>
  <si>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C8</t>
  </si>
  <si>
    <t>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</si>
</sst>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94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8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2" fontId="0" fillId="36" borderId="0" xfId="0" applyFill="1" applyAlignment="1">
      <alignment horizontal="right" vertical="center"/>
    </xf>
    <xf numFmtId="11" fontId="17" fillId="36" borderId="0" xfId="0" applyNumberFormat="1" applyFont="1" applyFill="1" applyAlignment="1">
      <alignment horizontal="center" vertical="center"/>
    </xf>
    <xf numFmtId="164" fontId="0" fillId="36" borderId="0" xfId="0" applyNumberFormat="1" applyFill="1" applyAlignment="1">
      <alignment horizontal="right" vertical="center"/>
    </xf>
    <xf numFmtId="11" fontId="16" fillId="36" borderId="0" xfId="0" applyNumberFormat="1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37" borderId="0" xfId="0" applyNumberFormat="1" applyFont="1" applyFill="1"/>
    <xf numFmtId="2" fontId="0" fillId="33" borderId="0" xfId="0" applyFill="1"/>
    <xf numFmtId="2" fontId="16" fillId="0" borderId="0" xfId="0" applyFont="1" applyAlignment="1">
      <alignment horizontal="center" vertical="center"/>
    </xf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66" fontId="0" fillId="0" borderId="0" xfId="0" applyNumberFormat="1"/>
    <xf numFmtId="11" fontId="0" fillId="41" borderId="0" xfId="0" applyNumberFormat="1" applyFill="1"/>
    <xf numFmtId="2" fontId="17" fillId="0" borderId="0" xfId="0" applyFont="1" applyAlignment="1">
      <alignment horizontal="center" vertical="center"/>
    </xf>
    <xf numFmtId="164" fontId="0" fillId="0" borderId="0" xfId="0" applyNumberFormat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11" fontId="10" fillId="37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114.75216619539563</c:v>
                </c:pt>
                <c:pt idx="4">
                  <c:v>114.75216619539563</c:v>
                </c:pt>
                <c:pt idx="5">
                  <c:v>125.73724221659791</c:v>
                </c:pt>
                <c:pt idx="6">
                  <c:v>125.73724221659791</c:v>
                </c:pt>
                <c:pt idx="7">
                  <c:v>131.85020541217787</c:v>
                </c:pt>
                <c:pt idx="8">
                  <c:v>131.85020541217787</c:v>
                </c:pt>
                <c:pt idx="9">
                  <c:v>136.3289831239577</c:v>
                </c:pt>
                <c:pt idx="10">
                  <c:v>136.3289831239577</c:v>
                </c:pt>
                <c:pt idx="11">
                  <c:v>139.97375111189487</c:v>
                </c:pt>
                <c:pt idx="12">
                  <c:v>139.97375111189487</c:v>
                </c:pt>
                <c:pt idx="13">
                  <c:v>143.12102850463714</c:v>
                </c:pt>
                <c:pt idx="14">
                  <c:v>143.12102850463714</c:v>
                </c:pt>
                <c:pt idx="15">
                  <c:v>145.94836312762465</c:v>
                </c:pt>
                <c:pt idx="16">
                  <c:v>145.94836312762465</c:v>
                </c:pt>
                <c:pt idx="17">
                  <c:v>148.56364871422187</c:v>
                </c:pt>
                <c:pt idx="18">
                  <c:v>148.56364871422187</c:v>
                </c:pt>
                <c:pt idx="19">
                  <c:v>151.03990213876901</c:v>
                </c:pt>
                <c:pt idx="20">
                  <c:v>151.03990213876901</c:v>
                </c:pt>
                <c:pt idx="21">
                  <c:v>153.4314897100551</c:v>
                </c:pt>
                <c:pt idx="22">
                  <c:v>153.4314897100551</c:v>
                </c:pt>
                <c:pt idx="23">
                  <c:v>155.78290266073307</c:v>
                </c:pt>
                <c:pt idx="24">
                  <c:v>155.78290266073307</c:v>
                </c:pt>
                <c:pt idx="25">
                  <c:v>158.13431561141104</c:v>
                </c:pt>
                <c:pt idx="26">
                  <c:v>158.13431561141104</c:v>
                </c:pt>
                <c:pt idx="27">
                  <c:v>160.52590318269714</c:v>
                </c:pt>
                <c:pt idx="28">
                  <c:v>160.52590318269714</c:v>
                </c:pt>
                <c:pt idx="29">
                  <c:v>163.00215660724427</c:v>
                </c:pt>
                <c:pt idx="30">
                  <c:v>163.00215660724427</c:v>
                </c:pt>
                <c:pt idx="31">
                  <c:v>165.6174421938415</c:v>
                </c:pt>
                <c:pt idx="32">
                  <c:v>165.6174421938415</c:v>
                </c:pt>
                <c:pt idx="33">
                  <c:v>168.44477681682901</c:v>
                </c:pt>
                <c:pt idx="34">
                  <c:v>168.44477681682901</c:v>
                </c:pt>
                <c:pt idx="35">
                  <c:v>171.59205420957127</c:v>
                </c:pt>
                <c:pt idx="36">
                  <c:v>171.59205420957127</c:v>
                </c:pt>
                <c:pt idx="37">
                  <c:v>175.23682219750845</c:v>
                </c:pt>
                <c:pt idx="38">
                  <c:v>175.23682219750845</c:v>
                </c:pt>
                <c:pt idx="39">
                  <c:v>179.71559990928827</c:v>
                </c:pt>
                <c:pt idx="40">
                  <c:v>179.71559990928827</c:v>
                </c:pt>
                <c:pt idx="41">
                  <c:v>185.82856310486824</c:v>
                </c:pt>
                <c:pt idx="42">
                  <c:v>185.82856310486824</c:v>
                </c:pt>
                <c:pt idx="43">
                  <c:v>196.81363912607051</c:v>
                </c:pt>
                <c:pt idx="44">
                  <c:v>196.81363912607051</c:v>
                </c:pt>
                <c:pt idx="45">
                  <c:v>211.56580532146614</c:v>
                </c:pt>
                <c:pt idx="46">
                  <c:v>211.56580532146614</c:v>
                </c:pt>
                <c:pt idx="47">
                  <c:v>283.63949682488732</c:v>
                </c:pt>
                <c:pt idx="48">
                  <c:v>283.63949682488732</c:v>
                </c:pt>
                <c:pt idx="49">
                  <c:v>302.71830882692819</c:v>
                </c:pt>
                <c:pt idx="50">
                  <c:v>302.71830882692819</c:v>
                </c:pt>
                <c:pt idx="51">
                  <c:v>316.92518512297067</c:v>
                </c:pt>
                <c:pt idx="52">
                  <c:v>316.92518512297067</c:v>
                </c:pt>
                <c:pt idx="53">
                  <c:v>324.83101224280523</c:v>
                </c:pt>
                <c:pt idx="54">
                  <c:v>324.83101224280523</c:v>
                </c:pt>
                <c:pt idx="55">
                  <c:v>330.62336550334862</c:v>
                </c:pt>
                <c:pt idx="56">
                  <c:v>330.62336550334862</c:v>
                </c:pt>
                <c:pt idx="57">
                  <c:v>335.33710329018385</c:v>
                </c:pt>
                <c:pt idx="58">
                  <c:v>335.33710329018385</c:v>
                </c:pt>
                <c:pt idx="59">
                  <c:v>339.40744203902091</c:v>
                </c:pt>
                <c:pt idx="60">
                  <c:v>339.40744203902091</c:v>
                </c:pt>
                <c:pt idx="61">
                  <c:v>343.0640023722197</c:v>
                </c:pt>
                <c:pt idx="62">
                  <c:v>343.0640023722197</c:v>
                </c:pt>
                <c:pt idx="63">
                  <c:v>346.44632205174639</c:v>
                </c:pt>
                <c:pt idx="64">
                  <c:v>346.44632205174639</c:v>
                </c:pt>
                <c:pt idx="65">
                  <c:v>349.64883298679064</c:v>
                </c:pt>
                <c:pt idx="66">
                  <c:v>349.64883298679064</c:v>
                </c:pt>
                <c:pt idx="67">
                  <c:v>352.74184651813403</c:v>
                </c:pt>
                <c:pt idx="68">
                  <c:v>352.74184651813403</c:v>
                </c:pt>
                <c:pt idx="69">
                  <c:v>355.78290266073304</c:v>
                </c:pt>
                <c:pt idx="70">
                  <c:v>355.78290266073304</c:v>
                </c:pt>
                <c:pt idx="71">
                  <c:v>358.82395880333206</c:v>
                </c:pt>
                <c:pt idx="72">
                  <c:v>358.82395880333206</c:v>
                </c:pt>
                <c:pt idx="73">
                  <c:v>361.91697233467545</c:v>
                </c:pt>
                <c:pt idx="74">
                  <c:v>361.91697233467545</c:v>
                </c:pt>
                <c:pt idx="75">
                  <c:v>365.11948326971969</c:v>
                </c:pt>
                <c:pt idx="76">
                  <c:v>365.11948326971969</c:v>
                </c:pt>
                <c:pt idx="77">
                  <c:v>368.50180294924638</c:v>
                </c:pt>
                <c:pt idx="78">
                  <c:v>368.50180294924638</c:v>
                </c:pt>
                <c:pt idx="79">
                  <c:v>372.15836328244518</c:v>
                </c:pt>
                <c:pt idx="80">
                  <c:v>372.15836328244518</c:v>
                </c:pt>
                <c:pt idx="81">
                  <c:v>376.22870203128224</c:v>
                </c:pt>
                <c:pt idx="82">
                  <c:v>376.22870203128224</c:v>
                </c:pt>
                <c:pt idx="83">
                  <c:v>380.94243981811746</c:v>
                </c:pt>
                <c:pt idx="84">
                  <c:v>380.94243981811746</c:v>
                </c:pt>
                <c:pt idx="85">
                  <c:v>386.73479307866086</c:v>
                </c:pt>
                <c:pt idx="86">
                  <c:v>386.73479307866086</c:v>
                </c:pt>
                <c:pt idx="87">
                  <c:v>394.64062019849541</c:v>
                </c:pt>
                <c:pt idx="88">
                  <c:v>394.64062019849541</c:v>
                </c:pt>
                <c:pt idx="89">
                  <c:v>408.84749649453789</c:v>
                </c:pt>
                <c:pt idx="90">
                  <c:v>408.84749649453789</c:v>
                </c:pt>
                <c:pt idx="91">
                  <c:v>427.92630849657877</c:v>
                </c:pt>
                <c:pt idx="92">
                  <c:v>427.92630849657877</c:v>
                </c:pt>
                <c:pt idx="93">
                  <c:v>1164.1910246454634</c:v>
                </c:pt>
                <c:pt idx="94">
                  <c:v>1164.1910246454634</c:v>
                </c:pt>
                <c:pt idx="95">
                  <c:v>1167.6331878216115</c:v>
                </c:pt>
                <c:pt idx="96">
                  <c:v>1167.6331878216115</c:v>
                </c:pt>
                <c:pt idx="97">
                  <c:v>1170.1963655723594</c:v>
                </c:pt>
                <c:pt idx="98">
                  <c:v>1170.1963655723594</c:v>
                </c:pt>
                <c:pt idx="99">
                  <c:v>1171.6227199484063</c:v>
                </c:pt>
                <c:pt idx="100">
                  <c:v>1171.6227199484063</c:v>
                </c:pt>
                <c:pt idx="101">
                  <c:v>1172.6677653681395</c:v>
                </c:pt>
                <c:pt idx="102">
                  <c:v>1172.6677653681395</c:v>
                </c:pt>
                <c:pt idx="103">
                  <c:v>1173.5182090241767</c:v>
                </c:pt>
                <c:pt idx="104">
                  <c:v>1173.5182090241767</c:v>
                </c:pt>
                <c:pt idx="105">
                  <c:v>1174.2525718426896</c:v>
                </c:pt>
                <c:pt idx="106">
                  <c:v>1174.2525718426896</c:v>
                </c:pt>
                <c:pt idx="107">
                  <c:v>1174.9122815420646</c:v>
                </c:pt>
                <c:pt idx="108">
                  <c:v>1174.9122815420646</c:v>
                </c:pt>
                <c:pt idx="109">
                  <c:v>1175.5225132613973</c:v>
                </c:pt>
                <c:pt idx="110">
                  <c:v>1175.5225132613973</c:v>
                </c:pt>
                <c:pt idx="111">
                  <c:v>1176.1003042271368</c:v>
                </c:pt>
                <c:pt idx="112">
                  <c:v>1176.1003042271368</c:v>
                </c:pt>
                <c:pt idx="113">
                  <c:v>1176.6583398784016</c:v>
                </c:pt>
                <c:pt idx="114">
                  <c:v>1176.6583398784016</c:v>
                </c:pt>
                <c:pt idx="115">
                  <c:v>1177.2070014758604</c:v>
                </c:pt>
                <c:pt idx="116">
                  <c:v>1177.2070014758604</c:v>
                </c:pt>
                <c:pt idx="117">
                  <c:v>1177.4342742031331</c:v>
                </c:pt>
                <c:pt idx="118">
                  <c:v>1177.4342742031331</c:v>
                </c:pt>
                <c:pt idx="119">
                  <c:v>1177.8888196576786</c:v>
                </c:pt>
                <c:pt idx="120">
                  <c:v>1177.8888196576786</c:v>
                </c:pt>
                <c:pt idx="121">
                  <c:v>1178.3433651122241</c:v>
                </c:pt>
                <c:pt idx="122">
                  <c:v>1178.3433651122241</c:v>
                </c:pt>
                <c:pt idx="123">
                  <c:v>1178.7979105667696</c:v>
                </c:pt>
                <c:pt idx="124">
                  <c:v>1178.7979105667696</c:v>
                </c:pt>
                <c:pt idx="125">
                  <c:v>1179.2524560213151</c:v>
                </c:pt>
                <c:pt idx="126">
                  <c:v>1179.2524560213151</c:v>
                </c:pt>
                <c:pt idx="127">
                  <c:v>1179.7070014758606</c:v>
                </c:pt>
                <c:pt idx="128">
                  <c:v>1179.7070014758606</c:v>
                </c:pt>
                <c:pt idx="129">
                  <c:v>1180.1615469304061</c:v>
                </c:pt>
                <c:pt idx="130">
                  <c:v>1180.1615469304061</c:v>
                </c:pt>
                <c:pt idx="131">
                  <c:v>1180.6160923849516</c:v>
                </c:pt>
                <c:pt idx="132">
                  <c:v>1180.6160923849516</c:v>
                </c:pt>
                <c:pt idx="133">
                  <c:v>1181.0706378394971</c:v>
                </c:pt>
                <c:pt idx="134">
                  <c:v>1181.0706378394971</c:v>
                </c:pt>
                <c:pt idx="135">
                  <c:v>1181.5251832940426</c:v>
                </c:pt>
                <c:pt idx="136">
                  <c:v>1181.5251832940426</c:v>
                </c:pt>
                <c:pt idx="137">
                  <c:v>1181.9797287485881</c:v>
                </c:pt>
                <c:pt idx="138">
                  <c:v>1181.9797287485881</c:v>
                </c:pt>
                <c:pt idx="139">
                  <c:v>1182.4342742031336</c:v>
                </c:pt>
                <c:pt idx="140">
                  <c:v>1182.4342742031336</c:v>
                </c:pt>
                <c:pt idx="141">
                  <c:v>1182.8888196576791</c:v>
                </c:pt>
                <c:pt idx="142">
                  <c:v>1182.8888196576791</c:v>
                </c:pt>
                <c:pt idx="143">
                  <c:v>1183.3433651122245</c:v>
                </c:pt>
                <c:pt idx="144">
                  <c:v>1183.3433651122245</c:v>
                </c:pt>
                <c:pt idx="145">
                  <c:v>1183.79791056677</c:v>
                </c:pt>
                <c:pt idx="146">
                  <c:v>1183.79791056677</c:v>
                </c:pt>
                <c:pt idx="147">
                  <c:v>1184.2524560213155</c:v>
                </c:pt>
                <c:pt idx="148">
                  <c:v>1184.2524560213155</c:v>
                </c:pt>
                <c:pt idx="149">
                  <c:v>1184.707001475861</c:v>
                </c:pt>
                <c:pt idx="150">
                  <c:v>1184.707001475861</c:v>
                </c:pt>
                <c:pt idx="151">
                  <c:v>1185.1615469304065</c:v>
                </c:pt>
                <c:pt idx="152">
                  <c:v>1185.1615469304065</c:v>
                </c:pt>
                <c:pt idx="153">
                  <c:v>1185.616092384952</c:v>
                </c:pt>
                <c:pt idx="154">
                  <c:v>1185.616092384952</c:v>
                </c:pt>
                <c:pt idx="155">
                  <c:v>1186.0706378394975</c:v>
                </c:pt>
                <c:pt idx="156">
                  <c:v>1186.0706378394975</c:v>
                </c:pt>
                <c:pt idx="157">
                  <c:v>1186.525183294043</c:v>
                </c:pt>
                <c:pt idx="158">
                  <c:v>1186.525183294043</c:v>
                </c:pt>
                <c:pt idx="159">
                  <c:v>1186.9797287485885</c:v>
                </c:pt>
                <c:pt idx="160">
                  <c:v>1186.9797287485885</c:v>
                </c:pt>
                <c:pt idx="161">
                  <c:v>1187.2070014758613</c:v>
                </c:pt>
                <c:pt idx="162">
                  <c:v>1187.2070014758613</c:v>
                </c:pt>
                <c:pt idx="163">
                  <c:v>1187.4125362643331</c:v>
                </c:pt>
                <c:pt idx="164">
                  <c:v>1187.4125362643331</c:v>
                </c:pt>
                <c:pt idx="165">
                  <c:v>1187.8236058412765</c:v>
                </c:pt>
                <c:pt idx="166">
                  <c:v>1187.8236058412765</c:v>
                </c:pt>
                <c:pt idx="167">
                  <c:v>1188.2346754182199</c:v>
                </c:pt>
                <c:pt idx="168">
                  <c:v>1188.2346754182199</c:v>
                </c:pt>
                <c:pt idx="169">
                  <c:v>1188.6457449951633</c:v>
                </c:pt>
                <c:pt idx="170">
                  <c:v>1188.6457449951633</c:v>
                </c:pt>
                <c:pt idx="171">
                  <c:v>1189.0568145721068</c:v>
                </c:pt>
                <c:pt idx="172">
                  <c:v>1189.0568145721068</c:v>
                </c:pt>
                <c:pt idx="173">
                  <c:v>1189.4678841490502</c:v>
                </c:pt>
                <c:pt idx="174">
                  <c:v>1189.4678841490502</c:v>
                </c:pt>
                <c:pt idx="175">
                  <c:v>1189.8789537259936</c:v>
                </c:pt>
                <c:pt idx="176">
                  <c:v>1189.8789537259936</c:v>
                </c:pt>
                <c:pt idx="177">
                  <c:v>1190.290023302937</c:v>
                </c:pt>
                <c:pt idx="178">
                  <c:v>1190.290023302937</c:v>
                </c:pt>
                <c:pt idx="179">
                  <c:v>1190.7010928798804</c:v>
                </c:pt>
                <c:pt idx="180">
                  <c:v>1190.7010928798804</c:v>
                </c:pt>
                <c:pt idx="181">
                  <c:v>1191.1121624568239</c:v>
                </c:pt>
                <c:pt idx="182">
                  <c:v>1191.1121624568239</c:v>
                </c:pt>
                <c:pt idx="183">
                  <c:v>1191.5232320337673</c:v>
                </c:pt>
                <c:pt idx="184">
                  <c:v>1191.5232320337673</c:v>
                </c:pt>
                <c:pt idx="185">
                  <c:v>1191.9343016107107</c:v>
                </c:pt>
                <c:pt idx="186">
                  <c:v>1191.9343016107107</c:v>
                </c:pt>
                <c:pt idx="187">
                  <c:v>1192.3453711876541</c:v>
                </c:pt>
                <c:pt idx="188">
                  <c:v>1192.3453711876541</c:v>
                </c:pt>
                <c:pt idx="189">
                  <c:v>1192.7564407645975</c:v>
                </c:pt>
                <c:pt idx="190">
                  <c:v>1192.7564407645975</c:v>
                </c:pt>
                <c:pt idx="191">
                  <c:v>1193.1675103415409</c:v>
                </c:pt>
                <c:pt idx="192">
                  <c:v>1193.1675103415409</c:v>
                </c:pt>
                <c:pt idx="193">
                  <c:v>1193.5785799184844</c:v>
                </c:pt>
                <c:pt idx="194">
                  <c:v>1193.5785799184844</c:v>
                </c:pt>
                <c:pt idx="195">
                  <c:v>1193.9896494954278</c:v>
                </c:pt>
                <c:pt idx="196">
                  <c:v>1193.9896494954278</c:v>
                </c:pt>
                <c:pt idx="197">
                  <c:v>1194.4007190723712</c:v>
                </c:pt>
                <c:pt idx="198">
                  <c:v>1194.4007190723712</c:v>
                </c:pt>
                <c:pt idx="199">
                  <c:v>1194.8117886493146</c:v>
                </c:pt>
                <c:pt idx="200">
                  <c:v>1194.8117886493146</c:v>
                </c:pt>
                <c:pt idx="201">
                  <c:v>1195.222858226258</c:v>
                </c:pt>
                <c:pt idx="202">
                  <c:v>1195.222858226258</c:v>
                </c:pt>
                <c:pt idx="203">
                  <c:v>1195.6339278032015</c:v>
                </c:pt>
                <c:pt idx="204">
                  <c:v>1195.6339278032015</c:v>
                </c:pt>
                <c:pt idx="205">
                  <c:v>1196.0449973801449</c:v>
                </c:pt>
                <c:pt idx="206">
                  <c:v>1196.0449973801449</c:v>
                </c:pt>
                <c:pt idx="207">
                  <c:v>1196.2505321686167</c:v>
                </c:pt>
                <c:pt idx="208">
                  <c:v>1196.2505321686167</c:v>
                </c:pt>
                <c:pt idx="209">
                  <c:v>1196.5248629673461</c:v>
                </c:pt>
                <c:pt idx="210">
                  <c:v>1196.5248629673461</c:v>
                </c:pt>
                <c:pt idx="211">
                  <c:v>1196.8038807929784</c:v>
                </c:pt>
                <c:pt idx="212">
                  <c:v>1196.8038807929784</c:v>
                </c:pt>
                <c:pt idx="213">
                  <c:v>1197.0927762758481</c:v>
                </c:pt>
                <c:pt idx="214">
                  <c:v>1197.0927762758481</c:v>
                </c:pt>
                <c:pt idx="215">
                  <c:v>1197.3978921355144</c:v>
                </c:pt>
                <c:pt idx="216">
                  <c:v>1197.3978921355144</c:v>
                </c:pt>
                <c:pt idx="217">
                  <c:v>1197.727746985202</c:v>
                </c:pt>
                <c:pt idx="218">
                  <c:v>1197.727746985202</c:v>
                </c:pt>
                <c:pt idx="219">
                  <c:v>1198.0949283944585</c:v>
                </c:pt>
                <c:pt idx="220">
                  <c:v>1198.0949283944585</c:v>
                </c:pt>
                <c:pt idx="221">
                  <c:v>1198.5201502224772</c:v>
                </c:pt>
                <c:pt idx="222">
                  <c:v>1198.5201502224772</c:v>
                </c:pt>
                <c:pt idx="223">
                  <c:v>1199.042672932344</c:v>
                </c:pt>
                <c:pt idx="224">
                  <c:v>1199.042672932344</c:v>
                </c:pt>
                <c:pt idx="225">
                  <c:v>1199.7558501203675</c:v>
                </c:pt>
                <c:pt idx="226">
                  <c:v>1199.7558501203675</c:v>
                </c:pt>
                <c:pt idx="227">
                  <c:v>1201.0374389957415</c:v>
                </c:pt>
                <c:pt idx="228">
                  <c:v>1201.0374389957415</c:v>
                </c:pt>
                <c:pt idx="229">
                  <c:v>1202.7585205838157</c:v>
                </c:pt>
                <c:pt idx="230">
                  <c:v>1202.7585205838157</c:v>
                </c:pt>
                <c:pt idx="231">
                  <c:v>1302.7585205838157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6.8213025990488656E-9</c:v>
                </c:pt>
                <c:pt idx="3">
                  <c:v>6.8213025990488656E-9</c:v>
                </c:pt>
                <c:pt idx="4">
                  <c:v>5.6189042343969837E-8</c:v>
                </c:pt>
                <c:pt idx="5">
                  <c:v>5.6189042343969837E-8</c:v>
                </c:pt>
                <c:pt idx="6">
                  <c:v>1.2760689077061288E-7</c:v>
                </c:pt>
                <c:pt idx="7">
                  <c:v>1.2760689077061288E-7</c:v>
                </c:pt>
                <c:pt idx="8">
                  <c:v>2.084199225866566E-7</c:v>
                </c:pt>
                <c:pt idx="9">
                  <c:v>2.084199225866566E-7</c:v>
                </c:pt>
                <c:pt idx="10">
                  <c:v>2.9370597067559956E-7</c:v>
                </c:pt>
                <c:pt idx="11">
                  <c:v>2.9370597067559956E-7</c:v>
                </c:pt>
                <c:pt idx="12">
                  <c:v>3.8121170600250066E-7</c:v>
                </c:pt>
                <c:pt idx="13">
                  <c:v>3.8121170600250066E-7</c:v>
                </c:pt>
                <c:pt idx="14">
                  <c:v>4.6981381802826801E-7</c:v>
                </c:pt>
                <c:pt idx="15">
                  <c:v>4.6981381802826801E-7</c:v>
                </c:pt>
                <c:pt idx="16">
                  <c:v>5.5893209529473021E-7</c:v>
                </c:pt>
                <c:pt idx="17">
                  <c:v>5.5893209529473021E-7</c:v>
                </c:pt>
                <c:pt idx="18">
                  <c:v>6.4826920373671833E-7</c:v>
                </c:pt>
                <c:pt idx="19">
                  <c:v>6.4826920373671833E-7</c:v>
                </c:pt>
                <c:pt idx="20">
                  <c:v>7.3768211452652644E-7</c:v>
                </c:pt>
                <c:pt idx="21">
                  <c:v>7.3768211452652644E-7</c:v>
                </c:pt>
                <c:pt idx="22">
                  <c:v>8.2711251699859273E-7</c:v>
                </c:pt>
                <c:pt idx="23">
                  <c:v>8.2711251699859273E-7</c:v>
                </c:pt>
                <c:pt idx="24">
                  <c:v>9.1654486855754012E-7</c:v>
                </c:pt>
                <c:pt idx="25">
                  <c:v>9.1654486855754012E-7</c:v>
                </c:pt>
                <c:pt idx="26">
                  <c:v>1.0059752710296063E-6</c:v>
                </c:pt>
                <c:pt idx="27">
                  <c:v>1.0059752710296063E-6</c:v>
                </c:pt>
                <c:pt idx="28">
                  <c:v>1.0953881818194145E-6</c:v>
                </c:pt>
                <c:pt idx="29">
                  <c:v>1.0953881818194145E-6</c:v>
                </c:pt>
                <c:pt idx="30">
                  <c:v>1.1847252902614027E-6</c:v>
                </c:pt>
                <c:pt idx="31">
                  <c:v>1.1847252902614027E-6</c:v>
                </c:pt>
                <c:pt idx="32">
                  <c:v>1.2738435675278649E-6</c:v>
                </c:pt>
                <c:pt idx="33">
                  <c:v>1.2738435675278649E-6</c:v>
                </c:pt>
                <c:pt idx="34">
                  <c:v>1.3624456795536322E-6</c:v>
                </c:pt>
                <c:pt idx="35">
                  <c:v>1.3624456795536322E-6</c:v>
                </c:pt>
                <c:pt idx="36">
                  <c:v>1.4499514148805333E-6</c:v>
                </c:pt>
                <c:pt idx="37">
                  <c:v>1.4499514148805333E-6</c:v>
                </c:pt>
                <c:pt idx="38">
                  <c:v>1.5352374629694763E-6</c:v>
                </c:pt>
                <c:pt idx="39">
                  <c:v>1.5352374629694763E-6</c:v>
                </c:pt>
                <c:pt idx="40">
                  <c:v>1.61605049478552E-6</c:v>
                </c:pt>
                <c:pt idx="41">
                  <c:v>1.61605049478552E-6</c:v>
                </c:pt>
                <c:pt idx="42">
                  <c:v>1.6874683432121631E-6</c:v>
                </c:pt>
                <c:pt idx="43">
                  <c:v>1.6874683432121631E-6</c:v>
                </c:pt>
                <c:pt idx="44">
                  <c:v>1.736836082957084E-6</c:v>
                </c:pt>
                <c:pt idx="45">
                  <c:v>1.736836082957084E-6</c:v>
                </c:pt>
                <c:pt idx="46">
                  <c:v>1.7436573855561328E-6</c:v>
                </c:pt>
                <c:pt idx="47">
                  <c:v>1.7436573855561328E-6</c:v>
                </c:pt>
                <c:pt idx="48">
                  <c:v>1.7436574886419248E-6</c:v>
                </c:pt>
                <c:pt idx="49">
                  <c:v>1.7436574886419248E-6</c:v>
                </c:pt>
                <c:pt idx="50">
                  <c:v>1.7436582347036148E-6</c:v>
                </c:pt>
                <c:pt idx="51">
                  <c:v>1.7436582347036148E-6</c:v>
                </c:pt>
                <c:pt idx="52">
                  <c:v>1.7436593139938757E-6</c:v>
                </c:pt>
                <c:pt idx="53">
                  <c:v>1.7436593139938757E-6</c:v>
                </c:pt>
                <c:pt idx="54">
                  <c:v>1.74366053526727E-6</c:v>
                </c:pt>
                <c:pt idx="55">
                  <c:v>1.74366053526727E-6</c:v>
                </c:pt>
                <c:pt idx="56">
                  <c:v>1.7436618241383731E-6</c:v>
                </c:pt>
                <c:pt idx="57">
                  <c:v>1.7436618241383731E-6</c:v>
                </c:pt>
                <c:pt idx="58">
                  <c:v>1.7436631465541275E-6</c:v>
                </c:pt>
                <c:pt idx="59">
                  <c:v>1.7436631465541275E-6</c:v>
                </c:pt>
                <c:pt idx="60">
                  <c:v>1.7436644855386909E-6</c:v>
                </c:pt>
                <c:pt idx="61">
                  <c:v>1.7436644855386909E-6</c:v>
                </c:pt>
                <c:pt idx="62">
                  <c:v>1.7436658323237147E-6</c:v>
                </c:pt>
                <c:pt idx="63">
                  <c:v>1.7436658323237147E-6</c:v>
                </c:pt>
                <c:pt idx="64">
                  <c:v>1.7436671824157882E-6</c:v>
                </c:pt>
                <c:pt idx="65">
                  <c:v>1.7436671824157882E-6</c:v>
                </c:pt>
                <c:pt idx="66">
                  <c:v>1.7436685336534118E-6</c:v>
                </c:pt>
                <c:pt idx="67">
                  <c:v>1.7436685336534118E-6</c:v>
                </c:pt>
                <c:pt idx="68">
                  <c:v>1.7436698851553758E-6</c:v>
                </c:pt>
                <c:pt idx="69">
                  <c:v>1.7436698851553758E-6</c:v>
                </c:pt>
                <c:pt idx="70">
                  <c:v>1.7436712366867948E-6</c:v>
                </c:pt>
                <c:pt idx="71">
                  <c:v>1.7436712366867948E-6</c:v>
                </c:pt>
                <c:pt idx="72">
                  <c:v>1.7436725881887588E-6</c:v>
                </c:pt>
                <c:pt idx="73">
                  <c:v>1.7436725881887588E-6</c:v>
                </c:pt>
                <c:pt idx="74">
                  <c:v>1.7436739394263823E-6</c:v>
                </c:pt>
                <c:pt idx="75">
                  <c:v>1.7436739394263823E-6</c:v>
                </c:pt>
                <c:pt idx="76">
                  <c:v>1.7436752895184559E-6</c:v>
                </c:pt>
                <c:pt idx="77">
                  <c:v>1.7436752895184559E-6</c:v>
                </c:pt>
                <c:pt idx="78">
                  <c:v>1.7436766363034797E-6</c:v>
                </c:pt>
                <c:pt idx="79">
                  <c:v>1.7436766363034797E-6</c:v>
                </c:pt>
                <c:pt idx="80">
                  <c:v>1.743677975288043E-6</c:v>
                </c:pt>
                <c:pt idx="81">
                  <c:v>1.743677975288043E-6</c:v>
                </c:pt>
                <c:pt idx="82">
                  <c:v>1.7436792977037975E-6</c:v>
                </c:pt>
                <c:pt idx="83">
                  <c:v>1.7436792977037975E-6</c:v>
                </c:pt>
                <c:pt idx="84">
                  <c:v>1.7436805865749005E-6</c:v>
                </c:pt>
                <c:pt idx="85">
                  <c:v>1.7436805865749005E-6</c:v>
                </c:pt>
                <c:pt idx="86">
                  <c:v>1.7436818078482949E-6</c:v>
                </c:pt>
                <c:pt idx="87">
                  <c:v>1.7436818078482949E-6</c:v>
                </c:pt>
                <c:pt idx="88">
                  <c:v>1.7436828871385557E-6</c:v>
                </c:pt>
                <c:pt idx="89">
                  <c:v>1.7436828871385557E-6</c:v>
                </c:pt>
                <c:pt idx="90">
                  <c:v>1.7436836332002457E-6</c:v>
                </c:pt>
                <c:pt idx="91">
                  <c:v>1.7436836332002457E-6</c:v>
                </c:pt>
                <c:pt idx="92">
                  <c:v>1.7436837362860377E-6</c:v>
                </c:pt>
                <c:pt idx="93">
                  <c:v>1.7436837362860377E-6</c:v>
                </c:pt>
                <c:pt idx="94">
                  <c:v>1.7399016462744015E-6</c:v>
                </c:pt>
                <c:pt idx="95">
                  <c:v>1.7399016462744015E-6</c:v>
                </c:pt>
                <c:pt idx="96">
                  <c:v>1.7125295670160563E-6</c:v>
                </c:pt>
                <c:pt idx="97">
                  <c:v>1.7125295670160563E-6</c:v>
                </c:pt>
                <c:pt idx="98">
                  <c:v>1.6729317442740159E-6</c:v>
                </c:pt>
                <c:pt idx="99">
                  <c:v>1.6729317442740159E-6</c:v>
                </c:pt>
                <c:pt idx="100">
                  <c:v>1.6281247362277643E-6</c:v>
                </c:pt>
                <c:pt idx="101">
                  <c:v>1.6281247362277643E-6</c:v>
                </c:pt>
                <c:pt idx="102">
                  <c:v>1.5808376519904965E-6</c:v>
                </c:pt>
                <c:pt idx="103">
                  <c:v>1.5808376519904965E-6</c:v>
                </c:pt>
                <c:pt idx="104">
                  <c:v>1.5323198560512133E-6</c:v>
                </c:pt>
                <c:pt idx="105">
                  <c:v>1.5323198560512133E-6</c:v>
                </c:pt>
                <c:pt idx="106">
                  <c:v>1.4831941710318662E-6</c:v>
                </c:pt>
                <c:pt idx="107">
                  <c:v>1.4831941710318662E-6</c:v>
                </c:pt>
                <c:pt idx="108">
                  <c:v>1.4337822967733175E-6</c:v>
                </c:pt>
                <c:pt idx="109">
                  <c:v>1.4337822967733175E-6</c:v>
                </c:pt>
                <c:pt idx="110">
                  <c:v>1.3842490909668462E-6</c:v>
                </c:pt>
                <c:pt idx="111">
                  <c:v>1.3842490909668462E-6</c:v>
                </c:pt>
                <c:pt idx="112">
                  <c:v>1.3346738563398694E-6</c:v>
                </c:pt>
                <c:pt idx="113">
                  <c:v>1.3346738563398694E-6</c:v>
                </c:pt>
                <c:pt idx="114">
                  <c:v>1.2850889234014933E-6</c:v>
                </c:pt>
                <c:pt idx="115">
                  <c:v>1.2850889234014933E-6</c:v>
                </c:pt>
                <c:pt idx="116">
                  <c:v>1.2499809515099686E-6</c:v>
                </c:pt>
                <c:pt idx="117">
                  <c:v>1.2499809515099686E-6</c:v>
                </c:pt>
                <c:pt idx="118">
                  <c:v>1.2191027204097044E-6</c:v>
                </c:pt>
                <c:pt idx="119">
                  <c:v>1.2191027204097044E-6</c:v>
                </c:pt>
                <c:pt idx="120">
                  <c:v>1.1783841891225438E-6</c:v>
                </c:pt>
                <c:pt idx="121">
                  <c:v>1.1783841891225438E-6</c:v>
                </c:pt>
                <c:pt idx="122">
                  <c:v>1.1386083951476443E-6</c:v>
                </c:pt>
                <c:pt idx="123">
                  <c:v>1.1386083951476443E-6</c:v>
                </c:pt>
                <c:pt idx="124">
                  <c:v>1.1002247147388083E-6</c:v>
                </c:pt>
                <c:pt idx="125">
                  <c:v>1.1002247147388083E-6</c:v>
                </c:pt>
                <c:pt idx="126">
                  <c:v>1.0636688846401876E-6</c:v>
                </c:pt>
                <c:pt idx="127">
                  <c:v>1.0636688846401876E-6</c:v>
                </c:pt>
                <c:pt idx="128">
                  <c:v>1.0293798872214682E-6</c:v>
                </c:pt>
                <c:pt idx="129">
                  <c:v>1.0293798872214682E-6</c:v>
                </c:pt>
                <c:pt idx="130">
                  <c:v>9.9783860899007127E-7</c:v>
                </c:pt>
                <c:pt idx="131">
                  <c:v>9.9783860899007127E-7</c:v>
                </c:pt>
                <c:pt idx="132">
                  <c:v>9.6963541287811516E-7</c:v>
                </c:pt>
                <c:pt idx="133">
                  <c:v>9.6963541287811516E-7</c:v>
                </c:pt>
                <c:pt idx="134">
                  <c:v>9.4557131328007283E-7</c:v>
                </c:pt>
                <c:pt idx="135">
                  <c:v>9.4557131328007283E-7</c:v>
                </c:pt>
                <c:pt idx="136">
                  <c:v>9.2679051604190449E-7</c:v>
                </c:pt>
                <c:pt idx="137">
                  <c:v>9.2679051604190449E-7</c:v>
                </c:pt>
                <c:pt idx="138">
                  <c:v>9.149294283080475E-7</c:v>
                </c:pt>
                <c:pt idx="139">
                  <c:v>9.149294283080475E-7</c:v>
                </c:pt>
                <c:pt idx="140">
                  <c:v>9.1224951186229093E-7</c:v>
                </c:pt>
                <c:pt idx="141">
                  <c:v>9.1224951186229093E-7</c:v>
                </c:pt>
                <c:pt idx="142">
                  <c:v>9.2170252066689195E-7</c:v>
                </c:pt>
                <c:pt idx="143">
                  <c:v>9.2170252066689195E-7</c:v>
                </c:pt>
                <c:pt idx="144">
                  <c:v>9.4686452543620391E-7</c:v>
                </c:pt>
                <c:pt idx="145">
                  <c:v>9.4686452543620391E-7</c:v>
                </c:pt>
                <c:pt idx="146">
                  <c:v>9.9167981338865398E-7</c:v>
                </c:pt>
                <c:pt idx="147">
                  <c:v>9.9167981338865398E-7</c:v>
                </c:pt>
                <c:pt idx="148">
                  <c:v>1.0599857002645534E-6</c:v>
                </c:pt>
                <c:pt idx="149">
                  <c:v>1.0599857002645534E-6</c:v>
                </c:pt>
                <c:pt idx="150">
                  <c:v>1.1548456203031934E-6</c:v>
                </c:pt>
                <c:pt idx="151">
                  <c:v>1.1548456203031934E-6</c:v>
                </c:pt>
                <c:pt idx="152">
                  <c:v>1.2777897372700898E-6</c:v>
                </c:pt>
                <c:pt idx="153">
                  <c:v>1.2777897372700898E-6</c:v>
                </c:pt>
                <c:pt idx="154">
                  <c:v>1.4281268259098025E-6</c:v>
                </c:pt>
                <c:pt idx="155">
                  <c:v>1.4281268259098025E-6</c:v>
                </c:pt>
                <c:pt idx="156">
                  <c:v>1.6025198826876512E-6</c:v>
                </c:pt>
                <c:pt idx="157">
                  <c:v>1.6025198826876512E-6</c:v>
                </c:pt>
                <c:pt idx="158">
                  <c:v>1.7949890631183405E-6</c:v>
                </c:pt>
                <c:pt idx="159">
                  <c:v>1.7949890631183405E-6</c:v>
                </c:pt>
                <c:pt idx="160">
                  <c:v>1.9463755492462878E-6</c:v>
                </c:pt>
                <c:pt idx="161">
                  <c:v>1.9463755492462878E-6</c:v>
                </c:pt>
                <c:pt idx="162">
                  <c:v>2.0352053220195496E-6</c:v>
                </c:pt>
                <c:pt idx="163">
                  <c:v>2.0352053220195496E-6</c:v>
                </c:pt>
                <c:pt idx="164">
                  <c:v>2.1743995239802597E-6</c:v>
                </c:pt>
                <c:pt idx="165">
                  <c:v>2.1743995239802597E-6</c:v>
                </c:pt>
                <c:pt idx="166">
                  <c:v>2.3535186280961635E-6</c:v>
                </c:pt>
                <c:pt idx="167">
                  <c:v>2.3535186280961635E-6</c:v>
                </c:pt>
                <c:pt idx="168">
                  <c:v>2.5197025051255869E-6</c:v>
                </c:pt>
                <c:pt idx="169">
                  <c:v>2.5197025051255869E-6</c:v>
                </c:pt>
                <c:pt idx="170">
                  <c:v>2.6681855005062899E-6</c:v>
                </c:pt>
                <c:pt idx="171">
                  <c:v>2.6681855005062899E-6</c:v>
                </c:pt>
                <c:pt idx="172">
                  <c:v>2.7958988191742747E-6</c:v>
                </c:pt>
                <c:pt idx="173">
                  <c:v>2.7958988191742747E-6</c:v>
                </c:pt>
                <c:pt idx="174">
                  <c:v>2.9015512142563631E-6</c:v>
                </c:pt>
                <c:pt idx="175">
                  <c:v>2.9015512142563631E-6</c:v>
                </c:pt>
                <c:pt idx="176">
                  <c:v>2.9854418178941134E-6</c:v>
                </c:pt>
                <c:pt idx="177">
                  <c:v>2.9854418178941134E-6</c:v>
                </c:pt>
                <c:pt idx="178">
                  <c:v>3.0490717035368547E-6</c:v>
                </c:pt>
                <c:pt idx="179">
                  <c:v>3.0490717035368547E-6</c:v>
                </c:pt>
                <c:pt idx="180">
                  <c:v>3.0946494569912799E-6</c:v>
                </c:pt>
                <c:pt idx="181">
                  <c:v>3.0946494569912799E-6</c:v>
                </c:pt>
                <c:pt idx="182">
                  <c:v>3.1245901225577395E-6</c:v>
                </c:pt>
                <c:pt idx="183">
                  <c:v>3.1245901225577395E-6</c:v>
                </c:pt>
                <c:pt idx="184">
                  <c:v>3.1410906819554598E-6</c:v>
                </c:pt>
                <c:pt idx="185">
                  <c:v>3.1410906819554598E-6</c:v>
                </c:pt>
                <c:pt idx="186">
                  <c:v>3.1458374635868745E-6</c:v>
                </c:pt>
                <c:pt idx="187">
                  <c:v>3.1458374635868745E-6</c:v>
                </c:pt>
                <c:pt idx="188">
                  <c:v>3.1398706244993949E-6</c:v>
                </c:pt>
                <c:pt idx="189">
                  <c:v>3.1398706244993949E-6</c:v>
                </c:pt>
                <c:pt idx="190">
                  <c:v>3.1236043167907311E-6</c:v>
                </c:pt>
                <c:pt idx="191">
                  <c:v>3.1236043167907311E-6</c:v>
                </c:pt>
                <c:pt idx="192">
                  <c:v>3.0969806825132632E-6</c:v>
                </c:pt>
                <c:pt idx="193">
                  <c:v>3.0969806825132632E-6</c:v>
                </c:pt>
                <c:pt idx="194">
                  <c:v>3.0597208951042996E-6</c:v>
                </c:pt>
                <c:pt idx="195">
                  <c:v>3.0597208951042996E-6</c:v>
                </c:pt>
                <c:pt idx="196">
                  <c:v>3.0116258116761786E-6</c:v>
                </c:pt>
                <c:pt idx="197">
                  <c:v>3.0116258116761786E-6</c:v>
                </c:pt>
                <c:pt idx="198">
                  <c:v>2.9528722764745607E-6</c:v>
                </c:pt>
                <c:pt idx="199">
                  <c:v>2.9528722764745607E-6</c:v>
                </c:pt>
                <c:pt idx="200">
                  <c:v>2.8842503215441168E-6</c:v>
                </c:pt>
                <c:pt idx="201">
                  <c:v>2.8842503215441168E-6</c:v>
                </c:pt>
                <c:pt idx="202">
                  <c:v>2.8072938753376719E-6</c:v>
                </c:pt>
                <c:pt idx="203">
                  <c:v>2.8072938753376719E-6</c:v>
                </c:pt>
                <c:pt idx="204">
                  <c:v>2.7242744869330372E-6</c:v>
                </c:pt>
                <c:pt idx="205">
                  <c:v>2.7242744869330372E-6</c:v>
                </c:pt>
                <c:pt idx="206">
                  <c:v>2.659736743245095E-6</c:v>
                </c:pt>
                <c:pt idx="207">
                  <c:v>2.659736743245095E-6</c:v>
                </c:pt>
                <c:pt idx="208">
                  <c:v>2.6092563971431438E-6</c:v>
                </c:pt>
                <c:pt idx="209">
                  <c:v>2.6092563971431438E-6</c:v>
                </c:pt>
                <c:pt idx="210">
                  <c:v>2.5516155330963769E-6</c:v>
                </c:pt>
                <c:pt idx="211">
                  <c:v>2.5516155330963769E-6</c:v>
                </c:pt>
                <c:pt idx="212">
                  <c:v>2.4939859430196593E-6</c:v>
                </c:pt>
                <c:pt idx="213">
                  <c:v>2.4939859430196593E-6</c:v>
                </c:pt>
                <c:pt idx="214">
                  <c:v>2.4364052100732283E-6</c:v>
                </c:pt>
                <c:pt idx="215">
                  <c:v>2.4364052100732283E-6</c:v>
                </c:pt>
                <c:pt idx="216">
                  <c:v>2.3789655210859986E-6</c:v>
                </c:pt>
                <c:pt idx="217">
                  <c:v>2.3789655210859986E-6</c:v>
                </c:pt>
                <c:pt idx="218">
                  <c:v>2.3218585177363392E-6</c:v>
                </c:pt>
                <c:pt idx="219">
                  <c:v>2.3218585177363392E-6</c:v>
                </c:pt>
                <c:pt idx="220">
                  <c:v>2.2654581655757219E-6</c:v>
                </c:pt>
                <c:pt idx="221">
                  <c:v>2.2654581655757219E-6</c:v>
                </c:pt>
                <c:pt idx="222">
                  <c:v>2.2104884755475874E-6</c:v>
                </c:pt>
                <c:pt idx="223">
                  <c:v>2.2104884755475874E-6</c:v>
                </c:pt>
                <c:pt idx="224">
                  <c:v>2.1584017930396941E-6</c:v>
                </c:pt>
                <c:pt idx="225">
                  <c:v>2.1584017930396941E-6</c:v>
                </c:pt>
                <c:pt idx="226">
                  <c:v>2.1123706182056264E-6</c:v>
                </c:pt>
                <c:pt idx="227">
                  <c:v>2.1123706182056264E-6</c:v>
                </c:pt>
                <c:pt idx="228">
                  <c:v>2.0805514706196363E-6</c:v>
                </c:pt>
                <c:pt idx="229">
                  <c:v>2.0805514706196363E-6</c:v>
                </c:pt>
                <c:pt idx="230">
                  <c:v>2.0761549145842717E-6</c:v>
                </c:pt>
                <c:pt idx="231">
                  <c:v>2.0761549145842717E-6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7.1604920361700006E-2</c:v>
                </c:pt>
                <c:pt idx="215">
                  <c:v>7.23209695653E-2</c:v>
                </c:pt>
                <c:pt idx="216">
                  <c:v>7.3044179261E-2</c:v>
                </c:pt>
                <c:pt idx="217">
                  <c:v>7.3774621053599998E-2</c:v>
                </c:pt>
                <c:pt idx="218">
                  <c:v>7.4512367264100002E-2</c:v>
                </c:pt>
                <c:pt idx="219">
                  <c:v>7.90963793198E-2</c:v>
                </c:pt>
                <c:pt idx="220">
                  <c:v>7.9887343112999998E-2</c:v>
                </c:pt>
                <c:pt idx="221">
                  <c:v>8.0686216544199996E-2</c:v>
                </c:pt>
                <c:pt idx="222">
                  <c:v>8.14930787096E-2</c:v>
                </c:pt>
                <c:pt idx="223">
                  <c:v>8.2308009496700002E-2</c:v>
                </c:pt>
                <c:pt idx="224">
                  <c:v>8.4802024492500003E-2</c:v>
                </c:pt>
                <c:pt idx="225">
                  <c:v>8.9127780010400004E-2</c:v>
                </c:pt>
                <c:pt idx="226">
                  <c:v>9.00190578105E-2</c:v>
                </c:pt>
                <c:pt idx="227">
                  <c:v>9.0919248388599994E-2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4.8233597336540327E-9</c:v>
                </c:pt>
                <c:pt idx="1">
                  <c:v>5.0169431612287498E-9</c:v>
                </c:pt>
                <c:pt idx="2">
                  <c:v>5.2179590131221585E-9</c:v>
                </c:pt>
                <c:pt idx="3">
                  <c:v>5.4265972405476345E-9</c:v>
                </c:pt>
                <c:pt idx="4">
                  <c:v>5.6430241874336176E-9</c:v>
                </c:pt>
                <c:pt idx="5">
                  <c:v>5.867362960537039E-9</c:v>
                </c:pt>
                <c:pt idx="6">
                  <c:v>6.099665017580067E-9</c:v>
                </c:pt>
                <c:pt idx="7">
                  <c:v>6.3398689072310917E-9</c:v>
                </c:pt>
                <c:pt idx="8">
                  <c:v>6.5877324472962608E-9</c:v>
                </c:pt>
                <c:pt idx="9">
                  <c:v>6.8427154309848423E-9</c:v>
                </c:pt>
                <c:pt idx="10">
                  <c:v>7.1037667845415035E-9</c:v>
                </c:pt>
                <c:pt idx="11">
                  <c:v>7.3689158948458254E-9</c:v>
                </c:pt>
                <c:pt idx="12">
                  <c:v>7.6344327889694983E-9</c:v>
                </c:pt>
                <c:pt idx="13">
                  <c:v>7.8930012904249563E-9</c:v>
                </c:pt>
                <c:pt idx="14">
                  <c:v>8.1299532244037163E-9</c:v>
                </c:pt>
                <c:pt idx="15">
                  <c:v>8.318015592823216E-9</c:v>
                </c:pt>
                <c:pt idx="16">
                  <c:v>8.4188860904787914E-9</c:v>
                </c:pt>
                <c:pt idx="17">
                  <c:v>8.41105910263044E-9</c:v>
                </c:pt>
                <c:pt idx="18">
                  <c:v>8.2952234759384138E-9</c:v>
                </c:pt>
                <c:pt idx="19">
                  <c:v>7.9510152637531683E-9</c:v>
                </c:pt>
                <c:pt idx="20">
                  <c:v>7.0800032361472408E-9</c:v>
                </c:pt>
                <c:pt idx="21">
                  <c:v>5.6980323273507414E-9</c:v>
                </c:pt>
                <c:pt idx="22">
                  <c:v>4.3975773202308699E-9</c:v>
                </c:pt>
                <c:pt idx="23">
                  <c:v>3.6430579284648356E-9</c:v>
                </c:pt>
                <c:pt idx="24">
                  <c:v>3.3447660593741076E-9</c:v>
                </c:pt>
                <c:pt idx="25">
                  <c:v>3.2322625181908801E-9</c:v>
                </c:pt>
                <c:pt idx="26">
                  <c:v>3.1537636517118623E-9</c:v>
                </c:pt>
                <c:pt idx="27">
                  <c:v>3.0615148733718819E-9</c:v>
                </c:pt>
                <c:pt idx="28">
                  <c:v>2.9451631099410537E-9</c:v>
                </c:pt>
                <c:pt idx="29">
                  <c:v>2.8044957900291242E-9</c:v>
                </c:pt>
                <c:pt idx="30">
                  <c:v>2.6419677467522389E-9</c:v>
                </c:pt>
                <c:pt idx="31">
                  <c:v>2.4612013408331925E-9</c:v>
                </c:pt>
                <c:pt idx="32">
                  <c:v>2.2664907276258823E-9</c:v>
                </c:pt>
                <c:pt idx="33">
                  <c:v>2.0625531286481087E-9</c:v>
                </c:pt>
                <c:pt idx="34">
                  <c:v>1.8543428359310188E-9</c:v>
                </c:pt>
                <c:pt idx="35">
                  <c:v>1.6468746479523656E-9</c:v>
                </c:pt>
                <c:pt idx="36">
                  <c:v>1.4450451423010369E-9</c:v>
                </c:pt>
                <c:pt idx="37">
                  <c:v>1.2534557855274942E-9</c:v>
                </c:pt>
                <c:pt idx="38">
                  <c:v>1.0762476447438112E-9</c:v>
                </c:pt>
                <c:pt idx="39">
                  <c:v>9.1695853192177763E-10</c:v>
                </c:pt>
                <c:pt idx="40">
                  <c:v>7.7841182950153485E-10</c:v>
                </c:pt>
                <c:pt idx="41">
                  <c:v>6.6264314269353988E-10</c:v>
                </c:pt>
                <c:pt idx="42">
                  <c:v>5.7086717219253385E-10</c:v>
                </c:pt>
                <c:pt idx="43">
                  <c:v>5.0348352076106393E-10</c:v>
                </c:pt>
                <c:pt idx="44">
                  <c:v>4.5993113468879064E-10</c:v>
                </c:pt>
                <c:pt idx="45">
                  <c:v>4.3954962313623085E-10</c:v>
                </c:pt>
                <c:pt idx="46">
                  <c:v>4.4040054543580052E-10</c:v>
                </c:pt>
                <c:pt idx="47">
                  <c:v>4.602699239850776E-10</c:v>
                </c:pt>
                <c:pt idx="48">
                  <c:v>4.9653745641144791E-10</c:v>
                </c:pt>
                <c:pt idx="49">
                  <c:v>5.4628540162063497E-10</c:v>
                </c:pt>
                <c:pt idx="50">
                  <c:v>6.0640382915888532E-10</c:v>
                </c:pt>
                <c:pt idx="51">
                  <c:v>6.7368947715034049E-10</c:v>
                </c:pt>
                <c:pt idx="52">
                  <c:v>7.4493671641061081E-10</c:v>
                </c:pt>
                <c:pt idx="53">
                  <c:v>8.1702009041855797E-10</c:v>
                </c:pt>
                <c:pt idx="54">
                  <c:v>8.8696856223596503E-10</c:v>
                </c:pt>
                <c:pt idx="55">
                  <c:v>9.5203194416210735E-10</c:v>
                </c:pt>
                <c:pt idx="56">
                  <c:v>1.0097400674958397E-9</c:v>
                </c:pt>
                <c:pt idx="57">
                  <c:v>1.0579551095832537E-9</c:v>
                </c:pt>
                <c:pt idx="58">
                  <c:v>1.0949172026395194E-9</c:v>
                </c:pt>
                <c:pt idx="59">
                  <c:v>1.119283067539973E-9</c:v>
                </c:pt>
                <c:pt idx="60">
                  <c:v>1.1301570027972095E-9</c:v>
                </c:pt>
                <c:pt idx="61">
                  <c:v>1.1271131775375426E-9</c:v>
                </c:pt>
                <c:pt idx="62">
                  <c:v>1.110207878268497E-9</c:v>
                </c:pt>
                <c:pt idx="63">
                  <c:v>1.0799801906030141E-9</c:v>
                </c:pt>
                <c:pt idx="64">
                  <c:v>1.0374395979664653E-9</c:v>
                </c:pt>
                <c:pt idx="65">
                  <c:v>9.8403917598455027E-10</c:v>
                </c:pt>
                <c:pt idx="66">
                  <c:v>9.2163346846551534E-10</c:v>
                </c:pt>
                <c:pt idx="67">
                  <c:v>8.5242073741498617E-10</c:v>
                </c:pt>
                <c:pt idx="68">
                  <c:v>7.788700619487796E-10</c:v>
                </c:pt>
                <c:pt idx="69">
                  <c:v>7.0363466766347585E-10</c:v>
                </c:pt>
                <c:pt idx="70">
                  <c:v>6.2945383088610899E-10</c:v>
                </c:pt>
                <c:pt idx="71">
                  <c:v>5.5904664072219803E-10</c:v>
                </c:pt>
                <c:pt idx="72">
                  <c:v>4.9500172443370045E-10</c:v>
                </c:pt>
                <c:pt idx="73">
                  <c:v>4.3966767276222025E-10</c:v>
                </c:pt>
                <c:pt idx="74">
                  <c:v>3.9504926597475266E-10</c:v>
                </c:pt>
                <c:pt idx="75">
                  <c:v>3.6271465757014083E-10</c:v>
                </c:pt>
                <c:pt idx="76">
                  <c:v>3.437184065460364E-10</c:v>
                </c:pt>
                <c:pt idx="77">
                  <c:v>3.3854467299495162E-10</c:v>
                </c:pt>
                <c:pt idx="78">
                  <c:v>3.470740509308487E-10</c:v>
                </c:pt>
                <c:pt idx="79">
                  <c:v>3.6857646815902158E-10</c:v>
                </c:pt>
                <c:pt idx="80">
                  <c:v>4.0173141032702249E-10</c:v>
                </c:pt>
                <c:pt idx="81">
                  <c:v>4.4467549790386262E-10</c:v>
                </c:pt>
                <c:pt idx="82">
                  <c:v>4.950762261239286E-10</c:v>
                </c:pt>
                <c:pt idx="83">
                  <c:v>5.5022951873846303E-10</c:v>
                </c:pt>
                <c:pt idx="84">
                  <c:v>6.0717767830979339E-10</c:v>
                </c:pt>
                <c:pt idx="85">
                  <c:v>6.628433564996675E-10</c:v>
                </c:pt>
                <c:pt idx="86">
                  <c:v>7.1417432314238402E-10</c:v>
                </c:pt>
                <c:pt idx="87">
                  <c:v>7.5829308597340078E-10</c:v>
                </c:pt>
                <c:pt idx="88">
                  <c:v>7.9264481671016863E-10</c:v>
                </c:pt>
                <c:pt idx="89">
                  <c:v>8.1513659147034699E-10</c:v>
                </c:pt>
                <c:pt idx="90">
                  <c:v>8.2426070148717409E-10</c:v>
                </c:pt>
                <c:pt idx="91">
                  <c:v>8.1919478847836329E-10</c:v>
                </c:pt>
                <c:pt idx="92">
                  <c:v>7.9987188537998513E-10</c:v>
                </c:pt>
                <c:pt idx="93">
                  <c:v>7.6701417550438724E-10</c:v>
                </c:pt>
                <c:pt idx="94">
                  <c:v>7.2212549188422266E-10</c:v>
                </c:pt>
                <c:pt idx="95">
                  <c:v>6.6743930906632273E-10</c:v>
                </c:pt>
                <c:pt idx="96">
                  <c:v>6.0582122875115795E-10</c:v>
                </c:pt>
                <c:pt idx="97">
                  <c:v>5.406276726532061E-10</c:v>
                </c:pt>
                <c:pt idx="98">
                  <c:v>4.755255380014818E-10</c:v>
                </c:pt>
                <c:pt idx="99">
                  <c:v>4.1428074746720183E-10</c:v>
                </c:pt>
                <c:pt idx="100">
                  <c:v>3.6052667794400168E-10</c:v>
                </c:pt>
                <c:pt idx="101">
                  <c:v>3.1752608822905247E-10</c:v>
                </c:pt>
                <c:pt idx="102">
                  <c:v>2.8794208827236499E-10</c:v>
                </c:pt>
                <c:pt idx="103">
                  <c:v>2.7363463187956152E-10</c:v>
                </c:pt>
                <c:pt idx="104">
                  <c:v>2.7549877322273302E-10</c:v>
                </c:pt>
                <c:pt idx="105">
                  <c:v>2.9335939672557326E-10</c:v>
                </c:pt>
                <c:pt idx="106">
                  <c:v>3.2593431218712985E-10</c:v>
                </c:pt>
                <c:pt idx="107">
                  <c:v>3.708736179977073E-10</c:v>
                </c:pt>
                <c:pt idx="108">
                  <c:v>4.2487828908735624E-10</c:v>
                </c:pt>
                <c:pt idx="109">
                  <c:v>4.8389533673805076E-10</c:v>
                </c:pt>
                <c:pt idx="110">
                  <c:v>5.4338096758713247E-10</c:v>
                </c:pt>
                <c:pt idx="111">
                  <c:v>5.9861732163211968E-10</c:v>
                </c:pt>
                <c:pt idx="112">
                  <c:v>6.4506300020716735E-10</c:v>
                </c:pt>
                <c:pt idx="113">
                  <c:v>6.7871311698787812E-10</c:v>
                </c:pt>
                <c:pt idx="114">
                  <c:v>6.9644143381058491E-10</c:v>
                </c:pt>
                <c:pt idx="115">
                  <c:v>6.962956864763022E-10</c:v>
                </c:pt>
                <c:pt idx="116">
                  <c:v>6.7771784147334961E-10</c:v>
                </c:pt>
                <c:pt idx="117">
                  <c:v>6.416640642184827E-10</c:v>
                </c:pt>
                <c:pt idx="118">
                  <c:v>5.9060480706792093E-10</c:v>
                </c:pt>
                <c:pt idx="119">
                  <c:v>5.2839362931016984E-10</c:v>
                </c:pt>
                <c:pt idx="120">
                  <c:v>4.6000385688694283E-10</c:v>
                </c:pt>
                <c:pt idx="121">
                  <c:v>3.911443681160721E-10</c:v>
                </c:pt>
                <c:pt idx="122">
                  <c:v>3.2777869017486188E-10</c:v>
                </c:pt>
                <c:pt idx="123">
                  <c:v>2.7558394747571088E-10</c:v>
                </c:pt>
                <c:pt idx="124">
                  <c:v>2.3939654351928754E-10</c:v>
                </c:pt>
                <c:pt idx="125">
                  <c:v>2.2269827486531596E-10</c:v>
                </c:pt>
                <c:pt idx="126">
                  <c:v>2.2719853448784548E-10</c:v>
                </c:pt>
                <c:pt idx="127">
                  <c:v>2.5256441377078896E-10</c:v>
                </c:pt>
                <c:pt idx="128">
                  <c:v>2.9634048430769467E-10</c:v>
                </c:pt>
                <c:pt idx="129">
                  <c:v>3.5408415615890422E-10</c:v>
                </c:pt>
                <c:pt idx="130">
                  <c:v>4.197218223249211E-10</c:v>
                </c:pt>
                <c:pt idx="131">
                  <c:v>4.8610724501806079E-10</c:v>
                </c:pt>
                <c:pt idx="132">
                  <c:v>5.4573910262574045E-10</c:v>
                </c:pt>
                <c:pt idx="133">
                  <c:v>5.9157195771462435E-10</c:v>
                </c:pt>
                <c:pt idx="134">
                  <c:v>6.1783693286614265E-10</c:v>
                </c:pt>
                <c:pt idx="135">
                  <c:v>6.2077781532048698E-10</c:v>
                </c:pt>
                <c:pt idx="136">
                  <c:v>5.9920749143242497E-10</c:v>
                </c:pt>
                <c:pt idx="137">
                  <c:v>5.5480018779019827E-10</c:v>
                </c:pt>
                <c:pt idx="138">
                  <c:v>4.9205755624645781E-10</c:v>
                </c:pt>
                <c:pt idx="139">
                  <c:v>4.179203676044718E-10</c:v>
                </c:pt>
                <c:pt idx="140">
                  <c:v>3.4103996545807214E-10</c:v>
                </c:pt>
                <c:pt idx="141">
                  <c:v>2.7077039110419597E-10</c:v>
                </c:pt>
                <c:pt idx="142">
                  <c:v>2.1598735406107411E-10</c:v>
                </c:pt>
                <c:pt idx="143">
                  <c:v>1.8387712037783062E-10</c:v>
                </c:pt>
                <c:pt idx="144">
                  <c:v>1.7885998687671376E-10</c:v>
                </c:pt>
                <c:pt idx="145">
                  <c:v>2.0181348919359109E-10</c:v>
                </c:pt>
                <c:pt idx="146">
                  <c:v>2.497364127470118E-10</c:v>
                </c:pt>
                <c:pt idx="147">
                  <c:v>3.1594598917370101E-10</c:v>
                </c:pt>
                <c:pt idx="148">
                  <c:v>3.9083129466496514E-10</c:v>
                </c:pt>
                <c:pt idx="149">
                  <c:v>4.6310227856689739E-10</c:v>
                </c:pt>
                <c:pt idx="150">
                  <c:v>5.2144004863748539E-10</c:v>
                </c:pt>
                <c:pt idx="151">
                  <c:v>5.5610860068642789E-10</c:v>
                </c:pt>
                <c:pt idx="152">
                  <c:v>5.6069920327311252E-10</c:v>
                </c:pt>
                <c:pt idx="153">
                  <c:v>5.3331454546486845E-10</c:v>
                </c:pt>
                <c:pt idx="154">
                  <c:v>4.7715175339102391E-10</c:v>
                </c:pt>
                <c:pt idx="155">
                  <c:v>4.0028404829796865E-10</c:v>
                </c:pt>
                <c:pt idx="156">
                  <c:v>3.1459703989863127E-10</c:v>
                </c:pt>
                <c:pt idx="157">
                  <c:v>2.3397906215562554E-10</c:v>
                </c:pt>
                <c:pt idx="158">
                  <c:v>1.7201130966633708E-10</c:v>
                </c:pt>
                <c:pt idx="159">
                  <c:v>1.3952558406368178E-10</c:v>
                </c:pt>
                <c:pt idx="160">
                  <c:v>1.4246739918468865E-10</c:v>
                </c:pt>
                <c:pt idx="161">
                  <c:v>1.8049745190838442E-10</c:v>
                </c:pt>
                <c:pt idx="162">
                  <c:v>2.4667375050528927E-10</c:v>
                </c:pt>
                <c:pt idx="163">
                  <c:v>3.28384728711962E-10</c:v>
                </c:pt>
                <c:pt idx="164">
                  <c:v>4.0947320082769069E-10</c:v>
                </c:pt>
                <c:pt idx="165">
                  <c:v>4.7324109926932195E-10</c:v>
                </c:pt>
                <c:pt idx="166">
                  <c:v>5.0580540680818977E-10</c:v>
                </c:pt>
                <c:pt idx="167">
                  <c:v>4.9913830249216725E-10</c:v>
                </c:pt>
                <c:pt idx="168">
                  <c:v>4.5311211856943428E-10</c:v>
                </c:pt>
                <c:pt idx="169">
                  <c:v>3.7600507828127263E-10</c:v>
                </c:pt>
                <c:pt idx="170">
                  <c:v>2.8320056613772344E-10</c:v>
                </c:pt>
                <c:pt idx="171">
                  <c:v>1.9419048486464086E-10</c:v>
                </c:pt>
                <c:pt idx="172">
                  <c:v>1.2839978964543178E-10</c:v>
                </c:pt>
                <c:pt idx="173">
                  <c:v>1.0069112554885862E-10</c:v>
                </c:pt>
                <c:pt idx="174">
                  <c:v>1.1759030290858825E-10</c:v>
                </c:pt>
                <c:pt idx="175">
                  <c:v>1.7522270501032608E-10</c:v>
                </c:pt>
                <c:pt idx="176">
                  <c:v>2.5964254246007354E-10</c:v>
                </c:pt>
                <c:pt idx="177">
                  <c:v>3.4970998004547548E-10</c:v>
                </c:pt>
                <c:pt idx="178">
                  <c:v>4.2203022491885245E-10</c:v>
                </c:pt>
                <c:pt idx="179">
                  <c:v>4.5686780506510608E-10</c:v>
                </c:pt>
                <c:pt idx="180">
                  <c:v>4.4355857065609713E-10</c:v>
                </c:pt>
                <c:pt idx="181">
                  <c:v>3.8390289951721064E-10</c:v>
                </c:pt>
                <c:pt idx="182">
                  <c:v>2.9240342281393008E-10</c:v>
                </c:pt>
                <c:pt idx="183">
                  <c:v>1.9296800145878103E-10</c:v>
                </c:pt>
                <c:pt idx="184">
                  <c:v>1.1267343308206531E-10</c:v>
                </c:pt>
                <c:pt idx="185">
                  <c:v>7.412154233908272E-11</c:v>
                </c:pt>
                <c:pt idx="186">
                  <c:v>8.852459593779886E-11</c:v>
                </c:pt>
                <c:pt idx="187">
                  <c:v>1.5168864370677421E-10</c:v>
                </c:pt>
                <c:pt idx="188">
                  <c:v>2.4441841517857919E-10</c:v>
                </c:pt>
                <c:pt idx="189">
                  <c:v>3.3764582971305648E-10</c:v>
                </c:pt>
                <c:pt idx="190">
                  <c:v>4.0109595094790162E-10</c:v>
                </c:pt>
                <c:pt idx="191">
                  <c:v>4.1300422162753069E-10</c:v>
                </c:pt>
                <c:pt idx="192">
                  <c:v>3.6775763883609982E-10</c:v>
                </c:pt>
                <c:pt idx="193">
                  <c:v>2.7867491338746496E-10</c:v>
                </c:pt>
                <c:pt idx="194">
                  <c:v>1.7450165824107158E-10</c:v>
                </c:pt>
                <c:pt idx="195">
                  <c:v>9.0250954095899617E-11</c:v>
                </c:pt>
                <c:pt idx="196">
                  <c:v>5.4977256683454724E-11</c:v>
                </c:pt>
                <c:pt idx="197">
                  <c:v>8.1572865951228975E-11</c:v>
                </c:pt>
                <c:pt idx="198">
                  <c:v>1.602044091226637E-10</c:v>
                </c:pt>
                <c:pt idx="199">
                  <c:v>2.6144872822186902E-10</c:v>
                </c:pt>
                <c:pt idx="200">
                  <c:v>3.4632123713586396E-10</c:v>
                </c:pt>
                <c:pt idx="201">
                  <c:v>3.8093906615529452E-10</c:v>
                </c:pt>
                <c:pt idx="202">
                  <c:v>3.5021044086853237E-10</c:v>
                </c:pt>
                <c:pt idx="203">
                  <c:v>2.6489274732959706E-10</c:v>
                </c:pt>
                <c:pt idx="204">
                  <c:v>1.584893956294136E-10</c:v>
                </c:pt>
                <c:pt idx="205">
                  <c:v>7.4370869969453107E-11</c:v>
                </c:pt>
                <c:pt idx="206">
                  <c:v>4.7771385989961335E-11</c:v>
                </c:pt>
                <c:pt idx="207">
                  <c:v>9.008238035167411E-11</c:v>
                </c:pt>
                <c:pt idx="208">
                  <c:v>1.8265093641464613E-10</c:v>
                </c:pt>
                <c:pt idx="209">
                  <c:v>2.8374024610578357E-10</c:v>
                </c:pt>
                <c:pt idx="210">
                  <c:v>3.4658897859146465E-10</c:v>
                </c:pt>
                <c:pt idx="211">
                  <c:v>3.4274474417708096E-10</c:v>
                </c:pt>
                <c:pt idx="212">
                  <c:v>2.8519934932707209E-10</c:v>
                </c:pt>
                <c:pt idx="213">
                  <c:v>2.2243375113758826E-10</c:v>
                </c:pt>
                <c:pt idx="214">
                  <c:v>1.3886338426173836E-10</c:v>
                </c:pt>
                <c:pt idx="215">
                  <c:v>2.1115937527251735E-10</c:v>
                </c:pt>
                <c:pt idx="216">
                  <c:v>2.9423169429973813E-10</c:v>
                </c:pt>
                <c:pt idx="217">
                  <c:v>3.429609899635602E-10</c:v>
                </c:pt>
                <c:pt idx="218">
                  <c:v>3.5435610573548627E-10</c:v>
                </c:pt>
                <c:pt idx="219">
                  <c:v>3.3083904648210128E-10</c:v>
                </c:pt>
                <c:pt idx="220">
                  <c:v>3.2728765468879228E-10</c:v>
                </c:pt>
                <c:pt idx="221">
                  <c:v>2.7812731607113523E-10</c:v>
                </c:pt>
                <c:pt idx="222">
                  <c:v>1.9313785274220307E-10</c:v>
                </c:pt>
                <c:pt idx="223">
                  <c:v>1.2342511382929121E-10</c:v>
                </c:pt>
                <c:pt idx="224">
                  <c:v>2.7104765747025972E-10</c:v>
                </c:pt>
                <c:pt idx="225">
                  <c:v>1.0847586754196143E-10</c:v>
                </c:pt>
                <c:pt idx="226">
                  <c:v>1.7403740401860378E-10</c:v>
                </c:pt>
                <c:pt idx="227">
                  <c:v>2.6139153190757342E-10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6.5564636208744045E-10</c:v>
                  </c:pt>
                  <c:pt idx="1">
                    <c:v>5.2795894948445346E-10</c:v>
                  </c:pt>
                  <c:pt idx="2">
                    <c:v>4.7795710697209515E-10</c:v>
                  </c:pt>
                  <c:pt idx="3">
                    <c:v>4.3332721297246327E-10</c:v>
                  </c:pt>
                  <c:pt idx="4">
                    <c:v>4.0050816133515664E-10</c:v>
                  </c:pt>
                  <c:pt idx="5">
                    <c:v>4.0485149820940421E-10</c:v>
                  </c:pt>
                  <c:pt idx="6">
                    <c:v>4.1786962876308636E-10</c:v>
                  </c:pt>
                  <c:pt idx="7">
                    <c:v>4.1838199018499091E-10</c:v>
                  </c:pt>
                  <c:pt idx="8">
                    <c:v>4.0767261598895126E-10</c:v>
                  </c:pt>
                  <c:pt idx="9">
                    <c:v>4.4943797301686667E-10</c:v>
                  </c:pt>
                  <c:pt idx="10">
                    <c:v>4.3971985553888959E-10</c:v>
                  </c:pt>
                  <c:pt idx="11">
                    <c:v>4.497056419303168E-10</c:v>
                  </c:pt>
                  <c:pt idx="12">
                    <c:v>3.4934286096799609E-10</c:v>
                  </c:pt>
                  <c:pt idx="13">
                    <c:v>3.3630178224110885E-10</c:v>
                  </c:pt>
                  <c:pt idx="14">
                    <c:v>3.2562895778277593E-10</c:v>
                  </c:pt>
                  <c:pt idx="15">
                    <c:v>3.3486007774480405E-10</c:v>
                  </c:pt>
                  <c:pt idx="16">
                    <c:v>3.4680748640937807E-10</c:v>
                  </c:pt>
                  <c:pt idx="17">
                    <c:v>5.1381384856465086E-10</c:v>
                  </c:pt>
                  <c:pt idx="18">
                    <c:v>4.8615830473332038E-10</c:v>
                  </c:pt>
                  <c:pt idx="19">
                    <c:v>4.8567811442049784E-10</c:v>
                  </c:pt>
                  <c:pt idx="20">
                    <c:v>4.3892798572432321E-10</c:v>
                  </c:pt>
                  <c:pt idx="21">
                    <c:v>3.438408618431855E-10</c:v>
                  </c:pt>
                  <c:pt idx="22">
                    <c:v>3.0998158678114162E-10</c:v>
                  </c:pt>
                  <c:pt idx="23">
                    <c:v>2.8650351593764649E-10</c:v>
                  </c:pt>
                  <c:pt idx="24">
                    <c:v>2.8029147179718684E-10</c:v>
                  </c:pt>
                  <c:pt idx="25">
                    <c:v>2.836057183799669E-10</c:v>
                  </c:pt>
                  <c:pt idx="26">
                    <c:v>2.6712478805679789E-10</c:v>
                  </c:pt>
                  <c:pt idx="27">
                    <c:v>2.8452797637471139E-10</c:v>
                  </c:pt>
                  <c:pt idx="28">
                    <c:v>2.6012509007715099E-10</c:v>
                  </c:pt>
                  <c:pt idx="29">
                    <c:v>2.5249564542747763E-10</c:v>
                  </c:pt>
                  <c:pt idx="30">
                    <c:v>2.6695080775043872E-10</c:v>
                  </c:pt>
                  <c:pt idx="31">
                    <c:v>2.3354134993351114E-10</c:v>
                  </c:pt>
                  <c:pt idx="32">
                    <c:v>2.3397610050653635E-10</c:v>
                  </c:pt>
                  <c:pt idx="33">
                    <c:v>1.3160259733357998E-10</c:v>
                  </c:pt>
                  <c:pt idx="34">
                    <c:v>1.1763633404894023E-10</c:v>
                  </c:pt>
                  <c:pt idx="35">
                    <c:v>1.1403557856926117E-10</c:v>
                  </c:pt>
                  <c:pt idx="36">
                    <c:v>1.0645777025016158E-10</c:v>
                  </c:pt>
                  <c:pt idx="37">
                    <c:v>9.5404064311660893E-11</c:v>
                  </c:pt>
                  <c:pt idx="38">
                    <c:v>1.1073092191219675E-10</c:v>
                  </c:pt>
                  <c:pt idx="39">
                    <c:v>9.9277917913235596E-11</c:v>
                  </c:pt>
                  <c:pt idx="40">
                    <c:v>8.7633093684455891E-11</c:v>
                  </c:pt>
                  <c:pt idx="41">
                    <c:v>8.2686489020160133E-11</c:v>
                  </c:pt>
                  <c:pt idx="42">
                    <c:v>7.6057247210821792E-11</c:v>
                  </c:pt>
                  <c:pt idx="43">
                    <c:v>7.3649473371332426E-11</c:v>
                  </c:pt>
                  <c:pt idx="44">
                    <c:v>6.3428706519156722E-11</c:v>
                  </c:pt>
                  <c:pt idx="45">
                    <c:v>5.7901655773863982E-11</c:v>
                  </c:pt>
                  <c:pt idx="46">
                    <c:v>5.9182744218525314E-11</c:v>
                  </c:pt>
                  <c:pt idx="47">
                    <c:v>5.7970282844466958E-11</c:v>
                  </c:pt>
                  <c:pt idx="48">
                    <c:v>6.1233955039016798E-11</c:v>
                  </c:pt>
                  <c:pt idx="49">
                    <c:v>6.0670634648127753E-11</c:v>
                  </c:pt>
                  <c:pt idx="50">
                    <c:v>6.4815111801151155E-11</c:v>
                  </c:pt>
                  <c:pt idx="51">
                    <c:v>6.6464835726956232E-11</c:v>
                  </c:pt>
                  <c:pt idx="52">
                    <c:v>7.5468491129814662E-11</c:v>
                  </c:pt>
                  <c:pt idx="53">
                    <c:v>8.0642005155612002E-11</c:v>
                  </c:pt>
                  <c:pt idx="54">
                    <c:v>7.9522366959268622E-11</c:v>
                  </c:pt>
                  <c:pt idx="55">
                    <c:v>7.9756036255103073E-11</c:v>
                  </c:pt>
                  <c:pt idx="56">
                    <c:v>8.5401048285180385E-11</c:v>
                  </c:pt>
                  <c:pt idx="57">
                    <c:v>9.4769264881537443E-11</c:v>
                  </c:pt>
                  <c:pt idx="58">
                    <c:v>9.468420582179411E-11</c:v>
                  </c:pt>
                  <c:pt idx="59">
                    <c:v>9.882757458703066E-11</c:v>
                  </c:pt>
                  <c:pt idx="60">
                    <c:v>6.8867492898766842E-11</c:v>
                  </c:pt>
                  <c:pt idx="61">
                    <c:v>6.9764702833998416E-11</c:v>
                  </c:pt>
                  <c:pt idx="62">
                    <c:v>6.9372363513509565E-11</c:v>
                  </c:pt>
                  <c:pt idx="63">
                    <c:v>6.7027040763811803E-11</c:v>
                  </c:pt>
                  <c:pt idx="64">
                    <c:v>6.5103088887869871E-11</c:v>
                  </c:pt>
                  <c:pt idx="65">
                    <c:v>6.4684401857020149E-11</c:v>
                  </c:pt>
                  <c:pt idx="66">
                    <c:v>7.0898759826121249E-11</c:v>
                  </c:pt>
                  <c:pt idx="67">
                    <c:v>9.0249741587491224E-11</c:v>
                  </c:pt>
                  <c:pt idx="68">
                    <c:v>8.6219254184578901E-11</c:v>
                  </c:pt>
                  <c:pt idx="69">
                    <c:v>7.3207260638498007E-11</c:v>
                  </c:pt>
                  <c:pt idx="70">
                    <c:v>6.8714675170963646E-11</c:v>
                  </c:pt>
                  <c:pt idx="71">
                    <c:v>6.1948937687009601E-11</c:v>
                  </c:pt>
                  <c:pt idx="72">
                    <c:v>6.6478962030744812E-11</c:v>
                  </c:pt>
                  <c:pt idx="73">
                    <c:v>6.3452434843782975E-11</c:v>
                  </c:pt>
                  <c:pt idx="74">
                    <c:v>5.4551019024497382E-11</c:v>
                  </c:pt>
                  <c:pt idx="75">
                    <c:v>6.1542825276834161E-11</c:v>
                  </c:pt>
                  <c:pt idx="76">
                    <c:v>4.4854861128252429E-11</c:v>
                  </c:pt>
                  <c:pt idx="77">
                    <c:v>4.6532008413616992E-11</c:v>
                  </c:pt>
                  <c:pt idx="78">
                    <c:v>4.9083244067572667E-11</c:v>
                  </c:pt>
                  <c:pt idx="79">
                    <c:v>4.9951140021843635E-11</c:v>
                  </c:pt>
                  <c:pt idx="80">
                    <c:v>5.7703949860616323E-11</c:v>
                  </c:pt>
                  <c:pt idx="81">
                    <c:v>5.9638738432617744E-11</c:v>
                  </c:pt>
                  <c:pt idx="82">
                    <c:v>5.5189897180685408E-11</c:v>
                  </c:pt>
                  <c:pt idx="83">
                    <c:v>6.4864084824543511E-11</c:v>
                  </c:pt>
                  <c:pt idx="84">
                    <c:v>6.4653580944597456E-11</c:v>
                  </c:pt>
                  <c:pt idx="85">
                    <c:v>7.3564016099215565E-11</c:v>
                  </c:pt>
                  <c:pt idx="86">
                    <c:v>7.961370358267486E-11</c:v>
                  </c:pt>
                  <c:pt idx="87">
                    <c:v>7.7969711076585122E-11</c:v>
                  </c:pt>
                  <c:pt idx="88">
                    <c:v>8.3353315796673916E-11</c:v>
                  </c:pt>
                  <c:pt idx="89">
                    <c:v>7.9991575347317795E-11</c:v>
                  </c:pt>
                  <c:pt idx="90">
                    <c:v>8.9766234831495537E-11</c:v>
                  </c:pt>
                  <c:pt idx="91">
                    <c:v>8.2050406584921983E-11</c:v>
                  </c:pt>
                  <c:pt idx="92">
                    <c:v>8.1234374063176467E-11</c:v>
                  </c:pt>
                  <c:pt idx="93">
                    <c:v>9.2368468938022628E-11</c:v>
                  </c:pt>
                  <c:pt idx="94">
                    <c:v>8.2542134681721042E-11</c:v>
                  </c:pt>
                  <c:pt idx="95">
                    <c:v>7.7262508138876646E-11</c:v>
                  </c:pt>
                  <c:pt idx="96">
                    <c:v>7.6885035263196982E-11</c:v>
                  </c:pt>
                  <c:pt idx="97">
                    <c:v>7.0890518575274159E-11</c:v>
                  </c:pt>
                  <c:pt idx="98">
                    <c:v>6.6647006497694969E-11</c:v>
                  </c:pt>
                  <c:pt idx="99">
                    <c:v>2.7194107648282446E-11</c:v>
                  </c:pt>
                  <c:pt idx="100">
                    <c:v>2.5598360342973914E-11</c:v>
                  </c:pt>
                  <c:pt idx="101">
                    <c:v>2.025416384629401E-11</c:v>
                  </c:pt>
                  <c:pt idx="102">
                    <c:v>1.7887727200926063E-11</c:v>
                  </c:pt>
                  <c:pt idx="103">
                    <c:v>1.8346948933082255E-11</c:v>
                  </c:pt>
                  <c:pt idx="104">
                    <c:v>1.8367019138190404E-11</c:v>
                  </c:pt>
                  <c:pt idx="105">
                    <c:v>1.975604899990634E-11</c:v>
                  </c:pt>
                  <c:pt idx="106">
                    <c:v>2.2225112222437332E-11</c:v>
                  </c:pt>
                  <c:pt idx="107">
                    <c:v>2.3752402211702107E-11</c:v>
                  </c:pt>
                  <c:pt idx="108">
                    <c:v>2.7819710379220268E-11</c:v>
                  </c:pt>
                  <c:pt idx="109">
                    <c:v>3.0246175415842752E-11</c:v>
                  </c:pt>
                  <c:pt idx="110">
                    <c:v>3.4920464625162024E-11</c:v>
                  </c:pt>
                  <c:pt idx="111">
                    <c:v>3.481441105473723E-11</c:v>
                  </c:pt>
                  <c:pt idx="112">
                    <c:v>3.6821692648205039E-11</c:v>
                  </c:pt>
                  <c:pt idx="113">
                    <c:v>3.7649765836970864E-11</c:v>
                  </c:pt>
                  <c:pt idx="114">
                    <c:v>3.9576164944230032E-11</c:v>
                  </c:pt>
                  <c:pt idx="115">
                    <c:v>4.1622168961361663E-11</c:v>
                  </c:pt>
                  <c:pt idx="116">
                    <c:v>3.7332511194930427E-11</c:v>
                  </c:pt>
                  <c:pt idx="117">
                    <c:v>3.6405093243347487E-11</c:v>
                  </c:pt>
                  <c:pt idx="118">
                    <c:v>3.8997902526436035E-11</c:v>
                  </c:pt>
                  <c:pt idx="119">
                    <c:v>4.0131941580484842E-11</c:v>
                  </c:pt>
                  <c:pt idx="120">
                    <c:v>3.2317955746472271E-11</c:v>
                  </c:pt>
                  <c:pt idx="121">
                    <c:v>3.2189552866761031E-11</c:v>
                  </c:pt>
                  <c:pt idx="122">
                    <c:v>2.9171596271925653E-11</c:v>
                  </c:pt>
                  <c:pt idx="123">
                    <c:v>2.7159814511301167E-11</c:v>
                  </c:pt>
                  <c:pt idx="124">
                    <c:v>2.4223804233611218E-11</c:v>
                  </c:pt>
                  <c:pt idx="125">
                    <c:v>2.6491299687098226E-11</c:v>
                  </c:pt>
                  <c:pt idx="126">
                    <c:v>2.5456786330639896E-11</c:v>
                  </c:pt>
                  <c:pt idx="127">
                    <c:v>2.8747834549976945E-11</c:v>
                  </c:pt>
                  <c:pt idx="128">
                    <c:v>3.2287586426638571E-11</c:v>
                  </c:pt>
                  <c:pt idx="129">
                    <c:v>3.3591172795651856E-11</c:v>
                  </c:pt>
                  <c:pt idx="130">
                    <c:v>4.1211720766823205E-11</c:v>
                  </c:pt>
                  <c:pt idx="131">
                    <c:v>4.5016959499855097E-11</c:v>
                  </c:pt>
                  <c:pt idx="132">
                    <c:v>4.7326970726826197E-11</c:v>
                  </c:pt>
                  <c:pt idx="133">
                    <c:v>4.5194365886156904E-11</c:v>
                  </c:pt>
                  <c:pt idx="134">
                    <c:v>4.930473922411783E-11</c:v>
                  </c:pt>
                  <c:pt idx="135">
                    <c:v>5.2983309299599853E-11</c:v>
                  </c:pt>
                  <c:pt idx="136">
                    <c:v>4.9102370954201623E-11</c:v>
                  </c:pt>
                  <c:pt idx="137">
                    <c:v>4.9918282076487075E-11</c:v>
                  </c:pt>
                  <c:pt idx="138">
                    <c:v>4.8556572784331258E-11</c:v>
                  </c:pt>
                  <c:pt idx="139">
                    <c:v>5.2325368938113E-11</c:v>
                  </c:pt>
                  <c:pt idx="140">
                    <c:v>4.2556386130775924E-11</c:v>
                  </c:pt>
                  <c:pt idx="141">
                    <c:v>4.0367773829468121E-11</c:v>
                  </c:pt>
                  <c:pt idx="142">
                    <c:v>3.6159563156080711E-11</c:v>
                  </c:pt>
                  <c:pt idx="143">
                    <c:v>3.7584854960917615E-11</c:v>
                  </c:pt>
                  <c:pt idx="144">
                    <c:v>3.6444306284892664E-11</c:v>
                  </c:pt>
                  <c:pt idx="145">
                    <c:v>3.9947700957721544E-11</c:v>
                  </c:pt>
                  <c:pt idx="146">
                    <c:v>4.1755125981475475E-11</c:v>
                  </c:pt>
                  <c:pt idx="147">
                    <c:v>5.1823321537178915E-11</c:v>
                  </c:pt>
                  <c:pt idx="148">
                    <c:v>5.7492471418847742E-11</c:v>
                  </c:pt>
                  <c:pt idx="149">
                    <c:v>5.5871148377550829E-11</c:v>
                  </c:pt>
                  <c:pt idx="150">
                    <c:v>6.1552704433161949E-11</c:v>
                  </c:pt>
                  <c:pt idx="151">
                    <c:v>6.3967238706259766E-11</c:v>
                  </c:pt>
                  <c:pt idx="152">
                    <c:v>6.5517693082774403E-11</c:v>
                  </c:pt>
                  <c:pt idx="153">
                    <c:v>6.0092992320836972E-11</c:v>
                  </c:pt>
                  <c:pt idx="154">
                    <c:v>5.3775761857228681E-11</c:v>
                  </c:pt>
                  <c:pt idx="155">
                    <c:v>5.1557994509334504E-11</c:v>
                  </c:pt>
                  <c:pt idx="156">
                    <c:v>5.5422115192213226E-11</c:v>
                  </c:pt>
                  <c:pt idx="157">
                    <c:v>5.1219097059774864E-11</c:v>
                  </c:pt>
                  <c:pt idx="158">
                    <c:v>4.3138808542399733E-11</c:v>
                  </c:pt>
                  <c:pt idx="159">
                    <c:v>4.5367086510875437E-11</c:v>
                  </c:pt>
                  <c:pt idx="160">
                    <c:v>5.201843572116804E-11</c:v>
                  </c:pt>
                  <c:pt idx="161">
                    <c:v>5.5970665310007995E-11</c:v>
                  </c:pt>
                  <c:pt idx="162">
                    <c:v>5.9046002975440199E-11</c:v>
                  </c:pt>
                  <c:pt idx="163">
                    <c:v>7.4459020061493056E-11</c:v>
                  </c:pt>
                  <c:pt idx="164">
                    <c:v>8.099009847060355E-11</c:v>
                  </c:pt>
                  <c:pt idx="165">
                    <c:v>7.4155855683632268E-11</c:v>
                  </c:pt>
                  <c:pt idx="166">
                    <c:v>7.9345453712449493E-11</c:v>
                  </c:pt>
                  <c:pt idx="167">
                    <c:v>3.7302568313277499E-11</c:v>
                  </c:pt>
                  <c:pt idx="168">
                    <c:v>3.5646482217933618E-11</c:v>
                  </c:pt>
                  <c:pt idx="169">
                    <c:v>2.8275373937584699E-11</c:v>
                  </c:pt>
                  <c:pt idx="170">
                    <c:v>2.8486966976090109E-11</c:v>
                  </c:pt>
                  <c:pt idx="171">
                    <c:v>2.3331652334690267E-11</c:v>
                  </c:pt>
                  <c:pt idx="172">
                    <c:v>2.3014710974033103E-11</c:v>
                  </c:pt>
                  <c:pt idx="173">
                    <c:v>2.2095450072268557E-11</c:v>
                  </c:pt>
                  <c:pt idx="174">
                    <c:v>2.7853830317412983E-11</c:v>
                  </c:pt>
                  <c:pt idx="175">
                    <c:v>2.9637384095421387E-11</c:v>
                  </c:pt>
                  <c:pt idx="176">
                    <c:v>2.9375360412569762E-11</c:v>
                  </c:pt>
                  <c:pt idx="177">
                    <c:v>3.4662397835620389E-11</c:v>
                  </c:pt>
                  <c:pt idx="178">
                    <c:v>3.466432078679832E-11</c:v>
                  </c:pt>
                  <c:pt idx="179">
                    <c:v>3.3445022738535479E-11</c:v>
                  </c:pt>
                  <c:pt idx="180">
                    <c:v>3.4542810573196897E-11</c:v>
                  </c:pt>
                  <c:pt idx="181">
                    <c:v>3.2409404963658065E-11</c:v>
                  </c:pt>
                  <c:pt idx="182">
                    <c:v>3.1190187382142433E-11</c:v>
                  </c:pt>
                  <c:pt idx="183">
                    <c:v>2.9221277350794829E-11</c:v>
                  </c:pt>
                  <c:pt idx="184">
                    <c:v>2.7528867939218623E-11</c:v>
                  </c:pt>
                  <c:pt idx="185">
                    <c:v>2.9462330656755966E-11</c:v>
                  </c:pt>
                  <c:pt idx="186">
                    <c:v>3.3063849819989659E-11</c:v>
                  </c:pt>
                  <c:pt idx="187">
                    <c:v>3.4334735925840382E-11</c:v>
                  </c:pt>
                  <c:pt idx="188">
                    <c:v>3.5575608426893548E-11</c:v>
                  </c:pt>
                  <c:pt idx="189">
                    <c:v>4.0046631310766083E-11</c:v>
                  </c:pt>
                  <c:pt idx="190">
                    <c:v>4.2473984158609164E-11</c:v>
                  </c:pt>
                  <c:pt idx="191">
                    <c:v>4.2604156633529154E-11</c:v>
                  </c:pt>
                  <c:pt idx="192">
                    <c:v>3.6784172513549693E-11</c:v>
                  </c:pt>
                  <c:pt idx="193">
                    <c:v>3.7027288696533385E-11</c:v>
                  </c:pt>
                  <c:pt idx="194">
                    <c:v>3.1722012699507314E-11</c:v>
                  </c:pt>
                  <c:pt idx="195">
                    <c:v>3.553273821385091E-11</c:v>
                  </c:pt>
                  <c:pt idx="196">
                    <c:v>3.6585623281083488E-11</c:v>
                  </c:pt>
                  <c:pt idx="197">
                    <c:v>3.7964766624970743E-11</c:v>
                  </c:pt>
                  <c:pt idx="198">
                    <c:v>4.3318483976492783E-11</c:v>
                  </c:pt>
                  <c:pt idx="199">
                    <c:v>4.9233339378158932E-11</c:v>
                  </c:pt>
                  <c:pt idx="200">
                    <c:v>5.1894621810839705E-11</c:v>
                  </c:pt>
                  <c:pt idx="201">
                    <c:v>3.9484855532794161E-11</c:v>
                  </c:pt>
                  <c:pt idx="202">
                    <c:v>4.3124354669266006E-11</c:v>
                  </c:pt>
                  <c:pt idx="203">
                    <c:v>4.2850703802316305E-11</c:v>
                  </c:pt>
                  <c:pt idx="204">
                    <c:v>4.5201390976348054E-11</c:v>
                  </c:pt>
                  <c:pt idx="205">
                    <c:v>4.2771490276584658E-11</c:v>
                  </c:pt>
                  <c:pt idx="206">
                    <c:v>4.7705191362918125E-11</c:v>
                  </c:pt>
                  <c:pt idx="207">
                    <c:v>3.9241258853914878E-11</c:v>
                  </c:pt>
                  <c:pt idx="208">
                    <c:v>4.4605934566707771E-11</c:v>
                  </c:pt>
                  <c:pt idx="209">
                    <c:v>5.2002454624842906E-11</c:v>
                  </c:pt>
                  <c:pt idx="210">
                    <c:v>5.7088839180810459E-11</c:v>
                  </c:pt>
                  <c:pt idx="211">
                    <c:v>5.6861443650028036E-11</c:v>
                  </c:pt>
                  <c:pt idx="212">
                    <c:v>5.9046964766560976E-11</c:v>
                  </c:pt>
                  <c:pt idx="213">
                    <c:v>4.5151771414135136E-11</c:v>
                  </c:pt>
                  <c:pt idx="214">
                    <c:v>4.8606391198729811E-11</c:v>
                  </c:pt>
                  <c:pt idx="215">
                    <c:v>5.3985012896742691E-11</c:v>
                  </c:pt>
                  <c:pt idx="216">
                    <c:v>5.9967013914740422E-11</c:v>
                  </c:pt>
                  <c:pt idx="217">
                    <c:v>5.7335229225592592E-11</c:v>
                  </c:pt>
                  <c:pt idx="218">
                    <c:v>6.7989214552724103E-11</c:v>
                  </c:pt>
                  <c:pt idx="219">
                    <c:v>5.5599155183744386E-11</c:v>
                  </c:pt>
                  <c:pt idx="220">
                    <c:v>6.6552076459041892E-11</c:v>
                  </c:pt>
                  <c:pt idx="221">
                    <c:v>7.0608025811578881E-11</c:v>
                  </c:pt>
                  <c:pt idx="222">
                    <c:v>6.4650852367487296E-11</c:v>
                  </c:pt>
                  <c:pt idx="223">
                    <c:v>6.9530123726617116E-11</c:v>
                  </c:pt>
                  <c:pt idx="224">
                    <c:v>7.2834664275311479E-11</c:v>
                  </c:pt>
                  <c:pt idx="225">
                    <c:v>8.7430215674229105E-11</c:v>
                  </c:pt>
                  <c:pt idx="226">
                    <c:v>9.9433070171047678E-11</c:v>
                  </c:pt>
                  <c:pt idx="227">
                    <c:v>9.3282365775877968E-11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6.5564636208744045E-10</c:v>
                  </c:pt>
                  <c:pt idx="1">
                    <c:v>5.2795894948445346E-10</c:v>
                  </c:pt>
                  <c:pt idx="2">
                    <c:v>4.7795710697209515E-10</c:v>
                  </c:pt>
                  <c:pt idx="3">
                    <c:v>4.3332721297246327E-10</c:v>
                  </c:pt>
                  <c:pt idx="4">
                    <c:v>4.0050816133515664E-10</c:v>
                  </c:pt>
                  <c:pt idx="5">
                    <c:v>4.0485149820940421E-10</c:v>
                  </c:pt>
                  <c:pt idx="6">
                    <c:v>4.1786962876308636E-10</c:v>
                  </c:pt>
                  <c:pt idx="7">
                    <c:v>4.1838199018499091E-10</c:v>
                  </c:pt>
                  <c:pt idx="8">
                    <c:v>4.0767261598895126E-10</c:v>
                  </c:pt>
                  <c:pt idx="9">
                    <c:v>4.4943797301686667E-10</c:v>
                  </c:pt>
                  <c:pt idx="10">
                    <c:v>4.3971985553888959E-10</c:v>
                  </c:pt>
                  <c:pt idx="11">
                    <c:v>4.497056419303168E-10</c:v>
                  </c:pt>
                  <c:pt idx="12">
                    <c:v>3.4934286096799609E-10</c:v>
                  </c:pt>
                  <c:pt idx="13">
                    <c:v>3.3630178224110885E-10</c:v>
                  </c:pt>
                  <c:pt idx="14">
                    <c:v>3.2562895778277593E-10</c:v>
                  </c:pt>
                  <c:pt idx="15">
                    <c:v>3.3486007774480405E-10</c:v>
                  </c:pt>
                  <c:pt idx="16">
                    <c:v>3.4680748640937807E-10</c:v>
                  </c:pt>
                  <c:pt idx="17">
                    <c:v>5.1381384856465086E-10</c:v>
                  </c:pt>
                  <c:pt idx="18">
                    <c:v>4.8615830473332038E-10</c:v>
                  </c:pt>
                  <c:pt idx="19">
                    <c:v>4.8567811442049784E-10</c:v>
                  </c:pt>
                  <c:pt idx="20">
                    <c:v>4.3892798572432321E-10</c:v>
                  </c:pt>
                  <c:pt idx="21">
                    <c:v>3.438408618431855E-10</c:v>
                  </c:pt>
                  <c:pt idx="22">
                    <c:v>3.0998158678114162E-10</c:v>
                  </c:pt>
                  <c:pt idx="23">
                    <c:v>2.8650351593764649E-10</c:v>
                  </c:pt>
                  <c:pt idx="24">
                    <c:v>2.8029147179718684E-10</c:v>
                  </c:pt>
                  <c:pt idx="25">
                    <c:v>2.836057183799669E-10</c:v>
                  </c:pt>
                  <c:pt idx="26">
                    <c:v>2.6712478805679789E-10</c:v>
                  </c:pt>
                  <c:pt idx="27">
                    <c:v>2.8452797637471139E-10</c:v>
                  </c:pt>
                  <c:pt idx="28">
                    <c:v>2.6012509007715099E-10</c:v>
                  </c:pt>
                  <c:pt idx="29">
                    <c:v>2.5249564542747763E-10</c:v>
                  </c:pt>
                  <c:pt idx="30">
                    <c:v>2.6695080775043872E-10</c:v>
                  </c:pt>
                  <c:pt idx="31">
                    <c:v>2.3354134993351114E-10</c:v>
                  </c:pt>
                  <c:pt idx="32">
                    <c:v>2.3397610050653635E-10</c:v>
                  </c:pt>
                  <c:pt idx="33">
                    <c:v>1.3160259733357998E-10</c:v>
                  </c:pt>
                  <c:pt idx="34">
                    <c:v>1.1763633404894023E-10</c:v>
                  </c:pt>
                  <c:pt idx="35">
                    <c:v>1.1403557856926117E-10</c:v>
                  </c:pt>
                  <c:pt idx="36">
                    <c:v>1.0645777025016158E-10</c:v>
                  </c:pt>
                  <c:pt idx="37">
                    <c:v>9.5404064311660893E-11</c:v>
                  </c:pt>
                  <c:pt idx="38">
                    <c:v>1.1073092191219675E-10</c:v>
                  </c:pt>
                  <c:pt idx="39">
                    <c:v>9.9277917913235596E-11</c:v>
                  </c:pt>
                  <c:pt idx="40">
                    <c:v>8.7633093684455891E-11</c:v>
                  </c:pt>
                  <c:pt idx="41">
                    <c:v>8.2686489020160133E-11</c:v>
                  </c:pt>
                  <c:pt idx="42">
                    <c:v>7.6057247210821792E-11</c:v>
                  </c:pt>
                  <c:pt idx="43">
                    <c:v>7.3649473371332426E-11</c:v>
                  </c:pt>
                  <c:pt idx="44">
                    <c:v>6.3428706519156722E-11</c:v>
                  </c:pt>
                  <c:pt idx="45">
                    <c:v>5.7901655773863982E-11</c:v>
                  </c:pt>
                  <c:pt idx="46">
                    <c:v>5.9182744218525314E-11</c:v>
                  </c:pt>
                  <c:pt idx="47">
                    <c:v>5.7970282844466958E-11</c:v>
                  </c:pt>
                  <c:pt idx="48">
                    <c:v>6.1233955039016798E-11</c:v>
                  </c:pt>
                  <c:pt idx="49">
                    <c:v>6.0670634648127753E-11</c:v>
                  </c:pt>
                  <c:pt idx="50">
                    <c:v>6.4815111801151155E-11</c:v>
                  </c:pt>
                  <c:pt idx="51">
                    <c:v>6.6464835726956232E-11</c:v>
                  </c:pt>
                  <c:pt idx="52">
                    <c:v>7.5468491129814662E-11</c:v>
                  </c:pt>
                  <c:pt idx="53">
                    <c:v>8.0642005155612002E-11</c:v>
                  </c:pt>
                  <c:pt idx="54">
                    <c:v>7.9522366959268622E-11</c:v>
                  </c:pt>
                  <c:pt idx="55">
                    <c:v>7.9756036255103073E-11</c:v>
                  </c:pt>
                  <c:pt idx="56">
                    <c:v>8.5401048285180385E-11</c:v>
                  </c:pt>
                  <c:pt idx="57">
                    <c:v>9.4769264881537443E-11</c:v>
                  </c:pt>
                  <c:pt idx="58">
                    <c:v>9.468420582179411E-11</c:v>
                  </c:pt>
                  <c:pt idx="59">
                    <c:v>9.882757458703066E-11</c:v>
                  </c:pt>
                  <c:pt idx="60">
                    <c:v>6.8867492898766842E-11</c:v>
                  </c:pt>
                  <c:pt idx="61">
                    <c:v>6.9764702833998416E-11</c:v>
                  </c:pt>
                  <c:pt idx="62">
                    <c:v>6.9372363513509565E-11</c:v>
                  </c:pt>
                  <c:pt idx="63">
                    <c:v>6.7027040763811803E-11</c:v>
                  </c:pt>
                  <c:pt idx="64">
                    <c:v>6.5103088887869871E-11</c:v>
                  </c:pt>
                  <c:pt idx="65">
                    <c:v>6.4684401857020149E-11</c:v>
                  </c:pt>
                  <c:pt idx="66">
                    <c:v>7.0898759826121249E-11</c:v>
                  </c:pt>
                  <c:pt idx="67">
                    <c:v>9.0249741587491224E-11</c:v>
                  </c:pt>
                  <c:pt idx="68">
                    <c:v>8.6219254184578901E-11</c:v>
                  </c:pt>
                  <c:pt idx="69">
                    <c:v>7.3207260638498007E-11</c:v>
                  </c:pt>
                  <c:pt idx="70">
                    <c:v>6.8714675170963646E-11</c:v>
                  </c:pt>
                  <c:pt idx="71">
                    <c:v>6.1948937687009601E-11</c:v>
                  </c:pt>
                  <c:pt idx="72">
                    <c:v>6.6478962030744812E-11</c:v>
                  </c:pt>
                  <c:pt idx="73">
                    <c:v>6.3452434843782975E-11</c:v>
                  </c:pt>
                  <c:pt idx="74">
                    <c:v>5.4551019024497382E-11</c:v>
                  </c:pt>
                  <c:pt idx="75">
                    <c:v>6.1542825276834161E-11</c:v>
                  </c:pt>
                  <c:pt idx="76">
                    <c:v>4.4854861128252429E-11</c:v>
                  </c:pt>
                  <c:pt idx="77">
                    <c:v>4.6532008413616992E-11</c:v>
                  </c:pt>
                  <c:pt idx="78">
                    <c:v>4.9083244067572667E-11</c:v>
                  </c:pt>
                  <c:pt idx="79">
                    <c:v>4.9951140021843635E-11</c:v>
                  </c:pt>
                  <c:pt idx="80">
                    <c:v>5.7703949860616323E-11</c:v>
                  </c:pt>
                  <c:pt idx="81">
                    <c:v>5.9638738432617744E-11</c:v>
                  </c:pt>
                  <c:pt idx="82">
                    <c:v>5.5189897180685408E-11</c:v>
                  </c:pt>
                  <c:pt idx="83">
                    <c:v>6.4864084824543511E-11</c:v>
                  </c:pt>
                  <c:pt idx="84">
                    <c:v>6.4653580944597456E-11</c:v>
                  </c:pt>
                  <c:pt idx="85">
                    <c:v>7.3564016099215565E-11</c:v>
                  </c:pt>
                  <c:pt idx="86">
                    <c:v>7.961370358267486E-11</c:v>
                  </c:pt>
                  <c:pt idx="87">
                    <c:v>7.7969711076585122E-11</c:v>
                  </c:pt>
                  <c:pt idx="88">
                    <c:v>8.3353315796673916E-11</c:v>
                  </c:pt>
                  <c:pt idx="89">
                    <c:v>7.9991575347317795E-11</c:v>
                  </c:pt>
                  <c:pt idx="90">
                    <c:v>8.9766234831495537E-11</c:v>
                  </c:pt>
                  <c:pt idx="91">
                    <c:v>8.2050406584921983E-11</c:v>
                  </c:pt>
                  <c:pt idx="92">
                    <c:v>8.1234374063176467E-11</c:v>
                  </c:pt>
                  <c:pt idx="93">
                    <c:v>9.2368468938022628E-11</c:v>
                  </c:pt>
                  <c:pt idx="94">
                    <c:v>8.2542134681721042E-11</c:v>
                  </c:pt>
                  <c:pt idx="95">
                    <c:v>7.7262508138876646E-11</c:v>
                  </c:pt>
                  <c:pt idx="96">
                    <c:v>7.6885035263196982E-11</c:v>
                  </c:pt>
                  <c:pt idx="97">
                    <c:v>7.0890518575274159E-11</c:v>
                  </c:pt>
                  <c:pt idx="98">
                    <c:v>6.6647006497694969E-11</c:v>
                  </c:pt>
                  <c:pt idx="99">
                    <c:v>2.7194107648282446E-11</c:v>
                  </c:pt>
                  <c:pt idx="100">
                    <c:v>2.5598360342973914E-11</c:v>
                  </c:pt>
                  <c:pt idx="101">
                    <c:v>2.025416384629401E-11</c:v>
                  </c:pt>
                  <c:pt idx="102">
                    <c:v>1.7887727200926063E-11</c:v>
                  </c:pt>
                  <c:pt idx="103">
                    <c:v>1.8346948933082255E-11</c:v>
                  </c:pt>
                  <c:pt idx="104">
                    <c:v>1.8367019138190404E-11</c:v>
                  </c:pt>
                  <c:pt idx="105">
                    <c:v>1.975604899990634E-11</c:v>
                  </c:pt>
                  <c:pt idx="106">
                    <c:v>2.2225112222437332E-11</c:v>
                  </c:pt>
                  <c:pt idx="107">
                    <c:v>2.3752402211702107E-11</c:v>
                  </c:pt>
                  <c:pt idx="108">
                    <c:v>2.7819710379220268E-11</c:v>
                  </c:pt>
                  <c:pt idx="109">
                    <c:v>3.0246175415842752E-11</c:v>
                  </c:pt>
                  <c:pt idx="110">
                    <c:v>3.4920464625162024E-11</c:v>
                  </c:pt>
                  <c:pt idx="111">
                    <c:v>3.481441105473723E-11</c:v>
                  </c:pt>
                  <c:pt idx="112">
                    <c:v>3.6821692648205039E-11</c:v>
                  </c:pt>
                  <c:pt idx="113">
                    <c:v>3.7649765836970864E-11</c:v>
                  </c:pt>
                  <c:pt idx="114">
                    <c:v>3.9576164944230032E-11</c:v>
                  </c:pt>
                  <c:pt idx="115">
                    <c:v>4.1622168961361663E-11</c:v>
                  </c:pt>
                  <c:pt idx="116">
                    <c:v>3.7332511194930427E-11</c:v>
                  </c:pt>
                  <c:pt idx="117">
                    <c:v>3.6405093243347487E-11</c:v>
                  </c:pt>
                  <c:pt idx="118">
                    <c:v>3.8997902526436035E-11</c:v>
                  </c:pt>
                  <c:pt idx="119">
                    <c:v>4.0131941580484842E-11</c:v>
                  </c:pt>
                  <c:pt idx="120">
                    <c:v>3.2317955746472271E-11</c:v>
                  </c:pt>
                  <c:pt idx="121">
                    <c:v>3.2189552866761031E-11</c:v>
                  </c:pt>
                  <c:pt idx="122">
                    <c:v>2.9171596271925653E-11</c:v>
                  </c:pt>
                  <c:pt idx="123">
                    <c:v>2.7159814511301167E-11</c:v>
                  </c:pt>
                  <c:pt idx="124">
                    <c:v>2.4223804233611218E-11</c:v>
                  </c:pt>
                  <c:pt idx="125">
                    <c:v>2.6491299687098226E-11</c:v>
                  </c:pt>
                  <c:pt idx="126">
                    <c:v>2.5456786330639896E-11</c:v>
                  </c:pt>
                  <c:pt idx="127">
                    <c:v>2.8747834549976945E-11</c:v>
                  </c:pt>
                  <c:pt idx="128">
                    <c:v>3.2287586426638571E-11</c:v>
                  </c:pt>
                  <c:pt idx="129">
                    <c:v>3.3591172795651856E-11</c:v>
                  </c:pt>
                  <c:pt idx="130">
                    <c:v>4.1211720766823205E-11</c:v>
                  </c:pt>
                  <c:pt idx="131">
                    <c:v>4.5016959499855097E-11</c:v>
                  </c:pt>
                  <c:pt idx="132">
                    <c:v>4.7326970726826197E-11</c:v>
                  </c:pt>
                  <c:pt idx="133">
                    <c:v>4.5194365886156904E-11</c:v>
                  </c:pt>
                  <c:pt idx="134">
                    <c:v>4.930473922411783E-11</c:v>
                  </c:pt>
                  <c:pt idx="135">
                    <c:v>5.2983309299599853E-11</c:v>
                  </c:pt>
                  <c:pt idx="136">
                    <c:v>4.9102370954201623E-11</c:v>
                  </c:pt>
                  <c:pt idx="137">
                    <c:v>4.9918282076487075E-11</c:v>
                  </c:pt>
                  <c:pt idx="138">
                    <c:v>4.8556572784331258E-11</c:v>
                  </c:pt>
                  <c:pt idx="139">
                    <c:v>5.2325368938113E-11</c:v>
                  </c:pt>
                  <c:pt idx="140">
                    <c:v>4.2556386130775924E-11</c:v>
                  </c:pt>
                  <c:pt idx="141">
                    <c:v>4.0367773829468121E-11</c:v>
                  </c:pt>
                  <c:pt idx="142">
                    <c:v>3.6159563156080711E-11</c:v>
                  </c:pt>
                  <c:pt idx="143">
                    <c:v>3.7584854960917615E-11</c:v>
                  </c:pt>
                  <c:pt idx="144">
                    <c:v>3.6444306284892664E-11</c:v>
                  </c:pt>
                  <c:pt idx="145">
                    <c:v>3.9947700957721544E-11</c:v>
                  </c:pt>
                  <c:pt idx="146">
                    <c:v>4.1755125981475475E-11</c:v>
                  </c:pt>
                  <c:pt idx="147">
                    <c:v>5.1823321537178915E-11</c:v>
                  </c:pt>
                  <c:pt idx="148">
                    <c:v>5.7492471418847742E-11</c:v>
                  </c:pt>
                  <c:pt idx="149">
                    <c:v>5.5871148377550829E-11</c:v>
                  </c:pt>
                  <c:pt idx="150">
                    <c:v>6.1552704433161949E-11</c:v>
                  </c:pt>
                  <c:pt idx="151">
                    <c:v>6.3967238706259766E-11</c:v>
                  </c:pt>
                  <c:pt idx="152">
                    <c:v>6.5517693082774403E-11</c:v>
                  </c:pt>
                  <c:pt idx="153">
                    <c:v>6.0092992320836972E-11</c:v>
                  </c:pt>
                  <c:pt idx="154">
                    <c:v>5.3775761857228681E-11</c:v>
                  </c:pt>
                  <c:pt idx="155">
                    <c:v>5.1557994509334504E-11</c:v>
                  </c:pt>
                  <c:pt idx="156">
                    <c:v>5.5422115192213226E-11</c:v>
                  </c:pt>
                  <c:pt idx="157">
                    <c:v>5.1219097059774864E-11</c:v>
                  </c:pt>
                  <c:pt idx="158">
                    <c:v>4.3138808542399733E-11</c:v>
                  </c:pt>
                  <c:pt idx="159">
                    <c:v>4.5367086510875437E-11</c:v>
                  </c:pt>
                  <c:pt idx="160">
                    <c:v>5.201843572116804E-11</c:v>
                  </c:pt>
                  <c:pt idx="161">
                    <c:v>5.5970665310007995E-11</c:v>
                  </c:pt>
                  <c:pt idx="162">
                    <c:v>5.9046002975440199E-11</c:v>
                  </c:pt>
                  <c:pt idx="163">
                    <c:v>7.4459020061493056E-11</c:v>
                  </c:pt>
                  <c:pt idx="164">
                    <c:v>8.099009847060355E-11</c:v>
                  </c:pt>
                  <c:pt idx="165">
                    <c:v>7.4155855683632268E-11</c:v>
                  </c:pt>
                  <c:pt idx="166">
                    <c:v>7.9345453712449493E-11</c:v>
                  </c:pt>
                  <c:pt idx="167">
                    <c:v>3.7302568313277499E-11</c:v>
                  </c:pt>
                  <c:pt idx="168">
                    <c:v>3.5646482217933618E-11</c:v>
                  </c:pt>
                  <c:pt idx="169">
                    <c:v>2.8275373937584699E-11</c:v>
                  </c:pt>
                  <c:pt idx="170">
                    <c:v>2.8486966976090109E-11</c:v>
                  </c:pt>
                  <c:pt idx="171">
                    <c:v>2.3331652334690267E-11</c:v>
                  </c:pt>
                  <c:pt idx="172">
                    <c:v>2.3014710974033103E-11</c:v>
                  </c:pt>
                  <c:pt idx="173">
                    <c:v>2.2095450072268557E-11</c:v>
                  </c:pt>
                  <c:pt idx="174">
                    <c:v>2.7853830317412983E-11</c:v>
                  </c:pt>
                  <c:pt idx="175">
                    <c:v>2.9637384095421387E-11</c:v>
                  </c:pt>
                  <c:pt idx="176">
                    <c:v>2.9375360412569762E-11</c:v>
                  </c:pt>
                  <c:pt idx="177">
                    <c:v>3.4662397835620389E-11</c:v>
                  </c:pt>
                  <c:pt idx="178">
                    <c:v>3.466432078679832E-11</c:v>
                  </c:pt>
                  <c:pt idx="179">
                    <c:v>3.3445022738535479E-11</c:v>
                  </c:pt>
                  <c:pt idx="180">
                    <c:v>3.4542810573196897E-11</c:v>
                  </c:pt>
                  <c:pt idx="181">
                    <c:v>3.2409404963658065E-11</c:v>
                  </c:pt>
                  <c:pt idx="182">
                    <c:v>3.1190187382142433E-11</c:v>
                  </c:pt>
                  <c:pt idx="183">
                    <c:v>2.9221277350794829E-11</c:v>
                  </c:pt>
                  <c:pt idx="184">
                    <c:v>2.7528867939218623E-11</c:v>
                  </c:pt>
                  <c:pt idx="185">
                    <c:v>2.9462330656755966E-11</c:v>
                  </c:pt>
                  <c:pt idx="186">
                    <c:v>3.3063849819989659E-11</c:v>
                  </c:pt>
                  <c:pt idx="187">
                    <c:v>3.4334735925840382E-11</c:v>
                  </c:pt>
                  <c:pt idx="188">
                    <c:v>3.5575608426893548E-11</c:v>
                  </c:pt>
                  <c:pt idx="189">
                    <c:v>4.0046631310766083E-11</c:v>
                  </c:pt>
                  <c:pt idx="190">
                    <c:v>4.2473984158609164E-11</c:v>
                  </c:pt>
                  <c:pt idx="191">
                    <c:v>4.2604156633529154E-11</c:v>
                  </c:pt>
                  <c:pt idx="192">
                    <c:v>3.6784172513549693E-11</c:v>
                  </c:pt>
                  <c:pt idx="193">
                    <c:v>3.7027288696533385E-11</c:v>
                  </c:pt>
                  <c:pt idx="194">
                    <c:v>3.1722012699507314E-11</c:v>
                  </c:pt>
                  <c:pt idx="195">
                    <c:v>3.553273821385091E-11</c:v>
                  </c:pt>
                  <c:pt idx="196">
                    <c:v>3.6585623281083488E-11</c:v>
                  </c:pt>
                  <c:pt idx="197">
                    <c:v>3.7964766624970743E-11</c:v>
                  </c:pt>
                  <c:pt idx="198">
                    <c:v>4.3318483976492783E-11</c:v>
                  </c:pt>
                  <c:pt idx="199">
                    <c:v>4.9233339378158932E-11</c:v>
                  </c:pt>
                  <c:pt idx="200">
                    <c:v>5.1894621810839705E-11</c:v>
                  </c:pt>
                  <c:pt idx="201">
                    <c:v>3.9484855532794161E-11</c:v>
                  </c:pt>
                  <c:pt idx="202">
                    <c:v>4.3124354669266006E-11</c:v>
                  </c:pt>
                  <c:pt idx="203">
                    <c:v>4.2850703802316305E-11</c:v>
                  </c:pt>
                  <c:pt idx="204">
                    <c:v>4.5201390976348054E-11</c:v>
                  </c:pt>
                  <c:pt idx="205">
                    <c:v>4.2771490276584658E-11</c:v>
                  </c:pt>
                  <c:pt idx="206">
                    <c:v>4.7705191362918125E-11</c:v>
                  </c:pt>
                  <c:pt idx="207">
                    <c:v>3.9241258853914878E-11</c:v>
                  </c:pt>
                  <c:pt idx="208">
                    <c:v>4.4605934566707771E-11</c:v>
                  </c:pt>
                  <c:pt idx="209">
                    <c:v>5.2002454624842906E-11</c:v>
                  </c:pt>
                  <c:pt idx="210">
                    <c:v>5.7088839180810459E-11</c:v>
                  </c:pt>
                  <c:pt idx="211">
                    <c:v>5.6861443650028036E-11</c:v>
                  </c:pt>
                  <c:pt idx="212">
                    <c:v>5.9046964766560976E-11</c:v>
                  </c:pt>
                  <c:pt idx="213">
                    <c:v>4.5151771414135136E-11</c:v>
                  </c:pt>
                  <c:pt idx="214">
                    <c:v>4.8606391198729811E-11</c:v>
                  </c:pt>
                  <c:pt idx="215">
                    <c:v>5.3985012896742691E-11</c:v>
                  </c:pt>
                  <c:pt idx="216">
                    <c:v>5.9967013914740422E-11</c:v>
                  </c:pt>
                  <c:pt idx="217">
                    <c:v>5.7335229225592592E-11</c:v>
                  </c:pt>
                  <c:pt idx="218">
                    <c:v>6.7989214552724103E-11</c:v>
                  </c:pt>
                  <c:pt idx="219">
                    <c:v>5.5599155183744386E-11</c:v>
                  </c:pt>
                  <c:pt idx="220">
                    <c:v>6.6552076459041892E-11</c:v>
                  </c:pt>
                  <c:pt idx="221">
                    <c:v>7.0608025811578881E-11</c:v>
                  </c:pt>
                  <c:pt idx="222">
                    <c:v>6.4650852367487296E-11</c:v>
                  </c:pt>
                  <c:pt idx="223">
                    <c:v>6.9530123726617116E-11</c:v>
                  </c:pt>
                  <c:pt idx="224">
                    <c:v>7.2834664275311479E-11</c:v>
                  </c:pt>
                  <c:pt idx="225">
                    <c:v>8.7430215674229105E-11</c:v>
                  </c:pt>
                  <c:pt idx="226">
                    <c:v>9.9433070171047678E-11</c:v>
                  </c:pt>
                  <c:pt idx="227">
                    <c:v>9.3282365775877968E-11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7.1604920361700006E-2</c:v>
                </c:pt>
                <c:pt idx="215">
                  <c:v>7.23209695653E-2</c:v>
                </c:pt>
                <c:pt idx="216">
                  <c:v>7.3044179261E-2</c:v>
                </c:pt>
                <c:pt idx="217">
                  <c:v>7.3774621053599998E-2</c:v>
                </c:pt>
                <c:pt idx="218">
                  <c:v>7.4512367264100002E-2</c:v>
                </c:pt>
                <c:pt idx="219">
                  <c:v>7.90963793198E-2</c:v>
                </c:pt>
                <c:pt idx="220">
                  <c:v>7.9887343112999998E-2</c:v>
                </c:pt>
                <c:pt idx="221">
                  <c:v>8.0686216544199996E-2</c:v>
                </c:pt>
                <c:pt idx="222">
                  <c:v>8.14930787096E-2</c:v>
                </c:pt>
                <c:pt idx="223">
                  <c:v>8.2308009496700002E-2</c:v>
                </c:pt>
                <c:pt idx="224">
                  <c:v>8.4802024492500003E-2</c:v>
                </c:pt>
                <c:pt idx="225">
                  <c:v>8.9127780010400004E-2</c:v>
                </c:pt>
                <c:pt idx="226">
                  <c:v>9.00190578105E-2</c:v>
                </c:pt>
                <c:pt idx="227">
                  <c:v>9.0919248388599994E-2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4.0860086660178732E-9</c:v>
                </c:pt>
                <c:pt idx="1">
                  <c:v>4.828296042832659E-9</c:v>
                </c:pt>
                <c:pt idx="2">
                  <c:v>5.6642227523248814E-9</c:v>
                </c:pt>
                <c:pt idx="3">
                  <c:v>5.6885403997093962E-9</c:v>
                </c:pt>
                <c:pt idx="4">
                  <c:v>5.3016030337155287E-9</c:v>
                </c:pt>
                <c:pt idx="5">
                  <c:v>5.4328271419158969E-9</c:v>
                </c:pt>
                <c:pt idx="6">
                  <c:v>6.072619140260535E-9</c:v>
                </c:pt>
                <c:pt idx="7">
                  <c:v>6.4101690854062718E-9</c:v>
                </c:pt>
                <c:pt idx="8">
                  <c:v>6.5955140544513655E-9</c:v>
                </c:pt>
                <c:pt idx="9">
                  <c:v>7.6419845057960793E-9</c:v>
                </c:pt>
                <c:pt idx="10">
                  <c:v>7.4705003376602436E-9</c:v>
                </c:pt>
                <c:pt idx="11">
                  <c:v>7.9647708314244445E-9</c:v>
                </c:pt>
                <c:pt idx="12">
                  <c:v>8.4333289975284166E-9</c:v>
                </c:pt>
                <c:pt idx="13">
                  <c:v>8.4868336495342535E-9</c:v>
                </c:pt>
                <c:pt idx="14">
                  <c:v>8.1475985137520686E-9</c:v>
                </c:pt>
                <c:pt idx="15">
                  <c:v>8.6961161020718504E-9</c:v>
                </c:pt>
                <c:pt idx="16">
                  <c:v>9.1777794683680976E-9</c:v>
                </c:pt>
                <c:pt idx="17">
                  <c:v>9.0962848497080613E-9</c:v>
                </c:pt>
                <c:pt idx="18">
                  <c:v>8.6560601445064322E-9</c:v>
                </c:pt>
                <c:pt idx="19">
                  <c:v>8.6006561188903633E-9</c:v>
                </c:pt>
                <c:pt idx="20">
                  <c:v>7.049811389777844E-9</c:v>
                </c:pt>
                <c:pt idx="21">
                  <c:v>4.5803560668663058E-9</c:v>
                </c:pt>
                <c:pt idx="22">
                  <c:v>3.6747217430111242E-9</c:v>
                </c:pt>
                <c:pt idx="23">
                  <c:v>3.1075150855605856E-9</c:v>
                </c:pt>
                <c:pt idx="24">
                  <c:v>3.0616584462201112E-9</c:v>
                </c:pt>
                <c:pt idx="25">
                  <c:v>3.0784667754950749E-9</c:v>
                </c:pt>
                <c:pt idx="26">
                  <c:v>2.8994235697397573E-9</c:v>
                </c:pt>
                <c:pt idx="27">
                  <c:v>3.2055676699627433E-9</c:v>
                </c:pt>
                <c:pt idx="28">
                  <c:v>2.7712524296732419E-9</c:v>
                </c:pt>
                <c:pt idx="29">
                  <c:v>2.7021357570933585E-9</c:v>
                </c:pt>
                <c:pt idx="30">
                  <c:v>2.808697199472461E-9</c:v>
                </c:pt>
                <c:pt idx="31">
                  <c:v>2.2291757272328974E-9</c:v>
                </c:pt>
                <c:pt idx="32">
                  <c:v>2.2001121705098312E-9</c:v>
                </c:pt>
                <c:pt idx="33">
                  <c:v>2.2224381577410819E-9</c:v>
                </c:pt>
                <c:pt idx="34">
                  <c:v>1.9954527225230554E-9</c:v>
                </c:pt>
                <c:pt idx="35">
                  <c:v>1.8203748641354586E-9</c:v>
                </c:pt>
                <c:pt idx="36">
                  <c:v>1.5849433390330504E-9</c:v>
                </c:pt>
                <c:pt idx="37">
                  <c:v>1.3548639991199518E-9</c:v>
                </c:pt>
                <c:pt idx="38">
                  <c:v>1.2957152133075984E-9</c:v>
                </c:pt>
                <c:pt idx="39">
                  <c:v>1.1063410931607084E-9</c:v>
                </c:pt>
                <c:pt idx="40">
                  <c:v>8.0128463155182557E-10</c:v>
                </c:pt>
                <c:pt idx="41">
                  <c:v>7.3392281622860455E-10</c:v>
                </c:pt>
                <c:pt idx="42">
                  <c:v>6.0919731007971233E-10</c:v>
                </c:pt>
                <c:pt idx="43">
                  <c:v>5.36238217920414E-10</c:v>
                </c:pt>
                <c:pt idx="44">
                  <c:v>4.211528002871056E-10</c:v>
                </c:pt>
                <c:pt idx="45">
                  <c:v>3.1672925688383932E-10</c:v>
                </c:pt>
                <c:pt idx="46">
                  <c:v>3.7779348458433317E-10</c:v>
                </c:pt>
                <c:pt idx="47">
                  <c:v>3.3788415389350963E-10</c:v>
                </c:pt>
                <c:pt idx="48">
                  <c:v>4.2345437063819471E-10</c:v>
                </c:pt>
                <c:pt idx="49">
                  <c:v>4.2187349761817922E-10</c:v>
                </c:pt>
                <c:pt idx="50">
                  <c:v>4.840541485322294E-10</c:v>
                </c:pt>
                <c:pt idx="51">
                  <c:v>4.9304632121041816E-10</c:v>
                </c:pt>
                <c:pt idx="52">
                  <c:v>7.1034629285565314E-10</c:v>
                </c:pt>
                <c:pt idx="53">
                  <c:v>7.9389596287063365E-10</c:v>
                </c:pt>
                <c:pt idx="54">
                  <c:v>7.8176793044717669E-10</c:v>
                </c:pt>
                <c:pt idx="55">
                  <c:v>8.0722030743795153E-10</c:v>
                </c:pt>
                <c:pt idx="56">
                  <c:v>9.2622212592220607E-10</c:v>
                </c:pt>
                <c:pt idx="57">
                  <c:v>1.1245446054243206E-9</c:v>
                </c:pt>
                <c:pt idx="58">
                  <c:v>1.1261375895345624E-9</c:v>
                </c:pt>
                <c:pt idx="59">
                  <c:v>1.2846308183690228E-9</c:v>
                </c:pt>
                <c:pt idx="60">
                  <c:v>1.1797721104896087E-9</c:v>
                </c:pt>
                <c:pt idx="61">
                  <c:v>1.2548229213331626E-9</c:v>
                </c:pt>
                <c:pt idx="62">
                  <c:v>1.2312141943314721E-9</c:v>
                </c:pt>
                <c:pt idx="63">
                  <c:v>1.1981596369876102E-9</c:v>
                </c:pt>
                <c:pt idx="64">
                  <c:v>1.1751516340516496E-9</c:v>
                </c:pt>
                <c:pt idx="65">
                  <c:v>1.140750923523937E-9</c:v>
                </c:pt>
                <c:pt idx="66">
                  <c:v>1.2955216851635856E-9</c:v>
                </c:pt>
                <c:pt idx="67">
                  <c:v>1.08568307186576E-9</c:v>
                </c:pt>
                <c:pt idx="68">
                  <c:v>9.7188770417230742E-10</c:v>
                </c:pt>
                <c:pt idx="69">
                  <c:v>7.4953092749532306E-10</c:v>
                </c:pt>
                <c:pt idx="70">
                  <c:v>6.2199979225611322E-10</c:v>
                </c:pt>
                <c:pt idx="71">
                  <c:v>4.9736749235596196E-10</c:v>
                </c:pt>
                <c:pt idx="72">
                  <c:v>5.7279252775097123E-10</c:v>
                </c:pt>
                <c:pt idx="73">
                  <c:v>5.3439891050295056E-10</c:v>
                </c:pt>
                <c:pt idx="74">
                  <c:v>3.9442830644053354E-10</c:v>
                </c:pt>
                <c:pt idx="75">
                  <c:v>4.692326285454069E-10</c:v>
                </c:pt>
                <c:pt idx="76">
                  <c:v>2.6579505543137381E-10</c:v>
                </c:pt>
                <c:pt idx="77">
                  <c:v>2.8095021392937013E-10</c:v>
                </c:pt>
                <c:pt idx="78">
                  <c:v>3.0519219530562526E-10</c:v>
                </c:pt>
                <c:pt idx="79">
                  <c:v>3.1421589797842457E-10</c:v>
                </c:pt>
                <c:pt idx="80">
                  <c:v>4.3000496393200907E-10</c:v>
                </c:pt>
                <c:pt idx="81">
                  <c:v>4.1051239301356829E-10</c:v>
                </c:pt>
                <c:pt idx="82">
                  <c:v>3.8230676782211459E-10</c:v>
                </c:pt>
                <c:pt idx="83">
                  <c:v>5.2748267164999508E-10</c:v>
                </c:pt>
                <c:pt idx="84">
                  <c:v>5.4485297757977952E-10</c:v>
                </c:pt>
                <c:pt idx="85">
                  <c:v>7.2322753687594479E-10</c:v>
                </c:pt>
                <c:pt idx="86">
                  <c:v>8.3544155650226573E-10</c:v>
                </c:pt>
                <c:pt idx="87">
                  <c:v>7.8159859701201522E-10</c:v>
                </c:pt>
                <c:pt idx="88">
                  <c:v>8.7231967393957818E-10</c:v>
                </c:pt>
                <c:pt idx="89">
                  <c:v>8.0552994046550556E-10</c:v>
                </c:pt>
                <c:pt idx="90">
                  <c:v>9.9820650567879811E-10</c:v>
                </c:pt>
                <c:pt idx="91">
                  <c:v>8.5300340264835005E-10</c:v>
                </c:pt>
                <c:pt idx="92">
                  <c:v>8.23247528688048E-10</c:v>
                </c:pt>
                <c:pt idx="93">
                  <c:v>1.0391442778191838E-9</c:v>
                </c:pt>
                <c:pt idx="94">
                  <c:v>8.2342152290583326E-10</c:v>
                </c:pt>
                <c:pt idx="95">
                  <c:v>7.1104541436125019E-10</c:v>
                </c:pt>
                <c:pt idx="96">
                  <c:v>7.0490527284729352E-10</c:v>
                </c:pt>
                <c:pt idx="97">
                  <c:v>5.949892079079671E-10</c:v>
                </c:pt>
                <c:pt idx="98">
                  <c:v>4.9747938495686623E-10</c:v>
                </c:pt>
                <c:pt idx="99">
                  <c:v>4.8234133775630359E-10</c:v>
                </c:pt>
                <c:pt idx="100">
                  <c:v>4.2579581245533067E-10</c:v>
                </c:pt>
                <c:pt idx="101">
                  <c:v>2.9154325827407178E-10</c:v>
                </c:pt>
                <c:pt idx="102">
                  <c:v>2.4245330814473577E-10</c:v>
                </c:pt>
                <c:pt idx="103">
                  <c:v>2.3710746807528505E-10</c:v>
                </c:pt>
                <c:pt idx="104">
                  <c:v>2.3175751881784734E-10</c:v>
                </c:pt>
                <c:pt idx="105">
                  <c:v>2.6204073972023852E-10</c:v>
                </c:pt>
                <c:pt idx="106">
                  <c:v>3.2282932826710658E-10</c:v>
                </c:pt>
                <c:pt idx="107">
                  <c:v>3.6264102129297242E-10</c:v>
                </c:pt>
                <c:pt idx="108">
                  <c:v>4.3926321394054861E-10</c:v>
                </c:pt>
                <c:pt idx="109">
                  <c:v>4.8955191473952825E-10</c:v>
                </c:pt>
                <c:pt idx="110">
                  <c:v>6.1829625845178405E-10</c:v>
                </c:pt>
                <c:pt idx="111">
                  <c:v>6.4327809689912073E-10</c:v>
                </c:pt>
                <c:pt idx="112">
                  <c:v>6.9893591527003453E-10</c:v>
                </c:pt>
                <c:pt idx="113">
                  <c:v>7.3383405523113268E-10</c:v>
                </c:pt>
                <c:pt idx="114">
                  <c:v>7.9344921164045733E-10</c:v>
                </c:pt>
                <c:pt idx="115">
                  <c:v>8.2071216972166541E-10</c:v>
                </c:pt>
                <c:pt idx="116">
                  <c:v>6.9873716014794433E-10</c:v>
                </c:pt>
                <c:pt idx="117">
                  <c:v>6.476878890409556E-10</c:v>
                </c:pt>
                <c:pt idx="118">
                  <c:v>6.7432438473138436E-10</c:v>
                </c:pt>
                <c:pt idx="119">
                  <c:v>6.8678491946991359E-10</c:v>
                </c:pt>
                <c:pt idx="120">
                  <c:v>4.8487760234864519E-10</c:v>
                </c:pt>
                <c:pt idx="121">
                  <c:v>4.1767835532304289E-10</c:v>
                </c:pt>
                <c:pt idx="122">
                  <c:v>3.58647981561778E-10</c:v>
                </c:pt>
                <c:pt idx="123">
                  <c:v>2.7675973409669395E-10</c:v>
                </c:pt>
                <c:pt idx="124">
                  <c:v>2.3288317796492122E-10</c:v>
                </c:pt>
                <c:pt idx="125">
                  <c:v>2.5556062567189636E-10</c:v>
                </c:pt>
                <c:pt idx="126">
                  <c:v>2.2388193039269851E-10</c:v>
                </c:pt>
                <c:pt idx="127">
                  <c:v>2.8435394802516928E-10</c:v>
                </c:pt>
                <c:pt idx="128">
                  <c:v>3.3006205036833182E-10</c:v>
                </c:pt>
                <c:pt idx="129">
                  <c:v>3.6347784184317111E-10</c:v>
                </c:pt>
                <c:pt idx="130">
                  <c:v>4.956009348724273E-10</c:v>
                </c:pt>
                <c:pt idx="131">
                  <c:v>5.4683715768441635E-10</c:v>
                </c:pt>
                <c:pt idx="132">
                  <c:v>6.1293458090007674E-10</c:v>
                </c:pt>
                <c:pt idx="133">
                  <c:v>5.7666446647097258E-10</c:v>
                </c:pt>
                <c:pt idx="134">
                  <c:v>6.3448199833010823E-10</c:v>
                </c:pt>
                <c:pt idx="135">
                  <c:v>6.7302370585171301E-10</c:v>
                </c:pt>
                <c:pt idx="136">
                  <c:v>5.2629834515444424E-10</c:v>
                </c:pt>
                <c:pt idx="137">
                  <c:v>5.5227688087595536E-10</c:v>
                </c:pt>
                <c:pt idx="138">
                  <c:v>4.9403390700388817E-10</c:v>
                </c:pt>
                <c:pt idx="139">
                  <c:v>5.3935616728729891E-10</c:v>
                </c:pt>
                <c:pt idx="140">
                  <c:v>3.3495269425865424E-10</c:v>
                </c:pt>
                <c:pt idx="141">
                  <c:v>3.1821792016095627E-10</c:v>
                </c:pt>
                <c:pt idx="142">
                  <c:v>2.3847132493253878E-10</c:v>
                </c:pt>
                <c:pt idx="143">
                  <c:v>2.30312636530436E-10</c:v>
                </c:pt>
                <c:pt idx="144">
                  <c:v>1.9164656057938789E-10</c:v>
                </c:pt>
                <c:pt idx="145">
                  <c:v>2.2079127919836082E-10</c:v>
                </c:pt>
                <c:pt idx="146">
                  <c:v>2.5839770397724853E-10</c:v>
                </c:pt>
                <c:pt idx="147">
                  <c:v>3.9263288480597522E-10</c:v>
                </c:pt>
                <c:pt idx="148">
                  <c:v>5.472279187203483E-10</c:v>
                </c:pt>
                <c:pt idx="149">
                  <c:v>5.0495211721258087E-10</c:v>
                </c:pt>
                <c:pt idx="150">
                  <c:v>5.5767976227706987E-10</c:v>
                </c:pt>
                <c:pt idx="151">
                  <c:v>5.2863988431533728E-10</c:v>
                </c:pt>
                <c:pt idx="152">
                  <c:v>5.9134017408761999E-10</c:v>
                </c:pt>
                <c:pt idx="153">
                  <c:v>4.880754195870215E-10</c:v>
                </c:pt>
                <c:pt idx="154">
                  <c:v>3.5519164200368028E-10</c:v>
                </c:pt>
                <c:pt idx="155">
                  <c:v>3.1009722003642285E-10</c:v>
                </c:pt>
                <c:pt idx="156">
                  <c:v>3.3151633191151405E-10</c:v>
                </c:pt>
                <c:pt idx="157">
                  <c:v>2.7107060724115905E-10</c:v>
                </c:pt>
                <c:pt idx="158">
                  <c:v>1.8615902250439767E-10</c:v>
                </c:pt>
                <c:pt idx="159">
                  <c:v>1.9738096716093312E-10</c:v>
                </c:pt>
                <c:pt idx="160">
                  <c:v>2.4926045653817992E-10</c:v>
                </c:pt>
                <c:pt idx="161">
                  <c:v>2.9557942418678638E-10</c:v>
                </c:pt>
                <c:pt idx="162">
                  <c:v>2.8284665969283183E-10</c:v>
                </c:pt>
                <c:pt idx="163">
                  <c:v>4.9919034755409198E-10</c:v>
                </c:pt>
                <c:pt idx="164">
                  <c:v>5.4287881019542934E-10</c:v>
                </c:pt>
                <c:pt idx="165">
                  <c:v>3.8555372725343528E-10</c:v>
                </c:pt>
                <c:pt idx="166">
                  <c:v>4.4296041555029506E-10</c:v>
                </c:pt>
                <c:pt idx="167">
                  <c:v>4.9938044506783305E-10</c:v>
                </c:pt>
                <c:pt idx="168">
                  <c:v>4.2855873157267341E-10</c:v>
                </c:pt>
                <c:pt idx="169">
                  <c:v>3.1159577496205551E-10</c:v>
                </c:pt>
                <c:pt idx="170">
                  <c:v>3.2580455145763421E-10</c:v>
                </c:pt>
                <c:pt idx="171">
                  <c:v>1.9423105378022965E-10</c:v>
                </c:pt>
                <c:pt idx="172">
                  <c:v>1.6953026163777491E-10</c:v>
                </c:pt>
                <c:pt idx="173">
                  <c:v>1.6747755232191598E-10</c:v>
                </c:pt>
                <c:pt idx="174">
                  <c:v>2.6134057963156264E-10</c:v>
                </c:pt>
                <c:pt idx="175">
                  <c:v>2.7166401975671583E-10</c:v>
                </c:pt>
                <c:pt idx="176">
                  <c:v>2.7194115592550532E-10</c:v>
                </c:pt>
                <c:pt idx="177">
                  <c:v>3.7804948167749495E-10</c:v>
                </c:pt>
                <c:pt idx="178">
                  <c:v>3.8755376211199711E-10</c:v>
                </c:pt>
                <c:pt idx="179">
                  <c:v>3.5211266363466159E-10</c:v>
                </c:pt>
                <c:pt idx="180">
                  <c:v>3.7206004763136705E-10</c:v>
                </c:pt>
                <c:pt idx="181">
                  <c:v>3.1105916139482084E-10</c:v>
                </c:pt>
                <c:pt idx="182">
                  <c:v>2.482450347878259E-10</c:v>
                </c:pt>
                <c:pt idx="183">
                  <c:v>1.9074839168071122E-10</c:v>
                </c:pt>
                <c:pt idx="184">
                  <c:v>1.7267663298515829E-10</c:v>
                </c:pt>
                <c:pt idx="185">
                  <c:v>2.0172046949099658E-10</c:v>
                </c:pt>
                <c:pt idx="186">
                  <c:v>2.3840575560547539E-10</c:v>
                </c:pt>
                <c:pt idx="187">
                  <c:v>2.2550921529715049E-10</c:v>
                </c:pt>
                <c:pt idx="188">
                  <c:v>2.7205159366008009E-10</c:v>
                </c:pt>
                <c:pt idx="189">
                  <c:v>3.0740476232822903E-10</c:v>
                </c:pt>
                <c:pt idx="190">
                  <c:v>3.7143356424266299E-10</c:v>
                </c:pt>
                <c:pt idx="191">
                  <c:v>3.0665370791792302E-10</c:v>
                </c:pt>
                <c:pt idx="192">
                  <c:v>2.5191825074538228E-10</c:v>
                </c:pt>
                <c:pt idx="193">
                  <c:v>2.2927181612256419E-10</c:v>
                </c:pt>
                <c:pt idx="194">
                  <c:v>1.4237942109706683E-10</c:v>
                </c:pt>
                <c:pt idx="195">
                  <c:v>1.5296441779965214E-10</c:v>
                </c:pt>
                <c:pt idx="196">
                  <c:v>1.6064664173085737E-10</c:v>
                </c:pt>
                <c:pt idx="197">
                  <c:v>1.8292479491515183E-10</c:v>
                </c:pt>
                <c:pt idx="198">
                  <c:v>2.5777126144507043E-10</c:v>
                </c:pt>
                <c:pt idx="199">
                  <c:v>3.6465735571418574E-10</c:v>
                </c:pt>
                <c:pt idx="200">
                  <c:v>3.1523894754403429E-10</c:v>
                </c:pt>
                <c:pt idx="201">
                  <c:v>1.6552785787809507E-10</c:v>
                </c:pt>
                <c:pt idx="202">
                  <c:v>1.8802794023450448E-10</c:v>
                </c:pt>
                <c:pt idx="203">
                  <c:v>1.1111106673771088E-10</c:v>
                </c:pt>
                <c:pt idx="204">
                  <c:v>1.6272225521862973E-10</c:v>
                </c:pt>
                <c:pt idx="205">
                  <c:v>1.5730033251911539E-10</c:v>
                </c:pt>
                <c:pt idx="206">
                  <c:v>1.954165960647248E-10</c:v>
                </c:pt>
                <c:pt idx="207">
                  <c:v>6.8769750976102471E-11</c:v>
                </c:pt>
                <c:pt idx="208">
                  <c:v>1.1718799344184334E-10</c:v>
                </c:pt>
                <c:pt idx="209">
                  <c:v>1.6244240933453957E-10</c:v>
                </c:pt>
                <c:pt idx="210">
                  <c:v>2.6748869415047383E-10</c:v>
                </c:pt>
                <c:pt idx="211">
                  <c:v>2.621269646812528E-10</c:v>
                </c:pt>
                <c:pt idx="212">
                  <c:v>2.1055051676175399E-10</c:v>
                </c:pt>
                <c:pt idx="213">
                  <c:v>8.1992606988781627E-11</c:v>
                </c:pt>
                <c:pt idx="214">
                  <c:v>6.6599568797501544E-11</c:v>
                </c:pt>
                <c:pt idx="215">
                  <c:v>1.598392529550495E-10</c:v>
                </c:pt>
                <c:pt idx="216">
                  <c:v>9.3108613189064598E-11</c:v>
                </c:pt>
                <c:pt idx="217">
                  <c:v>1.0298432301345974E-10</c:v>
                </c:pt>
                <c:pt idx="218">
                  <c:v>2.0122298617822951E-10</c:v>
                </c:pt>
                <c:pt idx="219">
                  <c:v>1.1136585195393904E-10</c:v>
                </c:pt>
                <c:pt idx="220">
                  <c:v>1.4160911717915043E-10</c:v>
                </c:pt>
                <c:pt idx="221">
                  <c:v>1.2529886336981011E-10</c:v>
                </c:pt>
                <c:pt idx="222">
                  <c:v>1.2393821187426722E-10</c:v>
                </c:pt>
                <c:pt idx="223">
                  <c:v>7.5539049757887943E-11</c:v>
                </c:pt>
                <c:pt idx="224">
                  <c:v>1.1906874456601196E-10</c:v>
                </c:pt>
                <c:pt idx="225">
                  <c:v>1.116721154310251E-10</c:v>
                </c:pt>
                <c:pt idx="226">
                  <c:v>1.7987384539354499E-10</c:v>
                </c:pt>
                <c:pt idx="227">
                  <c:v>1.2189393853902024E-10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8.35E-03</c:v>
                </c:pt>
                <c:pt idx="1">
                  <c:v>8.43E-03</c:v>
                </c:pt>
                <c:pt idx="2">
                  <c:v>8.51E-03</c:v>
                </c:pt>
                <c:pt idx="3">
                  <c:v>8.60E-03</c:v>
                </c:pt>
                <c:pt idx="4">
                  <c:v>8.69E-03</c:v>
                </c:pt>
                <c:pt idx="5">
                  <c:v>8.77E-03</c:v>
                </c:pt>
                <c:pt idx="6">
                  <c:v>8.86E-03</c:v>
                </c:pt>
                <c:pt idx="7">
                  <c:v>8.95E-03</c:v>
                </c:pt>
                <c:pt idx="8">
                  <c:v>9.04E-03</c:v>
                </c:pt>
                <c:pt idx="9">
                  <c:v>9.13E-03</c:v>
                </c:pt>
                <c:pt idx="10">
                  <c:v>9.22E-03</c:v>
                </c:pt>
                <c:pt idx="11">
                  <c:v>9.31E-03</c:v>
                </c:pt>
                <c:pt idx="12">
                  <c:v>9.41E-03</c:v>
                </c:pt>
                <c:pt idx="13">
                  <c:v>9.50E-03</c:v>
                </c:pt>
                <c:pt idx="14">
                  <c:v>9.59E-03</c:v>
                </c:pt>
                <c:pt idx="15">
                  <c:v>9.69E-03</c:v>
                </c:pt>
                <c:pt idx="16">
                  <c:v>9.79E-03</c:v>
                </c:pt>
                <c:pt idx="17">
                  <c:v>9.89E-03</c:v>
                </c:pt>
                <c:pt idx="18">
                  <c:v>9.98E-03</c:v>
                </c:pt>
                <c:pt idx="19">
                  <c:v>1.01E-02</c:v>
                </c:pt>
                <c:pt idx="20">
                  <c:v>1.02E-02</c:v>
                </c:pt>
                <c:pt idx="21">
                  <c:v>1.03E-02</c:v>
                </c:pt>
                <c:pt idx="22">
                  <c:v>1.04E-02</c:v>
                </c:pt>
                <c:pt idx="23">
                  <c:v>1.05E-02</c:v>
                </c:pt>
                <c:pt idx="24">
                  <c:v>1.06E-02</c:v>
                </c:pt>
                <c:pt idx="25">
                  <c:v>1.07E-02</c:v>
                </c:pt>
                <c:pt idx="26">
                  <c:v>1.08E-02</c:v>
                </c:pt>
                <c:pt idx="27">
                  <c:v>1.09E-02</c:v>
                </c:pt>
                <c:pt idx="28">
                  <c:v>1.10E-02</c:v>
                </c:pt>
                <c:pt idx="29">
                  <c:v>1.11E-02</c:v>
                </c:pt>
                <c:pt idx="30">
                  <c:v>1.13E-02</c:v>
                </c:pt>
                <c:pt idx="31">
                  <c:v>1.14E-02</c:v>
                </c:pt>
                <c:pt idx="32">
                  <c:v>1.15E-02</c:v>
                </c:pt>
                <c:pt idx="33">
                  <c:v>1.16E-02</c:v>
                </c:pt>
                <c:pt idx="34">
                  <c:v>1.17E-02</c:v>
                </c:pt>
                <c:pt idx="35">
                  <c:v>1.18E-02</c:v>
                </c:pt>
                <c:pt idx="36">
                  <c:v>1.19E-02</c:v>
                </c:pt>
                <c:pt idx="37">
                  <c:v>1.21E-02</c:v>
                </c:pt>
                <c:pt idx="38">
                  <c:v>1.22E-02</c:v>
                </c:pt>
                <c:pt idx="39">
                  <c:v>1.23E-02</c:v>
                </c:pt>
                <c:pt idx="40">
                  <c:v>1.24E-02</c:v>
                </c:pt>
                <c:pt idx="41">
                  <c:v>1.26E-02</c:v>
                </c:pt>
                <c:pt idx="42">
                  <c:v>1.27E-02</c:v>
                </c:pt>
                <c:pt idx="43">
                  <c:v>1.28E-02</c:v>
                </c:pt>
                <c:pt idx="44">
                  <c:v>1.29E-02</c:v>
                </c:pt>
                <c:pt idx="45">
                  <c:v>1.31E-02</c:v>
                </c:pt>
                <c:pt idx="46">
                  <c:v>1.32E-02</c:v>
                </c:pt>
                <c:pt idx="47">
                  <c:v>1.33E-02</c:v>
                </c:pt>
                <c:pt idx="48">
                  <c:v>1.35E-02</c:v>
                </c:pt>
                <c:pt idx="49">
                  <c:v>1.36E-02</c:v>
                </c:pt>
                <c:pt idx="50">
                  <c:v>1.37E-02</c:v>
                </c:pt>
                <c:pt idx="51">
                  <c:v>1.39E-02</c:v>
                </c:pt>
                <c:pt idx="52">
                  <c:v>1.40E-02</c:v>
                </c:pt>
                <c:pt idx="53">
                  <c:v>1.41E-02</c:v>
                </c:pt>
                <c:pt idx="54">
                  <c:v>1.43E-02</c:v>
                </c:pt>
                <c:pt idx="55">
                  <c:v>1.44E-02</c:v>
                </c:pt>
                <c:pt idx="56">
                  <c:v>1.46E-02</c:v>
                </c:pt>
                <c:pt idx="57">
                  <c:v>1.47E-02</c:v>
                </c:pt>
                <c:pt idx="58">
                  <c:v>1.49E-02</c:v>
                </c:pt>
                <c:pt idx="59">
                  <c:v>1.50E-02</c:v>
                </c:pt>
                <c:pt idx="60">
                  <c:v>1.52E-02</c:v>
                </c:pt>
                <c:pt idx="61">
                  <c:v>1.53E-02</c:v>
                </c:pt>
                <c:pt idx="62">
                  <c:v>1.55E-02</c:v>
                </c:pt>
                <c:pt idx="63">
                  <c:v>1.56E-02</c:v>
                </c:pt>
                <c:pt idx="64">
                  <c:v>1.58E-02</c:v>
                </c:pt>
                <c:pt idx="65">
                  <c:v>1.59E-02</c:v>
                </c:pt>
                <c:pt idx="66">
                  <c:v>1.61E-02</c:v>
                </c:pt>
                <c:pt idx="67">
                  <c:v>1.63E-02</c:v>
                </c:pt>
                <c:pt idx="68">
                  <c:v>1.64E-02</c:v>
                </c:pt>
                <c:pt idx="69">
                  <c:v>1.66E-02</c:v>
                </c:pt>
                <c:pt idx="70">
                  <c:v>1.68E-02</c:v>
                </c:pt>
                <c:pt idx="71">
                  <c:v>1.69E-02</c:v>
                </c:pt>
                <c:pt idx="72">
                  <c:v>1.71E-02</c:v>
                </c:pt>
                <c:pt idx="73">
                  <c:v>1.73E-02</c:v>
                </c:pt>
                <c:pt idx="74">
                  <c:v>1.74E-02</c:v>
                </c:pt>
                <c:pt idx="75">
                  <c:v>1.76E-02</c:v>
                </c:pt>
                <c:pt idx="76">
                  <c:v>1.78E-02</c:v>
                </c:pt>
                <c:pt idx="77">
                  <c:v>1.80E-02</c:v>
                </c:pt>
                <c:pt idx="78">
                  <c:v>1.81E-02</c:v>
                </c:pt>
                <c:pt idx="79">
                  <c:v>1.83E-02</c:v>
                </c:pt>
                <c:pt idx="80">
                  <c:v>1.85E-02</c:v>
                </c:pt>
                <c:pt idx="81">
                  <c:v>1.87E-02</c:v>
                </c:pt>
                <c:pt idx="82">
                  <c:v>1.89E-02</c:v>
                </c:pt>
                <c:pt idx="83">
                  <c:v>1.91E-02</c:v>
                </c:pt>
                <c:pt idx="84">
                  <c:v>1.93E-02</c:v>
                </c:pt>
                <c:pt idx="85">
                  <c:v>1.94E-02</c:v>
                </c:pt>
                <c:pt idx="86">
                  <c:v>1.96E-02</c:v>
                </c:pt>
                <c:pt idx="87">
                  <c:v>1.98E-02</c:v>
                </c:pt>
                <c:pt idx="88">
                  <c:v>2.00E-02</c:v>
                </c:pt>
                <c:pt idx="89">
                  <c:v>2.02E-02</c:v>
                </c:pt>
                <c:pt idx="90">
                  <c:v>2.04E-02</c:v>
                </c:pt>
                <c:pt idx="91">
                  <c:v>2.06E-02</c:v>
                </c:pt>
                <c:pt idx="92">
                  <c:v>2.08E-02</c:v>
                </c:pt>
                <c:pt idx="93">
                  <c:v>2.11E-02</c:v>
                </c:pt>
                <c:pt idx="94">
                  <c:v>2.13E-02</c:v>
                </c:pt>
                <c:pt idx="95">
                  <c:v>2.15E-02</c:v>
                </c:pt>
                <c:pt idx="96">
                  <c:v>2.17E-02</c:v>
                </c:pt>
                <c:pt idx="97">
                  <c:v>2.19E-02</c:v>
                </c:pt>
                <c:pt idx="98">
                  <c:v>2.21E-02</c:v>
                </c:pt>
                <c:pt idx="99">
                  <c:v>2.24E-02</c:v>
                </c:pt>
                <c:pt idx="100">
                  <c:v>2.26E-02</c:v>
                </c:pt>
                <c:pt idx="101">
                  <c:v>2.28E-02</c:v>
                </c:pt>
                <c:pt idx="102">
                  <c:v>2.30E-02</c:v>
                </c:pt>
                <c:pt idx="103">
                  <c:v>2.33E-02</c:v>
                </c:pt>
                <c:pt idx="104">
                  <c:v>2.35E-02</c:v>
                </c:pt>
                <c:pt idx="105">
                  <c:v>2.37E-02</c:v>
                </c:pt>
                <c:pt idx="106">
                  <c:v>2.40E-02</c:v>
                </c:pt>
                <c:pt idx="107">
                  <c:v>2.42E-02</c:v>
                </c:pt>
                <c:pt idx="108">
                  <c:v>2.44E-02</c:v>
                </c:pt>
                <c:pt idx="109">
                  <c:v>2.47E-02</c:v>
                </c:pt>
                <c:pt idx="110">
                  <c:v>2.49E-02</c:v>
                </c:pt>
                <c:pt idx="111">
                  <c:v>2.52E-02</c:v>
                </c:pt>
                <c:pt idx="112">
                  <c:v>2.54E-02</c:v>
                </c:pt>
                <c:pt idx="113">
                  <c:v>2.57E-02</c:v>
                </c:pt>
                <c:pt idx="114">
                  <c:v>2.60E-02</c:v>
                </c:pt>
                <c:pt idx="115">
                  <c:v>2.62E-02</c:v>
                </c:pt>
                <c:pt idx="116">
                  <c:v>2.65E-02</c:v>
                </c:pt>
                <c:pt idx="117">
                  <c:v>2.67E-02</c:v>
                </c:pt>
                <c:pt idx="118">
                  <c:v>2.70E-02</c:v>
                </c:pt>
                <c:pt idx="119">
                  <c:v>2.73E-02</c:v>
                </c:pt>
                <c:pt idx="120">
                  <c:v>2.75E-02</c:v>
                </c:pt>
                <c:pt idx="121">
                  <c:v>2.78E-02</c:v>
                </c:pt>
                <c:pt idx="122">
                  <c:v>2.81E-02</c:v>
                </c:pt>
                <c:pt idx="123">
                  <c:v>2.84E-02</c:v>
                </c:pt>
                <c:pt idx="124">
                  <c:v>2.87E-02</c:v>
                </c:pt>
                <c:pt idx="125">
                  <c:v>2.90E-02</c:v>
                </c:pt>
                <c:pt idx="126">
                  <c:v>2.92E-02</c:v>
                </c:pt>
                <c:pt idx="127">
                  <c:v>2.95E-02</c:v>
                </c:pt>
                <c:pt idx="128">
                  <c:v>2.98E-02</c:v>
                </c:pt>
                <c:pt idx="129">
                  <c:v>3.01E-02</c:v>
                </c:pt>
                <c:pt idx="130">
                  <c:v>3.04E-02</c:v>
                </c:pt>
                <c:pt idx="131">
                  <c:v>3.07E-02</c:v>
                </c:pt>
                <c:pt idx="132">
                  <c:v>3.10E-02</c:v>
                </c:pt>
                <c:pt idx="133">
                  <c:v>3.14E-02</c:v>
                </c:pt>
                <c:pt idx="134">
                  <c:v>3.17E-02</c:v>
                </c:pt>
                <c:pt idx="135">
                  <c:v>3.20E-02</c:v>
                </c:pt>
                <c:pt idx="136">
                  <c:v>3.23E-02</c:v>
                </c:pt>
                <c:pt idx="137">
                  <c:v>3.26E-02</c:v>
                </c:pt>
                <c:pt idx="138">
                  <c:v>3.30E-02</c:v>
                </c:pt>
                <c:pt idx="139">
                  <c:v>3.33E-02</c:v>
                </c:pt>
                <c:pt idx="140">
                  <c:v>3.36E-02</c:v>
                </c:pt>
                <c:pt idx="141">
                  <c:v>3.40E-02</c:v>
                </c:pt>
                <c:pt idx="142">
                  <c:v>3.43E-02</c:v>
                </c:pt>
                <c:pt idx="143">
                  <c:v>3.46E-02</c:v>
                </c:pt>
                <c:pt idx="144">
                  <c:v>3.50E-02</c:v>
                </c:pt>
                <c:pt idx="145">
                  <c:v>3.53E-02</c:v>
                </c:pt>
                <c:pt idx="146">
                  <c:v>3.57E-02</c:v>
                </c:pt>
                <c:pt idx="147">
                  <c:v>3.60E-02</c:v>
                </c:pt>
                <c:pt idx="148">
                  <c:v>3.64E-02</c:v>
                </c:pt>
                <c:pt idx="149">
                  <c:v>3.68E-02</c:v>
                </c:pt>
                <c:pt idx="150">
                  <c:v>3.71E-02</c:v>
                </c:pt>
                <c:pt idx="151">
                  <c:v>3.75E-02</c:v>
                </c:pt>
                <c:pt idx="152">
                  <c:v>3.79E-02</c:v>
                </c:pt>
                <c:pt idx="153">
                  <c:v>3.83E-02</c:v>
                </c:pt>
                <c:pt idx="154">
                  <c:v>3.86E-02</c:v>
                </c:pt>
                <c:pt idx="155">
                  <c:v>3.90E-02</c:v>
                </c:pt>
                <c:pt idx="156">
                  <c:v>3.94E-02</c:v>
                </c:pt>
                <c:pt idx="157">
                  <c:v>3.98E-02</c:v>
                </c:pt>
                <c:pt idx="158">
                  <c:v>4.02E-02</c:v>
                </c:pt>
                <c:pt idx="159">
                  <c:v>4.06E-02</c:v>
                </c:pt>
                <c:pt idx="160">
                  <c:v>4.10E-02</c:v>
                </c:pt>
                <c:pt idx="161">
                  <c:v>4.14E-02</c:v>
                </c:pt>
                <c:pt idx="162">
                  <c:v>4.18E-02</c:v>
                </c:pt>
                <c:pt idx="163">
                  <c:v>4.23E-02</c:v>
                </c:pt>
                <c:pt idx="164">
                  <c:v>4.27E-02</c:v>
                </c:pt>
                <c:pt idx="165">
                  <c:v>4.31E-02</c:v>
                </c:pt>
                <c:pt idx="166">
                  <c:v>4.35E-02</c:v>
                </c:pt>
                <c:pt idx="167">
                  <c:v>4.40E-02</c:v>
                </c:pt>
                <c:pt idx="168">
                  <c:v>4.44E-02</c:v>
                </c:pt>
                <c:pt idx="169">
                  <c:v>4.49E-02</c:v>
                </c:pt>
                <c:pt idx="170">
                  <c:v>4.53E-02</c:v>
                </c:pt>
                <c:pt idx="171">
                  <c:v>4.58E-02</c:v>
                </c:pt>
                <c:pt idx="172">
                  <c:v>4.62E-02</c:v>
                </c:pt>
                <c:pt idx="173">
                  <c:v>4.67E-02</c:v>
                </c:pt>
                <c:pt idx="174">
                  <c:v>4.71E-02</c:v>
                </c:pt>
                <c:pt idx="175">
                  <c:v>4.76E-02</c:v>
                </c:pt>
                <c:pt idx="176">
                  <c:v>4.81E-02</c:v>
                </c:pt>
                <c:pt idx="177">
                  <c:v>4.86E-02</c:v>
                </c:pt>
                <c:pt idx="178">
                  <c:v>4.91E-02</c:v>
                </c:pt>
                <c:pt idx="179">
                  <c:v>4.96E-02</c:v>
                </c:pt>
                <c:pt idx="180">
                  <c:v>5.00E-02</c:v>
                </c:pt>
                <c:pt idx="181">
                  <c:v>5.05E-02</c:v>
                </c:pt>
                <c:pt idx="182">
                  <c:v>5.11E-02</c:v>
                </c:pt>
                <c:pt idx="183">
                  <c:v>5.16E-02</c:v>
                </c:pt>
                <c:pt idx="184">
                  <c:v>5.21E-02</c:v>
                </c:pt>
                <c:pt idx="185">
                  <c:v>5.26E-02</c:v>
                </c:pt>
                <c:pt idx="186">
                  <c:v>5.31E-02</c:v>
                </c:pt>
                <c:pt idx="187">
                  <c:v>5.37E-02</c:v>
                </c:pt>
                <c:pt idx="188">
                  <c:v>5.42E-02</c:v>
                </c:pt>
                <c:pt idx="189">
                  <c:v>5.47E-02</c:v>
                </c:pt>
                <c:pt idx="190">
                  <c:v>5.53E-02</c:v>
                </c:pt>
                <c:pt idx="191">
                  <c:v>5.58E-02</c:v>
                </c:pt>
                <c:pt idx="192">
                  <c:v>5.64E-02</c:v>
                </c:pt>
                <c:pt idx="193">
                  <c:v>5.70E-02</c:v>
                </c:pt>
                <c:pt idx="194">
                  <c:v>5.75E-02</c:v>
                </c:pt>
                <c:pt idx="195">
                  <c:v>5.81E-02</c:v>
                </c:pt>
                <c:pt idx="196">
                  <c:v>5.87E-02</c:v>
                </c:pt>
                <c:pt idx="197">
                  <c:v>5.93E-02</c:v>
                </c:pt>
                <c:pt idx="198">
                  <c:v>5.99E-02</c:v>
                </c:pt>
                <c:pt idx="199">
                  <c:v>6.05E-02</c:v>
                </c:pt>
                <c:pt idx="200">
                  <c:v>6.11E-02</c:v>
                </c:pt>
                <c:pt idx="201">
                  <c:v>6.17E-02</c:v>
                </c:pt>
                <c:pt idx="202">
                  <c:v>6.23E-02</c:v>
                </c:pt>
                <c:pt idx="203">
                  <c:v>6.29E-02</c:v>
                </c:pt>
                <c:pt idx="204">
                  <c:v>6.35E-02</c:v>
                </c:pt>
                <c:pt idx="205">
                  <c:v>6.42E-02</c:v>
                </c:pt>
                <c:pt idx="206">
                  <c:v>6.48E-02</c:v>
                </c:pt>
                <c:pt idx="207">
                  <c:v>6.55E-02</c:v>
                </c:pt>
                <c:pt idx="208">
                  <c:v>6.61E-02</c:v>
                </c:pt>
                <c:pt idx="209">
                  <c:v>6.68E-02</c:v>
                </c:pt>
                <c:pt idx="210">
                  <c:v>6.75E-02</c:v>
                </c:pt>
                <c:pt idx="211">
                  <c:v>6.81E-02</c:v>
                </c:pt>
                <c:pt idx="212">
                  <c:v>6.88E-02</c:v>
                </c:pt>
                <c:pt idx="213">
                  <c:v>6.95E-02</c:v>
                </c:pt>
                <c:pt idx="214">
                  <c:v>7.16E-02</c:v>
                </c:pt>
                <c:pt idx="215">
                  <c:v>7.23E-02</c:v>
                </c:pt>
                <c:pt idx="216">
                  <c:v>7.30E-02</c:v>
                </c:pt>
                <c:pt idx="217">
                  <c:v>7.38E-02</c:v>
                </c:pt>
                <c:pt idx="218">
                  <c:v>7.45E-02</c:v>
                </c:pt>
                <c:pt idx="219">
                  <c:v>7.91E-02</c:v>
                </c:pt>
                <c:pt idx="220">
                  <c:v>7.99E-02</c:v>
                </c:pt>
                <c:pt idx="221">
                  <c:v>8.07E-02</c:v>
                </c:pt>
                <c:pt idx="222">
                  <c:v>8.15E-02</c:v>
                </c:pt>
                <c:pt idx="223">
                  <c:v>8.23E-02</c:v>
                </c:pt>
                <c:pt idx="224">
                  <c:v>8.48E-02</c:v>
                </c:pt>
                <c:pt idx="225">
                  <c:v>8.91E-02</c:v>
                </c:pt>
                <c:pt idx="226">
                  <c:v>9.00E-02</c:v>
                </c:pt>
                <c:pt idx="227">
                  <c:v>9.09E-02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8.3469176538099998E-3</c:v>
                </c:pt>
                <c:pt idx="1">
                  <c:v>8.4303868303500003E-3</c:v>
                </c:pt>
                <c:pt idx="2">
                  <c:v>8.5146906986500008E-3</c:v>
                </c:pt>
                <c:pt idx="3">
                  <c:v>8.5998376056400008E-3</c:v>
                </c:pt>
                <c:pt idx="4">
                  <c:v>8.6858359817000002E-3</c:v>
                </c:pt>
                <c:pt idx="5">
                  <c:v>8.7726943415100001E-3</c:v>
                </c:pt>
                <c:pt idx="6">
                  <c:v>8.86042128493E-3</c:v>
                </c:pt>
                <c:pt idx="7">
                  <c:v>8.9490254977800006E-3</c:v>
                </c:pt>
                <c:pt idx="8">
                  <c:v>9.0385157527600006E-3</c:v>
                </c:pt>
                <c:pt idx="9">
                  <c:v>9.1289009102799995E-3</c:v>
                </c:pt>
                <c:pt idx="10">
                  <c:v>9.2201899193900001E-3</c:v>
                </c:pt>
                <c:pt idx="11">
                  <c:v>9.3123918185800004E-3</c:v>
                </c:pt>
                <c:pt idx="12">
                  <c:v>9.4055157367700006E-3</c:v>
                </c:pt>
                <c:pt idx="13">
                  <c:v>9.4995708941299998E-3</c:v>
                </c:pt>
                <c:pt idx="14">
                  <c:v>9.5945666030799997E-3</c:v>
                </c:pt>
                <c:pt idx="15">
                  <c:v>9.69051226911E-3</c:v>
                </c:pt>
                <c:pt idx="16">
                  <c:v>9.7874173918000001E-3</c:v>
                </c:pt>
                <c:pt idx="17">
                  <c:v>9.8852915657199995E-3</c:v>
                </c:pt>
                <c:pt idx="18">
                  <c:v>9.9841444813699998E-3</c:v>
                </c:pt>
                <c:pt idx="19">
                  <c:v>1.0083985926200001E-2</c:v>
                </c:pt>
                <c:pt idx="20">
                  <c:v>1.01848257854E-2</c:v>
                </c:pt>
                <c:pt idx="21">
                  <c:v>1.02866740433E-2</c:v>
                </c:pt>
                <c:pt idx="22">
                  <c:v>1.03895407837E-2</c:v>
                </c:pt>
                <c:pt idx="23">
                  <c:v>1.04934361916E-2</c:v>
                </c:pt>
                <c:pt idx="24">
                  <c:v>1.05983705535E-2</c:v>
                </c:pt>
                <c:pt idx="25">
                  <c:v>1.0704354259E-2</c:v>
                </c:pt>
                <c:pt idx="26">
                  <c:v>1.08113978016E-2</c:v>
                </c:pt>
                <c:pt idx="27">
                  <c:v>1.0919511779600001E-2</c:v>
                </c:pt>
                <c:pt idx="28">
                  <c:v>1.1028706897400001E-2</c:v>
                </c:pt>
                <c:pt idx="29">
                  <c:v>1.11389939664E-2</c:v>
                </c:pt>
                <c:pt idx="30">
                  <c:v>1.12503839061E-2</c:v>
                </c:pt>
                <c:pt idx="31">
                  <c:v>1.1362887745099999E-2</c:v>
                </c:pt>
                <c:pt idx="32">
                  <c:v>1.14765166226E-2</c:v>
                </c:pt>
                <c:pt idx="33">
                  <c:v>1.1591281788799999E-2</c:v>
                </c:pt>
                <c:pt idx="34">
                  <c:v>1.17071946067E-2</c:v>
                </c:pt>
                <c:pt idx="35">
                  <c:v>1.18242665528E-2</c:v>
                </c:pt>
                <c:pt idx="36">
                  <c:v>1.19425092183E-2</c:v>
                </c:pt>
                <c:pt idx="37">
                  <c:v>1.2061934310500001E-2</c:v>
                </c:pt>
                <c:pt idx="38">
                  <c:v>1.2182553653599999E-2</c:v>
                </c:pt>
                <c:pt idx="39">
                  <c:v>1.2304379190100001E-2</c:v>
                </c:pt>
                <c:pt idx="40">
                  <c:v>1.2427422981999999E-2</c:v>
                </c:pt>
                <c:pt idx="41">
                  <c:v>1.25516972118E-2</c:v>
                </c:pt>
                <c:pt idx="42">
                  <c:v>1.26772141839E-2</c:v>
                </c:pt>
                <c:pt idx="43">
                  <c:v>1.28039863258E-2</c:v>
                </c:pt>
                <c:pt idx="44">
                  <c:v>1.2932026189000001E-2</c:v>
                </c:pt>
                <c:pt idx="45">
                  <c:v>1.3061346450899999E-2</c:v>
                </c:pt>
                <c:pt idx="46">
                  <c:v>1.31919599154E-2</c:v>
                </c:pt>
                <c:pt idx="47">
                  <c:v>1.33238795146E-2</c:v>
                </c:pt>
                <c:pt idx="48">
                  <c:v>1.3457118309700001E-2</c:v>
                </c:pt>
                <c:pt idx="49">
                  <c:v>1.3591689492799999E-2</c:v>
                </c:pt>
                <c:pt idx="50">
                  <c:v>1.37276063878E-2</c:v>
                </c:pt>
                <c:pt idx="51">
                  <c:v>1.3864882451600001E-2</c:v>
                </c:pt>
                <c:pt idx="52">
                  <c:v>1.40035312762E-2</c:v>
                </c:pt>
                <c:pt idx="53">
                  <c:v>1.41435665889E-2</c:v>
                </c:pt>
                <c:pt idx="54">
                  <c:v>1.42850022548E-2</c:v>
                </c:pt>
                <c:pt idx="55">
                  <c:v>1.44278522774E-2</c:v>
                </c:pt>
                <c:pt idx="56">
                  <c:v>1.4572130800099999E-2</c:v>
                </c:pt>
                <c:pt idx="57">
                  <c:v>1.4717852108099999E-2</c:v>
                </c:pt>
                <c:pt idx="58">
                  <c:v>1.4865030629200001E-2</c:v>
                </c:pt>
                <c:pt idx="59">
                  <c:v>1.50136809355E-2</c:v>
                </c:pt>
                <c:pt idx="60">
                  <c:v>1.5163817744900001E-2</c:v>
                </c:pt>
                <c:pt idx="61">
                  <c:v>1.5315455922300001E-2</c:v>
                </c:pt>
                <c:pt idx="62">
                  <c:v>1.54686104815E-2</c:v>
                </c:pt>
                <c:pt idx="63">
                  <c:v>1.56232965864E-2</c:v>
                </c:pt>
                <c:pt idx="64">
                  <c:v>1.5779529552200001E-2</c:v>
                </c:pt>
                <c:pt idx="65">
                  <c:v>1.59373248477E-2</c:v>
                </c:pt>
                <c:pt idx="66">
                  <c:v>1.6096698096199999E-2</c:v>
                </c:pt>
                <c:pt idx="67">
                  <c:v>1.6257665077200001E-2</c:v>
                </c:pt>
                <c:pt idx="68">
                  <c:v>1.6420241727999999E-2</c:v>
                </c:pt>
                <c:pt idx="69">
                  <c:v>1.6584444145200002E-2</c:v>
                </c:pt>
                <c:pt idx="70">
                  <c:v>1.67502885867E-2</c:v>
                </c:pt>
                <c:pt idx="71">
                  <c:v>1.6917791472599999E-2</c:v>
                </c:pt>
                <c:pt idx="72">
                  <c:v>1.7086969387300002E-2</c:v>
                </c:pt>
                <c:pt idx="73">
                  <c:v>1.7257839081199999E-2</c:v>
                </c:pt>
                <c:pt idx="74">
                  <c:v>1.7430417472000002E-2</c:v>
                </c:pt>
                <c:pt idx="75">
                  <c:v>1.7604721646699999E-2</c:v>
                </c:pt>
                <c:pt idx="76">
                  <c:v>1.77807688631E-2</c:v>
                </c:pt>
                <c:pt idx="77">
                  <c:v>1.7958576551799998E-2</c:v>
                </c:pt>
                <c:pt idx="78">
                  <c:v>1.8138162317300002E-2</c:v>
                </c:pt>
                <c:pt idx="79">
                  <c:v>1.8319543940500001E-2</c:v>
                </c:pt>
                <c:pt idx="80">
                  <c:v>1.8502739379900001E-2</c:v>
                </c:pt>
                <c:pt idx="81">
                  <c:v>1.8687766773700001E-2</c:v>
                </c:pt>
                <c:pt idx="82">
                  <c:v>1.8874644441399999E-2</c:v>
                </c:pt>
                <c:pt idx="83">
                  <c:v>1.9063390885799999E-2</c:v>
                </c:pt>
                <c:pt idx="84">
                  <c:v>1.9254024794699998E-2</c:v>
                </c:pt>
                <c:pt idx="85">
                  <c:v>1.9446565042599999E-2</c:v>
                </c:pt>
                <c:pt idx="86">
                  <c:v>1.9641030693100001E-2</c:v>
                </c:pt>
                <c:pt idx="87">
                  <c:v>1.9837441000000001E-2</c:v>
                </c:pt>
                <c:pt idx="88">
                  <c:v>2.0035815410000001E-2</c:v>
                </c:pt>
                <c:pt idx="89">
                  <c:v>2.0236173564099999E-2</c:v>
                </c:pt>
                <c:pt idx="90">
                  <c:v>2.0438535299700002E-2</c:v>
                </c:pt>
                <c:pt idx="91">
                  <c:v>2.06429206527E-2</c:v>
                </c:pt>
                <c:pt idx="92">
                  <c:v>2.0849349859299999E-2</c:v>
                </c:pt>
                <c:pt idx="93">
                  <c:v>2.1057843357800001E-2</c:v>
                </c:pt>
                <c:pt idx="94">
                  <c:v>2.12684217914E-2</c:v>
                </c:pt>
                <c:pt idx="95">
                  <c:v>2.1481106009300002E-2</c:v>
                </c:pt>
                <c:pt idx="96">
                  <c:v>2.1695917069400002E-2</c:v>
                </c:pt>
                <c:pt idx="97">
                  <c:v>2.19128762401E-2</c:v>
                </c:pt>
                <c:pt idx="98">
                  <c:v>2.21320050025E-2</c:v>
                </c:pt>
                <c:pt idx="99">
                  <c:v>2.2353325052600001E-2</c:v>
                </c:pt>
                <c:pt idx="100">
                  <c:v>2.2576858303100002E-2</c:v>
                </c:pt>
                <c:pt idx="101">
                  <c:v>2.2802626886099998E-2</c:v>
                </c:pt>
                <c:pt idx="102">
                  <c:v>2.3030653155000001E-2</c:v>
                </c:pt>
                <c:pt idx="103">
                  <c:v>2.32609596865E-2</c:v>
                </c:pt>
                <c:pt idx="104">
                  <c:v>2.34935692834E-2</c:v>
                </c:pt>
                <c:pt idx="105">
                  <c:v>2.37285049762E-2</c:v>
                </c:pt>
                <c:pt idx="106">
                  <c:v>2.3965790026000001E-2</c:v>
                </c:pt>
                <c:pt idx="107">
                  <c:v>2.42054479262E-2</c:v>
                </c:pt>
                <c:pt idx="108">
                  <c:v>2.4447502405500001E-2</c:v>
                </c:pt>
                <c:pt idx="109">
                  <c:v>2.4691977429599998E-2</c:v>
                </c:pt>
                <c:pt idx="110">
                  <c:v>2.4938897203899999E-2</c:v>
                </c:pt>
                <c:pt idx="111">
                  <c:v>2.51882861759E-2</c:v>
                </c:pt>
                <c:pt idx="112">
                  <c:v>2.5440169037600002E-2</c:v>
                </c:pt>
                <c:pt idx="113">
                  <c:v>2.5694570728E-2</c:v>
                </c:pt>
                <c:pt idx="114">
                  <c:v>2.5951516435299998E-2</c:v>
                </c:pt>
                <c:pt idx="115">
                  <c:v>2.6211031599700001E-2</c:v>
                </c:pt>
                <c:pt idx="116">
                  <c:v>2.6473141915700001E-2</c:v>
                </c:pt>
                <c:pt idx="117">
                  <c:v>2.6737873334799999E-2</c:v>
                </c:pt>
                <c:pt idx="118">
                  <c:v>2.7005252068200002E-2</c:v>
                </c:pt>
                <c:pt idx="119">
                  <c:v>2.7275304588799999E-2</c:v>
                </c:pt>
                <c:pt idx="120">
                  <c:v>2.7548057634700002E-2</c:v>
                </c:pt>
                <c:pt idx="121">
                  <c:v>2.78235382111E-2</c:v>
                </c:pt>
                <c:pt idx="122">
                  <c:v>2.81017735932E-2</c:v>
                </c:pt>
                <c:pt idx="123">
                  <c:v>2.8382791329100002E-2</c:v>
                </c:pt>
                <c:pt idx="124">
                  <c:v>2.86666192424E-2</c:v>
                </c:pt>
                <c:pt idx="125">
                  <c:v>2.89532854348E-2</c:v>
                </c:pt>
                <c:pt idx="126">
                  <c:v>2.9242818289200001E-2</c:v>
                </c:pt>
                <c:pt idx="127">
                  <c:v>2.9535246472099999E-2</c:v>
                </c:pt>
                <c:pt idx="128">
                  <c:v>2.9830598936799999E-2</c:v>
                </c:pt>
                <c:pt idx="129">
                  <c:v>3.01289049262E-2</c:v>
                </c:pt>
                <c:pt idx="130">
                  <c:v>3.0430193975400002E-2</c:v>
                </c:pt>
                <c:pt idx="131">
                  <c:v>3.07344959152E-2</c:v>
                </c:pt>
                <c:pt idx="132">
                  <c:v>3.1041840874300002E-2</c:v>
                </c:pt>
                <c:pt idx="133">
                  <c:v>3.1352259283100002E-2</c:v>
                </c:pt>
                <c:pt idx="134">
                  <c:v>3.1665781875900002E-2</c:v>
                </c:pt>
                <c:pt idx="135">
                  <c:v>3.19824396947E-2</c:v>
                </c:pt>
                <c:pt idx="136">
                  <c:v>3.2302264091600003E-2</c:v>
                </c:pt>
                <c:pt idx="137">
                  <c:v>3.2625286732500001E-2</c:v>
                </c:pt>
                <c:pt idx="138">
                  <c:v>3.29515395999E-2</c:v>
                </c:pt>
                <c:pt idx="139">
                  <c:v>3.3281054995899999E-2</c:v>
                </c:pt>
                <c:pt idx="140">
                  <c:v>3.3613865545800002E-2</c:v>
                </c:pt>
                <c:pt idx="141">
                  <c:v>3.3950004201300003E-2</c:v>
                </c:pt>
                <c:pt idx="142">
                  <c:v>3.4289504243299997E-2</c:v>
                </c:pt>
                <c:pt idx="143">
                  <c:v>3.46323992857E-2</c:v>
                </c:pt>
                <c:pt idx="144">
                  <c:v>3.49787232786E-2</c:v>
                </c:pt>
                <c:pt idx="145">
                  <c:v>3.5328510511399999E-2</c:v>
                </c:pt>
                <c:pt idx="146">
                  <c:v>3.5681795616499999E-2</c:v>
                </c:pt>
                <c:pt idx="147">
                  <c:v>3.6038613572599999E-2</c:v>
                </c:pt>
                <c:pt idx="148">
                  <c:v>3.63989997084E-2</c:v>
                </c:pt>
                <c:pt idx="149">
                  <c:v>3.6762989705399998E-2</c:v>
                </c:pt>
                <c:pt idx="150">
                  <c:v>3.7130619602499998E-2</c:v>
                </c:pt>
                <c:pt idx="151">
                  <c:v>3.7501925798500001E-2</c:v>
                </c:pt>
                <c:pt idx="152">
                  <c:v>3.7876945056500001E-2</c:v>
                </c:pt>
                <c:pt idx="153">
                  <c:v>3.8255714507099997E-2</c:v>
                </c:pt>
                <c:pt idx="154">
                  <c:v>3.8638271652100001E-2</c:v>
                </c:pt>
                <c:pt idx="155">
                  <c:v>3.90246543687E-2</c:v>
                </c:pt>
                <c:pt idx="156">
                  <c:v>3.9414900912399999E-2</c:v>
                </c:pt>
                <c:pt idx="157">
                  <c:v>3.98090499215E-2</c:v>
                </c:pt>
                <c:pt idx="158">
                  <c:v>4.0207140420699998E-2</c:v>
                </c:pt>
                <c:pt idx="159">
                  <c:v>4.0609211824900002E-2</c:v>
                </c:pt>
                <c:pt idx="160">
                  <c:v>4.1015303943099997E-2</c:v>
                </c:pt>
                <c:pt idx="161">
                  <c:v>4.1425456982600001E-2</c:v>
                </c:pt>
                <c:pt idx="162">
                  <c:v>4.1839711552400002E-2</c:v>
                </c:pt>
                <c:pt idx="163">
                  <c:v>4.2258108667900002E-2</c:v>
                </c:pt>
                <c:pt idx="164">
                  <c:v>4.2680689754600001E-2</c:v>
                </c:pt>
                <c:pt idx="165">
                  <c:v>4.3107496652199997E-2</c:v>
                </c:pt>
                <c:pt idx="166">
                  <c:v>4.3538571618699999E-2</c:v>
                </c:pt>
                <c:pt idx="167">
                  <c:v>4.3973957334899998E-2</c:v>
                </c:pt>
                <c:pt idx="168">
                  <c:v>4.4413696908199997E-2</c:v>
                </c:pt>
                <c:pt idx="169">
                  <c:v>4.4857833877300003E-2</c:v>
                </c:pt>
                <c:pt idx="170">
                  <c:v>4.5306412216100003E-2</c:v>
                </c:pt>
                <c:pt idx="171">
                  <c:v>4.5759476338200003E-2</c:v>
                </c:pt>
                <c:pt idx="172">
                  <c:v>4.6217071101599998E-2</c:v>
                </c:pt>
                <c:pt idx="173">
                  <c:v>4.6679241812599997E-2</c:v>
                </c:pt>
                <c:pt idx="174">
                  <c:v>4.71460342308E-2</c:v>
                </c:pt>
                <c:pt idx="175">
                  <c:v>4.7617494573100001E-2</c:v>
                </c:pt>
                <c:pt idx="176">
                  <c:v>4.8093669518800002E-2</c:v>
                </c:pt>
                <c:pt idx="177">
                  <c:v>4.8574606213999998E-2</c:v>
                </c:pt>
                <c:pt idx="178">
                  <c:v>4.9060352276099999E-2</c:v>
                </c:pt>
                <c:pt idx="179">
                  <c:v>4.9550955798900002E-2</c:v>
                </c:pt>
                <c:pt idx="180">
                  <c:v>5.0046465356900001E-2</c:v>
                </c:pt>
                <c:pt idx="181">
                  <c:v>5.0546930010399997E-2</c:v>
                </c:pt>
                <c:pt idx="182">
                  <c:v>5.1052399310499999E-2</c:v>
                </c:pt>
                <c:pt idx="183">
                  <c:v>5.1562923303600003E-2</c:v>
                </c:pt>
                <c:pt idx="184">
                  <c:v>5.2078552536699997E-2</c:v>
                </c:pt>
                <c:pt idx="185">
                  <c:v>5.2599338062100001E-2</c:v>
                </c:pt>
                <c:pt idx="186">
                  <c:v>5.31253314427E-2</c:v>
                </c:pt>
                <c:pt idx="187">
                  <c:v>5.3656584757100001E-2</c:v>
                </c:pt>
                <c:pt idx="188">
                  <c:v>5.4193150604700001E-2</c:v>
                </c:pt>
                <c:pt idx="189">
                  <c:v>5.4735082110700002E-2</c:v>
                </c:pt>
                <c:pt idx="190">
                  <c:v>5.5282432931799998E-2</c:v>
                </c:pt>
                <c:pt idx="191">
                  <c:v>5.5835257261100002E-2</c:v>
                </c:pt>
                <c:pt idx="192">
                  <c:v>5.6393609833799999E-2</c:v>
                </c:pt>
                <c:pt idx="193">
                  <c:v>5.69575459321E-2</c:v>
                </c:pt>
                <c:pt idx="194">
                  <c:v>5.7527121391400003E-2</c:v>
                </c:pt>
                <c:pt idx="195">
                  <c:v>5.81023926053E-2</c:v>
                </c:pt>
                <c:pt idx="196">
                  <c:v>5.8683416531400003E-2</c:v>
                </c:pt>
                <c:pt idx="197">
                  <c:v>5.92702506967E-2</c:v>
                </c:pt>
                <c:pt idx="198">
                  <c:v>5.9862953203699998E-2</c:v>
                </c:pt>
                <c:pt idx="199">
                  <c:v>6.0461582735700001E-2</c:v>
                </c:pt>
                <c:pt idx="200">
                  <c:v>6.1066198563099999E-2</c:v>
                </c:pt>
                <c:pt idx="201">
                  <c:v>6.1676860548700002E-2</c:v>
                </c:pt>
                <c:pt idx="202">
                  <c:v>6.2293629154200003E-2</c:v>
                </c:pt>
                <c:pt idx="203">
                  <c:v>6.2916565445699998E-2</c:v>
                </c:pt>
                <c:pt idx="204">
                  <c:v>6.3545731100199995E-2</c:v>
                </c:pt>
                <c:pt idx="205">
                  <c:v>6.4181188411200005E-2</c:v>
                </c:pt>
                <c:pt idx="206">
                  <c:v>6.4823000295299998E-2</c:v>
                </c:pt>
                <c:pt idx="207">
                  <c:v>6.5471230298199998E-2</c:v>
                </c:pt>
                <c:pt idx="208">
                  <c:v>6.61259426012E-2</c:v>
                </c:pt>
                <c:pt idx="209">
                  <c:v>6.6787202027199996E-2</c:v>
                </c:pt>
                <c:pt idx="210">
                  <c:v>6.7455074047499994E-2</c:v>
                </c:pt>
                <c:pt idx="211">
                  <c:v>6.8129624787999998E-2</c:v>
                </c:pt>
                <c:pt idx="212">
                  <c:v>6.8810921035900002E-2</c:v>
                </c:pt>
                <c:pt idx="213">
                  <c:v>6.9499030246199994E-2</c:v>
                </c:pt>
                <c:pt idx="214">
                  <c:v>7.1604920361700006E-2</c:v>
                </c:pt>
                <c:pt idx="215">
                  <c:v>7.23209695653E-2</c:v>
                </c:pt>
                <c:pt idx="216">
                  <c:v>7.3044179261E-2</c:v>
                </c:pt>
                <c:pt idx="217">
                  <c:v>7.3774621053599998E-2</c:v>
                </c:pt>
                <c:pt idx="218">
                  <c:v>7.4512367264100002E-2</c:v>
                </c:pt>
                <c:pt idx="219">
                  <c:v>7.90963793198E-2</c:v>
                </c:pt>
                <c:pt idx="220">
                  <c:v>7.9887343112999998E-2</c:v>
                </c:pt>
                <c:pt idx="221">
                  <c:v>8.0686216544199996E-2</c:v>
                </c:pt>
                <c:pt idx="222">
                  <c:v>8.14930787096E-2</c:v>
                </c:pt>
                <c:pt idx="223">
                  <c:v>8.2308009496700002E-2</c:v>
                </c:pt>
                <c:pt idx="224">
                  <c:v>8.4802024492500003E-2</c:v>
                </c:pt>
                <c:pt idx="225">
                  <c:v>8.9127780010400004E-2</c:v>
                </c:pt>
                <c:pt idx="226">
                  <c:v>9.00190578105E-2</c:v>
                </c:pt>
                <c:pt idx="227">
                  <c:v>9.0919248388599994E-2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4.8233609924914339E-9</c:v>
                </c:pt>
                <c:pt idx="1">
                  <c:v>5.0169452020189728E-9</c:v>
                </c:pt>
                <c:pt idx="2">
                  <c:v>5.2179620253845661E-9</c:v>
                </c:pt>
                <c:pt idx="3">
                  <c:v>5.4266014494484417E-9</c:v>
                </c:pt>
                <c:pt idx="4">
                  <c:v>5.6430298493353133E-9</c:v>
                </c:pt>
                <c:pt idx="5">
                  <c:v>5.8673703468164832E-9</c:v>
                </c:pt>
                <c:pt idx="6">
                  <c:v>6.0996743700895251E-9</c:v>
                </c:pt>
                <c:pt idx="7">
                  <c:v>6.3398803269739949E-9</c:v>
                </c:pt>
                <c:pt idx="8">
                  <c:v>6.5877456281096701E-9</c:v>
                </c:pt>
                <c:pt idx="9">
                  <c:v>6.8427290221718593E-9</c:v>
                </c:pt>
                <c:pt idx="10">
                  <c:v>7.1037768202859952E-9</c:v>
                </c:pt>
                <c:pt idx="11">
                  <c:v>7.3689117290673472E-9</c:v>
                </c:pt>
                <c:pt idx="12">
                  <c:v>7.6343860332998758E-9</c:v>
                </c:pt>
                <c:pt idx="13">
                  <c:v>7.8928370081673308E-9</c:v>
                </c:pt>
                <c:pt idx="14">
                  <c:v>8.1294974069039134E-9</c:v>
                </c:pt>
                <c:pt idx="15">
                  <c:v>8.3169888576727734E-9</c:v>
                </c:pt>
                <c:pt idx="16">
                  <c:v>8.4172655722836994E-9</c:v>
                </c:pt>
                <c:pt idx="17">
                  <c:v>8.4098503444479852E-9</c:v>
                </c:pt>
                <c:pt idx="18">
                  <c:v>8.2960036615765207E-9</c:v>
                </c:pt>
                <c:pt idx="19">
                  <c:v>7.9532248635052073E-9</c:v>
                </c:pt>
                <c:pt idx="20">
                  <c:v>7.0804572485147895E-9</c:v>
                </c:pt>
                <c:pt idx="21">
                  <c:v>5.6948093541653452E-9</c:v>
                </c:pt>
                <c:pt idx="22">
                  <c:v>4.3917408770779954E-9</c:v>
                </c:pt>
                <c:pt idx="23">
                  <c:v>3.6362832332432254E-9</c:v>
                </c:pt>
                <c:pt idx="24">
                  <c:v>3.3377172707616335E-9</c:v>
                </c:pt>
                <c:pt idx="25">
                  <c:v>3.2249409909184963E-9</c:v>
                </c:pt>
                <c:pt idx="26">
                  <c:v>3.146079632837106E-9</c:v>
                </c:pt>
                <c:pt idx="27">
                  <c:v>3.053450272193184E-9</c:v>
                </c:pt>
                <c:pt idx="28">
                  <c:v>2.9367781183210249E-9</c:v>
                </c:pt>
                <c:pt idx="29">
                  <c:v>2.7959174445480526E-9</c:v>
                </c:pt>
                <c:pt idx="30">
                  <c:v>2.633382607122156E-9</c:v>
                </c:pt>
                <c:pt idx="31">
                  <c:v>2.4528485218896162E-9</c:v>
                </c:pt>
                <c:pt idx="32">
                  <c:v>2.2586512868912394E-9</c:v>
                </c:pt>
                <c:pt idx="33">
                  <c:v>2.0555347309498164E-9</c:v>
                </c:pt>
                <c:pt idx="34">
                  <c:v>1.8484600365274282E-9</c:v>
                </c:pt>
                <c:pt idx="35">
                  <c:v>1.6424261414874449E-9</c:v>
                </c:pt>
                <c:pt idx="36">
                  <c:v>1.4422900409987072E-9</c:v>
                </c:pt>
                <c:pt idx="37">
                  <c:v>1.2525913586414294E-9</c:v>
                </c:pt>
                <c:pt idx="38">
                  <c:v>1.0773909162552379E-9</c:v>
                </c:pt>
                <c:pt idx="39">
                  <c:v>9.2013370391295715E-10</c:v>
                </c:pt>
                <c:pt idx="40">
                  <c:v>7.8354476292117E-10</c:v>
                </c:pt>
                <c:pt idx="41">
                  <c:v>6.6956323475200965E-10</c:v>
                </c:pt>
                <c:pt idx="42">
                  <c:v>5.7931609219091573E-10</c:v>
                </c:pt>
                <c:pt idx="43">
                  <c:v>5.1312955521837821E-10</c:v>
                </c:pt>
                <c:pt idx="44">
                  <c:v>4.7038933896629299E-10</c:v>
                </c:pt>
                <c:pt idx="45">
                  <c:v>4.5039580347906574E-10</c:v>
                </c:pt>
                <c:pt idx="46">
                  <c:v>4.511989259186027E-10</c:v>
                </c:pt>
                <c:pt idx="47">
                  <c:v>4.7059022752272602E-10</c:v>
                </c:pt>
                <c:pt idx="48">
                  <c:v>5.0597240257214862E-10</c:v>
                </c:pt>
                <c:pt idx="49">
                  <c:v>5.5446553859149674E-10</c:v>
                </c:pt>
                <c:pt idx="50">
                  <c:v>6.1300950369543061E-10</c:v>
                </c:pt>
                <c:pt idx="51">
                  <c:v>6.7846003688659343E-10</c:v>
                </c:pt>
                <c:pt idx="52">
                  <c:v>7.4767722305203835E-10</c:v>
                </c:pt>
                <c:pt idx="53">
                  <c:v>8.1760590317627581E-10</c:v>
                </c:pt>
                <c:pt idx="54">
                  <c:v>8.8534814390647597E-10</c:v>
                </c:pt>
                <c:pt idx="55">
                  <c:v>9.4822816988536937E-10</c:v>
                </c:pt>
                <c:pt idx="56">
                  <c:v>1.0038502022292233E-9</c:v>
                </c:pt>
                <c:pt idx="57">
                  <c:v>1.0501494879645345E-9</c:v>
                </c:pt>
                <c:pt idx="58">
                  <c:v>1.0854365150108183E-9</c:v>
                </c:pt>
                <c:pt idx="59">
                  <c:v>1.1084340466312091E-9</c:v>
                </c:pt>
                <c:pt idx="60">
                  <c:v>1.1183062326196297E-9</c:v>
                </c:pt>
                <c:pt idx="61">
                  <c:v>1.114678722121867E-9</c:v>
                </c:pt>
                <c:pt idx="62">
                  <c:v>1.0976484624341309E-9</c:v>
                </c:pt>
                <c:pt idx="63">
                  <c:v>1.0677817630599714E-9</c:v>
                </c:pt>
                <c:pt idx="64">
                  <c:v>1.026099268122548E-9</c:v>
                </c:pt>
                <c:pt idx="65">
                  <c:v>9.7404673239344408E-10</c:v>
                </c:pt>
                <c:pt idx="66">
                  <c:v>9.1345094360105349E-10</c:v>
                </c:pt>
                <c:pt idx="67">
                  <c:v>8.4646075751652015E-10</c:v>
                </c:pt>
                <c:pt idx="68">
                  <c:v>7.7547398284014651E-10</c:v>
                </c:pt>
                <c:pt idx="69">
                  <c:v>7.0305171504683575E-10</c:v>
                </c:pt>
                <c:pt idx="70">
                  <c:v>6.3182260458866161E-10</c:v>
                </c:pt>
                <c:pt idx="71">
                  <c:v>5.6438037993244427E-10</c:v>
                </c:pt>
                <c:pt idx="72">
                  <c:v>5.0317864839667054E-10</c:v>
                </c:pt>
                <c:pt idx="73">
                  <c:v>4.5042750516353564E-10</c:v>
                </c:pt>
                <c:pt idx="74">
                  <c:v>4.0799673300436677E-10</c:v>
                </c:pt>
                <c:pt idx="75">
                  <c:v>3.7733034498109532E-10</c:v>
                </c:pt>
                <c:pt idx="76">
                  <c:v>3.5937690597985491E-10</c:v>
                </c:pt>
                <c:pt idx="77">
                  <c:v>3.5453948386433414E-10</c:v>
                </c:pt>
                <c:pt idx="78">
                  <c:v>3.6264827154301096E-10</c:v>
                </c:pt>
                <c:pt idx="79">
                  <c:v>3.8295794207513003E-10</c:v>
                </c:pt>
                <c:pt idx="80">
                  <c:v>4.1417071354141175E-10</c:v>
                </c:pt>
                <c:pt idx="81">
                  <c:v>4.5448496863546769E-10</c:v>
                </c:pt>
                <c:pt idx="82">
                  <c:v>5.0166814884064735E-10</c:v>
                </c:pt>
                <c:pt idx="83">
                  <c:v>5.5315156528075031E-10</c:v>
                </c:pt>
                <c:pt idx="84">
                  <c:v>6.0614376505718802E-10</c:v>
                </c:pt>
                <c:pt idx="85">
                  <c:v>6.577581817544182E-10</c:v>
                </c:pt>
                <c:pt idx="86">
                  <c:v>7.0514999353574398E-10</c:v>
                </c:pt>
                <c:pt idx="87">
                  <c:v>7.4565642437963645E-10</c:v>
                </c:pt>
                <c:pt idx="88">
                  <c:v>7.7693417686817915E-10</c:v>
                </c:pt>
                <c:pt idx="89">
                  <c:v>7.9708730585669842E-10</c:v>
                </c:pt>
                <c:pt idx="90">
                  <c:v>8.0477868321311733E-10</c:v>
                </c:pt>
                <c:pt idx="91">
                  <c:v>7.9931831848672544E-10</c:v>
                </c:pt>
                <c:pt idx="92">
                  <c:v>7.8072225691428638E-10</c:v>
                </c:pt>
                <c:pt idx="93">
                  <c:v>7.4973663514489468E-10</c:v>
                </c:pt>
                <c:pt idx="94">
                  <c:v>7.0782278213695403E-10</c:v>
                </c:pt>
                <c:pt idx="95">
                  <c:v>6.5710102427065867E-10</c:v>
                </c:pt>
                <c:pt idx="96">
                  <c:v>6.002530583233671E-10</c:v>
                </c:pt>
                <c:pt idx="97">
                  <c:v>5.4038531522966333E-10</c:v>
                </c:pt>
                <c:pt idx="98">
                  <c:v>4.8085850866782171E-10</c:v>
                </c:pt>
                <c:pt idx="99">
                  <c:v>4.2509135625115831E-10</c:v>
                </c:pt>
                <c:pt idx="100">
                  <c:v>3.7634904536283842E-10</c:v>
                </c:pt>
                <c:pt idx="101">
                  <c:v>3.3752914106174625E-10</c:v>
                </c:pt>
                <c:pt idx="102">
                  <c:v>3.1095906053385097E-10</c:v>
                </c:pt>
                <c:pt idx="103">
                  <c:v>2.982197583461372E-10</c:v>
                </c:pt>
                <c:pt idx="104">
                  <c:v>3.000097373425548E-10</c:v>
                </c:pt>
                <c:pt idx="105">
                  <c:v>3.160618540208984E-10</c:v>
                </c:pt>
                <c:pt idx="106">
                  <c:v>3.4512264713178133E-10</c:v>
                </c:pt>
                <c:pt idx="107">
                  <c:v>3.8500019712524884E-10</c:v>
                </c:pt>
                <c:pt idx="108">
                  <c:v>4.3268201456710721E-10</c:v>
                </c:pt>
                <c:pt idx="109">
                  <c:v>4.8451941827023071E-10</c:v>
                </c:pt>
                <c:pt idx="110">
                  <c:v>5.3646961455462461E-10</c:v>
                </c:pt>
                <c:pt idx="111">
                  <c:v>5.8438157751611746E-10</c:v>
                </c:pt>
                <c:pt idx="112">
                  <c:v>6.2430723599151129E-10</c:v>
                </c:pt>
                <c:pt idx="113">
                  <c:v>6.528157856207407E-10</c:v>
                </c:pt>
                <c:pt idx="114">
                  <c:v>6.6728655270427161E-10</c:v>
                </c:pt>
                <c:pt idx="115">
                  <c:v>6.6615510609478813E-10</c:v>
                </c:pt>
                <c:pt idx="116">
                  <c:v>6.4908855435677914E-10</c:v>
                </c:pt>
                <c:pt idx="117">
                  <c:v>6.1706939199197199E-10</c:v>
                </c:pt>
                <c:pt idx="118">
                  <c:v>5.7237293378164827E-10</c:v>
                </c:pt>
                <c:pt idx="119">
                  <c:v>5.1843116158218706E-10</c:v>
                </c:pt>
                <c:pt idx="120">
                  <c:v>4.5958531558434668E-10</c:v>
                </c:pt>
                <c:pt idx="121">
                  <c:v>4.0074013964837514E-10</c:v>
                </c:pt>
                <c:pt idx="122">
                  <c:v>3.4694342479584231E-10</c:v>
                </c:pt>
                <c:pt idx="123">
                  <c:v>3.0292428621411671E-10</c:v>
                </c:pt>
                <c:pt idx="124">
                  <c:v>2.7263125751495458E-10</c:v>
                </c:pt>
                <c:pt idx="125">
                  <c:v>2.5881564015447831E-10</c:v>
                </c:pt>
                <c:pt idx="126">
                  <c:v>2.6270565687534821E-10</c:v>
                </c:pt>
                <c:pt idx="127">
                  <c:v>2.8381222858387148E-10</c:v>
                </c:pt>
                <c:pt idx="128">
                  <c:v>3.1989750418477127E-10</c:v>
                </c:pt>
                <c:pt idx="129">
                  <c:v>3.6712305768375227E-10</c:v>
                </c:pt>
                <c:pt idx="130">
                  <c:v>4.203769336969478E-10</c:v>
                </c:pt>
                <c:pt idx="131">
                  <c:v>4.7375901162833932E-10</c:v>
                </c:pt>
                <c:pt idx="132">
                  <c:v>5.2118443976575649E-10</c:v>
                </c:pt>
                <c:pt idx="133">
                  <c:v>5.5704741561937849E-10</c:v>
                </c:pt>
                <c:pt idx="134">
                  <c:v>5.7687468278472262E-10</c:v>
                </c:pt>
                <c:pt idx="135">
                  <c:v>5.7789194528214493E-10</c:v>
                </c:pt>
                <c:pt idx="136">
                  <c:v>5.5942868443562008E-10</c:v>
                </c:pt>
                <c:pt idx="137">
                  <c:v>5.2309858387265931E-10</c:v>
                </c:pt>
                <c:pt idx="138">
                  <c:v>4.7271387653578469E-10</c:v>
                </c:pt>
                <c:pt idx="139">
                  <c:v>4.1392112831091986E-10</c:v>
                </c:pt>
                <c:pt idx="140">
                  <c:v>3.535806209802477E-10</c:v>
                </c:pt>
                <c:pt idx="141">
                  <c:v>2.989476921624919E-10</c:v>
                </c:pt>
                <c:pt idx="142">
                  <c:v>2.5674729467919425E-10</c:v>
                </c:pt>
                <c:pt idx="143">
                  <c:v>2.3225744681449556E-10</c:v>
                </c:pt>
                <c:pt idx="144">
                  <c:v>2.2852833639694747E-10</c:v>
                </c:pt>
                <c:pt idx="145">
                  <c:v>2.4585801883556E-10</c:v>
                </c:pt>
                <c:pt idx="146">
                  <c:v>2.8162134826595349E-10</c:v>
                </c:pt>
                <c:pt idx="147">
                  <c:v>3.3050706464934752E-10</c:v>
                </c:pt>
                <c:pt idx="148">
                  <c:v>3.8516279169895294E-10</c:v>
                </c:pt>
                <c:pt idx="149">
                  <c:v>4.3719223618003575E-10</c:v>
                </c:pt>
                <c:pt idx="150">
                  <c:v>4.783727299178974E-10</c:v>
                </c:pt>
                <c:pt idx="151">
                  <c:v>5.018735182081472E-10</c:v>
                </c:pt>
                <c:pt idx="152">
                  <c:v>5.0344341195946324E-10</c:v>
                </c:pt>
                <c:pt idx="153">
                  <c:v>4.8218174555860541E-10</c:v>
                </c:pt>
                <c:pt idx="154">
                  <c:v>4.4083558019090952E-10</c:v>
                </c:pt>
                <c:pt idx="155">
                  <c:v>3.8551143075095107E-10</c:v>
                </c:pt>
                <c:pt idx="156">
                  <c:v>3.2480125391877631E-10</c:v>
                </c:pt>
                <c:pt idx="157">
                  <c:v>2.6842511000336255E-10</c:v>
                </c:pt>
                <c:pt idx="158">
                  <c:v>2.2558991581254554E-10</c:v>
                </c:pt>
                <c:pt idx="159">
                  <c:v>2.0333603495382586E-10</c:v>
                </c:pt>
                <c:pt idx="160">
                  <c:v>2.0517372552157209E-10</c:v>
                </c:pt>
                <c:pt idx="161">
                  <c:v>2.302877537515146E-10</c:v>
                </c:pt>
                <c:pt idx="162">
                  <c:v>2.7350776243452491E-10</c:v>
                </c:pt>
                <c:pt idx="163">
                  <c:v>3.2611237010738152E-10</c:v>
                </c:pt>
                <c:pt idx="164">
                  <c:v>3.7737600031270122E-10</c:v>
                </c:pt>
                <c:pt idx="165">
                  <c:v>4.1660791533049985E-10</c:v>
                </c:pt>
                <c:pt idx="166">
                  <c:v>4.3530639593065262E-10</c:v>
                </c:pt>
                <c:pt idx="167">
                  <c:v>4.2898923737006973E-10</c:v>
                </c:pt>
                <c:pt idx="168">
                  <c:v>3.9828731406301262E-10</c:v>
                </c:pt>
                <c:pt idx="169">
                  <c:v>3.4900749302427412E-10</c:v>
                </c:pt>
                <c:pt idx="170">
                  <c:v>2.9107075473562978E-10</c:v>
                </c:pt>
                <c:pt idx="171">
                  <c:v>2.3647613575257026E-10</c:v>
                </c:pt>
                <c:pt idx="172">
                  <c:v>1.9667976469842135E-10</c:v>
                </c:pt>
                <c:pt idx="173">
                  <c:v>1.7995280379039321E-10</c:v>
                </c:pt>
                <c:pt idx="174">
                  <c:v>1.8934113574123518E-10</c:v>
                </c:pt>
                <c:pt idx="175">
                  <c:v>2.2176270867024047E-10</c:v>
                </c:pt>
                <c:pt idx="176">
                  <c:v>2.6854770586948375E-10</c:v>
                </c:pt>
                <c:pt idx="177">
                  <c:v>3.1739204448118404E-10</c:v>
                </c:pt>
                <c:pt idx="178">
                  <c:v>3.5532972172722885E-10</c:v>
                </c:pt>
                <c:pt idx="179">
                  <c:v>3.720273510890864E-10</c:v>
                </c:pt>
                <c:pt idx="180">
                  <c:v>3.6255512198322643E-10</c:v>
                </c:pt>
                <c:pt idx="181">
                  <c:v>3.2885376846021673E-10</c:v>
                </c:pt>
                <c:pt idx="182">
                  <c:v>2.7940676434898604E-10</c:v>
                </c:pt>
                <c:pt idx="183">
                  <c:v>2.2708726778020081E-10</c:v>
                </c:pt>
                <c:pt idx="184">
                  <c:v>1.8566830785096997E-10</c:v>
                </c:pt>
                <c:pt idx="185">
                  <c:v>1.6591593919246311E-10</c:v>
                </c:pt>
                <c:pt idx="186">
                  <c:v>1.7238719684579406E-10</c:v>
                </c:pt>
                <c:pt idx="187">
                  <c:v>2.0193660720701584E-10</c:v>
                </c:pt>
                <c:pt idx="188">
                  <c:v>2.4449360402314161E-10</c:v>
                </c:pt>
                <c:pt idx="189">
                  <c:v>2.8600892456363963E-10</c:v>
                </c:pt>
                <c:pt idx="190">
                  <c:v>3.127689102362662E-10</c:v>
                </c:pt>
                <c:pt idx="191">
                  <c:v>3.1576917307568381E-10</c:v>
                </c:pt>
                <c:pt idx="192">
                  <c:v>2.9371697998785842E-10</c:v>
                </c:pt>
                <c:pt idx="193">
                  <c:v>2.5358265401657227E-10</c:v>
                </c:pt>
                <c:pt idx="194">
                  <c:v>2.0837776602420416E-10</c:v>
                </c:pt>
                <c:pt idx="195">
                  <c:v>1.7278062960168845E-10</c:v>
                </c:pt>
                <c:pt idx="196">
                  <c:v>1.5796501957931281E-10</c:v>
                </c:pt>
                <c:pt idx="197">
                  <c:v>1.6789270976182658E-10</c:v>
                </c:pt>
                <c:pt idx="198">
                  <c:v>1.9736882955103017E-10</c:v>
                </c:pt>
                <c:pt idx="199">
                  <c:v>2.3419970903873256E-10</c:v>
                </c:pt>
                <c:pt idx="200">
                  <c:v>2.6364296965999664E-10</c:v>
                </c:pt>
                <c:pt idx="201">
                  <c:v>2.7402280312604774E-10</c:v>
                </c:pt>
                <c:pt idx="202">
                  <c:v>2.6127073570460163E-10</c:v>
                </c:pt>
                <c:pt idx="203">
                  <c:v>2.3053435407967057E-10</c:v>
                </c:pt>
                <c:pt idx="204">
                  <c:v>1.9408762484089971E-10</c:v>
                </c:pt>
                <c:pt idx="205">
                  <c:v>1.6627418244118932E-10</c:v>
                </c:pt>
                <c:pt idx="206">
                  <c:v>1.57513666539209E-10</c:v>
                </c:pt>
                <c:pt idx="207">
                  <c:v>1.6991264470950713E-10</c:v>
                </c:pt>
                <c:pt idx="208">
                  <c:v>1.9644441928569011E-10</c:v>
                </c:pt>
                <c:pt idx="209">
                  <c:v>2.2415951846378934E-10</c:v>
                </c:pt>
                <c:pt idx="210">
                  <c:v>2.4007412926852798E-10</c:v>
                </c:pt>
                <c:pt idx="211">
                  <c:v>2.3761685205271247E-10</c:v>
                </c:pt>
                <c:pt idx="212">
                  <c:v>2.2211401503773254E-10</c:v>
                </c:pt>
                <c:pt idx="213">
                  <c:v>2.0756616663192218E-10</c:v>
                </c:pt>
                <c:pt idx="214">
                  <c:v>1.7894100798413542E-10</c:v>
                </c:pt>
                <c:pt idx="215">
                  <c:v>1.9580668024220936E-10</c:v>
                </c:pt>
                <c:pt idx="216">
                  <c:v>2.128960779712607E-10</c:v>
                </c:pt>
                <c:pt idx="217">
                  <c:v>2.225055712695147E-10</c:v>
                </c:pt>
                <c:pt idx="218">
                  <c:v>2.2640702046801319E-10</c:v>
                </c:pt>
                <c:pt idx="219">
                  <c:v>2.0751570004717661E-10</c:v>
                </c:pt>
                <c:pt idx="220">
                  <c:v>2.0981309364768714E-10</c:v>
                </c:pt>
                <c:pt idx="221">
                  <c:v>2.0545074649765435E-10</c:v>
                </c:pt>
                <c:pt idx="222">
                  <c:v>1.9764257825004747E-10</c:v>
                </c:pt>
                <c:pt idx="223">
                  <c:v>1.934963860131553E-10</c:v>
                </c:pt>
                <c:pt idx="224">
                  <c:v>2.0709271594537733E-10</c:v>
                </c:pt>
                <c:pt idx="225">
                  <c:v>2.0482272431109505E-10</c:v>
                </c:pt>
                <c:pt idx="226">
                  <c:v>2.1230135555422905E-10</c:v>
                </c:pt>
                <c:pt idx="227">
                  <c:v>2.1895484426126322E-10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1010</c:v>
                </c:pt>
                <c:pt idx="1">
                  <c:v>1014</c:v>
                </c:pt>
                <c:pt idx="2">
                  <c:v>1018</c:v>
                </c:pt>
                <c:pt idx="3">
                  <c:v>1022</c:v>
                </c:pt>
                <c:pt idx="4">
                  <c:v>1026</c:v>
                </c:pt>
                <c:pt idx="5">
                  <c:v>1030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3.1133182972792426</c:v>
                </c:pt>
                <c:pt idx="1">
                  <c:v>2.6897443460419121</c:v>
                </c:pt>
                <c:pt idx="2">
                  <c:v>2.4414850207230376</c:v>
                </c:pt>
                <c:pt idx="3">
                  <c:v>2.3743067516632035</c:v>
                </c:pt>
                <c:pt idx="4">
                  <c:v>2.4913427665123606</c:v>
                </c:pt>
                <c:pt idx="5">
                  <c:v>2.7929933990084259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density!$B$3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density!$A$4:$A$23</c:f>
              <c:numCache>
                <c:formatCode>0.00</c:formatCode>
                <c:ptCount val="20"/>
                <c:pt idx="0">
                  <c:v>1.22</c:v>
                </c:pt>
                <c:pt idx="1">
                  <c:v>1.24</c:v>
                </c:pt>
                <c:pt idx="2">
                  <c:v>1.26</c:v>
                </c:pt>
                <c:pt idx="3">
                  <c:v>1.28</c:v>
                </c:pt>
                <c:pt idx="4">
                  <c:v>1.3</c:v>
                </c:pt>
                <c:pt idx="5">
                  <c:v>1.32</c:v>
                </c:pt>
              </c:numCache>
            </c:numRef>
          </c:xVal>
          <c:yVal>
            <c:numRef>
              <c:f>density!$B$4:$B$23</c:f>
              <c:numCache>
                <c:formatCode>0.00</c:formatCode>
                <c:ptCount val="20"/>
                <c:pt idx="0">
                  <c:v>3.3952296808265787</c:v>
                </c:pt>
                <c:pt idx="1">
                  <c:v>2.7693870712482234</c:v>
                </c:pt>
                <c:pt idx="2">
                  <c:v>2.4234943858619484</c:v>
                </c:pt>
                <c:pt idx="3">
                  <c:v>2.4120092660719554</c:v>
                </c:pt>
                <c:pt idx="4">
                  <c:v>2.789353656829173</c:v>
                </c:pt>
                <c:pt idx="5">
                  <c:v>3.6078480801056614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C4-4134-887F-ACC8836AA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f_PEO!$B$3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f_PEO!$A$4:$A$23</c:f>
              <c:numCache>
                <c:formatCode>0.00</c:formatCode>
                <c:ptCount val="20"/>
                <c:pt idx="0">
                  <c:v>0.24</c:v>
                </c:pt>
                <c:pt idx="1">
                  <c:v>0.252</c:v>
                </c:pt>
                <c:pt idx="2">
                  <c:v>0.26400000000000001</c:v>
                </c:pt>
                <c:pt idx="3">
                  <c:v>0.27599999999999997</c:v>
                </c:pt>
                <c:pt idx="4">
                  <c:v>0.28799999999999998</c:v>
                </c:pt>
                <c:pt idx="5">
                  <c:v>0.3</c:v>
                </c:pt>
              </c:numCache>
            </c:numRef>
          </c:xVal>
          <c:yVal>
            <c:numRef>
              <c:f>f_PEO!$B$4:$B$23</c:f>
              <c:numCache>
                <c:formatCode>0.00</c:formatCode>
                <c:ptCount val="20"/>
                <c:pt idx="0">
                  <c:v>2.7184197696728774</c:v>
                </c:pt>
                <c:pt idx="1">
                  <c:v>2.470924046749424</c:v>
                </c:pt>
                <c:pt idx="2">
                  <c:v>2.3745286488799215</c:v>
                </c:pt>
                <c:pt idx="3">
                  <c:v>2.4168236745361731</c:v>
                </c:pt>
                <c:pt idx="4">
                  <c:v>2.5852795615509367</c:v>
                </c:pt>
                <c:pt idx="5">
                  <c:v>2.8672823240845973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9-4338-9736-E89776945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35</c:v>
                </c:pt>
                <c:pt idx="1">
                  <c:v>38</c:v>
                </c:pt>
                <c:pt idx="2">
                  <c:v>41</c:v>
                </c:pt>
                <c:pt idx="3">
                  <c:v>44</c:v>
                </c:pt>
                <c:pt idx="4">
                  <c:v>47</c:v>
                </c:pt>
                <c:pt idx="5">
                  <c:v>50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3.548853161285471</c:v>
                </c:pt>
                <c:pt idx="1">
                  <c:v>2.7894491442070359</c:v>
                </c:pt>
                <c:pt idx="2">
                  <c:v>2.4200459073850564</c:v>
                </c:pt>
                <c:pt idx="3">
                  <c:v>2.4099078250153245</c:v>
                </c:pt>
                <c:pt idx="4">
                  <c:v>2.7206104457999079</c:v>
                </c:pt>
                <c:pt idx="5">
                  <c:v>3.3103637825852039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dSiOx!$A$4:$A$23</c:f>
              <c:numCache>
                <c:formatCode>0.0</c:formatCode>
                <c:ptCount val="20"/>
                <c:pt idx="0">
                  <c:v>7</c:v>
                </c:pt>
                <c:pt idx="1">
                  <c:v>8.1999999999999993</c:v>
                </c:pt>
                <c:pt idx="2">
                  <c:v>9.4</c:v>
                </c:pt>
                <c:pt idx="3">
                  <c:v>10.6</c:v>
                </c:pt>
                <c:pt idx="4">
                  <c:v>11.8</c:v>
                </c:pt>
                <c:pt idx="5">
                  <c:v>13</c:v>
                </c:pt>
              </c:numCache>
            </c:numRef>
          </c:xVal>
          <c:yVal>
            <c:numRef>
              <c:f>dSiOx!$B$4:$B$23</c:f>
              <c:numCache>
                <c:formatCode>0.00</c:formatCode>
                <c:ptCount val="20"/>
                <c:pt idx="0">
                  <c:v>2.576923912982743</c:v>
                </c:pt>
                <c:pt idx="1">
                  <c:v>2.4141118688907377</c:v>
                </c:pt>
                <c:pt idx="2">
                  <c:v>2.3710315948653671</c:v>
                </c:pt>
                <c:pt idx="3">
                  <c:v>2.4772321147662408</c:v>
                </c:pt>
                <c:pt idx="4">
                  <c:v>2.7701587958688383</c:v>
                </c:pt>
                <c:pt idx="5">
                  <c:v>3.2941288776478443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D-4B3E-9196-574E9C927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NbBPEI!$B$3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NbBPEI!$A$4:$A$23</c:f>
              <c:numCache>
                <c:formatCode>0.00E+00</c:formatCode>
                <c:ptCount val="20"/>
                <c:pt idx="0">
                  <c:v>4.9999999999999998E-7</c:v>
                </c:pt>
                <c:pt idx="1">
                  <c:v>5.9999999999999997E-7</c:v>
                </c:pt>
                <c:pt idx="2">
                  <c:v>6.9999999999999997E-7</c:v>
                </c:pt>
                <c:pt idx="3">
                  <c:v>7.9999999999999996E-7</c:v>
                </c:pt>
                <c:pt idx="4">
                  <c:v>8.9999999999999996E-7</c:v>
                </c:pt>
                <c:pt idx="5">
                  <c:v>9.9999999999999995E-7</c:v>
                </c:pt>
              </c:numCache>
            </c:numRef>
          </c:xVal>
          <c:yVal>
            <c:numRef>
              <c:f>NbBPEI!$B$4:$B$23</c:f>
              <c:numCache>
                <c:formatCode>0.00</c:formatCode>
                <c:ptCount val="20"/>
                <c:pt idx="0">
                  <c:v>2.6771165046076133</c:v>
                </c:pt>
                <c:pt idx="1">
                  <c:v>2.5334309273574727</c:v>
                </c:pt>
                <c:pt idx="2">
                  <c:v>2.4569621134092543</c:v>
                </c:pt>
                <c:pt idx="3">
                  <c:v>2.4431062464326199</c:v>
                </c:pt>
                <c:pt idx="4">
                  <c:v>2.4885307709594779</c:v>
                </c:pt>
                <c:pt idx="5">
                  <c:v>2.5911751986669498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4-42E6-8969-6C0A31741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2.03E-6</c:v>
                </c:pt>
                <c:pt idx="2">
                  <c:v>2.0600000000000002E-6</c:v>
                </c:pt>
                <c:pt idx="3">
                  <c:v>2.0899999999999999E-6</c:v>
                </c:pt>
                <c:pt idx="4">
                  <c:v>2.12E-6</c:v>
                </c:pt>
                <c:pt idx="5">
                  <c:v>2.1500000000000002E-6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5.068628200683829</c:v>
                </c:pt>
                <c:pt idx="1">
                  <c:v>3.3993415831575886</c:v>
                </c:pt>
                <c:pt idx="2">
                  <c:v>2.5977637167554284</c:v>
                </c:pt>
                <c:pt idx="3">
                  <c:v>2.3264986744787186</c:v>
                </c:pt>
                <c:pt idx="4">
                  <c:v>3.0679711870838964</c:v>
                </c:pt>
                <c:pt idx="5">
                  <c:v>5.0849137405439482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9A-42E2-ABCF-CF76CA48B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NbD!$A$4:$A$23</c:f>
              <c:numCache>
                <c:formatCode>0.00E+00</c:formatCode>
                <c:ptCount val="20"/>
                <c:pt idx="0">
                  <c:v>1.64E-6</c:v>
                </c:pt>
                <c:pt idx="1">
                  <c:v>1.68E-6</c:v>
                </c:pt>
                <c:pt idx="2">
                  <c:v>1.72E-6</c:v>
                </c:pt>
                <c:pt idx="3">
                  <c:v>1.7599999999999999E-6</c:v>
                </c:pt>
                <c:pt idx="4">
                  <c:v>1.7999999999999999E-6</c:v>
                </c:pt>
                <c:pt idx="5">
                  <c:v>1.84E-6</c:v>
                </c:pt>
              </c:numCache>
            </c:numRef>
          </c:xVal>
          <c:yVal>
            <c:numRef>
              <c:f>NbD!$B$4:$B$23</c:f>
              <c:numCache>
                <c:formatCode>0.00</c:formatCode>
                <c:ptCount val="20"/>
                <c:pt idx="0">
                  <c:v>4.7968472978136703</c:v>
                </c:pt>
                <c:pt idx="1">
                  <c:v>3.4091215859764663</c:v>
                </c:pt>
                <c:pt idx="2">
                  <c:v>2.5639315908002414</c:v>
                </c:pt>
                <c:pt idx="3">
                  <c:v>2.3865164133809968</c:v>
                </c:pt>
                <c:pt idx="4">
                  <c:v>3.0139091229564943</c:v>
                </c:pt>
                <c:pt idx="5">
                  <c:v>4.5954459349770698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5-4DE8-BE7D-62AACBD9C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631919</xdr:colOff>
      <xdr:row>2</xdr:row>
      <xdr:rowOff>221005</xdr:rowOff>
    </xdr:from>
    <xdr:to>
      <xdr:col>17</xdr:col>
      <xdr:colOff>314184</xdr:colOff>
      <xdr:row>23</xdr:row>
      <xdr:rowOff>169644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176155</xdr:colOff>
      <xdr:row>30</xdr:row>
      <xdr:rowOff>180294</xdr:rowOff>
    </xdr:from>
    <xdr:to>
      <xdr:col>19</xdr:col>
      <xdr:colOff>183777</xdr:colOff>
      <xdr:row>51</xdr:row>
      <xdr:rowOff>22412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6350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C10" sqref="C10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9.83203125" style="50" customWidth="1"/>
    <col min="10" max="10" width="9.83203125" style="51" customWidth="1"/>
    <col min="11" max="11" width="9.83203125" style="52" customWidth="1"/>
    <col min="12" max="12" width="8.58203125" style="156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8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9" bestFit="1" customWidth="1"/>
  </cols>
  <sheetData>
    <row r="1" spans="1:36" ht="18" x14ac:dyDescent="0.35">
      <c r="A1" s="87" t="s">
        <v>525</v>
      </c>
      <c r="B1" s="190" t="s">
        <v>491</v>
      </c>
      <c r="C1" s="190"/>
      <c r="D1" s="190"/>
      <c r="E1" s="190"/>
      <c r="F1" s="190"/>
      <c r="G1" s="190"/>
      <c r="H1" s="190"/>
      <c r="I1" s="191" t="s">
        <v>507</v>
      </c>
      <c r="J1" s="191"/>
      <c r="K1" s="191"/>
      <c r="L1" s="66" t="s">
        <v>505</v>
      </c>
      <c r="M1" s="192" t="s">
        <v>489</v>
      </c>
      <c r="N1" s="192"/>
      <c r="O1" s="192"/>
      <c r="P1" s="192"/>
      <c r="Q1" s="192"/>
      <c r="R1" s="189" t="s">
        <v>490</v>
      </c>
      <c r="S1" s="189"/>
      <c r="T1" s="70"/>
      <c r="U1" s="188" t="s">
        <v>593</v>
      </c>
      <c r="V1" s="188"/>
      <c r="W1" s="188"/>
      <c r="X1" s="124" t="s">
        <v>594</v>
      </c>
      <c r="Y1" s="137" t="s">
        <v>536</v>
      </c>
      <c r="AA1" s="187"/>
      <c r="AB1" s="187"/>
      <c r="AC1" s="187"/>
      <c r="AD1" s="187"/>
      <c r="AE1" s="187"/>
      <c r="AF1" s="187"/>
      <c r="AG1" s="70"/>
      <c r="AH1" s="185"/>
      <c r="AI1" s="185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SUM(Y3:Y230)/227</f>
        <v>2.3698110079834249</v>
      </c>
      <c r="AA2" s="177"/>
      <c r="AB2" s="178"/>
      <c r="AC2" s="179"/>
      <c r="AD2" s="180"/>
      <c r="AE2" s="180"/>
      <c r="AF2" s="180"/>
      <c r="AG2" s="72"/>
      <c r="AH2" s="181"/>
      <c r="AI2" s="180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614</v>
      </c>
      <c r="I3" s="109">
        <v>8.3469176538099998E-3</v>
      </c>
      <c r="J3" s="109">
        <v>4.0860086660178732E-9</v>
      </c>
      <c r="K3" s="109">
        <v>6.5564636208744045E-10</v>
      </c>
      <c r="L3" s="156">
        <v>4.8233597336540327E-9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4.8229101971499565E-9</v>
      </c>
      <c r="V3" s="127">
        <v>4.8233597336540327E-9</v>
      </c>
      <c r="W3" s="128">
        <v>4.8238143055077137E-9</v>
      </c>
      <c r="X3" s="128">
        <f t="shared" ref="X3:X66" si="0">(U3+2*V3+W3)/4</f>
        <v>4.8233609924914339E-9</v>
      </c>
      <c r="Y3" s="139">
        <f t="shared" ref="Y3:Y66" si="1">(J3-X3)*(J3-X3)/(K3*K3)</f>
        <v>1.2647677935790167</v>
      </c>
      <c r="AA3" s="73"/>
      <c r="AB3" s="182"/>
      <c r="AC3" s="182"/>
      <c r="AD3" s="182"/>
      <c r="AJ3" s="135"/>
    </row>
    <row r="4" spans="1:36" ht="18.5" x14ac:dyDescent="0.35">
      <c r="A4" s="88" t="s">
        <v>528</v>
      </c>
      <c r="B4" s="21" t="s">
        <v>606</v>
      </c>
      <c r="C4" s="161">
        <f>C5</f>
        <v>1.7436837362860377E-6</v>
      </c>
      <c r="D4" s="19">
        <v>9.9999999999999994E-12</v>
      </c>
      <c r="E4" s="19">
        <v>5.0000000000000001E-9</v>
      </c>
      <c r="F4" s="153">
        <f>H4*H8</f>
        <v>200</v>
      </c>
      <c r="G4" s="107">
        <v>42.857254117462226</v>
      </c>
      <c r="H4" s="153">
        <v>200</v>
      </c>
      <c r="I4" s="109">
        <v>8.4303868303500003E-3</v>
      </c>
      <c r="J4" s="109">
        <v>4.828296042832659E-9</v>
      </c>
      <c r="K4" s="109">
        <v>5.2795894948445346E-10</v>
      </c>
      <c r="L4" s="156">
        <v>5.0169431612287498E-9</v>
      </c>
      <c r="M4" s="27"/>
      <c r="N4" s="18">
        <v>6.8213025990488656E-9</v>
      </c>
      <c r="O4" s="18">
        <v>3.9120658998460512E-14</v>
      </c>
      <c r="P4" s="18">
        <v>1.9560329499230255E-11</v>
      </c>
      <c r="Q4" s="28">
        <v>14.752166195395633</v>
      </c>
      <c r="R4" s="60">
        <v>100</v>
      </c>
      <c r="S4" s="57">
        <v>0</v>
      </c>
      <c r="U4" s="127">
        <v>5.0164879972997103E-9</v>
      </c>
      <c r="V4" s="127">
        <v>5.0169431612287498E-9</v>
      </c>
      <c r="W4" s="128">
        <v>5.0174064883186804E-9</v>
      </c>
      <c r="X4" s="128">
        <f t="shared" si="0"/>
        <v>5.0169452020189728E-9</v>
      </c>
      <c r="Y4" s="139">
        <f t="shared" si="1"/>
        <v>0.12767604926962853</v>
      </c>
      <c r="AA4" s="73"/>
      <c r="AB4" s="182"/>
      <c r="AC4" s="182"/>
      <c r="AD4" s="182"/>
      <c r="AJ4" s="135"/>
    </row>
    <row r="5" spans="1:36" x14ac:dyDescent="0.35">
      <c r="A5" s="89"/>
      <c r="B5" s="100" t="s">
        <v>603</v>
      </c>
      <c r="C5" s="161">
        <f>H14*(H16*D16+(1-H16)*C16)</f>
        <v>1.7436837362860377E-6</v>
      </c>
      <c r="D5" s="101">
        <v>1.5392483148537927E-10</v>
      </c>
      <c r="E5" s="101">
        <v>5.0509225500401457E-8</v>
      </c>
      <c r="F5" s="153">
        <f>(H10-H4)*H8</f>
        <v>821.42409881512742</v>
      </c>
      <c r="G5" s="153">
        <v>55.42680874121109</v>
      </c>
      <c r="H5" s="111" t="s">
        <v>599</v>
      </c>
      <c r="I5" s="109">
        <v>8.5146906986500008E-3</v>
      </c>
      <c r="J5" s="109">
        <v>5.6642227523248814E-9</v>
      </c>
      <c r="K5" s="109">
        <v>4.7795710697209515E-10</v>
      </c>
      <c r="L5" s="156">
        <v>5.2179590131221585E-9</v>
      </c>
      <c r="M5" s="27"/>
      <c r="N5" s="18">
        <v>5.6189042343969837E-8</v>
      </c>
      <c r="O5" s="18">
        <v>3.2224818252381934E-13</v>
      </c>
      <c r="P5" s="18">
        <v>1.6112409126190968E-10</v>
      </c>
      <c r="Q5" s="28">
        <v>10.98507602120227</v>
      </c>
      <c r="R5" s="60">
        <v>100</v>
      </c>
      <c r="S5" s="57">
        <v>6.8213025990488656E-9</v>
      </c>
      <c r="U5" s="127">
        <v>5.217507149081641E-9</v>
      </c>
      <c r="V5" s="127">
        <v>5.2179590131221585E-9</v>
      </c>
      <c r="W5" s="128">
        <v>5.2184229262123064E-9</v>
      </c>
      <c r="X5" s="128">
        <f t="shared" si="0"/>
        <v>5.2179620253845661E-9</v>
      </c>
      <c r="Y5" s="139">
        <f t="shared" si="1"/>
        <v>0.87176512217361168</v>
      </c>
      <c r="AA5" s="73"/>
      <c r="AB5" s="182"/>
      <c r="AC5" s="182"/>
      <c r="AD5" s="182"/>
      <c r="AJ5" s="135"/>
    </row>
    <row r="6" spans="1:36" x14ac:dyDescent="0.35">
      <c r="B6" s="100" t="s">
        <v>604</v>
      </c>
      <c r="C6" s="152">
        <v>7.7690809690198375E-7</v>
      </c>
      <c r="D6" s="101">
        <v>1.5392483148537927E-10</v>
      </c>
      <c r="E6" s="101">
        <v>5.0509225500401457E-8</v>
      </c>
      <c r="F6" s="153">
        <v>10</v>
      </c>
      <c r="G6" s="102">
        <f>F6</f>
        <v>10</v>
      </c>
      <c r="H6" s="154">
        <v>0.03</v>
      </c>
      <c r="I6" s="109">
        <v>8.5998376056400008E-3</v>
      </c>
      <c r="J6" s="109">
        <v>5.6885403997093962E-9</v>
      </c>
      <c r="K6" s="109">
        <v>4.3332721297246327E-10</v>
      </c>
      <c r="L6" s="156">
        <v>5.4265972405476345E-9</v>
      </c>
      <c r="M6" s="27"/>
      <c r="N6" s="18">
        <v>1.2760689077061288E-7</v>
      </c>
      <c r="O6" s="18">
        <v>7.318346587332186E-13</v>
      </c>
      <c r="P6" s="18">
        <v>3.6591732936660931E-10</v>
      </c>
      <c r="Q6" s="28">
        <v>6.1129631955799644</v>
      </c>
      <c r="R6" s="60">
        <v>114.75216619539563</v>
      </c>
      <c r="S6" s="57">
        <v>6.8213025990488656E-9</v>
      </c>
      <c r="U6" s="127">
        <v>5.4261622962791163E-9</v>
      </c>
      <c r="V6" s="127">
        <v>5.4265972405476345E-9</v>
      </c>
      <c r="W6" s="128">
        <v>5.4270490204193838E-9</v>
      </c>
      <c r="X6" s="128">
        <f t="shared" si="0"/>
        <v>5.4266014494484417E-9</v>
      </c>
      <c r="Y6" s="139">
        <f t="shared" si="1"/>
        <v>0.36539974355135535</v>
      </c>
      <c r="AA6" s="73"/>
      <c r="AB6" s="182"/>
      <c r="AC6" s="182"/>
      <c r="AD6" s="182"/>
      <c r="AJ6" s="135"/>
    </row>
    <row r="7" spans="1:36" ht="18.5" x14ac:dyDescent="0.35">
      <c r="A7" s="68" t="s">
        <v>529</v>
      </c>
      <c r="B7" s="141" t="s">
        <v>504</v>
      </c>
      <c r="C7" s="155">
        <v>3.1999999999999999E-6</v>
      </c>
      <c r="D7" s="142">
        <v>2.5307649463664093E-11</v>
      </c>
      <c r="E7" s="142">
        <v>1.486857631694136E-12</v>
      </c>
      <c r="F7" s="167">
        <v>9.0435306927564199</v>
      </c>
      <c r="G7" s="102">
        <v>5</v>
      </c>
      <c r="H7" s="134" t="s">
        <v>600</v>
      </c>
      <c r="I7" s="109">
        <v>8.6858359817000002E-3</v>
      </c>
      <c r="J7" s="109">
        <v>5.3016030337155287E-9</v>
      </c>
      <c r="K7" s="109">
        <v>4.0050816133515664E-10</v>
      </c>
      <c r="L7" s="156">
        <v>5.6430241874336176E-9</v>
      </c>
      <c r="M7" s="27"/>
      <c r="N7" s="18">
        <v>2.084199225866566E-7</v>
      </c>
      <c r="O7" s="18">
        <v>1.1953031846344163E-12</v>
      </c>
      <c r="P7" s="18">
        <v>5.9765159231720819E-10</v>
      </c>
      <c r="Q7" s="28">
        <v>4.4787777117798369</v>
      </c>
      <c r="R7" s="60">
        <v>114.75216619539563</v>
      </c>
      <c r="S7" s="57">
        <v>5.6189042343969837E-8</v>
      </c>
      <c r="U7" s="127">
        <v>5.6426268048902543E-9</v>
      </c>
      <c r="V7" s="127">
        <v>5.6430241874336176E-9</v>
      </c>
      <c r="W7" s="128">
        <v>5.6434442175837635E-9</v>
      </c>
      <c r="X7" s="128">
        <f t="shared" si="0"/>
        <v>5.6430298493353133E-9</v>
      </c>
      <c r="Y7" s="139">
        <f t="shared" si="1"/>
        <v>0.72672903927129529</v>
      </c>
      <c r="AA7" s="73"/>
      <c r="AB7" s="182"/>
      <c r="AC7" s="182"/>
      <c r="AD7" s="182"/>
      <c r="AJ7" s="135"/>
    </row>
    <row r="8" spans="1:36" x14ac:dyDescent="0.35">
      <c r="A8" s="90" t="b">
        <v>1</v>
      </c>
      <c r="B8" s="141" t="s">
        <v>52</v>
      </c>
      <c r="C8" s="183">
        <v>2.0761549145842717E-6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4">
        <v>1</v>
      </c>
      <c r="I8" s="109">
        <v>8.7726943415100001E-3</v>
      </c>
      <c r="J8" s="109">
        <v>5.4328271419158969E-9</v>
      </c>
      <c r="K8" s="109">
        <v>4.0485149820940421E-10</v>
      </c>
      <c r="L8" s="156">
        <v>5.867362960537039E-9</v>
      </c>
      <c r="M8" s="27"/>
      <c r="N8" s="18">
        <v>2.9370597067559956E-7</v>
      </c>
      <c r="O8" s="18">
        <v>1.6844247792517059E-12</v>
      </c>
      <c r="P8" s="18">
        <v>8.422123896258529E-10</v>
      </c>
      <c r="Q8" s="28">
        <v>3.6447679879371622</v>
      </c>
      <c r="R8" s="60">
        <v>125.73724221659791</v>
      </c>
      <c r="S8" s="57">
        <v>5.6189042343969837E-8</v>
      </c>
      <c r="U8" s="127">
        <v>5.8670344922811897E-9</v>
      </c>
      <c r="V8" s="127">
        <v>5.867362960537039E-9</v>
      </c>
      <c r="W8" s="128">
        <v>5.8677209739106627E-9</v>
      </c>
      <c r="X8" s="128">
        <f t="shared" si="0"/>
        <v>5.8673703468164832E-9</v>
      </c>
      <c r="Y8" s="139">
        <f t="shared" si="1"/>
        <v>1.1520582137622439</v>
      </c>
      <c r="AA8" s="73"/>
      <c r="AB8" s="182"/>
      <c r="AC8" s="182"/>
      <c r="AD8" s="182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621</v>
      </c>
      <c r="I9" s="109">
        <v>8.86042128493E-3</v>
      </c>
      <c r="J9" s="109">
        <v>6.072619140260535E-9</v>
      </c>
      <c r="K9" s="109">
        <v>4.1786962876308636E-10</v>
      </c>
      <c r="L9" s="156">
        <v>6.099665017580067E-9</v>
      </c>
      <c r="M9" s="27"/>
      <c r="N9" s="18">
        <v>3.8121170600250066E-7</v>
      </c>
      <c r="O9" s="18">
        <v>2.1862764391693533E-12</v>
      </c>
      <c r="P9" s="18">
        <v>1.0931382195846767E-9</v>
      </c>
      <c r="Q9" s="28">
        <v>3.1472773927422746</v>
      </c>
      <c r="R9" s="60">
        <v>125.73724221659791</v>
      </c>
      <c r="S9" s="57">
        <v>1.2760689077061288E-7</v>
      </c>
      <c r="U9" s="127">
        <v>6.0994535358772827E-9</v>
      </c>
      <c r="V9" s="127">
        <v>6.099665017580067E-9</v>
      </c>
      <c r="W9" s="128">
        <v>6.0999139093206834E-9</v>
      </c>
      <c r="X9" s="128">
        <f t="shared" si="0"/>
        <v>6.0996743700895251E-9</v>
      </c>
      <c r="Y9" s="139">
        <f t="shared" si="1"/>
        <v>4.1919958160170009E-3</v>
      </c>
      <c r="AA9" s="73"/>
      <c r="AB9" s="182"/>
      <c r="AC9" s="182"/>
      <c r="AD9" s="182"/>
      <c r="AJ9" s="135"/>
    </row>
    <row r="10" spans="1:36" x14ac:dyDescent="0.35">
      <c r="A10" s="69">
        <v>3.063243126976972</v>
      </c>
      <c r="B10" s="100"/>
      <c r="C10" s="161">
        <f>H19*(H21*D21+(1-H21)*C21)</f>
        <v>0</v>
      </c>
      <c r="D10" s="101"/>
      <c r="E10" s="101"/>
      <c r="F10" s="102"/>
      <c r="G10" s="102"/>
      <c r="H10" s="107">
        <v>1021.4240988151274</v>
      </c>
      <c r="I10" s="109">
        <v>8.9490254977800006E-3</v>
      </c>
      <c r="J10" s="109">
        <v>6.4101690854062718E-9</v>
      </c>
      <c r="K10" s="109">
        <v>4.1838199018499091E-10</v>
      </c>
      <c r="L10" s="156">
        <v>6.3398689072310917E-9</v>
      </c>
      <c r="M10" s="27"/>
      <c r="N10" s="18">
        <v>4.6981381802826801E-7</v>
      </c>
      <c r="O10" s="18">
        <v>2.694415897985731E-12</v>
      </c>
      <c r="P10" s="18">
        <v>1.3472079489928657E-9</v>
      </c>
      <c r="Q10" s="28">
        <v>2.8273346229875154</v>
      </c>
      <c r="R10" s="60">
        <v>131.85020541217787</v>
      </c>
      <c r="S10" s="57">
        <v>1.2760689077061288E-7</v>
      </c>
      <c r="U10" s="127">
        <v>6.3398492541764754E-9</v>
      </c>
      <c r="V10" s="127">
        <v>6.3398689072310917E-9</v>
      </c>
      <c r="W10" s="128">
        <v>6.3399342392573199E-9</v>
      </c>
      <c r="X10" s="128">
        <f t="shared" si="0"/>
        <v>6.3398803269739949E-9</v>
      </c>
      <c r="Y10" s="139">
        <f t="shared" si="1"/>
        <v>2.822446907396272E-2</v>
      </c>
      <c r="AA10" s="73"/>
      <c r="AB10" s="182"/>
      <c r="AC10" s="182"/>
      <c r="AD10" s="182"/>
      <c r="AJ10" s="135"/>
    </row>
    <row r="11" spans="1:36" x14ac:dyDescent="0.35">
      <c r="B11" s="100"/>
      <c r="C11" s="142"/>
      <c r="D11" s="101"/>
      <c r="E11" s="101"/>
      <c r="F11" s="143"/>
      <c r="G11" s="147"/>
      <c r="H11" s="147"/>
      <c r="I11" s="109">
        <v>9.0385157527600006E-3</v>
      </c>
      <c r="J11" s="109">
        <v>6.5955140544513655E-9</v>
      </c>
      <c r="K11" s="109">
        <v>4.0767261598895126E-10</v>
      </c>
      <c r="L11" s="156">
        <v>6.5877324472962608E-9</v>
      </c>
      <c r="M11" s="27"/>
      <c r="N11" s="18">
        <v>5.5893209529473021E-7</v>
      </c>
      <c r="O11" s="18">
        <v>3.2055156014291243E-12</v>
      </c>
      <c r="P11" s="18">
        <v>1.6027578007145623E-9</v>
      </c>
      <c r="Q11" s="28">
        <v>2.6152855865972144</v>
      </c>
      <c r="R11" s="60">
        <v>131.85020541217787</v>
      </c>
      <c r="S11" s="57">
        <v>2.084199225866566E-7</v>
      </c>
      <c r="U11" s="127">
        <v>6.5880236466506556E-9</v>
      </c>
      <c r="V11" s="127">
        <v>6.5877324472962608E-9</v>
      </c>
      <c r="W11" s="128">
        <v>6.5874939711955023E-9</v>
      </c>
      <c r="X11" s="128">
        <f t="shared" si="0"/>
        <v>6.5877456281096701E-9</v>
      </c>
      <c r="Y11" s="139">
        <f t="shared" si="1"/>
        <v>3.6311402544810683E-4</v>
      </c>
      <c r="AA11" s="73"/>
      <c r="AB11" s="182"/>
      <c r="AC11" s="182"/>
      <c r="AD11" s="182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9.1289009102799995E-3</v>
      </c>
      <c r="J12" s="109">
        <v>7.6419845057960793E-9</v>
      </c>
      <c r="K12" s="109">
        <v>4.4943797301686667E-10</v>
      </c>
      <c r="L12" s="156">
        <v>6.8427154309848423E-9</v>
      </c>
      <c r="M12" s="27"/>
      <c r="N12" s="18">
        <v>6.4826920373671833E-7</v>
      </c>
      <c r="O12" s="18">
        <v>3.7178703173384912E-12</v>
      </c>
      <c r="P12" s="18">
        <v>1.8589351586692456E-9</v>
      </c>
      <c r="Q12" s="28">
        <v>2.4762534245471439</v>
      </c>
      <c r="R12" s="60">
        <v>136.3289831239577</v>
      </c>
      <c r="S12" s="57">
        <v>2.084199225866566E-7</v>
      </c>
      <c r="U12" s="127">
        <v>6.8435121819607178E-9</v>
      </c>
      <c r="V12" s="127">
        <v>6.8427154309848423E-9</v>
      </c>
      <c r="W12" s="128">
        <v>6.8419730447570355E-9</v>
      </c>
      <c r="X12" s="128">
        <f t="shared" si="0"/>
        <v>6.8427290221718593E-9</v>
      </c>
      <c r="Y12" s="139">
        <f t="shared" si="1"/>
        <v>3.1625086559368394</v>
      </c>
      <c r="AA12" s="73"/>
      <c r="AB12" s="182"/>
      <c r="AC12" s="182"/>
      <c r="AD12" s="182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612</v>
      </c>
      <c r="I13" s="109">
        <v>9.2201899193900001E-3</v>
      </c>
      <c r="J13" s="109">
        <v>7.4705003376602436E-9</v>
      </c>
      <c r="K13" s="109">
        <v>4.3971985553888959E-10</v>
      </c>
      <c r="L13" s="156">
        <v>7.1037667845415035E-9</v>
      </c>
      <c r="M13" s="27"/>
      <c r="N13" s="18">
        <v>7.3768211452652644E-7</v>
      </c>
      <c r="O13" s="18">
        <v>4.2306597651421388E-12</v>
      </c>
      <c r="P13" s="18">
        <v>2.1153298825710695E-9</v>
      </c>
      <c r="Q13" s="28">
        <v>2.3915875712860957</v>
      </c>
      <c r="R13" s="60">
        <v>136.3289831239577</v>
      </c>
      <c r="S13" s="57">
        <v>2.9370597067559956E-7</v>
      </c>
      <c r="U13" s="127">
        <v>7.1053994644069118E-9</v>
      </c>
      <c r="V13" s="127">
        <v>7.1037667845415035E-9</v>
      </c>
      <c r="W13" s="128">
        <v>7.1021742476540618E-9</v>
      </c>
      <c r="X13" s="128">
        <f t="shared" si="0"/>
        <v>7.1037768202859952E-9</v>
      </c>
      <c r="Y13" s="139">
        <f t="shared" si="1"/>
        <v>0.69554521886346654</v>
      </c>
      <c r="AA13" s="73"/>
      <c r="AB13" s="182"/>
      <c r="AC13" s="182"/>
      <c r="AD13" s="182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64">
        <v>1.2682417448766454</v>
      </c>
      <c r="I14" s="109">
        <v>9.3123918185800004E-3</v>
      </c>
      <c r="J14" s="109">
        <v>7.9647708314244445E-9</v>
      </c>
      <c r="K14" s="109">
        <v>4.497056419303168E-10</v>
      </c>
      <c r="L14" s="156">
        <v>7.3689158948458254E-9</v>
      </c>
      <c r="M14" s="27"/>
      <c r="N14" s="18">
        <v>8.2711251699859273E-7</v>
      </c>
      <c r="O14" s="18">
        <v>4.7435495289964222E-12</v>
      </c>
      <c r="P14" s="18">
        <v>2.3717747644982111E-9</v>
      </c>
      <c r="Q14" s="28">
        <v>2.3514129506779815</v>
      </c>
      <c r="R14" s="60">
        <v>139.97375111189487</v>
      </c>
      <c r="S14" s="57">
        <v>2.9370597067559956E-7</v>
      </c>
      <c r="U14" s="127">
        <v>7.3719721847006552E-9</v>
      </c>
      <c r="V14" s="127">
        <v>7.3689158948458254E-9</v>
      </c>
      <c r="W14" s="128">
        <v>7.3658429418770839E-9</v>
      </c>
      <c r="X14" s="128">
        <f t="shared" si="0"/>
        <v>7.3689117290673472E-9</v>
      </c>
      <c r="Y14" s="139">
        <f t="shared" si="1"/>
        <v>1.7556198544567694</v>
      </c>
      <c r="AA14" s="73"/>
      <c r="AB14" s="182"/>
      <c r="AC14" s="182"/>
      <c r="AD14" s="182"/>
      <c r="AJ14" s="135"/>
    </row>
    <row r="15" spans="1:36" ht="18" x14ac:dyDescent="0.45">
      <c r="A15" s="118">
        <v>2.3E-2</v>
      </c>
      <c r="B15" s="100"/>
      <c r="C15" s="111" t="s">
        <v>635</v>
      </c>
      <c r="D15" s="111" t="s">
        <v>608</v>
      </c>
      <c r="E15" s="111" t="s">
        <v>610</v>
      </c>
      <c r="F15" s="102"/>
      <c r="G15" s="102"/>
      <c r="H15" s="120" t="s">
        <v>613</v>
      </c>
      <c r="I15" s="109">
        <v>9.4055157367700006E-3</v>
      </c>
      <c r="J15" s="109">
        <v>8.4333289975284166E-9</v>
      </c>
      <c r="K15" s="109">
        <v>3.4934286096799609E-10</v>
      </c>
      <c r="L15" s="156">
        <v>7.6344327889694983E-9</v>
      </c>
      <c r="M15" s="27"/>
      <c r="N15" s="18">
        <v>9.1654486855754012E-7</v>
      </c>
      <c r="O15" s="18">
        <v>5.2564504710035772E-12</v>
      </c>
      <c r="P15" s="18">
        <v>2.628225235501789E-9</v>
      </c>
      <c r="Q15" s="28">
        <v>2.3514129506779815</v>
      </c>
      <c r="R15" s="60">
        <v>139.97375111189487</v>
      </c>
      <c r="S15" s="57">
        <v>3.8121170600250066E-7</v>
      </c>
      <c r="U15" s="127">
        <v>7.6400220259738712E-9</v>
      </c>
      <c r="V15" s="127">
        <v>7.6344327889694983E-9</v>
      </c>
      <c r="W15" s="128">
        <v>7.6286565292866337E-9</v>
      </c>
      <c r="X15" s="128">
        <f t="shared" si="0"/>
        <v>7.6343860332998758E-9</v>
      </c>
      <c r="Y15" s="139">
        <f t="shared" si="1"/>
        <v>5.230314548262454</v>
      </c>
      <c r="AA15" s="73"/>
      <c r="AB15" s="182"/>
      <c r="AC15" s="182"/>
      <c r="AD15" s="182"/>
      <c r="AJ15" s="135"/>
    </row>
    <row r="16" spans="1:36" x14ac:dyDescent="0.35">
      <c r="A16" s="83" t="s">
        <v>516</v>
      </c>
      <c r="B16" s="100"/>
      <c r="C16" s="161">
        <v>1.6700000000000001E-6</v>
      </c>
      <c r="D16" s="161">
        <v>5.6499999999999999E-7</v>
      </c>
      <c r="E16" s="161">
        <v>5.7300000000000002E-6</v>
      </c>
      <c r="F16" s="102"/>
      <c r="G16" s="102"/>
      <c r="H16" s="164">
        <v>0.26707440697010099</v>
      </c>
      <c r="I16" s="109">
        <v>9.4995708941299998E-3</v>
      </c>
      <c r="J16" s="109">
        <v>8.4868336495342535E-9</v>
      </c>
      <c r="K16" s="109">
        <v>3.3630178224110885E-10</v>
      </c>
      <c r="L16" s="156">
        <v>7.8930012904249563E-9</v>
      </c>
      <c r="M16" s="27"/>
      <c r="N16" s="18">
        <v>1.0059752710296063E-6</v>
      </c>
      <c r="O16" s="18">
        <v>5.7693402348578606E-12</v>
      </c>
      <c r="P16" s="18">
        <v>2.8846701174289306E-9</v>
      </c>
      <c r="Q16" s="28">
        <v>2.3915875712860957</v>
      </c>
      <c r="R16" s="60">
        <v>143.12102850463714</v>
      </c>
      <c r="S16" s="57">
        <v>3.8121170600250066E-7</v>
      </c>
      <c r="U16" s="127">
        <v>7.9033585532712022E-9</v>
      </c>
      <c r="V16" s="127">
        <v>7.8930012904249563E-9</v>
      </c>
      <c r="W16" s="128">
        <v>7.8819868985482069E-9</v>
      </c>
      <c r="X16" s="128">
        <f t="shared" si="0"/>
        <v>7.8928370081673308E-9</v>
      </c>
      <c r="Y16" s="139">
        <f t="shared" si="1"/>
        <v>3.1196770710173469</v>
      </c>
      <c r="AA16" s="73"/>
      <c r="AB16" s="182"/>
      <c r="AC16" s="182"/>
      <c r="AD16" s="182"/>
      <c r="AJ16" s="135"/>
    </row>
    <row r="17" spans="1:36" ht="19.5" x14ac:dyDescent="0.45">
      <c r="A17" s="84">
        <v>4.25</v>
      </c>
      <c r="B17" s="103"/>
      <c r="C17" s="162" t="s">
        <v>636</v>
      </c>
      <c r="D17" s="162" t="s">
        <v>609</v>
      </c>
      <c r="E17" s="162" t="s">
        <v>611</v>
      </c>
      <c r="F17" s="104"/>
      <c r="G17" s="104"/>
      <c r="H17" s="144"/>
      <c r="I17" s="109">
        <v>9.5945666030799997E-3</v>
      </c>
      <c r="J17" s="109">
        <v>8.1475985137520686E-9</v>
      </c>
      <c r="K17" s="109">
        <v>3.2562895778277593E-10</v>
      </c>
      <c r="L17" s="156">
        <v>8.1299532244037163E-9</v>
      </c>
      <c r="M17" s="27"/>
      <c r="N17" s="18">
        <v>1.0953881818194145E-6</v>
      </c>
      <c r="O17" s="18">
        <v>6.2821296826615082E-12</v>
      </c>
      <c r="P17" s="18">
        <v>3.1410648413307545E-9</v>
      </c>
      <c r="Q17" s="28">
        <v>2.4762534245471439</v>
      </c>
      <c r="R17" s="60">
        <v>143.12102850463714</v>
      </c>
      <c r="S17" s="57">
        <v>4.6981381802826801E-7</v>
      </c>
      <c r="U17" s="127">
        <v>8.1497032597611439E-9</v>
      </c>
      <c r="V17" s="127">
        <v>8.1299532244037163E-9</v>
      </c>
      <c r="W17" s="128">
        <v>8.1083799190470769E-9</v>
      </c>
      <c r="X17" s="128">
        <f t="shared" si="0"/>
        <v>8.1294974069039134E-9</v>
      </c>
      <c r="Y17" s="139">
        <f t="shared" si="1"/>
        <v>3.0900408835479098E-3</v>
      </c>
      <c r="AA17" s="73"/>
      <c r="AB17" s="182"/>
      <c r="AC17" s="182"/>
      <c r="AD17" s="182"/>
      <c r="AJ17" s="135"/>
    </row>
    <row r="18" spans="1:36" x14ac:dyDescent="0.35">
      <c r="B18" s="103"/>
      <c r="C18" s="163">
        <v>209.22</v>
      </c>
      <c r="D18" s="163">
        <v>44.06</v>
      </c>
      <c r="E18" s="163">
        <v>48.06</v>
      </c>
      <c r="F18" s="104"/>
      <c r="G18" s="104"/>
      <c r="H18" s="108"/>
      <c r="I18" s="109">
        <v>9.69051226911E-3</v>
      </c>
      <c r="J18" s="109">
        <v>8.6961161020718504E-9</v>
      </c>
      <c r="K18" s="109">
        <v>3.3486007774480405E-10</v>
      </c>
      <c r="L18" s="156">
        <v>8.318015592823216E-9</v>
      </c>
      <c r="N18" s="18">
        <v>1.1847252902614027E-6</v>
      </c>
      <c r="O18" s="18">
        <v>6.7944843985708755E-12</v>
      </c>
      <c r="P18" s="18">
        <v>3.397242199285438E-9</v>
      </c>
      <c r="Q18" s="28">
        <v>2.6152855865972144</v>
      </c>
      <c r="R18" s="60">
        <v>145.94836312762465</v>
      </c>
      <c r="S18" s="57">
        <v>4.6981381802826801E-7</v>
      </c>
      <c r="U18" s="127">
        <v>8.3559139497003079E-9</v>
      </c>
      <c r="V18" s="127">
        <v>8.318015592823216E-9</v>
      </c>
      <c r="W18" s="128">
        <v>8.2760102953443553E-9</v>
      </c>
      <c r="X18" s="128">
        <f t="shared" si="0"/>
        <v>8.3169888576727734E-9</v>
      </c>
      <c r="Y18" s="139">
        <f t="shared" si="1"/>
        <v>1.2818678082254433</v>
      </c>
      <c r="AA18" s="73"/>
      <c r="AB18" s="182"/>
      <c r="AC18" s="182"/>
      <c r="AD18" s="182"/>
      <c r="AJ18" s="135"/>
    </row>
    <row r="19" spans="1:36" x14ac:dyDescent="0.35">
      <c r="B19" s="108"/>
      <c r="C19" s="104"/>
      <c r="D19" s="104"/>
      <c r="E19" s="104"/>
      <c r="F19" s="104"/>
      <c r="G19" s="104"/>
      <c r="H19" s="144"/>
      <c r="I19" s="109">
        <v>9.7874173918000001E-3</v>
      </c>
      <c r="J19" s="109">
        <v>9.1777794683680976E-9</v>
      </c>
      <c r="K19" s="109">
        <v>3.4680748640937807E-10</v>
      </c>
      <c r="L19" s="156">
        <v>8.4188860904787914E-9</v>
      </c>
      <c r="N19" s="18">
        <v>1.2738435675278649E-6</v>
      </c>
      <c r="O19" s="18">
        <v>7.3055841020142692E-12</v>
      </c>
      <c r="P19" s="18">
        <v>3.6527920510071346E-9</v>
      </c>
      <c r="Q19" s="28">
        <v>2.8273346229875154</v>
      </c>
      <c r="R19" s="60">
        <v>145.94836312762465</v>
      </c>
      <c r="S19" s="57">
        <v>5.5893209529473021E-7</v>
      </c>
      <c r="U19" s="127">
        <v>8.4863456399589646E-9</v>
      </c>
      <c r="V19" s="127">
        <v>8.4188860904787914E-9</v>
      </c>
      <c r="W19" s="128">
        <v>8.3449444682182519E-9</v>
      </c>
      <c r="X19" s="128">
        <f t="shared" si="0"/>
        <v>8.4172655722836994E-9</v>
      </c>
      <c r="Y19" s="139">
        <f t="shared" si="1"/>
        <v>4.8088073640000664</v>
      </c>
      <c r="AA19" s="73"/>
      <c r="AB19" s="182"/>
      <c r="AC19" s="182"/>
      <c r="AD19" s="182"/>
      <c r="AJ19" s="135"/>
    </row>
    <row r="20" spans="1:36" x14ac:dyDescent="0.35">
      <c r="B20" s="100"/>
      <c r="C20" s="100"/>
      <c r="D20" s="101"/>
      <c r="E20" s="101"/>
      <c r="F20" s="102"/>
      <c r="G20" s="102"/>
      <c r="H20" s="108"/>
      <c r="I20" s="109">
        <v>9.8852915657199995E-3</v>
      </c>
      <c r="J20" s="109">
        <v>9.0962848497080613E-9</v>
      </c>
      <c r="K20" s="109">
        <v>5.1381384856465086E-10</v>
      </c>
      <c r="L20" s="156">
        <v>8.41105910263044E-9</v>
      </c>
      <c r="N20" s="18">
        <v>1.3624456795536322E-6</v>
      </c>
      <c r="O20" s="18">
        <v>7.8137235608306465E-12</v>
      </c>
      <c r="P20" s="18">
        <v>3.9068617804153232E-9</v>
      </c>
      <c r="Q20" s="28">
        <v>3.1472773927422746</v>
      </c>
      <c r="R20" s="60">
        <v>148.56364871422187</v>
      </c>
      <c r="S20" s="57">
        <v>5.5893209529473021E-7</v>
      </c>
      <c r="U20" s="127">
        <v>8.5085787969720855E-9</v>
      </c>
      <c r="V20" s="127">
        <v>8.41105910263044E-9</v>
      </c>
      <c r="W20" s="128">
        <v>8.308704375558977E-9</v>
      </c>
      <c r="X20" s="128">
        <f t="shared" si="0"/>
        <v>8.4098503444479852E-9</v>
      </c>
      <c r="Y20" s="139">
        <f t="shared" si="1"/>
        <v>1.784787853443019</v>
      </c>
      <c r="AA20" s="73"/>
      <c r="AB20" s="182"/>
      <c r="AC20" s="182"/>
      <c r="AD20" s="182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9.9841444813699998E-3</v>
      </c>
      <c r="J21" s="109">
        <v>8.6560601445064322E-9</v>
      </c>
      <c r="K21" s="109">
        <v>4.8615830473332038E-10</v>
      </c>
      <c r="L21" s="156">
        <v>8.2952234759384138E-9</v>
      </c>
      <c r="M21" s="31"/>
      <c r="N21" s="18">
        <v>1.4499514148805333E-6</v>
      </c>
      <c r="O21" s="18">
        <v>8.3155752207482941E-12</v>
      </c>
      <c r="P21" s="30">
        <v>4.1577876103741469E-9</v>
      </c>
      <c r="Q21" s="65">
        <v>3.6447679879371622</v>
      </c>
      <c r="R21" s="62">
        <v>148.56364871422187</v>
      </c>
      <c r="S21" s="61">
        <v>6.4826920373671833E-7</v>
      </c>
      <c r="T21" s="75"/>
      <c r="U21" s="127">
        <v>8.3878471259668915E-9</v>
      </c>
      <c r="V21" s="127">
        <v>8.2952234759384138E-9</v>
      </c>
      <c r="W21" s="128">
        <v>8.2057205684623655E-9</v>
      </c>
      <c r="X21" s="128">
        <f t="shared" si="0"/>
        <v>8.2960036615765207E-9</v>
      </c>
      <c r="Y21" s="139">
        <f t="shared" si="1"/>
        <v>0.54851164482038917</v>
      </c>
      <c r="AA21" s="73"/>
      <c r="AB21" s="182"/>
      <c r="AC21" s="182"/>
      <c r="AD21" s="182"/>
      <c r="AE21" s="75"/>
      <c r="AF21" s="75"/>
      <c r="AG21" s="75"/>
      <c r="AH21" s="75"/>
      <c r="AI21" s="159"/>
      <c r="AJ21" s="135"/>
    </row>
    <row r="22" spans="1:36" x14ac:dyDescent="0.35">
      <c r="B22" s="100"/>
      <c r="C22" s="100"/>
      <c r="D22" s="101"/>
      <c r="E22" s="101"/>
      <c r="F22" s="102"/>
      <c r="G22" s="102"/>
      <c r="H22" s="108"/>
      <c r="I22" s="109">
        <v>1.0083985926200001E-2</v>
      </c>
      <c r="J22" s="109">
        <v>8.6006561188903633E-9</v>
      </c>
      <c r="K22" s="109">
        <v>4.8567811442049784E-10</v>
      </c>
      <c r="L22" s="156">
        <v>7.9510152637531683E-9</v>
      </c>
      <c r="N22" s="18">
        <v>1.5352374629694763E-6</v>
      </c>
      <c r="O22" s="18">
        <v>8.8046968153655827E-12</v>
      </c>
      <c r="P22" s="18">
        <v>4.402348407682792E-9</v>
      </c>
      <c r="Q22" s="28">
        <v>4.4787777117798369</v>
      </c>
      <c r="R22" s="60">
        <v>151.03990213876901</v>
      </c>
      <c r="S22" s="57">
        <v>6.4826920373671833E-7</v>
      </c>
      <c r="U22" s="127">
        <v>7.9658363348533435E-9</v>
      </c>
      <c r="V22" s="127">
        <v>7.9510152637531683E-9</v>
      </c>
      <c r="W22" s="128">
        <v>7.945032591661149E-9</v>
      </c>
      <c r="X22" s="128">
        <f t="shared" si="0"/>
        <v>7.9532248635052073E-9</v>
      </c>
      <c r="Y22" s="139">
        <f t="shared" si="1"/>
        <v>1.777011570427967</v>
      </c>
      <c r="AA22" s="73"/>
      <c r="AB22" s="182"/>
      <c r="AC22" s="182"/>
      <c r="AD22" s="182"/>
      <c r="AJ22" s="135"/>
    </row>
    <row r="23" spans="1:36" x14ac:dyDescent="0.35">
      <c r="B23" s="100"/>
      <c r="C23" s="100"/>
      <c r="D23" s="101"/>
      <c r="E23" s="101"/>
      <c r="F23" s="102"/>
      <c r="G23" s="102"/>
      <c r="H23" s="121"/>
      <c r="I23" s="109">
        <v>1.01848257854E-2</v>
      </c>
      <c r="J23" s="109">
        <v>7.049811389777844E-9</v>
      </c>
      <c r="K23" s="109">
        <v>4.3892798572432321E-10</v>
      </c>
      <c r="L23" s="156">
        <v>7.0800032361472408E-9</v>
      </c>
      <c r="N23" s="18">
        <v>1.61605049478552E-6</v>
      </c>
      <c r="O23" s="18">
        <v>9.2681653412667804E-12</v>
      </c>
      <c r="P23" s="18">
        <v>4.6340826706333911E-9</v>
      </c>
      <c r="Q23" s="28">
        <v>6.1129631955799644</v>
      </c>
      <c r="R23" s="60">
        <v>151.03990213876901</v>
      </c>
      <c r="S23" s="57">
        <v>7.3768211452652644E-7</v>
      </c>
      <c r="U23" s="127">
        <v>6.9555227762965312E-9</v>
      </c>
      <c r="V23" s="127">
        <v>7.0800032361472408E-9</v>
      </c>
      <c r="W23" s="128">
        <v>7.2062997454681468E-9</v>
      </c>
      <c r="X23" s="128">
        <f t="shared" si="0"/>
        <v>7.0804572485147895E-9</v>
      </c>
      <c r="Y23" s="139">
        <f t="shared" si="1"/>
        <v>4.8748027411382108E-3</v>
      </c>
      <c r="AA23" s="73"/>
      <c r="AB23" s="182"/>
      <c r="AC23" s="182"/>
      <c r="AD23" s="182"/>
      <c r="AJ23" s="135"/>
    </row>
    <row r="24" spans="1:36" x14ac:dyDescent="0.35">
      <c r="B24" s="100"/>
      <c r="C24" s="100"/>
      <c r="D24" s="101"/>
      <c r="E24" s="101"/>
      <c r="F24" s="102"/>
      <c r="G24" s="102"/>
      <c r="H24" s="146"/>
      <c r="I24" s="109">
        <v>1.02866740433E-2</v>
      </c>
      <c r="J24" s="109">
        <v>4.5803560668663058E-9</v>
      </c>
      <c r="K24" s="109">
        <v>3.438408618431855E-10</v>
      </c>
      <c r="L24" s="156">
        <v>5.6980323273507414E-9</v>
      </c>
      <c r="N24" s="18">
        <v>1.6874683432121631E-6</v>
      </c>
      <c r="O24" s="18">
        <v>9.6777518174761795E-12</v>
      </c>
      <c r="P24" s="18">
        <v>4.8388759087380908E-9</v>
      </c>
      <c r="Q24" s="28">
        <v>10.98507602120227</v>
      </c>
      <c r="R24" s="60">
        <v>153.4314897100551</v>
      </c>
      <c r="S24" s="57">
        <v>7.3768211452652644E-7</v>
      </c>
      <c r="U24" s="127">
        <v>5.443518260425706E-9</v>
      </c>
      <c r="V24" s="127">
        <v>5.6980323273507414E-9</v>
      </c>
      <c r="W24" s="128">
        <v>5.9396545015341914E-9</v>
      </c>
      <c r="X24" s="128">
        <f t="shared" si="0"/>
        <v>5.6948093541653452E-9</v>
      </c>
      <c r="Y24" s="139">
        <f t="shared" si="1"/>
        <v>10.505307418398804</v>
      </c>
      <c r="AA24" s="73"/>
      <c r="AB24" s="182"/>
      <c r="AC24" s="182"/>
      <c r="AD24" s="182"/>
      <c r="AJ24" s="135"/>
    </row>
    <row r="25" spans="1:36" x14ac:dyDescent="0.35">
      <c r="B25" s="100"/>
      <c r="C25" s="100"/>
      <c r="D25" s="101"/>
      <c r="E25" s="101"/>
      <c r="F25" s="102"/>
      <c r="G25" s="102"/>
      <c r="H25" s="147"/>
      <c r="I25" s="109">
        <v>1.03895407837E-2</v>
      </c>
      <c r="J25" s="109">
        <v>3.6747217430111242E-9</v>
      </c>
      <c r="K25" s="109">
        <v>3.0998158678114162E-10</v>
      </c>
      <c r="L25" s="156">
        <v>4.3975773202308699E-9</v>
      </c>
      <c r="N25" s="18">
        <v>1.736836082957084E-6</v>
      </c>
      <c r="O25" s="18">
        <v>9.960879341001539E-12</v>
      </c>
      <c r="P25" s="18">
        <v>4.98043967050077E-9</v>
      </c>
      <c r="Q25" s="28">
        <v>14.752166195395633</v>
      </c>
      <c r="R25" s="60">
        <v>153.4314897100551</v>
      </c>
      <c r="S25" s="57">
        <v>8.2711251699859273E-7</v>
      </c>
      <c r="U25" s="127">
        <v>4.0852425743303971E-9</v>
      </c>
      <c r="V25" s="127">
        <v>4.3975773202308699E-9</v>
      </c>
      <c r="W25" s="128">
        <v>4.6865662935198447E-9</v>
      </c>
      <c r="X25" s="128">
        <f t="shared" si="0"/>
        <v>4.3917408770779954E-9</v>
      </c>
      <c r="Y25" s="139">
        <f t="shared" si="1"/>
        <v>5.3504424401861952</v>
      </c>
      <c r="AA25" s="73"/>
      <c r="AB25" s="182"/>
      <c r="AC25" s="182"/>
      <c r="AD25" s="182"/>
      <c r="AJ25" s="135"/>
    </row>
    <row r="26" spans="1:36" x14ac:dyDescent="0.35">
      <c r="B26" s="100"/>
      <c r="C26" s="100"/>
      <c r="D26" s="101"/>
      <c r="E26" s="101"/>
      <c r="F26" s="102"/>
      <c r="G26" s="102"/>
      <c r="H26" s="148"/>
      <c r="I26" s="109">
        <v>1.04934361916E-2</v>
      </c>
      <c r="J26" s="109">
        <v>3.1075150855605856E-9</v>
      </c>
      <c r="K26" s="109">
        <v>2.8650351593764649E-10</v>
      </c>
      <c r="L26" s="156">
        <v>3.6430579284648356E-9</v>
      </c>
      <c r="N26" s="18">
        <v>1.7436573855561328E-6</v>
      </c>
      <c r="O26" s="18">
        <v>9.9999999999999994E-12</v>
      </c>
      <c r="P26" s="18">
        <v>5.0000000000000001E-9</v>
      </c>
      <c r="Q26" s="28">
        <v>72.073691503421173</v>
      </c>
      <c r="R26" s="60">
        <v>155.78290266073307</v>
      </c>
      <c r="S26" s="57">
        <v>8.2711251699859273E-7</v>
      </c>
      <c r="U26" s="127">
        <v>3.3434796088426914E-9</v>
      </c>
      <c r="V26" s="127">
        <v>3.6430579284648356E-9</v>
      </c>
      <c r="W26" s="128">
        <v>3.9155374672005383E-9</v>
      </c>
      <c r="X26" s="128">
        <f t="shared" si="0"/>
        <v>3.6362832332432254E-9</v>
      </c>
      <c r="Y26" s="139">
        <f t="shared" si="1"/>
        <v>3.4062040418365389</v>
      </c>
      <c r="AA26" s="73"/>
      <c r="AB26" s="182"/>
      <c r="AC26" s="182"/>
      <c r="AD26" s="182"/>
      <c r="AJ26" s="135"/>
    </row>
    <row r="27" spans="1:36" x14ac:dyDescent="0.35">
      <c r="B27" s="100"/>
      <c r="C27" s="100"/>
      <c r="D27" s="101"/>
      <c r="E27" s="101"/>
      <c r="F27" s="102"/>
      <c r="G27" s="102"/>
      <c r="H27" s="149"/>
      <c r="I27" s="109">
        <v>1.05983705535E-2</v>
      </c>
      <c r="J27" s="109">
        <v>3.0616584462201112E-9</v>
      </c>
      <c r="K27" s="109">
        <v>2.8029147179718684E-10</v>
      </c>
      <c r="L27" s="156">
        <v>3.3447660593741076E-9</v>
      </c>
      <c r="N27" s="18">
        <v>1.7436574886419248E-6</v>
      </c>
      <c r="O27" s="18">
        <v>1.056304342539504E-11</v>
      </c>
      <c r="P27" s="18">
        <v>5.1780350892085253E-9</v>
      </c>
      <c r="Q27" s="28">
        <v>19.078812002040859</v>
      </c>
      <c r="R27" s="60">
        <v>155.78290266073307</v>
      </c>
      <c r="S27" s="57">
        <v>9.1654486855754012E-7</v>
      </c>
      <c r="U27" s="127">
        <v>3.0898439915637551E-9</v>
      </c>
      <c r="V27" s="127">
        <v>3.3447660593741076E-9</v>
      </c>
      <c r="W27" s="128">
        <v>3.571492972734563E-9</v>
      </c>
      <c r="X27" s="128">
        <f t="shared" si="0"/>
        <v>3.3377172707616335E-9</v>
      </c>
      <c r="Y27" s="139">
        <f t="shared" si="1"/>
        <v>0.9700262809688498</v>
      </c>
      <c r="AA27" s="73"/>
      <c r="AB27" s="182"/>
      <c r="AC27" s="182"/>
      <c r="AD27" s="182"/>
      <c r="AJ27" s="135"/>
    </row>
    <row r="28" spans="1:36" x14ac:dyDescent="0.35">
      <c r="B28" s="100"/>
      <c r="C28" s="100"/>
      <c r="D28" s="101"/>
      <c r="E28" s="101"/>
      <c r="F28" s="102"/>
      <c r="G28" s="102"/>
      <c r="H28" s="148"/>
      <c r="I28" s="109">
        <v>1.0704354259E-2</v>
      </c>
      <c r="J28" s="109">
        <v>3.0784667754950749E-9</v>
      </c>
      <c r="K28" s="109">
        <v>2.836057183799669E-10</v>
      </c>
      <c r="L28" s="156">
        <v>3.2322625181908801E-9</v>
      </c>
      <c r="N28" s="18">
        <v>1.7436582347036148E-6</v>
      </c>
      <c r="O28" s="18">
        <v>1.4637951536621044E-11</v>
      </c>
      <c r="P28" s="18">
        <v>6.4665265205571022E-9</v>
      </c>
      <c r="Q28" s="28">
        <v>14.206876296042461</v>
      </c>
      <c r="R28" s="60">
        <v>158.13431561141104</v>
      </c>
      <c r="S28" s="57">
        <v>9.1654486855754012E-7</v>
      </c>
      <c r="U28" s="127">
        <v>3.0268716898909451E-9</v>
      </c>
      <c r="V28" s="127">
        <v>3.2322625181908801E-9</v>
      </c>
      <c r="W28" s="128">
        <v>3.4083672374012798E-9</v>
      </c>
      <c r="X28" s="128">
        <f t="shared" si="0"/>
        <v>3.2249409909184963E-9</v>
      </c>
      <c r="Y28" s="139">
        <f t="shared" si="1"/>
        <v>0.26674260869266297</v>
      </c>
      <c r="AA28" s="73"/>
      <c r="AB28" s="182"/>
      <c r="AC28" s="182"/>
      <c r="AD28" s="182"/>
      <c r="AJ28" s="135"/>
    </row>
    <row r="29" spans="1:36" x14ac:dyDescent="0.35">
      <c r="B29" s="100"/>
      <c r="C29" s="100"/>
      <c r="D29" s="101"/>
      <c r="E29" s="101"/>
      <c r="F29" s="102"/>
      <c r="G29" s="102"/>
      <c r="H29" s="150"/>
      <c r="I29" s="109">
        <v>1.08113978016E-2</v>
      </c>
      <c r="J29" s="109">
        <v>2.8994235697397573E-9</v>
      </c>
      <c r="K29" s="109">
        <v>2.6712478805679789E-10</v>
      </c>
      <c r="L29" s="156">
        <v>3.1537636517118623E-9</v>
      </c>
      <c r="N29" s="18">
        <v>1.7436593139938757E-6</v>
      </c>
      <c r="O29" s="18">
        <v>2.0532917993333852E-11</v>
      </c>
      <c r="P29" s="18">
        <v>8.3305228513299389E-9</v>
      </c>
      <c r="Q29" s="28">
        <v>7.9058271198345373</v>
      </c>
      <c r="R29" s="60">
        <v>158.13431561141104</v>
      </c>
      <c r="S29" s="57">
        <v>1.0059752710296063E-6</v>
      </c>
      <c r="U29" s="127">
        <v>2.9951583755922858E-9</v>
      </c>
      <c r="V29" s="127">
        <v>3.1537636517118623E-9</v>
      </c>
      <c r="W29" s="128">
        <v>3.2816328523324136E-9</v>
      </c>
      <c r="X29" s="128">
        <f t="shared" si="0"/>
        <v>3.146079632837106E-9</v>
      </c>
      <c r="Y29" s="139">
        <f t="shared" si="1"/>
        <v>0.85261939904100936</v>
      </c>
      <c r="AA29" s="73"/>
      <c r="AB29" s="182"/>
      <c r="AC29" s="182"/>
      <c r="AD29" s="182"/>
      <c r="AJ29" s="135"/>
    </row>
    <row r="30" spans="1:36" x14ac:dyDescent="0.35">
      <c r="B30" s="186"/>
      <c r="C30" s="186"/>
      <c r="D30" s="186"/>
      <c r="E30" s="186"/>
      <c r="F30" s="186"/>
      <c r="G30" s="186"/>
      <c r="H30" s="145"/>
      <c r="I30" s="109">
        <v>1.0919511779600001E-2</v>
      </c>
      <c r="J30" s="109">
        <v>3.2055676699627433E-9</v>
      </c>
      <c r="K30" s="109">
        <v>2.8452797637471139E-10</v>
      </c>
      <c r="L30" s="156">
        <v>3.0615148733718819E-9</v>
      </c>
      <c r="N30" s="18">
        <v>1.74366053526727E-6</v>
      </c>
      <c r="O30" s="18">
        <v>2.7203380942244557E-11</v>
      </c>
      <c r="P30" s="18">
        <v>1.0439732217087566E-8</v>
      </c>
      <c r="Q30" s="28">
        <v>5.7923532605434165</v>
      </c>
      <c r="R30" s="60">
        <v>160.52590318269714</v>
      </c>
      <c r="S30" s="57">
        <v>1.0059752710296063E-6</v>
      </c>
      <c r="U30" s="127">
        <v>2.9470327959419549E-9</v>
      </c>
      <c r="V30" s="127">
        <v>3.0615148733718819E-9</v>
      </c>
      <c r="W30" s="128">
        <v>3.1437385460870177E-9</v>
      </c>
      <c r="X30" s="128">
        <f t="shared" si="0"/>
        <v>3.053450272193184E-9</v>
      </c>
      <c r="Y30" s="139">
        <f t="shared" si="1"/>
        <v>0.28583001015070303</v>
      </c>
      <c r="AA30" s="73"/>
      <c r="AB30" s="182"/>
      <c r="AC30" s="182"/>
      <c r="AD30" s="182"/>
      <c r="AJ30" s="135"/>
    </row>
    <row r="31" spans="1:36" x14ac:dyDescent="0.35">
      <c r="B31" s="141"/>
      <c r="C31" s="103"/>
      <c r="D31" s="103"/>
      <c r="E31" s="103"/>
      <c r="F31" s="143"/>
      <c r="G31" s="143"/>
      <c r="H31" s="144"/>
      <c r="I31" s="109">
        <v>1.1028706897400001E-2</v>
      </c>
      <c r="J31" s="109">
        <v>2.7712524296732419E-9</v>
      </c>
      <c r="K31" s="109">
        <v>2.6012509007715099E-10</v>
      </c>
      <c r="L31" s="156">
        <v>2.9451631099410537E-9</v>
      </c>
      <c r="N31" s="18">
        <v>1.7436618241383731E-6</v>
      </c>
      <c r="O31" s="18">
        <v>3.4243055250359895E-11</v>
      </c>
      <c r="P31" s="18">
        <v>1.2665686711742984E-8</v>
      </c>
      <c r="Q31" s="28">
        <v>4.7137377868352397</v>
      </c>
      <c r="R31" s="60">
        <v>160.52590318269714</v>
      </c>
      <c r="S31" s="57">
        <v>1.0953881818194145E-6</v>
      </c>
      <c r="U31" s="127">
        <v>2.8728234619149845E-9</v>
      </c>
      <c r="V31" s="127">
        <v>2.9451631099410537E-9</v>
      </c>
      <c r="W31" s="128">
        <v>2.983962791487008E-9</v>
      </c>
      <c r="X31" s="128">
        <f t="shared" si="0"/>
        <v>2.9367781183210249E-9</v>
      </c>
      <c r="Y31" s="139">
        <f t="shared" si="1"/>
        <v>0.4049172881104659</v>
      </c>
      <c r="AA31" s="73"/>
      <c r="AB31" s="182"/>
      <c r="AC31" s="182"/>
      <c r="AD31" s="182"/>
      <c r="AJ31" s="135"/>
    </row>
    <row r="32" spans="1:36" x14ac:dyDescent="0.35">
      <c r="B32" s="100"/>
      <c r="C32" s="101"/>
      <c r="D32" s="101"/>
      <c r="E32" s="101"/>
      <c r="F32" s="102"/>
      <c r="G32" s="102"/>
      <c r="H32" s="101"/>
      <c r="I32" s="109">
        <v>1.11389939664E-2</v>
      </c>
      <c r="J32" s="109">
        <v>2.7021357570933585E-9</v>
      </c>
      <c r="K32" s="109">
        <v>2.5249564542747763E-10</v>
      </c>
      <c r="L32" s="156">
        <v>2.8044957900291242E-9</v>
      </c>
      <c r="N32" s="18">
        <v>1.7436631465541275E-6</v>
      </c>
      <c r="O32" s="18">
        <v>4.1465946808790422E-11</v>
      </c>
      <c r="P32" s="18">
        <v>1.4949574747637285E-8</v>
      </c>
      <c r="Q32" s="28">
        <v>4.0703387488370701</v>
      </c>
      <c r="R32" s="60">
        <v>163.00215660724427</v>
      </c>
      <c r="S32" s="57">
        <v>1.0953881818194145E-6</v>
      </c>
      <c r="U32" s="127">
        <v>2.7725766819142614E-9</v>
      </c>
      <c r="V32" s="127">
        <v>2.8044957900291242E-9</v>
      </c>
      <c r="W32" s="128">
        <v>2.8021015162197E-9</v>
      </c>
      <c r="X32" s="128">
        <f t="shared" si="0"/>
        <v>2.7959174445480526E-9</v>
      </c>
      <c r="Y32" s="139">
        <f t="shared" si="1"/>
        <v>0.13795209511298792</v>
      </c>
      <c r="AA32" s="73"/>
      <c r="AB32" s="182"/>
      <c r="AC32" s="182"/>
      <c r="AD32" s="182"/>
      <c r="AJ32" s="135"/>
    </row>
    <row r="33" spans="2:36" x14ac:dyDescent="0.35">
      <c r="B33" s="100"/>
      <c r="C33" s="142"/>
      <c r="D33" s="101"/>
      <c r="E33" s="101"/>
      <c r="F33" s="143"/>
      <c r="G33" s="102"/>
      <c r="H33" s="121"/>
      <c r="I33" s="109">
        <v>1.12503839061E-2</v>
      </c>
      <c r="J33" s="109">
        <v>2.808697199472461E-9</v>
      </c>
      <c r="K33" s="109">
        <v>2.6695080775043872E-10</v>
      </c>
      <c r="L33" s="156">
        <v>2.6419677467522389E-9</v>
      </c>
      <c r="N33" s="18">
        <v>1.7436644855386909E-6</v>
      </c>
      <c r="O33" s="18">
        <v>4.8779335406912324E-11</v>
      </c>
      <c r="P33" s="18">
        <v>1.7262078069329932E-8</v>
      </c>
      <c r="Q33" s="28">
        <v>3.6565603331987968</v>
      </c>
      <c r="R33" s="60">
        <v>163.00215660724427</v>
      </c>
      <c r="S33" s="57">
        <v>1.1847252902614027E-6</v>
      </c>
      <c r="U33" s="127">
        <v>2.6485332502689643E-9</v>
      </c>
      <c r="V33" s="127">
        <v>2.6419677467522389E-9</v>
      </c>
      <c r="W33" s="128">
        <v>2.6010616847151819E-9</v>
      </c>
      <c r="X33" s="128">
        <f t="shared" si="0"/>
        <v>2.633382607122156E-9</v>
      </c>
      <c r="Y33" s="139">
        <f t="shared" si="1"/>
        <v>0.431294235708989</v>
      </c>
      <c r="AA33" s="73"/>
      <c r="AB33" s="182"/>
      <c r="AC33" s="182"/>
      <c r="AD33" s="182"/>
      <c r="AJ33" s="135"/>
    </row>
    <row r="34" spans="2:36" x14ac:dyDescent="0.35">
      <c r="B34" s="100"/>
      <c r="C34" s="101"/>
      <c r="D34" s="101"/>
      <c r="E34" s="101"/>
      <c r="F34" s="102"/>
      <c r="G34" s="102"/>
      <c r="H34" s="101"/>
      <c r="I34" s="109">
        <v>1.1362887745099999E-2</v>
      </c>
      <c r="J34" s="109">
        <v>2.2291757272328974E-9</v>
      </c>
      <c r="K34" s="109">
        <v>2.3354134993351114E-10</v>
      </c>
      <c r="L34" s="156">
        <v>2.4612013408331925E-9</v>
      </c>
      <c r="N34" s="18">
        <v>1.7436658323237147E-6</v>
      </c>
      <c r="O34" s="18">
        <v>5.613532927594409E-11</v>
      </c>
      <c r="P34" s="18">
        <v>1.9588053235049304E-8</v>
      </c>
      <c r="Q34" s="28">
        <v>3.3823196795267156</v>
      </c>
      <c r="R34" s="60">
        <v>165.6174421938415</v>
      </c>
      <c r="S34" s="57">
        <v>1.1847252902614027E-6</v>
      </c>
      <c r="U34" s="127">
        <v>2.5038072598734083E-9</v>
      </c>
      <c r="V34" s="127">
        <v>2.4612013408331925E-9</v>
      </c>
      <c r="W34" s="128">
        <v>2.3851841460186721E-9</v>
      </c>
      <c r="X34" s="128">
        <f t="shared" si="0"/>
        <v>2.4528485218896162E-9</v>
      </c>
      <c r="Y34" s="139">
        <f t="shared" si="1"/>
        <v>0.91727330712370236</v>
      </c>
      <c r="AA34" s="73"/>
      <c r="AB34" s="182"/>
      <c r="AC34" s="182"/>
      <c r="AD34" s="182"/>
      <c r="AJ34" s="135"/>
    </row>
    <row r="35" spans="2:36" x14ac:dyDescent="0.35">
      <c r="B35" s="100"/>
      <c r="C35" s="142"/>
      <c r="D35" s="101"/>
      <c r="E35" s="101"/>
      <c r="F35" s="143"/>
      <c r="G35" s="102"/>
      <c r="H35" s="116"/>
      <c r="I35" s="109">
        <v>1.14765166226E-2</v>
      </c>
      <c r="J35" s="109">
        <v>2.2001121705098312E-9</v>
      </c>
      <c r="K35" s="109">
        <v>2.3397610050653635E-10</v>
      </c>
      <c r="L35" s="156">
        <v>2.2664907276258823E-9</v>
      </c>
      <c r="N35" s="18">
        <v>1.7436671824157882E-6</v>
      </c>
      <c r="O35" s="18">
        <v>6.3509385890743584E-11</v>
      </c>
      <c r="P35" s="18">
        <v>2.1919739865300652E-8</v>
      </c>
      <c r="Q35" s="28">
        <v>3.2025109350442627</v>
      </c>
      <c r="R35" s="60">
        <v>165.6174421938415</v>
      </c>
      <c r="S35" s="57">
        <v>1.2738435675278649E-6</v>
      </c>
      <c r="U35" s="127">
        <v>2.3420092856697978E-9</v>
      </c>
      <c r="V35" s="127">
        <v>2.2664907276258823E-9</v>
      </c>
      <c r="W35" s="128">
        <v>2.1596144066433951E-9</v>
      </c>
      <c r="X35" s="128">
        <f t="shared" si="0"/>
        <v>2.2586512868912394E-9</v>
      </c>
      <c r="Y35" s="139">
        <f t="shared" si="1"/>
        <v>6.2596395816519143E-2</v>
      </c>
      <c r="AA35" s="73"/>
      <c r="AB35" s="182"/>
      <c r="AC35" s="182"/>
      <c r="AD35" s="182"/>
      <c r="AJ35" s="135"/>
    </row>
    <row r="36" spans="2:36" x14ac:dyDescent="0.35">
      <c r="B36" s="100"/>
      <c r="C36" s="101"/>
      <c r="D36" s="101"/>
      <c r="E36" s="101"/>
      <c r="F36" s="102"/>
      <c r="G36" s="102"/>
      <c r="H36" s="102"/>
      <c r="I36" s="109">
        <v>1.1591281788799999E-2</v>
      </c>
      <c r="J36" s="109">
        <v>2.2224381577410819E-9</v>
      </c>
      <c r="K36" s="109">
        <v>1.3160259733357998E-10</v>
      </c>
      <c r="L36" s="156">
        <v>2.0625531286481087E-9</v>
      </c>
      <c r="N36" s="18">
        <v>1.7436685336534118E-6</v>
      </c>
      <c r="O36" s="18">
        <v>7.088969937700566E-11</v>
      </c>
      <c r="P36" s="18">
        <v>2.4253404926732906E-8</v>
      </c>
      <c r="Q36" s="28">
        <v>3.0930135313433689</v>
      </c>
      <c r="R36" s="60">
        <v>168.44477681682901</v>
      </c>
      <c r="S36" s="57">
        <v>1.2738435675278649E-6</v>
      </c>
      <c r="U36" s="127">
        <v>2.1670908703708898E-9</v>
      </c>
      <c r="V36" s="127">
        <v>2.0625531286481087E-9</v>
      </c>
      <c r="W36" s="128">
        <v>1.9299417961321574E-9</v>
      </c>
      <c r="X36" s="128">
        <f t="shared" si="0"/>
        <v>2.0555347309498164E-9</v>
      </c>
      <c r="Y36" s="139">
        <f t="shared" si="1"/>
        <v>1.6084278550447833</v>
      </c>
      <c r="AA36" s="73"/>
      <c r="AB36" s="182"/>
      <c r="AC36" s="182"/>
      <c r="AD36" s="182"/>
      <c r="AJ36" s="135"/>
    </row>
    <row r="37" spans="2:36" x14ac:dyDescent="0.35">
      <c r="B37" s="100"/>
      <c r="C37" s="142"/>
      <c r="D37" s="101"/>
      <c r="E37" s="101"/>
      <c r="F37" s="143"/>
      <c r="G37" s="102"/>
      <c r="H37" s="116"/>
      <c r="I37" s="109">
        <v>1.17071946067E-2</v>
      </c>
      <c r="J37" s="109">
        <v>1.9954527225230554E-9</v>
      </c>
      <c r="K37" s="109">
        <v>1.1763633404894023E-10</v>
      </c>
      <c r="L37" s="156">
        <v>1.8543428359310188E-9</v>
      </c>
      <c r="N37" s="18">
        <v>1.7436698851553758E-6</v>
      </c>
      <c r="O37" s="18">
        <v>7.8271456660336026E-11</v>
      </c>
      <c r="P37" s="18">
        <v>2.6587526518742132E-8</v>
      </c>
      <c r="Q37" s="28">
        <v>3.0410561425990124</v>
      </c>
      <c r="R37" s="60">
        <v>168.44477681682901</v>
      </c>
      <c r="S37" s="57">
        <v>1.3624456795536322E-6</v>
      </c>
      <c r="U37" s="127">
        <v>1.9832402670835639E-9</v>
      </c>
      <c r="V37" s="127">
        <v>1.8543428359310188E-9</v>
      </c>
      <c r="W37" s="128">
        <v>1.7019142071641115E-9</v>
      </c>
      <c r="X37" s="128">
        <f t="shared" si="0"/>
        <v>1.8484600365274282E-9</v>
      </c>
      <c r="Y37" s="139">
        <f t="shared" si="1"/>
        <v>1.561379553009469</v>
      </c>
      <c r="AA37" s="73"/>
      <c r="AB37" s="182"/>
      <c r="AC37" s="182"/>
      <c r="AD37" s="182"/>
      <c r="AJ37" s="135"/>
    </row>
    <row r="38" spans="2:36" x14ac:dyDescent="0.35">
      <c r="B38" s="100"/>
      <c r="C38" s="101"/>
      <c r="D38" s="101"/>
      <c r="E38" s="101"/>
      <c r="F38" s="102"/>
      <c r="G38" s="102"/>
      <c r="H38" s="102"/>
      <c r="I38" s="109">
        <v>1.18242665528E-2</v>
      </c>
      <c r="J38" s="109">
        <v>1.8203748641354586E-9</v>
      </c>
      <c r="K38" s="109">
        <v>1.1403557856926117E-10</v>
      </c>
      <c r="L38" s="156">
        <v>1.6468746479523656E-9</v>
      </c>
      <c r="N38" s="18">
        <v>1.7436712366867948E-6</v>
      </c>
      <c r="O38" s="18">
        <v>8.5653374825043235E-11</v>
      </c>
      <c r="P38" s="18">
        <v>2.8921698981659327E-8</v>
      </c>
      <c r="Q38" s="28">
        <v>3.0410561425990124</v>
      </c>
      <c r="R38" s="60">
        <v>171.59205420957127</v>
      </c>
      <c r="S38" s="57">
        <v>1.3624456795536322E-6</v>
      </c>
      <c r="U38" s="127">
        <v>1.7947798396508659E-9</v>
      </c>
      <c r="V38" s="127">
        <v>1.6468746479523656E-9</v>
      </c>
      <c r="W38" s="128">
        <v>1.4811754303941823E-9</v>
      </c>
      <c r="X38" s="128">
        <f t="shared" si="0"/>
        <v>1.6424261414874449E-9</v>
      </c>
      <c r="Y38" s="139">
        <f t="shared" si="1"/>
        <v>2.4350563129265281</v>
      </c>
      <c r="AA38" s="73"/>
      <c r="AB38" s="182"/>
      <c r="AC38" s="182"/>
      <c r="AD38" s="182"/>
      <c r="AJ38" s="135"/>
    </row>
    <row r="39" spans="2:36" x14ac:dyDescent="0.35">
      <c r="B39" s="100"/>
      <c r="C39" s="101"/>
      <c r="D39" s="101"/>
      <c r="E39" s="101"/>
      <c r="F39" s="102"/>
      <c r="G39" s="102"/>
      <c r="H39" s="116"/>
      <c r="I39" s="109">
        <v>1.19425092183E-2</v>
      </c>
      <c r="J39" s="109">
        <v>1.5849433390330504E-9</v>
      </c>
      <c r="K39" s="109">
        <v>1.0645777025016158E-10</v>
      </c>
      <c r="L39" s="156">
        <v>1.4450451423010369E-9</v>
      </c>
      <c r="N39" s="18">
        <v>1.7436725881887588E-6</v>
      </c>
      <c r="O39" s="18">
        <v>9.3035132108373614E-11</v>
      </c>
      <c r="P39" s="18">
        <v>3.1255820573668549E-8</v>
      </c>
      <c r="Q39" s="28">
        <v>3.0930135313433689</v>
      </c>
      <c r="R39" s="60">
        <v>171.59205420957127</v>
      </c>
      <c r="S39" s="57">
        <v>1.4499514148805333E-6</v>
      </c>
      <c r="U39" s="127">
        <v>1.6060523318894585E-9</v>
      </c>
      <c r="V39" s="127">
        <v>1.4450451423010369E-9</v>
      </c>
      <c r="W39" s="128">
        <v>1.2730175475032968E-9</v>
      </c>
      <c r="X39" s="128">
        <f t="shared" si="0"/>
        <v>1.4422900409987072E-9</v>
      </c>
      <c r="Y39" s="139">
        <f t="shared" si="1"/>
        <v>1.7955971275913669</v>
      </c>
      <c r="AA39" s="73"/>
      <c r="AB39" s="182"/>
      <c r="AC39" s="182"/>
      <c r="AD39" s="182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1.2061934310500001E-2</v>
      </c>
      <c r="J40" s="109">
        <v>1.3548639991199518E-9</v>
      </c>
      <c r="K40" s="109">
        <v>9.5404064311660893E-11</v>
      </c>
      <c r="L40" s="156">
        <v>1.2534557855274942E-9</v>
      </c>
      <c r="N40" s="18">
        <v>1.7436739394263823E-6</v>
      </c>
      <c r="O40" s="18">
        <v>1.0041544559463568E-10</v>
      </c>
      <c r="P40" s="18">
        <v>3.3589485635100807E-8</v>
      </c>
      <c r="Q40" s="28">
        <v>3.2025109350442627</v>
      </c>
      <c r="R40" s="60">
        <v>175.23682219750845</v>
      </c>
      <c r="S40" s="57">
        <v>1.4499514148805333E-6</v>
      </c>
      <c r="U40" s="127">
        <v>1.4212968184481183E-9</v>
      </c>
      <c r="V40" s="127">
        <v>1.2534557855274942E-9</v>
      </c>
      <c r="W40" s="128">
        <v>1.0821570450626106E-9</v>
      </c>
      <c r="X40" s="128">
        <f t="shared" si="0"/>
        <v>1.2525913586414294E-9</v>
      </c>
      <c r="Y40" s="139">
        <f t="shared" si="1"/>
        <v>1.1491723936274254</v>
      </c>
      <c r="AA40" s="73"/>
      <c r="AB40" s="182"/>
      <c r="AC40" s="182"/>
      <c r="AD40" s="182"/>
      <c r="AJ40" s="135"/>
    </row>
    <row r="41" spans="2:36" x14ac:dyDescent="0.35">
      <c r="B41" s="141"/>
      <c r="C41" s="142"/>
      <c r="D41" s="142"/>
      <c r="E41" s="142"/>
      <c r="F41" s="143"/>
      <c r="G41" s="143"/>
      <c r="H41" s="151"/>
      <c r="I41" s="109">
        <v>1.2182553653599999E-2</v>
      </c>
      <c r="J41" s="109">
        <v>1.2957152133075984E-9</v>
      </c>
      <c r="K41" s="109">
        <v>1.1073092191219675E-10</v>
      </c>
      <c r="L41" s="156">
        <v>1.0762476447438112E-9</v>
      </c>
      <c r="N41" s="18">
        <v>1.7436752895184559E-6</v>
      </c>
      <c r="O41" s="18">
        <v>1.0778950220943518E-10</v>
      </c>
      <c r="P41" s="18">
        <v>3.5921172265352152E-8</v>
      </c>
      <c r="Q41" s="28">
        <v>3.3823196795267156</v>
      </c>
      <c r="R41" s="60">
        <v>175.23682219750845</v>
      </c>
      <c r="S41" s="57">
        <v>1.5352374629694763E-6</v>
      </c>
      <c r="U41" s="127">
        <v>1.2445206945993446E-9</v>
      </c>
      <c r="V41" s="127">
        <v>1.0762476447438112E-9</v>
      </c>
      <c r="W41" s="128">
        <v>9.1254768093398413E-10</v>
      </c>
      <c r="X41" s="128">
        <f t="shared" si="0"/>
        <v>1.0773909162552379E-9</v>
      </c>
      <c r="Y41" s="139">
        <f t="shared" si="1"/>
        <v>3.8874633672417906</v>
      </c>
      <c r="AA41" s="73"/>
      <c r="AB41" s="182"/>
      <c r="AC41" s="182"/>
      <c r="AD41" s="182"/>
      <c r="AJ41" s="135"/>
    </row>
    <row r="42" spans="2:36" x14ac:dyDescent="0.35">
      <c r="B42" s="103"/>
      <c r="C42" s="104"/>
      <c r="D42" s="104"/>
      <c r="E42" s="104"/>
      <c r="F42" s="104"/>
      <c r="G42" s="104"/>
      <c r="H42" s="150"/>
      <c r="I42" s="109">
        <v>1.2304379190100001E-2</v>
      </c>
      <c r="J42" s="109">
        <v>1.1063410931607084E-9</v>
      </c>
      <c r="K42" s="109">
        <v>9.9277917913235596E-11</v>
      </c>
      <c r="L42" s="156">
        <v>9.1695853192177763E-10</v>
      </c>
      <c r="N42" s="18">
        <v>1.7436766363034797E-6</v>
      </c>
      <c r="O42" s="18">
        <v>1.1514549607846696E-10</v>
      </c>
      <c r="P42" s="18">
        <v>3.8247147431071527E-8</v>
      </c>
      <c r="Q42" s="28">
        <v>3.6565603331987968</v>
      </c>
      <c r="R42" s="60">
        <v>179.71559990928827</v>
      </c>
      <c r="S42" s="57">
        <v>1.5352374629694763E-6</v>
      </c>
      <c r="U42" s="127">
        <v>1.0793760778673794E-9</v>
      </c>
      <c r="V42" s="127">
        <v>9.1695853192177763E-10</v>
      </c>
      <c r="W42" s="128">
        <v>7.672416739408935E-10</v>
      </c>
      <c r="X42" s="128">
        <f t="shared" si="0"/>
        <v>9.2013370391295715E-10</v>
      </c>
      <c r="Y42" s="139">
        <f t="shared" si="1"/>
        <v>3.5179405924119411</v>
      </c>
      <c r="AA42" s="73"/>
      <c r="AB42" s="182"/>
      <c r="AC42" s="182"/>
      <c r="AD42" s="182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1.2427422981999999E-2</v>
      </c>
      <c r="J43" s="109">
        <v>8.0128463155182557E-10</v>
      </c>
      <c r="K43" s="109">
        <v>8.7633093684455891E-11</v>
      </c>
      <c r="L43" s="156">
        <v>7.7841182950153485E-10</v>
      </c>
      <c r="N43" s="18">
        <v>1.743677975288043E-6</v>
      </c>
      <c r="O43" s="18">
        <v>1.2245888467658885E-10</v>
      </c>
      <c r="P43" s="18">
        <v>4.055965075276417E-8</v>
      </c>
      <c r="Q43" s="28">
        <v>4.0703387488370701</v>
      </c>
      <c r="R43" s="60">
        <v>179.71559990928827</v>
      </c>
      <c r="S43" s="57">
        <v>1.61605049478552E-6</v>
      </c>
      <c r="U43" s="127">
        <v>9.2904905273968704E-10</v>
      </c>
      <c r="V43" s="127">
        <v>7.7841182950153485E-10</v>
      </c>
      <c r="W43" s="128">
        <v>6.4830633994192317E-10</v>
      </c>
      <c r="X43" s="128">
        <f t="shared" si="0"/>
        <v>7.8354476292117E-10</v>
      </c>
      <c r="Y43" s="139">
        <f t="shared" si="1"/>
        <v>4.0979297714636251E-2</v>
      </c>
      <c r="AA43" s="73"/>
      <c r="AB43" s="182"/>
      <c r="AC43" s="182"/>
      <c r="AD43" s="182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1.25516972118E-2</v>
      </c>
      <c r="J44" s="109">
        <v>7.3392281622860455E-10</v>
      </c>
      <c r="K44" s="109">
        <v>8.2686489020160133E-11</v>
      </c>
      <c r="L44" s="156">
        <v>6.6264314269353988E-10</v>
      </c>
      <c r="N44" s="18">
        <v>1.7436792977037975E-6</v>
      </c>
      <c r="O44" s="18">
        <v>1.2968177623501939E-10</v>
      </c>
      <c r="P44" s="18">
        <v>4.2843538788658475E-8</v>
      </c>
      <c r="Q44" s="28">
        <v>4.7137377868352397</v>
      </c>
      <c r="R44" s="60">
        <v>185.82856310486824</v>
      </c>
      <c r="S44" s="57">
        <v>1.61605049478552E-6</v>
      </c>
      <c r="U44" s="127">
        <v>7.9616896912926865E-10</v>
      </c>
      <c r="V44" s="127">
        <v>6.6264314269353988E-10</v>
      </c>
      <c r="W44" s="128">
        <v>5.5679768449169028E-10</v>
      </c>
      <c r="X44" s="128">
        <f t="shared" si="0"/>
        <v>6.6956323475200965E-10</v>
      </c>
      <c r="Y44" s="139">
        <f t="shared" si="1"/>
        <v>0.60583912886907854</v>
      </c>
      <c r="AA44" s="73"/>
      <c r="AB44" s="182"/>
      <c r="AC44" s="182"/>
      <c r="AD44" s="182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1.26772141839E-2</v>
      </c>
      <c r="J45" s="109">
        <v>6.0919731007971233E-10</v>
      </c>
      <c r="K45" s="109">
        <v>7.6057247210821792E-11</v>
      </c>
      <c r="L45" s="156">
        <v>5.7086717219253385E-10</v>
      </c>
      <c r="N45" s="18">
        <v>1.7436805865749005E-6</v>
      </c>
      <c r="O45" s="18">
        <v>1.3672145054313472E-10</v>
      </c>
      <c r="P45" s="18">
        <v>4.5069493283313893E-8</v>
      </c>
      <c r="Q45" s="28">
        <v>5.7923532605434165</v>
      </c>
      <c r="R45" s="60">
        <v>185.82856310486824</v>
      </c>
      <c r="S45" s="57">
        <v>1.6874683432121631E-6</v>
      </c>
      <c r="U45" s="127">
        <v>6.8274297076898304E-10</v>
      </c>
      <c r="V45" s="127">
        <v>5.7086717219253385E-10</v>
      </c>
      <c r="W45" s="128">
        <v>4.9278705360961198E-10</v>
      </c>
      <c r="X45" s="128">
        <f t="shared" si="0"/>
        <v>5.7931609219091573E-10</v>
      </c>
      <c r="Y45" s="139">
        <f t="shared" si="1"/>
        <v>0.15435310965091259</v>
      </c>
      <c r="AA45" s="73"/>
      <c r="AB45" s="182"/>
      <c r="AC45" s="182"/>
      <c r="AD45" s="182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1.28039863258E-2</v>
      </c>
      <c r="J46" s="109">
        <v>5.36238217920414E-10</v>
      </c>
      <c r="K46" s="109">
        <v>7.3649473371332426E-11</v>
      </c>
      <c r="L46" s="156">
        <v>5.0348352076106393E-10</v>
      </c>
      <c r="N46" s="18">
        <v>1.7436818078482949E-6</v>
      </c>
      <c r="O46" s="18">
        <v>1.4339191349204541E-10</v>
      </c>
      <c r="P46" s="18">
        <v>4.717870264907152E-8</v>
      </c>
      <c r="Q46" s="28">
        <v>7.9058271198345373</v>
      </c>
      <c r="R46" s="60">
        <v>196.81363912607051</v>
      </c>
      <c r="S46" s="57">
        <v>1.6874683432121631E-6</v>
      </c>
      <c r="U46" s="127">
        <v>5.901184923060952E-10</v>
      </c>
      <c r="V46" s="127">
        <v>5.0348352076106393E-10</v>
      </c>
      <c r="W46" s="128">
        <v>4.5543268704529E-10</v>
      </c>
      <c r="X46" s="128">
        <f t="shared" si="0"/>
        <v>5.1312955521837821E-10</v>
      </c>
      <c r="Y46" s="139">
        <f t="shared" si="1"/>
        <v>9.8448779318986712E-2</v>
      </c>
      <c r="AA46" s="73"/>
      <c r="AB46" s="182"/>
      <c r="AC46" s="182"/>
      <c r="AD46" s="182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1.2932026189000001E-2</v>
      </c>
      <c r="J47" s="109">
        <v>4.211528002871056E-10</v>
      </c>
      <c r="K47" s="109">
        <v>6.3428706519156722E-11</v>
      </c>
      <c r="L47" s="156">
        <v>4.5993113468879064E-10</v>
      </c>
      <c r="N47" s="18">
        <v>1.7436828871385557E-6</v>
      </c>
      <c r="O47" s="18">
        <v>1.4928687994875822E-10</v>
      </c>
      <c r="P47" s="18">
        <v>4.9042698979844353E-8</v>
      </c>
      <c r="Q47" s="28">
        <v>14.206876296042461</v>
      </c>
      <c r="R47" s="60">
        <v>196.81363912607051</v>
      </c>
      <c r="S47" s="57">
        <v>1.736836082957084E-6</v>
      </c>
      <c r="U47" s="127">
        <v>5.1874448931720123E-10</v>
      </c>
      <c r="V47" s="127">
        <v>4.5993113468879064E-10</v>
      </c>
      <c r="W47" s="128">
        <v>4.4295059717038929E-10</v>
      </c>
      <c r="X47" s="128">
        <f t="shared" si="0"/>
        <v>4.7038933896629299E-10</v>
      </c>
      <c r="Y47" s="139">
        <f t="shared" si="1"/>
        <v>0.60256419084618074</v>
      </c>
      <c r="AA47" s="73"/>
      <c r="AB47" s="182"/>
      <c r="AC47" s="182"/>
      <c r="AD47" s="182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1.3061346450899999E-2</v>
      </c>
      <c r="J48" s="109">
        <v>3.1672925688383932E-10</v>
      </c>
      <c r="K48" s="109">
        <v>5.7901655773863982E-11</v>
      </c>
      <c r="L48" s="156">
        <v>4.3954962313623085E-10</v>
      </c>
      <c r="N48" s="18">
        <v>1.7436836332002457E-6</v>
      </c>
      <c r="O48" s="18">
        <v>1.5336178805998422E-10</v>
      </c>
      <c r="P48" s="18">
        <v>5.0331190411192935E-8</v>
      </c>
      <c r="Q48" s="28">
        <v>19.078812002040859</v>
      </c>
      <c r="R48" s="60">
        <v>211.56580532146614</v>
      </c>
      <c r="S48" s="57">
        <v>1.736836082957084E-6</v>
      </c>
      <c r="U48" s="127">
        <v>4.6915300032499647E-10</v>
      </c>
      <c r="V48" s="127">
        <v>4.3954962313623085E-10</v>
      </c>
      <c r="W48" s="128">
        <v>4.5333096731880489E-10</v>
      </c>
      <c r="X48" s="128">
        <f t="shared" si="0"/>
        <v>4.5039580347906574E-10</v>
      </c>
      <c r="Y48" s="139">
        <f t="shared" si="1"/>
        <v>5.3292180393226651</v>
      </c>
      <c r="AA48" s="73"/>
      <c r="AB48" s="182"/>
      <c r="AC48" s="182"/>
      <c r="AD48" s="182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1.31919599154E-2</v>
      </c>
      <c r="J49" s="109">
        <v>3.7779348458433317E-10</v>
      </c>
      <c r="K49" s="109">
        <v>5.9182744218525314E-11</v>
      </c>
      <c r="L49" s="156">
        <v>4.4040054543580052E-10</v>
      </c>
      <c r="N49" s="18">
        <v>1.7436837362860377E-6</v>
      </c>
      <c r="O49" s="18">
        <v>1.5392483148537927E-10</v>
      </c>
      <c r="P49" s="18">
        <v>5.0509225500401457E-8</v>
      </c>
      <c r="Q49" s="28">
        <v>736.26471614888453</v>
      </c>
      <c r="R49" s="60">
        <v>211.56580532146614</v>
      </c>
      <c r="S49" s="57">
        <v>1.7436573855561328E-6</v>
      </c>
      <c r="U49" s="127">
        <v>4.4047952516298701E-10</v>
      </c>
      <c r="V49" s="127">
        <v>4.4040054543580052E-10</v>
      </c>
      <c r="W49" s="128">
        <v>4.8351508763982277E-10</v>
      </c>
      <c r="X49" s="128">
        <f t="shared" si="0"/>
        <v>4.511989259186027E-10</v>
      </c>
      <c r="Y49" s="139">
        <f t="shared" si="1"/>
        <v>1.5383895119649209</v>
      </c>
      <c r="AA49" s="73"/>
      <c r="AB49" s="182"/>
      <c r="AC49" s="182"/>
      <c r="AD49" s="182"/>
      <c r="AJ49" s="135"/>
    </row>
    <row r="50" spans="2:36" x14ac:dyDescent="0.35">
      <c r="B50" s="150"/>
      <c r="C50" s="150"/>
      <c r="D50" s="150"/>
      <c r="E50" s="150"/>
      <c r="F50" s="102"/>
      <c r="G50" s="102"/>
      <c r="H50" s="101"/>
      <c r="I50" s="109">
        <v>1.33238795146E-2</v>
      </c>
      <c r="J50" s="109">
        <v>3.3788415389350963E-10</v>
      </c>
      <c r="K50" s="109">
        <v>5.7970282844466958E-11</v>
      </c>
      <c r="L50" s="156">
        <v>4.602699239850776E-10</v>
      </c>
      <c r="N50" s="18">
        <v>1.7399016462744015E-6</v>
      </c>
      <c r="O50" s="18">
        <v>1.5392483148537927E-10</v>
      </c>
      <c r="P50" s="18">
        <v>5.0509225500401457E-8</v>
      </c>
      <c r="Q50" s="28">
        <v>3.4421631761482474</v>
      </c>
      <c r="R50" s="60">
        <v>283.63949682488732</v>
      </c>
      <c r="S50" s="57">
        <v>1.7436573855561328E-6</v>
      </c>
      <c r="U50" s="127">
        <v>4.3158382219409557E-10</v>
      </c>
      <c r="V50" s="127">
        <v>4.602699239850776E-10</v>
      </c>
      <c r="W50" s="128">
        <v>5.3023723992665331E-10</v>
      </c>
      <c r="X50" s="128">
        <f t="shared" si="0"/>
        <v>4.7059022752272602E-10</v>
      </c>
      <c r="Y50" s="139">
        <f t="shared" si="1"/>
        <v>5.2404762984185025</v>
      </c>
      <c r="AA50" s="73"/>
      <c r="AB50" s="182"/>
      <c r="AC50" s="182"/>
      <c r="AD50" s="182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1.3457118309700001E-2</v>
      </c>
      <c r="J51" s="109">
        <v>4.2345437063819471E-10</v>
      </c>
      <c r="K51" s="109">
        <v>6.1233955039016798E-11</v>
      </c>
      <c r="L51" s="156">
        <v>4.9653745641144791E-10</v>
      </c>
      <c r="N51" s="18">
        <v>1.7125295670160563E-6</v>
      </c>
      <c r="O51" s="18">
        <v>1.5392483148537927E-10</v>
      </c>
      <c r="P51" s="18">
        <v>5.0509225500401457E-8</v>
      </c>
      <c r="Q51" s="28">
        <v>2.563177750747776</v>
      </c>
      <c r="R51" s="60">
        <v>283.63949682488732</v>
      </c>
      <c r="S51" s="57">
        <v>1.7436574886419248E-6</v>
      </c>
      <c r="U51" s="127">
        <v>4.4084315185727346E-10</v>
      </c>
      <c r="V51" s="127">
        <v>4.9653745641144791E-10</v>
      </c>
      <c r="W51" s="128">
        <v>5.8997154560842519E-10</v>
      </c>
      <c r="X51" s="128">
        <f t="shared" si="0"/>
        <v>5.0597240257214862E-10</v>
      </c>
      <c r="Y51" s="139">
        <f t="shared" si="1"/>
        <v>1.8159885291042694</v>
      </c>
      <c r="AA51" s="73"/>
      <c r="AB51" s="182"/>
      <c r="AC51" s="182"/>
      <c r="AD51" s="182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1.3591689492799999E-2</v>
      </c>
      <c r="J52" s="109">
        <v>4.2187349761817922E-10</v>
      </c>
      <c r="K52" s="109">
        <v>6.0670634648127753E-11</v>
      </c>
      <c r="L52" s="156">
        <v>5.4628540162063497E-10</v>
      </c>
      <c r="N52" s="18">
        <v>1.6729317442740159E-6</v>
      </c>
      <c r="O52" s="18">
        <v>1.5392483148537927E-10</v>
      </c>
      <c r="P52" s="18">
        <v>5.0509225500401457E-8</v>
      </c>
      <c r="Q52" s="28">
        <v>1.4263543760469788</v>
      </c>
      <c r="R52" s="60">
        <v>302.71830882692819</v>
      </c>
      <c r="S52" s="57">
        <v>1.7436574886419248E-6</v>
      </c>
      <c r="U52" s="127">
        <v>4.6623191438433423E-10</v>
      </c>
      <c r="V52" s="127">
        <v>5.4628540162063497E-10</v>
      </c>
      <c r="W52" s="128">
        <v>6.590594367403827E-10</v>
      </c>
      <c r="X52" s="128">
        <f t="shared" si="0"/>
        <v>5.5446553859149674E-10</v>
      </c>
      <c r="Y52" s="139">
        <f t="shared" si="1"/>
        <v>4.7761486555226531</v>
      </c>
      <c r="AA52" s="73"/>
      <c r="AB52" s="182"/>
      <c r="AC52" s="182"/>
      <c r="AD52" s="182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1.37276063878E-2</v>
      </c>
      <c r="J53" s="109">
        <v>4.840541485322294E-10</v>
      </c>
      <c r="K53" s="109">
        <v>6.4815111801151155E-11</v>
      </c>
      <c r="L53" s="156">
        <v>6.0640382915888532E-10</v>
      </c>
      <c r="N53" s="18">
        <v>1.6281247362277643E-6</v>
      </c>
      <c r="O53" s="18">
        <v>1.5392483148537927E-10</v>
      </c>
      <c r="P53" s="18">
        <v>5.0509225500401457E-8</v>
      </c>
      <c r="Q53" s="28">
        <v>1.0450454197332617</v>
      </c>
      <c r="R53" s="60">
        <v>302.71830882692819</v>
      </c>
      <c r="S53" s="57">
        <v>1.7436582347036148E-6</v>
      </c>
      <c r="U53" s="127">
        <v>5.0540535455062969E-10</v>
      </c>
      <c r="V53" s="127">
        <v>6.0640382915888532E-10</v>
      </c>
      <c r="W53" s="128">
        <v>7.3382500191332221E-10</v>
      </c>
      <c r="X53" s="128">
        <f t="shared" si="0"/>
        <v>6.1300950369543061E-10</v>
      </c>
      <c r="Y53" s="139">
        <f t="shared" si="1"/>
        <v>3.9584595812476002</v>
      </c>
      <c r="AA53" s="73"/>
      <c r="AB53" s="182"/>
      <c r="AC53" s="182"/>
      <c r="AD53" s="182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1.3864882451600001E-2</v>
      </c>
      <c r="J54" s="109">
        <v>4.9304632121041816E-10</v>
      </c>
      <c r="K54" s="109">
        <v>6.6464835726956232E-11</v>
      </c>
      <c r="L54" s="156">
        <v>6.7368947715034049E-10</v>
      </c>
      <c r="N54" s="18">
        <v>1.5808376519904965E-6</v>
      </c>
      <c r="O54" s="18">
        <v>1.5392483148537927E-10</v>
      </c>
      <c r="P54" s="18">
        <v>5.0509225500401457E-8</v>
      </c>
      <c r="Q54" s="28">
        <v>0.8504436560372397</v>
      </c>
      <c r="R54" s="60">
        <v>316.92518512297067</v>
      </c>
      <c r="S54" s="57">
        <v>1.7436582347036148E-6</v>
      </c>
      <c r="U54" s="127">
        <v>5.5578383423968064E-10</v>
      </c>
      <c r="V54" s="127">
        <v>6.7368947715034049E-10</v>
      </c>
      <c r="W54" s="128">
        <v>8.1067735900601207E-10</v>
      </c>
      <c r="X54" s="128">
        <f t="shared" si="0"/>
        <v>6.7846003688659343E-10</v>
      </c>
      <c r="Y54" s="139">
        <f t="shared" si="1"/>
        <v>7.7821543996151421</v>
      </c>
      <c r="AA54" s="73"/>
      <c r="AB54" s="182"/>
      <c r="AC54" s="182"/>
      <c r="AD54" s="182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1.40035312762E-2</v>
      </c>
      <c r="J55" s="109">
        <v>7.1034629285565314E-10</v>
      </c>
      <c r="K55" s="109">
        <v>7.5468491129814662E-11</v>
      </c>
      <c r="L55" s="156">
        <v>7.4493671641061081E-10</v>
      </c>
      <c r="N55" s="18">
        <v>1.5323198560512133E-6</v>
      </c>
      <c r="O55" s="18">
        <v>1.5392483148537927E-10</v>
      </c>
      <c r="P55" s="18">
        <v>5.0509225500401457E-8</v>
      </c>
      <c r="Q55" s="28">
        <v>0.73436281851289054</v>
      </c>
      <c r="R55" s="60">
        <v>316.92518512297067</v>
      </c>
      <c r="S55" s="57">
        <v>1.7436593139938757E-6</v>
      </c>
      <c r="U55" s="127">
        <v>6.1463506085723537E-10</v>
      </c>
      <c r="V55" s="127">
        <v>7.4493671641061081E-10</v>
      </c>
      <c r="W55" s="128">
        <v>8.8620039852969662E-10</v>
      </c>
      <c r="X55" s="128">
        <f t="shared" si="0"/>
        <v>7.4767722305203835E-10</v>
      </c>
      <c r="Y55" s="139">
        <f t="shared" si="1"/>
        <v>0.2446844042807404</v>
      </c>
      <c r="AA55" s="73"/>
      <c r="AB55" s="182"/>
      <c r="AC55" s="182"/>
      <c r="AD55" s="182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1.41435665889E-2</v>
      </c>
      <c r="J56" s="109">
        <v>7.9389596287063365E-10</v>
      </c>
      <c r="K56" s="109">
        <v>8.0642005155612002E-11</v>
      </c>
      <c r="L56" s="156">
        <v>8.1702009041855797E-10</v>
      </c>
      <c r="N56" s="18">
        <v>1.4831941710318662E-6</v>
      </c>
      <c r="O56" s="18">
        <v>1.5392483148537927E-10</v>
      </c>
      <c r="P56" s="18">
        <v>5.0509225500401457E-8</v>
      </c>
      <c r="Q56" s="28">
        <v>0.6597096993751439</v>
      </c>
      <c r="R56" s="60">
        <v>324.83101224280523</v>
      </c>
      <c r="S56" s="57">
        <v>1.7436593139938757E-6</v>
      </c>
      <c r="U56" s="127">
        <v>6.7915251362220797E-10</v>
      </c>
      <c r="V56" s="127">
        <v>8.1702009041855797E-10</v>
      </c>
      <c r="W56" s="128">
        <v>9.5723091824577944E-10</v>
      </c>
      <c r="X56" s="128">
        <f t="shared" si="0"/>
        <v>8.1760590317627581E-10</v>
      </c>
      <c r="Y56" s="139">
        <f t="shared" si="1"/>
        <v>8.6444682845111878E-2</v>
      </c>
      <c r="AA56" s="73"/>
      <c r="AB56" s="182"/>
      <c r="AC56" s="182"/>
      <c r="AD56" s="182"/>
      <c r="AJ56" s="135"/>
    </row>
    <row r="57" spans="2:36" x14ac:dyDescent="0.35">
      <c r="B57" s="100"/>
      <c r="C57" s="100"/>
      <c r="D57" s="101"/>
      <c r="E57" s="101"/>
      <c r="F57" s="102"/>
      <c r="G57" s="102"/>
      <c r="H57" s="150"/>
      <c r="I57" s="109">
        <v>1.42850022548E-2</v>
      </c>
      <c r="J57" s="109">
        <v>7.8176793044717669E-10</v>
      </c>
      <c r="K57" s="109">
        <v>7.9522366959268622E-11</v>
      </c>
      <c r="L57" s="156">
        <v>8.8696856223596503E-10</v>
      </c>
      <c r="N57" s="18">
        <v>1.4337822967733175E-6</v>
      </c>
      <c r="O57" s="18">
        <v>1.5392483148537927E-10</v>
      </c>
      <c r="P57" s="18">
        <v>5.0509225500401457E-8</v>
      </c>
      <c r="Q57" s="28">
        <v>0.61023171933257703</v>
      </c>
      <c r="R57" s="60">
        <v>324.83101224280523</v>
      </c>
      <c r="S57" s="57">
        <v>1.74366053526727E-6</v>
      </c>
      <c r="U57" s="127">
        <v>7.4652904860498814E-10</v>
      </c>
      <c r="V57" s="127">
        <v>8.8696856223596503E-10</v>
      </c>
      <c r="W57" s="128">
        <v>1.0209264025489858E-9</v>
      </c>
      <c r="X57" s="128">
        <f t="shared" si="0"/>
        <v>8.8534814390647597E-10</v>
      </c>
      <c r="Y57" s="139">
        <f t="shared" si="1"/>
        <v>1.6965825933939305</v>
      </c>
      <c r="AA57" s="73"/>
      <c r="AB57" s="182"/>
      <c r="AC57" s="182"/>
      <c r="AD57" s="182"/>
      <c r="AJ57" s="135"/>
    </row>
    <row r="58" spans="2:36" x14ac:dyDescent="0.35">
      <c r="B58" s="100"/>
      <c r="C58" s="100"/>
      <c r="D58" s="101"/>
      <c r="E58" s="101"/>
      <c r="F58" s="102"/>
      <c r="G58" s="102"/>
      <c r="H58" s="150"/>
      <c r="I58" s="109">
        <v>1.44278522774E-2</v>
      </c>
      <c r="J58" s="109">
        <v>8.0722030743795153E-10</v>
      </c>
      <c r="K58" s="109">
        <v>7.9756036255103073E-11</v>
      </c>
      <c r="L58" s="156">
        <v>9.5203194416210735E-10</v>
      </c>
      <c r="N58" s="18">
        <v>1.3842490909668462E-6</v>
      </c>
      <c r="O58" s="18">
        <v>1.5392483148537927E-10</v>
      </c>
      <c r="P58" s="18">
        <v>5.0509225500401457E-8</v>
      </c>
      <c r="Q58" s="28">
        <v>0.57779096573949484</v>
      </c>
      <c r="R58" s="60">
        <v>330.62336550334862</v>
      </c>
      <c r="S58" s="57">
        <v>1.74366053526727E-6</v>
      </c>
      <c r="U58" s="127">
        <v>8.1402522418404005E-10</v>
      </c>
      <c r="V58" s="127">
        <v>9.5203194416210735E-10</v>
      </c>
      <c r="W58" s="128">
        <v>1.0748235670332228E-9</v>
      </c>
      <c r="X58" s="128">
        <f t="shared" si="0"/>
        <v>9.4822816988536937E-10</v>
      </c>
      <c r="Y58" s="139">
        <f t="shared" si="1"/>
        <v>3.1257881040354025</v>
      </c>
      <c r="AA58" s="73"/>
      <c r="AB58" s="182"/>
      <c r="AC58" s="182"/>
      <c r="AD58" s="182"/>
      <c r="AJ58" s="135"/>
    </row>
    <row r="59" spans="2:36" x14ac:dyDescent="0.35">
      <c r="B59" s="100"/>
      <c r="C59" s="100"/>
      <c r="D59" s="101"/>
      <c r="E59" s="101"/>
      <c r="F59" s="102"/>
      <c r="G59" s="102"/>
      <c r="H59" s="150"/>
      <c r="I59" s="109">
        <v>1.4572130800099999E-2</v>
      </c>
      <c r="J59" s="109">
        <v>9.2622212592220607E-10</v>
      </c>
      <c r="K59" s="109">
        <v>8.5401048285180385E-11</v>
      </c>
      <c r="L59" s="156">
        <v>1.0097400674958397E-9</v>
      </c>
      <c r="N59" s="18">
        <v>1.3346738563398694E-6</v>
      </c>
      <c r="O59" s="18">
        <v>1.5392483148537927E-10</v>
      </c>
      <c r="P59" s="18">
        <v>5.0509225500401457E-8</v>
      </c>
      <c r="Q59" s="28">
        <v>0.55803565126484422</v>
      </c>
      <c r="R59" s="60">
        <v>330.62336550334862</v>
      </c>
      <c r="S59" s="57">
        <v>1.7436618241383731E-6</v>
      </c>
      <c r="U59" s="127">
        <v>8.790322631819763E-10</v>
      </c>
      <c r="V59" s="127">
        <v>1.0097400674958397E-9</v>
      </c>
      <c r="W59" s="128">
        <v>1.1168884107432371E-9</v>
      </c>
      <c r="X59" s="128">
        <f t="shared" si="0"/>
        <v>1.0038502022292233E-9</v>
      </c>
      <c r="Y59" s="139">
        <f t="shared" si="1"/>
        <v>0.82624956707709396</v>
      </c>
      <c r="AA59" s="73"/>
      <c r="AB59" s="182"/>
      <c r="AC59" s="182"/>
      <c r="AD59" s="182"/>
      <c r="AJ59" s="135"/>
    </row>
    <row r="60" spans="2:36" x14ac:dyDescent="0.35">
      <c r="B60" s="100"/>
      <c r="C60" s="100"/>
      <c r="D60" s="101"/>
      <c r="E60" s="101"/>
      <c r="F60" s="102"/>
      <c r="G60" s="102"/>
      <c r="H60" s="150"/>
      <c r="I60" s="109">
        <v>1.4717852108099999E-2</v>
      </c>
      <c r="J60" s="109">
        <v>1.1245446054243206E-9</v>
      </c>
      <c r="K60" s="109">
        <v>9.4769264881537443E-11</v>
      </c>
      <c r="L60" s="156">
        <v>1.0579551095832537E-9</v>
      </c>
      <c r="N60" s="18">
        <v>1.2850889234014933E-6</v>
      </c>
      <c r="O60" s="18">
        <v>1.5392483148537927E-10</v>
      </c>
      <c r="P60" s="18">
        <v>5.0509225500401457E-8</v>
      </c>
      <c r="Q60" s="28">
        <v>0.54866159745868937</v>
      </c>
      <c r="R60" s="60">
        <v>335.33710329018385</v>
      </c>
      <c r="S60" s="57">
        <v>1.7436618241383731E-6</v>
      </c>
      <c r="U60" s="127">
        <v>9.391297495496998E-10</v>
      </c>
      <c r="V60" s="127">
        <v>1.0579551095832537E-9</v>
      </c>
      <c r="W60" s="128">
        <v>1.1455579831419302E-9</v>
      </c>
      <c r="X60" s="128">
        <f t="shared" si="0"/>
        <v>1.0501494879645345E-9</v>
      </c>
      <c r="Y60" s="139">
        <f t="shared" si="1"/>
        <v>0.61624561770721908</v>
      </c>
      <c r="AA60" s="73"/>
      <c r="AB60" s="182"/>
      <c r="AC60" s="182"/>
      <c r="AD60" s="182"/>
      <c r="AJ60" s="135"/>
    </row>
    <row r="61" spans="2:36" x14ac:dyDescent="0.35">
      <c r="B61" s="186"/>
      <c r="C61" s="186"/>
      <c r="D61" s="186"/>
      <c r="E61" s="186"/>
      <c r="F61" s="186"/>
      <c r="G61" s="186"/>
      <c r="H61" s="186"/>
      <c r="I61" s="109">
        <v>1.4865030629200001E-2</v>
      </c>
      <c r="J61" s="109">
        <v>1.1261375895345624E-9</v>
      </c>
      <c r="K61" s="109">
        <v>9.468420582179411E-11</v>
      </c>
      <c r="L61" s="156">
        <v>1.0949172026395194E-9</v>
      </c>
      <c r="N61" s="18">
        <v>1.2499809515099686E-6</v>
      </c>
      <c r="O61" s="18">
        <v>1.5392462373247677E-10</v>
      </c>
      <c r="P61" s="18">
        <v>5.050914391620612E-8</v>
      </c>
      <c r="Q61" s="28">
        <v>0.22727272727272727</v>
      </c>
      <c r="R61" s="60">
        <v>335.33710329018385</v>
      </c>
      <c r="S61" s="57">
        <v>1.7436631465541275E-6</v>
      </c>
      <c r="U61" s="127">
        <v>9.9213817244775127E-10</v>
      </c>
      <c r="V61" s="127">
        <v>1.0949172026395194E-9</v>
      </c>
      <c r="W61" s="128">
        <v>1.1597734823164831E-9</v>
      </c>
      <c r="X61" s="128">
        <f t="shared" si="0"/>
        <v>1.0854365150108183E-9</v>
      </c>
      <c r="Y61" s="139">
        <f t="shared" si="1"/>
        <v>0.18478072561288436</v>
      </c>
      <c r="AA61" s="73"/>
      <c r="AB61" s="182"/>
      <c r="AC61" s="182"/>
      <c r="AD61" s="182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1.50136809355E-2</v>
      </c>
      <c r="J62" s="109">
        <v>1.2846308183690228E-9</v>
      </c>
      <c r="K62" s="109">
        <v>9.882757458703066E-11</v>
      </c>
      <c r="L62" s="156">
        <v>1.119283067539973E-9</v>
      </c>
      <c r="N62" s="18">
        <v>1.2191027204097044E-6</v>
      </c>
      <c r="O62" s="18">
        <v>1.5392438425026633E-10</v>
      </c>
      <c r="P62" s="18">
        <v>5.0509049871967987E-8</v>
      </c>
      <c r="Q62" s="28">
        <v>0.45454545454545453</v>
      </c>
      <c r="R62" s="60">
        <v>339.40744203902091</v>
      </c>
      <c r="S62" s="57">
        <v>1.7436631465541275E-6</v>
      </c>
      <c r="U62" s="127">
        <v>1.036166312421375E-9</v>
      </c>
      <c r="V62" s="127">
        <v>1.119283067539973E-9</v>
      </c>
      <c r="W62" s="128">
        <v>1.1590037390235155E-9</v>
      </c>
      <c r="X62" s="128">
        <f t="shared" si="0"/>
        <v>1.1084340466312091E-9</v>
      </c>
      <c r="Y62" s="139">
        <f t="shared" si="1"/>
        <v>3.1786273792474362</v>
      </c>
      <c r="AA62" s="73"/>
      <c r="AB62" s="182"/>
      <c r="AC62" s="182"/>
      <c r="AD62" s="182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1.5163817744900001E-2</v>
      </c>
      <c r="J63" s="109">
        <v>1.1797721104896087E-9</v>
      </c>
      <c r="K63" s="109">
        <v>6.8867492898766842E-11</v>
      </c>
      <c r="L63" s="156">
        <v>1.1301570027972095E-9</v>
      </c>
      <c r="N63" s="18">
        <v>1.1783841891225438E-6</v>
      </c>
      <c r="O63" s="18">
        <v>1.5392363528405696E-10</v>
      </c>
      <c r="P63" s="18">
        <v>5.0508755754269556E-8</v>
      </c>
      <c r="Q63" s="28">
        <v>0.45454545454545453</v>
      </c>
      <c r="R63" s="60">
        <v>339.40744203902091</v>
      </c>
      <c r="S63" s="57">
        <v>1.7436644855386909E-6</v>
      </c>
      <c r="U63" s="127">
        <v>1.069653245400664E-9</v>
      </c>
      <c r="V63" s="127">
        <v>1.1301570027972095E-9</v>
      </c>
      <c r="W63" s="128">
        <v>1.1432576794834365E-9</v>
      </c>
      <c r="X63" s="128">
        <f t="shared" si="0"/>
        <v>1.1183062326196297E-9</v>
      </c>
      <c r="Y63" s="139">
        <f t="shared" si="1"/>
        <v>0.79659877015252767</v>
      </c>
      <c r="AA63" s="73"/>
      <c r="AB63" s="182"/>
      <c r="AC63" s="182"/>
      <c r="AD63" s="182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1.5315455922300001E-2</v>
      </c>
      <c r="J64" s="109">
        <v>1.2548229213331626E-9</v>
      </c>
      <c r="K64" s="109">
        <v>6.9764702833998416E-11</v>
      </c>
      <c r="L64" s="156">
        <v>1.1271131775375426E-9</v>
      </c>
      <c r="N64" s="18">
        <v>1.1386083951476443E-6</v>
      </c>
      <c r="O64" s="18">
        <v>1.5392176934880552E-10</v>
      </c>
      <c r="P64" s="18">
        <v>5.0508023004814749E-8</v>
      </c>
      <c r="Q64" s="28">
        <v>0.45454545454545453</v>
      </c>
      <c r="R64" s="60">
        <v>343.0640023722197</v>
      </c>
      <c r="S64" s="57">
        <v>1.7436644855386909E-6</v>
      </c>
      <c r="U64" s="127">
        <v>1.0914044667253123E-9</v>
      </c>
      <c r="V64" s="127">
        <v>1.1271131775375426E-9</v>
      </c>
      <c r="W64" s="128">
        <v>1.1130840666870703E-9</v>
      </c>
      <c r="X64" s="128">
        <f t="shared" si="0"/>
        <v>1.114678722121867E-9</v>
      </c>
      <c r="Y64" s="139">
        <f t="shared" si="1"/>
        <v>4.0353272051848128</v>
      </c>
      <c r="AA64" s="73"/>
      <c r="AB64" s="182"/>
      <c r="AC64" s="182"/>
      <c r="AD64" s="182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1.54686104815E-2</v>
      </c>
      <c r="J65" s="109">
        <v>1.2312141943314721E-9</v>
      </c>
      <c r="K65" s="109">
        <v>6.9372363513509565E-11</v>
      </c>
      <c r="L65" s="156">
        <v>1.110207878268497E-9</v>
      </c>
      <c r="N65" s="18">
        <v>1.1002247147388083E-6</v>
      </c>
      <c r="O65" s="18">
        <v>1.5391732796236246E-10</v>
      </c>
      <c r="P65" s="18">
        <v>5.0506278880257284E-8</v>
      </c>
      <c r="Q65" s="28">
        <v>0.45454545454545453</v>
      </c>
      <c r="R65" s="60">
        <v>343.0640023722197</v>
      </c>
      <c r="S65" s="57">
        <v>1.7436658323237147E-6</v>
      </c>
      <c r="U65" s="127">
        <v>1.1006213483535302E-9</v>
      </c>
      <c r="V65" s="127">
        <v>1.110207878268497E-9</v>
      </c>
      <c r="W65" s="128">
        <v>1.0695567448459995E-9</v>
      </c>
      <c r="X65" s="128">
        <f t="shared" si="0"/>
        <v>1.0976484624341309E-9</v>
      </c>
      <c r="Y65" s="139">
        <f t="shared" si="1"/>
        <v>3.7069532951124278</v>
      </c>
      <c r="AA65" s="73"/>
      <c r="AB65" s="182"/>
      <c r="AC65" s="182"/>
      <c r="AD65" s="182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1.56232965864E-2</v>
      </c>
      <c r="J66" s="109">
        <v>1.1981596369876102E-9</v>
      </c>
      <c r="K66" s="109">
        <v>6.7027040763811803E-11</v>
      </c>
      <c r="L66" s="156">
        <v>1.0799801906030141E-9</v>
      </c>
      <c r="N66" s="18">
        <v>1.0636688846401876E-6</v>
      </c>
      <c r="O66" s="18">
        <v>1.5390722782781785E-10</v>
      </c>
      <c r="P66" s="18">
        <v>5.0502312575384026E-8</v>
      </c>
      <c r="Q66" s="28">
        <v>0.45454545454545453</v>
      </c>
      <c r="R66" s="60">
        <v>346.44632205174639</v>
      </c>
      <c r="S66" s="57">
        <v>1.7436658323237147E-6</v>
      </c>
      <c r="U66" s="127">
        <v>1.0969228785530919E-9</v>
      </c>
      <c r="V66" s="127">
        <v>1.0799801906030141E-9</v>
      </c>
      <c r="W66" s="128">
        <v>1.0142437924807657E-9</v>
      </c>
      <c r="X66" s="128">
        <f t="shared" si="0"/>
        <v>1.0677817630599714E-9</v>
      </c>
      <c r="Y66" s="139">
        <f t="shared" si="1"/>
        <v>3.7836216156877027</v>
      </c>
      <c r="AA66" s="73"/>
      <c r="AB66" s="182"/>
      <c r="AC66" s="182"/>
      <c r="AD66" s="182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1.5779529552200001E-2</v>
      </c>
      <c r="J67" s="109">
        <v>1.1751516340516496E-9</v>
      </c>
      <c r="K67" s="109">
        <v>6.5103088887869871E-11</v>
      </c>
      <c r="L67" s="156">
        <v>1.0374395979664653E-9</v>
      </c>
      <c r="N67" s="18">
        <v>1.0293798872214682E-6</v>
      </c>
      <c r="O67" s="18">
        <v>1.5388528355918637E-10</v>
      </c>
      <c r="P67" s="18">
        <v>5.0493695100118872E-8</v>
      </c>
      <c r="Q67" s="28">
        <v>0.45454545454545453</v>
      </c>
      <c r="R67" s="60">
        <v>346.44632205174639</v>
      </c>
      <c r="S67" s="57">
        <v>1.7436671824157882E-6</v>
      </c>
      <c r="U67" s="127">
        <v>1.0803584352919872E-9</v>
      </c>
      <c r="V67" s="127">
        <v>1.0374395979664653E-9</v>
      </c>
      <c r="W67" s="128">
        <v>9.4915944126527392E-10</v>
      </c>
      <c r="X67" s="128">
        <f t="shared" ref="X67:X127" si="2">(U67+2*V67+W67)/4</f>
        <v>1.026099268122548E-9</v>
      </c>
      <c r="Y67" s="139">
        <f t="shared" ref="Y67:Y127" si="3">(J67-X67)*(J67-X67)/(K67*K67)</f>
        <v>5.2417289379086718</v>
      </c>
      <c r="AA67" s="73"/>
      <c r="AB67" s="182"/>
      <c r="AC67" s="182"/>
      <c r="AD67" s="182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1.59373248477E-2</v>
      </c>
      <c r="J68" s="109">
        <v>1.140750923523937E-9</v>
      </c>
      <c r="K68" s="109">
        <v>6.4684401857020149E-11</v>
      </c>
      <c r="L68" s="156">
        <v>9.8403917598455027E-10</v>
      </c>
      <c r="N68" s="18">
        <v>9.9783860899007127E-7</v>
      </c>
      <c r="O68" s="18">
        <v>1.5383973244666914E-10</v>
      </c>
      <c r="P68" s="18">
        <v>5.0475807259242999E-8</v>
      </c>
      <c r="Q68" s="28">
        <v>0.45454545454545453</v>
      </c>
      <c r="R68" s="60">
        <v>349.64883298679064</v>
      </c>
      <c r="S68" s="57">
        <v>1.7436671824157882E-6</v>
      </c>
      <c r="U68" s="127">
        <v>1.0514102455423655E-9</v>
      </c>
      <c r="V68" s="127">
        <v>9.8403917598455027E-10</v>
      </c>
      <c r="W68" s="128">
        <v>8.7669833206231066E-10</v>
      </c>
      <c r="X68" s="128">
        <f t="shared" si="2"/>
        <v>9.7404673239344408E-10</v>
      </c>
      <c r="Y68" s="139">
        <f t="shared" si="3"/>
        <v>6.6419240345925488</v>
      </c>
      <c r="AA68" s="73"/>
      <c r="AB68" s="182"/>
      <c r="AC68" s="182"/>
      <c r="AD68" s="182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1.6096698096199999E-2</v>
      </c>
      <c r="J69" s="109">
        <v>1.2955216851635856E-9</v>
      </c>
      <c r="K69" s="109">
        <v>7.0898759826121249E-11</v>
      </c>
      <c r="L69" s="156">
        <v>9.2163346846551534E-10</v>
      </c>
      <c r="N69" s="18">
        <v>9.6963541287811516E-7</v>
      </c>
      <c r="O69" s="18">
        <v>1.5374939678812531E-10</v>
      </c>
      <c r="P69" s="18">
        <v>5.0440332606788841E-8</v>
      </c>
      <c r="Q69" s="28">
        <v>0.45454545454545453</v>
      </c>
      <c r="R69" s="60">
        <v>349.64883298679064</v>
      </c>
      <c r="S69" s="57">
        <v>1.7436685336534118E-6</v>
      </c>
      <c r="U69" s="127">
        <v>1.0109842146968088E-9</v>
      </c>
      <c r="V69" s="127">
        <v>9.2163346846551534E-10</v>
      </c>
      <c r="W69" s="128">
        <v>7.9955262277637453E-10</v>
      </c>
      <c r="X69" s="128">
        <f t="shared" si="2"/>
        <v>9.1345094360105349E-10</v>
      </c>
      <c r="Y69" s="139">
        <f t="shared" si="3"/>
        <v>29.040914327686618</v>
      </c>
      <c r="AA69" s="73"/>
      <c r="AB69" s="182"/>
      <c r="AC69" s="182"/>
      <c r="AD69" s="182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1.6257665077200001E-2</v>
      </c>
      <c r="J70" s="109">
        <v>1.08568307186576E-9</v>
      </c>
      <c r="K70" s="109">
        <v>9.0249741587491224E-11</v>
      </c>
      <c r="L70" s="156">
        <v>8.5242073741498617E-10</v>
      </c>
      <c r="N70" s="18">
        <v>9.4557131328007283E-7</v>
      </c>
      <c r="O70" s="18">
        <v>1.5357823763794535E-10</v>
      </c>
      <c r="P70" s="18">
        <v>5.0373118712900074E-8</v>
      </c>
      <c r="Q70" s="28">
        <v>0.45454545454545453</v>
      </c>
      <c r="R70" s="60">
        <v>352.74184651813403</v>
      </c>
      <c r="S70" s="57">
        <v>1.7436685336534118E-6</v>
      </c>
      <c r="U70" s="127">
        <v>9.6038799249492042E-10</v>
      </c>
      <c r="V70" s="127">
        <v>8.5242073741498617E-10</v>
      </c>
      <c r="W70" s="128">
        <v>7.2061356274118793E-10</v>
      </c>
      <c r="X70" s="128">
        <f t="shared" si="2"/>
        <v>8.4646075751652015E-10</v>
      </c>
      <c r="Y70" s="139">
        <f t="shared" si="3"/>
        <v>7.0260533177687723</v>
      </c>
      <c r="AA70" s="73"/>
      <c r="AB70" s="182"/>
      <c r="AC70" s="182"/>
      <c r="AD70" s="182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1.6420241727999999E-2</v>
      </c>
      <c r="J71" s="109">
        <v>9.7188770417230742E-10</v>
      </c>
      <c r="K71" s="109">
        <v>8.6219254184578901E-11</v>
      </c>
      <c r="L71" s="156">
        <v>7.788700619487796E-10</v>
      </c>
      <c r="N71" s="18">
        <v>9.2679051604190449E-7</v>
      </c>
      <c r="O71" s="18">
        <v>1.5326841009779612E-10</v>
      </c>
      <c r="P71" s="18">
        <v>5.025144998886177E-8</v>
      </c>
      <c r="Q71" s="28">
        <v>0.45454545454545453</v>
      </c>
      <c r="R71" s="60">
        <v>352.74184651813403</v>
      </c>
      <c r="S71" s="57">
        <v>1.7436698851553758E-6</v>
      </c>
      <c r="U71" s="127">
        <v>9.0129548567317264E-10</v>
      </c>
      <c r="V71" s="127">
        <v>7.788700619487796E-10</v>
      </c>
      <c r="W71" s="128">
        <v>6.4286032178985431E-10</v>
      </c>
      <c r="X71" s="128">
        <f t="shared" si="2"/>
        <v>7.7547398284014651E-10</v>
      </c>
      <c r="Y71" s="139">
        <f t="shared" si="3"/>
        <v>5.1896148121858943</v>
      </c>
      <c r="AA71" s="73"/>
      <c r="AB71" s="182"/>
      <c r="AC71" s="182"/>
      <c r="AD71" s="182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1.6584444145200002E-2</v>
      </c>
      <c r="J72" s="109">
        <v>7.4953092749532306E-10</v>
      </c>
      <c r="K72" s="109">
        <v>7.3207260638498007E-11</v>
      </c>
      <c r="L72" s="156">
        <v>7.0363466766347585E-10</v>
      </c>
      <c r="N72" s="18">
        <v>9.149294283080475E-7</v>
      </c>
      <c r="O72" s="18">
        <v>1.5273259210510862E-10</v>
      </c>
      <c r="P72" s="18">
        <v>5.0041035215923798E-8</v>
      </c>
      <c r="Q72" s="28">
        <v>0.45454545454545453</v>
      </c>
      <c r="R72" s="60">
        <v>355.78290266073304</v>
      </c>
      <c r="S72" s="57">
        <v>1.7436698851553758E-6</v>
      </c>
      <c r="U72" s="127">
        <v>8.3569752899823121E-10</v>
      </c>
      <c r="V72" s="127">
        <v>7.0363466766347585E-10</v>
      </c>
      <c r="W72" s="128">
        <v>5.6923999586215998E-10</v>
      </c>
      <c r="X72" s="128">
        <f t="shared" si="2"/>
        <v>7.0305171504683575E-10</v>
      </c>
      <c r="Y72" s="139">
        <f t="shared" si="3"/>
        <v>0.40309666867554639</v>
      </c>
      <c r="AA72" s="73"/>
      <c r="AB72" s="182"/>
      <c r="AC72" s="182"/>
      <c r="AD72" s="182"/>
      <c r="AJ72" s="135"/>
    </row>
    <row r="73" spans="2:36" x14ac:dyDescent="0.35">
      <c r="B73" s="103"/>
      <c r="C73" s="104"/>
      <c r="D73" s="104"/>
      <c r="E73" s="104"/>
      <c r="F73" s="104"/>
      <c r="G73" s="104"/>
      <c r="H73" s="150"/>
      <c r="I73" s="109">
        <v>1.67502885867E-2</v>
      </c>
      <c r="J73" s="109">
        <v>6.2199979225611322E-10</v>
      </c>
      <c r="K73" s="109">
        <v>6.8714675170963646E-11</v>
      </c>
      <c r="L73" s="156">
        <v>6.2945383088610899E-10</v>
      </c>
      <c r="N73" s="18">
        <v>9.1224951186229093E-7</v>
      </c>
      <c r="O73" s="18">
        <v>1.5184729199816057E-10</v>
      </c>
      <c r="P73" s="18">
        <v>4.9693379437855039E-8</v>
      </c>
      <c r="Q73" s="28">
        <v>0.45454545454545453</v>
      </c>
      <c r="R73" s="60">
        <v>355.78290266073304</v>
      </c>
      <c r="S73" s="57">
        <v>1.7436712366867948E-6</v>
      </c>
      <c r="U73" s="127">
        <v>7.6583906541636993E-10</v>
      </c>
      <c r="V73" s="127">
        <v>6.2945383088610899E-10</v>
      </c>
      <c r="W73" s="128">
        <v>5.0254369116605873E-10</v>
      </c>
      <c r="X73" s="128">
        <f t="shared" si="2"/>
        <v>6.3182260458866161E-10</v>
      </c>
      <c r="Y73" s="139">
        <f t="shared" si="3"/>
        <v>2.0434908524487122E-2</v>
      </c>
      <c r="AA73" s="73"/>
      <c r="AB73" s="182"/>
      <c r="AC73" s="182"/>
      <c r="AD73" s="182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1.6917791472599999E-2</v>
      </c>
      <c r="J74" s="109">
        <v>4.9736749235596196E-10</v>
      </c>
      <c r="K74" s="109">
        <v>6.1948937687009601E-11</v>
      </c>
      <c r="L74" s="156">
        <v>5.5904664072219803E-10</v>
      </c>
      <c r="N74" s="18">
        <v>9.2170252066689195E-7</v>
      </c>
      <c r="O74" s="18">
        <v>1.5044983460514194E-10</v>
      </c>
      <c r="P74" s="18">
        <v>4.9144600402875484E-8</v>
      </c>
      <c r="Q74" s="28">
        <v>0.45454545454545453</v>
      </c>
      <c r="R74" s="60">
        <v>358.82395880333206</v>
      </c>
      <c r="S74" s="57">
        <v>1.7436712366867948E-6</v>
      </c>
      <c r="U74" s="127">
        <v>6.9414392854886079E-10</v>
      </c>
      <c r="V74" s="127">
        <v>5.5904664072219803E-10</v>
      </c>
      <c r="W74" s="128">
        <v>4.4528430973651992E-10</v>
      </c>
      <c r="X74" s="128">
        <f t="shared" si="2"/>
        <v>5.6438037993244427E-10</v>
      </c>
      <c r="Y74" s="139">
        <f t="shared" si="3"/>
        <v>1.1701699392981391</v>
      </c>
      <c r="AA74" s="73"/>
      <c r="AB74" s="182"/>
      <c r="AC74" s="182"/>
      <c r="AD74" s="182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1.7086969387300002E-2</v>
      </c>
      <c r="J75" s="109">
        <v>5.7279252775097123E-10</v>
      </c>
      <c r="K75" s="109">
        <v>6.6478962030744812E-11</v>
      </c>
      <c r="L75" s="156">
        <v>4.9500172443370045E-10</v>
      </c>
      <c r="N75" s="18">
        <v>9.4686452543620391E-7</v>
      </c>
      <c r="O75" s="18">
        <v>1.4834236757000864E-10</v>
      </c>
      <c r="P75" s="18">
        <v>4.8317001838593011E-8</v>
      </c>
      <c r="Q75" s="28">
        <v>0.45454545454545453</v>
      </c>
      <c r="R75" s="60">
        <v>358.82395880333206</v>
      </c>
      <c r="S75" s="57">
        <v>1.7436725881887588E-6</v>
      </c>
      <c r="U75" s="127">
        <v>6.2312911276083127E-10</v>
      </c>
      <c r="V75" s="127">
        <v>4.9500172443370045E-10</v>
      </c>
      <c r="W75" s="128">
        <v>3.9958203195844996E-10</v>
      </c>
      <c r="X75" s="128">
        <f t="shared" si="2"/>
        <v>5.0317864839667054E-10</v>
      </c>
      <c r="Y75" s="139">
        <f t="shared" si="3"/>
        <v>1.0965368032419736</v>
      </c>
      <c r="AA75" s="73"/>
      <c r="AB75" s="182"/>
      <c r="AC75" s="182"/>
      <c r="AD75" s="182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1.7257839081199999E-2</v>
      </c>
      <c r="J76" s="109">
        <v>5.3439891050295056E-10</v>
      </c>
      <c r="K76" s="109">
        <v>6.3452434843782975E-11</v>
      </c>
      <c r="L76" s="156">
        <v>4.3966767276222025E-10</v>
      </c>
      <c r="N76" s="18">
        <v>9.9167981338865398E-7</v>
      </c>
      <c r="O76" s="18">
        <v>1.4530598138751164E-10</v>
      </c>
      <c r="P76" s="18">
        <v>4.7124618357678949E-8</v>
      </c>
      <c r="Q76" s="28">
        <v>0.45454545454545453</v>
      </c>
      <c r="R76" s="60">
        <v>361.91697233467545</v>
      </c>
      <c r="S76" s="57">
        <v>1.7436725881887588E-6</v>
      </c>
      <c r="U76" s="127">
        <v>5.5531120282752077E-10</v>
      </c>
      <c r="V76" s="127">
        <v>4.3966767276222025E-10</v>
      </c>
      <c r="W76" s="128">
        <v>3.6706347230218124E-10</v>
      </c>
      <c r="X76" s="128">
        <f t="shared" si="2"/>
        <v>4.5042750516353564E-10</v>
      </c>
      <c r="Y76" s="139">
        <f t="shared" si="3"/>
        <v>1.7513230331751835</v>
      </c>
      <c r="AA76" s="73"/>
      <c r="AB76" s="182"/>
      <c r="AC76" s="182"/>
      <c r="AD76" s="182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1.7430417472000002E-2</v>
      </c>
      <c r="J77" s="109">
        <v>3.9442830644053354E-10</v>
      </c>
      <c r="K77" s="109">
        <v>5.4551019024497382E-11</v>
      </c>
      <c r="L77" s="156">
        <v>3.9504926597475266E-10</v>
      </c>
      <c r="N77" s="18">
        <v>1.0599857002645534E-6</v>
      </c>
      <c r="O77" s="18">
        <v>1.4112644978819675E-10</v>
      </c>
      <c r="P77" s="18">
        <v>4.5483323639313805E-8</v>
      </c>
      <c r="Q77" s="28">
        <v>0.45454545454545453</v>
      </c>
      <c r="R77" s="60">
        <v>361.91697233467545</v>
      </c>
      <c r="S77" s="57">
        <v>1.7436739394263823E-6</v>
      </c>
      <c r="U77" s="127">
        <v>4.9310834393922176E-10</v>
      </c>
      <c r="V77" s="127">
        <v>3.9504926597475266E-10</v>
      </c>
      <c r="W77" s="128">
        <v>3.4878005612874016E-10</v>
      </c>
      <c r="X77" s="128">
        <f t="shared" si="2"/>
        <v>4.0799673300436677E-10</v>
      </c>
      <c r="Y77" s="139">
        <f t="shared" si="3"/>
        <v>6.1866171550026328E-2</v>
      </c>
      <c r="AA77" s="73"/>
      <c r="AB77" s="182"/>
      <c r="AC77" s="182"/>
      <c r="AD77" s="182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1.7604721646699999E-2</v>
      </c>
      <c r="J78" s="109">
        <v>4.692326285454069E-10</v>
      </c>
      <c r="K78" s="109">
        <v>6.1542825276834161E-11</v>
      </c>
      <c r="L78" s="156">
        <v>3.6271465757014083E-10</v>
      </c>
      <c r="N78" s="18">
        <v>1.1548456203031934E-6</v>
      </c>
      <c r="O78" s="18">
        <v>1.3563011187666472E-10</v>
      </c>
      <c r="P78" s="18">
        <v>4.3324921215306217E-8</v>
      </c>
      <c r="Q78" s="28">
        <v>0.45454545454545453</v>
      </c>
      <c r="R78" s="60">
        <v>365.11948326971969</v>
      </c>
      <c r="S78" s="57">
        <v>1.7436739394263823E-6</v>
      </c>
      <c r="U78" s="127">
        <v>4.3874170094294935E-10</v>
      </c>
      <c r="V78" s="127">
        <v>3.6271465757014083E-10</v>
      </c>
      <c r="W78" s="128">
        <v>3.4515036384115027E-10</v>
      </c>
      <c r="X78" s="128">
        <f t="shared" si="2"/>
        <v>3.7733034498109532E-10</v>
      </c>
      <c r="Y78" s="139">
        <f t="shared" si="3"/>
        <v>2.2299634561133979</v>
      </c>
      <c r="AA78" s="73"/>
      <c r="AB78" s="182"/>
      <c r="AC78" s="182"/>
      <c r="AD78" s="182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1.77807688631E-2</v>
      </c>
      <c r="J79" s="109">
        <v>2.6579505543137381E-10</v>
      </c>
      <c r="K79" s="109">
        <v>4.4854861128252429E-11</v>
      </c>
      <c r="L79" s="156">
        <v>3.437184065460364E-10</v>
      </c>
      <c r="N79" s="18">
        <v>1.2777897372700898E-6</v>
      </c>
      <c r="O79" s="18">
        <v>1.287246079549018E-10</v>
      </c>
      <c r="P79" s="18">
        <v>4.0613141168602355E-8</v>
      </c>
      <c r="Q79" s="28">
        <v>0.45454545454545453</v>
      </c>
      <c r="R79" s="60">
        <v>365.11948326971969</v>
      </c>
      <c r="S79" s="57">
        <v>1.7436752895184559E-6</v>
      </c>
      <c r="U79" s="127">
        <v>3.9414072917809891E-10</v>
      </c>
      <c r="V79" s="127">
        <v>3.437184065460364E-10</v>
      </c>
      <c r="W79" s="128">
        <v>3.5593008164924788E-10</v>
      </c>
      <c r="X79" s="128">
        <f t="shared" si="2"/>
        <v>3.5937690597985491E-10</v>
      </c>
      <c r="Y79" s="139">
        <f t="shared" si="3"/>
        <v>4.352755020127252</v>
      </c>
      <c r="AA79" s="73"/>
      <c r="AB79" s="182"/>
      <c r="AC79" s="182"/>
      <c r="AD79" s="182"/>
      <c r="AJ79" s="135"/>
    </row>
    <row r="80" spans="2:36" x14ac:dyDescent="0.35">
      <c r="I80" s="109">
        <v>1.7958576551799998E-2</v>
      </c>
      <c r="J80" s="109">
        <v>2.8095021392937013E-10</v>
      </c>
      <c r="K80" s="109">
        <v>4.6532008413616992E-11</v>
      </c>
      <c r="L80" s="156">
        <v>3.3854467299495162E-10</v>
      </c>
      <c r="N80" s="18">
        <v>1.4281268259098025E-6</v>
      </c>
      <c r="O80" s="18">
        <v>1.2043576299370111E-10</v>
      </c>
      <c r="P80" s="18">
        <v>3.7358123703304822E-8</v>
      </c>
      <c r="Q80" s="28">
        <v>0.45454545454545453</v>
      </c>
      <c r="R80" s="60">
        <v>368.50180294924638</v>
      </c>
      <c r="S80" s="57">
        <v>1.7436752895184559E-6</v>
      </c>
      <c r="U80" s="127">
        <v>3.6085671371798046E-10</v>
      </c>
      <c r="V80" s="127">
        <v>3.3854467299495162E-10</v>
      </c>
      <c r="W80" s="128">
        <v>3.8021187574945288E-10</v>
      </c>
      <c r="X80" s="128">
        <f t="shared" si="2"/>
        <v>3.5453948386433414E-10</v>
      </c>
      <c r="Y80" s="139">
        <f t="shared" si="3"/>
        <v>2.5010673851689948</v>
      </c>
      <c r="AA80" s="73"/>
      <c r="AB80" s="182"/>
      <c r="AC80" s="182"/>
      <c r="AD80" s="182"/>
      <c r="AJ80" s="135"/>
    </row>
    <row r="81" spans="2:36" x14ac:dyDescent="0.35">
      <c r="I81" s="109">
        <v>1.8138162317300002E-2</v>
      </c>
      <c r="J81" s="109">
        <v>3.0519219530562526E-10</v>
      </c>
      <c r="K81" s="109">
        <v>4.9083244067572667E-11</v>
      </c>
      <c r="L81" s="156">
        <v>3.470740509308487E-10</v>
      </c>
      <c r="N81" s="18">
        <v>1.6025198826876512E-6</v>
      </c>
      <c r="O81" s="18">
        <v>1.1093039310154704E-10</v>
      </c>
      <c r="P81" s="18">
        <v>3.3625373918331868E-8</v>
      </c>
      <c r="Q81" s="28">
        <v>0.45454545454545453</v>
      </c>
      <c r="R81" s="60">
        <v>368.50180294924638</v>
      </c>
      <c r="S81" s="57">
        <v>1.7436766363034797E-6</v>
      </c>
      <c r="U81" s="127">
        <v>3.3998891237450031E-10</v>
      </c>
      <c r="V81" s="127">
        <v>3.470740509308487E-10</v>
      </c>
      <c r="W81" s="128">
        <v>4.1645607193584608E-10</v>
      </c>
      <c r="X81" s="128">
        <f t="shared" si="2"/>
        <v>3.6264827154301096E-10</v>
      </c>
      <c r="Y81" s="139">
        <f t="shared" si="3"/>
        <v>1.3702676672652752</v>
      </c>
      <c r="AA81" s="73"/>
      <c r="AB81" s="182"/>
      <c r="AC81" s="182"/>
      <c r="AD81" s="182"/>
      <c r="AJ81" s="135"/>
    </row>
    <row r="82" spans="2:36" x14ac:dyDescent="0.35">
      <c r="I82" s="109">
        <v>1.8319543940500001E-2</v>
      </c>
      <c r="J82" s="109">
        <v>3.1421589797842457E-10</v>
      </c>
      <c r="K82" s="109">
        <v>4.9951140021843635E-11</v>
      </c>
      <c r="L82" s="156">
        <v>3.6857646815902158E-10</v>
      </c>
      <c r="N82" s="18">
        <v>1.7949890631183405E-6</v>
      </c>
      <c r="O82" s="18">
        <v>1.0051634568210329E-10</v>
      </c>
      <c r="P82" s="18">
        <v>2.9535774468313248E-8</v>
      </c>
      <c r="Q82" s="28">
        <v>0.45454545454545453</v>
      </c>
      <c r="R82" s="60">
        <v>372.15836328244518</v>
      </c>
      <c r="S82" s="57">
        <v>1.7436766363034797E-6</v>
      </c>
      <c r="U82" s="127">
        <v>3.321272598346157E-10</v>
      </c>
      <c r="V82" s="127">
        <v>3.6857646815902158E-10</v>
      </c>
      <c r="W82" s="128">
        <v>4.6255157214786125E-10</v>
      </c>
      <c r="X82" s="128">
        <f t="shared" si="2"/>
        <v>3.8295794207513003E-10</v>
      </c>
      <c r="Y82" s="139">
        <f t="shared" si="3"/>
        <v>1.8938870533309091</v>
      </c>
      <c r="AA82" s="73"/>
      <c r="AB82" s="182"/>
      <c r="AC82" s="182"/>
      <c r="AD82" s="182"/>
      <c r="AJ82" s="135"/>
    </row>
    <row r="83" spans="2:36" x14ac:dyDescent="0.35">
      <c r="I83" s="109">
        <v>1.8502739379900001E-2</v>
      </c>
      <c r="J83" s="109">
        <v>4.3000496393200907E-10</v>
      </c>
      <c r="K83" s="109">
        <v>5.7703949860616323E-11</v>
      </c>
      <c r="L83" s="156">
        <v>4.0173141032702249E-10</v>
      </c>
      <c r="N83" s="18">
        <v>1.9463755492462878E-6</v>
      </c>
      <c r="O83" s="18">
        <v>9.2360482362648813E-11</v>
      </c>
      <c r="P83" s="18">
        <v>2.6332944681746528E-8</v>
      </c>
      <c r="Q83" s="28">
        <v>0.22727272727272727</v>
      </c>
      <c r="R83" s="60">
        <v>372.15836328244518</v>
      </c>
      <c r="S83" s="57">
        <v>1.743677975288043E-6</v>
      </c>
      <c r="U83" s="127">
        <v>3.373149823102028E-10</v>
      </c>
      <c r="V83" s="127">
        <v>4.0173141032702249E-10</v>
      </c>
      <c r="W83" s="128">
        <v>5.1590505120139909E-10</v>
      </c>
      <c r="X83" s="128">
        <f t="shared" si="2"/>
        <v>4.1417071354141175E-10</v>
      </c>
      <c r="Y83" s="139">
        <f t="shared" si="3"/>
        <v>7.5298085280141716E-2</v>
      </c>
      <c r="AA83" s="73"/>
      <c r="AB83" s="182"/>
      <c r="AC83" s="182"/>
      <c r="AD83" s="182"/>
      <c r="AJ83" s="135"/>
    </row>
    <row r="84" spans="2:36" x14ac:dyDescent="0.35">
      <c r="I84" s="109">
        <v>1.8687766773700001E-2</v>
      </c>
      <c r="J84" s="109">
        <v>4.1051239301356829E-10</v>
      </c>
      <c r="K84" s="109">
        <v>5.9638738432617744E-11</v>
      </c>
      <c r="L84" s="156">
        <v>4.4467549790386262E-10</v>
      </c>
      <c r="N84" s="18">
        <v>2.0352053220195496E-6</v>
      </c>
      <c r="O84" s="18">
        <v>8.7134215629684712E-11</v>
      </c>
      <c r="P84" s="18">
        <v>2.428055835217318E-8</v>
      </c>
      <c r="Q84" s="28">
        <v>0.20553478847173681</v>
      </c>
      <c r="R84" s="60">
        <v>376.22870203128224</v>
      </c>
      <c r="S84" s="57">
        <v>1.743677975288043E-6</v>
      </c>
      <c r="U84" s="127">
        <v>3.5503367052239297E-10</v>
      </c>
      <c r="V84" s="127">
        <v>4.4467549790386262E-10</v>
      </c>
      <c r="W84" s="128">
        <v>5.7355520821175256E-10</v>
      </c>
      <c r="X84" s="128">
        <f t="shared" si="2"/>
        <v>4.5448496863546769E-10</v>
      </c>
      <c r="Y84" s="139">
        <f t="shared" si="3"/>
        <v>0.54363437834917616</v>
      </c>
      <c r="AA84" s="73"/>
      <c r="AB84" s="182"/>
      <c r="AC84" s="182"/>
      <c r="AD84" s="182"/>
      <c r="AJ84" s="135"/>
    </row>
    <row r="85" spans="2:36" x14ac:dyDescent="0.35">
      <c r="I85" s="109">
        <v>1.8874644441399999E-2</v>
      </c>
      <c r="J85" s="109">
        <v>3.8230676782211459E-10</v>
      </c>
      <c r="K85" s="109">
        <v>5.5189897180685408E-11</v>
      </c>
      <c r="L85" s="156">
        <v>4.950762261239286E-10</v>
      </c>
      <c r="N85" s="18">
        <v>2.1743995239802597E-6</v>
      </c>
      <c r="O85" s="18">
        <v>7.9745396800384886E-11</v>
      </c>
      <c r="P85" s="18">
        <v>2.1378884325435308E-8</v>
      </c>
      <c r="Q85" s="28">
        <v>0.41106957694347362</v>
      </c>
      <c r="R85" s="60">
        <v>376.22870203128224</v>
      </c>
      <c r="S85" s="57">
        <v>1.7436792977037975E-6</v>
      </c>
      <c r="U85" s="127">
        <v>3.8421241870910456E-10</v>
      </c>
      <c r="V85" s="127">
        <v>4.950762261239286E-10</v>
      </c>
      <c r="W85" s="128">
        <v>6.3230772440562778E-10</v>
      </c>
      <c r="X85" s="128">
        <f t="shared" si="2"/>
        <v>5.0166814884064735E-10</v>
      </c>
      <c r="Y85" s="139">
        <f t="shared" si="3"/>
        <v>4.6774429587733515</v>
      </c>
      <c r="AA85" s="73"/>
      <c r="AB85" s="182"/>
      <c r="AC85" s="182"/>
      <c r="AD85" s="182"/>
      <c r="AJ85" s="135"/>
    </row>
    <row r="86" spans="2:36" x14ac:dyDescent="0.35">
      <c r="I86" s="109">
        <v>1.9063390885799999E-2</v>
      </c>
      <c r="J86" s="109">
        <v>5.2748267164999508E-10</v>
      </c>
      <c r="K86" s="109">
        <v>6.4864084824543511E-11</v>
      </c>
      <c r="L86" s="156">
        <v>5.5022951873846303E-10</v>
      </c>
      <c r="N86" s="18">
        <v>2.3535186280961635E-6</v>
      </c>
      <c r="O86" s="18">
        <v>7.0236668334364288E-11</v>
      </c>
      <c r="P86" s="18">
        <v>1.7644561653578393E-8</v>
      </c>
      <c r="Q86" s="28">
        <v>0.41106957694347362</v>
      </c>
      <c r="R86" s="60">
        <v>380.94243981811746</v>
      </c>
      <c r="S86" s="57">
        <v>1.7436792977037975E-6</v>
      </c>
      <c r="U86" s="127">
        <v>4.2326161169954377E-10</v>
      </c>
      <c r="V86" s="127">
        <v>5.5022951873846303E-10</v>
      </c>
      <c r="W86" s="128">
        <v>6.8888561194653142E-10</v>
      </c>
      <c r="X86" s="128">
        <f t="shared" si="2"/>
        <v>5.5315156528075031E-10</v>
      </c>
      <c r="Y86" s="139">
        <f t="shared" si="3"/>
        <v>0.15660503131659503</v>
      </c>
      <c r="AA86" s="73"/>
      <c r="AB86" s="182"/>
      <c r="AC86" s="182"/>
      <c r="AD86" s="182"/>
      <c r="AJ86" s="135"/>
    </row>
    <row r="87" spans="2:36" x14ac:dyDescent="0.35">
      <c r="I87" s="109">
        <v>1.9254024794699998E-2</v>
      </c>
      <c r="J87" s="109">
        <v>5.4485297757977952E-10</v>
      </c>
      <c r="K87" s="109">
        <v>6.4653580944597456E-11</v>
      </c>
      <c r="L87" s="156">
        <v>6.0717767830979339E-10</v>
      </c>
      <c r="N87" s="18">
        <v>2.5197025051255869E-6</v>
      </c>
      <c r="O87" s="18">
        <v>6.1413287955015704E-11</v>
      </c>
      <c r="P87" s="18">
        <v>1.4179083003548695E-8</v>
      </c>
      <c r="Q87" s="28">
        <v>0.41106957694347362</v>
      </c>
      <c r="R87" s="60">
        <v>380.94243981811746</v>
      </c>
      <c r="S87" s="57">
        <v>1.7436805865749005E-6</v>
      </c>
      <c r="U87" s="127">
        <v>4.7013088390559768E-10</v>
      </c>
      <c r="V87" s="127">
        <v>6.0717767830979339E-10</v>
      </c>
      <c r="W87" s="128">
        <v>7.4008881970356762E-10</v>
      </c>
      <c r="X87" s="128">
        <f t="shared" si="2"/>
        <v>6.0614376505718802E-10</v>
      </c>
      <c r="Y87" s="139">
        <f t="shared" si="3"/>
        <v>0.89868032689173905</v>
      </c>
      <c r="AA87" s="73"/>
      <c r="AB87" s="182"/>
      <c r="AC87" s="182"/>
      <c r="AD87" s="182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1.9446565042599999E-2</v>
      </c>
      <c r="J88" s="109">
        <v>7.2322753687594479E-10</v>
      </c>
      <c r="K88" s="109">
        <v>7.3564016099215565E-11</v>
      </c>
      <c r="L88" s="156">
        <v>6.628433564996675E-10</v>
      </c>
      <c r="N88" s="18">
        <v>2.6681855005062899E-6</v>
      </c>
      <c r="O88" s="18">
        <v>5.3527009846849074E-11</v>
      </c>
      <c r="P88" s="18">
        <v>1.1081031356073684E-8</v>
      </c>
      <c r="Q88" s="28">
        <v>0.41106957694347362</v>
      </c>
      <c r="R88" s="60">
        <v>386.73479307866086</v>
      </c>
      <c r="S88" s="57">
        <v>1.7436805865749005E-6</v>
      </c>
      <c r="U88" s="127">
        <v>5.2238972747345946E-10</v>
      </c>
      <c r="V88" s="127">
        <v>6.628433564996675E-10</v>
      </c>
      <c r="W88" s="128">
        <v>7.8295628654487813E-10</v>
      </c>
      <c r="X88" s="128">
        <f t="shared" si="2"/>
        <v>6.577581817544182E-10</v>
      </c>
      <c r="Y88" s="139">
        <f t="shared" si="3"/>
        <v>0.79203662533597607</v>
      </c>
      <c r="AA88" s="73"/>
      <c r="AB88" s="182"/>
      <c r="AC88" s="182"/>
      <c r="AD88" s="182"/>
      <c r="AJ88" s="135"/>
    </row>
    <row r="89" spans="2:36" x14ac:dyDescent="0.35">
      <c r="I89" s="109">
        <v>1.9641030693100001E-2</v>
      </c>
      <c r="J89" s="109">
        <v>8.3544155650226573E-10</v>
      </c>
      <c r="K89" s="109">
        <v>7.961370358267486E-11</v>
      </c>
      <c r="L89" s="156">
        <v>7.1417432314238402E-10</v>
      </c>
      <c r="N89" s="18">
        <v>2.7958988191742747E-6</v>
      </c>
      <c r="O89" s="18">
        <v>4.6738546307063201E-11</v>
      </c>
      <c r="P89" s="18">
        <v>8.4130113998131541E-9</v>
      </c>
      <c r="Q89" s="28">
        <v>0.41106957694347362</v>
      </c>
      <c r="R89" s="60">
        <v>386.73479307866086</v>
      </c>
      <c r="S89" s="57">
        <v>1.7436818078482949E-6</v>
      </c>
      <c r="U89" s="127">
        <v>5.7732822494061729E-10</v>
      </c>
      <c r="V89" s="127">
        <v>7.1417432314238402E-10</v>
      </c>
      <c r="W89" s="128">
        <v>8.1492310291759038E-10</v>
      </c>
      <c r="X89" s="128">
        <f t="shared" si="2"/>
        <v>7.0514999353574398E-10</v>
      </c>
      <c r="Y89" s="139">
        <f t="shared" si="3"/>
        <v>2.6782858862571737</v>
      </c>
      <c r="AA89" s="73"/>
      <c r="AB89" s="182"/>
      <c r="AC89" s="182"/>
      <c r="AD89" s="182"/>
      <c r="AJ89" s="135"/>
    </row>
    <row r="90" spans="2:36" x14ac:dyDescent="0.35">
      <c r="I90" s="109">
        <v>1.9837441000000001E-2</v>
      </c>
      <c r="J90" s="109">
        <v>7.8159859701201522E-10</v>
      </c>
      <c r="K90" s="109">
        <v>7.7969711076585122E-11</v>
      </c>
      <c r="L90" s="156">
        <v>7.5829308597340078E-10</v>
      </c>
      <c r="N90" s="18">
        <v>2.9015512142563631E-6</v>
      </c>
      <c r="O90" s="18">
        <v>4.1112671245169449E-11</v>
      </c>
      <c r="P90" s="18">
        <v>6.1995839734130939E-9</v>
      </c>
      <c r="Q90" s="28">
        <v>0.41106957694347362</v>
      </c>
      <c r="R90" s="60">
        <v>394.64062019849541</v>
      </c>
      <c r="S90" s="57">
        <v>1.7436818078482949E-6</v>
      </c>
      <c r="U90" s="127">
        <v>6.3207444572683804E-10</v>
      </c>
      <c r="V90" s="127">
        <v>7.5829308597340078E-10</v>
      </c>
      <c r="W90" s="128">
        <v>8.3396507984490629E-10</v>
      </c>
      <c r="X90" s="128">
        <f t="shared" si="2"/>
        <v>7.4565642437963645E-10</v>
      </c>
      <c r="Y90" s="139">
        <f t="shared" si="3"/>
        <v>0.21249895651969858</v>
      </c>
      <c r="AA90" s="73"/>
      <c r="AB90" s="182"/>
      <c r="AC90" s="182"/>
      <c r="AD90" s="182"/>
      <c r="AJ90" s="135"/>
    </row>
    <row r="91" spans="2:36" x14ac:dyDescent="0.35">
      <c r="I91" s="109">
        <v>2.0035815410000001E-2</v>
      </c>
      <c r="J91" s="109">
        <v>8.7231967393957818E-10</v>
      </c>
      <c r="K91" s="109">
        <v>8.3353315796673916E-11</v>
      </c>
      <c r="L91" s="156">
        <v>7.9264481671016863E-10</v>
      </c>
      <c r="N91" s="18">
        <v>2.9854418178941134E-6</v>
      </c>
      <c r="O91" s="18">
        <v>3.662729036197222E-11</v>
      </c>
      <c r="P91" s="18">
        <v>4.4306267800768407E-9</v>
      </c>
      <c r="Q91" s="28">
        <v>0.41106957694347362</v>
      </c>
      <c r="R91" s="60">
        <v>394.64062019849541</v>
      </c>
      <c r="S91" s="57">
        <v>1.7436828871385557E-6</v>
      </c>
      <c r="U91" s="127">
        <v>6.8372419322857593E-10</v>
      </c>
      <c r="V91" s="127">
        <v>7.9264481671016863E-10</v>
      </c>
      <c r="W91" s="128">
        <v>8.3872288082380332E-10</v>
      </c>
      <c r="X91" s="128">
        <f t="shared" si="2"/>
        <v>7.7693417686817915E-10</v>
      </c>
      <c r="Y91" s="139">
        <f t="shared" si="3"/>
        <v>1.3095404958481902</v>
      </c>
      <c r="AA91" s="73"/>
      <c r="AB91" s="182"/>
      <c r="AC91" s="182"/>
      <c r="AD91" s="182"/>
      <c r="AJ91" s="135"/>
    </row>
    <row r="92" spans="2:36" x14ac:dyDescent="0.35">
      <c r="I92" s="109">
        <v>2.0236173564099999E-2</v>
      </c>
      <c r="J92" s="109">
        <v>8.0552994046550556E-10</v>
      </c>
      <c r="K92" s="109">
        <v>7.9991575347317795E-11</v>
      </c>
      <c r="L92" s="156">
        <v>8.1513659147034699E-10</v>
      </c>
      <c r="N92" s="18">
        <v>3.0490717035368547E-6</v>
      </c>
      <c r="O92" s="18">
        <v>3.3192935734698303E-11</v>
      </c>
      <c r="P92" s="18">
        <v>3.068728533267934E-9</v>
      </c>
      <c r="Q92" s="28">
        <v>0.41106957694347362</v>
      </c>
      <c r="R92" s="60">
        <v>408.84749649453789</v>
      </c>
      <c r="S92" s="57">
        <v>1.7436828871385557E-6</v>
      </c>
      <c r="U92" s="127">
        <v>7.2947802619254085E-10</v>
      </c>
      <c r="V92" s="127">
        <v>8.1513659147034699E-10</v>
      </c>
      <c r="W92" s="128">
        <v>8.2859801429355918E-10</v>
      </c>
      <c r="X92" s="128">
        <f t="shared" si="2"/>
        <v>7.9708730585669842E-10</v>
      </c>
      <c r="Y92" s="139">
        <f t="shared" si="3"/>
        <v>1.1139545911883826E-2</v>
      </c>
      <c r="AA92" s="73"/>
      <c r="AB92" s="182"/>
      <c r="AC92" s="182"/>
      <c r="AD92" s="182"/>
      <c r="AJ92" s="135"/>
    </row>
    <row r="93" spans="2:36" x14ac:dyDescent="0.35">
      <c r="I93" s="109">
        <v>2.0438535299700002E-2</v>
      </c>
      <c r="J93" s="109">
        <v>9.9820650567879811E-10</v>
      </c>
      <c r="K93" s="109">
        <v>8.9766234831495537E-11</v>
      </c>
      <c r="L93" s="156">
        <v>8.2426070148717409E-10</v>
      </c>
      <c r="N93" s="18">
        <v>3.0946494569912799E-6</v>
      </c>
      <c r="O93" s="18">
        <v>3.0677690526806499E-11</v>
      </c>
      <c r="P93" s="18">
        <v>2.0586699452077588E-9</v>
      </c>
      <c r="Q93" s="28">
        <v>0.41106957694347362</v>
      </c>
      <c r="R93" s="60">
        <v>408.84749649453789</v>
      </c>
      <c r="S93" s="57">
        <v>1.7436836332002457E-6</v>
      </c>
      <c r="U93" s="127">
        <v>7.6677982472074006E-10</v>
      </c>
      <c r="V93" s="127">
        <v>8.2426070148717409E-10</v>
      </c>
      <c r="W93" s="128">
        <v>8.0381350515738108E-10</v>
      </c>
      <c r="X93" s="128">
        <f t="shared" si="2"/>
        <v>8.0477868321311733E-10</v>
      </c>
      <c r="Y93" s="139">
        <f t="shared" si="3"/>
        <v>4.6431409390545113</v>
      </c>
      <c r="AA93" s="73"/>
      <c r="AB93" s="182"/>
      <c r="AC93" s="182"/>
      <c r="AD93" s="182"/>
      <c r="AJ93" s="135"/>
    </row>
    <row r="94" spans="2:36" x14ac:dyDescent="0.35">
      <c r="I94" s="109">
        <v>2.06429206527E-2</v>
      </c>
      <c r="J94" s="109">
        <v>8.5300340264835005E-10</v>
      </c>
      <c r="K94" s="109">
        <v>8.2050406584921983E-11</v>
      </c>
      <c r="L94" s="156">
        <v>8.1919478847836329E-10</v>
      </c>
      <c r="N94" s="18">
        <v>3.1245901225577395E-6</v>
      </c>
      <c r="O94" s="18">
        <v>2.8932440208745629E-11</v>
      </c>
      <c r="P94" s="18">
        <v>1.3370270886971167E-9</v>
      </c>
      <c r="Q94" s="28">
        <v>0.41106957694347362</v>
      </c>
      <c r="R94" s="60">
        <v>427.92630849657877</v>
      </c>
      <c r="S94" s="57">
        <v>1.7436836332002457E-6</v>
      </c>
      <c r="U94" s="127">
        <v>7.9345064511276546E-10</v>
      </c>
      <c r="V94" s="127">
        <v>8.1919478847836329E-10</v>
      </c>
      <c r="W94" s="128">
        <v>7.654330518774095E-10</v>
      </c>
      <c r="X94" s="128">
        <f t="shared" si="2"/>
        <v>7.9931831848672544E-10</v>
      </c>
      <c r="Y94" s="139">
        <f t="shared" si="3"/>
        <v>0.42810056563947241</v>
      </c>
      <c r="AA94" s="73"/>
      <c r="AB94" s="182"/>
      <c r="AC94" s="182"/>
      <c r="AD94" s="182"/>
      <c r="AJ94" s="135"/>
    </row>
    <row r="95" spans="2:36" x14ac:dyDescent="0.35">
      <c r="I95" s="109">
        <v>2.0849349859299999E-2</v>
      </c>
      <c r="J95" s="109">
        <v>8.23247528688048E-10</v>
      </c>
      <c r="K95" s="109">
        <v>8.1234374063176467E-11</v>
      </c>
      <c r="L95" s="156">
        <v>7.9987188537998513E-10</v>
      </c>
      <c r="N95" s="18">
        <v>3.1410906819554598E-6</v>
      </c>
      <c r="O95" s="18">
        <v>2.7812339465112228E-11</v>
      </c>
      <c r="P95" s="18">
        <v>8.4035333381133088E-10</v>
      </c>
      <c r="Q95" s="28">
        <v>0.41106957694347362</v>
      </c>
      <c r="R95" s="60">
        <v>427.92630849657877</v>
      </c>
      <c r="S95" s="57">
        <v>1.7436837362860377E-6</v>
      </c>
      <c r="U95" s="127">
        <v>8.07811247547854E-10</v>
      </c>
      <c r="V95" s="127">
        <v>7.9987188537998513E-10</v>
      </c>
      <c r="W95" s="128">
        <v>7.1533400934932146E-10</v>
      </c>
      <c r="X95" s="128">
        <f t="shared" si="2"/>
        <v>7.8072225691428638E-10</v>
      </c>
      <c r="Y95" s="139">
        <f t="shared" si="3"/>
        <v>0.27404035329857723</v>
      </c>
      <c r="AA95" s="73"/>
      <c r="AB95" s="182"/>
      <c r="AC95" s="182"/>
      <c r="AD95" s="182"/>
      <c r="AJ95" s="135"/>
    </row>
    <row r="96" spans="2:36" x14ac:dyDescent="0.35">
      <c r="I96" s="109">
        <v>2.1057843357800001E-2</v>
      </c>
      <c r="J96" s="109">
        <v>1.0391442778191838E-9</v>
      </c>
      <c r="K96" s="109">
        <v>9.2368468938022628E-11</v>
      </c>
      <c r="L96" s="156">
        <v>7.6701417550438724E-10</v>
      </c>
      <c r="N96" s="18">
        <v>3.1458374635868745E-6</v>
      </c>
      <c r="O96" s="18">
        <v>2.7191982575723605E-11</v>
      </c>
      <c r="P96" s="18">
        <v>5.1105293281778996E-10</v>
      </c>
      <c r="Q96" s="28">
        <v>0.41106957694347362</v>
      </c>
      <c r="R96" s="60">
        <v>1164.1910246454634</v>
      </c>
      <c r="S96" s="57">
        <v>1.7436837362860377E-6</v>
      </c>
      <c r="U96" s="127">
        <v>8.0878653538600944E-10</v>
      </c>
      <c r="V96" s="127">
        <v>7.6701417550438724E-10</v>
      </c>
      <c r="W96" s="128">
        <v>6.5613165418479471E-10</v>
      </c>
      <c r="X96" s="128">
        <f t="shared" si="2"/>
        <v>7.4973663514489468E-10</v>
      </c>
      <c r="Y96" s="139">
        <f t="shared" si="3"/>
        <v>9.8168578318381101</v>
      </c>
      <c r="AA96" s="73"/>
      <c r="AB96" s="182"/>
      <c r="AC96" s="182"/>
      <c r="AD96" s="182"/>
      <c r="AJ96" s="135"/>
    </row>
    <row r="97" spans="9:36" x14ac:dyDescent="0.35">
      <c r="I97" s="109">
        <v>2.12684217914E-2</v>
      </c>
      <c r="J97" s="109">
        <v>8.2342152290583326E-10</v>
      </c>
      <c r="K97" s="109">
        <v>8.2542134681721042E-11</v>
      </c>
      <c r="L97" s="156">
        <v>7.2212549188422266E-10</v>
      </c>
      <c r="N97" s="18">
        <v>3.1398706244993949E-6</v>
      </c>
      <c r="O97" s="18">
        <v>2.697343755436428E-11</v>
      </c>
      <c r="P97" s="18">
        <v>3.0073159380766358E-10</v>
      </c>
      <c r="Q97" s="28">
        <v>0.41106957694347362</v>
      </c>
      <c r="R97" s="60">
        <v>1164.1910246454634</v>
      </c>
      <c r="S97" s="57">
        <v>1.7399016462744015E-6</v>
      </c>
      <c r="U97" s="127">
        <v>7.9598527668004508E-10</v>
      </c>
      <c r="V97" s="127">
        <v>7.2212549188422266E-10</v>
      </c>
      <c r="W97" s="128">
        <v>5.9105486809932571E-10</v>
      </c>
      <c r="X97" s="128">
        <f t="shared" si="2"/>
        <v>7.0782278213695403E-10</v>
      </c>
      <c r="Y97" s="139">
        <f t="shared" si="3"/>
        <v>1.9613487093055413</v>
      </c>
      <c r="AA97" s="73"/>
      <c r="AB97" s="182"/>
      <c r="AC97" s="182"/>
      <c r="AD97" s="182"/>
      <c r="AJ97" s="135"/>
    </row>
    <row r="98" spans="9:36" x14ac:dyDescent="0.35">
      <c r="I98" s="109">
        <v>2.1481106009300002E-2</v>
      </c>
      <c r="J98" s="109">
        <v>7.1104541436125019E-10</v>
      </c>
      <c r="K98" s="109">
        <v>7.7262508138876646E-11</v>
      </c>
      <c r="L98" s="156">
        <v>6.6743930906632273E-10</v>
      </c>
      <c r="N98" s="18">
        <v>3.1236043167907311E-6</v>
      </c>
      <c r="O98" s="18">
        <v>2.7087660939658739E-11</v>
      </c>
      <c r="P98" s="18">
        <v>1.7133011369933124E-10</v>
      </c>
      <c r="Q98" s="28">
        <v>0.41106957694347362</v>
      </c>
      <c r="R98" s="60">
        <v>1167.6331878216115</v>
      </c>
      <c r="S98" s="57">
        <v>1.7399016462744015E-6</v>
      </c>
      <c r="U98" s="127">
        <v>7.6974895690014766E-10</v>
      </c>
      <c r="V98" s="127">
        <v>6.6743930906632273E-10</v>
      </c>
      <c r="W98" s="128">
        <v>5.2377652204984158E-10</v>
      </c>
      <c r="X98" s="128">
        <f t="shared" si="2"/>
        <v>6.5710102427065867E-10</v>
      </c>
      <c r="Y98" s="139">
        <f t="shared" si="3"/>
        <v>0.48747794283158091</v>
      </c>
      <c r="AA98" s="73"/>
      <c r="AB98" s="182"/>
      <c r="AC98" s="182"/>
      <c r="AD98" s="182"/>
      <c r="AJ98" s="135"/>
    </row>
    <row r="99" spans="9:36" x14ac:dyDescent="0.35">
      <c r="I99" s="109">
        <v>2.1695917069400002E-2</v>
      </c>
      <c r="J99" s="109">
        <v>7.0490527284729352E-10</v>
      </c>
      <c r="K99" s="109">
        <v>7.6885035263196982E-11</v>
      </c>
      <c r="L99" s="156">
        <v>6.0582122875115795E-10</v>
      </c>
      <c r="N99" s="18">
        <v>3.0969806825132632E-6</v>
      </c>
      <c r="O99" s="18">
        <v>2.7490680372100402E-11</v>
      </c>
      <c r="P99" s="18">
        <v>9.463860041658593E-11</v>
      </c>
      <c r="Q99" s="28">
        <v>0.41106957694347362</v>
      </c>
      <c r="R99" s="60">
        <v>1167.6331878216115</v>
      </c>
      <c r="S99" s="57">
        <v>1.7125295670160563E-6</v>
      </c>
      <c r="U99" s="127">
        <v>7.3116450170987556E-10</v>
      </c>
      <c r="V99" s="127">
        <v>6.0582122875115795E-10</v>
      </c>
      <c r="W99" s="128">
        <v>4.5820527408127687E-10</v>
      </c>
      <c r="X99" s="128">
        <f t="shared" si="2"/>
        <v>6.002530583233671E-10</v>
      </c>
      <c r="Y99" s="139">
        <f t="shared" si="3"/>
        <v>1.8527345902563102</v>
      </c>
      <c r="AA99" s="73"/>
      <c r="AB99" s="182"/>
      <c r="AC99" s="182"/>
      <c r="AD99" s="182"/>
      <c r="AJ99" s="135"/>
    </row>
    <row r="100" spans="9:36" x14ac:dyDescent="0.35">
      <c r="I100" s="109">
        <v>2.19128762401E-2</v>
      </c>
      <c r="J100" s="109">
        <v>5.949892079079671E-10</v>
      </c>
      <c r="K100" s="109">
        <v>7.0890518575274159E-11</v>
      </c>
      <c r="L100" s="156">
        <v>5.406276726532061E-10</v>
      </c>
      <c r="N100" s="18">
        <v>3.0597208951042996E-6</v>
      </c>
      <c r="O100" s="18">
        <v>2.815633812249957E-11</v>
      </c>
      <c r="P100" s="18">
        <v>5.0858424887710543E-11</v>
      </c>
      <c r="Q100" s="28">
        <v>0.41106957694347362</v>
      </c>
      <c r="R100" s="60">
        <v>1170.1963655723594</v>
      </c>
      <c r="S100" s="57">
        <v>1.7125295670160563E-6</v>
      </c>
      <c r="U100" s="127">
        <v>6.8203695860213575E-10</v>
      </c>
      <c r="V100" s="127">
        <v>5.406276726532061E-10</v>
      </c>
      <c r="W100" s="128">
        <v>3.9824895701010549E-10</v>
      </c>
      <c r="X100" s="128">
        <f t="shared" si="2"/>
        <v>5.4038531522966333E-10</v>
      </c>
      <c r="Y100" s="139">
        <f t="shared" si="3"/>
        <v>0.59329529217372234</v>
      </c>
      <c r="AA100" s="73"/>
      <c r="AB100" s="182"/>
      <c r="AC100" s="182"/>
      <c r="AD100" s="182"/>
      <c r="AJ100" s="135"/>
    </row>
    <row r="101" spans="9:36" x14ac:dyDescent="0.35">
      <c r="I101" s="109">
        <v>2.21320050025E-2</v>
      </c>
      <c r="J101" s="109">
        <v>4.9747938495686623E-10</v>
      </c>
      <c r="K101" s="109">
        <v>6.6647006497694969E-11</v>
      </c>
      <c r="L101" s="156">
        <v>4.755255380014818E-10</v>
      </c>
      <c r="N101" s="18">
        <v>3.0116258116761786E-6</v>
      </c>
      <c r="O101" s="18">
        <v>2.9067455593454931E-11</v>
      </c>
      <c r="P101" s="18">
        <v>2.6789317350800818E-11</v>
      </c>
      <c r="Q101" s="28">
        <v>0.41106957694347362</v>
      </c>
      <c r="R101" s="60">
        <v>1170.1963655723594</v>
      </c>
      <c r="S101" s="57">
        <v>1.6729317442740159E-6</v>
      </c>
      <c r="U101" s="127">
        <v>6.2482005344522528E-10</v>
      </c>
      <c r="V101" s="127">
        <v>4.755255380014818E-10</v>
      </c>
      <c r="W101" s="128">
        <v>3.475629052230979E-10</v>
      </c>
      <c r="X101" s="128">
        <f t="shared" si="2"/>
        <v>4.8085850866782171E-10</v>
      </c>
      <c r="Y101" s="139">
        <f t="shared" si="3"/>
        <v>6.2193720701443876E-2</v>
      </c>
      <c r="AA101" s="73"/>
      <c r="AB101" s="182"/>
      <c r="AC101" s="182"/>
      <c r="AD101" s="182"/>
      <c r="AJ101" s="135"/>
    </row>
    <row r="102" spans="9:36" x14ac:dyDescent="0.35">
      <c r="I102" s="109">
        <v>2.2353325052600001E-2</v>
      </c>
      <c r="J102" s="109">
        <v>4.8234133775630359E-10</v>
      </c>
      <c r="K102" s="109">
        <v>2.7194107648282446E-11</v>
      </c>
      <c r="L102" s="156">
        <v>4.1428074746720183E-10</v>
      </c>
      <c r="N102" s="18">
        <v>2.9528722764745607E-6</v>
      </c>
      <c r="O102" s="18">
        <v>3.0207137888519428E-11</v>
      </c>
      <c r="P102" s="18">
        <v>1.4050356053370215E-11</v>
      </c>
      <c r="Q102" s="28">
        <v>0.41106957694347362</v>
      </c>
      <c r="R102" s="60">
        <v>1171.6227199484063</v>
      </c>
      <c r="S102" s="57">
        <v>1.6729317442740159E-6</v>
      </c>
      <c r="U102" s="127">
        <v>5.6250481456284675E-10</v>
      </c>
      <c r="V102" s="127">
        <v>4.1428074746720183E-10</v>
      </c>
      <c r="W102" s="128">
        <v>3.0929911550738266E-10</v>
      </c>
      <c r="X102" s="128">
        <f t="shared" si="2"/>
        <v>4.2509135625115831E-10</v>
      </c>
      <c r="Y102" s="139">
        <f t="shared" si="3"/>
        <v>4.4320135211774581</v>
      </c>
      <c r="AA102" s="73"/>
      <c r="AB102" s="182"/>
      <c r="AC102" s="182"/>
      <c r="AD102" s="182"/>
      <c r="AJ102" s="135"/>
    </row>
    <row r="103" spans="9:36" x14ac:dyDescent="0.35">
      <c r="I103" s="109">
        <v>2.2576858303100002E-2</v>
      </c>
      <c r="J103" s="109">
        <v>4.2579581245533067E-10</v>
      </c>
      <c r="K103" s="109">
        <v>2.5598360342973914E-11</v>
      </c>
      <c r="L103" s="156">
        <v>3.6052667794400168E-10</v>
      </c>
      <c r="N103" s="18">
        <v>2.8842503215441168E-6</v>
      </c>
      <c r="O103" s="18">
        <v>3.1551667678996288E-11</v>
      </c>
      <c r="P103" s="18">
        <v>7.5650460290543338E-12</v>
      </c>
      <c r="Q103" s="28">
        <v>0.41106957694347362</v>
      </c>
      <c r="R103" s="60">
        <v>1171.6227199484063</v>
      </c>
      <c r="S103" s="57">
        <v>1.6281247362277643E-6</v>
      </c>
      <c r="U103" s="127">
        <v>4.984690989521927E-10</v>
      </c>
      <c r="V103" s="127">
        <v>3.6052667794400168E-10</v>
      </c>
      <c r="W103" s="128">
        <v>2.8587372661115775E-10</v>
      </c>
      <c r="X103" s="128">
        <f t="shared" si="2"/>
        <v>3.7634904536283842E-10</v>
      </c>
      <c r="Y103" s="139">
        <f t="shared" si="3"/>
        <v>3.7312255918839403</v>
      </c>
      <c r="AA103" s="73"/>
      <c r="AB103" s="182"/>
      <c r="AC103" s="182"/>
      <c r="AD103" s="182"/>
      <c r="AJ103" s="135"/>
    </row>
    <row r="104" spans="9:36" x14ac:dyDescent="0.35">
      <c r="I104" s="109">
        <v>2.2802626886099998E-2</v>
      </c>
      <c r="J104" s="109">
        <v>2.9154325827407178E-10</v>
      </c>
      <c r="K104" s="109">
        <v>2.025416384629401E-11</v>
      </c>
      <c r="L104" s="156">
        <v>3.1752608822905247E-10</v>
      </c>
      <c r="N104" s="18">
        <v>2.8072938753376719E-6</v>
      </c>
      <c r="O104" s="18">
        <v>3.3066059943651502E-11</v>
      </c>
      <c r="P104" s="18">
        <v>4.3954659473539225E-12</v>
      </c>
      <c r="Q104" s="28">
        <v>0.41106957694347362</v>
      </c>
      <c r="R104" s="60">
        <v>1172.6677653681395</v>
      </c>
      <c r="S104" s="57">
        <v>1.6281247362277643E-6</v>
      </c>
      <c r="U104" s="127">
        <v>4.3629371797729559E-10</v>
      </c>
      <c r="V104" s="127">
        <v>3.1752608822905247E-10</v>
      </c>
      <c r="W104" s="128">
        <v>2.7877066981158443E-10</v>
      </c>
      <c r="X104" s="128">
        <f t="shared" si="2"/>
        <v>3.3752914106174625E-10</v>
      </c>
      <c r="Y104" s="139">
        <f t="shared" si="3"/>
        <v>5.1549020587953445</v>
      </c>
      <c r="AA104" s="73"/>
      <c r="AB104" s="182"/>
      <c r="AC104" s="182"/>
      <c r="AD104" s="182"/>
      <c r="AJ104" s="135"/>
    </row>
    <row r="105" spans="9:36" x14ac:dyDescent="0.35">
      <c r="I105" s="109">
        <v>2.3030653155000001E-2</v>
      </c>
      <c r="J105" s="109">
        <v>2.4245330814473577E-10</v>
      </c>
      <c r="K105" s="109">
        <v>1.7887727200926063E-11</v>
      </c>
      <c r="L105" s="156">
        <v>2.8794208827236499E-10</v>
      </c>
      <c r="N105" s="18">
        <v>2.7242744869330372E-6</v>
      </c>
      <c r="O105" s="18">
        <v>3.4702862999732057E-11</v>
      </c>
      <c r="P105" s="18">
        <v>2.9150810355919374E-12</v>
      </c>
      <c r="Q105" s="28">
        <v>0.41106957694347362</v>
      </c>
      <c r="R105" s="60">
        <v>1172.6677653681395</v>
      </c>
      <c r="S105" s="57">
        <v>1.5808376519904965E-6</v>
      </c>
      <c r="U105" s="127">
        <v>3.7955374554427469E-10</v>
      </c>
      <c r="V105" s="127">
        <v>2.8794208827236499E-10</v>
      </c>
      <c r="W105" s="128">
        <v>2.8839832004639906E-10</v>
      </c>
      <c r="X105" s="128">
        <f t="shared" si="2"/>
        <v>3.1095906053385097E-10</v>
      </c>
      <c r="Y105" s="139">
        <f t="shared" si="3"/>
        <v>14.66708318068061</v>
      </c>
      <c r="AA105" s="73"/>
      <c r="AB105" s="182"/>
      <c r="AC105" s="182"/>
      <c r="AD105" s="182"/>
      <c r="AJ105" s="135"/>
    </row>
    <row r="106" spans="9:36" x14ac:dyDescent="0.35">
      <c r="I106" s="109">
        <v>2.32609596865E-2</v>
      </c>
      <c r="J106" s="109">
        <v>2.3710746807528505E-10</v>
      </c>
      <c r="K106" s="109">
        <v>1.8346948933082255E-11</v>
      </c>
      <c r="L106" s="156">
        <v>2.7363463187956152E-10</v>
      </c>
      <c r="N106" s="18">
        <v>2.659736743245095E-6</v>
      </c>
      <c r="O106" s="18">
        <v>3.5976262375979246E-11</v>
      </c>
      <c r="P106" s="18">
        <v>2.3763076765023412E-12</v>
      </c>
      <c r="Q106" s="28">
        <v>0.20553478847173681</v>
      </c>
      <c r="R106" s="60">
        <v>1173.5182090241767</v>
      </c>
      <c r="S106" s="57">
        <v>1.5808376519904965E-6</v>
      </c>
      <c r="U106" s="127">
        <v>3.3159625384873053E-10</v>
      </c>
      <c r="V106" s="127">
        <v>2.7363463187956152E-10</v>
      </c>
      <c r="W106" s="128">
        <v>3.1401351577669522E-10</v>
      </c>
      <c r="X106" s="128">
        <f t="shared" si="2"/>
        <v>2.982197583461372E-10</v>
      </c>
      <c r="Y106" s="139">
        <f t="shared" si="3"/>
        <v>11.095053874204876</v>
      </c>
      <c r="AA106" s="73"/>
      <c r="AB106" s="182"/>
      <c r="AC106" s="182"/>
      <c r="AD106" s="182"/>
      <c r="AJ106" s="135"/>
    </row>
    <row r="107" spans="9:36" x14ac:dyDescent="0.35">
      <c r="I107" s="109">
        <v>2.34935692834E-2</v>
      </c>
      <c r="J107" s="109">
        <v>2.3175751881784734E-10</v>
      </c>
      <c r="K107" s="109">
        <v>1.8367019138190404E-11</v>
      </c>
      <c r="L107" s="156">
        <v>2.7549877322273302E-10</v>
      </c>
      <c r="N107" s="18">
        <v>2.6092563971431438E-6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1173.5182090241767</v>
      </c>
      <c r="S107" s="57">
        <v>1.5323198560512133E-6</v>
      </c>
      <c r="U107" s="127">
        <v>2.9531789975235611E-10</v>
      </c>
      <c r="V107" s="127">
        <v>2.7549877322273302E-10</v>
      </c>
      <c r="W107" s="128">
        <v>3.5372350317239711E-10</v>
      </c>
      <c r="X107" s="128">
        <f t="shared" si="2"/>
        <v>3.000097373425548E-10</v>
      </c>
      <c r="Y107" s="139">
        <f t="shared" si="3"/>
        <v>13.80880790455797</v>
      </c>
      <c r="AA107" s="73"/>
      <c r="AB107" s="182"/>
      <c r="AC107" s="182"/>
      <c r="AD107" s="182"/>
      <c r="AJ107" s="135"/>
    </row>
    <row r="108" spans="9:36" x14ac:dyDescent="0.35">
      <c r="I108" s="109">
        <v>2.37285049762E-2</v>
      </c>
      <c r="J108" s="109">
        <v>2.6204073972023852E-10</v>
      </c>
      <c r="K108" s="109">
        <v>1.975604899990634E-11</v>
      </c>
      <c r="L108" s="156">
        <v>2.9335939672557326E-10</v>
      </c>
      <c r="N108" s="18">
        <v>2.5516155330963769E-6</v>
      </c>
      <c r="O108" s="18">
        <v>3.8110103002198277E-11</v>
      </c>
      <c r="P108" s="18">
        <v>1.781579905791945E-12</v>
      </c>
      <c r="Q108" s="28">
        <v>0.27901782563242211</v>
      </c>
      <c r="R108" s="60">
        <v>1174.2525718426896</v>
      </c>
      <c r="S108" s="57">
        <v>1.5323198560512133E-6</v>
      </c>
      <c r="U108" s="127">
        <v>2.729572216451462E-10</v>
      </c>
      <c r="V108" s="127">
        <v>2.9335939672557326E-10</v>
      </c>
      <c r="W108" s="128">
        <v>4.0457140098730097E-10</v>
      </c>
      <c r="X108" s="128">
        <f t="shared" si="2"/>
        <v>3.160618540208984E-10</v>
      </c>
      <c r="Y108" s="139">
        <f t="shared" si="3"/>
        <v>7.4769915027035871</v>
      </c>
      <c r="AA108" s="73"/>
      <c r="AB108" s="182"/>
      <c r="AC108" s="182"/>
      <c r="AD108" s="182"/>
      <c r="AJ108" s="135"/>
    </row>
    <row r="109" spans="9:36" x14ac:dyDescent="0.35">
      <c r="I109" s="109">
        <v>2.3965790026000001E-2</v>
      </c>
      <c r="J109" s="109">
        <v>3.2282932826710658E-10</v>
      </c>
      <c r="K109" s="109">
        <v>2.2225112222437332E-11</v>
      </c>
      <c r="L109" s="156">
        <v>3.2593431218712985E-10</v>
      </c>
      <c r="N109" s="18">
        <v>2.4939859430196593E-6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1174.2525718426896</v>
      </c>
      <c r="S109" s="57">
        <v>1.4831941710318662E-6</v>
      </c>
      <c r="U109" s="127">
        <v>2.6591698097267376E-10</v>
      </c>
      <c r="V109" s="127">
        <v>3.2593431218712985E-10</v>
      </c>
      <c r="W109" s="128">
        <v>4.6270498318019179E-10</v>
      </c>
      <c r="X109" s="128">
        <f t="shared" si="2"/>
        <v>3.4512264713178133E-10</v>
      </c>
      <c r="Y109" s="139">
        <f t="shared" si="3"/>
        <v>1.0061472177263946</v>
      </c>
      <c r="AA109" s="73"/>
      <c r="AB109" s="182"/>
      <c r="AC109" s="182"/>
      <c r="AD109" s="182"/>
      <c r="AJ109" s="135"/>
    </row>
    <row r="110" spans="9:36" x14ac:dyDescent="0.35">
      <c r="I110" s="109">
        <v>2.42054479262E-2</v>
      </c>
      <c r="J110" s="109">
        <v>3.6264102129297242E-10</v>
      </c>
      <c r="K110" s="109">
        <v>2.3752402211702107E-11</v>
      </c>
      <c r="L110" s="156">
        <v>3.708736179977073E-10</v>
      </c>
      <c r="N110" s="18">
        <v>2.4364052100732283E-6</v>
      </c>
      <c r="O110" s="18">
        <v>4.0384948997055555E-11</v>
      </c>
      <c r="P110" s="18">
        <v>1.8339486008087749E-12</v>
      </c>
      <c r="Q110" s="28">
        <v>0.30511585966628851</v>
      </c>
      <c r="R110" s="60">
        <v>1174.9122815420646</v>
      </c>
      <c r="S110" s="57">
        <v>1.4831941710318662E-6</v>
      </c>
      <c r="U110" s="127">
        <v>2.7463124470764395E-10</v>
      </c>
      <c r="V110" s="127">
        <v>3.708736179977073E-10</v>
      </c>
      <c r="W110" s="128">
        <v>5.23622307797937E-10</v>
      </c>
      <c r="X110" s="128">
        <f t="shared" si="2"/>
        <v>3.8500019712524884E-10</v>
      </c>
      <c r="Y110" s="139">
        <f t="shared" si="3"/>
        <v>0.88612809234734913</v>
      </c>
      <c r="AA110" s="73"/>
      <c r="AB110" s="182"/>
      <c r="AC110" s="182"/>
      <c r="AD110" s="182"/>
      <c r="AJ110" s="135"/>
    </row>
    <row r="111" spans="9:36" x14ac:dyDescent="0.35">
      <c r="I111" s="109">
        <v>2.4447502405500001E-2</v>
      </c>
      <c r="J111" s="109">
        <v>4.3926321394054861E-10</v>
      </c>
      <c r="K111" s="109">
        <v>2.7819710379220268E-11</v>
      </c>
      <c r="L111" s="156">
        <v>4.2487828908735624E-10</v>
      </c>
      <c r="N111" s="18">
        <v>2.3789655210859986E-6</v>
      </c>
      <c r="O111" s="18">
        <v>4.1519104713398716E-11</v>
      </c>
      <c r="P111" s="18">
        <v>1.8600577330071923E-12</v>
      </c>
      <c r="Q111" s="28">
        <v>0.32985484968757195</v>
      </c>
      <c r="R111" s="60">
        <v>1174.9122815420646</v>
      </c>
      <c r="S111" s="57">
        <v>1.4337822967733175E-6</v>
      </c>
      <c r="U111" s="127">
        <v>2.9849008357614065E-10</v>
      </c>
      <c r="V111" s="127">
        <v>4.2487828908735624E-10</v>
      </c>
      <c r="W111" s="128">
        <v>5.8248139651757569E-10</v>
      </c>
      <c r="X111" s="128">
        <f t="shared" si="2"/>
        <v>4.3268201456710721E-10</v>
      </c>
      <c r="Y111" s="139">
        <f t="shared" si="3"/>
        <v>5.5963502422321378E-2</v>
      </c>
      <c r="AA111" s="73"/>
      <c r="AB111" s="182"/>
      <c r="AC111" s="182"/>
      <c r="AD111" s="182"/>
      <c r="AJ111" s="135"/>
    </row>
    <row r="112" spans="9:36" x14ac:dyDescent="0.35">
      <c r="I112" s="109">
        <v>2.4691977429599998E-2</v>
      </c>
      <c r="J112" s="109">
        <v>4.8955191473952825E-10</v>
      </c>
      <c r="K112" s="109">
        <v>3.0246175415842752E-11</v>
      </c>
      <c r="L112" s="156">
        <v>4.8389533673805076E-10</v>
      </c>
      <c r="N112" s="18">
        <v>2.3218585177363392E-6</v>
      </c>
      <c r="O112" s="18">
        <v>4.2646691499369025E-11</v>
      </c>
      <c r="P112" s="18">
        <v>1.8860156434033162E-12</v>
      </c>
      <c r="Q112" s="28">
        <v>0.36718140925644527</v>
      </c>
      <c r="R112" s="60">
        <v>1175.5225132613973</v>
      </c>
      <c r="S112" s="57">
        <v>1.4337822967733175E-6</v>
      </c>
      <c r="U112" s="127">
        <v>3.358317869769122E-10</v>
      </c>
      <c r="V112" s="127">
        <v>4.8389533673805076E-10</v>
      </c>
      <c r="W112" s="128">
        <v>6.3445521262790903E-10</v>
      </c>
      <c r="X112" s="128">
        <f t="shared" si="2"/>
        <v>4.8451941827023071E-10</v>
      </c>
      <c r="Y112" s="139">
        <f t="shared" si="3"/>
        <v>2.7683820497699903E-2</v>
      </c>
      <c r="AA112" s="73"/>
      <c r="AB112" s="182"/>
      <c r="AC112" s="182"/>
      <c r="AD112" s="182"/>
      <c r="AJ112" s="135"/>
    </row>
    <row r="113" spans="9:36" x14ac:dyDescent="0.35">
      <c r="I113" s="109">
        <v>2.4938897203899999E-2</v>
      </c>
      <c r="J113" s="109">
        <v>6.1829625845178405E-10</v>
      </c>
      <c r="K113" s="109">
        <v>3.4920464625162024E-11</v>
      </c>
      <c r="L113" s="156">
        <v>5.4338096758713247E-10</v>
      </c>
      <c r="N113" s="18">
        <v>2.2654581655757219E-6</v>
      </c>
      <c r="O113" s="18">
        <v>4.3760325346184482E-11</v>
      </c>
      <c r="P113" s="18">
        <v>1.9116523464663543E-12</v>
      </c>
      <c r="Q113" s="28">
        <v>0.42522182801861985</v>
      </c>
      <c r="R113" s="60">
        <v>1175.5225132613973</v>
      </c>
      <c r="S113" s="57">
        <v>1.3842490909668462E-6</v>
      </c>
      <c r="U113" s="127">
        <v>3.8400849259804965E-10</v>
      </c>
      <c r="V113" s="127">
        <v>5.4338096758713247E-10</v>
      </c>
      <c r="W113" s="128">
        <v>6.7510803044618398E-10</v>
      </c>
      <c r="X113" s="128">
        <f t="shared" si="2"/>
        <v>5.3646961455462461E-10</v>
      </c>
      <c r="Y113" s="139">
        <f t="shared" si="3"/>
        <v>5.4907219443308843</v>
      </c>
      <c r="AA113" s="73"/>
      <c r="AB113" s="182"/>
      <c r="AC113" s="182"/>
      <c r="AD113" s="182"/>
      <c r="AJ113" s="135"/>
    </row>
    <row r="114" spans="9:36" x14ac:dyDescent="0.35">
      <c r="I114" s="109">
        <v>2.51882861759E-2</v>
      </c>
      <c r="J114" s="109">
        <v>6.4327809689912073E-10</v>
      </c>
      <c r="K114" s="109">
        <v>3.481441105473723E-11</v>
      </c>
      <c r="L114" s="156">
        <v>5.9861732163211968E-10</v>
      </c>
      <c r="N114" s="18">
        <v>2.2104884755475874E-6</v>
      </c>
      <c r="O114" s="18">
        <v>4.4845710543602274E-11</v>
      </c>
      <c r="P114" s="18">
        <v>1.9366387440105623E-12</v>
      </c>
      <c r="Q114" s="28">
        <v>0.52252270986663085</v>
      </c>
      <c r="R114" s="60">
        <v>1176.1003042271368</v>
      </c>
      <c r="S114" s="57">
        <v>1.3842490909668462E-6</v>
      </c>
      <c r="U114" s="127">
        <v>4.3952630722579043E-10</v>
      </c>
      <c r="V114" s="127">
        <v>5.9861732163211968E-10</v>
      </c>
      <c r="W114" s="128">
        <v>7.0076535957443994E-10</v>
      </c>
      <c r="X114" s="128">
        <f t="shared" si="2"/>
        <v>5.8438157751611746E-10</v>
      </c>
      <c r="Y114" s="139">
        <f t="shared" si="3"/>
        <v>2.8619441506102898</v>
      </c>
      <c r="AA114" s="73"/>
      <c r="AB114" s="182"/>
      <c r="AC114" s="182"/>
      <c r="AD114" s="182"/>
      <c r="AJ114" s="135"/>
    </row>
    <row r="115" spans="9:36" x14ac:dyDescent="0.35">
      <c r="I115" s="109">
        <v>2.5440169037600002E-2</v>
      </c>
      <c r="J115" s="109">
        <v>6.9893591527003453E-10</v>
      </c>
      <c r="K115" s="109">
        <v>3.6821692648205039E-11</v>
      </c>
      <c r="L115" s="156">
        <v>6.4506300020716735E-10</v>
      </c>
      <c r="N115" s="18">
        <v>2.1584017930396941E-6</v>
      </c>
      <c r="O115" s="18">
        <v>4.5874170302930228E-11</v>
      </c>
      <c r="P115" s="18">
        <v>1.9603146744230327E-12</v>
      </c>
      <c r="Q115" s="28">
        <v>0.71317718802348939</v>
      </c>
      <c r="R115" s="60">
        <v>1176.1003042271368</v>
      </c>
      <c r="S115" s="57">
        <v>1.3346738563398694E-6</v>
      </c>
      <c r="U115" s="127">
        <v>4.9825563435161984E-10</v>
      </c>
      <c r="V115" s="127">
        <v>6.4506300020716735E-10</v>
      </c>
      <c r="W115" s="128">
        <v>7.088473092000905E-10</v>
      </c>
      <c r="X115" s="128">
        <f t="shared" si="2"/>
        <v>6.2430723599151129E-10</v>
      </c>
      <c r="Y115" s="139">
        <f t="shared" si="3"/>
        <v>4.1077500965158951</v>
      </c>
      <c r="AA115" s="73"/>
      <c r="AB115" s="182"/>
      <c r="AC115" s="182"/>
      <c r="AD115" s="182"/>
      <c r="AJ115" s="135"/>
    </row>
    <row r="116" spans="9:36" x14ac:dyDescent="0.35">
      <c r="I116" s="109">
        <v>2.5694570728E-2</v>
      </c>
      <c r="J116" s="109">
        <v>7.3383405523113268E-10</v>
      </c>
      <c r="K116" s="109">
        <v>3.7649765836970864E-11</v>
      </c>
      <c r="L116" s="156">
        <v>6.7871311698787812E-10</v>
      </c>
      <c r="N116" s="18">
        <v>2.1123706182056264E-6</v>
      </c>
      <c r="O116" s="18">
        <v>4.6783063108384949E-11</v>
      </c>
      <c r="P116" s="18">
        <v>1.9812380820908275E-12</v>
      </c>
      <c r="Q116" s="28">
        <v>1.281588875373888</v>
      </c>
      <c r="R116" s="60">
        <v>1176.6583398784016</v>
      </c>
      <c r="S116" s="57">
        <v>1.3346738563398694E-6</v>
      </c>
      <c r="U116" s="127">
        <v>5.5570185444030328E-10</v>
      </c>
      <c r="V116" s="127">
        <v>6.7871311698787812E-10</v>
      </c>
      <c r="W116" s="128">
        <v>6.9813505406690328E-10</v>
      </c>
      <c r="X116" s="128">
        <f t="shared" si="2"/>
        <v>6.528157856207407E-10</v>
      </c>
      <c r="Y116" s="139">
        <f t="shared" si="3"/>
        <v>4.6306437182640261</v>
      </c>
      <c r="AA116" s="73"/>
      <c r="AB116" s="182"/>
      <c r="AC116" s="182"/>
      <c r="AD116" s="182"/>
      <c r="AJ116" s="135"/>
    </row>
    <row r="117" spans="9:36" x14ac:dyDescent="0.35">
      <c r="I117" s="109">
        <v>2.5951516435299998E-2</v>
      </c>
      <c r="J117" s="109">
        <v>7.9344921164045733E-10</v>
      </c>
      <c r="K117" s="109">
        <v>3.9576164944230032E-11</v>
      </c>
      <c r="L117" s="156">
        <v>6.9644143381058491E-10</v>
      </c>
      <c r="N117" s="18">
        <v>2.0805514706196363E-6</v>
      </c>
      <c r="O117" s="18">
        <v>4.7411337194824393E-11</v>
      </c>
      <c r="P117" s="18">
        <v>1.995701432178748E-12</v>
      </c>
      <c r="Q117" s="28">
        <v>1.7210815880741237</v>
      </c>
      <c r="R117" s="60">
        <v>1176.6583398784016</v>
      </c>
      <c r="S117" s="57">
        <v>1.2850889234014933E-6</v>
      </c>
      <c r="U117" s="127">
        <v>6.0732108989945291E-10</v>
      </c>
      <c r="V117" s="127">
        <v>6.9644143381058491E-10</v>
      </c>
      <c r="W117" s="128">
        <v>6.6894225329646328E-10</v>
      </c>
      <c r="X117" s="128">
        <f t="shared" si="2"/>
        <v>6.6728655270427161E-10</v>
      </c>
      <c r="Y117" s="139">
        <f t="shared" si="3"/>
        <v>10.162352425307956</v>
      </c>
      <c r="AA117" s="73"/>
      <c r="AB117" s="182"/>
      <c r="AC117" s="182"/>
      <c r="AD117" s="182"/>
      <c r="AJ117" s="135"/>
    </row>
    <row r="118" spans="9:36" x14ac:dyDescent="0.35">
      <c r="I118" s="109">
        <v>2.6211031599700001E-2</v>
      </c>
      <c r="J118" s="109">
        <v>8.2071216972166541E-10</v>
      </c>
      <c r="K118" s="109">
        <v>4.1622168961361663E-11</v>
      </c>
      <c r="L118" s="156">
        <v>6.962956864763022E-10</v>
      </c>
      <c r="N118" s="18">
        <v>2.0761549145842717E-6</v>
      </c>
      <c r="O118" s="18">
        <v>4.7498147887006942E-11</v>
      </c>
      <c r="P118" s="18">
        <v>1.9976998807213682E-12</v>
      </c>
      <c r="Q118" s="28">
        <v>100</v>
      </c>
      <c r="R118" s="60">
        <v>1177.2070014758604</v>
      </c>
      <c r="S118" s="57">
        <v>1.2850889234014933E-6</v>
      </c>
      <c r="U118" s="127">
        <v>6.4886091669685744E-10</v>
      </c>
      <c r="V118" s="127">
        <v>6.962956864763022E-10</v>
      </c>
      <c r="W118" s="128">
        <v>6.2316813472969081E-10</v>
      </c>
      <c r="X118" s="128">
        <f t="shared" si="2"/>
        <v>6.6615510609478813E-10</v>
      </c>
      <c r="Y118" s="139">
        <f t="shared" si="3"/>
        <v>13.788858043893073</v>
      </c>
      <c r="AA118" s="73"/>
      <c r="AB118" s="182"/>
      <c r="AC118" s="182"/>
      <c r="AD118" s="182"/>
      <c r="AJ118" s="135"/>
    </row>
    <row r="119" spans="9:36" x14ac:dyDescent="0.35">
      <c r="I119" s="109">
        <v>2.6473141915700001E-2</v>
      </c>
      <c r="J119" s="109">
        <v>6.9873716014794433E-10</v>
      </c>
      <c r="K119" s="109">
        <v>3.7332511194930427E-11</v>
      </c>
      <c r="L119" s="156">
        <v>6.7771784147334961E-10</v>
      </c>
      <c r="R119" s="60">
        <v>1177.2070014758604</v>
      </c>
      <c r="S119" s="57">
        <v>1.2499809515099686E-6</v>
      </c>
      <c r="U119" s="127">
        <v>6.7670195716392431E-10</v>
      </c>
      <c r="V119" s="127">
        <v>6.7771784147334961E-10</v>
      </c>
      <c r="W119" s="128">
        <v>5.6421657731649313E-10</v>
      </c>
      <c r="X119" s="128">
        <f t="shared" si="2"/>
        <v>6.4908855435677914E-10</v>
      </c>
      <c r="Y119" s="139">
        <f t="shared" si="3"/>
        <v>1.7686410742846326</v>
      </c>
      <c r="AA119" s="73"/>
      <c r="AB119" s="182"/>
      <c r="AC119" s="182"/>
      <c r="AD119" s="182"/>
      <c r="AJ119" s="135"/>
    </row>
    <row r="120" spans="9:36" x14ac:dyDescent="0.35">
      <c r="I120" s="109">
        <v>2.6737873334799999E-2</v>
      </c>
      <c r="J120" s="109">
        <v>6.476878890409556E-10</v>
      </c>
      <c r="K120" s="109">
        <v>3.6405093243347487E-11</v>
      </c>
      <c r="L120" s="156">
        <v>6.416640642184827E-10</v>
      </c>
      <c r="R120" s="60">
        <v>1177.4342742031331</v>
      </c>
      <c r="S120" s="57">
        <v>1.2499809515099686E-6</v>
      </c>
      <c r="U120" s="127">
        <v>6.8817370866242971E-10</v>
      </c>
      <c r="V120" s="127">
        <v>6.416640642184827E-10</v>
      </c>
      <c r="W120" s="128">
        <v>4.9677573086849272E-10</v>
      </c>
      <c r="X120" s="128">
        <f t="shared" si="2"/>
        <v>6.1706939199197199E-10</v>
      </c>
      <c r="Y120" s="139">
        <f t="shared" si="3"/>
        <v>0.70736479646841044</v>
      </c>
      <c r="AA120" s="73"/>
      <c r="AB120" s="182"/>
      <c r="AC120" s="182"/>
      <c r="AD120" s="182"/>
      <c r="AJ120" s="135"/>
    </row>
    <row r="121" spans="9:36" x14ac:dyDescent="0.35">
      <c r="I121" s="109">
        <v>2.7005252068200002E-2</v>
      </c>
      <c r="J121" s="109">
        <v>6.7432438473138436E-10</v>
      </c>
      <c r="K121" s="109">
        <v>3.8997902526436035E-11</v>
      </c>
      <c r="L121" s="156">
        <v>5.9060480706792093E-10</v>
      </c>
      <c r="R121" s="60">
        <v>1177.4342742031331</v>
      </c>
      <c r="S121" s="57">
        <v>1.2191027204097044E-6</v>
      </c>
      <c r="U121" s="127">
        <v>6.8181711869443491E-10</v>
      </c>
      <c r="V121" s="127">
        <v>5.9060480706792093E-10</v>
      </c>
      <c r="W121" s="128">
        <v>4.2646500229631639E-10</v>
      </c>
      <c r="X121" s="128">
        <f t="shared" si="2"/>
        <v>5.7237293378164827E-10</v>
      </c>
      <c r="Y121" s="139">
        <f t="shared" si="3"/>
        <v>6.8344618400562496</v>
      </c>
      <c r="AA121" s="73"/>
      <c r="AB121" s="182"/>
      <c r="AC121" s="182"/>
      <c r="AD121" s="182"/>
      <c r="AJ121" s="135"/>
    </row>
    <row r="122" spans="9:36" x14ac:dyDescent="0.35">
      <c r="I122" s="109">
        <v>2.7275304588799999E-2</v>
      </c>
      <c r="J122" s="109">
        <v>6.8678491946991359E-10</v>
      </c>
      <c r="K122" s="109">
        <v>4.0131941580484842E-11</v>
      </c>
      <c r="L122" s="156">
        <v>5.2839362931016984E-10</v>
      </c>
      <c r="R122" s="60">
        <v>1177.8888196576786</v>
      </c>
      <c r="S122" s="57">
        <v>1.2191027204097044E-6</v>
      </c>
      <c r="U122" s="127">
        <v>6.5756765891095639E-10</v>
      </c>
      <c r="V122" s="127">
        <v>5.2839362931016984E-10</v>
      </c>
      <c r="W122" s="128">
        <v>3.5936972879745228E-10</v>
      </c>
      <c r="X122" s="128">
        <f t="shared" si="2"/>
        <v>5.1843116158218706E-10</v>
      </c>
      <c r="Y122" s="139">
        <f t="shared" si="3"/>
        <v>17.598079974064003</v>
      </c>
      <c r="AA122" s="73"/>
      <c r="AB122" s="182"/>
      <c r="AC122" s="182"/>
      <c r="AD122" s="182"/>
      <c r="AJ122" s="135"/>
    </row>
    <row r="123" spans="9:36" x14ac:dyDescent="0.35">
      <c r="I123" s="109">
        <v>2.7548057634700002E-2</v>
      </c>
      <c r="J123" s="109">
        <v>4.8487760234864519E-10</v>
      </c>
      <c r="K123" s="109">
        <v>3.2317955746472271E-11</v>
      </c>
      <c r="L123" s="156">
        <v>4.6000385688694283E-10</v>
      </c>
      <c r="R123" s="60">
        <v>1177.8888196576786</v>
      </c>
      <c r="S123" s="57">
        <v>1.1783841891225438E-6</v>
      </c>
      <c r="U123" s="127">
        <v>6.1683624211549727E-10</v>
      </c>
      <c r="V123" s="127">
        <v>4.6000385688694283E-10</v>
      </c>
      <c r="W123" s="128">
        <v>3.0149730644800384E-10</v>
      </c>
      <c r="X123" s="128">
        <f t="shared" si="2"/>
        <v>4.5958531558434668E-10</v>
      </c>
      <c r="Y123" s="139">
        <f t="shared" si="3"/>
        <v>0.61247509052623461</v>
      </c>
      <c r="AA123" s="73"/>
      <c r="AB123" s="182"/>
      <c r="AC123" s="182"/>
      <c r="AD123" s="182"/>
      <c r="AJ123" s="135"/>
    </row>
    <row r="124" spans="9:36" x14ac:dyDescent="0.35">
      <c r="I124" s="109">
        <v>2.78235382111E-2</v>
      </c>
      <c r="J124" s="109">
        <v>4.1767835532304289E-10</v>
      </c>
      <c r="K124" s="109">
        <v>3.2189552866761031E-11</v>
      </c>
      <c r="L124" s="156">
        <v>3.911443681160721E-10</v>
      </c>
      <c r="R124" s="60">
        <v>1178.3433651122241</v>
      </c>
      <c r="S124" s="57">
        <v>1.1783841891225438E-6</v>
      </c>
      <c r="U124" s="127">
        <v>5.6247139095502945E-10</v>
      </c>
      <c r="V124" s="127">
        <v>3.911443681160721E-10</v>
      </c>
      <c r="W124" s="128">
        <v>2.5820043140632693E-10</v>
      </c>
      <c r="X124" s="128">
        <f t="shared" si="2"/>
        <v>4.0074013964837514E-10</v>
      </c>
      <c r="Y124" s="139">
        <f t="shared" si="3"/>
        <v>0.27688882522254382</v>
      </c>
      <c r="AA124" s="73"/>
      <c r="AB124" s="182"/>
      <c r="AC124" s="182"/>
      <c r="AD124" s="182"/>
      <c r="AJ124" s="135"/>
    </row>
    <row r="125" spans="9:36" x14ac:dyDescent="0.35">
      <c r="I125" s="109">
        <v>2.81017735932E-2</v>
      </c>
      <c r="J125" s="109">
        <v>3.58647981561778E-10</v>
      </c>
      <c r="K125" s="109">
        <v>2.9171596271925653E-11</v>
      </c>
      <c r="L125" s="156">
        <v>3.2777869017486188E-10</v>
      </c>
      <c r="R125" s="60">
        <v>1178.3433651122241</v>
      </c>
      <c r="S125" s="57">
        <v>1.1386083951476443E-6</v>
      </c>
      <c r="U125" s="127">
        <v>4.9859451686623701E-10</v>
      </c>
      <c r="V125" s="127">
        <v>3.2777869017486188E-10</v>
      </c>
      <c r="W125" s="128">
        <v>2.3362180196740858E-10</v>
      </c>
      <c r="X125" s="128">
        <f t="shared" si="2"/>
        <v>3.4694342479584231E-10</v>
      </c>
      <c r="Y125" s="139">
        <f t="shared" si="3"/>
        <v>0.1609865360371823</v>
      </c>
      <c r="AA125" s="73"/>
      <c r="AB125" s="182"/>
      <c r="AC125" s="182"/>
      <c r="AD125" s="182"/>
      <c r="AJ125" s="135"/>
    </row>
    <row r="126" spans="9:36" x14ac:dyDescent="0.35">
      <c r="I126" s="109">
        <v>2.8382791329100002E-2</v>
      </c>
      <c r="J126" s="109">
        <v>2.7675973409669395E-10</v>
      </c>
      <c r="K126" s="109">
        <v>2.7159814511301167E-11</v>
      </c>
      <c r="L126" s="156">
        <v>2.7558394747571088E-10</v>
      </c>
      <c r="R126" s="60">
        <v>1178.7979105667696</v>
      </c>
      <c r="S126" s="57">
        <v>1.1386083951476443E-6</v>
      </c>
      <c r="U126" s="127">
        <v>4.3031064630952091E-10</v>
      </c>
      <c r="V126" s="127">
        <v>2.7558394747571088E-10</v>
      </c>
      <c r="W126" s="128">
        <v>2.3021860359552427E-10</v>
      </c>
      <c r="X126" s="128">
        <f t="shared" si="2"/>
        <v>3.0292428621411671E-10</v>
      </c>
      <c r="Y126" s="139">
        <f t="shared" si="3"/>
        <v>0.9280534951132392</v>
      </c>
      <c r="AA126" s="73"/>
      <c r="AB126" s="182"/>
      <c r="AC126" s="182"/>
      <c r="AD126" s="182"/>
      <c r="AJ126" s="135"/>
    </row>
    <row r="127" spans="9:36" x14ac:dyDescent="0.35">
      <c r="I127" s="109">
        <v>2.86666192424E-2</v>
      </c>
      <c r="J127" s="109">
        <v>2.3288317796492122E-10</v>
      </c>
      <c r="K127" s="109">
        <v>2.4223804233611218E-11</v>
      </c>
      <c r="L127" s="156">
        <v>2.3939654351928754E-10</v>
      </c>
      <c r="R127" s="60">
        <v>1178.7979105667696</v>
      </c>
      <c r="S127" s="57">
        <v>1.1002247147388083E-6</v>
      </c>
      <c r="U127" s="127">
        <v>3.6330876822411355E-10</v>
      </c>
      <c r="V127" s="127">
        <v>2.3939654351928754E-10</v>
      </c>
      <c r="W127" s="128">
        <v>2.484231747971296E-10</v>
      </c>
      <c r="X127" s="128">
        <f t="shared" si="2"/>
        <v>2.7263125751495458E-10</v>
      </c>
      <c r="Y127" s="139">
        <f t="shared" si="3"/>
        <v>2.6924497368005804</v>
      </c>
      <c r="AA127" s="73"/>
      <c r="AB127" s="182"/>
      <c r="AC127" s="182"/>
      <c r="AD127" s="182"/>
      <c r="AJ127" s="135"/>
    </row>
    <row r="128" spans="9:36" x14ac:dyDescent="0.35">
      <c r="I128" s="109">
        <v>2.89532854348E-2</v>
      </c>
      <c r="J128" s="109">
        <v>2.5556062567189636E-10</v>
      </c>
      <c r="K128" s="109">
        <v>2.6491299687098226E-11</v>
      </c>
      <c r="L128" s="156">
        <v>2.2269827486531596E-10</v>
      </c>
      <c r="R128" s="60">
        <v>1179.2524560213151</v>
      </c>
      <c r="S128" s="57">
        <v>1.1002247147388083E-6</v>
      </c>
      <c r="U128" s="127">
        <v>3.0337818726545731E-10</v>
      </c>
      <c r="V128" s="127">
        <v>2.2269827486531596E-10</v>
      </c>
      <c r="W128" s="128">
        <v>2.8648782362182408E-10</v>
      </c>
      <c r="X128" s="128">
        <f t="shared" ref="X128:X191" si="4">(U128+2*V128+W128)/4</f>
        <v>2.5881564015447831E-10</v>
      </c>
      <c r="Y128" s="139">
        <f t="shared" ref="Y128:Y191" si="5">(J128-X128)*(J128-X128)/(K128*K128)</f>
        <v>1.5097301181868028E-2</v>
      </c>
      <c r="AA128" s="73"/>
      <c r="AB128" s="182"/>
      <c r="AC128" s="182"/>
      <c r="AD128" s="182"/>
      <c r="AJ128" s="135"/>
    </row>
    <row r="129" spans="9:36" x14ac:dyDescent="0.35">
      <c r="I129" s="109">
        <v>2.9242818289200001E-2</v>
      </c>
      <c r="J129" s="109">
        <v>2.2388193039269851E-10</v>
      </c>
      <c r="K129" s="109">
        <v>2.5456786330639896E-11</v>
      </c>
      <c r="L129" s="156">
        <v>2.2719853448784548E-10</v>
      </c>
      <c r="R129" s="60">
        <v>1179.2524560213151</v>
      </c>
      <c r="S129" s="57">
        <v>1.0636688846401876E-6</v>
      </c>
      <c r="U129" s="127">
        <v>2.558786071214244E-10</v>
      </c>
      <c r="V129" s="127">
        <v>2.2719853448784548E-10</v>
      </c>
      <c r="W129" s="128">
        <v>3.4054695140427742E-10</v>
      </c>
      <c r="X129" s="128">
        <f t="shared" si="4"/>
        <v>2.6270565687534821E-10</v>
      </c>
      <c r="Y129" s="139">
        <f t="shared" si="5"/>
        <v>2.3258798840761501</v>
      </c>
      <c r="AA129" s="73"/>
      <c r="AB129" s="182"/>
      <c r="AC129" s="182"/>
      <c r="AD129" s="182"/>
      <c r="AJ129" s="135"/>
    </row>
    <row r="130" spans="9:36" x14ac:dyDescent="0.35">
      <c r="I130" s="109">
        <v>2.9535246472099999E-2</v>
      </c>
      <c r="J130" s="109">
        <v>2.8435394802516928E-10</v>
      </c>
      <c r="K130" s="109">
        <v>2.8747834549976945E-11</v>
      </c>
      <c r="L130" s="156">
        <v>2.5256441377078896E-10</v>
      </c>
      <c r="R130" s="60">
        <v>1179.7070014758606</v>
      </c>
      <c r="S130" s="57">
        <v>1.0636688846401876E-6</v>
      </c>
      <c r="U130" s="127">
        <v>2.2521074070064545E-10</v>
      </c>
      <c r="V130" s="127">
        <v>2.5256441377078896E-10</v>
      </c>
      <c r="W130" s="127">
        <v>4.0490934609326262E-10</v>
      </c>
      <c r="X130" s="128">
        <f t="shared" si="4"/>
        <v>2.8381222858387148E-10</v>
      </c>
      <c r="Y130" s="139">
        <f t="shared" si="5"/>
        <v>3.5509010496216902E-4</v>
      </c>
      <c r="AA130" s="73"/>
      <c r="AB130" s="182"/>
      <c r="AC130" s="182"/>
      <c r="AD130" s="182"/>
      <c r="AJ130" s="135"/>
    </row>
    <row r="131" spans="9:36" x14ac:dyDescent="0.35">
      <c r="I131" s="109">
        <v>2.9830598936799999E-2</v>
      </c>
      <c r="J131" s="49">
        <v>3.3006205036833182E-10</v>
      </c>
      <c r="K131" s="49">
        <v>3.2287586426638571E-11</v>
      </c>
      <c r="L131" s="156">
        <v>2.9634048430769467E-10</v>
      </c>
      <c r="R131" s="60">
        <v>1179.7070014758606</v>
      </c>
      <c r="S131" s="57">
        <v>1.0293798872214682E-6</v>
      </c>
      <c r="U131" s="127">
        <v>2.1433966238758631E-10</v>
      </c>
      <c r="V131" s="127">
        <v>2.9634048430769467E-10</v>
      </c>
      <c r="W131" s="127">
        <v>4.7256938573610937E-10</v>
      </c>
      <c r="X131" s="128">
        <f t="shared" si="4"/>
        <v>3.1989750418477127E-10</v>
      </c>
      <c r="Y131" s="139">
        <f t="shared" si="5"/>
        <v>9.9107112603515984E-2</v>
      </c>
      <c r="AA131" s="73"/>
      <c r="AB131" s="182"/>
      <c r="AC131" s="182"/>
      <c r="AD131" s="182"/>
      <c r="AJ131" s="135"/>
    </row>
    <row r="132" spans="9:36" x14ac:dyDescent="0.35">
      <c r="I132" s="109">
        <v>3.01289049262E-2</v>
      </c>
      <c r="J132" s="49">
        <v>3.6347784184317111E-10</v>
      </c>
      <c r="K132" s="49">
        <v>3.3591172795651856E-11</v>
      </c>
      <c r="L132" s="156">
        <v>3.5408415615890422E-10</v>
      </c>
      <c r="R132" s="60">
        <v>1180.1615469304061</v>
      </c>
      <c r="S132" s="57">
        <v>1.0293798872214682E-6</v>
      </c>
      <c r="U132" s="127">
        <v>2.2442370358328598E-10</v>
      </c>
      <c r="V132" s="127">
        <v>3.5408415615890422E-10</v>
      </c>
      <c r="W132" s="127">
        <v>5.3590021483391465E-10</v>
      </c>
      <c r="X132" s="128">
        <f t="shared" si="4"/>
        <v>3.6712305768375227E-10</v>
      </c>
      <c r="Y132" s="139">
        <f t="shared" si="5"/>
        <v>1.1775955715014021E-2</v>
      </c>
      <c r="AA132" s="73"/>
      <c r="AB132" s="182"/>
      <c r="AC132" s="182"/>
      <c r="AD132" s="182"/>
      <c r="AJ132" s="135"/>
    </row>
    <row r="133" spans="9:36" x14ac:dyDescent="0.35">
      <c r="I133" s="109">
        <v>3.0430193975400002E-2</v>
      </c>
      <c r="J133" s="49">
        <v>4.956009348724273E-10</v>
      </c>
      <c r="K133" s="49">
        <v>4.1211720766823205E-11</v>
      </c>
      <c r="L133" s="156">
        <v>4.197218223249211E-10</v>
      </c>
      <c r="R133" s="60">
        <v>1180.1615469304061</v>
      </c>
      <c r="S133" s="57">
        <v>9.9783860899007127E-7</v>
      </c>
      <c r="U133" s="127">
        <v>2.5459666150307624E-10</v>
      </c>
      <c r="V133" s="127">
        <v>4.197218223249211E-10</v>
      </c>
      <c r="W133" s="127">
        <v>5.8746742863487288E-10</v>
      </c>
      <c r="X133" s="128">
        <f t="shared" si="4"/>
        <v>4.203769336969478E-10</v>
      </c>
      <c r="Y133" s="139">
        <f t="shared" si="5"/>
        <v>3.3317419927034542</v>
      </c>
      <c r="AA133" s="73"/>
      <c r="AB133" s="182"/>
      <c r="AC133" s="182"/>
      <c r="AD133" s="182"/>
      <c r="AJ133" s="135"/>
    </row>
    <row r="134" spans="9:36" x14ac:dyDescent="0.35">
      <c r="I134" s="109">
        <v>3.07344959152E-2</v>
      </c>
      <c r="J134" s="49">
        <v>5.4683715768441635E-10</v>
      </c>
      <c r="K134" s="49">
        <v>4.5016959499855097E-11</v>
      </c>
      <c r="L134" s="156">
        <v>4.8610724501806079E-10</v>
      </c>
      <c r="R134" s="60">
        <v>1180.6160923849516</v>
      </c>
      <c r="S134" s="57">
        <v>9.9783860899007127E-7</v>
      </c>
      <c r="U134" s="127">
        <v>3.0194022122130854E-10</v>
      </c>
      <c r="V134" s="127">
        <v>4.8610724501806079E-10</v>
      </c>
      <c r="W134" s="127">
        <v>6.2088133525592718E-10</v>
      </c>
      <c r="X134" s="128">
        <f t="shared" si="4"/>
        <v>4.7375901162833932E-10</v>
      </c>
      <c r="Y134" s="139">
        <f t="shared" si="5"/>
        <v>2.6352554754035253</v>
      </c>
      <c r="AA134" s="73"/>
      <c r="AB134" s="182"/>
      <c r="AC134" s="182"/>
      <c r="AD134" s="182"/>
      <c r="AJ134" s="135"/>
    </row>
    <row r="135" spans="9:36" x14ac:dyDescent="0.35">
      <c r="I135" s="109">
        <v>3.1041840874300002E-2</v>
      </c>
      <c r="J135" s="49">
        <v>6.1293458090007674E-10</v>
      </c>
      <c r="K135" s="49">
        <v>4.7326970726826197E-11</v>
      </c>
      <c r="L135" s="156">
        <v>5.4573910262574045E-10</v>
      </c>
      <c r="R135" s="60">
        <v>1180.6160923849516</v>
      </c>
      <c r="S135" s="57">
        <v>9.6963541287811516E-7</v>
      </c>
      <c r="U135" s="127">
        <v>3.6166721699211975E-10</v>
      </c>
      <c r="V135" s="127">
        <v>5.4573910262574045E-10</v>
      </c>
      <c r="W135" s="127">
        <v>6.3159233681942537E-10</v>
      </c>
      <c r="X135" s="128">
        <f t="shared" si="4"/>
        <v>5.2118443976575649E-10</v>
      </c>
      <c r="Y135" s="139">
        <f t="shared" si="5"/>
        <v>3.7583400095549098</v>
      </c>
      <c r="AA135" s="73"/>
      <c r="AB135" s="182"/>
      <c r="AC135" s="182"/>
      <c r="AD135" s="182"/>
      <c r="AJ135" s="135"/>
    </row>
    <row r="136" spans="9:36" x14ac:dyDescent="0.35">
      <c r="I136" s="109">
        <v>3.1352259283100002E-2</v>
      </c>
      <c r="J136" s="49">
        <v>5.7666446647097258E-10</v>
      </c>
      <c r="K136" s="49">
        <v>4.5194365886156904E-11</v>
      </c>
      <c r="L136" s="156">
        <v>5.9157195771462435E-10</v>
      </c>
      <c r="R136" s="60">
        <v>1181.0706378394971</v>
      </c>
      <c r="S136" s="57">
        <v>9.6963541287811516E-7</v>
      </c>
      <c r="U136" s="127">
        <v>4.2751580099690147E-10</v>
      </c>
      <c r="V136" s="127">
        <v>5.9157195771462435E-10</v>
      </c>
      <c r="W136" s="127">
        <v>6.1752994605136372E-10</v>
      </c>
      <c r="X136" s="128">
        <f t="shared" si="4"/>
        <v>5.5704741561937849E-10</v>
      </c>
      <c r="Y136" s="139">
        <f t="shared" si="5"/>
        <v>0.18840778385102561</v>
      </c>
      <c r="AA136" s="73"/>
      <c r="AB136" s="182"/>
      <c r="AC136" s="182"/>
      <c r="AD136" s="182"/>
      <c r="AJ136" s="135"/>
    </row>
    <row r="137" spans="9:36" x14ac:dyDescent="0.35">
      <c r="I137" s="109">
        <v>3.1665781875900002E-2</v>
      </c>
      <c r="J137" s="49">
        <v>6.3448199833010823E-10</v>
      </c>
      <c r="K137" s="49">
        <v>4.930473922411783E-11</v>
      </c>
      <c r="L137" s="156">
        <v>6.1783693286614265E-10</v>
      </c>
      <c r="R137" s="60">
        <v>1181.0706378394971</v>
      </c>
      <c r="S137" s="57">
        <v>9.4557131328007283E-7</v>
      </c>
      <c r="U137" s="127">
        <v>4.9233149093471638E-10</v>
      </c>
      <c r="V137" s="127">
        <v>6.1783693286614265E-10</v>
      </c>
      <c r="W137" s="127">
        <v>5.7949337447188909E-10</v>
      </c>
      <c r="X137" s="128">
        <f t="shared" si="4"/>
        <v>5.7687468278472262E-10</v>
      </c>
      <c r="Y137" s="139">
        <f t="shared" si="5"/>
        <v>1.3651423621267145</v>
      </c>
      <c r="AA137" s="73"/>
      <c r="AB137" s="182"/>
      <c r="AC137" s="182"/>
      <c r="AD137" s="182"/>
      <c r="AJ137" s="135"/>
    </row>
    <row r="138" spans="9:36" x14ac:dyDescent="0.35">
      <c r="I138" s="109">
        <v>3.19824396947E-2</v>
      </c>
      <c r="J138" s="49">
        <v>6.7302370585171301E-10</v>
      </c>
      <c r="K138" s="49">
        <v>5.2983309299599853E-11</v>
      </c>
      <c r="L138" s="156">
        <v>6.2077781532048698E-10</v>
      </c>
      <c r="R138" s="60">
        <v>1181.5251832940426</v>
      </c>
      <c r="S138" s="57">
        <v>9.4557131328007283E-7</v>
      </c>
      <c r="U138" s="127">
        <v>5.487906892697421E-10</v>
      </c>
      <c r="V138" s="127">
        <v>6.2077781532048698E-10</v>
      </c>
      <c r="W138" s="127">
        <v>5.2122146121786347E-10</v>
      </c>
      <c r="X138" s="128">
        <f t="shared" si="4"/>
        <v>5.7789194528214493E-10</v>
      </c>
      <c r="Y138" s="139">
        <f t="shared" si="5"/>
        <v>3.2238357519041005</v>
      </c>
      <c r="AA138" s="73"/>
      <c r="AB138" s="182"/>
      <c r="AC138" s="182"/>
      <c r="AD138" s="182"/>
      <c r="AJ138" s="135"/>
    </row>
    <row r="139" spans="9:36" x14ac:dyDescent="0.35">
      <c r="I139" s="109">
        <v>3.2302264091600003E-2</v>
      </c>
      <c r="J139" s="49">
        <v>5.2629834515444424E-10</v>
      </c>
      <c r="K139" s="49">
        <v>4.9102370954201623E-11</v>
      </c>
      <c r="L139" s="156">
        <v>5.9920749143242497E-10</v>
      </c>
      <c r="R139" s="60">
        <v>1181.5251832940426</v>
      </c>
      <c r="S139" s="57">
        <v>9.2679051604190449E-7</v>
      </c>
      <c r="U139" s="127">
        <v>5.9019818912039515E-10</v>
      </c>
      <c r="V139" s="127">
        <v>5.9920749143242497E-10</v>
      </c>
      <c r="W139" s="127">
        <v>4.4910156575723533E-10</v>
      </c>
      <c r="X139" s="128">
        <f t="shared" si="4"/>
        <v>5.5942868443562008E-10</v>
      </c>
      <c r="Y139" s="139">
        <f t="shared" si="5"/>
        <v>0.45524673627327156</v>
      </c>
      <c r="AA139" s="73"/>
      <c r="AB139" s="182"/>
      <c r="AC139" s="182"/>
      <c r="AD139" s="182"/>
      <c r="AJ139" s="135"/>
    </row>
    <row r="140" spans="9:36" x14ac:dyDescent="0.35">
      <c r="I140" s="109">
        <v>3.2625286732500001E-2</v>
      </c>
      <c r="J140" s="49">
        <v>5.5227688087595536E-10</v>
      </c>
      <c r="K140" s="49">
        <v>4.9918282076487075E-11</v>
      </c>
      <c r="L140" s="156">
        <v>5.5480018779019827E-10</v>
      </c>
      <c r="R140" s="60">
        <v>1181.9797287485881</v>
      </c>
      <c r="S140" s="57">
        <v>9.2679051604190449E-7</v>
      </c>
      <c r="U140" s="127">
        <v>6.1127511656536128E-10</v>
      </c>
      <c r="V140" s="127">
        <v>5.5480018779019827E-10</v>
      </c>
      <c r="W140" s="127">
        <v>3.7151884334487968E-10</v>
      </c>
      <c r="X140" s="128">
        <f t="shared" si="4"/>
        <v>5.2309858387265931E-10</v>
      </c>
      <c r="Y140" s="139">
        <f t="shared" si="5"/>
        <v>0.34166510027519248</v>
      </c>
      <c r="AA140" s="73"/>
      <c r="AB140" s="182"/>
      <c r="AC140" s="182"/>
      <c r="AD140" s="182"/>
      <c r="AJ140" s="135"/>
    </row>
    <row r="141" spans="9:36" x14ac:dyDescent="0.35">
      <c r="I141" s="109">
        <v>3.29515395999E-2</v>
      </c>
      <c r="J141" s="49">
        <v>4.9403390700388817E-10</v>
      </c>
      <c r="K141" s="49">
        <v>4.8556572784331258E-11</v>
      </c>
      <c r="L141" s="156">
        <v>4.9205755624645781E-10</v>
      </c>
      <c r="R141" s="60">
        <v>1181.9797287485881</v>
      </c>
      <c r="S141" s="57">
        <v>9.149294283080475E-7</v>
      </c>
      <c r="U141" s="127">
        <v>6.0884528105949376E-10</v>
      </c>
      <c r="V141" s="127">
        <v>4.9205755624645781E-10</v>
      </c>
      <c r="W141" s="127">
        <v>2.9789511259072932E-10</v>
      </c>
      <c r="X141" s="128">
        <f t="shared" si="4"/>
        <v>4.7271387653578469E-10</v>
      </c>
      <c r="Y141" s="139">
        <f t="shared" si="5"/>
        <v>0.19278781907001871</v>
      </c>
      <c r="AA141" s="73"/>
      <c r="AB141" s="182"/>
      <c r="AC141" s="182"/>
      <c r="AD141" s="182"/>
      <c r="AJ141" s="135"/>
    </row>
    <row r="142" spans="9:36" x14ac:dyDescent="0.35">
      <c r="I142" s="109">
        <v>3.3281054995899999E-2</v>
      </c>
      <c r="J142" s="49">
        <v>5.3935616728729891E-10</v>
      </c>
      <c r="K142" s="49">
        <v>5.2325368938113E-11</v>
      </c>
      <c r="L142" s="156">
        <v>4.179203676044718E-10</v>
      </c>
      <c r="R142" s="60">
        <v>1182.4342742031336</v>
      </c>
      <c r="S142" s="57">
        <v>9.149294283080475E-7</v>
      </c>
      <c r="U142" s="127">
        <v>5.823291824431236E-10</v>
      </c>
      <c r="V142" s="127">
        <v>4.179203676044718E-10</v>
      </c>
      <c r="W142" s="127">
        <v>2.3751459559161223E-10</v>
      </c>
      <c r="X142" s="128">
        <f t="shared" si="4"/>
        <v>4.1392112831091986E-10</v>
      </c>
      <c r="Y142" s="139">
        <f t="shared" si="5"/>
        <v>5.7466287314006026</v>
      </c>
      <c r="AA142" s="73"/>
      <c r="AB142" s="182"/>
      <c r="AC142" s="182"/>
      <c r="AD142" s="182"/>
      <c r="AJ142" s="135"/>
    </row>
    <row r="143" spans="9:36" x14ac:dyDescent="0.35">
      <c r="I143" s="109">
        <v>3.3613865545800002E-2</v>
      </c>
      <c r="J143" s="49">
        <v>3.3495269425865424E-10</v>
      </c>
      <c r="K143" s="49">
        <v>4.2556386130775924E-11</v>
      </c>
      <c r="L143" s="156">
        <v>3.4103996545807214E-10</v>
      </c>
      <c r="R143" s="60">
        <v>1182.4342742031336</v>
      </c>
      <c r="S143" s="57">
        <v>9.1224951186229093E-7</v>
      </c>
      <c r="U143" s="127">
        <v>5.3396737462544275E-10</v>
      </c>
      <c r="V143" s="127">
        <v>3.4103996545807214E-10</v>
      </c>
      <c r="W143" s="127">
        <v>1.9827517837940382E-10</v>
      </c>
      <c r="X143" s="128">
        <f t="shared" si="4"/>
        <v>3.535806209802477E-10</v>
      </c>
      <c r="Y143" s="139">
        <f t="shared" si="5"/>
        <v>0.19160178915776488</v>
      </c>
      <c r="AA143" s="73"/>
      <c r="AB143" s="182"/>
      <c r="AC143" s="182"/>
      <c r="AD143" s="182"/>
      <c r="AJ143" s="135"/>
    </row>
    <row r="144" spans="9:36" x14ac:dyDescent="0.35">
      <c r="I144" s="109">
        <v>3.3950004201300003E-2</v>
      </c>
      <c r="J144" s="49">
        <v>3.1821792016095627E-10</v>
      </c>
      <c r="K144" s="49">
        <v>4.0367773829468121E-11</v>
      </c>
      <c r="L144" s="156">
        <v>2.7077039110419597E-10</v>
      </c>
      <c r="O144" s="30"/>
      <c r="R144" s="60">
        <v>1182.8888196576791</v>
      </c>
      <c r="S144" s="57">
        <v>9.1224951186229093E-7</v>
      </c>
      <c r="U144" s="127">
        <v>4.6871884642554584E-10</v>
      </c>
      <c r="V144" s="127">
        <v>2.7077039110419597E-10</v>
      </c>
      <c r="W144" s="127">
        <v>1.8553114001603003E-10</v>
      </c>
      <c r="X144" s="128">
        <f t="shared" si="4"/>
        <v>2.989476921624919E-10</v>
      </c>
      <c r="Y144" s="139">
        <f t="shared" si="5"/>
        <v>0.22787889576904516</v>
      </c>
      <c r="AA144" s="73"/>
      <c r="AB144" s="182"/>
      <c r="AC144" s="182"/>
      <c r="AD144" s="182"/>
      <c r="AJ144" s="135"/>
    </row>
    <row r="145" spans="9:36" x14ac:dyDescent="0.35">
      <c r="I145" s="109">
        <v>3.4289504243299997E-2</v>
      </c>
      <c r="J145" s="49">
        <v>2.3847132493253878E-10</v>
      </c>
      <c r="K145" s="49">
        <v>3.6159563156080711E-11</v>
      </c>
      <c r="L145" s="156">
        <v>2.1598735406107411E-10</v>
      </c>
      <c r="R145" s="60">
        <v>1182.8888196576791</v>
      </c>
      <c r="S145" s="57">
        <v>9.2170252066689195E-7</v>
      </c>
      <c r="U145" s="127">
        <v>3.9381446077142013E-10</v>
      </c>
      <c r="V145" s="127">
        <v>2.1598735406107411E-10</v>
      </c>
      <c r="W145" s="127">
        <v>2.0120000982320868E-10</v>
      </c>
      <c r="X145" s="128">
        <f t="shared" si="4"/>
        <v>2.5674729467919425E-10</v>
      </c>
      <c r="Y145" s="139">
        <f t="shared" si="5"/>
        <v>0.25545506069483725</v>
      </c>
      <c r="AA145" s="73"/>
      <c r="AB145" s="182"/>
      <c r="AC145" s="182"/>
      <c r="AD145" s="182"/>
      <c r="AJ145" s="135"/>
    </row>
    <row r="146" spans="9:36" x14ac:dyDescent="0.35">
      <c r="I146" s="109">
        <v>3.46323992857E-2</v>
      </c>
      <c r="J146" s="49">
        <v>2.30312636530436E-10</v>
      </c>
      <c r="K146" s="49">
        <v>3.7584854960917615E-11</v>
      </c>
      <c r="L146" s="156">
        <v>1.8387712037783062E-10</v>
      </c>
      <c r="R146" s="60">
        <v>1183.3433651122245</v>
      </c>
      <c r="S146" s="57">
        <v>9.2170252066689195E-7</v>
      </c>
      <c r="U146" s="127">
        <v>3.1798755488649575E-10</v>
      </c>
      <c r="V146" s="127">
        <v>1.8387712037783062E-10</v>
      </c>
      <c r="W146" s="127">
        <v>2.4328799161582514E-10</v>
      </c>
      <c r="X146" s="128">
        <f t="shared" si="4"/>
        <v>2.3225744681449556E-10</v>
      </c>
      <c r="Y146" s="139">
        <f t="shared" si="5"/>
        <v>2.6774953633496665E-3</v>
      </c>
      <c r="AA146" s="73"/>
      <c r="AB146" s="182"/>
      <c r="AC146" s="182"/>
      <c r="AD146" s="182"/>
      <c r="AJ146" s="135"/>
    </row>
    <row r="147" spans="9:36" x14ac:dyDescent="0.35">
      <c r="I147" s="109">
        <v>3.49787232786E-2</v>
      </c>
      <c r="J147" s="49">
        <v>1.9164656057938789E-10</v>
      </c>
      <c r="K147" s="49">
        <v>3.6444306284892664E-11</v>
      </c>
      <c r="L147" s="156">
        <v>1.7885998687671376E-10</v>
      </c>
      <c r="R147" s="60">
        <v>1183.3433651122245</v>
      </c>
      <c r="S147" s="57">
        <v>9.4686452543620391E-7</v>
      </c>
      <c r="U147" s="127">
        <v>2.5044912633805571E-10</v>
      </c>
      <c r="V147" s="127">
        <v>1.7885998687671376E-10</v>
      </c>
      <c r="W147" s="127">
        <v>3.0594424549630668E-10</v>
      </c>
      <c r="X147" s="128">
        <f t="shared" si="4"/>
        <v>2.2852833639694747E-10</v>
      </c>
      <c r="Y147" s="139">
        <f t="shared" si="5"/>
        <v>1.0241516561641657</v>
      </c>
      <c r="AA147" s="73"/>
      <c r="AB147" s="182"/>
      <c r="AC147" s="182"/>
      <c r="AD147" s="182"/>
      <c r="AJ147" s="135"/>
    </row>
    <row r="148" spans="9:36" x14ac:dyDescent="0.35">
      <c r="I148" s="109">
        <v>3.5328510511399999E-2</v>
      </c>
      <c r="J148" s="49">
        <v>2.2079127919836082E-10</v>
      </c>
      <c r="K148" s="49">
        <v>3.9947700957721544E-11</v>
      </c>
      <c r="L148" s="156">
        <v>2.0181348919359109E-10</v>
      </c>
      <c r="R148" s="60">
        <v>1183.79791056677</v>
      </c>
      <c r="S148" s="57">
        <v>9.4686452543620391E-7</v>
      </c>
      <c r="U148" s="127">
        <v>1.9971776548259235E-10</v>
      </c>
      <c r="V148" s="127">
        <v>2.0181348919359109E-10</v>
      </c>
      <c r="W148" s="127">
        <v>3.8008733147246537E-10</v>
      </c>
      <c r="X148" s="128">
        <f t="shared" si="4"/>
        <v>2.4585801883556E-10</v>
      </c>
      <c r="Y148" s="139">
        <f t="shared" si="5"/>
        <v>0.39374234179344259</v>
      </c>
      <c r="AA148" s="73"/>
      <c r="AB148" s="182"/>
      <c r="AC148" s="182"/>
      <c r="AD148" s="182"/>
      <c r="AJ148" s="135"/>
    </row>
    <row r="149" spans="9:36" x14ac:dyDescent="0.35">
      <c r="I149" s="109">
        <v>3.5681795616499999E-2</v>
      </c>
      <c r="J149" s="49">
        <v>2.5839770397724853E-10</v>
      </c>
      <c r="K149" s="49">
        <v>4.1755125981475475E-11</v>
      </c>
      <c r="L149" s="156">
        <v>2.497364127470118E-10</v>
      </c>
      <c r="R149" s="60">
        <v>1183.79791056677</v>
      </c>
      <c r="S149" s="57">
        <v>9.9167981338865398E-7</v>
      </c>
      <c r="U149" s="127">
        <v>1.7244798786611062E-10</v>
      </c>
      <c r="V149" s="127">
        <v>2.497364127470118E-10</v>
      </c>
      <c r="W149" s="127">
        <v>4.5456457970367977E-10</v>
      </c>
      <c r="X149" s="128">
        <f t="shared" si="4"/>
        <v>2.8162134826595349E-10</v>
      </c>
      <c r="Y149" s="139">
        <f t="shared" si="5"/>
        <v>0.30934360692092067</v>
      </c>
      <c r="AA149" s="73"/>
      <c r="AB149" s="182"/>
      <c r="AC149" s="182"/>
      <c r="AD149" s="182"/>
      <c r="AJ149" s="135"/>
    </row>
    <row r="150" spans="9:36" x14ac:dyDescent="0.35">
      <c r="I150" s="109">
        <v>3.6038613572599999E-2</v>
      </c>
      <c r="J150" s="49">
        <v>3.9263288480597522E-10</v>
      </c>
      <c r="K150" s="49">
        <v>5.1823321537178915E-11</v>
      </c>
      <c r="L150" s="156">
        <v>3.1594598917370101E-10</v>
      </c>
      <c r="R150" s="60">
        <v>1184.2524560213155</v>
      </c>
      <c r="S150" s="57">
        <v>9.9167981338865398E-7</v>
      </c>
      <c r="U150" s="127">
        <v>1.7241833513694493E-10</v>
      </c>
      <c r="V150" s="127">
        <v>3.1594598917370101E-10</v>
      </c>
      <c r="W150" s="127">
        <v>5.1771794511304312E-10</v>
      </c>
      <c r="X150" s="128">
        <f t="shared" si="4"/>
        <v>3.3050706464934752E-10</v>
      </c>
      <c r="Y150" s="139">
        <f t="shared" si="5"/>
        <v>1.4371224716079984</v>
      </c>
      <c r="AA150" s="73"/>
      <c r="AB150" s="182"/>
      <c r="AC150" s="182"/>
      <c r="AD150" s="182"/>
      <c r="AJ150" s="135"/>
    </row>
    <row r="151" spans="9:36" x14ac:dyDescent="0.35">
      <c r="I151" s="109">
        <v>3.63989997084E-2</v>
      </c>
      <c r="J151" s="49">
        <v>5.472279187203483E-10</v>
      </c>
      <c r="K151" s="49">
        <v>5.7492471418847742E-11</v>
      </c>
      <c r="L151" s="156">
        <v>3.9083129466496514E-10</v>
      </c>
      <c r="R151" s="60">
        <v>1184.2524560213155</v>
      </c>
      <c r="S151" s="57">
        <v>1.0599857002645534E-6</v>
      </c>
      <c r="U151" s="127">
        <v>1.9983727764983234E-10</v>
      </c>
      <c r="V151" s="127">
        <v>3.9083129466496514E-10</v>
      </c>
      <c r="W151" s="127">
        <v>5.5915129981604917E-10</v>
      </c>
      <c r="X151" s="128">
        <f t="shared" si="4"/>
        <v>3.8516279169895294E-10</v>
      </c>
      <c r="Y151" s="139">
        <f t="shared" si="5"/>
        <v>7.9461579205968027</v>
      </c>
      <c r="AA151" s="73"/>
      <c r="AB151" s="182"/>
      <c r="AC151" s="182"/>
      <c r="AD151" s="182"/>
      <c r="AJ151" s="135"/>
    </row>
    <row r="152" spans="9:36" x14ac:dyDescent="0.35">
      <c r="I152" s="109">
        <v>3.6762989705399998E-2</v>
      </c>
      <c r="J152" s="49">
        <v>5.0495211721258087E-10</v>
      </c>
      <c r="K152" s="49">
        <v>5.5871148377550829E-11</v>
      </c>
      <c r="L152" s="156">
        <v>4.6310227856689739E-10</v>
      </c>
      <c r="R152" s="60">
        <v>1184.707001475861</v>
      </c>
      <c r="S152" s="57">
        <v>1.0599857002645534E-6</v>
      </c>
      <c r="U152" s="127">
        <v>2.5102269239309174E-10</v>
      </c>
      <c r="V152" s="127">
        <v>4.6310227856689739E-10</v>
      </c>
      <c r="W152" s="127">
        <v>5.7154169519325635E-10</v>
      </c>
      <c r="X152" s="128">
        <f t="shared" si="4"/>
        <v>4.3719223618003575E-10</v>
      </c>
      <c r="Y152" s="139">
        <f t="shared" si="5"/>
        <v>1.4708557199137198</v>
      </c>
      <c r="AA152" s="73"/>
      <c r="AB152" s="182"/>
      <c r="AC152" s="182"/>
      <c r="AD152" s="182"/>
      <c r="AJ152" s="135"/>
    </row>
    <row r="153" spans="9:36" x14ac:dyDescent="0.35">
      <c r="I153" s="109">
        <v>3.7130619602499998E-2</v>
      </c>
      <c r="J153" s="49">
        <v>5.5767976227706987E-10</v>
      </c>
      <c r="K153" s="49">
        <v>6.1552704433161949E-11</v>
      </c>
      <c r="L153" s="156">
        <v>5.2144004863748539E-10</v>
      </c>
      <c r="R153" s="60">
        <v>1184.707001475861</v>
      </c>
      <c r="S153" s="57">
        <v>1.1548456203031934E-6</v>
      </c>
      <c r="U153" s="127">
        <v>3.1900082181864236E-10</v>
      </c>
      <c r="V153" s="127">
        <v>5.2144004863748539E-10</v>
      </c>
      <c r="W153" s="127">
        <v>5.5161000057797665E-10</v>
      </c>
      <c r="X153" s="128">
        <f t="shared" si="4"/>
        <v>4.783727299178974E-10</v>
      </c>
      <c r="Y153" s="139">
        <f t="shared" si="5"/>
        <v>1.6600803907754802</v>
      </c>
      <c r="AA153" s="73"/>
      <c r="AB153" s="182"/>
      <c r="AC153" s="182"/>
      <c r="AD153" s="182"/>
      <c r="AJ153" s="135"/>
    </row>
    <row r="154" spans="9:36" x14ac:dyDescent="0.35">
      <c r="I154" s="109">
        <v>3.7501925798500001E-2</v>
      </c>
      <c r="J154" s="49">
        <v>5.2863988431533728E-10</v>
      </c>
      <c r="K154" s="49">
        <v>6.3967238706259766E-11</v>
      </c>
      <c r="L154" s="156">
        <v>5.5610860068642789E-10</v>
      </c>
      <c r="R154" s="60">
        <v>1185.1615469304065</v>
      </c>
      <c r="S154" s="57">
        <v>1.1548456203031934E-6</v>
      </c>
      <c r="U154" s="127">
        <v>3.9384386607300908E-10</v>
      </c>
      <c r="V154" s="127">
        <v>5.5610860068642789E-10</v>
      </c>
      <c r="W154" s="127">
        <v>5.0143300538672394E-10</v>
      </c>
      <c r="X154" s="128">
        <f t="shared" si="4"/>
        <v>5.018735182081472E-10</v>
      </c>
      <c r="Y154" s="139">
        <f t="shared" si="5"/>
        <v>0.17509091818820663</v>
      </c>
      <c r="AA154" s="73"/>
      <c r="AB154" s="182"/>
      <c r="AC154" s="182"/>
      <c r="AD154" s="182"/>
      <c r="AJ154" s="135"/>
    </row>
    <row r="155" spans="9:36" x14ac:dyDescent="0.35">
      <c r="I155" s="109">
        <v>3.7876945056500001E-2</v>
      </c>
      <c r="J155" s="49">
        <v>5.9134017408761999E-10</v>
      </c>
      <c r="K155" s="49">
        <v>6.5517693082774403E-11</v>
      </c>
      <c r="L155" s="156">
        <v>5.6069920327311252E-10</v>
      </c>
      <c r="R155" s="60">
        <v>1185.1615469304065</v>
      </c>
      <c r="S155" s="57">
        <v>1.2777897372700898E-6</v>
      </c>
      <c r="U155" s="127">
        <v>4.6428000778015776E-10</v>
      </c>
      <c r="V155" s="127">
        <v>5.6069920327311252E-10</v>
      </c>
      <c r="W155" s="127">
        <v>4.2809523351147016E-10</v>
      </c>
      <c r="X155" s="128">
        <f t="shared" si="4"/>
        <v>5.0344341195946324E-10</v>
      </c>
      <c r="Y155" s="139">
        <f t="shared" si="5"/>
        <v>1.799817871314727</v>
      </c>
      <c r="AA155" s="73"/>
      <c r="AB155" s="182"/>
      <c r="AC155" s="182"/>
      <c r="AD155" s="182"/>
      <c r="AJ155" s="135"/>
    </row>
    <row r="156" spans="9:36" x14ac:dyDescent="0.35">
      <c r="I156" s="109">
        <v>3.8255714507099997E-2</v>
      </c>
      <c r="J156" s="49">
        <v>4.880754195870215E-10</v>
      </c>
      <c r="K156" s="49">
        <v>6.0092992320836972E-11</v>
      </c>
      <c r="L156" s="156">
        <v>5.3331454546486845E-10</v>
      </c>
      <c r="R156" s="60">
        <v>1185.616092384952</v>
      </c>
      <c r="S156" s="57">
        <v>1.2777897372700898E-6</v>
      </c>
      <c r="U156" s="127">
        <v>5.1922702607490689E-10</v>
      </c>
      <c r="V156" s="127">
        <v>5.3331454546486845E-10</v>
      </c>
      <c r="W156" s="127">
        <v>3.428708652297777E-10</v>
      </c>
      <c r="X156" s="128">
        <f t="shared" si="4"/>
        <v>4.8218174555860541E-10</v>
      </c>
      <c r="Y156" s="139">
        <f t="shared" si="5"/>
        <v>9.6188812561768394E-3</v>
      </c>
      <c r="AA156" s="73"/>
      <c r="AB156" s="182"/>
      <c r="AC156" s="182"/>
      <c r="AD156" s="182"/>
      <c r="AJ156" s="135"/>
    </row>
    <row r="157" spans="9:36" x14ac:dyDescent="0.35">
      <c r="I157" s="109">
        <v>3.8638271652100001E-2</v>
      </c>
      <c r="J157" s="49">
        <v>3.5519164200368028E-10</v>
      </c>
      <c r="K157" s="49">
        <v>5.3775761857228681E-11</v>
      </c>
      <c r="L157" s="156">
        <v>4.7715175339102391E-10</v>
      </c>
      <c r="R157" s="60">
        <v>1185.616092384952</v>
      </c>
      <c r="S157" s="57">
        <v>1.4281268259098025E-6</v>
      </c>
      <c r="U157" s="127">
        <v>5.4950197615168907E-10</v>
      </c>
      <c r="V157" s="127">
        <v>4.7715175339102391E-10</v>
      </c>
      <c r="W157" s="127">
        <v>2.5953683782990123E-10</v>
      </c>
      <c r="X157" s="128">
        <f t="shared" si="4"/>
        <v>4.4083558019090952E-10</v>
      </c>
      <c r="Y157" s="139">
        <f t="shared" si="5"/>
        <v>2.5364138440240209</v>
      </c>
      <c r="AA157" s="73"/>
      <c r="AB157" s="182"/>
      <c r="AC157" s="182"/>
      <c r="AD157" s="182"/>
      <c r="AJ157" s="135"/>
    </row>
    <row r="158" spans="9:36" x14ac:dyDescent="0.35">
      <c r="I158" s="109">
        <v>3.90246543687E-2</v>
      </c>
      <c r="J158" s="49">
        <v>3.1009722003642285E-10</v>
      </c>
      <c r="K158" s="49">
        <v>5.1557994509334504E-11</v>
      </c>
      <c r="L158" s="156">
        <v>4.0028404829796865E-10</v>
      </c>
      <c r="R158" s="60">
        <v>1186.0706378394975</v>
      </c>
      <c r="S158" s="57">
        <v>1.4281268259098025E-6</v>
      </c>
      <c r="U158" s="127">
        <v>5.4937011236141454E-10</v>
      </c>
      <c r="V158" s="127">
        <v>4.0028404829796865E-10</v>
      </c>
      <c r="W158" s="127">
        <v>1.9210751404645242E-10</v>
      </c>
      <c r="X158" s="128">
        <f t="shared" si="4"/>
        <v>3.8551143075095107E-10</v>
      </c>
      <c r="Y158" s="139">
        <f t="shared" si="5"/>
        <v>2.139510135985998</v>
      </c>
      <c r="AA158" s="73"/>
      <c r="AB158" s="182"/>
      <c r="AC158" s="182"/>
      <c r="AD158" s="182"/>
      <c r="AJ158" s="135"/>
    </row>
    <row r="159" spans="9:36" x14ac:dyDescent="0.35">
      <c r="I159" s="109">
        <v>3.9414900912399999E-2</v>
      </c>
      <c r="J159" s="49">
        <v>3.3151633191151405E-10</v>
      </c>
      <c r="K159" s="49">
        <v>5.5422115192213226E-11</v>
      </c>
      <c r="L159" s="156">
        <v>3.1459703989863127E-10</v>
      </c>
      <c r="R159" s="60">
        <v>1186.0706378394975</v>
      </c>
      <c r="S159" s="57">
        <v>1.6025198826876512E-6</v>
      </c>
      <c r="U159" s="127">
        <v>5.1766742118510975E-10</v>
      </c>
      <c r="V159" s="127">
        <v>3.1459703989863127E-10</v>
      </c>
      <c r="W159" s="127">
        <v>1.5234351469273304E-10</v>
      </c>
      <c r="X159" s="128">
        <f t="shared" si="4"/>
        <v>3.2480125391877631E-10</v>
      </c>
      <c r="Y159" s="139">
        <f t="shared" si="5"/>
        <v>1.4680333745281189E-2</v>
      </c>
      <c r="AA159" s="73"/>
      <c r="AB159" s="182"/>
      <c r="AC159" s="182"/>
      <c r="AD159" s="182"/>
      <c r="AJ159" s="135"/>
    </row>
    <row r="160" spans="9:36" x14ac:dyDescent="0.35">
      <c r="I160" s="109">
        <v>3.98090499215E-2</v>
      </c>
      <c r="J160" s="49">
        <v>2.7107060724115905E-10</v>
      </c>
      <c r="K160" s="49">
        <v>5.1219097059774864E-11</v>
      </c>
      <c r="L160" s="157">
        <v>2.3397906215562554E-10</v>
      </c>
      <c r="M160" s="32"/>
      <c r="R160" s="60">
        <v>1186.525183294043</v>
      </c>
      <c r="S160" s="57">
        <v>1.6025198826876512E-6</v>
      </c>
      <c r="U160" s="127">
        <v>4.5826947438572839E-10</v>
      </c>
      <c r="V160" s="127">
        <v>2.3397906215562554E-10</v>
      </c>
      <c r="W160" s="127">
        <v>1.4747284131647068E-10</v>
      </c>
      <c r="X160" s="128">
        <f t="shared" si="4"/>
        <v>2.6842511000336255E-10</v>
      </c>
      <c r="Y160" s="139">
        <f t="shared" si="5"/>
        <v>2.667784769174634E-3</v>
      </c>
      <c r="AA160" s="73"/>
      <c r="AB160" s="182"/>
      <c r="AC160" s="182"/>
      <c r="AD160" s="182"/>
      <c r="AJ160" s="135"/>
    </row>
    <row r="161" spans="1:36" x14ac:dyDescent="0.35">
      <c r="I161" s="109">
        <v>4.0207140420699998E-2</v>
      </c>
      <c r="J161" s="49">
        <v>1.8615902250439767E-10</v>
      </c>
      <c r="K161" s="49">
        <v>4.3138808542399733E-11</v>
      </c>
      <c r="L161" s="157">
        <v>1.7201130966633708E-10</v>
      </c>
      <c r="M161" s="32"/>
      <c r="R161" s="60">
        <v>1186.525183294043</v>
      </c>
      <c r="S161" s="57">
        <v>1.7949890631183405E-6</v>
      </c>
      <c r="U161" s="127">
        <v>3.7976177470901837E-10</v>
      </c>
      <c r="V161" s="127">
        <v>1.7201130966633708E-10</v>
      </c>
      <c r="W161" s="127">
        <v>1.7857526920848963E-10</v>
      </c>
      <c r="X161" s="128">
        <f t="shared" si="4"/>
        <v>2.2558991581254554E-10</v>
      </c>
      <c r="Y161" s="139">
        <f t="shared" si="5"/>
        <v>0.83548169684813556</v>
      </c>
      <c r="AA161" s="73"/>
      <c r="AB161" s="182"/>
      <c r="AC161" s="182"/>
      <c r="AD161" s="182"/>
      <c r="AJ161" s="135"/>
    </row>
    <row r="162" spans="1:36" x14ac:dyDescent="0.35">
      <c r="I162" s="109">
        <v>4.0609211824900002E-2</v>
      </c>
      <c r="J162" s="49">
        <v>1.9738096716093312E-10</v>
      </c>
      <c r="K162" s="49">
        <v>4.5367086510875437E-11</v>
      </c>
      <c r="L162" s="157">
        <v>1.3952558406368178E-10</v>
      </c>
      <c r="M162" s="32"/>
      <c r="R162" s="60">
        <v>1186.9797287485885</v>
      </c>
      <c r="S162" s="57">
        <v>1.7949890631183405E-6</v>
      </c>
      <c r="U162" s="127">
        <v>2.9428634935793925E-10</v>
      </c>
      <c r="V162" s="127">
        <v>1.3952558406368178E-10</v>
      </c>
      <c r="W162" s="127">
        <v>2.4000662233000061E-10</v>
      </c>
      <c r="X162" s="128">
        <f t="shared" si="4"/>
        <v>2.0333603495382586E-10</v>
      </c>
      <c r="Y162" s="139">
        <f t="shared" si="5"/>
        <v>1.7230252447177134E-2</v>
      </c>
      <c r="AA162" s="73"/>
      <c r="AB162" s="182"/>
      <c r="AC162" s="182"/>
      <c r="AD162" s="182"/>
      <c r="AJ162" s="135"/>
    </row>
    <row r="163" spans="1:36" x14ac:dyDescent="0.35">
      <c r="I163" s="109">
        <v>4.1015303943099997E-2</v>
      </c>
      <c r="J163" s="49">
        <v>2.4926045653817992E-10</v>
      </c>
      <c r="K163" s="49">
        <v>5.201843572116804E-11</v>
      </c>
      <c r="L163" s="157">
        <v>1.4246739918468865E-10</v>
      </c>
      <c r="M163" s="32"/>
      <c r="R163" s="60">
        <v>1186.9797287485885</v>
      </c>
      <c r="S163" s="57">
        <v>1.9463755492462878E-6</v>
      </c>
      <c r="U163" s="127">
        <v>2.1568090646225863E-10</v>
      </c>
      <c r="V163" s="127">
        <v>1.4246739918468865E-10</v>
      </c>
      <c r="W163" s="127">
        <v>3.2007919725465248E-10</v>
      </c>
      <c r="X163" s="128">
        <f t="shared" si="4"/>
        <v>2.0517372552157209E-10</v>
      </c>
      <c r="Y163" s="139">
        <f t="shared" si="5"/>
        <v>0.71829231322963938</v>
      </c>
      <c r="AA163" s="73"/>
      <c r="AB163" s="182"/>
      <c r="AC163" s="182"/>
      <c r="AD163" s="182"/>
      <c r="AJ163" s="135"/>
    </row>
    <row r="164" spans="1:36" x14ac:dyDescent="0.35">
      <c r="I164" s="109">
        <v>4.1425456982600001E-2</v>
      </c>
      <c r="J164" s="49">
        <v>2.9557942418678638E-10</v>
      </c>
      <c r="K164" s="49">
        <v>5.5970665310007995E-11</v>
      </c>
      <c r="L164" s="157">
        <v>1.8049745190838442E-10</v>
      </c>
      <c r="M164" s="32"/>
      <c r="R164" s="60">
        <v>1187.2070014758613</v>
      </c>
      <c r="S164" s="57">
        <v>1.9463755492462878E-6</v>
      </c>
      <c r="U164" s="127">
        <v>1.5716807841001309E-10</v>
      </c>
      <c r="V164" s="127">
        <v>1.8049745190838442E-10</v>
      </c>
      <c r="W164" s="127">
        <v>4.0298803277927644E-10</v>
      </c>
      <c r="X164" s="128">
        <f t="shared" si="4"/>
        <v>2.302877537515146E-10</v>
      </c>
      <c r="Y164" s="139">
        <f t="shared" si="5"/>
        <v>1.3608010041112779</v>
      </c>
      <c r="AA164" s="73"/>
      <c r="AB164" s="182"/>
      <c r="AC164" s="182"/>
      <c r="AD164" s="182"/>
      <c r="AJ164" s="135"/>
    </row>
    <row r="165" spans="1:36" x14ac:dyDescent="0.35">
      <c r="I165" s="109">
        <v>4.1839711552400002E-2</v>
      </c>
      <c r="J165" s="49">
        <v>2.8284665969283183E-10</v>
      </c>
      <c r="K165" s="49">
        <v>5.9046002975440199E-11</v>
      </c>
      <c r="L165" s="157">
        <v>2.4667375050528927E-10</v>
      </c>
      <c r="M165" s="32"/>
      <c r="R165" s="60">
        <v>1187.2070014758613</v>
      </c>
      <c r="S165" s="57">
        <v>2.0352053220195496E-6</v>
      </c>
      <c r="U165" s="127">
        <v>1.2896637968091011E-10</v>
      </c>
      <c r="V165" s="127">
        <v>2.4667375050528927E-10</v>
      </c>
      <c r="W165" s="127">
        <v>4.7171716904661097E-10</v>
      </c>
      <c r="X165" s="128">
        <f t="shared" si="4"/>
        <v>2.7350776243452491E-10</v>
      </c>
      <c r="Y165" s="139">
        <f t="shared" si="5"/>
        <v>2.5015557550144091E-2</v>
      </c>
      <c r="AA165" s="73"/>
      <c r="AB165" s="182"/>
      <c r="AC165" s="182"/>
      <c r="AD165" s="182"/>
      <c r="AJ165" s="135"/>
    </row>
    <row r="166" spans="1:36" x14ac:dyDescent="0.35">
      <c r="I166" s="109">
        <v>4.2258108667900002E-2</v>
      </c>
      <c r="J166" s="49">
        <v>4.9919034755409198E-10</v>
      </c>
      <c r="K166" s="49">
        <v>7.4459020061493056E-11</v>
      </c>
      <c r="L166" s="157">
        <v>3.28384728711962E-10</v>
      </c>
      <c r="M166" s="32"/>
      <c r="R166" s="60">
        <v>1187.4125362643331</v>
      </c>
      <c r="S166" s="57">
        <v>2.0352053220195496E-6</v>
      </c>
      <c r="U166" s="127">
        <v>1.3625484760398721E-10</v>
      </c>
      <c r="V166" s="127">
        <v>3.28384728711962E-10</v>
      </c>
      <c r="W166" s="127">
        <v>5.1142517540161498E-10</v>
      </c>
      <c r="X166" s="128">
        <f t="shared" si="4"/>
        <v>3.2611237010738152E-10</v>
      </c>
      <c r="Y166" s="139">
        <f t="shared" si="5"/>
        <v>5.4031744597094011</v>
      </c>
      <c r="AA166" s="73"/>
      <c r="AB166" s="182"/>
      <c r="AC166" s="182"/>
      <c r="AD166" s="182"/>
      <c r="AJ166" s="135"/>
    </row>
    <row r="167" spans="1:36" x14ac:dyDescent="0.35">
      <c r="I167" s="109">
        <v>4.2680689754600001E-2</v>
      </c>
      <c r="J167" s="49">
        <v>5.4287881019542934E-10</v>
      </c>
      <c r="K167" s="49">
        <v>8.099009847060355E-11</v>
      </c>
      <c r="L167" s="157">
        <v>4.0947320082769069E-10</v>
      </c>
      <c r="M167" s="32"/>
      <c r="R167" s="60">
        <v>1187.4125362643331</v>
      </c>
      <c r="S167" s="57">
        <v>2.1743995239802597E-6</v>
      </c>
      <c r="U167" s="127">
        <v>1.7790903649638178E-10</v>
      </c>
      <c r="V167" s="127">
        <v>4.0947320082769069E-10</v>
      </c>
      <c r="W167" s="127">
        <v>5.1264856309904176E-10</v>
      </c>
      <c r="X167" s="128">
        <f t="shared" si="4"/>
        <v>3.7737600031270122E-10</v>
      </c>
      <c r="Y167" s="139">
        <f t="shared" si="5"/>
        <v>4.1758692216667281</v>
      </c>
      <c r="AA167" s="73"/>
      <c r="AB167" s="182"/>
      <c r="AC167" s="182"/>
      <c r="AD167" s="182"/>
      <c r="AJ167" s="135"/>
    </row>
    <row r="168" spans="1:36" x14ac:dyDescent="0.35">
      <c r="I168" s="109">
        <v>4.3107496652199997E-2</v>
      </c>
      <c r="J168" s="49">
        <v>3.8555372725343528E-10</v>
      </c>
      <c r="K168" s="49">
        <v>7.4155855683632268E-11</v>
      </c>
      <c r="L168" s="157">
        <v>4.7324109926932195E-10</v>
      </c>
      <c r="M168" s="32"/>
      <c r="R168" s="60">
        <v>1187.8236058412765</v>
      </c>
      <c r="S168" s="57">
        <v>2.1743995239802597E-6</v>
      </c>
      <c r="U168" s="127">
        <v>2.4632772022283289E-10</v>
      </c>
      <c r="V168" s="127">
        <v>4.7324109926932195E-10</v>
      </c>
      <c r="W168" s="127">
        <v>4.7362174256052266E-10</v>
      </c>
      <c r="X168" s="128">
        <f t="shared" si="4"/>
        <v>4.1660791533049985E-10</v>
      </c>
      <c r="Y168" s="139">
        <f t="shared" si="5"/>
        <v>0.17536763967364583</v>
      </c>
      <c r="AA168" s="73"/>
      <c r="AB168" s="182"/>
      <c r="AC168" s="182"/>
      <c r="AD168" s="182"/>
      <c r="AJ168" s="135"/>
    </row>
    <row r="169" spans="1:36" x14ac:dyDescent="0.35">
      <c r="I169" s="109">
        <v>4.3538571618699999E-2</v>
      </c>
      <c r="J169" s="49">
        <v>4.4296041555029506E-10</v>
      </c>
      <c r="K169" s="49">
        <v>7.9345453712449493E-11</v>
      </c>
      <c r="L169" s="157">
        <v>5.0580540680818977E-10</v>
      </c>
      <c r="M169" s="32"/>
      <c r="R169" s="60">
        <v>1187.8236058412765</v>
      </c>
      <c r="S169" s="57">
        <v>2.3535186280961635E-6</v>
      </c>
      <c r="U169" s="127">
        <v>3.2849379482279746E-10</v>
      </c>
      <c r="V169" s="127">
        <v>5.0580540680818977E-10</v>
      </c>
      <c r="W169" s="127">
        <v>4.0112097528343355E-10</v>
      </c>
      <c r="X169" s="128">
        <f t="shared" si="4"/>
        <v>4.3530639593065262E-10</v>
      </c>
      <c r="Y169" s="139">
        <f t="shared" si="5"/>
        <v>9.3054000033954525E-3</v>
      </c>
      <c r="AA169" s="73"/>
      <c r="AB169" s="182"/>
      <c r="AC169" s="182"/>
      <c r="AD169" s="182"/>
      <c r="AJ169" s="135"/>
    </row>
    <row r="170" spans="1:36" x14ac:dyDescent="0.35">
      <c r="I170" s="109">
        <v>4.3973957334899998E-2</v>
      </c>
      <c r="J170" s="49">
        <v>4.9938044506783305E-10</v>
      </c>
      <c r="K170" s="49">
        <v>3.7302568313277499E-11</v>
      </c>
      <c r="L170" s="157">
        <v>4.9913830249216725E-10</v>
      </c>
      <c r="M170" s="32"/>
      <c r="R170" s="60">
        <v>1188.2346754182199</v>
      </c>
      <c r="S170" s="57">
        <v>2.3535186280961635E-6</v>
      </c>
      <c r="U170" s="127">
        <v>4.0818338392092305E-10</v>
      </c>
      <c r="V170" s="127">
        <v>4.9913830249216725E-10</v>
      </c>
      <c r="W170" s="127">
        <v>3.0949696057502124E-10</v>
      </c>
      <c r="X170" s="128">
        <f t="shared" si="4"/>
        <v>4.2898923737006973E-10</v>
      </c>
      <c r="Y170" s="139">
        <f t="shared" si="5"/>
        <v>3.5608966092671288</v>
      </c>
      <c r="AA170" s="73"/>
      <c r="AB170" s="182"/>
      <c r="AC170" s="182"/>
      <c r="AD170" s="182"/>
      <c r="AJ170" s="135"/>
    </row>
    <row r="171" spans="1:36" x14ac:dyDescent="0.35">
      <c r="I171" s="109">
        <v>4.4413696908199997E-2</v>
      </c>
      <c r="J171" s="49">
        <v>4.2855873157267341E-10</v>
      </c>
      <c r="K171" s="49">
        <v>3.5646482217933618E-11</v>
      </c>
      <c r="L171" s="157">
        <v>4.5311211856943428E-10</v>
      </c>
      <c r="M171" s="32"/>
      <c r="R171" s="60">
        <v>1188.2346754182199</v>
      </c>
      <c r="S171" s="57">
        <v>2.5197025051255869E-6</v>
      </c>
      <c r="U171" s="127">
        <v>4.6899344279858142E-10</v>
      </c>
      <c r="V171" s="127">
        <v>4.5311211856943428E-10</v>
      </c>
      <c r="W171" s="127">
        <v>2.1793157631460044E-10</v>
      </c>
      <c r="X171" s="128">
        <f t="shared" si="4"/>
        <v>3.9828731406301262E-10</v>
      </c>
      <c r="Y171" s="139">
        <f t="shared" si="5"/>
        <v>0.72116088050192495</v>
      </c>
      <c r="AA171" s="73"/>
      <c r="AB171" s="182"/>
      <c r="AC171" s="182"/>
      <c r="AD171" s="182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4.4857833877300003E-2</v>
      </c>
      <c r="J172" s="49">
        <v>3.1159577496205551E-10</v>
      </c>
      <c r="K172" s="49">
        <v>2.8275373937584699E-11</v>
      </c>
      <c r="L172" s="157">
        <v>3.7600507828127263E-10</v>
      </c>
      <c r="M172" s="32"/>
      <c r="N172" s="18"/>
      <c r="O172" s="18"/>
      <c r="P172" s="30"/>
      <c r="Q172" s="65"/>
      <c r="R172" s="62">
        <v>1188.6457449951633</v>
      </c>
      <c r="S172" s="61">
        <v>2.5197025051255869E-6</v>
      </c>
      <c r="T172" s="75"/>
      <c r="U172" s="127">
        <v>4.9764941835854428E-10</v>
      </c>
      <c r="V172" s="127">
        <v>3.7600507828127263E-10</v>
      </c>
      <c r="W172" s="127">
        <v>1.4637039717600697E-10</v>
      </c>
      <c r="X172" s="128">
        <f t="shared" si="4"/>
        <v>3.4900749302427412E-10</v>
      </c>
      <c r="Y172" s="139">
        <f t="shared" si="5"/>
        <v>1.7506470302227233</v>
      </c>
      <c r="AA172" s="73"/>
      <c r="AB172" s="182"/>
      <c r="AC172" s="182"/>
      <c r="AD172" s="182"/>
      <c r="AE172" s="75"/>
      <c r="AF172" s="75"/>
      <c r="AG172" s="75"/>
      <c r="AH172" s="75"/>
      <c r="AI172" s="159"/>
      <c r="AJ172" s="135"/>
    </row>
    <row r="173" spans="1:36" x14ac:dyDescent="0.35">
      <c r="I173" s="109">
        <v>4.5306412216100003E-2</v>
      </c>
      <c r="J173" s="49">
        <v>3.2580455145763421E-10</v>
      </c>
      <c r="K173" s="49">
        <v>2.8486966976090109E-11</v>
      </c>
      <c r="L173" s="157">
        <v>2.8320056613772344E-10</v>
      </c>
      <c r="M173" s="32"/>
      <c r="R173" s="60">
        <v>1188.6457449951633</v>
      </c>
      <c r="S173" s="57">
        <v>2.6681855005062899E-6</v>
      </c>
      <c r="U173" s="127">
        <v>4.8693088515196136E-10</v>
      </c>
      <c r="V173" s="127">
        <v>2.8320056613772344E-10</v>
      </c>
      <c r="W173" s="127">
        <v>1.1095100151511086E-10</v>
      </c>
      <c r="X173" s="128">
        <f t="shared" si="4"/>
        <v>2.9107075473562978E-10</v>
      </c>
      <c r="Y173" s="139">
        <f t="shared" si="5"/>
        <v>1.4866614919095362</v>
      </c>
      <c r="AA173" s="73"/>
      <c r="AB173" s="182"/>
      <c r="AC173" s="182"/>
      <c r="AD173" s="182"/>
      <c r="AJ173" s="135"/>
    </row>
    <row r="174" spans="1:36" x14ac:dyDescent="0.35">
      <c r="I174" s="109">
        <v>4.5759476338200003E-2</v>
      </c>
      <c r="J174" s="49">
        <v>1.9423105378022965E-10</v>
      </c>
      <c r="K174" s="49">
        <v>2.3331652334690267E-11</v>
      </c>
      <c r="L174" s="157">
        <v>1.9419048486464086E-10</v>
      </c>
      <c r="M174" s="32"/>
      <c r="R174" s="60">
        <v>1189.0568145721068</v>
      </c>
      <c r="S174" s="57">
        <v>2.6681855005062899E-6</v>
      </c>
      <c r="U174" s="127">
        <v>4.3755494090164123E-10</v>
      </c>
      <c r="V174" s="127">
        <v>1.9419048486464086E-10</v>
      </c>
      <c r="W174" s="127">
        <v>1.1996863237935817E-10</v>
      </c>
      <c r="X174" s="128">
        <f t="shared" si="4"/>
        <v>2.3647613575257026E-10</v>
      </c>
      <c r="Y174" s="139">
        <f t="shared" si="5"/>
        <v>3.2783953234837471</v>
      </c>
      <c r="AA174" s="73"/>
      <c r="AB174" s="182"/>
      <c r="AC174" s="182"/>
      <c r="AD174" s="182"/>
      <c r="AJ174" s="135"/>
    </row>
    <row r="175" spans="1:36" x14ac:dyDescent="0.35">
      <c r="I175" s="109">
        <v>4.6217071101599998E-2</v>
      </c>
      <c r="J175" s="49">
        <v>1.6953026163777491E-10</v>
      </c>
      <c r="K175" s="49">
        <v>2.3014710974033103E-11</v>
      </c>
      <c r="L175" s="157">
        <v>1.2839978964543178E-10</v>
      </c>
      <c r="M175" s="32"/>
      <c r="R175" s="60">
        <v>1189.0568145721068</v>
      </c>
      <c r="S175" s="57">
        <v>2.7958988191742747E-6</v>
      </c>
      <c r="U175" s="127">
        <v>3.5850437576471049E-10</v>
      </c>
      <c r="V175" s="127">
        <v>1.2839978964543178E-10</v>
      </c>
      <c r="W175" s="127">
        <v>1.7141510373811142E-10</v>
      </c>
      <c r="X175" s="128">
        <f t="shared" si="4"/>
        <v>1.9667976469842135E-10</v>
      </c>
      <c r="Y175" s="139">
        <f t="shared" si="5"/>
        <v>1.3915945492673132</v>
      </c>
      <c r="AA175" s="73"/>
      <c r="AB175" s="182"/>
      <c r="AC175" s="182"/>
      <c r="AD175" s="182"/>
      <c r="AJ175" s="135"/>
    </row>
    <row r="176" spans="1:36" x14ac:dyDescent="0.35">
      <c r="I176" s="109">
        <v>4.6679241812599997E-2</v>
      </c>
      <c r="J176" s="49">
        <v>1.6747755232191598E-10</v>
      </c>
      <c r="K176" s="49">
        <v>2.2095450072268557E-11</v>
      </c>
      <c r="L176" s="157">
        <v>1.0069112554885862E-10</v>
      </c>
      <c r="M176" s="32"/>
      <c r="R176" s="60">
        <v>1189.4678841490502</v>
      </c>
      <c r="S176" s="57">
        <v>2.7958988191742747E-6</v>
      </c>
      <c r="U176" s="127">
        <v>2.6557087715268627E-10</v>
      </c>
      <c r="V176" s="127">
        <v>1.0069112554885862E-10</v>
      </c>
      <c r="W176" s="127">
        <v>2.5285808691116931E-10</v>
      </c>
      <c r="X176" s="128">
        <f t="shared" si="4"/>
        <v>1.7995280379039321E-10</v>
      </c>
      <c r="Y176" s="139">
        <f t="shared" si="5"/>
        <v>0.31878135521888601</v>
      </c>
      <c r="AA176" s="73"/>
      <c r="AB176" s="182"/>
      <c r="AC176" s="182"/>
      <c r="AD176" s="182"/>
      <c r="AJ176" s="135"/>
    </row>
    <row r="177" spans="9:36" x14ac:dyDescent="0.35">
      <c r="I177" s="109">
        <v>4.71460342308E-2</v>
      </c>
      <c r="J177" s="49">
        <v>2.6134057963156264E-10</v>
      </c>
      <c r="K177" s="49">
        <v>2.7853830317412983E-11</v>
      </c>
      <c r="L177" s="156">
        <v>1.1759030290858825E-10</v>
      </c>
      <c r="M177" s="33"/>
      <c r="R177" s="60">
        <v>1189.4678841490502</v>
      </c>
      <c r="S177" s="57">
        <v>2.9015512142563631E-6</v>
      </c>
      <c r="U177" s="127">
        <v>1.7826010248370692E-10</v>
      </c>
      <c r="V177" s="127">
        <v>1.1759030290858825E-10</v>
      </c>
      <c r="W177" s="127">
        <v>3.439238346640573E-10</v>
      </c>
      <c r="X177" s="128">
        <f t="shared" si="4"/>
        <v>1.8934113574123518E-10</v>
      </c>
      <c r="Y177" s="139">
        <f t="shared" si="5"/>
        <v>6.6817224691372115</v>
      </c>
      <c r="AA177" s="73"/>
      <c r="AB177" s="182"/>
      <c r="AC177" s="182"/>
      <c r="AD177" s="182"/>
      <c r="AJ177" s="135"/>
    </row>
    <row r="178" spans="9:36" x14ac:dyDescent="0.35">
      <c r="I178" s="109">
        <v>4.7617494573100001E-2</v>
      </c>
      <c r="J178" s="49">
        <v>2.7166401975671583E-10</v>
      </c>
      <c r="K178" s="49">
        <v>2.9637384095421387E-11</v>
      </c>
      <c r="L178" s="156">
        <v>1.7522270501032608E-10</v>
      </c>
      <c r="M178" s="33"/>
      <c r="R178" s="60">
        <v>1189.8789537259936</v>
      </c>
      <c r="S178" s="57">
        <v>2.9015512142563631E-6</v>
      </c>
      <c r="U178" s="127">
        <v>1.1560217213010069E-10</v>
      </c>
      <c r="V178" s="127">
        <v>1.7522270501032608E-10</v>
      </c>
      <c r="W178" s="127">
        <v>4.21003252530209E-10</v>
      </c>
      <c r="X178" s="128">
        <f t="shared" si="4"/>
        <v>2.2176270867024047E-10</v>
      </c>
      <c r="Y178" s="139">
        <f t="shared" si="5"/>
        <v>2.834941982076999</v>
      </c>
      <c r="AA178" s="73"/>
      <c r="AB178" s="182"/>
      <c r="AC178" s="182"/>
      <c r="AD178" s="182"/>
      <c r="AJ178" s="135"/>
    </row>
    <row r="179" spans="9:36" x14ac:dyDescent="0.35">
      <c r="I179" s="109">
        <v>4.8093669518800002E-2</v>
      </c>
      <c r="J179" s="49">
        <v>2.7194115592550532E-10</v>
      </c>
      <c r="K179" s="49">
        <v>2.9375360412569762E-11</v>
      </c>
      <c r="L179" s="156">
        <v>2.5964254246007354E-10</v>
      </c>
      <c r="M179" s="33"/>
      <c r="R179" s="60">
        <v>1189.8789537259936</v>
      </c>
      <c r="S179" s="57">
        <v>2.9854418178941134E-6</v>
      </c>
      <c r="U179" s="127">
        <v>9.1735678799566323E-11</v>
      </c>
      <c r="V179" s="127">
        <v>2.5964254246007354E-10</v>
      </c>
      <c r="W179" s="127">
        <v>4.6317005975822159E-10</v>
      </c>
      <c r="X179" s="128">
        <f t="shared" si="4"/>
        <v>2.6854770586948375E-10</v>
      </c>
      <c r="Y179" s="139">
        <f t="shared" si="5"/>
        <v>1.33449366333174E-2</v>
      </c>
      <c r="AA179" s="73"/>
      <c r="AB179" s="182"/>
      <c r="AC179" s="182"/>
      <c r="AD179" s="182"/>
      <c r="AJ179" s="135"/>
    </row>
    <row r="180" spans="9:36" x14ac:dyDescent="0.35">
      <c r="I180" s="109">
        <v>4.8574606213999998E-2</v>
      </c>
      <c r="J180" s="49">
        <v>3.7804948167749495E-10</v>
      </c>
      <c r="K180" s="49">
        <v>3.4662397835620389E-11</v>
      </c>
      <c r="L180" s="156">
        <v>3.4970998004547548E-10</v>
      </c>
      <c r="M180" s="33"/>
      <c r="R180" s="60">
        <v>1190.290023302937</v>
      </c>
      <c r="S180" s="57">
        <v>2.9854418178941134E-6</v>
      </c>
      <c r="U180" s="127">
        <v>1.1229360716002317E-10</v>
      </c>
      <c r="V180" s="127">
        <v>3.4970998004547548E-10</v>
      </c>
      <c r="W180" s="127">
        <v>4.5785461067376207E-10</v>
      </c>
      <c r="X180" s="128">
        <f t="shared" si="4"/>
        <v>3.1739204448118404E-10</v>
      </c>
      <c r="Y180" s="139">
        <f t="shared" si="5"/>
        <v>3.0623223877398522</v>
      </c>
      <c r="AA180" s="73"/>
      <c r="AB180" s="182"/>
      <c r="AC180" s="182"/>
      <c r="AD180" s="182"/>
      <c r="AJ180" s="135"/>
    </row>
    <row r="181" spans="9:36" x14ac:dyDescent="0.35">
      <c r="I181" s="109">
        <v>4.9060352276099999E-2</v>
      </c>
      <c r="J181" s="49">
        <v>3.8755376211199711E-10</v>
      </c>
      <c r="K181" s="49">
        <v>3.466432078679832E-11</v>
      </c>
      <c r="L181" s="156">
        <v>4.2203022491885245E-10</v>
      </c>
      <c r="M181" s="33"/>
      <c r="R181" s="60">
        <v>1190.290023302937</v>
      </c>
      <c r="S181" s="57">
        <v>3.0490717035368547E-6</v>
      </c>
      <c r="U181" s="127">
        <v>1.7254807130406324E-10</v>
      </c>
      <c r="V181" s="127">
        <v>4.2203022491885245E-10</v>
      </c>
      <c r="W181" s="127">
        <v>4.0471036576714743E-10</v>
      </c>
      <c r="X181" s="128">
        <f t="shared" si="4"/>
        <v>3.5532972172722885E-10</v>
      </c>
      <c r="Y181" s="139">
        <f t="shared" si="5"/>
        <v>0.86416086810689774</v>
      </c>
      <c r="AA181" s="73"/>
      <c r="AB181" s="182"/>
      <c r="AC181" s="182"/>
      <c r="AD181" s="182"/>
      <c r="AJ181" s="135"/>
    </row>
    <row r="182" spans="9:36" x14ac:dyDescent="0.35">
      <c r="I182" s="109">
        <v>4.9550955798900002E-2</v>
      </c>
      <c r="J182" s="49">
        <v>3.5211266363466159E-10</v>
      </c>
      <c r="K182" s="49">
        <v>3.3445022738535479E-11</v>
      </c>
      <c r="L182" s="156">
        <v>4.5686780506510608E-10</v>
      </c>
      <c r="M182" s="33"/>
      <c r="R182" s="60">
        <v>1190.7010928798804</v>
      </c>
      <c r="S182" s="57">
        <v>3.0490717035368547E-6</v>
      </c>
      <c r="U182" s="127">
        <v>2.5794785371588221E-10</v>
      </c>
      <c r="V182" s="127">
        <v>4.5686780506510608E-10</v>
      </c>
      <c r="W182" s="127">
        <v>3.1642594051025119E-10</v>
      </c>
      <c r="X182" s="128">
        <f t="shared" si="4"/>
        <v>3.720273510890864E-10</v>
      </c>
      <c r="Y182" s="139">
        <f t="shared" si="5"/>
        <v>0.35455531382230793</v>
      </c>
      <c r="AA182" s="73"/>
      <c r="AB182" s="182"/>
      <c r="AC182" s="182"/>
      <c r="AD182" s="182"/>
      <c r="AJ182" s="135"/>
    </row>
    <row r="183" spans="9:36" x14ac:dyDescent="0.35">
      <c r="I183" s="109">
        <v>5.0046465356900001E-2</v>
      </c>
      <c r="J183" s="49">
        <v>3.7206004763136705E-10</v>
      </c>
      <c r="K183" s="49">
        <v>3.4542810573196897E-11</v>
      </c>
      <c r="L183" s="156">
        <v>4.4355857065609713E-10</v>
      </c>
      <c r="M183" s="33"/>
      <c r="R183" s="60">
        <v>1190.7010928798804</v>
      </c>
      <c r="S183" s="57">
        <v>3.0946494569912799E-6</v>
      </c>
      <c r="U183" s="127">
        <v>3.4715174099763176E-10</v>
      </c>
      <c r="V183" s="127">
        <v>4.4355857065609713E-10</v>
      </c>
      <c r="W183" s="127">
        <v>2.1595160562307975E-10</v>
      </c>
      <c r="X183" s="128">
        <f t="shared" si="4"/>
        <v>3.6255512198322643E-10</v>
      </c>
      <c r="Y183" s="139">
        <f t="shared" si="5"/>
        <v>7.5715031247299239E-2</v>
      </c>
      <c r="AA183" s="73"/>
      <c r="AB183" s="182"/>
      <c r="AC183" s="182"/>
      <c r="AD183" s="182"/>
      <c r="AJ183" s="135"/>
    </row>
    <row r="184" spans="9:36" x14ac:dyDescent="0.35">
      <c r="I184" s="109">
        <v>5.0546930010399997E-2</v>
      </c>
      <c r="J184" s="49">
        <v>3.1105916139482084E-10</v>
      </c>
      <c r="K184" s="49">
        <v>3.2409404963658065E-11</v>
      </c>
      <c r="L184" s="156">
        <v>3.8390289951721064E-10</v>
      </c>
      <c r="M184" s="33"/>
      <c r="R184" s="60">
        <v>1191.1121624568239</v>
      </c>
      <c r="S184" s="57">
        <v>3.0946494569912799E-6</v>
      </c>
      <c r="U184" s="127">
        <v>4.1702858326208481E-10</v>
      </c>
      <c r="V184" s="127">
        <v>3.8390289951721064E-10</v>
      </c>
      <c r="W184" s="127">
        <v>1.3058069154436073E-10</v>
      </c>
      <c r="X184" s="128">
        <f t="shared" si="4"/>
        <v>3.2885376846021673E-10</v>
      </c>
      <c r="Y184" s="139">
        <f t="shared" si="5"/>
        <v>0.3014634674162513</v>
      </c>
      <c r="AA184" s="73"/>
      <c r="AB184" s="182"/>
      <c r="AC184" s="182"/>
      <c r="AD184" s="182"/>
      <c r="AJ184" s="135"/>
    </row>
    <row r="185" spans="9:36" x14ac:dyDescent="0.35">
      <c r="I185" s="109">
        <v>5.1052399310499999E-2</v>
      </c>
      <c r="J185" s="49">
        <v>2.482450347878259E-10</v>
      </c>
      <c r="K185" s="49">
        <v>3.1190187382142433E-11</v>
      </c>
      <c r="L185" s="156">
        <v>2.9240342281393008E-10</v>
      </c>
      <c r="M185" s="33"/>
      <c r="R185" s="60">
        <v>1191.1121624568239</v>
      </c>
      <c r="S185" s="57">
        <v>3.1245901225577395E-6</v>
      </c>
      <c r="U185" s="127">
        <v>4.485152016252701E-10</v>
      </c>
      <c r="V185" s="127">
        <v>2.9240342281393008E-10</v>
      </c>
      <c r="W185" s="127">
        <v>8.4305010142814005E-11</v>
      </c>
      <c r="X185" s="128">
        <f t="shared" si="4"/>
        <v>2.7940676434898604E-10</v>
      </c>
      <c r="Y185" s="139">
        <f t="shared" si="5"/>
        <v>0.99817603926361786</v>
      </c>
      <c r="AA185" s="73"/>
      <c r="AB185" s="182"/>
      <c r="AC185" s="182"/>
      <c r="AD185" s="182"/>
      <c r="AJ185" s="135"/>
    </row>
    <row r="186" spans="9:36" x14ac:dyDescent="0.35">
      <c r="I186" s="109">
        <v>5.1562923303600003E-2</v>
      </c>
      <c r="J186" s="49">
        <v>1.9074839168071122E-10</v>
      </c>
      <c r="K186" s="49">
        <v>2.9221277350794829E-11</v>
      </c>
      <c r="L186" s="156">
        <v>1.9296800145878103E-10</v>
      </c>
      <c r="M186" s="33"/>
      <c r="R186" s="60">
        <v>1191.5232320337673</v>
      </c>
      <c r="S186" s="57">
        <v>3.1245901225577395E-6</v>
      </c>
      <c r="U186" s="127">
        <v>4.3186174379945096E-10</v>
      </c>
      <c r="V186" s="127">
        <v>1.9296800145878103E-10</v>
      </c>
      <c r="W186" s="127">
        <v>9.0551324403790247E-11</v>
      </c>
      <c r="X186" s="128">
        <f t="shared" si="4"/>
        <v>2.2708726778020081E-10</v>
      </c>
      <c r="Y186" s="139">
        <f t="shared" si="5"/>
        <v>1.546481003640231</v>
      </c>
      <c r="AA186" s="73"/>
      <c r="AB186" s="182"/>
      <c r="AC186" s="182"/>
      <c r="AD186" s="182"/>
      <c r="AJ186" s="135"/>
    </row>
    <row r="187" spans="9:36" x14ac:dyDescent="0.35">
      <c r="I187" s="109">
        <v>5.2078552536699997E-2</v>
      </c>
      <c r="J187" s="49">
        <v>1.7267663298515829E-10</v>
      </c>
      <c r="K187" s="49">
        <v>2.7528867939218623E-11</v>
      </c>
      <c r="L187" s="156">
        <v>1.1267343308206531E-10</v>
      </c>
      <c r="M187" s="33"/>
      <c r="R187" s="60">
        <v>1191.5232320337673</v>
      </c>
      <c r="S187" s="57">
        <v>3.1410906819554598E-6</v>
      </c>
      <c r="U187" s="127">
        <v>3.697855026292481E-10</v>
      </c>
      <c r="V187" s="127">
        <v>1.1267343308206531E-10</v>
      </c>
      <c r="W187" s="127">
        <v>1.4754086261050118E-10</v>
      </c>
      <c r="X187" s="128">
        <f t="shared" si="4"/>
        <v>1.8566830785096997E-10</v>
      </c>
      <c r="Y187" s="139">
        <f t="shared" si="5"/>
        <v>0.22271710954964408</v>
      </c>
      <c r="AA187" s="73"/>
      <c r="AB187" s="182"/>
      <c r="AC187" s="182"/>
      <c r="AD187" s="182"/>
      <c r="AJ187" s="135"/>
    </row>
    <row r="188" spans="9:36" x14ac:dyDescent="0.35">
      <c r="I188" s="109">
        <v>5.2599338062100001E-2</v>
      </c>
      <c r="J188" s="49">
        <v>2.0172046949099658E-10</v>
      </c>
      <c r="K188" s="49">
        <v>2.9462330656755966E-11</v>
      </c>
      <c r="L188" s="156">
        <v>7.412154233908272E-11</v>
      </c>
      <c r="M188" s="33"/>
      <c r="R188" s="60">
        <v>1191.9343016107107</v>
      </c>
      <c r="S188" s="57">
        <v>3.1410906819554598E-6</v>
      </c>
      <c r="U188" s="127">
        <v>2.7745756250463572E-10</v>
      </c>
      <c r="V188" s="127">
        <v>7.412154233908272E-11</v>
      </c>
      <c r="W188" s="127">
        <v>2.379631095870513E-10</v>
      </c>
      <c r="X188" s="128">
        <f t="shared" si="4"/>
        <v>1.6591593919246311E-10</v>
      </c>
      <c r="Y188" s="139">
        <f t="shared" si="5"/>
        <v>1.476868280477718</v>
      </c>
      <c r="AA188" s="73"/>
      <c r="AB188" s="182"/>
      <c r="AC188" s="182"/>
      <c r="AD188" s="182"/>
      <c r="AJ188" s="135"/>
    </row>
    <row r="189" spans="9:36" x14ac:dyDescent="0.35">
      <c r="I189" s="109">
        <v>5.31253314427E-2</v>
      </c>
      <c r="J189" s="49">
        <v>2.3840575560547539E-10</v>
      </c>
      <c r="K189" s="49">
        <v>3.3063849819989659E-11</v>
      </c>
      <c r="L189" s="156">
        <v>8.852459593779886E-11</v>
      </c>
      <c r="M189" s="33"/>
      <c r="R189" s="60">
        <v>1191.9343016107107</v>
      </c>
      <c r="S189" s="57">
        <v>3.1458374635868745E-6</v>
      </c>
      <c r="U189" s="127">
        <v>1.7901293508952052E-10</v>
      </c>
      <c r="V189" s="127">
        <v>8.852459593779886E-11</v>
      </c>
      <c r="W189" s="127">
        <v>3.3348666041805797E-10</v>
      </c>
      <c r="X189" s="128">
        <f t="shared" si="4"/>
        <v>1.7238719684579406E-10</v>
      </c>
      <c r="Y189" s="139">
        <f t="shared" si="5"/>
        <v>3.986807245403853</v>
      </c>
      <c r="AA189" s="73"/>
      <c r="AB189" s="182"/>
      <c r="AC189" s="182"/>
      <c r="AD189" s="182"/>
      <c r="AJ189" s="135"/>
    </row>
    <row r="190" spans="9:36" x14ac:dyDescent="0.35">
      <c r="I190" s="109">
        <v>5.3656584757100001E-2</v>
      </c>
      <c r="J190" s="49">
        <v>2.2550921529715049E-10</v>
      </c>
      <c r="K190" s="49">
        <v>3.4334735925840382E-11</v>
      </c>
      <c r="L190" s="156">
        <v>1.5168864370677421E-10</v>
      </c>
      <c r="M190" s="33"/>
      <c r="R190" s="60">
        <v>1192.3453711876541</v>
      </c>
      <c r="S190" s="57">
        <v>3.1458374635868745E-6</v>
      </c>
      <c r="U190" s="127">
        <v>1.0123911818577091E-10</v>
      </c>
      <c r="V190" s="127">
        <v>1.5168864370677421E-10</v>
      </c>
      <c r="W190" s="127">
        <v>4.0313002322874398E-10</v>
      </c>
      <c r="X190" s="128">
        <f t="shared" si="4"/>
        <v>2.0193660720701584E-10</v>
      </c>
      <c r="Y190" s="139">
        <f t="shared" si="5"/>
        <v>0.47135470731561663</v>
      </c>
      <c r="AA190" s="73"/>
      <c r="AB190" s="182"/>
      <c r="AC190" s="182"/>
      <c r="AD190" s="182"/>
      <c r="AJ190" s="135"/>
    </row>
    <row r="191" spans="9:36" x14ac:dyDescent="0.35">
      <c r="I191" s="109">
        <v>5.4193150604700001E-2</v>
      </c>
      <c r="J191" s="49">
        <v>2.7205159366008009E-10</v>
      </c>
      <c r="K191" s="49">
        <v>3.5575608426893548E-11</v>
      </c>
      <c r="L191" s="156">
        <v>2.4441841517857919E-10</v>
      </c>
      <c r="M191" s="33"/>
      <c r="R191" s="60">
        <v>1192.3453711876541</v>
      </c>
      <c r="S191" s="57">
        <v>3.1398706244993949E-6</v>
      </c>
      <c r="U191" s="127">
        <v>6.6004718696562759E-11</v>
      </c>
      <c r="V191" s="127">
        <v>2.4441841517857919E-10</v>
      </c>
      <c r="W191" s="127">
        <v>4.2313286703884533E-10</v>
      </c>
      <c r="X191" s="128">
        <f t="shared" si="4"/>
        <v>2.4449360402314161E-10</v>
      </c>
      <c r="Y191" s="139">
        <f t="shared" si="5"/>
        <v>0.60005407914831976</v>
      </c>
      <c r="AA191" s="73"/>
      <c r="AB191" s="182"/>
      <c r="AC191" s="182"/>
      <c r="AD191" s="182"/>
      <c r="AJ191" s="135"/>
    </row>
    <row r="192" spans="9:36" x14ac:dyDescent="0.35">
      <c r="I192" s="109">
        <v>5.4735082110700002E-2</v>
      </c>
      <c r="J192" s="49">
        <v>3.0740476232822903E-10</v>
      </c>
      <c r="K192" s="49">
        <v>4.0046631310766083E-11</v>
      </c>
      <c r="L192" s="156">
        <v>3.3764582971305648E-10</v>
      </c>
      <c r="M192" s="33"/>
      <c r="R192" s="60">
        <v>1192.7564407645975</v>
      </c>
      <c r="S192" s="57">
        <v>3.1398706244993949E-6</v>
      </c>
      <c r="U192" s="127">
        <v>8.3553084011249923E-11</v>
      </c>
      <c r="V192" s="127">
        <v>3.3764582971305648E-10</v>
      </c>
      <c r="W192" s="127">
        <v>3.8519095481719573E-10</v>
      </c>
      <c r="X192" s="128">
        <f t="shared" ref="X192:X230" si="6">(U192+2*V192+W192)/4</f>
        <v>2.8600892456363963E-10</v>
      </c>
      <c r="Y192" s="139">
        <f t="shared" ref="Y192:Y230" si="7">(J192-X192)*(J192-X192)/(K192*K192)</f>
        <v>0.28544774297229042</v>
      </c>
      <c r="AA192" s="73"/>
      <c r="AB192" s="182"/>
      <c r="AC192" s="182"/>
      <c r="AD192" s="182"/>
      <c r="AJ192" s="135"/>
    </row>
    <row r="193" spans="9:36" x14ac:dyDescent="0.35">
      <c r="I193" s="109">
        <v>5.5282432931799998E-2</v>
      </c>
      <c r="J193" s="49">
        <v>3.7143356424266299E-10</v>
      </c>
      <c r="K193" s="49">
        <v>4.2473984158609164E-11</v>
      </c>
      <c r="L193" s="156">
        <v>4.0109595094790162E-10</v>
      </c>
      <c r="M193" s="33"/>
      <c r="R193" s="60">
        <v>1192.7564407645975</v>
      </c>
      <c r="S193" s="57">
        <v>3.1236043167907311E-6</v>
      </c>
      <c r="U193" s="127">
        <v>1.4877465132624592E-10</v>
      </c>
      <c r="V193" s="127">
        <v>4.0109595094790162E-10</v>
      </c>
      <c r="W193" s="127">
        <v>3.0010908772301568E-10</v>
      </c>
      <c r="X193" s="128">
        <f t="shared" si="6"/>
        <v>3.127689102362662E-10</v>
      </c>
      <c r="Y193" s="139">
        <f t="shared" si="7"/>
        <v>1.9076865852513929</v>
      </c>
      <c r="AA193" s="73"/>
      <c r="AB193" s="182"/>
      <c r="AC193" s="182"/>
      <c r="AD193" s="182"/>
      <c r="AJ193" s="135"/>
    </row>
    <row r="194" spans="9:36" x14ac:dyDescent="0.35">
      <c r="I194" s="109">
        <v>5.5835257261100002E-2</v>
      </c>
      <c r="J194" s="49">
        <v>3.0665370791792302E-10</v>
      </c>
      <c r="K194" s="49">
        <v>4.2604156633529154E-11</v>
      </c>
      <c r="L194" s="156">
        <v>4.1300422162753069E-10</v>
      </c>
      <c r="M194" s="33"/>
      <c r="R194" s="60">
        <v>1193.1675103415409</v>
      </c>
      <c r="S194" s="57">
        <v>3.1236043167907311E-6</v>
      </c>
      <c r="U194" s="127">
        <v>2.4189665567616788E-10</v>
      </c>
      <c r="V194" s="127">
        <v>4.1300422162753069E-10</v>
      </c>
      <c r="W194" s="127">
        <v>1.9517159337150606E-10</v>
      </c>
      <c r="X194" s="128">
        <f t="shared" si="6"/>
        <v>3.1576917307568381E-10</v>
      </c>
      <c r="Y194" s="139">
        <f t="shared" si="7"/>
        <v>4.5777674353000196E-2</v>
      </c>
      <c r="AA194" s="73"/>
      <c r="AB194" s="182"/>
      <c r="AC194" s="182"/>
      <c r="AD194" s="182"/>
      <c r="AJ194" s="135"/>
    </row>
    <row r="195" spans="9:36" x14ac:dyDescent="0.35">
      <c r="I195" s="109">
        <v>5.6393609833799999E-2</v>
      </c>
      <c r="J195" s="49">
        <v>2.5191825074538228E-10</v>
      </c>
      <c r="K195" s="49">
        <v>3.6784172513549693E-11</v>
      </c>
      <c r="L195" s="156">
        <v>3.6775763883609982E-10</v>
      </c>
      <c r="M195" s="33"/>
      <c r="R195" s="60">
        <v>1193.1675103415409</v>
      </c>
      <c r="S195" s="57">
        <v>3.0969806825132632E-6</v>
      </c>
      <c r="U195" s="127">
        <v>3.3380139485530836E-10</v>
      </c>
      <c r="V195" s="127">
        <v>3.6775763883609982E-10</v>
      </c>
      <c r="W195" s="127">
        <v>1.0555124742392589E-10</v>
      </c>
      <c r="X195" s="128">
        <f t="shared" si="6"/>
        <v>2.9371697998785842E-10</v>
      </c>
      <c r="Y195" s="139">
        <f t="shared" si="7"/>
        <v>1.2912316889856923</v>
      </c>
      <c r="AA195" s="73"/>
      <c r="AB195" s="182"/>
      <c r="AC195" s="182"/>
      <c r="AD195" s="182"/>
      <c r="AJ195" s="135"/>
    </row>
    <row r="196" spans="9:36" x14ac:dyDescent="0.35">
      <c r="I196" s="109">
        <v>5.69575459321E-2</v>
      </c>
      <c r="J196" s="49">
        <v>2.2927181612256419E-10</v>
      </c>
      <c r="K196" s="49">
        <v>3.7027288696533385E-11</v>
      </c>
      <c r="L196" s="156">
        <v>2.7867491338746496E-10</v>
      </c>
      <c r="M196" s="33"/>
      <c r="R196" s="60">
        <v>1193.5785799184844</v>
      </c>
      <c r="S196" s="57">
        <v>3.0969806825132632E-6</v>
      </c>
      <c r="U196" s="127">
        <v>3.9471929044265019E-10</v>
      </c>
      <c r="V196" s="127">
        <v>2.7867491338746496E-10</v>
      </c>
      <c r="W196" s="127">
        <v>6.2261498848708943E-11</v>
      </c>
      <c r="X196" s="128">
        <f t="shared" si="6"/>
        <v>2.5358265401657227E-10</v>
      </c>
      <c r="Y196" s="139">
        <f t="shared" si="7"/>
        <v>0.43107816987279446</v>
      </c>
      <c r="AA196" s="73"/>
      <c r="AB196" s="182"/>
      <c r="AC196" s="182"/>
      <c r="AD196" s="182"/>
      <c r="AJ196" s="135"/>
    </row>
    <row r="197" spans="9:36" x14ac:dyDescent="0.35">
      <c r="I197" s="109">
        <v>5.7527121391400003E-2</v>
      </c>
      <c r="J197" s="49">
        <v>1.4237942109706683E-10</v>
      </c>
      <c r="K197" s="49">
        <v>3.1722012699507314E-11</v>
      </c>
      <c r="L197" s="156">
        <v>1.7450165824107158E-10</v>
      </c>
      <c r="M197" s="33"/>
      <c r="R197" s="60">
        <v>1193.5785799184844</v>
      </c>
      <c r="S197" s="57">
        <v>3.0597208951042996E-6</v>
      </c>
      <c r="U197" s="127">
        <v>4.0379120730771847E-10</v>
      </c>
      <c r="V197" s="127">
        <v>1.7450165824107158E-10</v>
      </c>
      <c r="W197" s="127">
        <v>8.0716540306954976E-11</v>
      </c>
      <c r="X197" s="128">
        <f t="shared" si="6"/>
        <v>2.0837776602420416E-10</v>
      </c>
      <c r="Y197" s="139">
        <f t="shared" si="7"/>
        <v>4.3285717428396735</v>
      </c>
      <c r="AA197" s="73"/>
      <c r="AB197" s="182"/>
      <c r="AC197" s="182"/>
      <c r="AD197" s="182"/>
      <c r="AJ197" s="135"/>
    </row>
    <row r="198" spans="9:36" x14ac:dyDescent="0.35">
      <c r="I198" s="109">
        <v>5.81023926053E-2</v>
      </c>
      <c r="J198" s="49">
        <v>1.5296441779965214E-10</v>
      </c>
      <c r="K198" s="49">
        <v>3.553273821385091E-11</v>
      </c>
      <c r="L198" s="156">
        <v>9.0250954095899617E-11</v>
      </c>
      <c r="M198" s="33"/>
      <c r="R198" s="60">
        <v>1193.9896494954278</v>
      </c>
      <c r="S198" s="57">
        <v>3.0597208951042996E-6</v>
      </c>
      <c r="U198" s="127">
        <v>3.5641326049819414E-10</v>
      </c>
      <c r="V198" s="127">
        <v>9.0250954095899617E-11</v>
      </c>
      <c r="W198" s="127">
        <v>1.542073497167605E-10</v>
      </c>
      <c r="X198" s="128">
        <f t="shared" si="6"/>
        <v>1.7278062960168845E-10</v>
      </c>
      <c r="Y198" s="139">
        <f t="shared" si="7"/>
        <v>0.31101684996777124</v>
      </c>
      <c r="AA198" s="73"/>
      <c r="AB198" s="182"/>
      <c r="AC198" s="182"/>
      <c r="AD198" s="182"/>
      <c r="AJ198" s="135"/>
    </row>
    <row r="199" spans="9:36" x14ac:dyDescent="0.35">
      <c r="I199" s="109">
        <v>5.8683416531400003E-2</v>
      </c>
      <c r="J199" s="49">
        <v>1.6064664173085737E-10</v>
      </c>
      <c r="K199" s="49">
        <v>3.6585623281083488E-11</v>
      </c>
      <c r="L199" s="156">
        <v>5.4977256683454724E-11</v>
      </c>
      <c r="M199" s="33"/>
      <c r="R199" s="60">
        <v>1193.9896494954278</v>
      </c>
      <c r="S199" s="57">
        <v>3.0116258116761786E-6</v>
      </c>
      <c r="U199" s="127">
        <v>2.6661462940180565E-10</v>
      </c>
      <c r="V199" s="127">
        <v>5.4977256683454724E-11</v>
      </c>
      <c r="W199" s="127">
        <v>2.5529093554853622E-10</v>
      </c>
      <c r="X199" s="128">
        <f t="shared" si="6"/>
        <v>1.5796501957931281E-10</v>
      </c>
      <c r="Y199" s="139">
        <f t="shared" si="7"/>
        <v>5.3724731360035088E-3</v>
      </c>
      <c r="AA199" s="73"/>
      <c r="AB199" s="182"/>
      <c r="AC199" s="182"/>
      <c r="AD199" s="182"/>
      <c r="AJ199" s="135"/>
    </row>
    <row r="200" spans="9:36" x14ac:dyDescent="0.35">
      <c r="I200" s="109">
        <v>5.92702506967E-2</v>
      </c>
      <c r="J200" s="49">
        <v>1.8292479491515183E-10</v>
      </c>
      <c r="K200" s="49">
        <v>3.7964766624970743E-11</v>
      </c>
      <c r="L200" s="156">
        <v>8.1572865951228975E-11</v>
      </c>
      <c r="M200" s="33"/>
      <c r="R200" s="60">
        <v>1194.4007190723712</v>
      </c>
      <c r="S200" s="57">
        <v>3.0116258116761786E-6</v>
      </c>
      <c r="U200" s="127">
        <v>1.6343934975895759E-10</v>
      </c>
      <c r="V200" s="127">
        <v>8.1572865951228975E-11</v>
      </c>
      <c r="W200" s="127">
        <v>3.4498575738589078E-10</v>
      </c>
      <c r="X200" s="128">
        <f t="shared" si="6"/>
        <v>1.6789270976182658E-10</v>
      </c>
      <c r="Y200" s="139">
        <f t="shared" si="7"/>
        <v>0.15677506353738607</v>
      </c>
      <c r="AA200" s="73"/>
      <c r="AB200" s="182"/>
      <c r="AC200" s="182"/>
      <c r="AD200" s="182"/>
      <c r="AJ200" s="135"/>
    </row>
    <row r="201" spans="9:36" x14ac:dyDescent="0.35">
      <c r="I201" s="109">
        <v>5.9862953203699998E-2</v>
      </c>
      <c r="J201" s="49">
        <v>2.5777126144507043E-10</v>
      </c>
      <c r="K201" s="49">
        <v>4.3318483976492783E-11</v>
      </c>
      <c r="L201" s="156">
        <v>1.602044091226637E-10</v>
      </c>
      <c r="M201" s="33"/>
      <c r="R201" s="60">
        <v>1194.4007190723712</v>
      </c>
      <c r="S201" s="57">
        <v>2.9528722764745607E-6</v>
      </c>
      <c r="U201" s="127">
        <v>8.1582841950773076E-11</v>
      </c>
      <c r="V201" s="127">
        <v>1.602044091226637E-10</v>
      </c>
      <c r="W201" s="127">
        <v>3.8748365800802021E-10</v>
      </c>
      <c r="X201" s="128">
        <f t="shared" si="6"/>
        <v>1.9736882955103017E-10</v>
      </c>
      <c r="Y201" s="139">
        <f t="shared" si="7"/>
        <v>1.9442958552319616</v>
      </c>
      <c r="AA201" s="73"/>
      <c r="AB201" s="182"/>
      <c r="AC201" s="182"/>
      <c r="AD201" s="182"/>
      <c r="AJ201" s="135"/>
    </row>
    <row r="202" spans="9:36" x14ac:dyDescent="0.35">
      <c r="I202" s="109">
        <v>6.0461582735700001E-2</v>
      </c>
      <c r="J202" s="49">
        <v>3.6465735571418574E-10</v>
      </c>
      <c r="K202" s="49">
        <v>4.9233339378158932E-11</v>
      </c>
      <c r="L202" s="156">
        <v>2.6144872822186902E-10</v>
      </c>
      <c r="M202" s="33"/>
      <c r="R202" s="60">
        <v>1194.8117886493146</v>
      </c>
      <c r="S202" s="57">
        <v>2.9528722764745607E-6</v>
      </c>
      <c r="U202" s="127">
        <v>4.9400748208000747E-11</v>
      </c>
      <c r="V202" s="127">
        <v>2.6144872822186902E-10</v>
      </c>
      <c r="W202" s="127">
        <v>3.6450063150319138E-10</v>
      </c>
      <c r="X202" s="128">
        <f t="shared" si="6"/>
        <v>2.3419970903873256E-10</v>
      </c>
      <c r="Y202" s="139">
        <f t="shared" si="7"/>
        <v>7.0213478973712435</v>
      </c>
      <c r="AA202" s="73"/>
      <c r="AB202" s="182"/>
      <c r="AC202" s="182"/>
      <c r="AD202" s="182"/>
      <c r="AJ202" s="135"/>
    </row>
    <row r="203" spans="9:36" x14ac:dyDescent="0.35">
      <c r="I203" s="109">
        <v>6.1066198563099999E-2</v>
      </c>
      <c r="J203" s="49">
        <v>3.1523894754403429E-10</v>
      </c>
      <c r="K203" s="49">
        <v>5.1894621810839705E-11</v>
      </c>
      <c r="L203" s="156">
        <v>3.4632123713586396E-10</v>
      </c>
      <c r="M203" s="33"/>
      <c r="R203" s="60">
        <v>1194.8117886493146</v>
      </c>
      <c r="S203" s="57">
        <v>2.8842503215441168E-6</v>
      </c>
      <c r="U203" s="127">
        <v>7.8375411021359017E-11</v>
      </c>
      <c r="V203" s="127">
        <v>3.4632123713586396E-10</v>
      </c>
      <c r="W203" s="127">
        <v>2.8355399334689974E-10</v>
      </c>
      <c r="X203" s="128">
        <f t="shared" si="6"/>
        <v>2.6364296965999664E-10</v>
      </c>
      <c r="Y203" s="139">
        <f t="shared" si="7"/>
        <v>0.98852348870857043</v>
      </c>
      <c r="AA203" s="73"/>
      <c r="AB203" s="182"/>
      <c r="AC203" s="182"/>
      <c r="AD203" s="182"/>
      <c r="AJ203" s="135"/>
    </row>
    <row r="204" spans="9:36" x14ac:dyDescent="0.35">
      <c r="I204" s="109">
        <v>6.1676860548700002E-2</v>
      </c>
      <c r="J204" s="49">
        <v>1.6552785787809507E-10</v>
      </c>
      <c r="K204" s="49">
        <v>3.9484855532794161E-11</v>
      </c>
      <c r="L204" s="156">
        <v>3.8093906615529452E-10</v>
      </c>
      <c r="M204" s="33"/>
      <c r="R204" s="60">
        <v>1195.222858226258</v>
      </c>
      <c r="S204" s="57">
        <v>2.8842503215441168E-6</v>
      </c>
      <c r="U204" s="127">
        <v>1.580055255611996E-10</v>
      </c>
      <c r="V204" s="127">
        <v>3.8093906615529452E-10</v>
      </c>
      <c r="W204" s="127">
        <v>1.7620755463240222E-10</v>
      </c>
      <c r="X204" s="128">
        <f t="shared" si="6"/>
        <v>2.7402280312604774E-10</v>
      </c>
      <c r="Y204" s="139">
        <f t="shared" si="7"/>
        <v>7.5501903912415615</v>
      </c>
      <c r="AA204" s="73"/>
      <c r="AB204" s="182"/>
      <c r="AC204" s="182"/>
      <c r="AD204" s="182"/>
      <c r="AJ204" s="135"/>
    </row>
    <row r="205" spans="9:36" x14ac:dyDescent="0.35">
      <c r="I205" s="109">
        <v>6.2293629154200003E-2</v>
      </c>
      <c r="J205" s="49">
        <v>1.8802794023450448E-10</v>
      </c>
      <c r="K205" s="49">
        <v>4.3124354669266006E-11</v>
      </c>
      <c r="L205" s="156">
        <v>3.5021044086853237E-10</v>
      </c>
      <c r="M205" s="33"/>
      <c r="R205" s="60">
        <v>1195.222858226258</v>
      </c>
      <c r="S205" s="57">
        <v>2.8072938753376719E-6</v>
      </c>
      <c r="U205" s="127">
        <v>2.5857910871181826E-10</v>
      </c>
      <c r="V205" s="127">
        <v>3.5021044086853237E-10</v>
      </c>
      <c r="W205" s="127">
        <v>8.6082952369523525E-11</v>
      </c>
      <c r="X205" s="128">
        <f t="shared" si="6"/>
        <v>2.6127073570460163E-10</v>
      </c>
      <c r="Y205" s="139">
        <f t="shared" si="7"/>
        <v>2.8845933975658853</v>
      </c>
      <c r="AA205" s="73"/>
      <c r="AB205" s="182"/>
      <c r="AC205" s="182"/>
      <c r="AD205" s="182"/>
      <c r="AJ205" s="135"/>
    </row>
    <row r="206" spans="9:36" x14ac:dyDescent="0.35">
      <c r="I206" s="109">
        <v>6.2916565445699998E-2</v>
      </c>
      <c r="J206" s="49">
        <v>1.1111106673771088E-10</v>
      </c>
      <c r="K206" s="49">
        <v>4.2850703802316305E-11</v>
      </c>
      <c r="L206" s="156">
        <v>2.6489274732959706E-10</v>
      </c>
      <c r="M206" s="33"/>
      <c r="R206" s="60">
        <v>1195.6339278032015</v>
      </c>
      <c r="S206" s="57">
        <v>2.8072938753376719E-6</v>
      </c>
      <c r="U206" s="127">
        <v>3.4149361716199949E-10</v>
      </c>
      <c r="V206" s="127">
        <v>2.6489274732959706E-10</v>
      </c>
      <c r="W206" s="127">
        <v>5.0858304497488686E-11</v>
      </c>
      <c r="X206" s="128">
        <f t="shared" si="6"/>
        <v>2.3053435407967057E-10</v>
      </c>
      <c r="Y206" s="139">
        <f t="shared" si="7"/>
        <v>7.7671577320827634</v>
      </c>
      <c r="AA206" s="73"/>
      <c r="AB206" s="182"/>
      <c r="AC206" s="182"/>
      <c r="AD206" s="182"/>
      <c r="AJ206" s="135"/>
    </row>
    <row r="207" spans="9:36" x14ac:dyDescent="0.35">
      <c r="I207" s="109">
        <v>6.3545731100199995E-2</v>
      </c>
      <c r="J207" s="49">
        <v>1.6272225521862973E-10</v>
      </c>
      <c r="K207" s="49">
        <v>4.5201390976348054E-11</v>
      </c>
      <c r="L207" s="156">
        <v>1.584893956294136E-10</v>
      </c>
      <c r="M207" s="33"/>
      <c r="R207" s="60">
        <v>1195.6339278032015</v>
      </c>
      <c r="S207" s="57">
        <v>2.7242744869330372E-6</v>
      </c>
      <c r="U207" s="127">
        <v>3.7377849216152724E-10</v>
      </c>
      <c r="V207" s="127">
        <v>1.584893956294136E-10</v>
      </c>
      <c r="W207" s="127">
        <v>8.559321594324434E-11</v>
      </c>
      <c r="X207" s="128">
        <f t="shared" si="6"/>
        <v>1.9408762484089971E-10</v>
      </c>
      <c r="Y207" s="139">
        <f t="shared" si="7"/>
        <v>0.48150103014056472</v>
      </c>
      <c r="AA207" s="73"/>
      <c r="AB207" s="182"/>
      <c r="AC207" s="182"/>
      <c r="AD207" s="182"/>
      <c r="AJ207" s="135"/>
    </row>
    <row r="208" spans="9:36" x14ac:dyDescent="0.35">
      <c r="I208" s="109">
        <v>6.4181188411200005E-2</v>
      </c>
      <c r="J208" s="49">
        <v>1.5730033251911539E-10</v>
      </c>
      <c r="K208" s="49">
        <v>4.2771490276584658E-11</v>
      </c>
      <c r="L208" s="156">
        <v>7.4370869969453107E-11</v>
      </c>
      <c r="M208" s="33"/>
      <c r="R208" s="60">
        <v>1196.0449973801449</v>
      </c>
      <c r="S208" s="57">
        <v>2.7242744869330372E-6</v>
      </c>
      <c r="U208" s="127">
        <v>3.4141656120188865E-10</v>
      </c>
      <c r="V208" s="127">
        <v>7.4370869969453107E-11</v>
      </c>
      <c r="W208" s="127">
        <v>1.7493842862396244E-10</v>
      </c>
      <c r="X208" s="128">
        <f t="shared" si="6"/>
        <v>1.6627418244118932E-10</v>
      </c>
      <c r="Y208" s="139">
        <f t="shared" si="7"/>
        <v>4.4019878471205885E-2</v>
      </c>
      <c r="AA208" s="73"/>
      <c r="AB208" s="182"/>
      <c r="AC208" s="182"/>
      <c r="AD208" s="182"/>
      <c r="AJ208" s="135"/>
    </row>
    <row r="209" spans="9:36" x14ac:dyDescent="0.35">
      <c r="I209" s="109">
        <v>6.4823000295299998E-2</v>
      </c>
      <c r="J209" s="49">
        <v>1.954165960647248E-10</v>
      </c>
      <c r="K209" s="49">
        <v>4.7705191362918125E-11</v>
      </c>
      <c r="L209" s="156">
        <v>4.7771385989961335E-11</v>
      </c>
      <c r="M209" s="33"/>
      <c r="R209" s="60">
        <v>1196.0449973801449</v>
      </c>
      <c r="S209" s="57">
        <v>2.659736743245095E-6</v>
      </c>
      <c r="U209" s="127">
        <v>2.5594793921481582E-10</v>
      </c>
      <c r="V209" s="127">
        <v>4.7771385989961335E-11</v>
      </c>
      <c r="W209" s="127">
        <v>2.7856395496209751E-10</v>
      </c>
      <c r="X209" s="128">
        <f t="shared" si="6"/>
        <v>1.57513666539209E-10</v>
      </c>
      <c r="Y209" s="139">
        <f t="shared" si="7"/>
        <v>0.63126872177487847</v>
      </c>
      <c r="AA209" s="73"/>
      <c r="AB209" s="182"/>
      <c r="AC209" s="182"/>
      <c r="AD209" s="182"/>
      <c r="AJ209" s="135"/>
    </row>
    <row r="210" spans="9:36" x14ac:dyDescent="0.35">
      <c r="I210" s="109">
        <v>6.5471230298199998E-2</v>
      </c>
      <c r="J210" s="49">
        <v>6.8769750976102471E-11</v>
      </c>
      <c r="K210" s="49">
        <v>3.9241258853914878E-11</v>
      </c>
      <c r="L210" s="157">
        <v>9.008238035167411E-11</v>
      </c>
      <c r="M210" s="18"/>
      <c r="R210" s="60">
        <v>1196.2505321686167</v>
      </c>
      <c r="S210" s="57">
        <v>2.659736743245095E-6</v>
      </c>
      <c r="U210" s="127">
        <v>1.5101816737331627E-10</v>
      </c>
      <c r="V210" s="127">
        <v>9.008238035167411E-11</v>
      </c>
      <c r="W210" s="127">
        <v>3.4846765076136409E-10</v>
      </c>
      <c r="X210" s="128">
        <f t="shared" si="6"/>
        <v>1.6991264470950713E-10</v>
      </c>
      <c r="Y210" s="139">
        <f t="shared" si="7"/>
        <v>6.6433156430069999</v>
      </c>
      <c r="AA210" s="73"/>
      <c r="AB210" s="182"/>
      <c r="AC210" s="182"/>
      <c r="AD210" s="182"/>
      <c r="AJ210" s="135"/>
    </row>
    <row r="211" spans="9:36" x14ac:dyDescent="0.35">
      <c r="I211" s="49">
        <v>6.61259426012E-2</v>
      </c>
      <c r="J211" s="49">
        <v>1.1718799344184334E-10</v>
      </c>
      <c r="K211" s="49">
        <v>4.4605934566707771E-11</v>
      </c>
      <c r="L211" s="157">
        <v>1.8265093641464613E-10</v>
      </c>
      <c r="M211" s="18"/>
      <c r="R211" s="60">
        <v>1196.2505321686167</v>
      </c>
      <c r="S211" s="57">
        <v>2.6092563971431438E-6</v>
      </c>
      <c r="U211" s="127">
        <v>6.941850904539521E-11</v>
      </c>
      <c r="V211" s="127">
        <v>1.8265093641464613E-10</v>
      </c>
      <c r="W211" s="127">
        <v>3.5105729526807297E-10</v>
      </c>
      <c r="X211" s="128">
        <f t="shared" si="6"/>
        <v>1.9644441928569011E-10</v>
      </c>
      <c r="Y211" s="139">
        <f t="shared" si="7"/>
        <v>3.1570661441216061</v>
      </c>
      <c r="AA211" s="73"/>
      <c r="AB211" s="182"/>
      <c r="AC211" s="182"/>
      <c r="AD211" s="182"/>
      <c r="AJ211" s="135"/>
    </row>
    <row r="212" spans="9:36" x14ac:dyDescent="0.35">
      <c r="I212" s="49">
        <v>6.6787202027199996E-2</v>
      </c>
      <c r="J212" s="49">
        <v>1.6244240933453957E-10</v>
      </c>
      <c r="K212" s="49">
        <v>5.2002454624842906E-11</v>
      </c>
      <c r="L212" s="157">
        <v>2.8374024610578357E-10</v>
      </c>
      <c r="M212" s="18"/>
      <c r="R212" s="60">
        <v>1196.5248629673461</v>
      </c>
      <c r="S212" s="57">
        <v>2.6092563971431438E-6</v>
      </c>
      <c r="U212" s="127">
        <v>4.532574544958792E-11</v>
      </c>
      <c r="V212" s="127">
        <v>2.8374024610578357E-10</v>
      </c>
      <c r="W212" s="127">
        <v>2.8383183619400223E-10</v>
      </c>
      <c r="X212" s="128">
        <f t="shared" si="6"/>
        <v>2.2415951846378934E-10</v>
      </c>
      <c r="Y212" s="139">
        <f t="shared" si="7"/>
        <v>1.4085214430642123</v>
      </c>
      <c r="AA212" s="73"/>
      <c r="AB212" s="182"/>
      <c r="AC212" s="182"/>
      <c r="AD212" s="182"/>
      <c r="AJ212" s="135"/>
    </row>
    <row r="213" spans="9:36" x14ac:dyDescent="0.35">
      <c r="I213" s="49">
        <v>6.7455074047499994E-2</v>
      </c>
      <c r="J213" s="49">
        <v>2.6748869415047383E-10</v>
      </c>
      <c r="K213" s="49">
        <v>5.7088839180810459E-11</v>
      </c>
      <c r="L213" s="157">
        <v>3.4658897859146465E-10</v>
      </c>
      <c r="M213" s="18"/>
      <c r="R213" s="60">
        <v>1196.5248629673461</v>
      </c>
      <c r="S213" s="57">
        <v>2.5516155330963769E-6</v>
      </c>
      <c r="U213" s="127">
        <v>8.9073351410571173E-11</v>
      </c>
      <c r="V213" s="127">
        <v>3.4658897859146465E-10</v>
      </c>
      <c r="W213" s="127">
        <v>1.7804520848061155E-10</v>
      </c>
      <c r="X213" s="128">
        <f t="shared" si="6"/>
        <v>2.4007412926852798E-10</v>
      </c>
      <c r="Y213" s="139">
        <f t="shared" si="7"/>
        <v>0.23060052399113787</v>
      </c>
      <c r="AA213" s="73"/>
      <c r="AB213" s="182"/>
      <c r="AC213" s="182"/>
      <c r="AD213" s="182"/>
      <c r="AJ213" s="135"/>
    </row>
    <row r="214" spans="9:36" x14ac:dyDescent="0.35">
      <c r="I214" s="49">
        <v>6.8129624787999998E-2</v>
      </c>
      <c r="J214" s="49">
        <v>2.621269646812528E-10</v>
      </c>
      <c r="K214" s="49">
        <v>5.6861443650028036E-11</v>
      </c>
      <c r="L214" s="157">
        <v>3.4274474417708096E-10</v>
      </c>
      <c r="M214" s="18"/>
      <c r="R214" s="60">
        <v>1196.8038807929784</v>
      </c>
      <c r="S214" s="57">
        <v>2.5516155330963769E-6</v>
      </c>
      <c r="U214" s="127">
        <v>1.8063226156276029E-10</v>
      </c>
      <c r="V214" s="127">
        <v>3.4274474417708096E-10</v>
      </c>
      <c r="W214" s="127">
        <v>8.4345658293927812E-11</v>
      </c>
      <c r="X214" s="128">
        <f t="shared" si="6"/>
        <v>2.3761685205271247E-10</v>
      </c>
      <c r="Y214" s="139">
        <f t="shared" si="7"/>
        <v>0.18580391060497545</v>
      </c>
      <c r="AA214" s="73"/>
      <c r="AB214" s="182"/>
      <c r="AC214" s="182"/>
      <c r="AD214" s="182"/>
      <c r="AJ214" s="135"/>
    </row>
    <row r="215" spans="9:36" x14ac:dyDescent="0.35">
      <c r="I215" s="49">
        <v>6.8810921035900002E-2</v>
      </c>
      <c r="J215" s="49">
        <v>2.1055051676175399E-10</v>
      </c>
      <c r="K215" s="49">
        <v>5.9046964766560976E-11</v>
      </c>
      <c r="L215" s="157">
        <v>2.8519934932707209E-10</v>
      </c>
      <c r="M215" s="18"/>
      <c r="R215" s="60">
        <v>1196.8038807929784</v>
      </c>
      <c r="S215" s="57">
        <v>2.4939859430196593E-6</v>
      </c>
      <c r="U215" s="127">
        <v>2.7715357094815433E-10</v>
      </c>
      <c r="V215" s="127">
        <v>2.8519934932707209E-10</v>
      </c>
      <c r="W215" s="127">
        <v>4.0903790548631625E-11</v>
      </c>
      <c r="X215" s="128">
        <f t="shared" si="6"/>
        <v>2.2211401503773254E-10</v>
      </c>
      <c r="Y215" s="139">
        <f t="shared" si="7"/>
        <v>3.8351585562143936E-2</v>
      </c>
      <c r="AA215" s="73"/>
      <c r="AB215" s="182"/>
      <c r="AC215" s="182"/>
      <c r="AD215" s="182"/>
      <c r="AJ215" s="135"/>
    </row>
    <row r="216" spans="9:36" x14ac:dyDescent="0.35">
      <c r="I216" s="49">
        <v>6.9499030246199994E-2</v>
      </c>
      <c r="J216" s="49">
        <v>8.1992606988781627E-11</v>
      </c>
      <c r="K216" s="49">
        <v>4.5151771414135136E-11</v>
      </c>
      <c r="L216" s="157">
        <v>2.2243375113758826E-10</v>
      </c>
      <c r="M216" s="18"/>
      <c r="R216" s="60">
        <v>1197.0927762758481</v>
      </c>
      <c r="S216" s="57">
        <v>2.4939859430196593E-6</v>
      </c>
      <c r="U216" s="127">
        <v>3.4315637999086114E-10</v>
      </c>
      <c r="V216" s="127">
        <v>2.2243375113758826E-10</v>
      </c>
      <c r="W216" s="127">
        <v>4.2240784261651058E-11</v>
      </c>
      <c r="X216" s="128">
        <f t="shared" si="6"/>
        <v>2.0756616663192218E-10</v>
      </c>
      <c r="Y216" s="139">
        <f t="shared" si="7"/>
        <v>7.7347596678991533</v>
      </c>
      <c r="AA216" s="73"/>
      <c r="AB216" s="182"/>
      <c r="AC216" s="182"/>
      <c r="AD216" s="182"/>
      <c r="AJ216" s="135"/>
    </row>
    <row r="217" spans="9:36" x14ac:dyDescent="0.35">
      <c r="I217" s="49">
        <v>7.1604920361700006E-2</v>
      </c>
      <c r="J217" s="49">
        <v>6.6599568797501544E-11</v>
      </c>
      <c r="K217" s="49">
        <v>4.8606391198729811E-11</v>
      </c>
      <c r="L217" s="157">
        <v>1.3886338426173836E-10</v>
      </c>
      <c r="M217" s="18"/>
      <c r="R217" s="60">
        <v>1197.0927762758481</v>
      </c>
      <c r="S217" s="57">
        <v>2.4364052100732283E-6</v>
      </c>
      <c r="U217" s="127">
        <v>9.2582915853193079E-11</v>
      </c>
      <c r="V217" s="127">
        <v>1.3886338426173836E-10</v>
      </c>
      <c r="W217" s="127">
        <v>3.4545434755987181E-10</v>
      </c>
      <c r="X217" s="128">
        <f t="shared" si="6"/>
        <v>1.7894100798413542E-10</v>
      </c>
      <c r="Y217" s="139">
        <f t="shared" si="7"/>
        <v>5.3418687194152188</v>
      </c>
      <c r="AA217" s="73"/>
      <c r="AB217" s="182"/>
      <c r="AC217" s="182"/>
      <c r="AD217" s="182"/>
      <c r="AJ217" s="135"/>
    </row>
    <row r="218" spans="9:36" x14ac:dyDescent="0.35">
      <c r="I218" s="49">
        <v>7.23209695653E-2</v>
      </c>
      <c r="J218" s="49">
        <v>1.598392529550495E-10</v>
      </c>
      <c r="K218" s="49">
        <v>5.3985012896742691E-11</v>
      </c>
      <c r="L218" s="157">
        <v>2.1115937527251735E-10</v>
      </c>
      <c r="M218" s="18"/>
      <c r="R218" s="60">
        <v>1197.3978921355144</v>
      </c>
      <c r="S218" s="57">
        <v>2.4364052100732283E-6</v>
      </c>
      <c r="U218" s="127">
        <v>5.735877175212482E-11</v>
      </c>
      <c r="V218" s="127">
        <v>2.1115937527251735E-10</v>
      </c>
      <c r="W218" s="127">
        <v>3.0354919867167796E-10</v>
      </c>
      <c r="X218" s="128">
        <f t="shared" si="6"/>
        <v>1.9580668024220936E-10</v>
      </c>
      <c r="Y218" s="139">
        <f t="shared" si="7"/>
        <v>0.44388690139486597</v>
      </c>
      <c r="AA218" s="73"/>
      <c r="AB218" s="182"/>
      <c r="AC218" s="182"/>
      <c r="AD218" s="182"/>
      <c r="AJ218" s="135"/>
    </row>
    <row r="219" spans="9:36" x14ac:dyDescent="0.35">
      <c r="I219" s="49">
        <v>7.3044179261E-2</v>
      </c>
      <c r="J219" s="49">
        <v>9.3108613189064598E-11</v>
      </c>
      <c r="K219" s="49">
        <v>5.9967013914740422E-11</v>
      </c>
      <c r="L219" s="157">
        <v>2.9423169429973813E-10</v>
      </c>
      <c r="M219" s="18"/>
      <c r="R219" s="60">
        <v>1197.3978921355144</v>
      </c>
      <c r="S219" s="57">
        <v>2.3789655210859986E-6</v>
      </c>
      <c r="U219" s="127">
        <v>4.8389200792158093E-11</v>
      </c>
      <c r="V219" s="127">
        <v>2.9423169429973813E-10</v>
      </c>
      <c r="W219" s="127">
        <v>2.1473172249340844E-10</v>
      </c>
      <c r="X219" s="128">
        <f t="shared" si="6"/>
        <v>2.128960779712607E-10</v>
      </c>
      <c r="Y219" s="139">
        <f t="shared" si="7"/>
        <v>3.9902297289485467</v>
      </c>
      <c r="AA219" s="73"/>
      <c r="AB219" s="182"/>
      <c r="AC219" s="182"/>
      <c r="AD219" s="182"/>
      <c r="AJ219" s="135"/>
    </row>
    <row r="220" spans="9:36" x14ac:dyDescent="0.35">
      <c r="I220" s="49">
        <v>7.3774621053599998E-2</v>
      </c>
      <c r="J220" s="49">
        <v>1.0298432301345974E-10</v>
      </c>
      <c r="K220" s="49">
        <v>5.7335229225592592E-11</v>
      </c>
      <c r="L220" s="157">
        <v>3.429609899635602E-10</v>
      </c>
      <c r="M220" s="18"/>
      <c r="R220" s="60">
        <v>1197.727746985202</v>
      </c>
      <c r="S220" s="57">
        <v>2.3789655210859986E-6</v>
      </c>
      <c r="U220" s="127">
        <v>8.6771655625974247E-11</v>
      </c>
      <c r="V220" s="127">
        <v>3.429609899635602E-10</v>
      </c>
      <c r="W220" s="127">
        <v>1.1732864952496419E-10</v>
      </c>
      <c r="X220" s="128">
        <f t="shared" si="6"/>
        <v>2.225055712695147E-10</v>
      </c>
      <c r="Y220" s="139">
        <f t="shared" si="7"/>
        <v>4.3455738420128727</v>
      </c>
      <c r="AA220" s="73"/>
      <c r="AB220" s="182"/>
      <c r="AC220" s="182"/>
      <c r="AD220" s="182"/>
      <c r="AJ220" s="135"/>
    </row>
    <row r="221" spans="9:36" x14ac:dyDescent="0.35">
      <c r="I221" s="49">
        <v>7.4512367264100002E-2</v>
      </c>
      <c r="J221" s="49">
        <v>2.0122298617822951E-10</v>
      </c>
      <c r="K221" s="49">
        <v>6.7989214552724103E-11</v>
      </c>
      <c r="L221" s="157">
        <v>3.5435610573548627E-10</v>
      </c>
      <c r="M221" s="18"/>
      <c r="R221" s="60">
        <v>1197.727746985202</v>
      </c>
      <c r="S221" s="57">
        <v>2.3218585177363392E-6</v>
      </c>
      <c r="U221" s="127">
        <v>1.4246123428558911E-10</v>
      </c>
      <c r="V221" s="127">
        <v>3.5435610573548627E-10</v>
      </c>
      <c r="W221" s="127">
        <v>5.4454636115491168E-11</v>
      </c>
      <c r="X221" s="128">
        <f t="shared" si="6"/>
        <v>2.2640702046801319E-10</v>
      </c>
      <c r="Y221" s="139">
        <f t="shared" si="7"/>
        <v>0.13720519519608956</v>
      </c>
      <c r="AA221" s="73"/>
      <c r="AB221" s="182"/>
      <c r="AC221" s="182"/>
      <c r="AD221" s="182"/>
      <c r="AJ221" s="135"/>
    </row>
    <row r="222" spans="9:36" x14ac:dyDescent="0.35">
      <c r="I222" s="49">
        <v>7.90963793198E-2</v>
      </c>
      <c r="J222" s="49">
        <v>1.1136585195393904E-10</v>
      </c>
      <c r="K222" s="49">
        <v>5.5599155183744386E-11</v>
      </c>
      <c r="L222" s="157">
        <v>3.3083904648210128E-10</v>
      </c>
      <c r="M222" s="18"/>
      <c r="R222" s="60">
        <v>1198.0949283944585</v>
      </c>
      <c r="S222" s="57">
        <v>2.3218585177363392E-6</v>
      </c>
      <c r="U222" s="127">
        <v>4.810588838053416E-11</v>
      </c>
      <c r="V222" s="127">
        <v>3.3083904648210128E-10</v>
      </c>
      <c r="W222" s="127">
        <v>1.2027881884396972E-10</v>
      </c>
      <c r="X222" s="128">
        <f t="shared" si="6"/>
        <v>2.0751570004717661E-10</v>
      </c>
      <c r="Y222" s="139">
        <f t="shared" si="7"/>
        <v>2.990617150853593</v>
      </c>
      <c r="AA222" s="73"/>
      <c r="AB222" s="182"/>
      <c r="AC222" s="182"/>
      <c r="AD222" s="182"/>
      <c r="AJ222" s="135"/>
    </row>
    <row r="223" spans="9:36" x14ac:dyDescent="0.35">
      <c r="I223" s="49">
        <v>7.9887343112999998E-2</v>
      </c>
      <c r="J223" s="49">
        <v>1.4160911717915043E-10</v>
      </c>
      <c r="K223" s="49">
        <v>6.6552076459041892E-11</v>
      </c>
      <c r="L223" s="157">
        <v>3.2728765468879228E-10</v>
      </c>
      <c r="M223" s="18"/>
      <c r="R223" s="60">
        <v>1198.0949283944585</v>
      </c>
      <c r="S223" s="57">
        <v>2.2654581655757219E-6</v>
      </c>
      <c r="U223" s="127">
        <v>1.0103597276161288E-10</v>
      </c>
      <c r="V223" s="127">
        <v>3.2728765468879228E-10</v>
      </c>
      <c r="W223" s="127">
        <v>8.3641092451551064E-11</v>
      </c>
      <c r="X223" s="128">
        <f t="shared" si="6"/>
        <v>2.0981309364768714E-10</v>
      </c>
      <c r="Y223" s="139">
        <f t="shared" si="7"/>
        <v>1.0502584183413659</v>
      </c>
      <c r="AA223" s="73"/>
      <c r="AB223" s="182"/>
      <c r="AC223" s="182"/>
      <c r="AD223" s="182"/>
      <c r="AJ223" s="135"/>
    </row>
    <row r="224" spans="9:36" x14ac:dyDescent="0.35">
      <c r="I224" s="49">
        <v>8.0686216544199996E-2</v>
      </c>
      <c r="J224" s="49">
        <v>1.2529886336981011E-10</v>
      </c>
      <c r="K224" s="49">
        <v>7.0608025811578881E-11</v>
      </c>
      <c r="L224" s="157">
        <v>2.7812731607113523E-10</v>
      </c>
      <c r="M224" s="18"/>
      <c r="R224" s="60">
        <v>1198.5201502224772</v>
      </c>
      <c r="S224" s="57">
        <v>2.2654581655757219E-6</v>
      </c>
      <c r="U224" s="127">
        <v>1.9073625550700818E-10</v>
      </c>
      <c r="V224" s="127">
        <v>2.7812731607113523E-10</v>
      </c>
      <c r="W224" s="127">
        <v>7.4812098341338762E-11</v>
      </c>
      <c r="X224" s="128">
        <f t="shared" si="6"/>
        <v>2.0545074649765435E-10</v>
      </c>
      <c r="Y224" s="139">
        <f t="shared" si="7"/>
        <v>1.2886035484855833</v>
      </c>
      <c r="AA224" s="73"/>
      <c r="AB224" s="182"/>
      <c r="AC224" s="182"/>
      <c r="AD224" s="182"/>
      <c r="AJ224" s="135"/>
    </row>
    <row r="225" spans="9:36" x14ac:dyDescent="0.35">
      <c r="I225" s="49">
        <v>8.14930787096E-2</v>
      </c>
      <c r="J225" s="49">
        <v>1.2393821187426722E-10</v>
      </c>
      <c r="K225" s="49">
        <v>6.4650852367487296E-11</v>
      </c>
      <c r="L225" s="157">
        <v>1.9313785274220307E-10</v>
      </c>
      <c r="M225" s="18"/>
      <c r="R225" s="60">
        <v>1198.5201502224772</v>
      </c>
      <c r="S225" s="57">
        <v>2.2104884755475874E-6</v>
      </c>
      <c r="U225" s="127">
        <v>2.82465188866816E-10</v>
      </c>
      <c r="V225" s="127">
        <v>1.9313785274220307E-10</v>
      </c>
      <c r="W225" s="127">
        <v>1.218294186489678E-10</v>
      </c>
      <c r="X225" s="128">
        <f t="shared" si="6"/>
        <v>1.9764257825004747E-10</v>
      </c>
      <c r="Y225" s="139">
        <f t="shared" si="7"/>
        <v>1.2996844528989986</v>
      </c>
      <c r="AA225" s="73"/>
      <c r="AB225" s="182"/>
      <c r="AC225" s="182"/>
      <c r="AD225" s="182"/>
      <c r="AJ225" s="135"/>
    </row>
    <row r="226" spans="9:36" x14ac:dyDescent="0.35">
      <c r="I226" s="49">
        <v>8.2308009496700002E-2</v>
      </c>
      <c r="J226" s="49">
        <v>7.5539049757887943E-11</v>
      </c>
      <c r="K226" s="49">
        <v>6.9530123726617116E-11</v>
      </c>
      <c r="L226" s="157">
        <v>1.2342511382929121E-10</v>
      </c>
      <c r="M226" s="18"/>
      <c r="R226" s="60">
        <v>1199.042672932344</v>
      </c>
      <c r="S226" s="57">
        <v>2.2104884755475874E-6</v>
      </c>
      <c r="U226" s="127">
        <v>3.395571627639481E-10</v>
      </c>
      <c r="V226" s="127">
        <v>1.2342511382929121E-10</v>
      </c>
      <c r="W226" s="127">
        <v>1.8757815363009072E-10</v>
      </c>
      <c r="X226" s="128">
        <f t="shared" si="6"/>
        <v>1.934963860131553E-10</v>
      </c>
      <c r="Y226" s="139">
        <f t="shared" si="7"/>
        <v>2.8780869406074734</v>
      </c>
      <c r="AA226" s="73"/>
      <c r="AB226" s="182"/>
      <c r="AC226" s="182"/>
      <c r="AD226" s="182"/>
      <c r="AJ226" s="135"/>
    </row>
    <row r="227" spans="9:36" x14ac:dyDescent="0.35">
      <c r="I227" s="49">
        <v>8.4802024492500003E-2</v>
      </c>
      <c r="J227" s="49">
        <v>1.1906874456601196E-10</v>
      </c>
      <c r="K227" s="49">
        <v>7.2834664275311479E-11</v>
      </c>
      <c r="L227" s="157">
        <v>2.7104765747025972E-10</v>
      </c>
      <c r="M227" s="18"/>
      <c r="R227" s="60">
        <v>1199.042672932344</v>
      </c>
      <c r="S227" s="57">
        <v>2.1584017930396941E-6</v>
      </c>
      <c r="U227" s="127">
        <v>6.5924271403559598E-11</v>
      </c>
      <c r="V227" s="127">
        <v>2.7104765747025972E-10</v>
      </c>
      <c r="W227" s="127">
        <v>2.2035127743743032E-10</v>
      </c>
      <c r="X227" s="128">
        <f t="shared" si="6"/>
        <v>2.0709271594537733E-10</v>
      </c>
      <c r="Y227" s="139">
        <f t="shared" si="7"/>
        <v>1.4605810848159699</v>
      </c>
      <c r="AA227" s="73"/>
      <c r="AB227" s="182"/>
      <c r="AC227" s="182"/>
      <c r="AD227" s="182"/>
      <c r="AJ227" s="135"/>
    </row>
    <row r="228" spans="9:36" x14ac:dyDescent="0.35">
      <c r="I228" s="49">
        <v>8.9127780010400004E-2</v>
      </c>
      <c r="J228" s="49">
        <v>1.116721154310251E-10</v>
      </c>
      <c r="K228" s="49">
        <v>8.7430215674229105E-11</v>
      </c>
      <c r="L228" s="157">
        <v>1.0847586754196143E-10</v>
      </c>
      <c r="M228" s="18"/>
      <c r="R228" s="60">
        <v>1199.7558501203675</v>
      </c>
      <c r="S228" s="57">
        <v>2.1584017930396941E-6</v>
      </c>
      <c r="U228" s="127">
        <v>2.7091163716066187E-10</v>
      </c>
      <c r="V228" s="127">
        <v>1.0847586754196143E-10</v>
      </c>
      <c r="W228" s="127">
        <v>3.3142752499979543E-10</v>
      </c>
      <c r="X228" s="128">
        <f t="shared" si="6"/>
        <v>2.0482272431109505E-10</v>
      </c>
      <c r="Y228" s="139">
        <f t="shared" si="7"/>
        <v>1.1351370438660413</v>
      </c>
      <c r="AA228" s="73"/>
      <c r="AB228" s="182"/>
      <c r="AC228" s="182"/>
      <c r="AD228" s="182"/>
      <c r="AJ228" s="135"/>
    </row>
    <row r="229" spans="9:36" x14ac:dyDescent="0.35">
      <c r="I229" s="49">
        <v>9.00190578105E-2</v>
      </c>
      <c r="J229" s="49">
        <v>1.7987384539354499E-10</v>
      </c>
      <c r="K229" s="49">
        <v>9.9433070171047678E-11</v>
      </c>
      <c r="L229" s="157">
        <v>1.7403740401860378E-10</v>
      </c>
      <c r="M229" s="18"/>
      <c r="R229" s="60">
        <v>1199.7558501203675</v>
      </c>
      <c r="S229" s="57">
        <v>2.1123706182056264E-6</v>
      </c>
      <c r="U229" s="127">
        <v>2.1171050246698709E-10</v>
      </c>
      <c r="V229" s="127">
        <v>1.7403740401860378E-10</v>
      </c>
      <c r="W229" s="127">
        <v>2.894201117127215E-10</v>
      </c>
      <c r="X229" s="128">
        <f t="shared" si="6"/>
        <v>2.1230135555422905E-10</v>
      </c>
      <c r="Y229" s="139">
        <f t="shared" si="7"/>
        <v>0.10635686064862951</v>
      </c>
      <c r="AA229" s="73"/>
      <c r="AB229" s="182"/>
      <c r="AC229" s="182"/>
      <c r="AD229" s="182"/>
      <c r="AJ229" s="135"/>
    </row>
    <row r="230" spans="9:36" x14ac:dyDescent="0.35">
      <c r="I230" s="49">
        <v>9.0919248388599994E-2</v>
      </c>
      <c r="J230" s="49">
        <v>1.2189393853902024E-10</v>
      </c>
      <c r="K230" s="49">
        <v>9.3282365775877968E-11</v>
      </c>
      <c r="L230" s="157">
        <v>2.6139153190757342E-10</v>
      </c>
      <c r="M230" s="27"/>
      <c r="R230" s="60">
        <v>1201.0374389957415</v>
      </c>
      <c r="S230" s="57">
        <v>2.1123706182056264E-6</v>
      </c>
      <c r="U230" s="127">
        <v>1.4352325850850511E-10</v>
      </c>
      <c r="V230" s="127">
        <v>2.6139153190757342E-10</v>
      </c>
      <c r="W230" s="127">
        <v>2.0951305472140094E-10</v>
      </c>
      <c r="X230" s="128">
        <f t="shared" si="6"/>
        <v>2.1895484426126322E-10</v>
      </c>
      <c r="Y230" s="139">
        <f t="shared" si="7"/>
        <v>1.0826537273975108</v>
      </c>
      <c r="AA230" s="73"/>
      <c r="AB230" s="182"/>
      <c r="AC230" s="182"/>
      <c r="AD230" s="182"/>
      <c r="AJ230" s="135"/>
    </row>
    <row r="231" spans="9:36" x14ac:dyDescent="0.35">
      <c r="I231" s="49"/>
      <c r="J231" s="49"/>
      <c r="K231" s="49"/>
      <c r="L231" s="157"/>
      <c r="M231" s="27"/>
      <c r="R231" s="60">
        <v>1201.0374389957415</v>
      </c>
      <c r="S231" s="57">
        <v>2.0805514706196363E-6</v>
      </c>
      <c r="U231" s="127"/>
      <c r="V231" s="127"/>
      <c r="W231" s="127"/>
      <c r="X231" s="128"/>
      <c r="Y231" s="139"/>
      <c r="AA231" s="73"/>
      <c r="AB231" s="182"/>
      <c r="AC231" s="182"/>
      <c r="AD231" s="182"/>
      <c r="AJ231" s="135"/>
    </row>
    <row r="232" spans="9:36" x14ac:dyDescent="0.35">
      <c r="I232" s="49"/>
      <c r="J232" s="49"/>
      <c r="K232" s="49"/>
      <c r="L232" s="157"/>
      <c r="M232" s="27"/>
      <c r="R232" s="60">
        <v>1202.7585205838157</v>
      </c>
      <c r="S232" s="57">
        <v>2.0805514706196363E-6</v>
      </c>
      <c r="U232" s="127"/>
      <c r="V232" s="127"/>
      <c r="W232" s="127"/>
      <c r="X232" s="128"/>
      <c r="Y232" s="139"/>
      <c r="AA232" s="73"/>
      <c r="AB232" s="182"/>
      <c r="AC232" s="182"/>
      <c r="AD232" s="182"/>
      <c r="AJ232" s="135"/>
    </row>
    <row r="233" spans="9:36" x14ac:dyDescent="0.35">
      <c r="I233" s="49"/>
      <c r="J233" s="49"/>
      <c r="K233" s="49"/>
      <c r="L233" s="157"/>
      <c r="M233" s="27"/>
      <c r="R233" s="60">
        <v>1202.7585205838157</v>
      </c>
      <c r="S233" s="57">
        <v>2.0761549145842717E-6</v>
      </c>
      <c r="U233" s="127"/>
      <c r="V233" s="127"/>
      <c r="W233" s="127"/>
      <c r="X233" s="128"/>
      <c r="Y233" s="139"/>
      <c r="AA233" s="73"/>
      <c r="AB233" s="182"/>
      <c r="AC233" s="182"/>
      <c r="AD233" s="182"/>
      <c r="AJ233" s="135"/>
    </row>
    <row r="234" spans="9:36" x14ac:dyDescent="0.35">
      <c r="I234" s="49"/>
      <c r="J234" s="49"/>
      <c r="K234" s="49"/>
      <c r="L234" s="157"/>
      <c r="M234" s="27"/>
      <c r="R234" s="60">
        <v>1302.7585205838157</v>
      </c>
      <c r="S234" s="57">
        <v>2.0761549145842717E-6</v>
      </c>
      <c r="U234" s="127"/>
      <c r="V234" s="127"/>
      <c r="W234" s="127"/>
      <c r="X234" s="128"/>
      <c r="Y234" s="139"/>
      <c r="AA234" s="73"/>
      <c r="AB234" s="182"/>
      <c r="AC234" s="182"/>
      <c r="AD234" s="182"/>
      <c r="AJ234" s="135"/>
    </row>
    <row r="235" spans="9:36" x14ac:dyDescent="0.35">
      <c r="I235" s="49"/>
      <c r="J235" s="49"/>
      <c r="K235" s="49"/>
      <c r="L235" s="157"/>
      <c r="M235" s="27"/>
      <c r="U235" s="127"/>
      <c r="V235" s="127"/>
      <c r="W235" s="127"/>
      <c r="X235" s="128"/>
      <c r="Y235" s="139"/>
      <c r="AA235" s="73"/>
      <c r="AB235" s="182"/>
      <c r="AC235" s="182"/>
      <c r="AD235" s="182"/>
      <c r="AJ235" s="135"/>
    </row>
    <row r="236" spans="9:36" x14ac:dyDescent="0.35">
      <c r="I236" s="49"/>
      <c r="J236" s="49"/>
      <c r="K236" s="49"/>
      <c r="L236" s="157"/>
      <c r="M236" s="27"/>
      <c r="U236" s="127"/>
      <c r="V236" s="127"/>
      <c r="W236" s="127"/>
      <c r="X236" s="128"/>
      <c r="Y236" s="139"/>
      <c r="AA236" s="73"/>
      <c r="AB236" s="182"/>
      <c r="AC236" s="182"/>
      <c r="AD236" s="182"/>
      <c r="AJ236" s="135"/>
    </row>
    <row r="237" spans="9:36" x14ac:dyDescent="0.35">
      <c r="I237" s="49"/>
      <c r="J237" s="49"/>
      <c r="K237" s="49"/>
      <c r="L237" s="157"/>
      <c r="M237" s="27"/>
      <c r="U237" s="127"/>
      <c r="V237" s="127"/>
      <c r="W237" s="127"/>
      <c r="X237" s="128"/>
      <c r="Y237" s="139"/>
      <c r="AA237" s="73"/>
      <c r="AB237" s="182"/>
      <c r="AC237" s="182"/>
      <c r="AD237" s="182"/>
      <c r="AJ237" s="135"/>
    </row>
    <row r="238" spans="9:36" x14ac:dyDescent="0.35">
      <c r="I238" s="49"/>
      <c r="J238" s="49"/>
      <c r="K238" s="49"/>
      <c r="L238" s="157"/>
      <c r="M238" s="27"/>
      <c r="U238" s="127"/>
      <c r="V238" s="127"/>
      <c r="W238" s="127"/>
      <c r="X238" s="128"/>
      <c r="Y238" s="139"/>
      <c r="AA238" s="73"/>
      <c r="AB238" s="182"/>
      <c r="AC238" s="182"/>
      <c r="AD238" s="182"/>
      <c r="AJ238" s="135"/>
    </row>
    <row r="239" spans="9:36" x14ac:dyDescent="0.35">
      <c r="I239" s="49"/>
      <c r="J239" s="49"/>
      <c r="K239" s="49"/>
      <c r="L239" s="157"/>
      <c r="M239" s="27"/>
      <c r="U239" s="127"/>
      <c r="V239" s="127"/>
      <c r="W239" s="127"/>
      <c r="X239" s="128"/>
      <c r="Y239" s="139"/>
      <c r="AA239" s="73"/>
      <c r="AB239" s="182"/>
      <c r="AC239" s="182"/>
      <c r="AD239" s="182"/>
      <c r="AJ239" s="135"/>
    </row>
    <row r="240" spans="9:36" x14ac:dyDescent="0.35">
      <c r="I240" s="49"/>
      <c r="J240" s="49"/>
      <c r="K240" s="49"/>
      <c r="L240" s="157"/>
      <c r="M240" s="27"/>
      <c r="U240" s="127"/>
      <c r="V240" s="127"/>
      <c r="W240" s="127"/>
      <c r="X240" s="128"/>
      <c r="Y240" s="139"/>
      <c r="AA240" s="73"/>
      <c r="AB240" s="182"/>
      <c r="AC240" s="182"/>
      <c r="AD240" s="182"/>
      <c r="AJ240" s="135"/>
    </row>
    <row r="241" spans="9:36" x14ac:dyDescent="0.35">
      <c r="I241" s="49"/>
      <c r="J241" s="49"/>
      <c r="K241" s="49"/>
      <c r="L241" s="157"/>
      <c r="M241" s="27"/>
      <c r="U241" s="127"/>
      <c r="V241" s="127"/>
      <c r="W241" s="127"/>
      <c r="X241" s="128"/>
      <c r="Y241" s="139"/>
      <c r="AA241" s="73"/>
      <c r="AB241" s="182"/>
      <c r="AC241" s="182"/>
      <c r="AD241" s="182"/>
      <c r="AJ241" s="135"/>
    </row>
    <row r="242" spans="9:36" x14ac:dyDescent="0.35">
      <c r="I242" s="49"/>
      <c r="J242" s="49"/>
      <c r="K242" s="49"/>
      <c r="L242" s="157"/>
      <c r="M242" s="27"/>
      <c r="U242" s="127"/>
      <c r="V242" s="127"/>
      <c r="W242" s="127"/>
      <c r="X242" s="128"/>
      <c r="Y242" s="139"/>
      <c r="AA242" s="73"/>
      <c r="AB242" s="182"/>
      <c r="AC242" s="182"/>
      <c r="AD242" s="182"/>
      <c r="AJ242" s="135"/>
    </row>
    <row r="243" spans="9:36" x14ac:dyDescent="0.35">
      <c r="I243" s="49"/>
      <c r="J243" s="49"/>
      <c r="K243" s="49"/>
      <c r="L243" s="157"/>
      <c r="M243" s="27"/>
      <c r="U243" s="127"/>
      <c r="V243" s="127"/>
      <c r="W243" s="127"/>
      <c r="X243" s="128"/>
      <c r="Y243" s="139"/>
      <c r="AA243" s="73"/>
      <c r="AB243" s="182"/>
      <c r="AC243" s="182"/>
      <c r="AD243" s="182"/>
      <c r="AJ243" s="135"/>
    </row>
    <row r="244" spans="9:36" x14ac:dyDescent="0.35">
      <c r="I244" s="49"/>
      <c r="J244" s="49"/>
      <c r="K244" s="49"/>
      <c r="L244" s="157"/>
      <c r="M244" s="27"/>
      <c r="U244" s="127"/>
      <c r="V244" s="127"/>
      <c r="W244" s="127"/>
      <c r="X244" s="128"/>
      <c r="Y244" s="139"/>
      <c r="AA244" s="73"/>
      <c r="AB244" s="182"/>
      <c r="AC244" s="182"/>
      <c r="AD244" s="182"/>
      <c r="AJ244" s="135"/>
    </row>
    <row r="245" spans="9:36" x14ac:dyDescent="0.35">
      <c r="I245" s="49"/>
      <c r="J245" s="49"/>
      <c r="K245" s="49"/>
      <c r="L245" s="157"/>
      <c r="M245" s="27"/>
      <c r="U245" s="127"/>
      <c r="V245" s="127"/>
      <c r="W245" s="127"/>
      <c r="X245" s="128"/>
      <c r="Y245" s="139"/>
      <c r="AA245" s="73"/>
      <c r="AB245" s="182"/>
      <c r="AC245" s="182"/>
      <c r="AD245" s="182"/>
      <c r="AJ245" s="135"/>
    </row>
    <row r="246" spans="9:36" x14ac:dyDescent="0.35">
      <c r="I246" s="49"/>
      <c r="J246" s="49"/>
      <c r="K246" s="49"/>
      <c r="L246" s="157"/>
      <c r="M246" s="27"/>
      <c r="U246" s="127"/>
      <c r="V246" s="127"/>
      <c r="W246" s="127"/>
      <c r="X246" s="128"/>
      <c r="Y246" s="139"/>
      <c r="AA246" s="73"/>
      <c r="AB246" s="182"/>
      <c r="AC246" s="182"/>
      <c r="AD246" s="182"/>
      <c r="AJ246" s="135"/>
    </row>
    <row r="247" spans="9:36" x14ac:dyDescent="0.35">
      <c r="I247" s="49"/>
      <c r="J247" s="49"/>
      <c r="K247" s="49"/>
      <c r="L247" s="157"/>
      <c r="M247" s="27"/>
      <c r="U247" s="127"/>
      <c r="V247" s="127"/>
      <c r="W247" s="127"/>
      <c r="X247" s="128"/>
      <c r="Y247" s="139"/>
      <c r="AA247" s="73"/>
      <c r="AB247" s="182"/>
      <c r="AC247" s="182"/>
      <c r="AD247" s="182"/>
      <c r="AJ247" s="135"/>
    </row>
    <row r="248" spans="9:36" x14ac:dyDescent="0.35">
      <c r="I248" s="49"/>
      <c r="J248" s="49"/>
      <c r="K248" s="49"/>
      <c r="L248" s="157"/>
      <c r="M248" s="27"/>
      <c r="U248" s="127"/>
      <c r="V248" s="127"/>
      <c r="W248" s="127"/>
      <c r="X248" s="128"/>
      <c r="Y248" s="139"/>
      <c r="AA248" s="73"/>
      <c r="AB248" s="182"/>
      <c r="AC248" s="182"/>
      <c r="AD248" s="182"/>
      <c r="AJ248" s="135"/>
    </row>
    <row r="249" spans="9:36" x14ac:dyDescent="0.35">
      <c r="I249" s="49"/>
      <c r="J249" s="49"/>
      <c r="K249" s="49"/>
      <c r="L249" s="157"/>
      <c r="M249" s="27"/>
      <c r="U249" s="127"/>
      <c r="V249" s="127"/>
      <c r="W249" s="127"/>
      <c r="X249" s="128"/>
      <c r="Y249" s="139"/>
      <c r="AA249" s="73"/>
      <c r="AB249" s="182"/>
      <c r="AC249" s="182"/>
      <c r="AD249" s="182"/>
      <c r="AJ249" s="135"/>
    </row>
    <row r="250" spans="9:36" x14ac:dyDescent="0.35">
      <c r="I250" s="49"/>
      <c r="J250" s="49"/>
      <c r="K250" s="49"/>
      <c r="L250" s="157"/>
      <c r="M250" s="27"/>
      <c r="U250" s="127"/>
      <c r="V250" s="127"/>
      <c r="W250" s="127"/>
      <c r="X250" s="128"/>
      <c r="Y250" s="139"/>
      <c r="AA250" s="73"/>
      <c r="AB250" s="182"/>
      <c r="AC250" s="182"/>
      <c r="AD250" s="182"/>
      <c r="AJ250" s="135"/>
    </row>
    <row r="251" spans="9:36" x14ac:dyDescent="0.35">
      <c r="I251" s="49"/>
      <c r="J251" s="49"/>
      <c r="K251" s="49"/>
      <c r="L251" s="157"/>
      <c r="M251" s="27"/>
      <c r="U251" s="127"/>
      <c r="V251" s="127"/>
      <c r="W251" s="127"/>
      <c r="X251" s="128"/>
      <c r="Y251" s="139"/>
      <c r="AA251" s="73"/>
      <c r="AB251" s="182"/>
      <c r="AC251" s="182"/>
      <c r="AD251" s="182"/>
      <c r="AJ251" s="135"/>
    </row>
    <row r="252" spans="9:36" x14ac:dyDescent="0.35">
      <c r="I252" s="49"/>
      <c r="J252" s="49"/>
      <c r="K252" s="49"/>
      <c r="L252" s="157"/>
      <c r="M252" s="27"/>
      <c r="U252" s="127"/>
      <c r="V252" s="127"/>
      <c r="W252" s="127"/>
      <c r="X252" s="128"/>
      <c r="Y252" s="139"/>
      <c r="AA252" s="73"/>
      <c r="AB252" s="182"/>
      <c r="AC252" s="182"/>
      <c r="AD252" s="182"/>
      <c r="AJ252" s="135"/>
    </row>
    <row r="253" spans="9:36" x14ac:dyDescent="0.35">
      <c r="I253" s="49"/>
      <c r="J253" s="49"/>
      <c r="K253" s="49"/>
      <c r="L253" s="157"/>
      <c r="M253" s="27"/>
      <c r="U253" s="127"/>
      <c r="V253" s="127"/>
      <c r="W253" s="127"/>
      <c r="X253" s="128"/>
      <c r="Y253" s="139"/>
      <c r="AA253" s="73"/>
      <c r="AB253" s="182"/>
      <c r="AC253" s="182"/>
      <c r="AD253" s="182"/>
      <c r="AJ253" s="135"/>
    </row>
    <row r="254" spans="9:36" x14ac:dyDescent="0.35">
      <c r="I254" s="49"/>
      <c r="J254" s="49"/>
      <c r="K254" s="49"/>
      <c r="L254" s="157"/>
      <c r="M254" s="27"/>
      <c r="U254" s="127"/>
      <c r="V254" s="127"/>
      <c r="W254" s="127"/>
      <c r="X254" s="128"/>
      <c r="Y254" s="139"/>
      <c r="AA254" s="73"/>
      <c r="AB254" s="182"/>
      <c r="AC254" s="182"/>
      <c r="AD254" s="182"/>
      <c r="AJ254" s="135"/>
    </row>
    <row r="255" spans="9:36" x14ac:dyDescent="0.35">
      <c r="I255" s="49"/>
      <c r="J255" s="49"/>
      <c r="K255" s="49"/>
      <c r="L255" s="157"/>
      <c r="M255" s="27"/>
      <c r="U255" s="127"/>
      <c r="V255" s="127"/>
      <c r="W255" s="127"/>
      <c r="X255" s="128"/>
      <c r="Y255" s="139"/>
      <c r="AA255" s="73"/>
      <c r="AB255" s="182"/>
      <c r="AC255" s="182"/>
      <c r="AD255" s="182"/>
      <c r="AJ255" s="135"/>
    </row>
    <row r="256" spans="9:36" x14ac:dyDescent="0.35">
      <c r="I256" s="49"/>
      <c r="J256" s="49"/>
      <c r="K256" s="49"/>
      <c r="L256" s="157"/>
      <c r="M256" s="27"/>
      <c r="U256" s="127"/>
      <c r="V256" s="127"/>
      <c r="W256" s="127"/>
      <c r="X256" s="128"/>
      <c r="Y256" s="139"/>
      <c r="AA256" s="73"/>
      <c r="AB256" s="182"/>
      <c r="AC256" s="182"/>
      <c r="AD256" s="182"/>
      <c r="AJ256" s="135"/>
    </row>
    <row r="257" spans="9:36" x14ac:dyDescent="0.35">
      <c r="I257" s="49"/>
      <c r="J257" s="49"/>
      <c r="K257" s="49"/>
      <c r="L257" s="157"/>
      <c r="M257" s="27"/>
      <c r="U257" s="127"/>
      <c r="V257" s="127"/>
      <c r="W257" s="127"/>
      <c r="X257" s="128"/>
      <c r="Y257" s="139"/>
      <c r="AA257" s="73"/>
      <c r="AB257" s="182"/>
      <c r="AC257" s="182"/>
      <c r="AD257" s="182"/>
      <c r="AJ257" s="136"/>
    </row>
    <row r="258" spans="9:36" x14ac:dyDescent="0.35">
      <c r="I258" s="49"/>
      <c r="J258" s="49"/>
      <c r="K258" s="49"/>
      <c r="L258" s="157"/>
      <c r="M258" s="27"/>
      <c r="U258" s="127"/>
      <c r="V258" s="127"/>
      <c r="W258" s="127"/>
      <c r="X258" s="128"/>
      <c r="Y258" s="139"/>
      <c r="AA258" s="73"/>
      <c r="AB258" s="182"/>
      <c r="AC258" s="182"/>
      <c r="AD258" s="182"/>
      <c r="AJ258" s="136"/>
    </row>
    <row r="259" spans="9:36" x14ac:dyDescent="0.35">
      <c r="I259" s="49"/>
      <c r="J259" s="49"/>
      <c r="K259" s="49"/>
      <c r="L259" s="157"/>
      <c r="M259" s="27"/>
      <c r="U259" s="127"/>
      <c r="V259" s="127"/>
      <c r="W259" s="127"/>
      <c r="X259" s="128"/>
      <c r="Y259" s="139"/>
      <c r="AA259" s="73"/>
      <c r="AB259" s="182"/>
      <c r="AC259" s="182"/>
      <c r="AD259" s="182"/>
      <c r="AJ259" s="136"/>
    </row>
    <row r="260" spans="9:36" x14ac:dyDescent="0.35">
      <c r="I260" s="49"/>
      <c r="J260" s="49"/>
      <c r="K260" s="49"/>
      <c r="L260" s="157"/>
      <c r="M260" s="27"/>
      <c r="U260" s="127"/>
      <c r="V260" s="127"/>
      <c r="W260" s="127"/>
      <c r="X260" s="128"/>
      <c r="Y260" s="139"/>
      <c r="AA260" s="73"/>
      <c r="AB260" s="182"/>
      <c r="AC260" s="182"/>
      <c r="AD260" s="182"/>
      <c r="AJ260" s="136"/>
    </row>
    <row r="261" spans="9:36" x14ac:dyDescent="0.35">
      <c r="I261" s="49"/>
      <c r="J261" s="49"/>
      <c r="K261" s="49"/>
      <c r="L261" s="157"/>
      <c r="M261" s="27"/>
      <c r="U261" s="127"/>
      <c r="V261" s="127"/>
      <c r="W261" s="127"/>
      <c r="X261" s="128"/>
      <c r="Y261" s="139"/>
      <c r="AA261" s="73"/>
      <c r="AB261" s="182"/>
      <c r="AC261" s="182"/>
      <c r="AD261" s="182"/>
      <c r="AJ261" s="136"/>
    </row>
    <row r="262" spans="9:36" x14ac:dyDescent="0.35">
      <c r="I262" s="49"/>
      <c r="J262" s="49"/>
      <c r="K262" s="49"/>
      <c r="L262" s="157"/>
      <c r="M262" s="27"/>
      <c r="U262" s="127"/>
      <c r="V262" s="127"/>
      <c r="W262" s="127"/>
      <c r="X262" s="128"/>
      <c r="Y262" s="139"/>
      <c r="AA262" s="73"/>
      <c r="AB262" s="182"/>
      <c r="AC262" s="182"/>
      <c r="AD262" s="182"/>
      <c r="AJ262" s="136"/>
    </row>
    <row r="263" spans="9:36" x14ac:dyDescent="0.35">
      <c r="I263" s="49"/>
      <c r="J263" s="49"/>
      <c r="K263" s="49"/>
      <c r="L263" s="157"/>
      <c r="M263" s="27"/>
      <c r="U263" s="127"/>
      <c r="V263" s="127"/>
      <c r="W263" s="127"/>
      <c r="X263" s="128"/>
      <c r="Y263" s="139"/>
      <c r="AA263" s="73"/>
      <c r="AB263" s="182"/>
      <c r="AC263" s="182"/>
      <c r="AD263" s="182"/>
      <c r="AJ263" s="136"/>
    </row>
    <row r="264" spans="9:36" x14ac:dyDescent="0.35">
      <c r="I264" s="49"/>
      <c r="J264" s="49"/>
      <c r="K264" s="49"/>
      <c r="L264" s="157"/>
      <c r="M264" s="27"/>
      <c r="U264" s="127"/>
      <c r="V264" s="127"/>
      <c r="W264" s="127"/>
      <c r="X264" s="128"/>
      <c r="Y264" s="139"/>
      <c r="AA264" s="73"/>
      <c r="AB264" s="182"/>
      <c r="AC264" s="182"/>
      <c r="AD264" s="182"/>
      <c r="AJ264" s="136"/>
    </row>
    <row r="265" spans="9:36" x14ac:dyDescent="0.35">
      <c r="I265" s="49"/>
      <c r="J265" s="49"/>
      <c r="K265" s="49"/>
      <c r="L265" s="157"/>
      <c r="M265" s="27"/>
      <c r="U265" s="127"/>
      <c r="V265" s="127"/>
      <c r="W265" s="127"/>
      <c r="X265" s="128"/>
      <c r="Y265" s="139"/>
      <c r="AA265" s="73"/>
      <c r="AB265" s="182"/>
      <c r="AC265" s="182"/>
      <c r="AD265" s="182"/>
      <c r="AJ265" s="136"/>
    </row>
    <row r="266" spans="9:36" x14ac:dyDescent="0.35">
      <c r="I266" s="49"/>
      <c r="J266" s="49"/>
      <c r="K266" s="49"/>
      <c r="L266" s="157"/>
      <c r="M266" s="27"/>
      <c r="U266" s="127"/>
      <c r="V266" s="127"/>
      <c r="W266" s="127"/>
      <c r="X266" s="128"/>
      <c r="Y266" s="139"/>
      <c r="AA266" s="73"/>
      <c r="AB266" s="182"/>
      <c r="AC266" s="182"/>
      <c r="AD266" s="182"/>
      <c r="AJ266" s="136"/>
    </row>
    <row r="267" spans="9:36" x14ac:dyDescent="0.35">
      <c r="I267" s="49"/>
      <c r="J267" s="49"/>
      <c r="K267" s="49"/>
      <c r="M267" s="34"/>
      <c r="U267" s="127"/>
      <c r="V267" s="127"/>
      <c r="W267" s="127"/>
      <c r="X267" s="128"/>
      <c r="Y267" s="139"/>
      <c r="AA267" s="73"/>
      <c r="AB267" s="182"/>
      <c r="AC267" s="182"/>
      <c r="AD267" s="182"/>
      <c r="AJ267" s="136"/>
    </row>
    <row r="268" spans="9:36" x14ac:dyDescent="0.35">
      <c r="I268" s="49"/>
      <c r="J268" s="49"/>
      <c r="K268" s="49"/>
      <c r="M268" s="34"/>
      <c r="U268" s="127"/>
      <c r="V268" s="127"/>
      <c r="W268" s="127"/>
      <c r="X268" s="128"/>
      <c r="Y268" s="139"/>
      <c r="AA268" s="73"/>
      <c r="AB268" s="182"/>
      <c r="AC268" s="182"/>
      <c r="AD268" s="182"/>
      <c r="AJ268" s="136"/>
    </row>
    <row r="269" spans="9:36" x14ac:dyDescent="0.35">
      <c r="I269" s="49"/>
      <c r="J269" s="49"/>
      <c r="K269" s="49"/>
      <c r="M269" s="33"/>
      <c r="U269" s="127"/>
      <c r="V269" s="127"/>
      <c r="W269" s="127"/>
      <c r="X269" s="128"/>
      <c r="Y269" s="139"/>
      <c r="AA269" s="73"/>
      <c r="AB269" s="182"/>
      <c r="AC269" s="182"/>
      <c r="AD269" s="182"/>
      <c r="AJ269" s="136"/>
    </row>
    <row r="270" spans="9:36" x14ac:dyDescent="0.35">
      <c r="I270" s="49"/>
      <c r="J270" s="49"/>
      <c r="K270" s="49"/>
      <c r="M270" s="34"/>
      <c r="U270" s="127"/>
      <c r="V270" s="127"/>
      <c r="W270" s="127"/>
      <c r="X270" s="128"/>
      <c r="Y270" s="139"/>
      <c r="AA270" s="73"/>
      <c r="AB270" s="182"/>
      <c r="AC270" s="182"/>
      <c r="AD270" s="182"/>
      <c r="AJ270" s="136"/>
    </row>
    <row r="271" spans="9:36" x14ac:dyDescent="0.35">
      <c r="I271" s="49"/>
      <c r="J271" s="49"/>
      <c r="K271" s="49"/>
      <c r="M271" s="35"/>
      <c r="U271" s="127"/>
      <c r="V271" s="127"/>
      <c r="W271" s="127"/>
      <c r="X271" s="128"/>
      <c r="Y271" s="139"/>
      <c r="AA271" s="73"/>
      <c r="AB271" s="182"/>
      <c r="AC271" s="182"/>
      <c r="AD271" s="182"/>
      <c r="AJ271" s="136"/>
    </row>
    <row r="272" spans="9:36" x14ac:dyDescent="0.35">
      <c r="I272" s="49"/>
      <c r="J272" s="49"/>
      <c r="K272" s="49"/>
      <c r="M272" s="34"/>
      <c r="U272" s="127"/>
      <c r="V272" s="127"/>
      <c r="W272" s="127"/>
      <c r="X272" s="128"/>
      <c r="Y272" s="139"/>
      <c r="AA272" s="73"/>
      <c r="AB272" s="182"/>
      <c r="AC272" s="182"/>
      <c r="AD272" s="182"/>
      <c r="AJ272" s="136"/>
    </row>
    <row r="273" spans="9:36" x14ac:dyDescent="0.35">
      <c r="I273" s="49"/>
      <c r="J273" s="49"/>
      <c r="K273" s="49"/>
      <c r="M273" s="33"/>
      <c r="U273" s="127"/>
      <c r="V273" s="127"/>
      <c r="W273" s="127"/>
      <c r="X273" s="128"/>
      <c r="Y273" s="139"/>
      <c r="AA273" s="73"/>
      <c r="AB273" s="182"/>
      <c r="AC273" s="182"/>
      <c r="AD273" s="182"/>
      <c r="AJ273" s="136"/>
    </row>
    <row r="274" spans="9:36" x14ac:dyDescent="0.35">
      <c r="I274" s="49"/>
      <c r="J274" s="49"/>
      <c r="K274" s="49"/>
      <c r="M274" s="34"/>
      <c r="U274" s="127"/>
      <c r="V274" s="127"/>
      <c r="W274" s="127"/>
      <c r="X274" s="128"/>
      <c r="Y274" s="139"/>
      <c r="AA274" s="73"/>
      <c r="AB274" s="182"/>
      <c r="AC274" s="182"/>
      <c r="AD274" s="182"/>
      <c r="AJ274" s="136"/>
    </row>
    <row r="275" spans="9:36" x14ac:dyDescent="0.35">
      <c r="I275" s="49"/>
      <c r="J275" s="49"/>
      <c r="K275" s="49"/>
      <c r="M275" s="34"/>
      <c r="U275" s="127"/>
      <c r="V275" s="127"/>
      <c r="W275" s="127"/>
      <c r="X275" s="128"/>
      <c r="Y275" s="139"/>
      <c r="AA275" s="73"/>
      <c r="AB275" s="182"/>
      <c r="AC275" s="182"/>
      <c r="AD275" s="182"/>
      <c r="AJ275" s="136"/>
    </row>
    <row r="276" spans="9:36" x14ac:dyDescent="0.35">
      <c r="I276" s="49"/>
      <c r="J276" s="49"/>
      <c r="K276" s="49"/>
      <c r="M276" s="33"/>
      <c r="U276" s="127"/>
      <c r="V276" s="127"/>
      <c r="W276" s="127"/>
      <c r="X276" s="128"/>
      <c r="Y276" s="139"/>
      <c r="AA276" s="73"/>
      <c r="AB276" s="182"/>
      <c r="AC276" s="182"/>
      <c r="AD276" s="182"/>
      <c r="AJ276" s="136"/>
    </row>
    <row r="277" spans="9:36" x14ac:dyDescent="0.35">
      <c r="I277" s="49"/>
      <c r="J277" s="49"/>
      <c r="K277" s="49"/>
      <c r="M277" s="34"/>
      <c r="U277" s="127"/>
      <c r="V277" s="127"/>
      <c r="W277" s="127"/>
      <c r="X277" s="128"/>
      <c r="Y277" s="139"/>
      <c r="AA277" s="73"/>
      <c r="AB277" s="182"/>
      <c r="AC277" s="182"/>
      <c r="AD277" s="182"/>
      <c r="AJ277" s="136"/>
    </row>
    <row r="278" spans="9:36" x14ac:dyDescent="0.35">
      <c r="I278" s="49"/>
      <c r="J278" s="49"/>
      <c r="K278" s="49"/>
      <c r="M278" s="34"/>
      <c r="U278" s="127"/>
      <c r="V278" s="127"/>
      <c r="W278" s="127"/>
      <c r="X278" s="128"/>
      <c r="Y278" s="139"/>
      <c r="AA278" s="73"/>
      <c r="AB278" s="182"/>
      <c r="AC278" s="182"/>
      <c r="AD278" s="182"/>
      <c r="AJ278" s="136"/>
    </row>
    <row r="279" spans="9:36" x14ac:dyDescent="0.35">
      <c r="I279" s="49"/>
      <c r="J279" s="49"/>
      <c r="K279" s="49"/>
      <c r="M279" s="35"/>
      <c r="U279" s="127"/>
      <c r="V279" s="127"/>
      <c r="W279" s="127"/>
      <c r="X279" s="128"/>
      <c r="Y279" s="139"/>
      <c r="AA279" s="73"/>
      <c r="AB279" s="182"/>
      <c r="AC279" s="182"/>
      <c r="AD279" s="182"/>
      <c r="AJ279" s="136"/>
    </row>
    <row r="280" spans="9:36" x14ac:dyDescent="0.35">
      <c r="I280" s="49"/>
      <c r="J280" s="49"/>
      <c r="K280" s="49"/>
      <c r="M280" s="33"/>
      <c r="U280" s="127"/>
      <c r="V280" s="127"/>
      <c r="W280" s="127"/>
      <c r="X280" s="128"/>
      <c r="Y280" s="139"/>
      <c r="AA280" s="73"/>
      <c r="AB280" s="182"/>
      <c r="AC280" s="182"/>
      <c r="AD280" s="182"/>
      <c r="AJ280" s="136"/>
    </row>
    <row r="281" spans="9:36" x14ac:dyDescent="0.35">
      <c r="I281" s="49"/>
      <c r="J281" s="49"/>
      <c r="K281" s="49"/>
      <c r="M281" s="34"/>
      <c r="U281" s="127"/>
      <c r="V281" s="127"/>
      <c r="W281" s="127"/>
      <c r="X281" s="128"/>
      <c r="Y281" s="139"/>
      <c r="AA281" s="73"/>
      <c r="AB281" s="182"/>
      <c r="AC281" s="182"/>
      <c r="AD281" s="182"/>
      <c r="AJ281" s="136"/>
    </row>
    <row r="282" spans="9:36" x14ac:dyDescent="0.35">
      <c r="I282" s="49"/>
      <c r="J282" s="49"/>
      <c r="K282" s="49"/>
      <c r="M282" s="34"/>
      <c r="U282" s="127"/>
      <c r="V282" s="127"/>
      <c r="W282" s="127"/>
      <c r="X282" s="128"/>
      <c r="Y282" s="139"/>
      <c r="AA282" s="73"/>
      <c r="AB282" s="182"/>
      <c r="AC282" s="182"/>
      <c r="AD282" s="182"/>
      <c r="AJ282" s="136"/>
    </row>
    <row r="283" spans="9:36" x14ac:dyDescent="0.35">
      <c r="I283" s="49"/>
      <c r="J283" s="49"/>
      <c r="K283" s="49"/>
      <c r="M283" s="33"/>
      <c r="U283" s="127"/>
      <c r="V283" s="127"/>
      <c r="W283" s="127"/>
      <c r="X283" s="128"/>
      <c r="Y283" s="139"/>
      <c r="AA283" s="73"/>
      <c r="AB283" s="182"/>
      <c r="AC283" s="182"/>
      <c r="AD283" s="182"/>
      <c r="AJ283" s="136"/>
    </row>
    <row r="284" spans="9:36" x14ac:dyDescent="0.35">
      <c r="I284" s="49"/>
      <c r="J284" s="49"/>
      <c r="K284" s="49"/>
      <c r="M284" s="34"/>
      <c r="U284" s="127"/>
      <c r="V284" s="127"/>
      <c r="W284" s="127"/>
      <c r="X284" s="128"/>
      <c r="Y284" s="139"/>
      <c r="AA284" s="73"/>
      <c r="AB284" s="182"/>
      <c r="AC284" s="182"/>
      <c r="AD284" s="182"/>
      <c r="AJ284" s="136"/>
    </row>
    <row r="285" spans="9:36" x14ac:dyDescent="0.35">
      <c r="I285" s="49"/>
      <c r="J285" s="49"/>
      <c r="K285" s="49"/>
      <c r="M285" s="34"/>
      <c r="U285" s="127"/>
      <c r="V285" s="127"/>
      <c r="W285" s="127"/>
      <c r="X285" s="128"/>
      <c r="Y285" s="139"/>
      <c r="AA285" s="73"/>
      <c r="AB285" s="182"/>
      <c r="AC285" s="182"/>
      <c r="AD285" s="182"/>
      <c r="AJ285" s="136"/>
    </row>
    <row r="286" spans="9:36" x14ac:dyDescent="0.35">
      <c r="I286" s="49"/>
      <c r="J286" s="49"/>
      <c r="K286" s="49"/>
      <c r="M286" s="34"/>
      <c r="U286" s="127"/>
      <c r="V286" s="127"/>
      <c r="W286" s="127"/>
      <c r="X286" s="128"/>
      <c r="Y286" s="139"/>
      <c r="AA286" s="73"/>
      <c r="AB286" s="182"/>
      <c r="AC286" s="182"/>
      <c r="AD286" s="182"/>
      <c r="AJ286" s="136"/>
    </row>
    <row r="287" spans="9:36" x14ac:dyDescent="0.35">
      <c r="I287" s="49"/>
      <c r="J287" s="49"/>
      <c r="K287" s="49"/>
      <c r="M287" s="33"/>
      <c r="U287" s="127"/>
      <c r="V287" s="127"/>
      <c r="W287" s="127"/>
      <c r="X287" s="128"/>
      <c r="Y287" s="139"/>
      <c r="AA287" s="73"/>
      <c r="AB287" s="182"/>
      <c r="AC287" s="182"/>
      <c r="AD287" s="182"/>
      <c r="AJ287" s="136"/>
    </row>
    <row r="288" spans="9:36" x14ac:dyDescent="0.35">
      <c r="I288" s="49"/>
      <c r="J288" s="49"/>
      <c r="K288" s="49"/>
      <c r="M288" s="35"/>
      <c r="U288" s="127"/>
      <c r="V288" s="127"/>
      <c r="W288" s="127"/>
      <c r="X288" s="128"/>
      <c r="Y288" s="139"/>
      <c r="AA288" s="73"/>
      <c r="AB288" s="182"/>
      <c r="AC288" s="182"/>
      <c r="AD288" s="182"/>
      <c r="AJ288" s="136"/>
    </row>
    <row r="289" spans="9:36" x14ac:dyDescent="0.35">
      <c r="I289" s="49"/>
      <c r="J289" s="49"/>
      <c r="K289" s="49"/>
      <c r="M289" s="34"/>
      <c r="U289" s="127"/>
      <c r="V289" s="127"/>
      <c r="W289" s="127"/>
      <c r="X289" s="128"/>
      <c r="Y289" s="139"/>
      <c r="AA289" s="73"/>
      <c r="AB289" s="182"/>
      <c r="AC289" s="182"/>
      <c r="AD289" s="182"/>
      <c r="AJ289" s="136"/>
    </row>
    <row r="290" spans="9:36" x14ac:dyDescent="0.35">
      <c r="I290" s="49"/>
      <c r="J290" s="49"/>
      <c r="K290" s="49"/>
      <c r="M290" s="34"/>
      <c r="U290" s="127"/>
      <c r="V290" s="127"/>
      <c r="W290" s="127"/>
      <c r="X290" s="128"/>
      <c r="Y290" s="139"/>
      <c r="AA290" s="73"/>
      <c r="AB290" s="182"/>
      <c r="AC290" s="182"/>
      <c r="AD290" s="182"/>
      <c r="AJ290" s="136"/>
    </row>
    <row r="291" spans="9:36" x14ac:dyDescent="0.35">
      <c r="I291" s="49"/>
      <c r="J291" s="49"/>
      <c r="K291" s="49"/>
      <c r="M291" s="33"/>
      <c r="U291" s="127"/>
      <c r="V291" s="127"/>
      <c r="W291" s="127"/>
      <c r="X291" s="128"/>
      <c r="Y291" s="139"/>
      <c r="AA291" s="73"/>
      <c r="AB291" s="182"/>
      <c r="AC291" s="182"/>
      <c r="AD291" s="182"/>
      <c r="AJ291" s="136"/>
    </row>
    <row r="292" spans="9:36" x14ac:dyDescent="0.35">
      <c r="I292" s="49"/>
      <c r="J292" s="49"/>
      <c r="K292" s="49"/>
      <c r="M292" s="34"/>
      <c r="U292" s="127"/>
      <c r="V292" s="127"/>
      <c r="W292" s="127"/>
      <c r="X292" s="128"/>
      <c r="Y292" s="139"/>
      <c r="AA292" s="73"/>
      <c r="AB292" s="182"/>
      <c r="AC292" s="182"/>
      <c r="AD292" s="182"/>
      <c r="AJ292" s="136"/>
    </row>
    <row r="293" spans="9:36" x14ac:dyDescent="0.35">
      <c r="I293" s="49"/>
      <c r="J293" s="49"/>
      <c r="K293" s="49"/>
      <c r="M293" s="34"/>
      <c r="U293" s="127"/>
      <c r="V293" s="127"/>
      <c r="W293" s="127"/>
      <c r="X293" s="128"/>
      <c r="Y293" s="139"/>
      <c r="AA293" s="73"/>
      <c r="AB293" s="182"/>
      <c r="AC293" s="182"/>
      <c r="AD293" s="182"/>
      <c r="AJ293" s="136"/>
    </row>
    <row r="294" spans="9:36" x14ac:dyDescent="0.35">
      <c r="I294" s="49"/>
      <c r="J294" s="49"/>
      <c r="K294" s="49"/>
      <c r="M294" s="33"/>
      <c r="U294" s="127"/>
      <c r="V294" s="127"/>
      <c r="W294" s="127"/>
      <c r="X294" s="128"/>
      <c r="Y294" s="139"/>
      <c r="AA294" s="73"/>
      <c r="AB294" s="182"/>
      <c r="AC294" s="182"/>
      <c r="AD294" s="182"/>
      <c r="AJ294" s="136"/>
    </row>
    <row r="295" spans="9:36" x14ac:dyDescent="0.35">
      <c r="I295" s="49"/>
      <c r="J295" s="49"/>
      <c r="K295" s="49"/>
      <c r="M295" s="34"/>
      <c r="U295" s="127"/>
      <c r="V295" s="127"/>
      <c r="W295" s="127"/>
      <c r="X295" s="128"/>
      <c r="Y295" s="139"/>
      <c r="AA295" s="73"/>
      <c r="AB295" s="182"/>
      <c r="AC295" s="182"/>
      <c r="AD295" s="182"/>
      <c r="AJ295" s="136"/>
    </row>
    <row r="296" spans="9:36" x14ac:dyDescent="0.35">
      <c r="I296" s="49"/>
      <c r="J296" s="49"/>
      <c r="K296" s="49"/>
      <c r="M296" s="35"/>
      <c r="U296" s="127"/>
      <c r="V296" s="127"/>
      <c r="W296" s="127"/>
      <c r="X296" s="128"/>
      <c r="Y296" s="139"/>
      <c r="AA296" s="73"/>
      <c r="AB296" s="182"/>
      <c r="AC296" s="182"/>
      <c r="AD296" s="182"/>
      <c r="AJ296" s="136"/>
    </row>
    <row r="297" spans="9:36" x14ac:dyDescent="0.35">
      <c r="I297" s="49"/>
      <c r="J297" s="49"/>
      <c r="K297" s="49"/>
      <c r="M297" s="34"/>
      <c r="U297" s="127"/>
      <c r="V297" s="127"/>
      <c r="W297" s="128"/>
      <c r="X297" s="128"/>
      <c r="Y297" s="139"/>
      <c r="AA297" s="73"/>
      <c r="AB297" s="182"/>
      <c r="AC297" s="182"/>
      <c r="AD297" s="182"/>
      <c r="AJ297" s="136"/>
    </row>
    <row r="298" spans="9:36" x14ac:dyDescent="0.35">
      <c r="I298" s="109"/>
      <c r="J298" s="109"/>
      <c r="K298" s="109"/>
      <c r="M298" s="33"/>
      <c r="U298" s="127"/>
      <c r="V298" s="127"/>
      <c r="W298" s="128"/>
      <c r="X298" s="128"/>
      <c r="Y298" s="139"/>
      <c r="AA298" s="73"/>
      <c r="AB298" s="182"/>
      <c r="AC298" s="182"/>
      <c r="AD298" s="182"/>
      <c r="AJ298" s="136"/>
    </row>
    <row r="299" spans="9:36" x14ac:dyDescent="0.35">
      <c r="I299" s="109"/>
      <c r="J299" s="109"/>
      <c r="K299" s="109"/>
      <c r="M299" s="34"/>
      <c r="U299" s="127"/>
      <c r="V299" s="127"/>
      <c r="W299" s="128"/>
      <c r="X299" s="128"/>
      <c r="Y299" s="139"/>
      <c r="AA299" s="73"/>
      <c r="AB299" s="182"/>
      <c r="AC299" s="182"/>
      <c r="AD299" s="182"/>
      <c r="AJ299" s="136"/>
    </row>
    <row r="300" spans="9:36" x14ac:dyDescent="0.35">
      <c r="I300" s="109"/>
      <c r="J300" s="109"/>
      <c r="K300" s="109"/>
      <c r="M300" s="34"/>
      <c r="U300" s="127"/>
      <c r="V300" s="127"/>
      <c r="W300" s="128"/>
      <c r="X300" s="128"/>
      <c r="Y300" s="139"/>
      <c r="AA300" s="73"/>
      <c r="AB300" s="182"/>
      <c r="AC300" s="182"/>
      <c r="AD300" s="182"/>
      <c r="AJ300" s="136"/>
    </row>
    <row r="301" spans="9:36" x14ac:dyDescent="0.35">
      <c r="I301" s="109"/>
      <c r="J301" s="109"/>
      <c r="K301" s="109"/>
      <c r="M301" s="33"/>
      <c r="U301" s="127"/>
      <c r="V301" s="127"/>
      <c r="W301" s="128"/>
      <c r="X301" s="128"/>
      <c r="Y301" s="139"/>
      <c r="AA301" s="73"/>
      <c r="AB301" s="182"/>
      <c r="AC301" s="182"/>
      <c r="AD301" s="182"/>
      <c r="AJ301" s="136"/>
    </row>
    <row r="302" spans="9:36" x14ac:dyDescent="0.35">
      <c r="I302" s="109"/>
      <c r="J302" s="109"/>
      <c r="K302" s="109"/>
      <c r="M302" s="34"/>
      <c r="U302" s="127"/>
      <c r="V302" s="127"/>
      <c r="W302" s="128"/>
      <c r="X302" s="128"/>
      <c r="Y302" s="139"/>
      <c r="AA302" s="73"/>
      <c r="AB302" s="182"/>
      <c r="AC302" s="182"/>
      <c r="AD302" s="182"/>
      <c r="AJ302" s="136"/>
    </row>
    <row r="303" spans="9:36" x14ac:dyDescent="0.35">
      <c r="I303" s="109"/>
      <c r="J303" s="109"/>
      <c r="K303" s="109"/>
      <c r="M303" s="34"/>
      <c r="U303" s="127"/>
      <c r="V303" s="127"/>
      <c r="W303" s="128"/>
      <c r="X303" s="128"/>
      <c r="Y303" s="139"/>
      <c r="AA303" s="73"/>
      <c r="AB303" s="182"/>
      <c r="AC303" s="182"/>
      <c r="AD303" s="182"/>
      <c r="AJ303" s="136"/>
    </row>
    <row r="304" spans="9:36" x14ac:dyDescent="0.35">
      <c r="I304" s="109"/>
      <c r="J304" s="109"/>
      <c r="K304" s="109"/>
      <c r="M304" s="35"/>
      <c r="U304" s="127"/>
      <c r="V304" s="127"/>
      <c r="W304" s="128"/>
      <c r="X304" s="128"/>
      <c r="Y304" s="139"/>
      <c r="AA304" s="73"/>
      <c r="AB304" s="182"/>
      <c r="AC304" s="182"/>
      <c r="AD304" s="182"/>
      <c r="AJ304" s="136"/>
    </row>
    <row r="305" spans="9:36" x14ac:dyDescent="0.35">
      <c r="I305" s="109"/>
      <c r="J305" s="109"/>
      <c r="K305" s="109"/>
      <c r="M305" s="33"/>
      <c r="U305" s="127"/>
      <c r="V305" s="127"/>
      <c r="W305" s="128"/>
      <c r="X305" s="128"/>
      <c r="Y305" s="139"/>
      <c r="AA305" s="73"/>
      <c r="AB305" s="182"/>
      <c r="AC305" s="182"/>
      <c r="AD305" s="182"/>
      <c r="AJ305" s="136"/>
    </row>
    <row r="306" spans="9:36" x14ac:dyDescent="0.35">
      <c r="I306" s="109"/>
      <c r="J306" s="109"/>
      <c r="K306" s="109"/>
      <c r="M306" s="34"/>
      <c r="U306" s="127"/>
      <c r="V306" s="127"/>
      <c r="W306" s="128"/>
      <c r="X306" s="128"/>
      <c r="Y306" s="139"/>
      <c r="AA306" s="73"/>
      <c r="AB306" s="182"/>
      <c r="AC306" s="182"/>
      <c r="AD306" s="182"/>
      <c r="AJ306" s="136"/>
    </row>
    <row r="307" spans="9:36" x14ac:dyDescent="0.35">
      <c r="I307" s="109"/>
      <c r="J307" s="109"/>
      <c r="K307" s="109"/>
      <c r="M307" s="34"/>
      <c r="U307" s="127"/>
      <c r="V307" s="127"/>
      <c r="W307" s="128"/>
      <c r="X307" s="128"/>
      <c r="Y307" s="139"/>
      <c r="AA307" s="73"/>
      <c r="AB307" s="182"/>
      <c r="AC307" s="182"/>
      <c r="AD307" s="182"/>
      <c r="AJ307" s="136"/>
    </row>
    <row r="308" spans="9:36" x14ac:dyDescent="0.35">
      <c r="I308" s="109"/>
      <c r="J308" s="109"/>
      <c r="K308" s="109"/>
      <c r="M308" s="33"/>
      <c r="U308" s="127"/>
      <c r="V308" s="127"/>
      <c r="W308" s="128"/>
      <c r="X308" s="128"/>
      <c r="Y308" s="139"/>
      <c r="AA308" s="73"/>
      <c r="AB308" s="182"/>
      <c r="AC308" s="182"/>
      <c r="AD308" s="182"/>
      <c r="AJ308" s="136"/>
    </row>
    <row r="309" spans="9:36" x14ac:dyDescent="0.35">
      <c r="I309" s="109"/>
      <c r="J309" s="109"/>
      <c r="K309" s="109"/>
      <c r="M309" s="34"/>
      <c r="U309" s="127"/>
      <c r="V309" s="127"/>
      <c r="W309" s="128"/>
      <c r="X309" s="128"/>
      <c r="Y309" s="139"/>
      <c r="AA309" s="73"/>
      <c r="AB309" s="182"/>
      <c r="AC309" s="182"/>
      <c r="AD309" s="182"/>
      <c r="AJ309" s="136"/>
    </row>
    <row r="310" spans="9:36" x14ac:dyDescent="0.35">
      <c r="I310" s="109"/>
      <c r="J310" s="109"/>
      <c r="K310" s="109"/>
      <c r="M310" s="34"/>
      <c r="U310" s="127"/>
      <c r="V310" s="127"/>
      <c r="W310" s="128"/>
      <c r="X310" s="128"/>
      <c r="Y310" s="139"/>
      <c r="AA310" s="73"/>
      <c r="AB310" s="182"/>
      <c r="AC310" s="182"/>
      <c r="AD310" s="182"/>
      <c r="AJ310" s="136"/>
    </row>
    <row r="311" spans="9:36" x14ac:dyDescent="0.35">
      <c r="I311" s="109"/>
      <c r="J311" s="109"/>
      <c r="K311" s="109"/>
      <c r="M311" s="34"/>
      <c r="U311" s="127"/>
      <c r="V311" s="127"/>
      <c r="W311" s="128"/>
      <c r="X311" s="128"/>
      <c r="Y311" s="139"/>
      <c r="AA311" s="73"/>
      <c r="AB311" s="182"/>
      <c r="AC311" s="182"/>
      <c r="AD311" s="182"/>
      <c r="AJ311" s="136"/>
    </row>
    <row r="312" spans="9:36" x14ac:dyDescent="0.35">
      <c r="I312" s="109"/>
      <c r="J312" s="109"/>
      <c r="K312" s="109"/>
      <c r="M312" s="33"/>
      <c r="U312" s="127"/>
      <c r="V312" s="127"/>
      <c r="W312" s="128"/>
      <c r="X312" s="128"/>
      <c r="Y312" s="139"/>
      <c r="AA312" s="73"/>
      <c r="AB312" s="182"/>
      <c r="AC312" s="182"/>
      <c r="AD312" s="182"/>
      <c r="AJ312" s="136"/>
    </row>
    <row r="313" spans="9:36" x14ac:dyDescent="0.35">
      <c r="I313" s="109"/>
      <c r="J313" s="109"/>
      <c r="K313" s="109"/>
      <c r="M313" s="34"/>
      <c r="U313" s="127"/>
      <c r="V313" s="127"/>
      <c r="W313" s="128"/>
      <c r="X313" s="128"/>
      <c r="Y313" s="139"/>
      <c r="AA313" s="73"/>
      <c r="AB313" s="182"/>
      <c r="AC313" s="182"/>
      <c r="AD313" s="182"/>
      <c r="AJ313" s="136"/>
    </row>
    <row r="314" spans="9:36" x14ac:dyDescent="0.35">
      <c r="I314" s="109"/>
      <c r="J314" s="109"/>
      <c r="K314" s="109"/>
      <c r="M314" s="34"/>
      <c r="U314" s="127"/>
      <c r="V314" s="127"/>
      <c r="W314" s="128"/>
      <c r="X314" s="128"/>
      <c r="Y314" s="139"/>
      <c r="AA314" s="73"/>
      <c r="AB314" s="182"/>
      <c r="AC314" s="182"/>
      <c r="AD314" s="182"/>
      <c r="AJ314" s="136"/>
    </row>
    <row r="315" spans="9:36" x14ac:dyDescent="0.35">
      <c r="I315" s="109"/>
      <c r="J315" s="109"/>
      <c r="K315" s="109"/>
      <c r="M315" s="33"/>
      <c r="U315" s="127"/>
      <c r="V315" s="127"/>
      <c r="W315" s="128"/>
      <c r="X315" s="128"/>
      <c r="Y315" s="139"/>
      <c r="AA315" s="73"/>
      <c r="AB315" s="182"/>
      <c r="AC315" s="182"/>
      <c r="AD315" s="182"/>
      <c r="AJ315" s="136"/>
    </row>
    <row r="316" spans="9:36" x14ac:dyDescent="0.35">
      <c r="I316" s="109"/>
      <c r="J316" s="109"/>
      <c r="K316" s="109"/>
      <c r="M316" s="34"/>
      <c r="U316" s="127"/>
      <c r="V316" s="127"/>
      <c r="W316" s="128"/>
      <c r="X316" s="128"/>
      <c r="Y316" s="139"/>
      <c r="AA316" s="73"/>
      <c r="AB316" s="182"/>
      <c r="AC316" s="182"/>
      <c r="AD316" s="182"/>
      <c r="AJ316" s="136"/>
    </row>
    <row r="317" spans="9:36" x14ac:dyDescent="0.35">
      <c r="I317" s="109"/>
      <c r="J317" s="109"/>
      <c r="K317" s="109"/>
      <c r="M317" s="34"/>
      <c r="U317" s="127"/>
      <c r="V317" s="127"/>
      <c r="W317" s="128"/>
      <c r="X317" s="128"/>
      <c r="Y317" s="139"/>
      <c r="AA317" s="73"/>
      <c r="AB317" s="182"/>
      <c r="AC317" s="182"/>
      <c r="AD317" s="182"/>
      <c r="AJ317" s="136"/>
    </row>
    <row r="318" spans="9:36" x14ac:dyDescent="0.35">
      <c r="I318" s="109"/>
      <c r="J318" s="109"/>
      <c r="K318" s="109"/>
      <c r="M318" s="33"/>
      <c r="U318" s="127"/>
      <c r="V318" s="127"/>
      <c r="W318" s="128"/>
      <c r="X318" s="128"/>
      <c r="Y318" s="139"/>
      <c r="AA318" s="73"/>
      <c r="AB318" s="182"/>
      <c r="AC318" s="182"/>
      <c r="AD318" s="182"/>
      <c r="AJ318" s="136"/>
    </row>
    <row r="319" spans="9:36" x14ac:dyDescent="0.35">
      <c r="I319" s="109"/>
      <c r="J319" s="109"/>
      <c r="K319" s="109"/>
      <c r="M319" s="34"/>
      <c r="U319" s="127"/>
      <c r="V319" s="127"/>
      <c r="W319" s="128"/>
      <c r="X319" s="128"/>
      <c r="Y319" s="139"/>
      <c r="AA319" s="73"/>
      <c r="AB319" s="182"/>
      <c r="AC319" s="182"/>
      <c r="AD319" s="182"/>
      <c r="AJ319" s="136"/>
    </row>
    <row r="320" spans="9:36" x14ac:dyDescent="0.35">
      <c r="I320" s="109"/>
      <c r="J320" s="109"/>
      <c r="K320" s="109"/>
      <c r="M320" s="34"/>
      <c r="U320" s="127"/>
      <c r="V320" s="127"/>
      <c r="W320" s="128"/>
      <c r="X320" s="128"/>
      <c r="Y320" s="139"/>
      <c r="AA320" s="73"/>
      <c r="AB320" s="182"/>
      <c r="AC320" s="182"/>
      <c r="AD320" s="182"/>
      <c r="AJ320" s="136"/>
    </row>
    <row r="321" spans="9:36" x14ac:dyDescent="0.35">
      <c r="I321" s="109"/>
      <c r="J321" s="109"/>
      <c r="K321" s="109"/>
      <c r="M321" s="33"/>
      <c r="U321" s="127"/>
      <c r="V321" s="127"/>
      <c r="W321" s="128"/>
      <c r="X321" s="128"/>
      <c r="Y321" s="139"/>
      <c r="AA321" s="73"/>
      <c r="AB321" s="182"/>
      <c r="AC321" s="182"/>
      <c r="AD321" s="182"/>
      <c r="AJ321" s="136"/>
    </row>
    <row r="322" spans="9:36" x14ac:dyDescent="0.35">
      <c r="I322" s="109"/>
      <c r="J322" s="109"/>
      <c r="K322" s="109"/>
      <c r="M322" s="34"/>
      <c r="U322" s="127"/>
      <c r="V322" s="127"/>
      <c r="W322" s="128"/>
      <c r="X322" s="128"/>
      <c r="Y322" s="139"/>
      <c r="AA322" s="73"/>
      <c r="AB322" s="182"/>
      <c r="AC322" s="182"/>
      <c r="AD322" s="182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82"/>
      <c r="AC323" s="182"/>
      <c r="AD323" s="182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82"/>
      <c r="AC324" s="182"/>
      <c r="AD324" s="182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82"/>
      <c r="AC325" s="182"/>
      <c r="AD325" s="182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82"/>
      <c r="AC326" s="182"/>
      <c r="AD326" s="182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82"/>
      <c r="AC327" s="182"/>
      <c r="AD327" s="182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82"/>
      <c r="AC328" s="182"/>
      <c r="AD328" s="182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82"/>
      <c r="AC329" s="182"/>
      <c r="AD329" s="182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82"/>
      <c r="AC330" s="182"/>
      <c r="AD330" s="182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82"/>
      <c r="AC331" s="182"/>
      <c r="AD331" s="182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82"/>
      <c r="AC332" s="182"/>
      <c r="AD332" s="182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82"/>
      <c r="AC333" s="182"/>
      <c r="AD333" s="182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82"/>
      <c r="AC334" s="182"/>
      <c r="AD334" s="182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60"/>
    </row>
    <row r="596" spans="9:35" x14ac:dyDescent="0.35">
      <c r="I596" s="109"/>
      <c r="J596" s="109"/>
      <c r="K596" s="109"/>
      <c r="L596" s="158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B30:G30"/>
    <mergeCell ref="U1:W1"/>
    <mergeCell ref="R1:S1"/>
    <mergeCell ref="B1:H1"/>
    <mergeCell ref="I1:K1"/>
    <mergeCell ref="M1:Q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1899-D9DA-4710-AB3B-80877DCE0C57}">
  <sheetPr codeName="Sheet6"/>
  <dimension ref="A1:D20"/>
  <sheetViews>
    <sheetView workbookViewId="0">
      <selection activeCell="A15" sqref="A15:C15"/>
    </sheetView>
  </sheetViews>
  <sheetFormatPr defaultRowHeight="15.5" x14ac:dyDescent="0.35"/>
  <cols>
    <col min="1" max="1" width="39.33203125" bestFit="1" customWidth="1"/>
    <col min="2" max="2" width="9.1640625" bestFit="1" customWidth="1"/>
  </cols>
  <sheetData>
    <row r="1" spans="1:4" x14ac:dyDescent="0.35">
      <c r="A1" s="168"/>
      <c r="B1" s="93" t="s">
        <v>535</v>
      </c>
      <c r="C1" s="93" t="s">
        <v>622</v>
      </c>
      <c r="D1" s="169"/>
    </row>
    <row r="2" spans="1:4" ht="18" x14ac:dyDescent="0.35">
      <c r="A2" s="93" t="s">
        <v>623</v>
      </c>
      <c r="B2" s="170">
        <f>Reflectivity!H10</f>
        <v>1021.4240988151274</v>
      </c>
      <c r="C2" s="170">
        <f>dTotal!D4</f>
        <v>13.271198581238469</v>
      </c>
      <c r="D2" s="171"/>
    </row>
    <row r="3" spans="1:4" ht="18" x14ac:dyDescent="0.35">
      <c r="A3" s="93" t="s">
        <v>624</v>
      </c>
      <c r="B3" s="170">
        <f>Reflectivity!F7</f>
        <v>9.0435306927564199</v>
      </c>
      <c r="C3" s="170">
        <f>dSiOx!D4</f>
        <v>4.1082322181587232</v>
      </c>
      <c r="D3" s="171"/>
    </row>
    <row r="4" spans="1:4" x14ac:dyDescent="0.35">
      <c r="A4" s="94"/>
      <c r="B4" s="94"/>
      <c r="C4" s="94"/>
      <c r="D4" s="171"/>
    </row>
    <row r="5" spans="1:4" ht="18" x14ac:dyDescent="0.35">
      <c r="A5" s="93" t="s">
        <v>625</v>
      </c>
      <c r="B5" s="170">
        <f>Reflectivity!G4</f>
        <v>42.857254117462226</v>
      </c>
      <c r="C5" s="170">
        <f>sigDstack!D4</f>
        <v>7.2967118526492678</v>
      </c>
      <c r="D5" s="171"/>
    </row>
    <row r="6" spans="1:4" x14ac:dyDescent="0.35">
      <c r="D6" s="171"/>
    </row>
    <row r="7" spans="1:4" ht="18" x14ac:dyDescent="0.35">
      <c r="A7" s="93" t="s">
        <v>612</v>
      </c>
      <c r="B7" s="172">
        <f>Reflectivity!H14</f>
        <v>1.2682417448766454</v>
      </c>
      <c r="C7" s="172">
        <f>density!D4</f>
        <v>4.7059676153391447E-2</v>
      </c>
    </row>
    <row r="8" spans="1:4" ht="18" x14ac:dyDescent="0.35">
      <c r="A8" s="93" t="s">
        <v>613</v>
      </c>
      <c r="B8" s="172">
        <f>Reflectivity!H16</f>
        <v>0.26707440697010099</v>
      </c>
      <c r="C8" s="172">
        <f>f_PEO!D4</f>
        <v>4.664122699284115E-2</v>
      </c>
    </row>
    <row r="9" spans="1:4" x14ac:dyDescent="0.35">
      <c r="D9" s="173"/>
    </row>
    <row r="10" spans="1:4" ht="18" x14ac:dyDescent="0.35">
      <c r="A10" s="93" t="s">
        <v>626</v>
      </c>
      <c r="B10" s="174">
        <f>Reflectivity!C5</f>
        <v>1.7436837362860377E-6</v>
      </c>
      <c r="C10" s="174">
        <f>SQRT(B11^2*C7^2+B12^2*C8^2)</f>
        <v>9.197095371863719E-8</v>
      </c>
      <c r="D10" s="173"/>
    </row>
    <row r="11" spans="1:4" ht="18" x14ac:dyDescent="0.35">
      <c r="A11" s="93" t="s">
        <v>627</v>
      </c>
      <c r="B11" s="174">
        <f>B8*Reflectivity!D16+(1-B8)*Reflectivity!C16</f>
        <v>1.3748827802980385E-6</v>
      </c>
      <c r="C11" s="174"/>
    </row>
    <row r="12" spans="1:4" ht="18" x14ac:dyDescent="0.35">
      <c r="A12" s="93" t="s">
        <v>628</v>
      </c>
      <c r="B12" s="174">
        <f>B7*(Reflectivity!D16-Reflectivity!C16)</f>
        <v>-1.4014071280886933E-6</v>
      </c>
      <c r="C12" s="174"/>
    </row>
    <row r="13" spans="1:4" ht="18" x14ac:dyDescent="0.35">
      <c r="A13" s="93" t="s">
        <v>629</v>
      </c>
      <c r="B13" s="174">
        <f>Reflectivity!C6</f>
        <v>7.7690809690198375E-7</v>
      </c>
      <c r="C13" s="174">
        <f>NbBPEI!D4</f>
        <v>5.7072626501344292E-7</v>
      </c>
    </row>
    <row r="15" spans="1:4" x14ac:dyDescent="0.35">
      <c r="A15" s="184"/>
      <c r="B15" s="75"/>
      <c r="C15" s="75"/>
    </row>
    <row r="16" spans="1:4" x14ac:dyDescent="0.35">
      <c r="A16" s="175"/>
      <c r="B16" s="1"/>
      <c r="C16" s="176"/>
    </row>
    <row r="17" spans="1:3" x14ac:dyDescent="0.35">
      <c r="A17" s="175"/>
      <c r="B17" s="1"/>
      <c r="C17" s="176"/>
    </row>
    <row r="18" spans="1:3" x14ac:dyDescent="0.35">
      <c r="A18" s="175"/>
      <c r="B18" s="1"/>
      <c r="C18" s="176"/>
    </row>
    <row r="19" spans="1:3" x14ac:dyDescent="0.35">
      <c r="A19" s="175"/>
      <c r="B19" s="1"/>
      <c r="C19" s="176"/>
    </row>
    <row r="20" spans="1:3" x14ac:dyDescent="0.35">
      <c r="A20" s="175"/>
      <c r="B20" s="1"/>
      <c r="C2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607</v>
      </c>
      <c r="B2" s="105">
        <v>1010</v>
      </c>
      <c r="C2" s="105">
        <v>1030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1010</v>
      </c>
      <c r="B4" s="94">
        <v>3.1133182972792426</v>
      </c>
      <c r="C4" s="106">
        <v>1021.4240988151274</v>
      </c>
      <c r="D4" s="106">
        <v>13.271198581238469</v>
      </c>
    </row>
    <row r="5" spans="1:5" x14ac:dyDescent="0.35">
      <c r="A5" s="106">
        <v>1014</v>
      </c>
      <c r="B5" s="94">
        <v>2.6897443460419121</v>
      </c>
      <c r="C5" s="94"/>
      <c r="D5" s="94"/>
    </row>
    <row r="6" spans="1:5" x14ac:dyDescent="0.35">
      <c r="A6" s="106">
        <v>1018</v>
      </c>
      <c r="B6" s="94">
        <v>2.4414850207230376</v>
      </c>
      <c r="C6" s="94"/>
      <c r="D6" s="94"/>
    </row>
    <row r="7" spans="1:5" x14ac:dyDescent="0.35">
      <c r="A7" s="106">
        <v>1022</v>
      </c>
      <c r="B7" s="94">
        <v>2.3743067516632035</v>
      </c>
      <c r="C7" s="94"/>
      <c r="D7" s="94"/>
    </row>
    <row r="8" spans="1:5" x14ac:dyDescent="0.35">
      <c r="A8" s="106">
        <v>1026</v>
      </c>
      <c r="B8" s="94">
        <v>2.4913427665123606</v>
      </c>
      <c r="C8" s="94"/>
      <c r="D8" s="94"/>
    </row>
    <row r="9" spans="1:5" x14ac:dyDescent="0.35">
      <c r="A9" s="106">
        <v>1030</v>
      </c>
      <c r="B9" s="94">
        <v>2.7929933990084259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C0983-8C62-4B8D-8C2B-D110D4CD84E6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615</v>
      </c>
      <c r="B2" s="166">
        <v>1.22</v>
      </c>
      <c r="C2" s="166">
        <v>1.32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5">
        <v>1.22</v>
      </c>
      <c r="B4" s="94">
        <v>3.3952296808265787</v>
      </c>
      <c r="C4" s="165">
        <v>1.2682417448766454</v>
      </c>
      <c r="D4" s="165">
        <v>4.7059676153391447E-2</v>
      </c>
    </row>
    <row r="5" spans="1:5" x14ac:dyDescent="0.35">
      <c r="A5" s="165">
        <v>1.24</v>
      </c>
      <c r="B5" s="94">
        <v>2.7693870712482234</v>
      </c>
      <c r="C5" s="94"/>
      <c r="D5" s="94"/>
    </row>
    <row r="6" spans="1:5" x14ac:dyDescent="0.35">
      <c r="A6" s="165">
        <v>1.26</v>
      </c>
      <c r="B6" s="94">
        <v>2.4234943858619484</v>
      </c>
      <c r="C6" s="94"/>
      <c r="D6" s="94"/>
    </row>
    <row r="7" spans="1:5" x14ac:dyDescent="0.35">
      <c r="A7" s="165">
        <v>1.28</v>
      </c>
      <c r="B7" s="94">
        <v>2.4120092660719554</v>
      </c>
      <c r="C7" s="94"/>
      <c r="D7" s="94"/>
    </row>
    <row r="8" spans="1:5" x14ac:dyDescent="0.35">
      <c r="A8" s="165">
        <v>1.3</v>
      </c>
      <c r="B8" s="94">
        <v>2.789353656829173</v>
      </c>
      <c r="C8" s="94"/>
      <c r="D8" s="94"/>
    </row>
    <row r="9" spans="1:5" x14ac:dyDescent="0.35">
      <c r="A9" s="165">
        <v>1.32</v>
      </c>
      <c r="B9" s="94">
        <v>3.6078480801056614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122B2-0ECF-4E78-8677-3DF2BE891EE0}">
  <sheetPr codeName="Sheet27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616</v>
      </c>
      <c r="B2" s="166">
        <v>0.24</v>
      </c>
      <c r="C2" s="166">
        <v>0.3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5">
        <v>0.24</v>
      </c>
      <c r="B4" s="94">
        <v>2.7184197696728774</v>
      </c>
      <c r="C4" s="165">
        <v>0.26707440697010099</v>
      </c>
      <c r="D4" s="165">
        <v>4.664122699284115E-2</v>
      </c>
    </row>
    <row r="5" spans="1:5" x14ac:dyDescent="0.35">
      <c r="A5" s="165">
        <v>0.252</v>
      </c>
      <c r="B5" s="94">
        <v>2.470924046749424</v>
      </c>
      <c r="C5" s="94"/>
      <c r="D5" s="94"/>
    </row>
    <row r="6" spans="1:5" x14ac:dyDescent="0.35">
      <c r="A6" s="165">
        <v>0.26400000000000001</v>
      </c>
      <c r="B6" s="94">
        <v>2.3745286488799215</v>
      </c>
      <c r="C6" s="94"/>
      <c r="D6" s="94"/>
    </row>
    <row r="7" spans="1:5" x14ac:dyDescent="0.35">
      <c r="A7" s="165">
        <v>0.27599999999999997</v>
      </c>
      <c r="B7" s="94">
        <v>2.4168236745361731</v>
      </c>
      <c r="C7" s="94"/>
      <c r="D7" s="94"/>
    </row>
    <row r="8" spans="1:5" x14ac:dyDescent="0.35">
      <c r="A8" s="165">
        <v>0.28799999999999998</v>
      </c>
      <c r="B8" s="94">
        <v>2.5852795615509367</v>
      </c>
      <c r="C8" s="94"/>
      <c r="D8" s="94"/>
    </row>
    <row r="9" spans="1:5" x14ac:dyDescent="0.35">
      <c r="A9" s="165">
        <v>0.3</v>
      </c>
      <c r="B9" s="94">
        <v>2.8672823240845973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35</v>
      </c>
      <c r="C2" s="105">
        <v>50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35</v>
      </c>
      <c r="B4" s="94">
        <v>3.548853161285471</v>
      </c>
      <c r="C4" s="106">
        <v>42.857254117462226</v>
      </c>
      <c r="D4" s="106">
        <v>7.2967118526492678</v>
      </c>
    </row>
    <row r="5" spans="1:5" x14ac:dyDescent="0.35">
      <c r="A5" s="106">
        <v>38</v>
      </c>
      <c r="B5" s="94">
        <v>2.7894491442070359</v>
      </c>
      <c r="C5" s="94"/>
      <c r="D5" s="94"/>
    </row>
    <row r="6" spans="1:5" x14ac:dyDescent="0.35">
      <c r="A6" s="106">
        <v>41</v>
      </c>
      <c r="B6" s="94">
        <v>2.4200459073850564</v>
      </c>
      <c r="C6" s="94"/>
      <c r="D6" s="94"/>
    </row>
    <row r="7" spans="1:5" x14ac:dyDescent="0.35">
      <c r="A7" s="106">
        <v>44</v>
      </c>
      <c r="B7" s="94">
        <v>2.4099078250153245</v>
      </c>
      <c r="C7" s="94"/>
      <c r="D7" s="94"/>
    </row>
    <row r="8" spans="1:5" x14ac:dyDescent="0.35">
      <c r="A8" s="106">
        <v>47</v>
      </c>
      <c r="B8" s="94">
        <v>2.7206104457999079</v>
      </c>
      <c r="C8" s="94"/>
      <c r="D8" s="94"/>
    </row>
    <row r="9" spans="1:5" x14ac:dyDescent="0.35">
      <c r="A9" s="106">
        <v>50</v>
      </c>
      <c r="B9" s="94">
        <v>3.3103637825852039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EB19A-E75C-4C2A-91AC-1273F17B00C3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05">
        <v>7</v>
      </c>
      <c r="C2" s="105">
        <v>13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7</v>
      </c>
      <c r="B4" s="94">
        <v>2.576923912982743</v>
      </c>
      <c r="C4" s="106">
        <v>9.0435306927564199</v>
      </c>
      <c r="D4" s="106">
        <v>4.1082322181587232</v>
      </c>
    </row>
    <row r="5" spans="1:5" x14ac:dyDescent="0.35">
      <c r="A5" s="106">
        <v>8.1999999999999993</v>
      </c>
      <c r="B5" s="94">
        <v>2.4141118688907377</v>
      </c>
      <c r="C5" s="94"/>
      <c r="D5" s="94"/>
    </row>
    <row r="6" spans="1:5" x14ac:dyDescent="0.35">
      <c r="A6" s="106">
        <v>9.4</v>
      </c>
      <c r="B6" s="94">
        <v>2.3710315948653671</v>
      </c>
      <c r="C6" s="94"/>
      <c r="D6" s="94"/>
    </row>
    <row r="7" spans="1:5" x14ac:dyDescent="0.35">
      <c r="A7" s="106">
        <v>10.6</v>
      </c>
      <c r="B7" s="94">
        <v>2.4772321147662408</v>
      </c>
      <c r="C7" s="94"/>
      <c r="D7" s="94"/>
    </row>
    <row r="8" spans="1:5" x14ac:dyDescent="0.35">
      <c r="A8" s="106">
        <v>11.8</v>
      </c>
      <c r="B8" s="94">
        <v>2.7701587958688383</v>
      </c>
      <c r="C8" s="94"/>
      <c r="D8" s="94"/>
    </row>
    <row r="9" spans="1:5" x14ac:dyDescent="0.35">
      <c r="A9" s="106">
        <v>13</v>
      </c>
      <c r="B9" s="94">
        <v>3.2941288776478443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F466F-D7FA-4609-80E8-F184FBED30D1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620</v>
      </c>
      <c r="B2" s="119">
        <v>4.9999999999999998E-7</v>
      </c>
      <c r="C2" s="119">
        <v>9.9999999999999995E-7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4.9999999999999998E-7</v>
      </c>
      <c r="B4" s="94">
        <v>2.6771165046076133</v>
      </c>
      <c r="C4" s="99">
        <v>7.7690809690198375E-7</v>
      </c>
      <c r="D4" s="99">
        <v>5.7072626501344292E-7</v>
      </c>
    </row>
    <row r="5" spans="1:5" x14ac:dyDescent="0.35">
      <c r="A5" s="99">
        <v>5.9999999999999997E-7</v>
      </c>
      <c r="B5" s="94">
        <v>2.5334309273574727</v>
      </c>
      <c r="C5" s="94"/>
      <c r="D5" s="94"/>
    </row>
    <row r="6" spans="1:5" x14ac:dyDescent="0.35">
      <c r="A6" s="99">
        <v>6.9999999999999997E-7</v>
      </c>
      <c r="B6" s="94">
        <v>2.4569621134092543</v>
      </c>
      <c r="C6" s="94"/>
      <c r="D6" s="94"/>
    </row>
    <row r="7" spans="1:5" x14ac:dyDescent="0.35">
      <c r="A7" s="99">
        <v>7.9999999999999996E-7</v>
      </c>
      <c r="B7" s="94">
        <v>2.4431062464326199</v>
      </c>
      <c r="C7" s="94"/>
      <c r="D7" s="94"/>
    </row>
    <row r="8" spans="1:5" x14ac:dyDescent="0.35">
      <c r="A8" s="99">
        <v>8.9999999999999996E-7</v>
      </c>
      <c r="B8" s="94">
        <v>2.4885307709594779</v>
      </c>
      <c r="C8" s="94"/>
      <c r="D8" s="94"/>
    </row>
    <row r="9" spans="1:5" x14ac:dyDescent="0.35">
      <c r="A9" s="99">
        <v>9.9999999999999995E-7</v>
      </c>
      <c r="B9" s="94">
        <v>2.5911751986669498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4844F-553C-4A12-A659-B4DC180CD38E}">
  <sheetPr codeName="Sheet3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637</v>
      </c>
      <c r="B2" s="119">
        <v>1.9999999999999999E-6</v>
      </c>
      <c r="C2" s="119">
        <v>2.1500000000000002E-6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5.068628200683829</v>
      </c>
      <c r="C4" s="99">
        <v>2.0761549145842717E-6</v>
      </c>
      <c r="D4" s="99">
        <v>4.5260377144358708E-8</v>
      </c>
    </row>
    <row r="5" spans="1:5" x14ac:dyDescent="0.35">
      <c r="A5" s="99">
        <v>2.03E-6</v>
      </c>
      <c r="B5" s="94">
        <v>3.3993415831575886</v>
      </c>
      <c r="C5" s="94"/>
      <c r="D5" s="94"/>
    </row>
    <row r="6" spans="1:5" x14ac:dyDescent="0.35">
      <c r="A6" s="99">
        <v>2.0600000000000002E-6</v>
      </c>
      <c r="B6" s="94">
        <v>2.5977637167554284</v>
      </c>
      <c r="C6" s="94"/>
      <c r="D6" s="94"/>
    </row>
    <row r="7" spans="1:5" x14ac:dyDescent="0.35">
      <c r="A7" s="99">
        <v>2.0899999999999999E-6</v>
      </c>
      <c r="B7" s="94">
        <v>2.3264986744787186</v>
      </c>
      <c r="C7" s="94"/>
      <c r="D7" s="94"/>
    </row>
    <row r="8" spans="1:5" x14ac:dyDescent="0.35">
      <c r="A8" s="99">
        <v>2.12E-6</v>
      </c>
      <c r="B8" s="94">
        <v>3.0679711870838964</v>
      </c>
      <c r="C8" s="94"/>
      <c r="D8" s="94"/>
    </row>
    <row r="9" spans="1:5" x14ac:dyDescent="0.35">
      <c r="A9" s="99">
        <v>2.1500000000000002E-6</v>
      </c>
      <c r="B9" s="94">
        <v>5.0849137405439482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C2D4D-1549-4384-A209-F14534436686}">
  <sheetPr codeName="Sheet32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638</v>
      </c>
      <c r="B2" s="119">
        <v>1.64E-6</v>
      </c>
      <c r="C2" s="119">
        <v>1.84E-6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1.64E-6</v>
      </c>
      <c r="B4" s="94">
        <v>4.7968472978136703</v>
      </c>
      <c r="C4" s="99">
        <v>1.7436573855561328E-6</v>
      </c>
      <c r="D4" s="99">
        <v>6.5733199975900518E-8</v>
      </c>
    </row>
    <row r="5" spans="1:5" x14ac:dyDescent="0.35">
      <c r="A5" s="99">
        <v>1.68E-6</v>
      </c>
      <c r="B5" s="94">
        <v>3.4091215859764663</v>
      </c>
      <c r="C5" s="94"/>
      <c r="D5" s="94"/>
    </row>
    <row r="6" spans="1:5" x14ac:dyDescent="0.35">
      <c r="A6" s="99">
        <v>1.72E-6</v>
      </c>
      <c r="B6" s="94">
        <v>2.5639315908002414</v>
      </c>
      <c r="C6" s="94"/>
      <c r="D6" s="94"/>
    </row>
    <row r="7" spans="1:5" x14ac:dyDescent="0.35">
      <c r="A7" s="99">
        <v>1.7599999999999999E-6</v>
      </c>
      <c r="B7" s="94">
        <v>2.3865164133809968</v>
      </c>
      <c r="C7" s="94"/>
      <c r="D7" s="94"/>
    </row>
    <row r="8" spans="1:5" x14ac:dyDescent="0.35">
      <c r="A8" s="99">
        <v>1.7999999999999999E-6</v>
      </c>
      <c r="B8" s="94">
        <v>3.0139091229564943</v>
      </c>
      <c r="C8" s="94"/>
      <c r="D8" s="94"/>
    </row>
    <row r="9" spans="1:5" x14ac:dyDescent="0.35">
      <c r="A9" s="99">
        <v>1.84E-6</v>
      </c>
      <c r="B9" s="94">
        <v>4.5954459349770698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34.082031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618</v>
      </c>
      <c r="D1" s="86" t="s">
        <v>547</v>
      </c>
      <c r="E1" s="86">
        <v>174473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630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631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632</v>
      </c>
      <c r="E4" s="1" t="s">
        <v>633</v>
      </c>
      <c r="F4" s="1">
        <v>17</v>
      </c>
      <c r="G4" s="117">
        <v>0.62503472222222223</v>
      </c>
      <c r="H4" s="1">
        <v>2019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619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174473</v>
      </c>
      <c r="C8" s="1">
        <v>174452</v>
      </c>
      <c r="D8" s="1">
        <v>1.20278</v>
      </c>
      <c r="E8" s="1">
        <v>13.2996</v>
      </c>
      <c r="F8" s="1">
        <v>16.700600000000001</v>
      </c>
      <c r="G8" s="1">
        <v>7.7999999999999996E-3</v>
      </c>
      <c r="H8" s="1">
        <v>9.9000000000000008E-3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174474</v>
      </c>
      <c r="C9" s="1">
        <v>174453</v>
      </c>
      <c r="D9" s="1">
        <v>1.2017199999999999</v>
      </c>
      <c r="E9" s="1">
        <v>10.685600000000001</v>
      </c>
      <c r="F9" s="1">
        <v>14.086499999999999</v>
      </c>
      <c r="G9" s="1">
        <v>9.2999999999999992E-3</v>
      </c>
      <c r="H9" s="1">
        <v>1.23E-2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174475</v>
      </c>
      <c r="C10" s="1">
        <v>174454</v>
      </c>
      <c r="D10" s="1">
        <v>1.2016500000000001</v>
      </c>
      <c r="E10" s="1">
        <v>8.0395699999999994</v>
      </c>
      <c r="F10" s="1">
        <v>11.4405</v>
      </c>
      <c r="G10" s="1">
        <v>1.15E-2</v>
      </c>
      <c r="H10" s="1">
        <v>1.6299999999999999E-2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174476</v>
      </c>
      <c r="C11" s="1">
        <v>174455</v>
      </c>
      <c r="D11" s="1">
        <v>1.2016500000000001</v>
      </c>
      <c r="E11" s="1">
        <v>5.3425500000000001</v>
      </c>
      <c r="F11" s="1">
        <v>8.7435200000000002</v>
      </c>
      <c r="G11" s="1">
        <v>1.4999999999999999E-2</v>
      </c>
      <c r="H11" s="1">
        <v>2.46E-2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174477</v>
      </c>
      <c r="C12" s="1">
        <v>174456</v>
      </c>
      <c r="D12" s="1">
        <v>1.2017199999999999</v>
      </c>
      <c r="E12" s="1">
        <v>2.5495399999999999</v>
      </c>
      <c r="F12" s="1">
        <v>5.9504999999999999</v>
      </c>
      <c r="G12" s="1">
        <v>2.2100000000000002E-2</v>
      </c>
      <c r="H12" s="1">
        <v>5.16E-2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174478</v>
      </c>
      <c r="C13" s="1">
        <v>174456</v>
      </c>
      <c r="D13" s="1">
        <v>2.3691200000000001</v>
      </c>
      <c r="E13" s="1">
        <v>2.5495399999999999</v>
      </c>
      <c r="F13" s="1">
        <v>5.9504999999999999</v>
      </c>
      <c r="G13" s="1">
        <v>4.36E-2</v>
      </c>
      <c r="H13" s="1">
        <v>0.1018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B15" s="1" t="s">
        <v>545</v>
      </c>
      <c r="C15" s="1" t="s">
        <v>566</v>
      </c>
      <c r="D15" s="1" t="s">
        <v>634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551</v>
      </c>
      <c r="D16" s="1" t="s">
        <v>567</v>
      </c>
      <c r="E16" s="1" t="s">
        <v>568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569</v>
      </c>
      <c r="E17" s="1" t="s">
        <v>570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545</v>
      </c>
      <c r="D18" s="1" t="s">
        <v>566</v>
      </c>
      <c r="E18" s="1" t="s">
        <v>634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C20" s="1" t="s">
        <v>556</v>
      </c>
      <c r="D20" s="1" t="s">
        <v>557</v>
      </c>
      <c r="E20" s="1" t="s">
        <v>571</v>
      </c>
      <c r="F20" s="1" t="s">
        <v>559</v>
      </c>
      <c r="G20" s="1" t="s">
        <v>560</v>
      </c>
      <c r="H20" s="1" t="s">
        <v>561</v>
      </c>
      <c r="I20" s="1" t="s">
        <v>562</v>
      </c>
      <c r="J20" s="1" t="s">
        <v>572</v>
      </c>
      <c r="K20" s="1" t="s">
        <v>573</v>
      </c>
      <c r="L20" s="1" t="s">
        <v>574</v>
      </c>
      <c r="M20" s="1" t="s">
        <v>575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>
        <v>174473</v>
      </c>
      <c r="D21" s="1">
        <v>174452</v>
      </c>
      <c r="E21" s="1">
        <v>1.2</v>
      </c>
      <c r="F21" s="1">
        <v>13.3</v>
      </c>
      <c r="G21" s="1">
        <v>16.7</v>
      </c>
      <c r="H21" s="1">
        <v>7.9000000000000008E-3</v>
      </c>
      <c r="I21" s="1">
        <v>9.9000000000000008E-3</v>
      </c>
      <c r="J21" s="1">
        <v>1.0485024650300001</v>
      </c>
      <c r="K21" s="1">
        <v>6078</v>
      </c>
      <c r="L21" s="1">
        <v>43.784007000000003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174474</v>
      </c>
      <c r="D22" s="1">
        <v>174453</v>
      </c>
      <c r="E22" s="1">
        <v>1.2</v>
      </c>
      <c r="F22" s="1">
        <v>10.69</v>
      </c>
      <c r="G22" s="1">
        <v>14.09</v>
      </c>
      <c r="H22" s="1">
        <v>9.4000000000000004E-3</v>
      </c>
      <c r="I22" s="1">
        <v>1.23E-2</v>
      </c>
      <c r="J22" s="1">
        <v>1.0485024650300001</v>
      </c>
      <c r="K22" s="1">
        <v>6021</v>
      </c>
      <c r="L22" s="1">
        <v>37.779448000000002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174475</v>
      </c>
      <c r="D23" s="1">
        <v>174454</v>
      </c>
      <c r="E23" s="1">
        <v>1.2</v>
      </c>
      <c r="F23" s="1">
        <v>8.0399999999999991</v>
      </c>
      <c r="G23" s="1">
        <v>11.44</v>
      </c>
      <c r="H23" s="1">
        <v>1.15E-2</v>
      </c>
      <c r="I23" s="1">
        <v>1.6400000000000001E-2</v>
      </c>
      <c r="J23" s="1">
        <v>1.0485024650300001</v>
      </c>
      <c r="K23" s="1">
        <v>6042</v>
      </c>
      <c r="L23" s="1">
        <v>98.831643999999997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174476</v>
      </c>
      <c r="D24" s="1">
        <v>174455</v>
      </c>
      <c r="E24" s="1">
        <v>1.2</v>
      </c>
      <c r="F24" s="1">
        <v>5.34</v>
      </c>
      <c r="G24" s="1">
        <v>8.74</v>
      </c>
      <c r="H24" s="1">
        <v>1.5100000000000001E-2</v>
      </c>
      <c r="I24" s="1">
        <v>2.47E-2</v>
      </c>
      <c r="J24" s="1">
        <v>1.0485024650300001</v>
      </c>
      <c r="K24" s="1">
        <v>6010</v>
      </c>
      <c r="L24" s="1">
        <v>108.379476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174477</v>
      </c>
      <c r="D25" s="1">
        <v>174456</v>
      </c>
      <c r="E25" s="1">
        <v>1.2</v>
      </c>
      <c r="F25" s="1">
        <v>2.5499999999999998</v>
      </c>
      <c r="G25" s="1">
        <v>5.95</v>
      </c>
      <c r="H25" s="1">
        <v>2.2100000000000002E-2</v>
      </c>
      <c r="I25" s="1">
        <v>5.1700000000000003E-2</v>
      </c>
      <c r="J25" s="1">
        <v>1.0485024650300001</v>
      </c>
      <c r="K25" s="1">
        <v>18007</v>
      </c>
      <c r="L25" s="1">
        <v>629.95975099999998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174478</v>
      </c>
      <c r="D26" s="1">
        <v>174456</v>
      </c>
      <c r="E26" s="1">
        <v>2.37</v>
      </c>
      <c r="F26" s="1">
        <v>2.5499999999999998</v>
      </c>
      <c r="G26" s="1">
        <v>5.95</v>
      </c>
      <c r="H26" s="1">
        <v>4.3700000000000003E-2</v>
      </c>
      <c r="I26" s="1">
        <v>0.1019</v>
      </c>
      <c r="J26" s="1">
        <v>1.0485024650300001</v>
      </c>
      <c r="K26" s="1">
        <v>18003</v>
      </c>
      <c r="L26" s="1">
        <v>1462.7882010000001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 t="s">
        <v>576</v>
      </c>
      <c r="D28" s="1" t="s">
        <v>577</v>
      </c>
      <c r="E28" s="1" t="s">
        <v>578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C29" s="1" t="s">
        <v>579</v>
      </c>
      <c r="D29" s="1">
        <v>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580</v>
      </c>
      <c r="D30" s="1">
        <v>295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581</v>
      </c>
      <c r="D31" s="86">
        <v>4.0000000000000002E-4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582</v>
      </c>
      <c r="D32" s="86">
        <v>2.3E-2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583</v>
      </c>
      <c r="D34" s="1" t="s">
        <v>0</v>
      </c>
      <c r="E34" s="1" t="s">
        <v>584</v>
      </c>
      <c r="F34" s="1" t="s">
        <v>585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586</v>
      </c>
      <c r="C36" s="1" t="s">
        <v>587</v>
      </c>
      <c r="D36" s="1">
        <v>4.0000000000000002E-4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B37" s="1" t="s">
        <v>588</v>
      </c>
      <c r="C37" s="1" t="s">
        <v>587</v>
      </c>
      <c r="D37" s="1">
        <v>2.3E-2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589</v>
      </c>
      <c r="C38" s="1" t="s">
        <v>0</v>
      </c>
      <c r="D38" s="1" t="s">
        <v>584</v>
      </c>
      <c r="E38" s="1" t="s">
        <v>585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>
        <v>8.2642749047700005E-3</v>
      </c>
      <c r="B39" s="1">
        <v>0.87737200261199999</v>
      </c>
      <c r="C39" s="1">
        <v>0.26666672177799999</v>
      </c>
      <c r="D39" s="1">
        <v>5.9007832281000004E-4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>
        <v>8.3469176538099998E-3</v>
      </c>
      <c r="B40" s="1">
        <v>0.84177256542800005</v>
      </c>
      <c r="C40" s="1">
        <v>0.13507194069799999</v>
      </c>
      <c r="D40" s="1">
        <v>5.9197910603799996E-4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8.4303868303500003E-3</v>
      </c>
      <c r="B41" s="1">
        <v>0.95588111056400005</v>
      </c>
      <c r="C41" s="1">
        <v>0.104522585709</v>
      </c>
      <c r="D41" s="1">
        <v>5.9389889709799998E-4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8.5146906986500008E-3</v>
      </c>
      <c r="B42" s="1">
        <v>1.07761795251</v>
      </c>
      <c r="C42" s="1">
        <v>9.0931303644700007E-2</v>
      </c>
      <c r="D42" s="1">
        <v>5.9583788606899996E-4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8.5998376056400008E-3</v>
      </c>
      <c r="B43" s="1">
        <v>1.0400155800799999</v>
      </c>
      <c r="C43" s="1">
        <v>7.9223670941499999E-2</v>
      </c>
      <c r="D43" s="1">
        <v>5.9779626492999997E-4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8.6858359817000002E-3</v>
      </c>
      <c r="B44" s="1">
        <v>0.93145249327900004</v>
      </c>
      <c r="C44" s="1">
        <v>7.0366325634299995E-2</v>
      </c>
      <c r="D44" s="1">
        <v>5.9977422757899999E-4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8.7726943415100001E-3</v>
      </c>
      <c r="B45" s="1">
        <v>0.91726304208599996</v>
      </c>
      <c r="C45" s="1">
        <v>6.8353972460399995E-2</v>
      </c>
      <c r="D45" s="1">
        <v>6.0177196985499999E-4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8.86042128493E-3</v>
      </c>
      <c r="B46" s="1">
        <v>0.98527748188999997</v>
      </c>
      <c r="C46" s="1">
        <v>6.7799005021800002E-2</v>
      </c>
      <c r="D46" s="1">
        <v>6.0378968955299996E-4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8.9490254977800006E-3</v>
      </c>
      <c r="B47" s="1">
        <v>0.99946249873500004</v>
      </c>
      <c r="C47" s="1">
        <v>6.5233397709899998E-2</v>
      </c>
      <c r="D47" s="1">
        <v>6.0582758644900001E-4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9.0385157527600006E-3</v>
      </c>
      <c r="B48" s="1">
        <v>0.98823486791100001</v>
      </c>
      <c r="C48" s="1">
        <v>6.1083380383500002E-2</v>
      </c>
      <c r="D48" s="1">
        <v>6.0788586231300004E-4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9.1289009102799995E-3</v>
      </c>
      <c r="B49" s="1">
        <v>1.10035337692</v>
      </c>
      <c r="C49" s="1">
        <v>6.4713634390399996E-2</v>
      </c>
      <c r="D49" s="1">
        <v>6.0996472093700004E-4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9.2201899193900001E-3</v>
      </c>
      <c r="B50" s="1">
        <v>1.0336897798</v>
      </c>
      <c r="C50" s="1">
        <v>6.0843839114000001E-2</v>
      </c>
      <c r="D50" s="1">
        <v>6.1206436814599996E-4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9.3123918185800004E-3</v>
      </c>
      <c r="B51" s="1">
        <v>1.05907891538</v>
      </c>
      <c r="C51" s="1">
        <v>5.9797547672899999E-2</v>
      </c>
      <c r="D51" s="1">
        <v>6.1418501182700005E-4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9.4055157367700006E-3</v>
      </c>
      <c r="B52" s="1">
        <v>1.07762730137</v>
      </c>
      <c r="C52" s="1">
        <v>4.4639715185799997E-2</v>
      </c>
      <c r="D52" s="1">
        <v>6.1632686194599997E-4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9.4995708941299998E-3</v>
      </c>
      <c r="B53" s="1">
        <v>1.04214880993</v>
      </c>
      <c r="C53" s="1">
        <v>4.1296497211200003E-2</v>
      </c>
      <c r="D53" s="1">
        <v>6.1849013056499997E-4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9.5945666030799997E-3</v>
      </c>
      <c r="B54" s="1">
        <v>0.96145325134500004</v>
      </c>
      <c r="C54" s="1">
        <v>3.84256808511E-2</v>
      </c>
      <c r="D54" s="1">
        <v>6.2067503187099998E-4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9.69051226911E-3</v>
      </c>
      <c r="B55" s="1">
        <v>0.986139571549</v>
      </c>
      <c r="C55" s="1">
        <v>3.7973133030899997E-2</v>
      </c>
      <c r="D55" s="1">
        <v>6.2288178218900003E-4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9.7874173918000001E-3</v>
      </c>
      <c r="B56" s="1">
        <v>1.00015009321</v>
      </c>
      <c r="C56" s="1">
        <v>3.77934053715E-2</v>
      </c>
      <c r="D56" s="1">
        <v>6.2511060001099999E-4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9.8852915657199995E-3</v>
      </c>
      <c r="B57" s="1">
        <v>0.952590220318</v>
      </c>
      <c r="C57" s="1">
        <v>5.38081266466E-2</v>
      </c>
      <c r="D57" s="1">
        <v>6.2736170601099999E-4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9.9841444813699998E-3</v>
      </c>
      <c r="B58" s="1">
        <v>0.871117697681</v>
      </c>
      <c r="C58" s="1">
        <v>4.8925388231800003E-2</v>
      </c>
      <c r="D58" s="1">
        <v>6.2963532307199995E-4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1.0083985926200001E-2</v>
      </c>
      <c r="B59" s="1">
        <v>0.83176886566499997</v>
      </c>
      <c r="C59" s="1">
        <v>4.6969897264300002E-2</v>
      </c>
      <c r="D59" s="1">
        <v>6.3193167630200004E-4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1.01848257854E-2</v>
      </c>
      <c r="B60" s="1">
        <v>0.65518369267300003</v>
      </c>
      <c r="C60" s="1">
        <v>4.0792362036999999E-2</v>
      </c>
      <c r="D60" s="1">
        <v>6.3425099306499996E-4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1.02866740433E-2</v>
      </c>
      <c r="B61" s="1">
        <v>0.409071597377</v>
      </c>
      <c r="C61" s="1">
        <v>3.0708427149399999E-2</v>
      </c>
      <c r="D61" s="1">
        <v>6.3659350299599996E-4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1.03895407837E-2</v>
      </c>
      <c r="B62" s="1">
        <v>0.31538355930599998</v>
      </c>
      <c r="C62" s="1">
        <v>2.66042174062E-2</v>
      </c>
      <c r="D62" s="1">
        <v>6.3895943802600005E-4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1.04934361916E-2</v>
      </c>
      <c r="B63" s="1">
        <v>0.25629630295599998</v>
      </c>
      <c r="C63" s="1">
        <v>2.3629745921399999E-2</v>
      </c>
      <c r="D63" s="1">
        <v>6.4134903240600002E-4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1.05983705535E-2</v>
      </c>
      <c r="B64" s="1">
        <v>0.24266119987000001</v>
      </c>
      <c r="C64" s="1">
        <v>2.2215366623800002E-2</v>
      </c>
      <c r="D64" s="1">
        <v>6.4376252273E-4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1.0704354259E-2</v>
      </c>
      <c r="B65" s="1">
        <v>0.23447285768500001</v>
      </c>
      <c r="C65" s="1">
        <v>2.1600961807899999E-2</v>
      </c>
      <c r="D65" s="1">
        <v>6.46200147958E-4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1.08113978016E-2</v>
      </c>
      <c r="B66" s="1">
        <v>0.21221900578299999</v>
      </c>
      <c r="C66" s="1">
        <v>1.9551802480000002E-2</v>
      </c>
      <c r="D66" s="1">
        <v>6.4866214943700004E-4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1.0919511779600001E-2</v>
      </c>
      <c r="B67" s="1">
        <v>0.22547171322000001</v>
      </c>
      <c r="C67" s="1">
        <v>2.00129951688E-2</v>
      </c>
      <c r="D67" s="1">
        <v>6.5114877093200004E-4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1.1028706897400001E-2</v>
      </c>
      <c r="B68" s="1">
        <v>0.187317221497</v>
      </c>
      <c r="C68" s="1">
        <v>1.7582631085200001E-2</v>
      </c>
      <c r="D68" s="1">
        <v>6.5366025864100003E-4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1.11389939664E-2</v>
      </c>
      <c r="B69" s="1">
        <v>0.17551865799800001</v>
      </c>
      <c r="C69" s="1">
        <v>1.6400988262499999E-2</v>
      </c>
      <c r="D69" s="1">
        <v>6.5619686122700004E-4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1.12503839061E-2</v>
      </c>
      <c r="B70" s="1">
        <v>0.17532165081199999</v>
      </c>
      <c r="C70" s="1">
        <v>1.6663332846700001E-2</v>
      </c>
      <c r="D70" s="1">
        <v>6.5875882983899999E-4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1.1362887745099999E-2</v>
      </c>
      <c r="B71" s="1">
        <v>0.133717867036</v>
      </c>
      <c r="C71" s="1">
        <v>1.40090576065E-2</v>
      </c>
      <c r="D71" s="1">
        <v>6.6134641813799997E-4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1.14765166226E-2</v>
      </c>
      <c r="B72" s="1">
        <v>0.12682488092800001</v>
      </c>
      <c r="C72" s="1">
        <v>1.3487490085500001E-2</v>
      </c>
      <c r="D72" s="1">
        <v>6.6395988231899997E-4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1.1591281788799999E-2</v>
      </c>
      <c r="B73" s="1">
        <v>0.12311297601600001</v>
      </c>
      <c r="C73" s="1">
        <v>7.2901859395899998E-3</v>
      </c>
      <c r="D73" s="1">
        <v>6.6659948114199997E-4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1.17071946067E-2</v>
      </c>
      <c r="B74" s="1">
        <v>0.10622581998400001</v>
      </c>
      <c r="C74" s="1">
        <v>6.2622461074699999E-3</v>
      </c>
      <c r="D74" s="1">
        <v>6.69265475954E-4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1.18242665528E-2</v>
      </c>
      <c r="B75" s="1">
        <v>9.3124506547300007E-2</v>
      </c>
      <c r="C75" s="1">
        <v>5.8336923851900003E-3</v>
      </c>
      <c r="D75" s="1">
        <v>6.7195813071299995E-4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1.19425092183E-2</v>
      </c>
      <c r="B76" s="1">
        <v>7.7916852437500003E-2</v>
      </c>
      <c r="C76" s="1">
        <v>5.2335336987300004E-3</v>
      </c>
      <c r="D76" s="1">
        <v>6.7467771202100004E-4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1.2061934310500001E-2</v>
      </c>
      <c r="B77" s="1">
        <v>6.4007058190099997E-2</v>
      </c>
      <c r="C77" s="1">
        <v>4.5071191646800001E-3</v>
      </c>
      <c r="D77" s="1">
        <v>6.7742448914099999E-4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1.2182553653599999E-2</v>
      </c>
      <c r="B78" s="1">
        <v>5.8824226738600001E-2</v>
      </c>
      <c r="C78" s="1">
        <v>5.0270775480900001E-3</v>
      </c>
      <c r="D78" s="1">
        <v>6.8019873403200003E-4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1.2304379190100001E-2</v>
      </c>
      <c r="B79" s="1">
        <v>4.8266990141900001E-2</v>
      </c>
      <c r="C79" s="1">
        <v>4.3312558078600003E-3</v>
      </c>
      <c r="D79" s="1">
        <v>6.8300072137200002E-4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1.2427422981999999E-2</v>
      </c>
      <c r="B80" s="1">
        <v>3.3594059873400001E-2</v>
      </c>
      <c r="C80" s="1">
        <v>3.67403951131E-3</v>
      </c>
      <c r="D80" s="1">
        <v>6.8583072858600003E-4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1.25516972118E-2</v>
      </c>
      <c r="B81" s="1">
        <v>2.9569267958300002E-2</v>
      </c>
      <c r="C81" s="1">
        <v>3.3313843040500002E-3</v>
      </c>
      <c r="D81" s="1">
        <v>6.8868903587199996E-4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1.26772141839E-2</v>
      </c>
      <c r="B82" s="1">
        <v>2.35864546407E-2</v>
      </c>
      <c r="C82" s="1">
        <v>2.9447287139200001E-3</v>
      </c>
      <c r="D82" s="1">
        <v>6.9157592623100004E-4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1.28039863258E-2</v>
      </c>
      <c r="B83" s="1">
        <v>1.9951564497000002E-2</v>
      </c>
      <c r="C83" s="1">
        <v>2.74024149908E-3</v>
      </c>
      <c r="D83" s="1">
        <v>6.9449168549300003E-4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1.2932026189000001E-2</v>
      </c>
      <c r="B84" s="1">
        <v>1.5058211437899999E-2</v>
      </c>
      <c r="C84" s="1">
        <v>2.2678772961899998E-3</v>
      </c>
      <c r="D84" s="1">
        <v>6.9743660234799999E-4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1.3061346450899999E-2</v>
      </c>
      <c r="B85" s="1">
        <v>1.0882693175500001E-2</v>
      </c>
      <c r="C85" s="1">
        <v>1.9894782071599999E-3</v>
      </c>
      <c r="D85" s="1">
        <v>7.0041096837200004E-4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1.31919599154E-2</v>
      </c>
      <c r="B86" s="1">
        <v>1.24743283615E-2</v>
      </c>
      <c r="C86" s="1">
        <v>1.95414959453E-3</v>
      </c>
      <c r="D86" s="1">
        <v>7.0341507805499995E-4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1.33238795146E-2</v>
      </c>
      <c r="B87" s="1">
        <v>1.0721240481799999E-2</v>
      </c>
      <c r="C87" s="1">
        <v>1.83942731854E-3</v>
      </c>
      <c r="D87" s="1">
        <v>7.0644922883600001E-4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1.3457118309700001E-2</v>
      </c>
      <c r="B88" s="1">
        <v>1.29121433065E-2</v>
      </c>
      <c r="C88" s="1">
        <v>1.86717072136E-3</v>
      </c>
      <c r="D88" s="1">
        <v>7.0951372112399997E-4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1.3591689492799999E-2</v>
      </c>
      <c r="B89" s="1">
        <v>1.2361992225900001E-2</v>
      </c>
      <c r="C89" s="1">
        <v>1.7778076084299999E-3</v>
      </c>
      <c r="D89" s="1">
        <v>7.1260885833499996E-4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1.37276063878E-2</v>
      </c>
      <c r="B90" s="1">
        <v>1.36305906061E-2</v>
      </c>
      <c r="C90" s="1">
        <v>1.82514344052E-3</v>
      </c>
      <c r="D90" s="1">
        <v>7.1573494691900001E-4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1.3864882451600001E-2</v>
      </c>
      <c r="B91" s="1">
        <v>1.3342062017699999E-2</v>
      </c>
      <c r="C91" s="1">
        <v>1.7985692664499999E-3</v>
      </c>
      <c r="D91" s="1">
        <v>7.1889229638800003E-4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1.40035312762E-2</v>
      </c>
      <c r="B92" s="1">
        <v>1.8472252461899999E-2</v>
      </c>
      <c r="C92" s="1">
        <v>1.9625259329E-3</v>
      </c>
      <c r="D92" s="86">
        <v>7.2208121935199996E-4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1.41435665889E-2</v>
      </c>
      <c r="B93" s="1">
        <v>1.9839368105400001E-2</v>
      </c>
      <c r="C93" s="1">
        <v>2.0152343630200002E-3</v>
      </c>
      <c r="D93" s="1">
        <v>7.2530203154500005E-4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1.42850022548E-2</v>
      </c>
      <c r="B94" s="1">
        <v>1.8773990675500001E-2</v>
      </c>
      <c r="C94" s="1">
        <v>1.90971273909E-3</v>
      </c>
      <c r="D94" s="1">
        <v>7.2855505186099996E-4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1.44278522774E-2</v>
      </c>
      <c r="B95" s="1">
        <v>1.8628819332000002E-2</v>
      </c>
      <c r="C95" s="1">
        <v>1.8405889648000001E-3</v>
      </c>
      <c r="D95" s="1">
        <v>7.3184060237899997E-4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1.4572130800099999E-2</v>
      </c>
      <c r="B96" s="1">
        <v>2.0541062689900001E-2</v>
      </c>
      <c r="C96" s="1">
        <v>1.8939606791000001E-3</v>
      </c>
      <c r="D96" s="1">
        <v>7.3515900840299996E-4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1.4717852108099999E-2</v>
      </c>
      <c r="B97" s="1">
        <v>2.39661872445E-2</v>
      </c>
      <c r="C97" s="1">
        <v>2.01971352334E-3</v>
      </c>
      <c r="D97" s="1">
        <v>7.3851059848700003E-4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1.4865030629200001E-2</v>
      </c>
      <c r="B98" s="1">
        <v>2.3063659700499999E-2</v>
      </c>
      <c r="C98" s="1">
        <v>1.9391629605300001E-3</v>
      </c>
      <c r="D98" s="1">
        <v>7.4189570447199995E-4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1.50136809355E-2</v>
      </c>
      <c r="B99" s="1">
        <v>2.5283058400199999E-2</v>
      </c>
      <c r="C99" s="1">
        <v>1.94504390219E-3</v>
      </c>
      <c r="D99" s="1">
        <v>7.4531466151699999E-4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1.5163817744900001E-2</v>
      </c>
      <c r="B100" s="1">
        <v>2.2313304981499998E-2</v>
      </c>
      <c r="C100" s="1">
        <v>1.3025069491799999E-3</v>
      </c>
      <c r="D100" s="1">
        <v>7.4876780813200002E-4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1.5315455922300001E-2</v>
      </c>
      <c r="B101" s="1">
        <v>2.2806714405100001E-2</v>
      </c>
      <c r="C101" s="1">
        <v>1.26799058739E-3</v>
      </c>
      <c r="D101" s="1">
        <v>7.5225548621300005E-4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1.54686104815E-2</v>
      </c>
      <c r="B102" s="1">
        <v>2.1504452976999999E-2</v>
      </c>
      <c r="C102" s="1">
        <v>1.21166141192E-3</v>
      </c>
      <c r="D102" s="1">
        <v>7.5577804107499998E-4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1.56232965864E-2</v>
      </c>
      <c r="B103" s="1">
        <v>2.0110551284400001E-2</v>
      </c>
      <c r="C103" s="1">
        <v>1.12501765133E-3</v>
      </c>
      <c r="D103" s="1">
        <v>7.5933582148599997E-4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1.5779529552200001E-2</v>
      </c>
      <c r="B104" s="1">
        <v>1.8954734447799999E-2</v>
      </c>
      <c r="C104" s="1">
        <v>1.0500872618E-3</v>
      </c>
      <c r="D104" s="1">
        <v>7.6292917970100004E-4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1.59373248477E-2</v>
      </c>
      <c r="B105" s="1">
        <v>1.7681908119999999E-2</v>
      </c>
      <c r="C105" s="1">
        <v>1.0026234709499999E-3</v>
      </c>
      <c r="D105" s="1">
        <v>7.6655847149800001E-4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1.6096698096199999E-2</v>
      </c>
      <c r="B106" s="1">
        <v>1.9297341930599999E-2</v>
      </c>
      <c r="C106" s="1">
        <v>1.05606693156E-3</v>
      </c>
      <c r="D106" s="1">
        <v>7.7022405621299998E-4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1.6257665077200001E-2</v>
      </c>
      <c r="B107" s="1">
        <v>1.5540692831700001E-2</v>
      </c>
      <c r="C107" s="1">
        <v>1.2918535330400001E-3</v>
      </c>
      <c r="D107" s="1">
        <v>7.7392629677499995E-4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1.6420241727999999E-2</v>
      </c>
      <c r="B108" s="1">
        <v>1.33689685853E-2</v>
      </c>
      <c r="C108" s="1">
        <v>1.1860037900399999E-3</v>
      </c>
      <c r="D108" s="1">
        <v>7.7766555974299997E-4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1.6584444145200002E-2</v>
      </c>
      <c r="B109" s="1">
        <v>9.9079972547200003E-3</v>
      </c>
      <c r="C109" s="1">
        <v>9.6772169209300004E-4</v>
      </c>
      <c r="D109" s="1">
        <v>7.8144221533999999E-4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1.67502885867E-2</v>
      </c>
      <c r="B110" s="1">
        <v>7.9013457179500004E-3</v>
      </c>
      <c r="C110" s="1">
        <v>8.7289161697800004E-4</v>
      </c>
      <c r="D110" s="1">
        <v>7.8525663749399999E-4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1.6917791472599999E-2</v>
      </c>
      <c r="B111" s="1">
        <v>6.0715940448099999E-3</v>
      </c>
      <c r="C111" s="1">
        <v>7.5623921330499999E-4</v>
      </c>
      <c r="D111" s="1">
        <v>7.8910920386899999E-4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1.7086969387300002E-2</v>
      </c>
      <c r="B112" s="1">
        <v>6.7195034058900004E-3</v>
      </c>
      <c r="C112" s="1">
        <v>7.7987332261400001E-4</v>
      </c>
      <c r="D112" s="1">
        <v>7.9300029590700005E-4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1.7257839081199999E-2</v>
      </c>
      <c r="B113" s="1">
        <v>6.0244846684399996E-3</v>
      </c>
      <c r="C113" s="1">
        <v>7.1532372798400004E-4</v>
      </c>
      <c r="D113" s="1">
        <v>7.9693029886600004E-4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1.7430417472000002E-2</v>
      </c>
      <c r="B114" s="1">
        <v>4.2730396151399999E-3</v>
      </c>
      <c r="C114" s="1">
        <v>5.90978541681E-4</v>
      </c>
      <c r="D114" s="1">
        <v>8.0089960185499996E-4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1.7604721646699999E-2</v>
      </c>
      <c r="B115" s="1">
        <v>4.8850785654600002E-3</v>
      </c>
      <c r="C115" s="1">
        <v>6.40708932688E-4</v>
      </c>
      <c r="D115" s="1">
        <v>8.0490859787399999E-4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1.77807688631E-2</v>
      </c>
      <c r="B116" s="1">
        <v>2.65916172811E-3</v>
      </c>
      <c r="C116" s="1">
        <v>4.48753005726E-4</v>
      </c>
      <c r="D116" s="1">
        <v>8.08957683852E-4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1.7958576551799998E-2</v>
      </c>
      <c r="B117" s="1">
        <v>2.7011066121200001E-3</v>
      </c>
      <c r="C117" s="1">
        <v>4.4736721799700001E-4</v>
      </c>
      <c r="D117" s="1">
        <v>8.1304726069100005E-4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1.8138162317300002E-2</v>
      </c>
      <c r="B118" s="1">
        <v>2.81968300669E-3</v>
      </c>
      <c r="C118" s="1">
        <v>4.5348207240999999E-4</v>
      </c>
      <c r="D118" s="1">
        <v>8.17177733298E-4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1.8319543940500001E-2</v>
      </c>
      <c r="B119" s="1">
        <v>2.7897772177199998E-3</v>
      </c>
      <c r="C119" s="1">
        <v>4.43493003787E-4</v>
      </c>
      <c r="D119" s="1">
        <v>8.2134951063100002E-4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1.8502739379900001E-2</v>
      </c>
      <c r="B120" s="1">
        <v>3.6688448171000002E-3</v>
      </c>
      <c r="C120" s="1">
        <v>4.9233579872299995E-4</v>
      </c>
      <c r="D120" s="1">
        <v>8.2556300573700004E-4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1.8687766773700001E-2</v>
      </c>
      <c r="B121" s="1">
        <v>3.3658646741600001E-3</v>
      </c>
      <c r="C121" s="1">
        <v>4.8898870367400002E-4</v>
      </c>
      <c r="D121" s="1">
        <v>8.2981863579399998E-4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1.8874644441399999E-2</v>
      </c>
      <c r="B122" s="1">
        <v>3.0122906203200002E-3</v>
      </c>
      <c r="C122" s="1">
        <v>4.3485500024199999E-4</v>
      </c>
      <c r="D122" s="1">
        <v>8.34116822152E-4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1.9063390885799999E-2</v>
      </c>
      <c r="B123" s="1">
        <v>3.9939956296599997E-3</v>
      </c>
      <c r="C123" s="1">
        <v>4.9113816478700003E-4</v>
      </c>
      <c r="D123" s="1">
        <v>8.3845799037399996E-4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1.9254024794699998E-2</v>
      </c>
      <c r="B124" s="1">
        <v>3.9645438123999998E-3</v>
      </c>
      <c r="C124" s="1">
        <v>4.7044242177400001E-4</v>
      </c>
      <c r="D124" s="1">
        <v>8.4284257027799996E-4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1.9446565042599999E-2</v>
      </c>
      <c r="B125" s="1">
        <v>5.0571210749899998E-3</v>
      </c>
      <c r="C125" s="1">
        <v>5.14391553429E-4</v>
      </c>
      <c r="D125" s="1">
        <v>8.4727099597999998E-4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1.9641030693100001E-2</v>
      </c>
      <c r="B126" s="1">
        <v>5.6138263783899996E-3</v>
      </c>
      <c r="C126" s="1">
        <v>5.3497160366899996E-4</v>
      </c>
      <c r="D126" s="1">
        <v>8.5174370594E-4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1.9837441000000001E-2</v>
      </c>
      <c r="B127" s="1">
        <v>5.0470915059599997E-3</v>
      </c>
      <c r="C127" s="1">
        <v>5.0348128566400001E-4</v>
      </c>
      <c r="D127" s="1">
        <v>8.5626114299999995E-4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2.0035815410000001E-2</v>
      </c>
      <c r="B128" s="1">
        <v>5.4131190673099997E-3</v>
      </c>
      <c r="C128" s="1">
        <v>5.1724320400199999E-4</v>
      </c>
      <c r="D128" s="1">
        <v>8.6082375442999995E-4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2.0236173564099999E-2</v>
      </c>
      <c r="B129" s="1">
        <v>4.8036140293400004E-3</v>
      </c>
      <c r="C129" s="1">
        <v>4.7701349666199997E-4</v>
      </c>
      <c r="D129" s="1">
        <v>8.6543199197399996E-4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2.0438535299700002E-2</v>
      </c>
      <c r="B130" s="1">
        <v>5.7203330913200004E-3</v>
      </c>
      <c r="C130" s="1">
        <v>5.1441536462499995E-4</v>
      </c>
      <c r="D130" s="1">
        <v>8.7008631189400005E-4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2.06429206527E-2</v>
      </c>
      <c r="B131" s="1">
        <v>4.6974935307099999E-3</v>
      </c>
      <c r="C131" s="1">
        <v>4.51851953847E-4</v>
      </c>
      <c r="D131" s="1">
        <v>8.7478717501299999E-4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2.0849349859299999E-2</v>
      </c>
      <c r="B132" s="1">
        <v>4.3567272054400004E-3</v>
      </c>
      <c r="C132" s="1">
        <v>4.2990230175599998E-4</v>
      </c>
      <c r="D132" s="1">
        <v>8.7953504676300002E-4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2.1057843357800001E-2</v>
      </c>
      <c r="B133" s="1">
        <v>5.2846993772200004E-3</v>
      </c>
      <c r="C133" s="1">
        <v>4.6975150678399999E-4</v>
      </c>
      <c r="D133" s="1">
        <v>8.8433039722999999E-4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2.12684217914E-2</v>
      </c>
      <c r="B134" s="1">
        <v>4.0242148214599998E-3</v>
      </c>
      <c r="C134" s="1">
        <v>4.03398833454E-4</v>
      </c>
      <c r="D134" s="1">
        <v>8.8917370120300001E-4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2.1481106009300002E-2</v>
      </c>
      <c r="B135" s="1">
        <v>3.33941802117E-3</v>
      </c>
      <c r="C135" s="1">
        <v>3.6286263412799998E-4</v>
      </c>
      <c r="D135" s="1">
        <v>8.9406543821499997E-4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2.1695917069400002E-2</v>
      </c>
      <c r="B136" s="1">
        <v>3.1814031785099999E-3</v>
      </c>
      <c r="C136" s="1">
        <v>3.4700023533399999E-4</v>
      </c>
      <c r="D136" s="1">
        <v>8.9900609259699999E-4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2.19128762401E-2</v>
      </c>
      <c r="B137" s="1">
        <v>2.58054564154E-3</v>
      </c>
      <c r="C137" s="1">
        <v>3.0746140653400002E-4</v>
      </c>
      <c r="D137" s="1">
        <v>9.0399615352299999E-4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2.21320050025E-2</v>
      </c>
      <c r="B138" s="1">
        <v>2.0734427566000001E-3</v>
      </c>
      <c r="C138" s="1">
        <v>2.7777784778699999E-4</v>
      </c>
      <c r="D138" s="1">
        <v>9.0903611505800002E-4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2.2353325052600001E-2</v>
      </c>
      <c r="B139" s="1">
        <v>1.9319058144699999E-3</v>
      </c>
      <c r="C139" s="1">
        <v>1.08919660358E-4</v>
      </c>
      <c r="D139" s="1">
        <v>9.1412647620899999E-4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2.2576858303100002E-2</v>
      </c>
      <c r="B140" s="1">
        <v>1.63888076053E-3</v>
      </c>
      <c r="C140" s="1">
        <v>9.8527648793200005E-5</v>
      </c>
      <c r="D140" s="1">
        <v>9.1926774097100003E-4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2.2802626886099998E-2</v>
      </c>
      <c r="B141" s="1">
        <v>1.07835927711E-3</v>
      </c>
      <c r="C141" s="1">
        <v>7.4916036862100001E-5</v>
      </c>
      <c r="D141" s="1">
        <v>9.2446041838000002E-4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2.3030653155000001E-2</v>
      </c>
      <c r="B142" s="1">
        <v>8.6179326330400004E-4</v>
      </c>
      <c r="C142" s="1">
        <v>6.3581408377299994E-5</v>
      </c>
      <c r="D142" s="1">
        <v>9.29705022564E-4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2.32609596865E-2</v>
      </c>
      <c r="B143" s="1">
        <v>8.0990619052000005E-4</v>
      </c>
      <c r="C143" s="1">
        <v>6.2669082668199996E-5</v>
      </c>
      <c r="D143" s="1">
        <v>9.3500207279000004E-4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2.34935692834E-2</v>
      </c>
      <c r="B144" s="1">
        <v>7.6074275162200001E-4</v>
      </c>
      <c r="C144" s="1">
        <v>6.0289636985899999E-5</v>
      </c>
      <c r="D144" s="1">
        <v>9.4035209351799997E-4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2.37285049762E-2</v>
      </c>
      <c r="B145" s="1">
        <v>8.2658460432199999E-4</v>
      </c>
      <c r="C145" s="1">
        <v>6.2318729381500003E-5</v>
      </c>
      <c r="D145" s="1">
        <v>9.4575561445300004E-4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2.3965790026000001E-2</v>
      </c>
      <c r="B146" s="1">
        <v>9.7860173765300005E-4</v>
      </c>
      <c r="C146" s="1">
        <v>6.7371615699099996E-5</v>
      </c>
      <c r="D146" s="1">
        <v>9.5121317059800004E-4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2.42054479262E-2</v>
      </c>
      <c r="B147" s="1">
        <v>1.05639037145E-3</v>
      </c>
      <c r="C147" s="1">
        <v>6.9191866120899999E-5</v>
      </c>
      <c r="D147" s="1">
        <v>9.5672530230299997E-4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2.4447502405500001E-2</v>
      </c>
      <c r="B148" s="1">
        <v>1.22966509296E-3</v>
      </c>
      <c r="C148" s="1">
        <v>7.7877968525299999E-5</v>
      </c>
      <c r="D148" s="1">
        <v>9.62292555327E-4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2.4691977429599998E-2</v>
      </c>
      <c r="B149" s="1">
        <v>1.31696813876E-3</v>
      </c>
      <c r="C149" s="1">
        <v>8.1366752212999998E-5</v>
      </c>
      <c r="D149" s="1">
        <v>9.6791548087999996E-4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2.4938897203899999E-2</v>
      </c>
      <c r="B150" s="1">
        <v>1.5984079760999999E-3</v>
      </c>
      <c r="C150" s="1">
        <v>9.0275735010499999E-5</v>
      </c>
      <c r="D150" s="1">
        <v>9.7359463568899996E-4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2.51882861759E-2</v>
      </c>
      <c r="B151" s="1">
        <v>1.5981012409900001E-3</v>
      </c>
      <c r="C151" s="1">
        <v>8.6489737143399995E-5</v>
      </c>
      <c r="D151" s="1">
        <v>9.7933058204499992E-4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2.5440169037600002E-2</v>
      </c>
      <c r="B152" s="1">
        <v>1.6686197778700001E-3</v>
      </c>
      <c r="C152" s="1">
        <v>8.7907064532099998E-5</v>
      </c>
      <c r="D152" s="1">
        <v>9.8512388786599998E-4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2.5694570728E-2</v>
      </c>
      <c r="B153" s="1">
        <v>1.6835747224100001E-3</v>
      </c>
      <c r="C153" s="1">
        <v>8.63767409211E-5</v>
      </c>
      <c r="D153" s="86">
        <v>9.9097512674499997E-4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2.5951516435299998E-2</v>
      </c>
      <c r="B154" s="1">
        <v>1.7493156119100001E-3</v>
      </c>
      <c r="C154" s="1">
        <v>8.7253477829199994E-5</v>
      </c>
      <c r="D154" s="1">
        <v>9.9688487801200009E-4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2.6211031599700001E-2</v>
      </c>
      <c r="B155" s="1">
        <v>1.7388191609000001E-3</v>
      </c>
      <c r="C155" s="1">
        <v>8.8183686776300007E-5</v>
      </c>
      <c r="D155" s="1">
        <v>1.0028537267900001E-3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2.6473141915700001E-2</v>
      </c>
      <c r="B156" s="1">
        <v>1.4226297594E-3</v>
      </c>
      <c r="C156" s="1">
        <v>7.6009040950099997E-5</v>
      </c>
      <c r="D156" s="1">
        <v>1.00888226406E-3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2.6737873334799999E-2</v>
      </c>
      <c r="B157" s="1">
        <v>1.26723841626E-3</v>
      </c>
      <c r="C157" s="1">
        <v>7.1228648066599994E-5</v>
      </c>
      <c r="D157" s="1">
        <v>1.0149710867E-3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2.7005252068200002E-2</v>
      </c>
      <c r="B158" s="1">
        <v>1.26787349612E-3</v>
      </c>
      <c r="C158" s="1">
        <v>7.3324364559700005E-5</v>
      </c>
      <c r="D158" s="1">
        <v>1.02112079757E-3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2.7275304588799999E-2</v>
      </c>
      <c r="B159" s="1">
        <v>1.2409157984499999E-3</v>
      </c>
      <c r="C159" s="1">
        <v>7.2512309047400003E-5</v>
      </c>
      <c r="D159" s="1">
        <v>1.02733200554E-3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2.7548057634700002E-2</v>
      </c>
      <c r="B160" s="1">
        <v>8.4191489256299999E-4</v>
      </c>
      <c r="C160" s="1">
        <v>5.6115127010100002E-5</v>
      </c>
      <c r="D160" s="1">
        <v>1.0336053256E-3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2.78235382111E-2</v>
      </c>
      <c r="B161" s="1">
        <v>6.9693543004399996E-4</v>
      </c>
      <c r="C161" s="1">
        <v>5.3711281861300001E-5</v>
      </c>
      <c r="D161" s="1">
        <v>1.0399413788499999E-3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2.81017735932E-2</v>
      </c>
      <c r="B162" s="1">
        <v>5.7508689232600003E-4</v>
      </c>
      <c r="C162" s="1">
        <v>4.6776236049500002E-5</v>
      </c>
      <c r="D162" s="1">
        <v>1.0463407926400001E-3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2.8382791329100002E-2</v>
      </c>
      <c r="B163" s="1">
        <v>4.2646410953400002E-4</v>
      </c>
      <c r="C163" s="1">
        <v>4.1851052316100002E-5</v>
      </c>
      <c r="D163" s="1">
        <v>1.0528042005699999E-3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2.86666192424E-2</v>
      </c>
      <c r="B164" s="1">
        <v>3.44851569346E-4</v>
      </c>
      <c r="C164" s="1">
        <v>3.5870417857100003E-5</v>
      </c>
      <c r="D164" s="1">
        <v>1.05933224258E-3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2.89532854348E-2</v>
      </c>
      <c r="B165" s="1">
        <v>3.6366586236899999E-4</v>
      </c>
      <c r="C165" s="1">
        <v>3.7697439973999997E-5</v>
      </c>
      <c r="D165" s="1">
        <v>1.065925565E-3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2.9242818289200001E-2</v>
      </c>
      <c r="B166" s="1">
        <v>3.06155552584E-4</v>
      </c>
      <c r="C166" s="1">
        <v>3.4811815640500001E-5</v>
      </c>
      <c r="D166" s="1">
        <v>1.0725848206499999E-3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2.9535246472099999E-2</v>
      </c>
      <c r="B167" s="1">
        <v>3.7367742780999998E-4</v>
      </c>
      <c r="C167" s="1">
        <v>3.7778328538600001E-5</v>
      </c>
      <c r="D167" s="1">
        <v>1.0793106688599999E-3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2.9830598936799999E-2</v>
      </c>
      <c r="B168" s="1">
        <v>4.1681918536200002E-4</v>
      </c>
      <c r="C168" s="1">
        <v>4.0774410316599999E-5</v>
      </c>
      <c r="D168" s="1">
        <v>1.08610377555E-3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3.01289049262E-2</v>
      </c>
      <c r="B169" s="1">
        <v>4.4110761261900001E-4</v>
      </c>
      <c r="C169" s="1">
        <v>4.0765406666399997E-5</v>
      </c>
      <c r="D169" s="1">
        <v>1.0929648132999999E-3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3.0430193975400002E-2</v>
      </c>
      <c r="B170" s="1">
        <v>5.7798056329599998E-4</v>
      </c>
      <c r="C170" s="1">
        <v>4.8062002928500001E-5</v>
      </c>
      <c r="D170" s="1">
        <v>1.09989446143E-3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3.07344959152E-2</v>
      </c>
      <c r="B171" s="1">
        <v>6.1284922206599997E-4</v>
      </c>
      <c r="C171" s="1">
        <v>5.04512325499E-5</v>
      </c>
      <c r="D171" s="1">
        <v>1.1068934060499999E-3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3.1041840874300002E-2</v>
      </c>
      <c r="B172" s="1">
        <v>6.6012206727400003E-4</v>
      </c>
      <c r="C172" s="1">
        <v>5.0970492981699999E-5</v>
      </c>
      <c r="D172" s="1">
        <v>1.1139623401100001E-3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3.1352259283100002E-2</v>
      </c>
      <c r="B173" s="1">
        <v>5.96826121796E-4</v>
      </c>
      <c r="C173" s="1">
        <v>4.67744757778E-5</v>
      </c>
      <c r="D173" s="1">
        <v>1.1211019635100001E-3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3.1665781875900002E-2</v>
      </c>
      <c r="B174" s="1">
        <v>6.3104225546200003E-4</v>
      </c>
      <c r="C174" s="1">
        <v>4.9037441451200002E-5</v>
      </c>
      <c r="D174" s="1">
        <v>1.12831298315E-3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3.19824396947E-2</v>
      </c>
      <c r="B175" s="1">
        <v>6.4325623275799998E-4</v>
      </c>
      <c r="C175" s="1">
        <v>5.0639886296400001E-5</v>
      </c>
      <c r="D175" s="1">
        <v>1.1355961129799999E-3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3.2302264091600003E-2</v>
      </c>
      <c r="B176" s="1">
        <v>4.8339277022699999E-4</v>
      </c>
      <c r="C176" s="1">
        <v>4.5099383911799998E-5</v>
      </c>
      <c r="D176" s="1">
        <v>1.1429520741100001E-3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3.2625286732500001E-2</v>
      </c>
      <c r="B177" s="1">
        <v>4.8746059525000001E-4</v>
      </c>
      <c r="C177" s="1">
        <v>4.40597756985E-5</v>
      </c>
      <c r="D177" s="1">
        <v>1.15038159485E-3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3.29515395999E-2</v>
      </c>
      <c r="B178" s="1">
        <v>4.1903848681400002E-4</v>
      </c>
      <c r="C178" s="1">
        <v>4.1185579564399998E-5</v>
      </c>
      <c r="D178" s="1">
        <v>1.1578854107999999E-3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3.3281054995899999E-2</v>
      </c>
      <c r="B179" s="1">
        <v>4.39629989068E-4</v>
      </c>
      <c r="C179" s="1">
        <v>4.2650483612599999E-5</v>
      </c>
      <c r="D179" s="1">
        <v>1.1654642648999999E-3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3.3613865545800002E-2</v>
      </c>
      <c r="B180" s="1">
        <v>2.6236726081500003E-4</v>
      </c>
      <c r="C180" s="1">
        <v>3.33342667508E-5</v>
      </c>
      <c r="D180" s="1">
        <v>1.1731189075499999E-3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3.3950004201300003E-2</v>
      </c>
      <c r="B181" s="1">
        <v>2.3953297224699999E-4</v>
      </c>
      <c r="C181" s="1">
        <v>3.0386135524599999E-5</v>
      </c>
      <c r="D181" s="1">
        <v>1.18085009663E-3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3.4289504243299997E-2</v>
      </c>
      <c r="B182" s="1">
        <v>1.7250088997699999E-4</v>
      </c>
      <c r="C182" s="1">
        <v>2.6156422904800001E-5</v>
      </c>
      <c r="D182" s="1">
        <v>1.1886585976000001E-3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3.46323992857E-2</v>
      </c>
      <c r="B183" s="1">
        <v>1.6009856796200001E-4</v>
      </c>
      <c r="C183" s="1">
        <v>2.6126579709000002E-5</v>
      </c>
      <c r="D183" s="1">
        <v>1.1965451835699999E-3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3.49787232786E-2</v>
      </c>
      <c r="B184" s="1">
        <v>1.28022178957E-4</v>
      </c>
      <c r="C184" s="1">
        <v>2.4345229505100002E-5</v>
      </c>
      <c r="D184" s="1">
        <v>1.20451063541E-3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3.5328510511399999E-2</v>
      </c>
      <c r="B185" s="1">
        <v>1.41736141486E-4</v>
      </c>
      <c r="C185" s="1">
        <v>2.5644278232100002E-5</v>
      </c>
      <c r="D185" s="1">
        <v>1.2125557417599999E-3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3.5681795616499999E-2</v>
      </c>
      <c r="B186" s="1">
        <v>1.59404965365E-4</v>
      </c>
      <c r="C186" s="1">
        <v>2.5758643782200001E-5</v>
      </c>
      <c r="D186" s="1">
        <v>1.2206812991799999E-3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3.6038613572599999E-2</v>
      </c>
      <c r="B187" s="1">
        <v>2.3276322761899999E-4</v>
      </c>
      <c r="C187" s="1">
        <v>3.0722244757700003E-5</v>
      </c>
      <c r="D187" s="1">
        <v>1.2288881121700001E-3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3.63989997084E-2</v>
      </c>
      <c r="B188" s="1">
        <v>3.1175286329899999E-4</v>
      </c>
      <c r="C188" s="1">
        <v>3.2753158181100003E-5</v>
      </c>
      <c r="D188" s="1">
        <v>1.2371769932899999E-3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3.6762989705399998E-2</v>
      </c>
      <c r="B189" s="1">
        <v>2.7644383364399999E-4</v>
      </c>
      <c r="C189" s="1">
        <v>3.0587522897899998E-5</v>
      </c>
      <c r="D189" s="1">
        <v>1.24554876323E-3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3.7130619602499998E-2</v>
      </c>
      <c r="B190" s="1">
        <v>2.9339729059099998E-4</v>
      </c>
      <c r="C190" s="1">
        <v>3.2383094978199999E-5</v>
      </c>
      <c r="D190" s="1">
        <v>1.2540042508600001E-3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3.7501925798500001E-2</v>
      </c>
      <c r="B191" s="1">
        <v>2.6726718873100003E-4</v>
      </c>
      <c r="C191" s="1">
        <v>3.2340246294600002E-5</v>
      </c>
      <c r="D191" s="1">
        <v>1.2625442933699999E-3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3.7876945056500001E-2</v>
      </c>
      <c r="B192" s="1">
        <v>2.8730131179099998E-4</v>
      </c>
      <c r="C192" s="1">
        <v>3.1831625844199998E-5</v>
      </c>
      <c r="D192" s="1">
        <v>1.2711697363000001E-3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3.8255714507099997E-2</v>
      </c>
      <c r="B193" s="1">
        <v>2.2787761493599999E-4</v>
      </c>
      <c r="C193" s="1">
        <v>2.8056827315800001E-5</v>
      </c>
      <c r="D193" s="1">
        <v>1.2798814336599999E-3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3.8638271652100001E-2</v>
      </c>
      <c r="B194" s="1">
        <v>1.59364642097E-4</v>
      </c>
      <c r="C194" s="1">
        <v>2.4127693415099999E-5</v>
      </c>
      <c r="D194" s="1">
        <v>1.288680248E-3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3.90246543687E-2</v>
      </c>
      <c r="B195" s="1">
        <v>1.3370314150500001E-4</v>
      </c>
      <c r="C195" s="1">
        <v>2.2230014944300001E-5</v>
      </c>
      <c r="D195" s="1">
        <v>1.2975670504800001E-3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3.9414900912399999E-2</v>
      </c>
      <c r="B196" s="1">
        <v>1.37360914035E-4</v>
      </c>
      <c r="C196" s="1">
        <v>2.2963672277200001E-5</v>
      </c>
      <c r="D196" s="1">
        <v>1.30654272098E-3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3.98090499215E-2</v>
      </c>
      <c r="B197" s="1">
        <v>1.07933230801E-4</v>
      </c>
      <c r="C197" s="1">
        <v>2.039410573E-5</v>
      </c>
      <c r="D197" s="1">
        <v>1.31560814819E-3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4.0207140420699998E-2</v>
      </c>
      <c r="B198" s="1">
        <v>7.1231377536600001E-5</v>
      </c>
      <c r="C198" s="1">
        <v>1.6506515324499999E-5</v>
      </c>
      <c r="D198" s="1">
        <v>1.32476422968E-3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4.0609211824900002E-2</v>
      </c>
      <c r="B199" s="1">
        <v>7.2578340002900002E-5</v>
      </c>
      <c r="C199" s="1">
        <v>1.6681789926800002E-5</v>
      </c>
      <c r="D199" s="1">
        <v>1.3340118719700001E-3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4.1015303943099997E-2</v>
      </c>
      <c r="B200" s="1">
        <v>8.8078447134299997E-5</v>
      </c>
      <c r="C200" s="1">
        <v>1.8381186909099999E-5</v>
      </c>
      <c r="D200" s="1">
        <v>1.3433519906900001E-3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4.1425456982600001E-2</v>
      </c>
      <c r="B201" s="1">
        <v>1.00370240946E-4</v>
      </c>
      <c r="C201" s="1">
        <v>1.9006022420299999E-5</v>
      </c>
      <c r="D201" s="1">
        <v>1.3527855106E-3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4.1839711552400002E-2</v>
      </c>
      <c r="B202" s="1">
        <v>9.2298857889699996E-5</v>
      </c>
      <c r="C202" s="1">
        <v>1.9267961811899998E-5</v>
      </c>
      <c r="D202" s="1">
        <v>1.36231336571E-3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4.2258108667900002E-2</v>
      </c>
      <c r="B203" s="1">
        <v>1.5654022612799999E-4</v>
      </c>
      <c r="C203" s="1">
        <v>2.3349473592199999E-5</v>
      </c>
      <c r="D203" s="1">
        <v>1.37193649936E-3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4.2680689754600001E-2</v>
      </c>
      <c r="B204" s="1">
        <v>1.63597692221E-4</v>
      </c>
      <c r="C204" s="1">
        <v>2.44065396433E-5</v>
      </c>
      <c r="D204" s="1">
        <v>1.3816558643600001E-3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4.3107496652199997E-2</v>
      </c>
      <c r="B205" s="1">
        <v>1.1165384756500001E-4</v>
      </c>
      <c r="C205" s="1">
        <v>2.1475052687299998E-5</v>
      </c>
      <c r="D205" s="1">
        <v>1.391472423E-3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4.3538571618699999E-2</v>
      </c>
      <c r="B206" s="1">
        <v>1.2327306954800001E-4</v>
      </c>
      <c r="C206" s="1">
        <v>2.2081335691499999E-5</v>
      </c>
      <c r="D206" s="1">
        <v>1.4013871472299999E-3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4.3973957334899998E-2</v>
      </c>
      <c r="B207" s="1">
        <v>1.3355167190800001E-4</v>
      </c>
      <c r="C207" s="1">
        <v>9.9760020920000003E-6</v>
      </c>
      <c r="D207" s="1">
        <v>1.4114010186999999E-3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4.4413696908199997E-2</v>
      </c>
      <c r="B208" s="1">
        <v>1.1013938572899999E-4</v>
      </c>
      <c r="C208" s="1">
        <v>9.1611286053499997E-6</v>
      </c>
      <c r="D208" s="1">
        <v>1.4215150288899999E-3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4.4857833877300003E-2</v>
      </c>
      <c r="B209" s="1">
        <v>7.6955270166100006E-5</v>
      </c>
      <c r="C209" s="1">
        <v>6.9832109908399998E-6</v>
      </c>
      <c r="D209" s="1">
        <v>1.43173017918E-3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4.5306412216100003E-2</v>
      </c>
      <c r="B210" s="1">
        <v>7.7324738299899997E-5</v>
      </c>
      <c r="C210" s="1">
        <v>6.7609468822000001E-6</v>
      </c>
      <c r="D210" s="1">
        <v>1.4420474809700001E-3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4.5759476338200003E-2</v>
      </c>
      <c r="B211" s="1">
        <v>4.4299057163199999E-5</v>
      </c>
      <c r="C211" s="1">
        <v>5.3213437314500003E-6</v>
      </c>
      <c r="D211" s="1">
        <v>1.4524679557800001E-3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4.6217071101599998E-2</v>
      </c>
      <c r="B212" s="1">
        <v>3.7156735742700001E-5</v>
      </c>
      <c r="C212" s="1">
        <v>5.0442412203900002E-6</v>
      </c>
      <c r="D212" s="1">
        <v>1.46299263534E-3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4.6679241812599997E-2</v>
      </c>
      <c r="B213" s="1">
        <v>3.5274545883299997E-5</v>
      </c>
      <c r="C213" s="1">
        <v>4.6537996082499997E-6</v>
      </c>
      <c r="D213" s="1">
        <v>1.47362256169E-3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4.71460342308E-2</v>
      </c>
      <c r="B214" s="1">
        <v>5.2896407944500002E-5</v>
      </c>
      <c r="C214" s="1">
        <v>5.6377297906200003E-6</v>
      </c>
      <c r="D214" s="1">
        <v>1.48435878731E-3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4.7617494573100001E-2</v>
      </c>
      <c r="B215" s="1">
        <v>5.2840383226700003E-5</v>
      </c>
      <c r="C215" s="1">
        <v>5.7646600931600003E-6</v>
      </c>
      <c r="D215" s="1">
        <v>1.4952023751800001E-3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4.8093669518800002E-2</v>
      </c>
      <c r="B216" s="1">
        <v>5.0830371082200002E-5</v>
      </c>
      <c r="C216" s="1">
        <v>5.4907484134299996E-6</v>
      </c>
      <c r="D216" s="1">
        <v>1.5061543989299999E-3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4.8574606213999998E-2</v>
      </c>
      <c r="B217" s="1">
        <v>6.7906522820499997E-5</v>
      </c>
      <c r="C217" s="1">
        <v>6.2261767935600004E-6</v>
      </c>
      <c r="D217" s="1">
        <v>1.51721594292E-3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4.9060352276099999E-2</v>
      </c>
      <c r="B218" s="1">
        <v>6.6897410595500003E-5</v>
      </c>
      <c r="C218" s="1">
        <v>5.98356544922E-6</v>
      </c>
      <c r="D218" s="1">
        <v>1.5283881023500001E-3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4.9550955798900002E-2</v>
      </c>
      <c r="B219" s="1">
        <v>5.8408156653099998E-5</v>
      </c>
      <c r="C219" s="1">
        <v>5.5478326374700001E-6</v>
      </c>
      <c r="D219" s="1">
        <v>1.5396719833700001E-3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5.0046465356900001E-2</v>
      </c>
      <c r="B220" s="1">
        <v>5.9308835614599998E-5</v>
      </c>
      <c r="C220" s="1">
        <v>5.5063527701900004E-6</v>
      </c>
      <c r="D220" s="1">
        <v>1.5510687032100001E-3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5.0546930010399997E-2</v>
      </c>
      <c r="B221" s="1">
        <v>4.7650105020700001E-5</v>
      </c>
      <c r="C221" s="1">
        <v>4.9646875637799996E-6</v>
      </c>
      <c r="D221" s="1">
        <v>1.56257939024E-3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5.1052399310499999E-2</v>
      </c>
      <c r="B222" s="1">
        <v>3.6543988118499999E-5</v>
      </c>
      <c r="C222" s="1">
        <v>4.5914869478899997E-6</v>
      </c>
      <c r="D222" s="1">
        <v>1.5742051841400001E-3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5.1562923303600003E-2</v>
      </c>
      <c r="B223" s="1">
        <v>2.6984275357899999E-5</v>
      </c>
      <c r="C223" s="1">
        <v>4.1337962925699996E-6</v>
      </c>
      <c r="D223" s="1">
        <v>1.58594723598E-3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5.2078552536699997E-2</v>
      </c>
      <c r="B224" s="1">
        <v>2.34745865391E-5</v>
      </c>
      <c r="C224" s="1">
        <v>3.74242178337E-6</v>
      </c>
      <c r="D224" s="1">
        <v>1.5978067083399999E-3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5.2599338062100001E-2</v>
      </c>
      <c r="B225" s="1">
        <v>2.6352926763400001E-5</v>
      </c>
      <c r="C225" s="1">
        <v>3.84898292194E-6</v>
      </c>
      <c r="D225" s="1">
        <v>1.6097847754299999E-3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5.31253314427E-2</v>
      </c>
      <c r="B226" s="1">
        <v>2.9930234923099999E-5</v>
      </c>
      <c r="C226" s="1">
        <v>4.1509433782800002E-6</v>
      </c>
      <c r="D226" s="1">
        <v>1.6218826231800001E-3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5.3656584757100001E-2</v>
      </c>
      <c r="B227" s="1">
        <v>2.7206469496E-5</v>
      </c>
      <c r="C227" s="1">
        <v>4.14230054585E-6</v>
      </c>
      <c r="D227" s="1">
        <v>1.6341014494100001E-3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5.4193150604700001E-2</v>
      </c>
      <c r="B228" s="1">
        <v>3.1540870386700003E-5</v>
      </c>
      <c r="C228" s="1">
        <v>4.1245325536400002E-6</v>
      </c>
      <c r="D228" s="1">
        <v>1.64644246391E-3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5.4735082110700002E-2</v>
      </c>
      <c r="B229" s="1">
        <v>3.4248968463899999E-5</v>
      </c>
      <c r="C229" s="1">
        <v>4.4617259747699999E-6</v>
      </c>
      <c r="D229" s="1">
        <v>1.65890688855E-3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5.5282432931799998E-2</v>
      </c>
      <c r="B230" s="1">
        <v>3.9767890558400001E-5</v>
      </c>
      <c r="C230" s="1">
        <v>4.5475178233900003E-6</v>
      </c>
      <c r="D230" s="1">
        <v>1.6714959574299999E-3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5.5835257261100002E-2</v>
      </c>
      <c r="B231" s="1">
        <v>3.1551073066100001E-5</v>
      </c>
      <c r="C231" s="1">
        <v>4.3834684667300003E-6</v>
      </c>
      <c r="D231" s="1">
        <v>1.6842109170100001E-3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5.6393609833799999E-2</v>
      </c>
      <c r="B232" s="1">
        <v>2.49080684714E-5</v>
      </c>
      <c r="C232" s="1">
        <v>3.6369841602200001E-6</v>
      </c>
      <c r="D232" s="1">
        <v>1.69705302618E-3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5.69575459321E-2</v>
      </c>
      <c r="B233" s="1">
        <v>2.1784399603899998E-5</v>
      </c>
      <c r="C233" s="1">
        <v>3.5181701216300002E-6</v>
      </c>
      <c r="D233" s="1">
        <v>1.7100235564399999E-3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5.7527121391400003E-2</v>
      </c>
      <c r="B234" s="1">
        <v>1.3000398097099999E-5</v>
      </c>
      <c r="C234" s="1">
        <v>2.8964775271400002E-6</v>
      </c>
      <c r="D234" s="1">
        <v>1.7231237920000001E-3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5.81023926053E-2</v>
      </c>
      <c r="B235" s="1">
        <v>1.34219109034E-5</v>
      </c>
      <c r="C235" s="1">
        <v>3.11783127946E-6</v>
      </c>
      <c r="D235" s="1">
        <v>1.73635502992E-3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5.8683416531400003E-2</v>
      </c>
      <c r="B236" s="1">
        <v>1.35459693799E-5</v>
      </c>
      <c r="C236" s="1">
        <v>3.08495544862E-6</v>
      </c>
      <c r="D236" s="1">
        <v>1.74971858022E-3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5.92702506967E-2</v>
      </c>
      <c r="B237" s="1">
        <v>1.48226386039E-5</v>
      </c>
      <c r="C237" s="1">
        <v>3.07633536298E-6</v>
      </c>
      <c r="D237" s="1">
        <v>1.7632157660200001E-3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5.9862953203699998E-2</v>
      </c>
      <c r="B238" s="1">
        <v>2.0072522109399999E-5</v>
      </c>
      <c r="C238" s="1">
        <v>3.37318916969E-6</v>
      </c>
      <c r="D238" s="1">
        <v>1.7768479236799999E-3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6.0461582735700001E-2</v>
      </c>
      <c r="B239" s="1">
        <v>2.7287699973099998E-5</v>
      </c>
      <c r="C239" s="1">
        <v>3.6841834466600001E-6</v>
      </c>
      <c r="D239" s="1">
        <v>1.79061640292E-3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6.1066198563099999E-2</v>
      </c>
      <c r="B240" s="1">
        <v>2.2669206925999999E-5</v>
      </c>
      <c r="C240" s="1">
        <v>3.73180385654E-6</v>
      </c>
      <c r="D240" s="1">
        <v>1.80452256695E-3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6.1676860548700002E-2</v>
      </c>
      <c r="B241" s="1">
        <v>1.1438841900899999E-5</v>
      </c>
      <c r="C241" s="1">
        <v>2.7286103119400001E-6</v>
      </c>
      <c r="D241" s="1">
        <v>1.8185677926199999E-3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6.2293629154200003E-2</v>
      </c>
      <c r="B242" s="1">
        <v>1.24867051317E-5</v>
      </c>
      <c r="C242" s="1">
        <v>2.8638355559200001E-6</v>
      </c>
      <c r="D242" s="1">
        <v>1.8327534705499999E-3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6.2916565445699998E-2</v>
      </c>
      <c r="B243" s="1">
        <v>7.0908335288799999E-6</v>
      </c>
      <c r="C243" s="1">
        <v>2.7346259574200001E-6</v>
      </c>
      <c r="D243" s="1">
        <v>1.8470810052500001E-3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6.3545731100199995E-2</v>
      </c>
      <c r="B244" s="1">
        <v>9.9793310963100001E-6</v>
      </c>
      <c r="C244" s="1">
        <v>2.77208330207E-6</v>
      </c>
      <c r="D244" s="1">
        <v>1.8615518153E-3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6.4181188411200005E-2</v>
      </c>
      <c r="B245" s="1">
        <v>9.27040318831E-6</v>
      </c>
      <c r="C245" s="1">
        <v>2.52071278858E-6</v>
      </c>
      <c r="D245" s="1">
        <v>1.87616733346E-3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6.4823000295299998E-2</v>
      </c>
      <c r="B246" s="1">
        <v>1.1067382788100001E-5</v>
      </c>
      <c r="C246" s="1">
        <v>2.7017746927600001E-6</v>
      </c>
      <c r="D246" s="1">
        <v>1.8909290067899999E-3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6.5471230298199998E-2</v>
      </c>
      <c r="B247" s="1">
        <v>3.7427898551900002E-6</v>
      </c>
      <c r="C247" s="1">
        <v>2.1357033209900002E-6</v>
      </c>
      <c r="D247" s="1">
        <v>1.9058382968600001E-3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6.61259426012E-2</v>
      </c>
      <c r="B248" s="1">
        <v>6.1290845848200002E-6</v>
      </c>
      <c r="C248" s="1">
        <v>2.3329484353699998E-6</v>
      </c>
      <c r="D248" s="1">
        <v>1.9208966798300001E-3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6.6787202027199996E-2</v>
      </c>
      <c r="B249" s="1">
        <v>8.1644404172400005E-6</v>
      </c>
      <c r="C249" s="1">
        <v>2.6136705560700001E-6</v>
      </c>
      <c r="D249" s="1">
        <v>1.93610564663E-3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6.7455074047499994E-2</v>
      </c>
      <c r="B250" s="1">
        <v>1.2919536615800001E-5</v>
      </c>
      <c r="C250" s="1">
        <v>2.7573552239E-6</v>
      </c>
      <c r="D250" s="1">
        <v>1.9514667030900001E-3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6.8129624787999998E-2</v>
      </c>
      <c r="B251" s="1">
        <v>1.21665574171E-5</v>
      </c>
      <c r="C251" s="1">
        <v>2.6392096663099999E-6</v>
      </c>
      <c r="D251" s="1">
        <v>1.9669813701200002E-3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6.8810921035900002E-2</v>
      </c>
      <c r="B252" s="1">
        <v>9.3913240868699999E-6</v>
      </c>
      <c r="C252" s="1">
        <v>2.6337108595000001E-6</v>
      </c>
      <c r="D252" s="1">
        <v>1.9826511838199998E-3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6.9499030246199994E-2</v>
      </c>
      <c r="B253" s="1">
        <v>3.51446899568E-6</v>
      </c>
      <c r="C253" s="1">
        <v>1.9353513269399999E-6</v>
      </c>
      <c r="D253" s="1">
        <v>1.9984776956599999E-3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7.1604920361700006E-2</v>
      </c>
      <c r="B254" s="1">
        <v>2.5333777567099999E-6</v>
      </c>
      <c r="C254" s="1">
        <v>1.8489361495900001E-6</v>
      </c>
      <c r="D254" s="1">
        <v>2.0469131683199999E-3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7.23209695653E-2</v>
      </c>
      <c r="B255" s="1">
        <v>5.8428734723800001E-6</v>
      </c>
      <c r="C255" s="1">
        <v>1.9734051175100001E-6</v>
      </c>
      <c r="D255" s="1">
        <v>2.0633823E-3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7.3044179261E-2</v>
      </c>
      <c r="B256" s="1">
        <v>3.2707504030400001E-6</v>
      </c>
      <c r="C256" s="1">
        <v>2.1065412555600001E-6</v>
      </c>
      <c r="D256" s="1">
        <v>2.080016123E-3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7.3774621053599998E-2</v>
      </c>
      <c r="B257" s="1">
        <v>3.4765074852500001E-6</v>
      </c>
      <c r="C257" s="1">
        <v>1.9355019068800002E-6</v>
      </c>
      <c r="D257" s="1">
        <v>2.0968162842299998E-3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7.4512367264100002E-2</v>
      </c>
      <c r="B258" s="1">
        <v>6.5277594920700001E-6</v>
      </c>
      <c r="C258" s="1">
        <v>2.2055991171000001E-6</v>
      </c>
      <c r="D258" s="1">
        <v>2.11378444707E-3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7.90963793198E-2</v>
      </c>
      <c r="B259" s="1">
        <v>2.8452840429800002E-6</v>
      </c>
      <c r="C259" s="1">
        <v>1.4205017630800001E-6</v>
      </c>
      <c r="D259" s="1">
        <v>2.2192167243599999E-3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7.9887343112999998E-2</v>
      </c>
      <c r="B260" s="1">
        <v>3.4767967630600001E-6</v>
      </c>
      <c r="C260" s="1">
        <v>1.6339911484300001E-6</v>
      </c>
      <c r="D260" s="1">
        <v>2.2374088916000002E-3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8.0686216544199996E-2</v>
      </c>
      <c r="B261" s="1">
        <v>2.9563083196400001E-6</v>
      </c>
      <c r="C261" s="1">
        <v>1.6659296702799999E-6</v>
      </c>
      <c r="D261" s="1">
        <v>2.2557829805199998E-3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8.14930787096E-2</v>
      </c>
      <c r="B262" s="1">
        <v>2.8101035598800002E-6</v>
      </c>
      <c r="C262" s="1">
        <v>1.4658561523499999E-6</v>
      </c>
      <c r="D262" s="1">
        <v>2.27434081032E-3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8.2308009496700002E-2</v>
      </c>
      <c r="B263" s="1">
        <v>1.6458987722200001E-6</v>
      </c>
      <c r="C263" s="1">
        <v>1.51497199979E-6</v>
      </c>
      <c r="D263" s="1">
        <v>2.2930842184199999E-3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8.4802024492500003E-2</v>
      </c>
      <c r="B264" s="1">
        <v>2.30235820624E-6</v>
      </c>
      <c r="C264" s="1">
        <v>1.40835857138E-6</v>
      </c>
      <c r="D264" s="1">
        <v>2.3504465633299998E-3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8.9127780010400004E-2</v>
      </c>
      <c r="B265" s="1">
        <v>1.76967039688E-6</v>
      </c>
      <c r="C265" s="1">
        <v>1.3855084939899999E-6</v>
      </c>
      <c r="D265" s="1">
        <v>2.44993894024E-3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9.00190578105E-2</v>
      </c>
      <c r="B266" s="1">
        <v>2.7392405179800001E-6</v>
      </c>
      <c r="C266" s="1">
        <v>1.51423401242E-6</v>
      </c>
      <c r="D266" s="1">
        <v>2.4704383296399999E-3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9.0919248388599994E-2</v>
      </c>
      <c r="B267" s="1">
        <v>1.78385176526E-6</v>
      </c>
      <c r="C267" s="1">
        <v>1.36513689566E-6</v>
      </c>
      <c r="D267" s="1">
        <v>2.49114271294E-3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4:51" x14ac:dyDescent="0.35"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4:51" x14ac:dyDescent="0.35"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4:51" x14ac:dyDescent="0.35"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4:51" x14ac:dyDescent="0.35"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4:51" x14ac:dyDescent="0.35"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4:51" x14ac:dyDescent="0.35"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4:51" x14ac:dyDescent="0.35"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4:51" x14ac:dyDescent="0.35"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4:51" x14ac:dyDescent="0.35"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4:51" x14ac:dyDescent="0.35"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4:51" x14ac:dyDescent="0.35"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4:51" x14ac:dyDescent="0.35"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4:51" x14ac:dyDescent="0.35"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4:51" x14ac:dyDescent="0.35"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4:51" x14ac:dyDescent="0.35"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4:51" x14ac:dyDescent="0.35"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4:51" x14ac:dyDescent="0.35"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4:51" x14ac:dyDescent="0.35"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4:51" x14ac:dyDescent="0.35"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4:51" x14ac:dyDescent="0.35"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4:51" x14ac:dyDescent="0.35"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4:51" x14ac:dyDescent="0.35"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4:51" x14ac:dyDescent="0.35"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4:51" x14ac:dyDescent="0.35"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4:51" x14ac:dyDescent="0.35"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4:51" x14ac:dyDescent="0.35"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4:51" x14ac:dyDescent="0.35"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4:51" x14ac:dyDescent="0.35"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4:51" x14ac:dyDescent="0.35"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4:51" x14ac:dyDescent="0.35"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4:51" x14ac:dyDescent="0.35"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4:51" x14ac:dyDescent="0.35"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4:51" x14ac:dyDescent="0.35"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4:51" x14ac:dyDescent="0.35"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4:51" x14ac:dyDescent="0.35"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4:51" x14ac:dyDescent="0.35"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4:51" x14ac:dyDescent="0.35"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4:51" x14ac:dyDescent="0.35"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4:51" x14ac:dyDescent="0.35"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4:51" x14ac:dyDescent="0.35"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4:51" x14ac:dyDescent="0.35"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4:51" x14ac:dyDescent="0.35"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4:51" x14ac:dyDescent="0.35"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4:51" x14ac:dyDescent="0.35"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4:51" x14ac:dyDescent="0.35"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4:51" x14ac:dyDescent="0.35"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4:51" x14ac:dyDescent="0.3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4:51" x14ac:dyDescent="0.3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4:51" x14ac:dyDescent="0.3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4:51" x14ac:dyDescent="0.3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4:51" x14ac:dyDescent="0.3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4:51" x14ac:dyDescent="0.3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4:51" x14ac:dyDescent="0.3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4:51" x14ac:dyDescent="0.3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4:51" x14ac:dyDescent="0.3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4:51" x14ac:dyDescent="0.3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4:51" x14ac:dyDescent="0.3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4:51" x14ac:dyDescent="0.3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4:51" x14ac:dyDescent="0.3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4:51" x14ac:dyDescent="0.3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4:51" x14ac:dyDescent="0.3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4:51" x14ac:dyDescent="0.3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4:51" x14ac:dyDescent="0.3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4:51" x14ac:dyDescent="0.3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3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3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3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3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3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3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3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3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3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3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3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3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3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3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3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3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3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3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3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3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3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3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3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3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93" t="s">
        <v>1</v>
      </c>
      <c r="B1" s="193"/>
      <c r="C1" s="193"/>
      <c r="D1" s="193"/>
      <c r="E1" s="193"/>
      <c r="F1" s="193"/>
      <c r="G1" s="193"/>
      <c r="H1" s="193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Reflectivity</vt:lpstr>
      <vt:lpstr>Uncertainties</vt:lpstr>
      <vt:lpstr>dTotal</vt:lpstr>
      <vt:lpstr>density</vt:lpstr>
      <vt:lpstr>f_PEO</vt:lpstr>
      <vt:lpstr>sigDstack</vt:lpstr>
      <vt:lpstr>dSiOx</vt:lpstr>
      <vt:lpstr>NbBPEI</vt:lpstr>
      <vt:lpstr>NbSi</vt:lpstr>
      <vt:lpstr>NbD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2021-06-28T14:40:31Z</dcterms:modified>
</cp:coreProperties>
</file>