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E7F00599-C8CE-40A6-BB94-746B85C926D0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73" r:id="rId2"/>
    <sheet name="dTotal" sheetId="45" r:id="rId3"/>
    <sheet name="density" sheetId="66" r:id="rId4"/>
    <sheet name="f_PEO" sheetId="67" r:id="rId5"/>
    <sheet name="sigDstack" sheetId="52" r:id="rId6"/>
    <sheet name="dSiOx" sheetId="70" r:id="rId7"/>
    <sheet name="NbBPEI" sheetId="72" r:id="rId8"/>
    <sheet name="NbSi" sheetId="75" r:id="rId9"/>
    <sheet name="ScaledCombined" sheetId="18" r:id="rId10"/>
    <sheet name="ScatteringParameters" sheetId="7" r:id="rId11"/>
    <sheet name="AtomicParameters" sheetId="6" r:id="rId12"/>
  </sheets>
  <functionGroups builtInGroupCount="19"/>
  <definedNames>
    <definedName name="REF_L_2790_2008_01_10T13_3A40_3A12_04_3A00_CE_scaling" localSheetId="9">ScaledCombined!$A$1:$M$320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281" i="1" l="1"/>
  <c r="Y281" i="1" s="1"/>
  <c r="X253" i="1"/>
  <c r="Y253" i="1" s="1"/>
  <c r="X254" i="1"/>
  <c r="Y254" i="1" s="1"/>
  <c r="X255" i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278" i="1"/>
  <c r="Y278" i="1" s="1"/>
  <c r="X279" i="1"/>
  <c r="Y279" i="1" s="1"/>
  <c r="X280" i="1"/>
  <c r="Y280" i="1" s="1"/>
  <c r="C13" i="73" l="1"/>
  <c r="B13" i="73"/>
  <c r="B8" i="73"/>
  <c r="B11" i="73" s="1"/>
  <c r="C8" i="73"/>
  <c r="C7" i="73"/>
  <c r="B7" i="73"/>
  <c r="B12" i="73" s="1"/>
  <c r="C5" i="73"/>
  <c r="B5" i="73"/>
  <c r="C3" i="73"/>
  <c r="B3" i="73"/>
  <c r="C2" i="73"/>
  <c r="B2" i="73"/>
  <c r="C5" i="1"/>
  <c r="B10" i="73" s="1"/>
  <c r="C10" i="73" l="1"/>
  <c r="G6" i="1"/>
  <c r="X128" i="1"/>
  <c r="Y128" i="1" s="1"/>
  <c r="X129" i="1"/>
  <c r="Y129" i="1" s="1"/>
  <c r="X130" i="1"/>
  <c r="Y130" i="1" s="1"/>
  <c r="X131" i="1"/>
  <c r="Y131" i="1" s="1"/>
  <c r="X132" i="1"/>
  <c r="Y132" i="1" s="1"/>
  <c r="X133" i="1"/>
  <c r="Y133" i="1" s="1"/>
  <c r="X134" i="1"/>
  <c r="Y134" i="1" s="1"/>
  <c r="X135" i="1"/>
  <c r="Y135" i="1" s="1"/>
  <c r="X136" i="1"/>
  <c r="Y136" i="1" s="1"/>
  <c r="X137" i="1"/>
  <c r="Y137" i="1" s="1"/>
  <c r="X138" i="1"/>
  <c r="Y138" i="1" s="1"/>
  <c r="X139" i="1"/>
  <c r="Y139" i="1" s="1"/>
  <c r="X140" i="1"/>
  <c r="Y140" i="1" s="1"/>
  <c r="X141" i="1"/>
  <c r="Y141" i="1" s="1"/>
  <c r="X142" i="1"/>
  <c r="Y142" i="1" s="1"/>
  <c r="X143" i="1"/>
  <c r="Y143" i="1" s="1"/>
  <c r="X144" i="1"/>
  <c r="Y144" i="1" s="1"/>
  <c r="X145" i="1"/>
  <c r="Y145" i="1" s="1"/>
  <c r="X146" i="1"/>
  <c r="Y146" i="1" s="1"/>
  <c r="X147" i="1"/>
  <c r="Y147" i="1" s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Y153" i="1" s="1"/>
  <c r="X154" i="1"/>
  <c r="Y154" i="1" s="1"/>
  <c r="X155" i="1"/>
  <c r="Y155" i="1" s="1"/>
  <c r="X156" i="1"/>
  <c r="Y156" i="1" s="1"/>
  <c r="X157" i="1"/>
  <c r="Y157" i="1" s="1"/>
  <c r="X158" i="1"/>
  <c r="Y158" i="1" s="1"/>
  <c r="X159" i="1"/>
  <c r="Y159" i="1" s="1"/>
  <c r="X160" i="1"/>
  <c r="Y160" i="1" s="1"/>
  <c r="X161" i="1"/>
  <c r="Y161" i="1" s="1"/>
  <c r="X162" i="1"/>
  <c r="Y162" i="1" s="1"/>
  <c r="X163" i="1"/>
  <c r="Y163" i="1" s="1"/>
  <c r="X164" i="1"/>
  <c r="Y164" i="1" s="1"/>
  <c r="X165" i="1"/>
  <c r="Y165" i="1" s="1"/>
  <c r="X166" i="1"/>
  <c r="Y166" i="1" s="1"/>
  <c r="X167" i="1"/>
  <c r="Y167" i="1" s="1"/>
  <c r="X168" i="1"/>
  <c r="Y168" i="1" s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Y174" i="1" s="1"/>
  <c r="X175" i="1"/>
  <c r="Y175" i="1" s="1"/>
  <c r="X176" i="1"/>
  <c r="Y176" i="1" s="1"/>
  <c r="X177" i="1"/>
  <c r="Y177" i="1" s="1"/>
  <c r="X178" i="1"/>
  <c r="Y178" i="1" s="1"/>
  <c r="X179" i="1"/>
  <c r="Y179" i="1" s="1"/>
  <c r="X180" i="1"/>
  <c r="Y180" i="1" s="1"/>
  <c r="X181" i="1"/>
  <c r="Y181" i="1" s="1"/>
  <c r="X182" i="1"/>
  <c r="Y182" i="1" s="1"/>
  <c r="X183" i="1"/>
  <c r="Y183" i="1" s="1"/>
  <c r="X184" i="1"/>
  <c r="Y184" i="1" s="1"/>
  <c r="X185" i="1"/>
  <c r="Y185" i="1" s="1"/>
  <c r="X186" i="1"/>
  <c r="Y186" i="1" s="1"/>
  <c r="X187" i="1"/>
  <c r="Y187" i="1" s="1"/>
  <c r="X188" i="1"/>
  <c r="Y188" i="1" s="1"/>
  <c r="X189" i="1"/>
  <c r="Y189" i="1" s="1"/>
  <c r="X190" i="1"/>
  <c r="Y190" i="1" s="1"/>
  <c r="X191" i="1"/>
  <c r="Y191" i="1" s="1"/>
  <c r="X192" i="1"/>
  <c r="Y192" i="1" s="1"/>
  <c r="X193" i="1"/>
  <c r="Y193" i="1" s="1"/>
  <c r="X194" i="1"/>
  <c r="Y194" i="1" s="1"/>
  <c r="X195" i="1"/>
  <c r="Y195" i="1" s="1"/>
  <c r="X196" i="1"/>
  <c r="Y196" i="1" s="1"/>
  <c r="X197" i="1"/>
  <c r="Y197" i="1" s="1"/>
  <c r="X198" i="1"/>
  <c r="Y198" i="1" s="1"/>
  <c r="X199" i="1"/>
  <c r="Y199" i="1" s="1"/>
  <c r="X200" i="1"/>
  <c r="Y200" i="1" s="1"/>
  <c r="X201" i="1"/>
  <c r="Y201" i="1" s="1"/>
  <c r="X202" i="1"/>
  <c r="Y202" i="1" s="1"/>
  <c r="X203" i="1"/>
  <c r="Y203" i="1" s="1"/>
  <c r="X204" i="1"/>
  <c r="Y204" i="1" s="1"/>
  <c r="X205" i="1"/>
  <c r="Y205" i="1" s="1"/>
  <c r="X206" i="1"/>
  <c r="Y206" i="1" s="1"/>
  <c r="X207" i="1"/>
  <c r="Y207" i="1" s="1"/>
  <c r="X208" i="1"/>
  <c r="Y208" i="1" s="1"/>
  <c r="X209" i="1"/>
  <c r="Y209" i="1" s="1"/>
  <c r="X210" i="1"/>
  <c r="Y210" i="1" s="1"/>
  <c r="X211" i="1"/>
  <c r="Y211" i="1" s="1"/>
  <c r="X212" i="1"/>
  <c r="Y212" i="1" s="1"/>
  <c r="X213" i="1"/>
  <c r="Y213" i="1" s="1"/>
  <c r="X214" i="1"/>
  <c r="Y214" i="1" s="1"/>
  <c r="X215" i="1"/>
  <c r="Y215" i="1" s="1"/>
  <c r="X216" i="1"/>
  <c r="Y216" i="1" s="1"/>
  <c r="X217" i="1"/>
  <c r="Y217" i="1" s="1"/>
  <c r="X218" i="1"/>
  <c r="Y218" i="1" s="1"/>
  <c r="X219" i="1"/>
  <c r="Y219" i="1" s="1"/>
  <c r="X220" i="1"/>
  <c r="Y220" i="1" s="1"/>
  <c r="X221" i="1"/>
  <c r="Y221" i="1" s="1"/>
  <c r="X222" i="1"/>
  <c r="Y222" i="1" s="1"/>
  <c r="X223" i="1"/>
  <c r="Y223" i="1" s="1"/>
  <c r="X224" i="1"/>
  <c r="Y224" i="1" s="1"/>
  <c r="X225" i="1"/>
  <c r="Y225" i="1" s="1"/>
  <c r="X226" i="1"/>
  <c r="Y226" i="1" s="1"/>
  <c r="X227" i="1"/>
  <c r="Y227" i="1" s="1"/>
  <c r="X228" i="1"/>
  <c r="Y228" i="1" s="1"/>
  <c r="X229" i="1"/>
  <c r="Y229" i="1" s="1"/>
  <c r="X230" i="1"/>
  <c r="Y230" i="1" s="1"/>
  <c r="X231" i="1"/>
  <c r="Y231" i="1" s="1"/>
  <c r="X232" i="1"/>
  <c r="Y232" i="1" s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Y241" i="1" s="1"/>
  <c r="X242" i="1"/>
  <c r="Y242" i="1" s="1"/>
  <c r="X243" i="1"/>
  <c r="Y243" i="1" s="1"/>
  <c r="X244" i="1"/>
  <c r="Y244" i="1" s="1"/>
  <c r="X245" i="1"/>
  <c r="Y245" i="1" s="1"/>
  <c r="X246" i="1"/>
  <c r="Y246" i="1" s="1"/>
  <c r="X247" i="1"/>
  <c r="Y247" i="1" s="1"/>
  <c r="X248" i="1"/>
  <c r="Y248" i="1" s="1"/>
  <c r="X249" i="1"/>
  <c r="Y249" i="1" s="1"/>
  <c r="X250" i="1"/>
  <c r="Y250" i="1" s="1"/>
  <c r="X251" i="1"/>
  <c r="Y251" i="1" s="1"/>
  <c r="X252" i="1"/>
  <c r="Y252" i="1" s="1"/>
  <c r="C4" i="1" l="1"/>
  <c r="F5" i="1"/>
  <c r="F4" i="1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 s="1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83" i="1" l="1"/>
  <c r="Y104" i="1"/>
  <c r="Y67" i="1"/>
  <c r="Y111" i="1"/>
  <c r="Y99" i="1"/>
  <c r="Y92" i="1"/>
  <c r="Y51" i="1"/>
  <c r="Y123" i="1"/>
  <c r="Y121" i="1"/>
  <c r="Y72" i="1"/>
  <c r="Y87" i="1"/>
  <c r="Y29" i="1"/>
  <c r="Y56" i="1"/>
  <c r="Y85" i="1"/>
  <c r="Y25" i="1"/>
  <c r="Y52" i="1"/>
  <c r="Y5" i="1"/>
  <c r="Y124" i="1"/>
  <c r="Y109" i="1"/>
  <c r="Y37" i="1"/>
  <c r="Y53" i="1"/>
  <c r="Y126" i="1"/>
  <c r="Y34" i="1"/>
  <c r="Y93" i="1"/>
  <c r="Y36" i="1"/>
  <c r="Y122" i="1"/>
  <c r="Y62" i="1"/>
  <c r="Y110" i="1"/>
  <c r="Y21" i="1"/>
  <c r="Y22" i="1"/>
  <c r="Y17" i="1"/>
  <c r="Y10" i="1"/>
  <c r="Y115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457_truncated_offmin0.01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<sst xmlns="http://schemas.openxmlformats.org/spreadsheetml/2006/main" count="1111" uniqueCount="638">
  <si>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</si>
  <si>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</si>
  <si>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</si>
  <si>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</si>
  <si>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</si>
  <si>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</si>
  <si>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</si>
  <si>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</si>
  <si>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</si>
  <si>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</si>
  <si>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</si>
  <si>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</si>
  <si>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</si>
  <si>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</si>
  <si>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</si>
  <si>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</si>
  <si>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</si>
  <si>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</si>
  <si>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</si>
  <si>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</si>
  <si>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</si>
  <si>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</si>
  <si>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</si>
  <si>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</si>
  <si>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</si>
  <si>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</si>
  <si>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</si>
  <si>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</si>
  <si>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</si>
  <si>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</si>
  <si>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</si>
  <si>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</si>
  <si>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</si>
  <si>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</si>
  <si>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</si>
  <si>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</si>
  <si>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</si>
  <si>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</si>
  <si>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</si>
  <si>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</si>
  <si>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</si>
  <si>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</si>
  <si>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</si>
  <si>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</si>
  <si>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</si>
  <si>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</si>
  <si>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</si>
  <si>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</si>
  <si>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</si>
  <si>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</si>
  <si>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</si>
  <si>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</si>
  <si>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</si>
  <si>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</si>
  <si>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</si>
  <si>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</si>
  <si>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</si>
  <si>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</si>
  <si>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</si>
  <si>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</si>
  <si>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</si>
  <si>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</si>
  <si>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</si>
  <si>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</si>
  <si>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</si>
  <si>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</si>
  <si>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</si>
  <si>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</si>
  <si>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</si>
  <si>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</si>
  <si>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</si>
  <si>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</si>
  <si>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</si>
  <si>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</si>
  <si>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</si>
  <si>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</si>
  <si>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</si>
  <si>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</si>
  <si>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</si>
  <si>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</si>
  <si>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</si>
  <si>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</si>
  <si>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</si>
  <si>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</si>
  <si>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</si>
  <si>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</si>
  <si>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</si>
  <si>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</si>
  <si>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</si>
  <si>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</si>
  <si>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</si>
  <si>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</si>
  <si>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</si>
  <si>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</si>
  <si>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</si>
  <si>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</si>
  <si>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</si>
  <si>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</si>
  <si>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</si>
  <si>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</si>
  <si>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</si>
  <si>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</si>
  <si>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</si>
  <si>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</si>
  <si>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</si>
  <si>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</si>
  <si>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</si>
  <si>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</si>
  <si>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</si>
  <si>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</si>
  <si>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</si>
  <si>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</si>
  <si>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</si>
  <si>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</si>
  <si>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</si>
  <si>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</si>
  <si>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</si>
  <si>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</si>
  <si>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</si>
  <si>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</si>
  <si>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</si>
  <si>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</si>
  <si>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</si>
  <si>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</si>
  <si>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</si>
  <si>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</si>
  <si>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</si>
  <si>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</si>
  <si>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</si>
  <si>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</si>
  <si>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</si>
  <si>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</si>
  <si>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</si>
  <si>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</si>
  <si>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</si>
  <si>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</si>
  <si>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</si>
  <si>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</si>
  <si>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</si>
  <si>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</si>
  <si>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</si>
  <si>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</si>
  <si>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</si>
  <si>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</si>
  <si>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</si>
  <si>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</si>
  <si>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</si>
  <si>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</si>
  <si>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</si>
  <si>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</si>
  <si>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</si>
  <si>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</si>
  <si>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</si>
  <si>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</si>
  <si>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</si>
  <si>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</si>
  <si>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</si>
  <si>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</si>
  <si>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</si>
  <si>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</si>
  <si>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</si>
  <si>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</si>
  <si>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</si>
  <si>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</si>
  <si>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</si>
  <si>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</si>
  <si>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</si>
  <si>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</si>
  <si>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</si>
  <si>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</si>
  <si>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</si>
  <si>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</si>
  <si>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</si>
  <si>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</si>
  <si>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</si>
  <si>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</si>
  <si>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</si>
  <si>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</si>
  <si>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</si>
  <si>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</si>
  <si>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</si>
  <si>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</si>
  <si>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</si>
  <si>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</si>
  <si>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</si>
  <si>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</si>
  <si>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</si>
  <si>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</si>
  <si>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</si>
  <si>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</si>
  <si>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</si>
  <si>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</si>
  <si>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</si>
  <si>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</si>
  <si>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</si>
  <si>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</si>
  <si>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</si>
  <si>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</si>
  <si>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</si>
  <si>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</si>
  <si>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</si>
  <si>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</si>
  <si>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</si>
  <si>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</si>
  <si>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</si>
  <si>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</si>
  <si>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</si>
  <si>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</si>
  <si>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</si>
  <si>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</si>
  <si>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</si>
  <si>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</si>
  <si>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</si>
  <si>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</si>
  <si>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</si>
  <si>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</si>
  <si>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</si>
  <si>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</si>
  <si>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</si>
  <si>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</si>
  <si>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</si>
  <si>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</si>
  <si>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</si>
  <si>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</si>
  <si>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</si>
  <si>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</si>
  <si>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</si>
  <si>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</si>
  <si>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</si>
  <si>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</si>
  <si>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</si>
  <si>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</si>
  <si>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</si>
  <si>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</si>
  <si>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</si>
  <si>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</si>
  <si>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</si>
  <si>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</si>
  <si>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</si>
  <si>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</si>
  <si>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</si>
  <si>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</si>
  <si>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</si>
  <si>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</si>
  <si>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</si>
  <si>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</si>
  <si>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</si>
  <si>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</si>
  <si>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</si>
  <si>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</si>
  <si>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</si>
  <si>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</si>
  <si>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</si>
  <si>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</si>
  <si>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</si>
  <si>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</si>
  <si>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</si>
  <si>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</si>
  <si>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</si>
  <si>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</si>
  <si>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</si>
  <si>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</si>
  <si>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</si>
  <si>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</si>
  <si>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</si>
  <si>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</si>
  <si>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</si>
  <si>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</si>
  <si>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</si>
  <si>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</si>
  <si>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</si>
  <si>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</si>
  <si>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</si>
  <si>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</si>
  <si>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</si>
  <si>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</si>
  <si>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</si>
  <si>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</si>
  <si>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</si>
  <si>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</si>
  <si>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</si>
  <si>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</si>
  <si>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</si>
  <si>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</si>
  <si>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</si>
  <si>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</si>
  <si>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</si>
  <si>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</si>
  <si>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</si>
  <si>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</si>
  <si>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</si>
  <si>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</si>
  <si>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</si>
  <si>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</si>
  <si>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</si>
  <si>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</si>
  <si>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</si>
  <si>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</si>
  <si>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</si>
  <si>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</si>
  <si>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</si>
  <si>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</si>
  <si>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</si>
  <si>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</si>
  <si>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</si>
  <si>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</si>
  <si>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</si>
  <si>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</si>
  <si>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</si>
  <si>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</si>
  <si>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</si>
  <si>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</si>
  <si>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</si>
  <si>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</si>
  <si>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</si>
  <si>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</si>
  <si>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</si>
  <si>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</si>
  <si>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</si>
  <si>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</si>
  <si>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</si>
  <si>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</si>
  <si>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</si>
  <si>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</si>
  <si>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</si>
  <si>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</si>
  <si>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</si>
  <si>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</si>
  <si>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</si>
  <si>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</si>
  <si>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</si>
  <si>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</si>
  <si>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</si>
  <si>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</si>
  <si>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</si>
  <si>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</si>
  <si>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</si>
  <si>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</si>
  <si>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</si>
  <si>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</si>
  <si>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</si>
  <si>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</si>
  <si>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</si>
  <si>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</si>
  <si>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</si>
  <si>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</si>
  <si>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</si>
  <si>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</si>
  <si>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</si>
  <si>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</si>
  <si>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</si>
  <si>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</si>
  <si>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</si>
  <si>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</si>
  <si>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</si>
  <si>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</si>
  <si>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</si>
  <si>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</si>
  <si>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</si>
  <si>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</si>
  <si>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</si>
  <si>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</si>
  <si>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</si>
  <si>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</si>
  <si>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</si>
  <si>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</si>
  <si>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</si>
  <si>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</si>
  <si>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</si>
  <si>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</si>
  <si>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</si>
  <si>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</si>
  <si>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</si>
  <si>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</si>
  <si>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</si>
  <si>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</si>
  <si>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</si>
  <si>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</si>
  <si>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</si>
  <si>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</si>
  <si>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</si>
  <si>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</si>
  <si>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</si>
  <si>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</si>
  <si>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</si>
  <si>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</si>
  <si>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</si>
  <si>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</si>
  <si>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</si>
  <si>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</si>
  <si>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</si>
  <si>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</si>
  <si>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</si>
  <si>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</si>
  <si>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</si>
  <si>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</si>
  <si>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</si>
  <si>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</si>
  <si>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</si>
  <si>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</si>
  <si>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</si>
  <si>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</si>
  <si>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</si>
  <si>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</si>
  <si>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</si>
  <si>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</si>
  <si>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</si>
  <si>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</si>
  <si>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</si>
  <si>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</si>
  <si>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</si>
  <si>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</si>
  <si>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</si>
  <si>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</si>
  <si>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</si>
  <si>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</si>
  <si>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</si>
  <si>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</si>
  <si>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</si>
  <si>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</si>
  <si>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</si>
  <si>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</si>
  <si>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</si>
  <si>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</si>
  <si>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</si>
  <si>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</si>
  <si>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</si>
  <si>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</si>
  <si>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</si>
  <si>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</si>
  <si>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</si>
  <si>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</si>
  <si>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</si>
  <si>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</si>
  <si>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</si>
  <si>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</si>
  <si>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</si>
  <si>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</si>
  <si>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</si>
  <si>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</si>
  <si>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</si>
  <si>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</si>
  <si>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</si>
  <si>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</si>
  <si>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</si>
  <si>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</si>
  <si>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</si>
  <si>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</si>
  <si>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</si>
  <si>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</si>
  <si>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</si>
  <si>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</si>
  <si>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</si>
  <si>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</si>
  <si>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</si>
  <si>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</si>
  <si>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</si>
  <si>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</si>
  <si>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</si>
  <si>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</si>
  <si>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</si>
  <si>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</si>
  <si>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</si>
  <si>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</si>
  <si>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</si>
  <si>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</si>
  <si>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</si>
  <si>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</si>
  <si>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</si>
  <si>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</si>
  <si>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</si>
  <si>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</si>
  <si>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</si>
  <si>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</si>
  <si>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</si>
  <si>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</si>
  <si>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</si>
  <si>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</si>
  <si>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</si>
  <si>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</si>
  <si>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</si>
  <si>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</si>
  <si>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</si>
  <si>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</si>
  <si>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</si>
  <si>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</si>
  <si>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</si>
  <si>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</si>
  <si>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</si>
  <si>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</si>
  <si>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</si>
  <si>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</si>
  <si>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</si>
  <si>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</si>
  <si>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</si>
  <si>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</si>
  <si>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</si>
  <si>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</si>
  <si>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</si>
  <si>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</si>
  <si>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</si>
  <si>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</si>
  <si>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</si>
  <si>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</si>
  <si>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</si>
  <si>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</si>
  <si>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</si>
  <si>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</si>
  <si>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</si>
  <si>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</si>
  <si>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</si>
  <si>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</si>
  <si>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</si>
  <si>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</si>
  <si>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</si>
  <si>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</si>
  <si>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</si>
  <si>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</si>
  <si>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</si>
  <si>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</si>
  <si>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</si>
  <si>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</si>
  <si>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</si>
  <si>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</si>
  <si>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</si>
  <si>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</si>
  <si>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</si>
  <si>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</si>
  <si>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</si>
  <si>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</si>
  <si>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</si>
  <si>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</si>
  <si>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</si>
  <si>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</si>
  <si>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</si>
  <si>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</si>
  <si>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</si>
  <si>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</si>
  <si>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</si>
  <si>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</si>
  <si>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</si>
  <si>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</si>
  <si>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</si>
  <si>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</si>
  <si>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</si>
  <si>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</si>
  <si>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</si>
  <si>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</si>
  <si>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</si>
  <si>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</si>
  <si>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</si>
  <si>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</si>
  <si>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</si>
  <si>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</si>
  <si>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</si>
  <si>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</si>
  <si>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</si>
  <si>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</si>
  <si>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</si>
  <si>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</si>
  <si>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</si>
  <si>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</si>
  <si>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</si>
  <si>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</si>
  <si>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</si>
  <si>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</si>
  <si>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</si>
  <si>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</si>
  <si>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</si>
  <si>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</si>
  <si>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</si>
  <si>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</si>
  <si>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</si>
  <si>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</si>
  <si>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</si>
  <si>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</si>
  <si>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</si>
  <si>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</si>
  <si>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</si>
  <si>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</si>
  <si>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</si>
  <si>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</si>
  <si>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</si>
  <si>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</si>
  <si>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</si>
  <si>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</si>
  <si>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</si>
  <si>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</si>
  <si>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</si>
  <si>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</si>
  <si>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</si>
  <si>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</si>
  <si>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</si>
  <si>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</si>
  <si>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</si>
  <si>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</si>
  <si>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</si>
  <si>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</si>
  <si>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</si>
  <si>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</si>
  <si>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</si>
  <si>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</si>
  <si>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</si>
  <si>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</si>
  <si>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</si>
  <si>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G4</t>
  </si>
  <si>
    <t>D-stack</t>
  </si>
  <si>
    <t>H10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</si>
  <si>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</si>
  <si>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</si>
  <si>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</si>
  <si>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</si>
  <si>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</si>
  <si>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</si>
  <si>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</si>
  <si>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t>H14</t>
  </si>
  <si>
    <t>H16</t>
  </si>
  <si>
    <t>F7</t>
  </si>
  <si>
    <t>IPTS-23087</t>
  </si>
  <si>
    <t>C6</t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</si>
  <si>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</si>
  <si>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</si>
  <si>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</si>
  <si>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</si>
  <si>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</si>
  <si>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×[(1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</si>
  <si>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</si>
  <si>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</si>
  <si>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BPEI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</si>
  <si>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5_P2HMA_57h63d_22m110h0m-174457-1.</t>
  </si>
  <si>
    <t>2019-11-18T17:13:21.173420667</t>
  </si>
  <si>
    <r>
      <t>S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</si>
  <si>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</si>
  <si>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C8</t>
  </si>
  <si>
    <t>Thu</t>
  </si>
  <si>
    <t>Mar</t>
  </si>
  <si>
    <t>4.2.0</t>
  </si>
  <si>
    <t>25_03_2021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</si>
</sst>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4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2" fontId="0" fillId="36" borderId="0" xfId="0" applyFill="1" applyAlignment="1">
      <alignment horizontal="right" vertical="center"/>
    </xf>
    <xf numFmtId="11" fontId="17" fillId="36" borderId="0" xfId="0" applyNumberFormat="1" applyFont="1" applyFill="1" applyAlignment="1">
      <alignment horizontal="center" vertical="center"/>
    </xf>
    <xf numFmtId="164" fontId="0" fillId="36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37" borderId="0" xfId="0" applyNumberFormat="1" applyFont="1" applyFill="1"/>
    <xf numFmtId="2" fontId="0" fillId="33" borderId="0" xfId="0" applyFill="1"/>
    <xf numFmtId="2" fontId="16" fillId="0" borderId="0" xfId="0" applyFont="1" applyAlignment="1">
      <alignment horizontal="center" vertical="center"/>
    </xf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66" fontId="0" fillId="0" borderId="0" xfId="0" applyNumberFormat="1"/>
    <xf numFmtId="11" fontId="0" fillId="41" borderId="0" xfId="0" applyNumberFormat="1" applyFill="1"/>
    <xf numFmtId="2" fontId="17" fillId="0" borderId="0" xfId="0" applyFont="1" applyAlignment="1">
      <alignment horizontal="center" vertical="center"/>
    </xf>
    <xf numFmtId="164" fontId="0" fillId="0" borderId="0" xfId="0" applyNumberFormat="1"/>
    <xf numFmtId="11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  <xf numFmtId="2" fontId="17" fillId="0" borderId="0" xfId="0" applyFont="1" applyFill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115.1208782197765</c:v>
                </c:pt>
                <c:pt idx="4">
                  <c:v>115.1208782197765</c:v>
                </c:pt>
                <c:pt idx="5">
                  <c:v>126.38051253730676</c:v>
                </c:pt>
                <c:pt idx="6">
                  <c:v>126.38051253730676</c:v>
                </c:pt>
                <c:pt idx="7">
                  <c:v>132.64626163598422</c:v>
                </c:pt>
                <c:pt idx="8">
                  <c:v>132.64626163598422</c:v>
                </c:pt>
                <c:pt idx="9">
                  <c:v>137.23698081961228</c:v>
                </c:pt>
                <c:pt idx="10">
                  <c:v>137.23698081961228</c:v>
                </c:pt>
                <c:pt idx="11">
                  <c:v>140.97284524487472</c:v>
                </c:pt>
                <c:pt idx="12">
                  <c:v>140.97284524487472</c:v>
                </c:pt>
                <c:pt idx="13">
                  <c:v>144.19878491699995</c:v>
                </c:pt>
                <c:pt idx="14">
                  <c:v>144.19878491699995</c:v>
                </c:pt>
                <c:pt idx="15">
                  <c:v>147.09678524823914</c:v>
                </c:pt>
                <c:pt idx="16">
                  <c:v>147.09678524823914</c:v>
                </c:pt>
                <c:pt idx="17">
                  <c:v>149.77743664147087</c:v>
                </c:pt>
                <c:pt idx="18">
                  <c:v>149.77743664147087</c:v>
                </c:pt>
                <c:pt idx="19">
                  <c:v>152.31558093688753</c:v>
                </c:pt>
                <c:pt idx="20">
                  <c:v>152.31558093688753</c:v>
                </c:pt>
                <c:pt idx="21">
                  <c:v>154.76694326146838</c:v>
                </c:pt>
                <c:pt idx="22">
                  <c:v>154.76694326146838</c:v>
                </c:pt>
                <c:pt idx="23">
                  <c:v>157.1771268508252</c:v>
                </c:pt>
                <c:pt idx="24">
                  <c:v>157.1771268508252</c:v>
                </c:pt>
                <c:pt idx="25">
                  <c:v>159.58731044018202</c:v>
                </c:pt>
                <c:pt idx="26">
                  <c:v>159.58731044018202</c:v>
                </c:pt>
                <c:pt idx="27">
                  <c:v>162.03867276476288</c:v>
                </c:pt>
                <c:pt idx="28">
                  <c:v>162.03867276476288</c:v>
                </c:pt>
                <c:pt idx="29">
                  <c:v>164.57681706017954</c:v>
                </c:pt>
                <c:pt idx="30">
                  <c:v>164.57681706017954</c:v>
                </c:pt>
                <c:pt idx="31">
                  <c:v>167.25746845341126</c:v>
                </c:pt>
                <c:pt idx="32">
                  <c:v>167.25746845341126</c:v>
                </c:pt>
                <c:pt idx="33">
                  <c:v>170.15546878465045</c:v>
                </c:pt>
                <c:pt idx="34">
                  <c:v>170.15546878465045</c:v>
                </c:pt>
                <c:pt idx="35">
                  <c:v>173.38140845677569</c:v>
                </c:pt>
                <c:pt idx="36">
                  <c:v>173.38140845677569</c:v>
                </c:pt>
                <c:pt idx="37">
                  <c:v>177.11727288203812</c:v>
                </c:pt>
                <c:pt idx="38">
                  <c:v>177.11727288203812</c:v>
                </c:pt>
                <c:pt idx="39">
                  <c:v>181.70799206566619</c:v>
                </c:pt>
                <c:pt idx="40">
                  <c:v>181.70799206566619</c:v>
                </c:pt>
                <c:pt idx="41">
                  <c:v>187.97374116434366</c:v>
                </c:pt>
                <c:pt idx="42">
                  <c:v>187.97374116434366</c:v>
                </c:pt>
                <c:pt idx="43">
                  <c:v>199.23337548187391</c:v>
                </c:pt>
                <c:pt idx="44">
                  <c:v>199.23337548187391</c:v>
                </c:pt>
                <c:pt idx="45">
                  <c:v>214.35425370165041</c:v>
                </c:pt>
                <c:pt idx="46">
                  <c:v>214.35425370165041</c:v>
                </c:pt>
                <c:pt idx="47">
                  <c:v>285.03372101497951</c:v>
                </c:pt>
                <c:pt idx="48">
                  <c:v>285.03372101497951</c:v>
                </c:pt>
                <c:pt idx="49">
                  <c:v>304.11253301702038</c:v>
                </c:pt>
                <c:pt idx="50">
                  <c:v>304.11253301702038</c:v>
                </c:pt>
                <c:pt idx="51">
                  <c:v>318.31940931306286</c:v>
                </c:pt>
                <c:pt idx="52">
                  <c:v>318.31940931306286</c:v>
                </c:pt>
                <c:pt idx="53">
                  <c:v>326.22523643289742</c:v>
                </c:pt>
                <c:pt idx="54">
                  <c:v>326.22523643289742</c:v>
                </c:pt>
                <c:pt idx="55">
                  <c:v>332.01758969344081</c:v>
                </c:pt>
                <c:pt idx="56">
                  <c:v>332.01758969344081</c:v>
                </c:pt>
                <c:pt idx="57">
                  <c:v>336.73132748027604</c:v>
                </c:pt>
                <c:pt idx="58">
                  <c:v>336.73132748027604</c:v>
                </c:pt>
                <c:pt idx="59">
                  <c:v>340.8016662291131</c:v>
                </c:pt>
                <c:pt idx="60">
                  <c:v>340.8016662291131</c:v>
                </c:pt>
                <c:pt idx="61">
                  <c:v>344.45822656231189</c:v>
                </c:pt>
                <c:pt idx="62">
                  <c:v>344.45822656231189</c:v>
                </c:pt>
                <c:pt idx="63">
                  <c:v>347.84054624183858</c:v>
                </c:pt>
                <c:pt idx="64">
                  <c:v>347.84054624183858</c:v>
                </c:pt>
                <c:pt idx="65">
                  <c:v>351.04305717688283</c:v>
                </c:pt>
                <c:pt idx="66">
                  <c:v>351.04305717688283</c:v>
                </c:pt>
                <c:pt idx="67">
                  <c:v>354.13607070822621</c:v>
                </c:pt>
                <c:pt idx="68">
                  <c:v>354.13607070822621</c:v>
                </c:pt>
                <c:pt idx="69">
                  <c:v>357.17712685082523</c:v>
                </c:pt>
                <c:pt idx="70">
                  <c:v>357.17712685082523</c:v>
                </c:pt>
                <c:pt idx="71">
                  <c:v>360.21818299342425</c:v>
                </c:pt>
                <c:pt idx="72">
                  <c:v>360.21818299342425</c:v>
                </c:pt>
                <c:pt idx="73">
                  <c:v>363.31119652476764</c:v>
                </c:pt>
                <c:pt idx="74">
                  <c:v>363.31119652476764</c:v>
                </c:pt>
                <c:pt idx="75">
                  <c:v>366.51370745981188</c:v>
                </c:pt>
                <c:pt idx="76">
                  <c:v>366.51370745981188</c:v>
                </c:pt>
                <c:pt idx="77">
                  <c:v>369.89602713933857</c:v>
                </c:pt>
                <c:pt idx="78">
                  <c:v>369.89602713933857</c:v>
                </c:pt>
                <c:pt idx="79">
                  <c:v>373.55258747253737</c:v>
                </c:pt>
                <c:pt idx="80">
                  <c:v>373.55258747253737</c:v>
                </c:pt>
                <c:pt idx="81">
                  <c:v>377.62292622137443</c:v>
                </c:pt>
                <c:pt idx="82">
                  <c:v>377.62292622137443</c:v>
                </c:pt>
                <c:pt idx="83">
                  <c:v>382.33666400820965</c:v>
                </c:pt>
                <c:pt idx="84">
                  <c:v>382.33666400820965</c:v>
                </c:pt>
                <c:pt idx="85">
                  <c:v>388.12901726875305</c:v>
                </c:pt>
                <c:pt idx="86">
                  <c:v>388.12901726875305</c:v>
                </c:pt>
                <c:pt idx="87">
                  <c:v>396.0348443885876</c:v>
                </c:pt>
                <c:pt idx="88">
                  <c:v>396.0348443885876</c:v>
                </c:pt>
                <c:pt idx="89">
                  <c:v>410.24172068463008</c:v>
                </c:pt>
                <c:pt idx="90">
                  <c:v>410.24172068463008</c:v>
                </c:pt>
                <c:pt idx="91">
                  <c:v>429.32053268667096</c:v>
                </c:pt>
                <c:pt idx="92">
                  <c:v>429.32053268667096</c:v>
                </c:pt>
                <c:pt idx="93">
                  <c:v>1218.6880397207594</c:v>
                </c:pt>
                <c:pt idx="94">
                  <c:v>1218.6880397207594</c:v>
                </c:pt>
                <c:pt idx="95">
                  <c:v>1222.1302028969076</c:v>
                </c:pt>
                <c:pt idx="96">
                  <c:v>1222.1302028969076</c:v>
                </c:pt>
                <c:pt idx="97">
                  <c:v>1224.6933806476554</c:v>
                </c:pt>
                <c:pt idx="98">
                  <c:v>1224.6933806476554</c:v>
                </c:pt>
                <c:pt idx="99">
                  <c:v>1226.1197350237023</c:v>
                </c:pt>
                <c:pt idx="100">
                  <c:v>1226.1197350237023</c:v>
                </c:pt>
                <c:pt idx="101">
                  <c:v>1227.1647804434356</c:v>
                </c:pt>
                <c:pt idx="102">
                  <c:v>1227.1647804434356</c:v>
                </c:pt>
                <c:pt idx="103">
                  <c:v>1228.0152240994728</c:v>
                </c:pt>
                <c:pt idx="104">
                  <c:v>1228.0152240994728</c:v>
                </c:pt>
                <c:pt idx="105">
                  <c:v>1228.7495869179857</c:v>
                </c:pt>
                <c:pt idx="106">
                  <c:v>1228.7495869179857</c:v>
                </c:pt>
                <c:pt idx="107">
                  <c:v>1229.4092966173607</c:v>
                </c:pt>
                <c:pt idx="108">
                  <c:v>1229.4092966173607</c:v>
                </c:pt>
                <c:pt idx="109">
                  <c:v>1230.0195283366934</c:v>
                </c:pt>
                <c:pt idx="110">
                  <c:v>1230.0195283366934</c:v>
                </c:pt>
                <c:pt idx="111">
                  <c:v>1230.5973193024329</c:v>
                </c:pt>
                <c:pt idx="112">
                  <c:v>1230.5973193024329</c:v>
                </c:pt>
                <c:pt idx="113">
                  <c:v>1231.1553549536977</c:v>
                </c:pt>
                <c:pt idx="114">
                  <c:v>1231.1553549536977</c:v>
                </c:pt>
                <c:pt idx="115">
                  <c:v>1231.7040165511564</c:v>
                </c:pt>
                <c:pt idx="116">
                  <c:v>1231.7040165511564</c:v>
                </c:pt>
                <c:pt idx="117">
                  <c:v>1231.9312892784292</c:v>
                </c:pt>
                <c:pt idx="118">
                  <c:v>1231.9312892784292</c:v>
                </c:pt>
                <c:pt idx="119">
                  <c:v>1232.3858347329747</c:v>
                </c:pt>
                <c:pt idx="120">
                  <c:v>1232.3858347329747</c:v>
                </c:pt>
                <c:pt idx="121">
                  <c:v>1232.8403801875202</c:v>
                </c:pt>
                <c:pt idx="122">
                  <c:v>1232.8403801875202</c:v>
                </c:pt>
                <c:pt idx="123">
                  <c:v>1233.2949256420657</c:v>
                </c:pt>
                <c:pt idx="124">
                  <c:v>1233.2949256420657</c:v>
                </c:pt>
                <c:pt idx="125">
                  <c:v>1233.7494710966112</c:v>
                </c:pt>
                <c:pt idx="126">
                  <c:v>1233.7494710966112</c:v>
                </c:pt>
                <c:pt idx="127">
                  <c:v>1234.2040165511567</c:v>
                </c:pt>
                <c:pt idx="128">
                  <c:v>1234.2040165511567</c:v>
                </c:pt>
                <c:pt idx="129">
                  <c:v>1234.6585620057022</c:v>
                </c:pt>
                <c:pt idx="130">
                  <c:v>1234.6585620057022</c:v>
                </c:pt>
                <c:pt idx="131">
                  <c:v>1235.1131074602476</c:v>
                </c:pt>
                <c:pt idx="132">
                  <c:v>1235.1131074602476</c:v>
                </c:pt>
                <c:pt idx="133">
                  <c:v>1235.5676529147931</c:v>
                </c:pt>
                <c:pt idx="134">
                  <c:v>1235.5676529147931</c:v>
                </c:pt>
                <c:pt idx="135">
                  <c:v>1236.0221983693386</c:v>
                </c:pt>
                <c:pt idx="136">
                  <c:v>1236.0221983693386</c:v>
                </c:pt>
                <c:pt idx="137">
                  <c:v>1236.4767438238841</c:v>
                </c:pt>
                <c:pt idx="138">
                  <c:v>1236.4767438238841</c:v>
                </c:pt>
                <c:pt idx="139">
                  <c:v>1236.9312892784296</c:v>
                </c:pt>
                <c:pt idx="140">
                  <c:v>1236.9312892784296</c:v>
                </c:pt>
                <c:pt idx="141">
                  <c:v>1237.3858347329751</c:v>
                </c:pt>
                <c:pt idx="142">
                  <c:v>1237.3858347329751</c:v>
                </c:pt>
                <c:pt idx="143">
                  <c:v>1237.8403801875206</c:v>
                </c:pt>
                <c:pt idx="144">
                  <c:v>1237.8403801875206</c:v>
                </c:pt>
                <c:pt idx="145">
                  <c:v>1238.2949256420661</c:v>
                </c:pt>
                <c:pt idx="146">
                  <c:v>1238.2949256420661</c:v>
                </c:pt>
                <c:pt idx="147">
                  <c:v>1238.7494710966116</c:v>
                </c:pt>
                <c:pt idx="148">
                  <c:v>1238.7494710966116</c:v>
                </c:pt>
                <c:pt idx="149">
                  <c:v>1239.2040165511571</c:v>
                </c:pt>
                <c:pt idx="150">
                  <c:v>1239.2040165511571</c:v>
                </c:pt>
                <c:pt idx="151">
                  <c:v>1239.6585620057026</c:v>
                </c:pt>
                <c:pt idx="152">
                  <c:v>1239.6585620057026</c:v>
                </c:pt>
                <c:pt idx="153">
                  <c:v>1240.1131074602481</c:v>
                </c:pt>
                <c:pt idx="154">
                  <c:v>1240.1131074602481</c:v>
                </c:pt>
                <c:pt idx="155">
                  <c:v>1240.5676529147936</c:v>
                </c:pt>
                <c:pt idx="156">
                  <c:v>1240.5676529147936</c:v>
                </c:pt>
                <c:pt idx="157">
                  <c:v>1241.0221983693391</c:v>
                </c:pt>
                <c:pt idx="158">
                  <c:v>1241.0221983693391</c:v>
                </c:pt>
                <c:pt idx="159">
                  <c:v>1241.4767438238846</c:v>
                </c:pt>
                <c:pt idx="160">
                  <c:v>1241.4767438238846</c:v>
                </c:pt>
                <c:pt idx="161">
                  <c:v>1241.7040165511573</c:v>
                </c:pt>
                <c:pt idx="162">
                  <c:v>1241.7040165511573</c:v>
                </c:pt>
                <c:pt idx="163">
                  <c:v>1241.9783473498867</c:v>
                </c:pt>
                <c:pt idx="164">
                  <c:v>1241.9783473498867</c:v>
                </c:pt>
                <c:pt idx="165">
                  <c:v>1242.257365175519</c:v>
                </c:pt>
                <c:pt idx="166">
                  <c:v>1242.257365175519</c:v>
                </c:pt>
                <c:pt idx="167">
                  <c:v>1242.5462606583887</c:v>
                </c:pt>
                <c:pt idx="168">
                  <c:v>1242.5462606583887</c:v>
                </c:pt>
                <c:pt idx="169">
                  <c:v>1242.8513765180551</c:v>
                </c:pt>
                <c:pt idx="170">
                  <c:v>1242.8513765180551</c:v>
                </c:pt>
                <c:pt idx="171">
                  <c:v>1243.1812313677426</c:v>
                </c:pt>
                <c:pt idx="172">
                  <c:v>1243.1812313677426</c:v>
                </c:pt>
                <c:pt idx="173">
                  <c:v>1243.5484127769992</c:v>
                </c:pt>
                <c:pt idx="174">
                  <c:v>1243.5484127769992</c:v>
                </c:pt>
                <c:pt idx="175">
                  <c:v>1243.9736346050179</c:v>
                </c:pt>
                <c:pt idx="176">
                  <c:v>1243.9736346050179</c:v>
                </c:pt>
                <c:pt idx="177">
                  <c:v>1244.4961573148846</c:v>
                </c:pt>
                <c:pt idx="178">
                  <c:v>1244.4961573148846</c:v>
                </c:pt>
                <c:pt idx="179">
                  <c:v>1245.2093345029082</c:v>
                </c:pt>
                <c:pt idx="180">
                  <c:v>1245.2093345029082</c:v>
                </c:pt>
                <c:pt idx="181">
                  <c:v>1246.4909233782821</c:v>
                </c:pt>
                <c:pt idx="182">
                  <c:v>1246.4909233782821</c:v>
                </c:pt>
                <c:pt idx="183">
                  <c:v>1248.2120049663563</c:v>
                </c:pt>
                <c:pt idx="184">
                  <c:v>1248.2120049663563</c:v>
                </c:pt>
                <c:pt idx="185">
                  <c:v>1276.4588732157222</c:v>
                </c:pt>
                <c:pt idx="186">
                  <c:v>1276.4588732157222</c:v>
                </c:pt>
                <c:pt idx="187">
                  <c:v>1278.1799548037964</c:v>
                </c:pt>
                <c:pt idx="188">
                  <c:v>1278.1799548037964</c:v>
                </c:pt>
                <c:pt idx="189">
                  <c:v>1279.4615436791703</c:v>
                </c:pt>
                <c:pt idx="190">
                  <c:v>1279.4615436791703</c:v>
                </c:pt>
                <c:pt idx="191">
                  <c:v>1280.1747208671939</c:v>
                </c:pt>
                <c:pt idx="192">
                  <c:v>1280.1747208671939</c:v>
                </c:pt>
                <c:pt idx="193">
                  <c:v>1280.6972435770606</c:v>
                </c:pt>
                <c:pt idx="194">
                  <c:v>1280.6972435770606</c:v>
                </c:pt>
                <c:pt idx="195">
                  <c:v>1281.1224654050793</c:v>
                </c:pt>
                <c:pt idx="196">
                  <c:v>1281.1224654050793</c:v>
                </c:pt>
                <c:pt idx="197">
                  <c:v>1281.4896468143359</c:v>
                </c:pt>
                <c:pt idx="198">
                  <c:v>1281.4896468143359</c:v>
                </c:pt>
                <c:pt idx="199">
                  <c:v>1281.8195016640234</c:v>
                </c:pt>
                <c:pt idx="200">
                  <c:v>1281.8195016640234</c:v>
                </c:pt>
                <c:pt idx="201">
                  <c:v>1282.1246175236897</c:v>
                </c:pt>
                <c:pt idx="202">
                  <c:v>1282.1246175236897</c:v>
                </c:pt>
                <c:pt idx="203">
                  <c:v>1282.4135130065595</c:v>
                </c:pt>
                <c:pt idx="204">
                  <c:v>1282.4135130065595</c:v>
                </c:pt>
                <c:pt idx="205">
                  <c:v>1282.6925308321918</c:v>
                </c:pt>
                <c:pt idx="206">
                  <c:v>1282.6925308321918</c:v>
                </c:pt>
                <c:pt idx="207">
                  <c:v>1282.9668616309211</c:v>
                </c:pt>
                <c:pt idx="208">
                  <c:v>1282.9668616309211</c:v>
                </c:pt>
                <c:pt idx="209">
                  <c:v>1283.2411924296505</c:v>
                </c:pt>
                <c:pt idx="210">
                  <c:v>1283.2411924296505</c:v>
                </c:pt>
                <c:pt idx="211">
                  <c:v>1283.5202102552828</c:v>
                </c:pt>
                <c:pt idx="212">
                  <c:v>1283.5202102552828</c:v>
                </c:pt>
                <c:pt idx="213">
                  <c:v>1283.8091057381525</c:v>
                </c:pt>
                <c:pt idx="214">
                  <c:v>1283.8091057381525</c:v>
                </c:pt>
                <c:pt idx="215">
                  <c:v>1284.1142215978189</c:v>
                </c:pt>
                <c:pt idx="216">
                  <c:v>1284.1142215978189</c:v>
                </c:pt>
                <c:pt idx="217">
                  <c:v>1284.4440764475064</c:v>
                </c:pt>
                <c:pt idx="218">
                  <c:v>1284.4440764475064</c:v>
                </c:pt>
                <c:pt idx="219">
                  <c:v>1284.8112578567629</c:v>
                </c:pt>
                <c:pt idx="220">
                  <c:v>1284.8112578567629</c:v>
                </c:pt>
                <c:pt idx="221">
                  <c:v>1285.2364796847817</c:v>
                </c:pt>
                <c:pt idx="222">
                  <c:v>1285.2364796847817</c:v>
                </c:pt>
                <c:pt idx="223">
                  <c:v>1285.7590023946484</c:v>
                </c:pt>
                <c:pt idx="224">
                  <c:v>1285.7590023946484</c:v>
                </c:pt>
                <c:pt idx="225">
                  <c:v>1286.472179582672</c:v>
                </c:pt>
                <c:pt idx="226">
                  <c:v>1286.472179582672</c:v>
                </c:pt>
                <c:pt idx="227">
                  <c:v>1287.7537684580459</c:v>
                </c:pt>
                <c:pt idx="228">
                  <c:v>1287.7537684580459</c:v>
                </c:pt>
                <c:pt idx="229">
                  <c:v>1289.4748500461201</c:v>
                </c:pt>
                <c:pt idx="230">
                  <c:v>1289.4748500461201</c:v>
                </c:pt>
                <c:pt idx="231">
                  <c:v>1389.4748500461201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6.2775210251849733E-9</c:v>
                </c:pt>
                <c:pt idx="3">
                  <c:v>6.2775210251849733E-9</c:v>
                </c:pt>
                <c:pt idx="4">
                  <c:v>5.1709756249262764E-8</c:v>
                </c:pt>
                <c:pt idx="5">
                  <c:v>5.1709756249262764E-8</c:v>
                </c:pt>
                <c:pt idx="6">
                  <c:v>1.1743430644503301E-7</c:v>
                </c:pt>
                <c:pt idx="7">
                  <c:v>1.1743430644503301E-7</c:v>
                </c:pt>
                <c:pt idx="8">
                  <c:v>1.9180507346024993E-7</c:v>
                </c:pt>
                <c:pt idx="9">
                  <c:v>1.9180507346024993E-7</c:v>
                </c:pt>
                <c:pt idx="10">
                  <c:v>2.7029227619890691E-7</c:v>
                </c:pt>
                <c:pt idx="11">
                  <c:v>2.7029227619890691E-7</c:v>
                </c:pt>
                <c:pt idx="12">
                  <c:v>3.5082221683157841E-7</c:v>
                </c:pt>
                <c:pt idx="13">
                  <c:v>3.5082221683157841E-7</c:v>
                </c:pt>
                <c:pt idx="14">
                  <c:v>4.3236113304900342E-7</c:v>
                </c:pt>
                <c:pt idx="15">
                  <c:v>4.3236113304900342E-7</c:v>
                </c:pt>
                <c:pt idx="16">
                  <c:v>5.1437506677281833E-7</c:v>
                </c:pt>
                <c:pt idx="17">
                  <c:v>5.1437506677281833E-7</c:v>
                </c:pt>
                <c:pt idx="18">
                  <c:v>5.9659038685728553E-7</c:v>
                </c:pt>
                <c:pt idx="19">
                  <c:v>5.9659038685728553E-7</c:v>
                </c:pt>
                <c:pt idx="20">
                  <c:v>6.7887546646719375E-7</c:v>
                </c:pt>
                <c:pt idx="21">
                  <c:v>6.7887546646719375E-7</c:v>
                </c:pt>
                <c:pt idx="22">
                  <c:v>7.6117664335493792E-7</c:v>
                </c:pt>
                <c:pt idx="23">
                  <c:v>7.6117664335493792E-7</c:v>
                </c:pt>
                <c:pt idx="24">
                  <c:v>8.4347961395197716E-7</c:v>
                </c:pt>
                <c:pt idx="25">
                  <c:v>8.4347961395197716E-7</c:v>
                </c:pt>
                <c:pt idx="26">
                  <c:v>9.2578079083972133E-7</c:v>
                </c:pt>
                <c:pt idx="27">
                  <c:v>9.2578079083972133E-7</c:v>
                </c:pt>
                <c:pt idx="28">
                  <c:v>1.0080658704496294E-6</c:v>
                </c:pt>
                <c:pt idx="29">
                  <c:v>1.0080658704496294E-6</c:v>
                </c:pt>
                <c:pt idx="30">
                  <c:v>1.0902811905340968E-6</c:v>
                </c:pt>
                <c:pt idx="31">
                  <c:v>1.0902811905340968E-6</c:v>
                </c:pt>
                <c:pt idx="32">
                  <c:v>1.1722951242579117E-6</c:v>
                </c:pt>
                <c:pt idx="33">
                  <c:v>1.1722951242579117E-6</c:v>
                </c:pt>
                <c:pt idx="34">
                  <c:v>1.2538340404753367E-6</c:v>
                </c:pt>
                <c:pt idx="35">
                  <c:v>1.2538340404753367E-6</c:v>
                </c:pt>
                <c:pt idx="36">
                  <c:v>1.3343639811080081E-6</c:v>
                </c:pt>
                <c:pt idx="37">
                  <c:v>1.3343639811080081E-6</c:v>
                </c:pt>
                <c:pt idx="38">
                  <c:v>1.4128511838466652E-6</c:v>
                </c:pt>
                <c:pt idx="39">
                  <c:v>1.4128511838466652E-6</c:v>
                </c:pt>
                <c:pt idx="40">
                  <c:v>1.487221950861882E-6</c:v>
                </c:pt>
                <c:pt idx="41">
                  <c:v>1.487221950861882E-6</c:v>
                </c:pt>
                <c:pt idx="42">
                  <c:v>1.5529465010576522E-6</c:v>
                </c:pt>
                <c:pt idx="43">
                  <c:v>1.5529465010576522E-6</c:v>
                </c:pt>
                <c:pt idx="44">
                  <c:v>1.5983787362817301E-6</c:v>
                </c:pt>
                <c:pt idx="45">
                  <c:v>1.5983787362817301E-6</c:v>
                </c:pt>
                <c:pt idx="46">
                  <c:v>1.6046562573069151E-6</c:v>
                </c:pt>
                <c:pt idx="47">
                  <c:v>1.6046562573069151E-6</c:v>
                </c:pt>
                <c:pt idx="48">
                  <c:v>1.6046562573069151E-6</c:v>
                </c:pt>
                <c:pt idx="49">
                  <c:v>1.6046562573069151E-6</c:v>
                </c:pt>
                <c:pt idx="50">
                  <c:v>1.6046562573069151E-6</c:v>
                </c:pt>
                <c:pt idx="51">
                  <c:v>1.6046562573069151E-6</c:v>
                </c:pt>
                <c:pt idx="52">
                  <c:v>1.6046562573069151E-6</c:v>
                </c:pt>
                <c:pt idx="53">
                  <c:v>1.6046562573069151E-6</c:v>
                </c:pt>
                <c:pt idx="54">
                  <c:v>1.6046562573069151E-6</c:v>
                </c:pt>
                <c:pt idx="55">
                  <c:v>1.6046562573069151E-6</c:v>
                </c:pt>
                <c:pt idx="56">
                  <c:v>1.6046562573069151E-6</c:v>
                </c:pt>
                <c:pt idx="57">
                  <c:v>1.6046562573069151E-6</c:v>
                </c:pt>
                <c:pt idx="58">
                  <c:v>1.6046562573069151E-6</c:v>
                </c:pt>
                <c:pt idx="59">
                  <c:v>1.6046562573069151E-6</c:v>
                </c:pt>
                <c:pt idx="60">
                  <c:v>1.6046562573069151E-6</c:v>
                </c:pt>
                <c:pt idx="61">
                  <c:v>1.6046562573069151E-6</c:v>
                </c:pt>
                <c:pt idx="62">
                  <c:v>1.6046562573069151E-6</c:v>
                </c:pt>
                <c:pt idx="63">
                  <c:v>1.6046562573069151E-6</c:v>
                </c:pt>
                <c:pt idx="64">
                  <c:v>1.6046562573069151E-6</c:v>
                </c:pt>
                <c:pt idx="65">
                  <c:v>1.6046562573069151E-6</c:v>
                </c:pt>
                <c:pt idx="66">
                  <c:v>1.6046562573069151E-6</c:v>
                </c:pt>
                <c:pt idx="67">
                  <c:v>1.6046562573069151E-6</c:v>
                </c:pt>
                <c:pt idx="68">
                  <c:v>1.6046562573069151E-6</c:v>
                </c:pt>
                <c:pt idx="69">
                  <c:v>1.6046562573069151E-6</c:v>
                </c:pt>
                <c:pt idx="70">
                  <c:v>1.6046562573069151E-6</c:v>
                </c:pt>
                <c:pt idx="71">
                  <c:v>1.6046562573069151E-6</c:v>
                </c:pt>
                <c:pt idx="72">
                  <c:v>1.6046562573069151E-6</c:v>
                </c:pt>
                <c:pt idx="73">
                  <c:v>1.6046562573069151E-6</c:v>
                </c:pt>
                <c:pt idx="74">
                  <c:v>1.6046562573069151E-6</c:v>
                </c:pt>
                <c:pt idx="75">
                  <c:v>1.6046562573069151E-6</c:v>
                </c:pt>
                <c:pt idx="76">
                  <c:v>1.6046562573069151E-6</c:v>
                </c:pt>
                <c:pt idx="77">
                  <c:v>1.6046562573069151E-6</c:v>
                </c:pt>
                <c:pt idx="78">
                  <c:v>1.6046562573069151E-6</c:v>
                </c:pt>
                <c:pt idx="79">
                  <c:v>1.6046562573069151E-6</c:v>
                </c:pt>
                <c:pt idx="80">
                  <c:v>1.6046562573069151E-6</c:v>
                </c:pt>
                <c:pt idx="81">
                  <c:v>1.6046562573069151E-6</c:v>
                </c:pt>
                <c:pt idx="82">
                  <c:v>1.6046562573069151E-6</c:v>
                </c:pt>
                <c:pt idx="83">
                  <c:v>1.6046562573069151E-6</c:v>
                </c:pt>
                <c:pt idx="84">
                  <c:v>1.6046562573069151E-6</c:v>
                </c:pt>
                <c:pt idx="85">
                  <c:v>1.6046562573069151E-6</c:v>
                </c:pt>
                <c:pt idx="86">
                  <c:v>1.6046562573069151E-6</c:v>
                </c:pt>
                <c:pt idx="87">
                  <c:v>1.6046562573069151E-6</c:v>
                </c:pt>
                <c:pt idx="88">
                  <c:v>1.6046562573069151E-6</c:v>
                </c:pt>
                <c:pt idx="89">
                  <c:v>1.6046562573069151E-6</c:v>
                </c:pt>
                <c:pt idx="90">
                  <c:v>1.6046562573069151E-6</c:v>
                </c:pt>
                <c:pt idx="91">
                  <c:v>1.6046562573069151E-6</c:v>
                </c:pt>
                <c:pt idx="92">
                  <c:v>1.6046562573069151E-6</c:v>
                </c:pt>
                <c:pt idx="93">
                  <c:v>1.6046562573069151E-6</c:v>
                </c:pt>
                <c:pt idx="94">
                  <c:v>1.6051246907675377E-6</c:v>
                </c:pt>
                <c:pt idx="95">
                  <c:v>1.6051246907675377E-6</c:v>
                </c:pt>
                <c:pt idx="96">
                  <c:v>1.6085148792009103E-6</c:v>
                </c:pt>
                <c:pt idx="97">
                  <c:v>1.6085148792009103E-6</c:v>
                </c:pt>
                <c:pt idx="98">
                  <c:v>1.6134192958285171E-6</c:v>
                </c:pt>
                <c:pt idx="99">
                  <c:v>1.6134192958285171E-6</c:v>
                </c:pt>
                <c:pt idx="100">
                  <c:v>1.618968899823841E-6</c:v>
                </c:pt>
                <c:pt idx="101">
                  <c:v>1.618968899823841E-6</c:v>
                </c:pt>
                <c:pt idx="102">
                  <c:v>1.6248256754277706E-6</c:v>
                </c:pt>
                <c:pt idx="103">
                  <c:v>1.6248256754277706E-6</c:v>
                </c:pt>
                <c:pt idx="104">
                  <c:v>1.6308348817088733E-6</c:v>
                </c:pt>
                <c:pt idx="105">
                  <c:v>1.6308348817088733E-6</c:v>
                </c:pt>
                <c:pt idx="106">
                  <c:v>1.6369193785263125E-6</c:v>
                </c:pt>
                <c:pt idx="107">
                  <c:v>1.6369193785263125E-6</c:v>
                </c:pt>
                <c:pt idx="108">
                  <c:v>1.6430393215164498E-6</c:v>
                </c:pt>
                <c:pt idx="109">
                  <c:v>1.6430393215164498E-6</c:v>
                </c:pt>
                <c:pt idx="110">
                  <c:v>1.6491742921121441E-6</c:v>
                </c:pt>
                <c:pt idx="111">
                  <c:v>1.6491742921121441E-6</c:v>
                </c:pt>
                <c:pt idx="112">
                  <c:v>1.6553144682174311E-6</c:v>
                </c:pt>
                <c:pt idx="113">
                  <c:v>1.6553144682174311E-6</c:v>
                </c:pt>
                <c:pt idx="114">
                  <c:v>1.6614558455140053E-6</c:v>
                </c:pt>
                <c:pt idx="115">
                  <c:v>1.6614558455140053E-6</c:v>
                </c:pt>
                <c:pt idx="116">
                  <c:v>1.6658070367384392E-6</c:v>
                </c:pt>
                <c:pt idx="117">
                  <c:v>1.6658070367384392E-6</c:v>
                </c:pt>
                <c:pt idx="118">
                  <c:v>1.6696347884568394E-6</c:v>
                </c:pt>
                <c:pt idx="119">
                  <c:v>1.6696347884568394E-6</c:v>
                </c:pt>
                <c:pt idx="120">
                  <c:v>1.674688351632675E-6</c:v>
                </c:pt>
                <c:pt idx="121">
                  <c:v>1.674688351632675E-6</c:v>
                </c:pt>
                <c:pt idx="122">
                  <c:v>1.6796405725230574E-6</c:v>
                </c:pt>
                <c:pt idx="123">
                  <c:v>1.6796405725230574E-6</c:v>
                </c:pt>
                <c:pt idx="124">
                  <c:v>1.6844559294332856E-6</c:v>
                </c:pt>
                <c:pt idx="125">
                  <c:v>1.6844559294332856E-6</c:v>
                </c:pt>
                <c:pt idx="126">
                  <c:v>1.6891230225464175E-6</c:v>
                </c:pt>
                <c:pt idx="127">
                  <c:v>1.6891230225464175E-6</c:v>
                </c:pt>
                <c:pt idx="128">
                  <c:v>1.6936728781738011E-6</c:v>
                </c:pt>
                <c:pt idx="129">
                  <c:v>1.6936728781738011E-6</c:v>
                </c:pt>
                <c:pt idx="130">
                  <c:v>1.6982083343074465E-6</c:v>
                </c:pt>
                <c:pt idx="131">
                  <c:v>1.6982083343074465E-6</c:v>
                </c:pt>
                <c:pt idx="132">
                  <c:v>1.7029486550938797E-6</c:v>
                </c:pt>
                <c:pt idx="133">
                  <c:v>1.7029486550938797E-6</c:v>
                </c:pt>
                <c:pt idx="134">
                  <c:v>1.7082921918558109E-6</c:v>
                </c:pt>
                <c:pt idx="135">
                  <c:v>1.7082921918558109E-6</c:v>
                </c:pt>
                <c:pt idx="136">
                  <c:v>1.71489584742656E-6</c:v>
                </c:pt>
                <c:pt idx="137">
                  <c:v>1.71489584742656E-6</c:v>
                </c:pt>
                <c:pt idx="138">
                  <c:v>1.7237625308375588E-6</c:v>
                </c:pt>
                <c:pt idx="139">
                  <c:v>1.7237625308375588E-6</c:v>
                </c:pt>
                <c:pt idx="140">
                  <c:v>1.7363170998646439E-6</c:v>
                </c:pt>
                <c:pt idx="141">
                  <c:v>1.7363170998646439E-6</c:v>
                </c:pt>
                <c:pt idx="142">
                  <c:v>1.7544398916111714E-6</c:v>
                </c:pt>
                <c:pt idx="143">
                  <c:v>1.7544398916111714E-6</c:v>
                </c:pt>
                <c:pt idx="144">
                  <c:v>1.7804195814472903E-6</c:v>
                </c:pt>
                <c:pt idx="145">
                  <c:v>1.7804195814472903E-6</c:v>
                </c:pt>
                <c:pt idx="146">
                  <c:v>1.8167899573124624E-6</c:v>
                </c:pt>
                <c:pt idx="147">
                  <c:v>1.8167899573124624E-6</c:v>
                </c:pt>
                <c:pt idx="148">
                  <c:v>1.8660333945018442E-6</c:v>
                </c:pt>
                <c:pt idx="149">
                  <c:v>1.8660333945018442E-6</c:v>
                </c:pt>
                <c:pt idx="150">
                  <c:v>1.9301680527670717E-6</c:v>
                </c:pt>
                <c:pt idx="151">
                  <c:v>1.9301680527670717E-6</c:v>
                </c:pt>
                <c:pt idx="152">
                  <c:v>2.0102795067473101E-6</c:v>
                </c:pt>
                <c:pt idx="153">
                  <c:v>2.0102795067473101E-6</c:v>
                </c:pt>
                <c:pt idx="154">
                  <c:v>2.1060967167652985E-6</c:v>
                </c:pt>
                <c:pt idx="155">
                  <c:v>2.1060967167652985E-6</c:v>
                </c:pt>
                <c:pt idx="156">
                  <c:v>2.2157296560062247E-6</c:v>
                </c:pt>
                <c:pt idx="157">
                  <c:v>2.2157296560062247E-6</c:v>
                </c:pt>
                <c:pt idx="158">
                  <c:v>2.3356682978451038E-6</c:v>
                </c:pt>
                <c:pt idx="159">
                  <c:v>2.3356682978451038E-6</c:v>
                </c:pt>
                <c:pt idx="160">
                  <c:v>2.4295176589392118E-6</c:v>
                </c:pt>
                <c:pt idx="161">
                  <c:v>2.4295176589392118E-6</c:v>
                </c:pt>
                <c:pt idx="162">
                  <c:v>2.5000403822831728E-6</c:v>
                </c:pt>
                <c:pt idx="163">
                  <c:v>2.5000403822831728E-6</c:v>
                </c:pt>
                <c:pt idx="164">
                  <c:v>2.5757225525322249E-6</c:v>
                </c:pt>
                <c:pt idx="165">
                  <c:v>2.5757225525322249E-6</c:v>
                </c:pt>
                <c:pt idx="166">
                  <c:v>2.6513899201141974E-6</c:v>
                </c:pt>
                <c:pt idx="167">
                  <c:v>2.6513899201141974E-6</c:v>
                </c:pt>
                <c:pt idx="168">
                  <c:v>2.7269931385250332E-6</c:v>
                </c:pt>
                <c:pt idx="169">
                  <c:v>2.7269931385250332E-6</c:v>
                </c:pt>
                <c:pt idx="170">
                  <c:v>2.802411166912967E-6</c:v>
                </c:pt>
                <c:pt idx="171">
                  <c:v>2.802411166912967E-6</c:v>
                </c:pt>
                <c:pt idx="172">
                  <c:v>2.8773923806993435E-6</c:v>
                </c:pt>
                <c:pt idx="173">
                  <c:v>2.8773923806993435E-6</c:v>
                </c:pt>
                <c:pt idx="174">
                  <c:v>2.9514457649592163E-6</c:v>
                </c:pt>
                <c:pt idx="175">
                  <c:v>2.9514457649592163E-6</c:v>
                </c:pt>
                <c:pt idx="176">
                  <c:v>3.0236206968941626E-6</c:v>
                </c:pt>
                <c:pt idx="177">
                  <c:v>3.0236206968941626E-6</c:v>
                </c:pt>
                <c:pt idx="178">
                  <c:v>3.0920102541720052E-6</c:v>
                </c:pt>
                <c:pt idx="179">
                  <c:v>3.0920102541720052E-6</c:v>
                </c:pt>
                <c:pt idx="180">
                  <c:v>3.1524489597356358E-6</c:v>
                </c:pt>
                <c:pt idx="181">
                  <c:v>3.1524489597356358E-6</c:v>
                </c:pt>
                <c:pt idx="182">
                  <c:v>3.1942273436063003E-6</c:v>
                </c:pt>
                <c:pt idx="183">
                  <c:v>3.1942273436063003E-6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3.1955140395727289E-6</c:v>
                </c:pt>
                <c:pt idx="187">
                  <c:v>3.1955140395727289E-6</c:v>
                </c:pt>
                <c:pt idx="188">
                  <c:v>3.1630478465452543E-6</c:v>
                </c:pt>
                <c:pt idx="189">
                  <c:v>3.1630478465452543E-6</c:v>
                </c:pt>
                <c:pt idx="190">
                  <c:v>3.1160806233220189E-6</c:v>
                </c:pt>
                <c:pt idx="191">
                  <c:v>3.1160806233220189E-6</c:v>
                </c:pt>
                <c:pt idx="192">
                  <c:v>3.0629347530911451E-6</c:v>
                </c:pt>
                <c:pt idx="193">
                  <c:v>3.0629347530911451E-6</c:v>
                </c:pt>
                <c:pt idx="194">
                  <c:v>3.0068472491034633E-6</c:v>
                </c:pt>
                <c:pt idx="195">
                  <c:v>3.0068472491034633E-6</c:v>
                </c:pt>
                <c:pt idx="196">
                  <c:v>2.9492999903305614E-6</c:v>
                </c:pt>
                <c:pt idx="197">
                  <c:v>2.9492999903305614E-6</c:v>
                </c:pt>
                <c:pt idx="198">
                  <c:v>2.8910317105483899E-6</c:v>
                </c:pt>
                <c:pt idx="199">
                  <c:v>2.8910317105483899E-6</c:v>
                </c:pt>
                <c:pt idx="200">
                  <c:v>2.8324239799340546E-6</c:v>
                </c:pt>
                <c:pt idx="201">
                  <c:v>2.8324239799340546E-6</c:v>
                </c:pt>
                <c:pt idx="202">
                  <c:v>2.7736723372179748E-6</c:v>
                </c:pt>
                <c:pt idx="203">
                  <c:v>2.7736723372179748E-6</c:v>
                </c:pt>
                <c:pt idx="204">
                  <c:v>2.7148708438571425E-6</c:v>
                </c:pt>
                <c:pt idx="205">
                  <c:v>2.7148708438571425E-6</c:v>
                </c:pt>
                <c:pt idx="206">
                  <c:v>2.6560578472689905E-6</c:v>
                </c:pt>
                <c:pt idx="207">
                  <c:v>2.6560578472689905E-6</c:v>
                </c:pt>
                <c:pt idx="208">
                  <c:v>2.5972435688836311E-6</c:v>
                </c:pt>
                <c:pt idx="209">
                  <c:v>2.5972435688836311E-6</c:v>
                </c:pt>
                <c:pt idx="210">
                  <c:v>2.538430572295479E-6</c:v>
                </c:pt>
                <c:pt idx="211">
                  <c:v>2.538430572295479E-6</c:v>
                </c:pt>
                <c:pt idx="212">
                  <c:v>2.4796290789346468E-6</c:v>
                </c:pt>
                <c:pt idx="213">
                  <c:v>2.4796290789346468E-6</c:v>
                </c:pt>
                <c:pt idx="214">
                  <c:v>2.420877436218567E-6</c:v>
                </c:pt>
                <c:pt idx="215">
                  <c:v>2.420877436218567E-6</c:v>
                </c:pt>
                <c:pt idx="216">
                  <c:v>2.3622697056042317E-6</c:v>
                </c:pt>
                <c:pt idx="217">
                  <c:v>2.3622697056042317E-6</c:v>
                </c:pt>
                <c:pt idx="218">
                  <c:v>2.3040014258220602E-6</c:v>
                </c:pt>
                <c:pt idx="219">
                  <c:v>2.3040014258220602E-6</c:v>
                </c:pt>
                <c:pt idx="220">
                  <c:v>2.2464541670491583E-6</c:v>
                </c:pt>
                <c:pt idx="221">
                  <c:v>2.2464541670491583E-6</c:v>
                </c:pt>
                <c:pt idx="222">
                  <c:v>2.1903666630614765E-6</c:v>
                </c:pt>
                <c:pt idx="223">
                  <c:v>2.1903666630614765E-6</c:v>
                </c:pt>
                <c:pt idx="224">
                  <c:v>2.1372207928306027E-6</c:v>
                </c:pt>
                <c:pt idx="225">
                  <c:v>2.1372207928306027E-6</c:v>
                </c:pt>
                <c:pt idx="226">
                  <c:v>2.0902535696073672E-6</c:v>
                </c:pt>
                <c:pt idx="227">
                  <c:v>2.0902535696073672E-6</c:v>
                </c:pt>
                <c:pt idx="228">
                  <c:v>2.0577873765798927E-6</c:v>
                </c:pt>
                <c:pt idx="229">
                  <c:v>2.0577873765798927E-6</c:v>
                </c:pt>
                <c:pt idx="230">
                  <c:v>2.0533014161526217E-6</c:v>
                </c:pt>
                <c:pt idx="231">
                  <c:v>2.0533014161526217E-6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8.1014360403499994E-3</c:v>
                </c:pt>
                <c:pt idx="1">
                  <c:v>8.1824504007600007E-3</c:v>
                </c:pt>
                <c:pt idx="2">
                  <c:v>8.2642749047700005E-3</c:v>
                </c:pt>
                <c:pt idx="3">
                  <c:v>8.3469176538099998E-3</c:v>
                </c:pt>
                <c:pt idx="4">
                  <c:v>8.4303868303500003E-3</c:v>
                </c:pt>
                <c:pt idx="5">
                  <c:v>8.5146906986500008E-3</c:v>
                </c:pt>
                <c:pt idx="6">
                  <c:v>8.5998376056400008E-3</c:v>
                </c:pt>
                <c:pt idx="7">
                  <c:v>8.6858359817000002E-3</c:v>
                </c:pt>
                <c:pt idx="8">
                  <c:v>8.7726943415100001E-3</c:v>
                </c:pt>
                <c:pt idx="9">
                  <c:v>8.86042128493E-3</c:v>
                </c:pt>
                <c:pt idx="10">
                  <c:v>8.9490254977800006E-3</c:v>
                </c:pt>
                <c:pt idx="11">
                  <c:v>9.0385157527600006E-3</c:v>
                </c:pt>
                <c:pt idx="12">
                  <c:v>9.1289009102799995E-3</c:v>
                </c:pt>
                <c:pt idx="13">
                  <c:v>9.2201899193900001E-3</c:v>
                </c:pt>
                <c:pt idx="14">
                  <c:v>9.3123918185800004E-3</c:v>
                </c:pt>
                <c:pt idx="15">
                  <c:v>9.4055157367700006E-3</c:v>
                </c:pt>
                <c:pt idx="16">
                  <c:v>9.4995708941299998E-3</c:v>
                </c:pt>
                <c:pt idx="17">
                  <c:v>9.5945666030799997E-3</c:v>
                </c:pt>
                <c:pt idx="18">
                  <c:v>9.69051226911E-3</c:v>
                </c:pt>
                <c:pt idx="19">
                  <c:v>9.7874173918000001E-3</c:v>
                </c:pt>
                <c:pt idx="20">
                  <c:v>9.8852915657199995E-3</c:v>
                </c:pt>
                <c:pt idx="21">
                  <c:v>9.9841444813699998E-3</c:v>
                </c:pt>
                <c:pt idx="22">
                  <c:v>1.0083985926200001E-2</c:v>
                </c:pt>
                <c:pt idx="23">
                  <c:v>1.01848257854E-2</c:v>
                </c:pt>
                <c:pt idx="24">
                  <c:v>1.02866740433E-2</c:v>
                </c:pt>
                <c:pt idx="25">
                  <c:v>1.03895407837E-2</c:v>
                </c:pt>
                <c:pt idx="26">
                  <c:v>1.04934361916E-2</c:v>
                </c:pt>
                <c:pt idx="27">
                  <c:v>1.05983705535E-2</c:v>
                </c:pt>
                <c:pt idx="28">
                  <c:v>1.0704354259E-2</c:v>
                </c:pt>
                <c:pt idx="29">
                  <c:v>1.08113978016E-2</c:v>
                </c:pt>
                <c:pt idx="30">
                  <c:v>1.0919511779600001E-2</c:v>
                </c:pt>
                <c:pt idx="31">
                  <c:v>1.1028706897400001E-2</c:v>
                </c:pt>
                <c:pt idx="32">
                  <c:v>1.11389939664E-2</c:v>
                </c:pt>
                <c:pt idx="33">
                  <c:v>1.12503839061E-2</c:v>
                </c:pt>
                <c:pt idx="34">
                  <c:v>1.1362887745099999E-2</c:v>
                </c:pt>
                <c:pt idx="35">
                  <c:v>1.14765166226E-2</c:v>
                </c:pt>
                <c:pt idx="36">
                  <c:v>1.1591281788799999E-2</c:v>
                </c:pt>
                <c:pt idx="37">
                  <c:v>1.17071946067E-2</c:v>
                </c:pt>
                <c:pt idx="38">
                  <c:v>1.18242665528E-2</c:v>
                </c:pt>
                <c:pt idx="39">
                  <c:v>1.19425092183E-2</c:v>
                </c:pt>
                <c:pt idx="40">
                  <c:v>1.2061934310500001E-2</c:v>
                </c:pt>
                <c:pt idx="41">
                  <c:v>1.2182553653599999E-2</c:v>
                </c:pt>
                <c:pt idx="42">
                  <c:v>1.2304379190100001E-2</c:v>
                </c:pt>
                <c:pt idx="43">
                  <c:v>1.2427422981999999E-2</c:v>
                </c:pt>
                <c:pt idx="44">
                  <c:v>1.25516972118E-2</c:v>
                </c:pt>
                <c:pt idx="45">
                  <c:v>1.26772141839E-2</c:v>
                </c:pt>
                <c:pt idx="46">
                  <c:v>1.28039863258E-2</c:v>
                </c:pt>
                <c:pt idx="47">
                  <c:v>1.2932026189000001E-2</c:v>
                </c:pt>
                <c:pt idx="48">
                  <c:v>1.3061346450899999E-2</c:v>
                </c:pt>
                <c:pt idx="49">
                  <c:v>1.31919599154E-2</c:v>
                </c:pt>
                <c:pt idx="50">
                  <c:v>1.33238795146E-2</c:v>
                </c:pt>
                <c:pt idx="51">
                  <c:v>1.3457118309700001E-2</c:v>
                </c:pt>
                <c:pt idx="52">
                  <c:v>1.3591689492799999E-2</c:v>
                </c:pt>
                <c:pt idx="53">
                  <c:v>1.37276063878E-2</c:v>
                </c:pt>
                <c:pt idx="54">
                  <c:v>1.3864882451600001E-2</c:v>
                </c:pt>
                <c:pt idx="55">
                  <c:v>1.40035312762E-2</c:v>
                </c:pt>
                <c:pt idx="56">
                  <c:v>1.41435665889E-2</c:v>
                </c:pt>
                <c:pt idx="57">
                  <c:v>1.42850022548E-2</c:v>
                </c:pt>
                <c:pt idx="58">
                  <c:v>1.44278522774E-2</c:v>
                </c:pt>
                <c:pt idx="59">
                  <c:v>1.4572130800099999E-2</c:v>
                </c:pt>
                <c:pt idx="60">
                  <c:v>1.4717852108099999E-2</c:v>
                </c:pt>
                <c:pt idx="61">
                  <c:v>1.4865030629200001E-2</c:v>
                </c:pt>
                <c:pt idx="62">
                  <c:v>1.50136809355E-2</c:v>
                </c:pt>
                <c:pt idx="63">
                  <c:v>1.5163817744900001E-2</c:v>
                </c:pt>
                <c:pt idx="64">
                  <c:v>1.5315455922300001E-2</c:v>
                </c:pt>
                <c:pt idx="65">
                  <c:v>1.54686104815E-2</c:v>
                </c:pt>
                <c:pt idx="66">
                  <c:v>1.56232965864E-2</c:v>
                </c:pt>
                <c:pt idx="67">
                  <c:v>1.5779529552200001E-2</c:v>
                </c:pt>
                <c:pt idx="68">
                  <c:v>1.59373248477E-2</c:v>
                </c:pt>
                <c:pt idx="69">
                  <c:v>1.6096698096199999E-2</c:v>
                </c:pt>
                <c:pt idx="70">
                  <c:v>1.6257665077200001E-2</c:v>
                </c:pt>
                <c:pt idx="71">
                  <c:v>1.6420241727999999E-2</c:v>
                </c:pt>
                <c:pt idx="72">
                  <c:v>1.6584444145200002E-2</c:v>
                </c:pt>
                <c:pt idx="73">
                  <c:v>1.67502885867E-2</c:v>
                </c:pt>
                <c:pt idx="74">
                  <c:v>1.6917791472599999E-2</c:v>
                </c:pt>
                <c:pt idx="75">
                  <c:v>1.7086969387300002E-2</c:v>
                </c:pt>
                <c:pt idx="76">
                  <c:v>1.7257839081199999E-2</c:v>
                </c:pt>
                <c:pt idx="77">
                  <c:v>1.7430417472000002E-2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4.2754626633212289E-9</c:v>
                </c:pt>
                <c:pt idx="1">
                  <c:v>4.4466435134784049E-9</c:v>
                </c:pt>
                <c:pt idx="2">
                  <c:v>4.6243180002362893E-9</c:v>
                </c:pt>
                <c:pt idx="3">
                  <c:v>4.8086318890180313E-9</c:v>
                </c:pt>
                <c:pt idx="4">
                  <c:v>4.9997050220384386E-9</c:v>
                </c:pt>
                <c:pt idx="5">
                  <c:v>5.1976120086559224E-9</c:v>
                </c:pt>
                <c:pt idx="6">
                  <c:v>5.4023548263672414E-9</c:v>
                </c:pt>
                <c:pt idx="7">
                  <c:v>5.6138246782763117E-9</c:v>
                </c:pt>
                <c:pt idx="8">
                  <c:v>5.8317419748049663E-9</c:v>
                </c:pt>
                <c:pt idx="9">
                  <c:v>6.055557863478781E-9</c:v>
                </c:pt>
                <c:pt idx="10">
                  <c:v>6.2842874988811572E-9</c:v>
                </c:pt>
                <c:pt idx="11">
                  <c:v>6.516219337400269E-9</c:v>
                </c:pt>
                <c:pt idx="12">
                  <c:v>6.7483933849707503E-9</c:v>
                </c:pt>
                <c:pt idx="13">
                  <c:v>6.9756579069583807E-9</c:v>
                </c:pt>
                <c:pt idx="14">
                  <c:v>7.189074302908968E-9</c:v>
                </c:pt>
                <c:pt idx="15">
                  <c:v>7.3739496594169327E-9</c:v>
                </c:pt>
                <c:pt idx="16">
                  <c:v>7.510347419457527E-9</c:v>
                </c:pt>
                <c:pt idx="17">
                  <c:v>7.584827060672238E-9</c:v>
                </c:pt>
                <c:pt idx="18">
                  <c:v>7.6212628734582378E-9</c:v>
                </c:pt>
                <c:pt idx="19">
                  <c:v>7.7034794850726145E-9</c:v>
                </c:pt>
                <c:pt idx="20">
                  <c:v>7.897866677936161E-9</c:v>
                </c:pt>
                <c:pt idx="21">
                  <c:v>8.0533108838180734E-9</c:v>
                </c:pt>
                <c:pt idx="22">
                  <c:v>7.7773526863712422E-9</c:v>
                </c:pt>
                <c:pt idx="23">
                  <c:v>6.8779827066411394E-9</c:v>
                </c:pt>
                <c:pt idx="24">
                  <c:v>5.7061215614969699E-9</c:v>
                </c:pt>
                <c:pt idx="25">
                  <c:v>4.7635132766528074E-9</c:v>
                </c:pt>
                <c:pt idx="26">
                  <c:v>4.2070613291593637E-9</c:v>
                </c:pt>
                <c:pt idx="27">
                  <c:v>3.9078706860856164E-9</c:v>
                </c:pt>
                <c:pt idx="28">
                  <c:v>3.7162119601041792E-9</c:v>
                </c:pt>
                <c:pt idx="29">
                  <c:v>3.5546960092466473E-9</c:v>
                </c:pt>
                <c:pt idx="30">
                  <c:v>3.3916324020048887E-9</c:v>
                </c:pt>
                <c:pt idx="31">
                  <c:v>3.2156594600877859E-9</c:v>
                </c:pt>
                <c:pt idx="32">
                  <c:v>3.0223710831658998E-9</c:v>
                </c:pt>
                <c:pt idx="33">
                  <c:v>2.8108151560298953E-9</c:v>
                </c:pt>
                <c:pt idx="34">
                  <c:v>2.5821658726988699E-9</c:v>
                </c:pt>
                <c:pt idx="35">
                  <c:v>2.3391222374925642E-9</c:v>
                </c:pt>
                <c:pt idx="36">
                  <c:v>2.0855638928756489E-9</c:v>
                </c:pt>
                <c:pt idx="37">
                  <c:v>1.8262919420408327E-9</c:v>
                </c:pt>
                <c:pt idx="38">
                  <c:v>1.5667833304726595E-9</c:v>
                </c:pt>
                <c:pt idx="39">
                  <c:v>1.3129308516727592E-9</c:v>
                </c:pt>
                <c:pt idx="40">
                  <c:v>1.0707635262536584E-9</c:v>
                </c:pt>
                <c:pt idx="41">
                  <c:v>8.4615542159652566E-10</c:v>
                </c:pt>
                <c:pt idx="42">
                  <c:v>6.4453866482056093E-10</c:v>
                </c:pt>
                <c:pt idx="43">
                  <c:v>4.7063968536351919E-10</c:v>
                </c:pt>
                <c:pt idx="44">
                  <c:v>3.2825717154403546E-10</c:v>
                </c:pt>
                <c:pt idx="45">
                  <c:v>2.2009653203390043E-10</c:v>
                </c:pt>
                <c:pt idx="46">
                  <c:v>1.4766981724320117E-10</c:v>
                </c:pt>
                <c:pt idx="47">
                  <c:v>1.1107586188418588E-10</c:v>
                </c:pt>
                <c:pt idx="48">
                  <c:v>1.0984856743938984E-10</c:v>
                </c:pt>
                <c:pt idx="49">
                  <c:v>1.4170870711748405E-10</c:v>
                </c:pt>
                <c:pt idx="50">
                  <c:v>2.0365360777309343E-10</c:v>
                </c:pt>
                <c:pt idx="51">
                  <c:v>2.9185233097444913E-10</c:v>
                </c:pt>
                <c:pt idx="52">
                  <c:v>4.0181511070721915E-10</c:v>
                </c:pt>
                <c:pt idx="53">
                  <c:v>5.28566867073451E-10</c:v>
                </c:pt>
                <c:pt idx="54">
                  <c:v>6.6681675320213938E-10</c:v>
                </c:pt>
                <c:pt idx="55">
                  <c:v>8.1111868061789875E-10</c:v>
                </c:pt>
                <c:pt idx="56">
                  <c:v>9.5602048553388011E-10</c:v>
                </c:pt>
                <c:pt idx="57">
                  <c:v>1.0962015676896252E-9</c:v>
                </c:pt>
                <c:pt idx="58">
                  <c:v>1.2266002785430935E-9</c:v>
                </c:pt>
                <c:pt idx="59">
                  <c:v>1.3425330562149509E-9</c:v>
                </c:pt>
                <c:pt idx="60">
                  <c:v>1.4398073178736486E-9</c:v>
                </c:pt>
                <c:pt idx="61">
                  <c:v>1.5148295318867237E-9</c:v>
                </c:pt>
                <c:pt idx="62">
                  <c:v>1.5647088190069225E-9</c:v>
                </c:pt>
                <c:pt idx="63">
                  <c:v>1.5873549958177955E-9</c:v>
                </c:pt>
                <c:pt idx="64">
                  <c:v>1.5815683316096202E-9</c:v>
                </c:pt>
                <c:pt idx="65">
                  <c:v>1.5471166026835909E-9</c:v>
                </c:pt>
                <c:pt idx="66">
                  <c:v>1.4847934874077996E-9</c:v>
                </c:pt>
                <c:pt idx="67">
                  <c:v>1.3964511654975572E-9</c:v>
                </c:pt>
                <c:pt idx="68">
                  <c:v>1.2849993902373998E-9</c:v>
                </c:pt>
                <c:pt idx="69">
                  <c:v>1.1543635152011318E-9</c:v>
                </c:pt>
                <c:pt idx="70">
                  <c:v>1.0093951411400033E-9</c:v>
                </c:pt>
                <c:pt idx="71">
                  <c:v>8.5573129958089126E-10</c:v>
                </c:pt>
                <c:pt idx="72">
                  <c:v>6.996013617310601E-10</c:v>
                </c:pt>
                <c:pt idx="73">
                  <c:v>5.475849572867337E-10</c:v>
                </c:pt>
                <c:pt idx="74">
                  <c:v>4.0683868744502641E-10</c:v>
                </c:pt>
                <c:pt idx="75">
                  <c:v>2.8641994328546096E-10</c:v>
                </c:pt>
                <c:pt idx="76">
                  <c:v>1.9726128277683817E-10</c:v>
                </c:pt>
                <c:pt idx="77">
                  <c:v>1.4158650378843845E-10</c:v>
                </c:pt>
                <c:pt idx="78">
                  <c:v>1.101824559575362E-10</c:v>
                </c:pt>
                <c:pt idx="79">
                  <c:v>1.6058723273213825E-10</c:v>
                </c:pt>
                <c:pt idx="80">
                  <c:v>2.4395959293756582E-10</c:v>
                </c:pt>
                <c:pt idx="81">
                  <c:v>3.5984876832883455E-10</c:v>
                </c:pt>
                <c:pt idx="82">
                  <c:v>4.994789589111154E-10</c:v>
                </c:pt>
                <c:pt idx="83">
                  <c:v>6.536248496878405E-10</c:v>
                </c:pt>
                <c:pt idx="84">
                  <c:v>8.1374712771207596E-10</c:v>
                </c:pt>
                <c:pt idx="85">
                  <c:v>9.7132458183358898E-10</c:v>
                </c:pt>
                <c:pt idx="86">
                  <c:v>1.117711987991907E-9</c:v>
                </c:pt>
                <c:pt idx="87">
                  <c:v>1.2445897106580403E-9</c:v>
                </c:pt>
                <c:pt idx="88">
                  <c:v>1.3444229402302553E-9</c:v>
                </c:pt>
                <c:pt idx="89">
                  <c:v>1.4109104208342642E-9</c:v>
                </c:pt>
                <c:pt idx="90">
                  <c:v>1.4394006080215298E-9</c:v>
                </c:pt>
                <c:pt idx="91">
                  <c:v>1.4272512951709231E-9</c:v>
                </c:pt>
                <c:pt idx="92">
                  <c:v>1.3741072519935264E-9</c:v>
                </c:pt>
                <c:pt idx="93">
                  <c:v>1.2820699603753954E-9</c:v>
                </c:pt>
                <c:pt idx="94">
                  <c:v>1.1557348730396911E-9</c:v>
                </c:pt>
                <c:pt idx="95">
                  <c:v>1.0020755316864536E-9</c:v>
                </c:pt>
                <c:pt idx="96">
                  <c:v>8.3016096790310111E-10</c:v>
                </c:pt>
                <c:pt idx="97">
                  <c:v>6.5070328973800399E-10</c:v>
                </c:pt>
                <c:pt idx="98">
                  <c:v>4.7544592300297351E-10</c:v>
                </c:pt>
                <c:pt idx="99">
                  <c:v>3.1641864029017224E-10</c:v>
                </c:pt>
                <c:pt idx="100">
                  <c:v>1.8510167488002823E-10</c:v>
                </c:pt>
                <c:pt idx="101">
                  <c:v>9.1555811279890413E-11</c:v>
                </c:pt>
                <c:pt idx="102">
                  <c:v>4.3586164249248955E-11</c:v>
                </c:pt>
                <c:pt idx="103">
                  <c:v>4.6012467017472705E-11</c:v>
                </c:pt>
                <c:pt idx="104">
                  <c:v>1.0011679802421477E-10</c:v>
                </c:pt>
                <c:pt idx="105">
                  <c:v>2.0333044523077915E-10</c:v>
                </c:pt>
                <c:pt idx="106">
                  <c:v>3.4920569281680182E-10</c:v>
                </c:pt>
                <c:pt idx="107">
                  <c:v>5.2769723313040466E-10</c:v>
                </c:pt>
                <c:pt idx="108">
                  <c:v>7.2575367877468284E-10</c:v>
                </c:pt>
                <c:pt idx="109">
                  <c:v>9.2819440911287741E-10</c:v>
                </c:pt>
                <c:pt idx="110">
                  <c:v>1.1188225953519107E-9</c:v>
                </c:pt>
                <c:pt idx="111">
                  <c:v>1.2817031568741668E-9</c:v>
                </c:pt>
                <c:pt idx="112">
                  <c:v>1.4025156253329802E-9</c:v>
                </c:pt>
                <c:pt idx="113">
                  <c:v>1.469877303562437E-9</c:v>
                </c:pt>
                <c:pt idx="114">
                  <c:v>1.4765227140488016E-9</c:v>
                </c:pt>
                <c:pt idx="115">
                  <c:v>1.4202225895178307E-9</c:v>
                </c:pt>
                <c:pt idx="116">
                  <c:v>1.3043315321521039E-9</c:v>
                </c:pt>
                <c:pt idx="117">
                  <c:v>1.1378701970270659E-9</c:v>
                </c:pt>
                <c:pt idx="118">
                  <c:v>9.3507735403869448E-10</c:v>
                </c:pt>
                <c:pt idx="119">
                  <c:v>7.1441016611053467E-10</c:v>
                </c:pt>
                <c:pt idx="120">
                  <c:v>4.9702606330549253E-10</c:v>
                </c:pt>
                <c:pt idx="121">
                  <c:v>3.0484242631126749E-10</c:v>
                </c:pt>
                <c:pt idx="122">
                  <c:v>1.583337212055341E-10</c:v>
                </c:pt>
                <c:pt idx="123">
                  <c:v>7.4280291162529973E-11</c:v>
                </c:pt>
                <c:pt idx="124">
                  <c:v>6.3718602056290489E-11</c:v>
                </c:pt>
                <c:pt idx="125">
                  <c:v>1.3035060927022231E-10</c:v>
                </c:pt>
                <c:pt idx="126">
                  <c:v>2.6964478835320081E-10</c:v>
                </c:pt>
                <c:pt idx="127">
                  <c:v>4.6880285020754019E-10</c:v>
                </c:pt>
                <c:pt idx="128">
                  <c:v>7.0767902590449696E-10</c:v>
                </c:pt>
                <c:pt idx="129">
                  <c:v>9.6063218724180415E-10</c:v>
                </c:pt>
                <c:pt idx="130">
                  <c:v>1.1991767701755474E-9</c:v>
                </c:pt>
                <c:pt idx="131">
                  <c:v>1.3951891719647682E-9</c:v>
                </c:pt>
                <c:pt idx="132">
                  <c:v>1.5243341964452357E-9</c:v>
                </c:pt>
                <c:pt idx="133">
                  <c:v>1.5693123608838553E-9</c:v>
                </c:pt>
                <c:pt idx="134">
                  <c:v>1.5225035198855757E-9</c:v>
                </c:pt>
                <c:pt idx="135">
                  <c:v>1.3876041850958375E-9</c:v>
                </c:pt>
                <c:pt idx="136">
                  <c:v>1.179931953471344E-9</c:v>
                </c:pt>
                <c:pt idx="137">
                  <c:v>9.2520315850587584E-10</c:v>
                </c:pt>
                <c:pt idx="138">
                  <c:v>6.5677430552644353E-10</c:v>
                </c:pt>
                <c:pt idx="139">
                  <c:v>4.1155843327529196E-10</c:v>
                </c:pt>
                <c:pt idx="140">
                  <c:v>2.2505645463580646E-10</c:v>
                </c:pt>
                <c:pt idx="141">
                  <c:v>1.2614270459211832E-10</c:v>
                </c:pt>
                <c:pt idx="142">
                  <c:v>1.3237107015903177E-10</c:v>
                </c:pt>
                <c:pt idx="143">
                  <c:v>2.46586039613335E-10</c:v>
                </c:pt>
                <c:pt idx="144">
                  <c:v>4.5550994703813552E-10</c:v>
                </c:pt>
                <c:pt idx="145">
                  <c:v>7.3073467339126674E-10</c:v>
                </c:pt>
                <c:pt idx="146">
                  <c:v>1.0321994783218021E-9</c:v>
                </c:pt>
                <c:pt idx="147">
                  <c:v>1.3138345769876604E-9</c:v>
                </c:pt>
                <c:pt idx="148">
                  <c:v>1.5306543043688921E-9</c:v>
                </c:pt>
                <c:pt idx="149">
                  <c:v>1.6462600618338087E-9</c:v>
                </c:pt>
                <c:pt idx="150">
                  <c:v>1.6399264475626001E-9</c:v>
                </c:pt>
                <c:pt idx="151">
                  <c:v>1.5096476158033428E-9</c:v>
                </c:pt>
                <c:pt idx="152">
                  <c:v>1.2759117828089017E-9</c:v>
                </c:pt>
                <c:pt idx="153">
                  <c:v>9.7817382384475141E-10</c:v>
                </c:pt>
                <c:pt idx="154">
                  <c:v>6.692788571508173E-10</c:v>
                </c:pt>
                <c:pt idx="155">
                  <c:v>4.0656639168577803E-10</c:v>
                </c:pt>
                <c:pt idx="156">
                  <c:v>2.4134166378027539E-10</c:v>
                </c:pt>
                <c:pt idx="157">
                  <c:v>2.0861059034284931E-10</c:v>
                </c:pt>
                <c:pt idx="158">
                  <c:v>3.1916893245784868E-10</c:v>
                </c:pt>
                <c:pt idx="159">
                  <c:v>5.5590942110114665E-10</c:v>
                </c:pt>
                <c:pt idx="160">
                  <c:v>8.7554498528131682E-10</c:v>
                </c:pt>
                <c:pt idx="161">
                  <c:v>1.2159274236465805E-9</c:v>
                </c:pt>
                <c:pt idx="162">
                  <c:v>1.5079500633660519E-9</c:v>
                </c:pt>
                <c:pt idx="163">
                  <c:v>1.6899039560415989E-9</c:v>
                </c:pt>
                <c:pt idx="164">
                  <c:v>1.7213682045616408E-9</c:v>
                </c:pt>
                <c:pt idx="165">
                  <c:v>1.5934770979316149E-9</c:v>
                </c:pt>
                <c:pt idx="166">
                  <c:v>1.3328556397504842E-9</c:v>
                </c:pt>
                <c:pt idx="167">
                  <c:v>9.9765940187541745E-10</c:v>
                </c:pt>
                <c:pt idx="168">
                  <c:v>6.6584431599284652E-10</c:v>
                </c:pt>
                <c:pt idx="169">
                  <c:v>4.1770952761661077E-10</c:v>
                </c:pt>
                <c:pt idx="170">
                  <c:v>3.1645090321010909E-10</c:v>
                </c:pt>
                <c:pt idx="171">
                  <c:v>3.9144104734770577E-10</c:v>
                </c:pt>
                <c:pt idx="172">
                  <c:v>6.288179205118166E-10</c:v>
                </c:pt>
                <c:pt idx="173">
                  <c:v>9.7256851084232181E-10</c:v>
                </c:pt>
                <c:pt idx="174">
                  <c:v>1.3368315940695546E-9</c:v>
                </c:pt>
                <c:pt idx="175">
                  <c:v>1.6271547779178583E-9</c:v>
                </c:pt>
                <c:pt idx="176">
                  <c:v>1.7657004949011274E-9</c:v>
                </c:pt>
                <c:pt idx="177">
                  <c:v>1.7137194632169329E-9</c:v>
                </c:pt>
                <c:pt idx="178">
                  <c:v>1.4846322980539199E-9</c:v>
                </c:pt>
                <c:pt idx="179">
                  <c:v>1.1430289293848706E-9</c:v>
                </c:pt>
                <c:pt idx="180">
                  <c:v>7.8853383186373839E-10</c:v>
                </c:pt>
                <c:pt idx="181">
                  <c:v>5.2795699108008771E-10</c:v>
                </c:pt>
                <c:pt idx="182">
                  <c:v>4.4318859778980061E-10</c:v>
                </c:pt>
                <c:pt idx="183">
                  <c:v>5.6451580817191645E-10</c:v>
                </c:pt>
                <c:pt idx="184">
                  <c:v>8.5840132316922127E-10</c:v>
                </c:pt>
                <c:pt idx="185">
                  <c:v>1.2350257027092898E-9</c:v>
                </c:pt>
                <c:pt idx="186">
                  <c:v>1.5748729404531773E-9</c:v>
                </c:pt>
                <c:pt idx="187">
                  <c:v>1.7670941704973365E-9</c:v>
                </c:pt>
                <c:pt idx="188">
                  <c:v>1.74754111632736E-9</c:v>
                </c:pt>
                <c:pt idx="189">
                  <c:v>1.5231770597440733E-9</c:v>
                </c:pt>
                <c:pt idx="190">
                  <c:v>1.1730007940923656E-9</c:v>
                </c:pt>
                <c:pt idx="191">
                  <c:v>8.2308871721532706E-10</c:v>
                </c:pt>
                <c:pt idx="192">
                  <c:v>6.0269732119561435E-10</c:v>
                </c:pt>
                <c:pt idx="193">
                  <c:v>5.9628695397994465E-10</c:v>
                </c:pt>
                <c:pt idx="194">
                  <c:v>8.0949852591015768E-10</c:v>
                </c:pt>
                <c:pt idx="195">
                  <c:v>1.1635376114326646E-9</c:v>
                </c:pt>
                <c:pt idx="196">
                  <c:v>1.522554721286848E-9</c:v>
                </c:pt>
                <c:pt idx="197">
                  <c:v>1.7461025721644424E-9</c:v>
                </c:pt>
                <c:pt idx="198">
                  <c:v>1.7444339486216795E-9</c:v>
                </c:pt>
                <c:pt idx="199">
                  <c:v>1.5203531270450248E-9</c:v>
                </c:pt>
                <c:pt idx="200">
                  <c:v>1.1700219932573711E-9</c:v>
                </c:pt>
                <c:pt idx="201">
                  <c:v>8.4552981363615461E-10</c:v>
                </c:pt>
                <c:pt idx="202">
                  <c:v>6.9028943960455192E-10</c:v>
                </c:pt>
                <c:pt idx="203">
                  <c:v>7.746606429542632E-10</c:v>
                </c:pt>
                <c:pt idx="204">
                  <c:v>1.061350773225505E-9</c:v>
                </c:pt>
                <c:pt idx="205">
                  <c:v>1.4189783607655308E-9</c:v>
                </c:pt>
                <c:pt idx="206">
                  <c:v>1.6808814097167624E-9</c:v>
                </c:pt>
                <c:pt idx="207">
                  <c:v>1.7239751211229532E-9</c:v>
                </c:pt>
                <c:pt idx="208">
                  <c:v>1.5302525506610784E-9</c:v>
                </c:pt>
                <c:pt idx="209">
                  <c:v>1.1988931305007301E-9</c:v>
                </c:pt>
                <c:pt idx="210">
                  <c:v>8.9939551780373985E-10</c:v>
                </c:pt>
                <c:pt idx="211">
                  <c:v>7.8608058454140885E-10</c:v>
                </c:pt>
                <c:pt idx="212">
                  <c:v>9.1662408794444429E-10</c:v>
                </c:pt>
                <c:pt idx="213">
                  <c:v>1.2187715247860958E-9</c:v>
                </c:pt>
                <c:pt idx="214">
                  <c:v>1.5265650208544248E-9</c:v>
                </c:pt>
                <c:pt idx="215">
                  <c:v>1.6701936807417825E-9</c:v>
                </c:pt>
                <c:pt idx="216">
                  <c:v>1.5716953377835226E-9</c:v>
                </c:pt>
                <c:pt idx="217">
                  <c:v>1.2915377629652947E-9</c:v>
                </c:pt>
                <c:pt idx="218">
                  <c:v>9.958163266670372E-10</c:v>
                </c:pt>
                <c:pt idx="219">
                  <c:v>8.592021006547867E-10</c:v>
                </c:pt>
                <c:pt idx="220">
                  <c:v>9.592524942929494E-10</c:v>
                </c:pt>
                <c:pt idx="221">
                  <c:v>1.2272133332695551E-9</c:v>
                </c:pt>
                <c:pt idx="222">
                  <c:v>1.4893370280151921E-9</c:v>
                </c:pt>
                <c:pt idx="223">
                  <c:v>1.5767243625650181E-9</c:v>
                </c:pt>
                <c:pt idx="224">
                  <c:v>1.4351814834871676E-9</c:v>
                </c:pt>
                <c:pt idx="225">
                  <c:v>1.1619670816656654E-9</c:v>
                </c:pt>
                <c:pt idx="226">
                  <c:v>9.4120730101110843E-10</c:v>
                </c:pt>
                <c:pt idx="227">
                  <c:v>9.1805358364319756E-10</c:v>
                </c:pt>
                <c:pt idx="228">
                  <c:v>1.097290185058651E-9</c:v>
                </c:pt>
                <c:pt idx="229">
                  <c:v>1.3397710014822883E-9</c:v>
                </c:pt>
                <c:pt idx="230">
                  <c:v>1.4630430865424192E-9</c:v>
                </c:pt>
                <c:pt idx="231">
                  <c:v>1.3755963935062914E-9</c:v>
                </c:pt>
                <c:pt idx="232">
                  <c:v>1.1449481303975533E-9</c:v>
                </c:pt>
                <c:pt idx="233">
                  <c:v>9.4529035207949283E-10</c:v>
                </c:pt>
                <c:pt idx="234">
                  <c:v>9.2171706237430545E-10</c:v>
                </c:pt>
                <c:pt idx="235">
                  <c:v>1.0761361519906593E-9</c:v>
                </c:pt>
                <c:pt idx="236">
                  <c:v>1.2673792589522937E-9</c:v>
                </c:pt>
                <c:pt idx="237">
                  <c:v>1.328279656529419E-9</c:v>
                </c:pt>
                <c:pt idx="238">
                  <c:v>1.2047942554545086E-9</c:v>
                </c:pt>
                <c:pt idx="239">
                  <c:v>9.9965652825629819E-10</c:v>
                </c:pt>
                <c:pt idx="240">
                  <c:v>8.8112222402838356E-10</c:v>
                </c:pt>
                <c:pt idx="241">
                  <c:v>9.3461797981979718E-10</c:v>
                </c:pt>
                <c:pt idx="242">
                  <c:v>1.0888164412693362E-9</c:v>
                </c:pt>
                <c:pt idx="243">
                  <c:v>1.1841002455880551E-9</c:v>
                </c:pt>
                <c:pt idx="244">
                  <c:v>1.1216440917702841E-9</c:v>
                </c:pt>
                <c:pt idx="245">
                  <c:v>9.5387805996340042E-10</c:v>
                </c:pt>
                <c:pt idx="246">
                  <c:v>8.2977897751381272E-10</c:v>
                </c:pt>
                <c:pt idx="247">
                  <c:v>8.476761522389484E-10</c:v>
                </c:pt>
                <c:pt idx="248">
                  <c:v>9.60650987656093E-10</c:v>
                </c:pt>
                <c:pt idx="249">
                  <c:v>1.0291597719426128E-9</c:v>
                </c:pt>
                <c:pt idx="250">
                  <c:v>9.6649402813060325E-10</c:v>
                </c:pt>
                <c:pt idx="251">
                  <c:v>8.2577534431113604E-10</c:v>
                </c:pt>
                <c:pt idx="252">
                  <c:v>7.3762923825496592E-10</c:v>
                </c:pt>
                <c:pt idx="253">
                  <c:v>7.6723142131931726E-10</c:v>
                </c:pt>
                <c:pt idx="254">
                  <c:v>8.4734704874512737E-10</c:v>
                </c:pt>
                <c:pt idx="255">
                  <c:v>8.597413971881728E-10</c:v>
                </c:pt>
                <c:pt idx="256">
                  <c:v>7.7026737481927599E-10</c:v>
                </c:pt>
                <c:pt idx="257">
                  <c:v>6.6236060546312155E-10</c:v>
                </c:pt>
                <c:pt idx="258">
                  <c:v>6.3319190790298733E-10</c:v>
                </c:pt>
                <c:pt idx="259">
                  <c:v>6.7903526498932065E-10</c:v>
                </c:pt>
                <c:pt idx="260">
                  <c:v>7.0705840727792664E-10</c:v>
                </c:pt>
                <c:pt idx="261">
                  <c:v>6.541962749635774E-10</c:v>
                </c:pt>
                <c:pt idx="262">
                  <c:v>5.6213909545882632E-10</c:v>
                </c:pt>
                <c:pt idx="263">
                  <c:v>5.1681062811054299E-10</c:v>
                </c:pt>
                <c:pt idx="264">
                  <c:v>5.3604830965580626E-10</c:v>
                </c:pt>
                <c:pt idx="265">
                  <c:v>5.5296847055465046E-10</c:v>
                </c:pt>
                <c:pt idx="266">
                  <c:v>5.1108195951986374E-10</c:v>
                </c:pt>
                <c:pt idx="267">
                  <c:v>4.3792973314230942E-10</c:v>
                </c:pt>
                <c:pt idx="268">
                  <c:v>3.9962983850321529E-10</c:v>
                </c:pt>
                <c:pt idx="269">
                  <c:v>4.070037852334649E-10</c:v>
                </c:pt>
                <c:pt idx="270">
                  <c:v>4.0695110691174508E-10</c:v>
                </c:pt>
                <c:pt idx="271">
                  <c:v>3.6416037020136399E-10</c:v>
                </c:pt>
                <c:pt idx="272">
                  <c:v>3.0901326940027931E-10</c:v>
                </c:pt>
                <c:pt idx="273">
                  <c:v>2.8577046179659769E-10</c:v>
                </c:pt>
                <c:pt idx="274">
                  <c:v>2.8656765269540297E-10</c:v>
                </c:pt>
                <c:pt idx="275">
                  <c:v>2.7033191745457842E-10</c:v>
                </c:pt>
                <c:pt idx="276">
                  <c:v>2.2881507020326806E-10</c:v>
                </c:pt>
                <c:pt idx="277">
                  <c:v>1.9412867252284581E-10</c:v>
                </c:pt>
                <c:pt idx="278">
                  <c:v>1.8357977415915222E-10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1.5488850596002397E-9</c:v>
                  </c:pt>
                  <c:pt idx="1">
                    <c:v>7.7926858143219242E-10</c:v>
                  </c:pt>
                  <c:pt idx="2">
                    <c:v>5.5891218794106424E-10</c:v>
                  </c:pt>
                  <c:pt idx="3">
                    <c:v>4.6817798240850244E-10</c:v>
                  </c:pt>
                  <c:pt idx="4">
                    <c:v>4.365189157626009E-10</c:v>
                  </c:pt>
                  <c:pt idx="5">
                    <c:v>3.9187446920178303E-10</c:v>
                  </c:pt>
                  <c:pt idx="6">
                    <c:v>3.9661425027786351E-10</c:v>
                  </c:pt>
                  <c:pt idx="7">
                    <c:v>4.2597071115759252E-10</c:v>
                  </c:pt>
                  <c:pt idx="8">
                    <c:v>3.9835715940923037E-10</c:v>
                  </c:pt>
                  <c:pt idx="9">
                    <c:v>3.6325113402147693E-10</c:v>
                  </c:pt>
                  <c:pt idx="10">
                    <c:v>4.0306786639440099E-10</c:v>
                  </c:pt>
                  <c:pt idx="11">
                    <c:v>4.1439085685126106E-10</c:v>
                  </c:pt>
                  <c:pt idx="12">
                    <c:v>4.3572880287419588E-10</c:v>
                  </c:pt>
                  <c:pt idx="13">
                    <c:v>4.3469809649284051E-10</c:v>
                  </c:pt>
                  <c:pt idx="14">
                    <c:v>3.1978167397845699E-10</c:v>
                  </c:pt>
                  <c:pt idx="15">
                    <c:v>3.1163847435853907E-10</c:v>
                  </c:pt>
                  <c:pt idx="16">
                    <c:v>3.2217371858689702E-10</c:v>
                  </c:pt>
                  <c:pt idx="17">
                    <c:v>3.3418989571371941E-10</c:v>
                  </c:pt>
                  <c:pt idx="18">
                    <c:v>3.4052682557344356E-10</c:v>
                  </c:pt>
                  <c:pt idx="19">
                    <c:v>5.0994406088749075E-10</c:v>
                  </c:pt>
                  <c:pt idx="20">
                    <c:v>5.0929812651567551E-10</c:v>
                  </c:pt>
                  <c:pt idx="21">
                    <c:v>4.9076056087763437E-10</c:v>
                  </c:pt>
                  <c:pt idx="22">
                    <c:v>4.5156046016651675E-10</c:v>
                  </c:pt>
                  <c:pt idx="23">
                    <c:v>4.1022317787540139E-10</c:v>
                  </c:pt>
                  <c:pt idx="24">
                    <c:v>3.7797320444445175E-10</c:v>
                  </c:pt>
                  <c:pt idx="25">
                    <c:v>3.6445518643575818E-10</c:v>
                  </c:pt>
                  <c:pt idx="26">
                    <c:v>3.1498493427901598E-10</c:v>
                  </c:pt>
                  <c:pt idx="27">
                    <c:v>3.2564994834130739E-10</c:v>
                  </c:pt>
                  <c:pt idx="28">
                    <c:v>2.9851665249888253E-10</c:v>
                  </c:pt>
                  <c:pt idx="29">
                    <c:v>2.865529341526703E-10</c:v>
                  </c:pt>
                  <c:pt idx="30">
                    <c:v>2.9406292996529542E-10</c:v>
                  </c:pt>
                  <c:pt idx="31">
                    <c:v>2.8872284766104822E-10</c:v>
                  </c:pt>
                  <c:pt idx="32">
                    <c:v>2.7977896919184806E-10</c:v>
                  </c:pt>
                  <c:pt idx="33">
                    <c:v>2.8450470647555742E-10</c:v>
                  </c:pt>
                  <c:pt idx="34">
                    <c:v>2.558323261490201E-10</c:v>
                  </c:pt>
                  <c:pt idx="35">
                    <c:v>1.4023566375585989E-10</c:v>
                  </c:pt>
                  <c:pt idx="36">
                    <c:v>1.320657354795275E-10</c:v>
                  </c:pt>
                  <c:pt idx="37">
                    <c:v>1.2821044185765299E-10</c:v>
                  </c:pt>
                  <c:pt idx="38">
                    <c:v>1.0927409524365973E-10</c:v>
                  </c:pt>
                  <c:pt idx="39">
                    <c:v>1.2816510257651794E-10</c:v>
                  </c:pt>
                  <c:pt idx="40">
                    <c:v>1.1082128567259814E-10</c:v>
                  </c:pt>
                  <c:pt idx="41">
                    <c:v>1.0069108090637696E-10</c:v>
                  </c:pt>
                  <c:pt idx="42">
                    <c:v>8.6312732881914389E-11</c:v>
                  </c:pt>
                  <c:pt idx="43">
                    <c:v>7.3591107827866204E-11</c:v>
                  </c:pt>
                  <c:pt idx="44">
                    <c:v>6.9094666652464799E-11</c:v>
                  </c:pt>
                  <c:pt idx="45">
                    <c:v>5.5462608580845872E-11</c:v>
                  </c:pt>
                  <c:pt idx="46">
                    <c:v>5.5853441269280437E-11</c:v>
                  </c:pt>
                  <c:pt idx="47">
                    <c:v>5.1656416400489767E-11</c:v>
                  </c:pt>
                  <c:pt idx="48">
                    <c:v>4.6445987240553346E-11</c:v>
                  </c:pt>
                  <c:pt idx="49">
                    <c:v>5.9751982631956185E-11</c:v>
                  </c:pt>
                  <c:pt idx="50">
                    <c:v>5.7045764418177582E-11</c:v>
                  </c:pt>
                  <c:pt idx="51">
                    <c:v>6.7697265016064275E-11</c:v>
                  </c:pt>
                  <c:pt idx="52">
                    <c:v>7.4732806444309133E-11</c:v>
                  </c:pt>
                  <c:pt idx="53">
                    <c:v>8.1476648817069212E-11</c:v>
                  </c:pt>
                  <c:pt idx="54">
                    <c:v>9.6757520805968148E-11</c:v>
                  </c:pt>
                  <c:pt idx="55">
                    <c:v>1.0389777007734215E-10</c:v>
                  </c:pt>
                  <c:pt idx="56">
                    <c:v>1.1519368031793732E-10</c:v>
                  </c:pt>
                  <c:pt idx="57">
                    <c:v>1.0752008468202925E-10</c:v>
                  </c:pt>
                  <c:pt idx="58">
                    <c:v>1.247750554152639E-10</c:v>
                  </c:pt>
                  <c:pt idx="59">
                    <c:v>1.2718224280733123E-10</c:v>
                  </c:pt>
                  <c:pt idx="60">
                    <c:v>1.3640475062541663E-10</c:v>
                  </c:pt>
                  <c:pt idx="61">
                    <c:v>1.3126172130535031E-10</c:v>
                  </c:pt>
                  <c:pt idx="62">
                    <c:v>9.3769592997403164E-11</c:v>
                  </c:pt>
                  <c:pt idx="63">
                    <c:v>9.8060031507078628E-11</c:v>
                  </c:pt>
                  <c:pt idx="64">
                    <c:v>9.7594136693684524E-11</c:v>
                  </c:pt>
                  <c:pt idx="65">
                    <c:v>9.8691855535882499E-11</c:v>
                  </c:pt>
                  <c:pt idx="66">
                    <c:v>8.7918807380532894E-11</c:v>
                  </c:pt>
                  <c:pt idx="67">
                    <c:v>9.113607656586767E-11</c:v>
                  </c:pt>
                  <c:pt idx="68">
                    <c:v>1.1875089388393675E-10</c:v>
                  </c:pt>
                  <c:pt idx="69">
                    <c:v>1.3209369915103424E-10</c:v>
                  </c:pt>
                  <c:pt idx="70">
                    <c:v>1.0223669999772344E-10</c:v>
                  </c:pt>
                  <c:pt idx="71">
                    <c:v>1.0711376594844284E-10</c:v>
                  </c:pt>
                  <c:pt idx="72">
                    <c:v>9.8903915308806201E-11</c:v>
                  </c:pt>
                  <c:pt idx="73">
                    <c:v>8.2081955999498025E-11</c:v>
                  </c:pt>
                  <c:pt idx="74">
                    <c:v>8.5233717679480179E-11</c:v>
                  </c:pt>
                  <c:pt idx="75">
                    <c:v>6.7332260787575503E-11</c:v>
                  </c:pt>
                  <c:pt idx="76">
                    <c:v>5.9040823538376771E-11</c:v>
                  </c:pt>
                  <c:pt idx="77">
                    <c:v>5.195475909450658E-11</c:v>
                  </c:pt>
                  <c:pt idx="78">
                    <c:v>5.0533747386799713E-11</c:v>
                  </c:pt>
                  <c:pt idx="79">
                    <c:v>6.1092028864317416E-11</c:v>
                  </c:pt>
                  <c:pt idx="80">
                    <c:v>6.7770965043617218E-11</c:v>
                  </c:pt>
                  <c:pt idx="81">
                    <c:v>7.3417715155432054E-11</c:v>
                  </c:pt>
                  <c:pt idx="82">
                    <c:v>8.5206972018206005E-11</c:v>
                  </c:pt>
                  <c:pt idx="83">
                    <c:v>1.0040349430588253E-10</c:v>
                  </c:pt>
                  <c:pt idx="84">
                    <c:v>9.8843428622984829E-11</c:v>
                  </c:pt>
                  <c:pt idx="85">
                    <c:v>1.1374989147910913E-10</c:v>
                  </c:pt>
                  <c:pt idx="86">
                    <c:v>1.2824924304618551E-10</c:v>
                  </c:pt>
                  <c:pt idx="87">
                    <c:v>1.3061130466292847E-10</c:v>
                  </c:pt>
                  <c:pt idx="88">
                    <c:v>1.2153348211812235E-10</c:v>
                  </c:pt>
                  <c:pt idx="89">
                    <c:v>1.4019413080809435E-10</c:v>
                  </c:pt>
                  <c:pt idx="90">
                    <c:v>1.3484308436297026E-10</c:v>
                  </c:pt>
                  <c:pt idx="91">
                    <c:v>1.4038676267800926E-10</c:v>
                  </c:pt>
                  <c:pt idx="92">
                    <c:v>1.4081133759503462E-10</c:v>
                  </c:pt>
                  <c:pt idx="93">
                    <c:v>1.3335622763825496E-10</c:v>
                  </c:pt>
                  <c:pt idx="94">
                    <c:v>1.3293616380623117E-10</c:v>
                  </c:pt>
                  <c:pt idx="95">
                    <c:v>1.1406217897856238E-10</c:v>
                  </c:pt>
                  <c:pt idx="96">
                    <c:v>1.0556564196772598E-10</c:v>
                  </c:pt>
                  <c:pt idx="97">
                    <c:v>8.6711909512375111E-11</c:v>
                  </c:pt>
                  <c:pt idx="98">
                    <c:v>3.9696181357779547E-11</c:v>
                  </c:pt>
                  <c:pt idx="99">
                    <c:v>3.4094651304034627E-11</c:v>
                  </c:pt>
                  <c:pt idx="100">
                    <c:v>2.5377873085426077E-11</c:v>
                  </c:pt>
                  <c:pt idx="101">
                    <c:v>2.119720201025097E-11</c:v>
                  </c:pt>
                  <c:pt idx="102">
                    <c:v>2.0927871858488518E-11</c:v>
                  </c:pt>
                  <c:pt idx="103">
                    <c:v>2.3828616818242822E-11</c:v>
                  </c:pt>
                  <c:pt idx="104">
                    <c:v>2.4979273068320741E-11</c:v>
                  </c:pt>
                  <c:pt idx="105">
                    <c:v>3.1132251065360323E-11</c:v>
                  </c:pt>
                  <c:pt idx="106">
                    <c:v>3.703203912545199E-11</c:v>
                  </c:pt>
                  <c:pt idx="107">
                    <c:v>4.4126179315163179E-11</c:v>
                  </c:pt>
                  <c:pt idx="108">
                    <c:v>5.3478234167320725E-11</c:v>
                  </c:pt>
                  <c:pt idx="109">
                    <c:v>6.2522144195870299E-11</c:v>
                  </c:pt>
                  <c:pt idx="110">
                    <c:v>6.8272689668091158E-11</c:v>
                  </c:pt>
                  <c:pt idx="111">
                    <c:v>6.9501201205703812E-11</c:v>
                  </c:pt>
                  <c:pt idx="112">
                    <c:v>7.3872376420862259E-11</c:v>
                  </c:pt>
                  <c:pt idx="113">
                    <c:v>7.2119648809851679E-11</c:v>
                  </c:pt>
                  <c:pt idx="114">
                    <c:v>7.4467846709333095E-11</c:v>
                  </c:pt>
                  <c:pt idx="115">
                    <c:v>7.0055469403826644E-11</c:v>
                  </c:pt>
                  <c:pt idx="116">
                    <c:v>6.742635927056626E-11</c:v>
                  </c:pt>
                  <c:pt idx="117">
                    <c:v>6.9222728379599987E-11</c:v>
                  </c:pt>
                  <c:pt idx="118">
                    <c:v>6.3449148136996022E-11</c:v>
                  </c:pt>
                  <c:pt idx="119">
                    <c:v>6.0883236163643307E-11</c:v>
                  </c:pt>
                  <c:pt idx="120">
                    <c:v>5.1733392235121655E-11</c:v>
                  </c:pt>
                  <c:pt idx="121">
                    <c:v>4.8259079607882445E-11</c:v>
                  </c:pt>
                  <c:pt idx="122">
                    <c:v>4.1807941306621445E-11</c:v>
                  </c:pt>
                  <c:pt idx="123">
                    <c:v>3.9510290686414719E-11</c:v>
                  </c:pt>
                  <c:pt idx="124">
                    <c:v>4.0263984398816244E-11</c:v>
                  </c:pt>
                  <c:pt idx="125">
                    <c:v>4.5619378897990675E-11</c:v>
                  </c:pt>
                  <c:pt idx="126">
                    <c:v>5.3705856088243576E-11</c:v>
                  </c:pt>
                  <c:pt idx="127">
                    <c:v>6.3754667571327328E-11</c:v>
                  </c:pt>
                  <c:pt idx="128">
                    <c:v>7.1648291244775779E-11</c:v>
                  </c:pt>
                  <c:pt idx="129">
                    <c:v>8.2447321386996522E-11</c:v>
                  </c:pt>
                  <c:pt idx="130">
                    <c:v>9.0880498864296727E-11</c:v>
                  </c:pt>
                  <c:pt idx="131">
                    <c:v>9.8072780205811641E-11</c:v>
                  </c:pt>
                  <c:pt idx="132">
                    <c:v>9.5215168949239989E-11</c:v>
                  </c:pt>
                  <c:pt idx="133">
                    <c:v>1.0193699729577516E-10</c:v>
                  </c:pt>
                  <c:pt idx="134">
                    <c:v>1.0136986563366516E-10</c:v>
                  </c:pt>
                  <c:pt idx="135">
                    <c:v>1.0040658044533168E-10</c:v>
                  </c:pt>
                  <c:pt idx="136">
                    <c:v>9.4416892305099273E-11</c:v>
                  </c:pt>
                  <c:pt idx="137">
                    <c:v>8.5772644837438589E-11</c:v>
                  </c:pt>
                  <c:pt idx="138">
                    <c:v>7.6299708452259601E-11</c:v>
                  </c:pt>
                  <c:pt idx="139">
                    <c:v>7.9633560933364884E-11</c:v>
                  </c:pt>
                  <c:pt idx="140">
                    <c:v>7.0684978197235737E-11</c:v>
                  </c:pt>
                  <c:pt idx="141">
                    <c:v>6.4316232088950208E-11</c:v>
                  </c:pt>
                  <c:pt idx="142">
                    <c:v>7.1714331011380625E-11</c:v>
                  </c:pt>
                  <c:pt idx="143">
                    <c:v>8.0842145973599949E-11</c:v>
                  </c:pt>
                  <c:pt idx="144">
                    <c:v>9.5065550561736484E-11</c:v>
                  </c:pt>
                  <c:pt idx="145">
                    <c:v>9.3376849201879182E-11</c:v>
                  </c:pt>
                  <c:pt idx="146">
                    <c:v>1.2213336102964165E-10</c:v>
                  </c:pt>
                  <c:pt idx="147">
                    <c:v>1.143777932051922E-10</c:v>
                  </c:pt>
                  <c:pt idx="148">
                    <c:v>1.1341058313823058E-10</c:v>
                  </c:pt>
                  <c:pt idx="149">
                    <c:v>1.2730477772020207E-10</c:v>
                  </c:pt>
                  <c:pt idx="150">
                    <c:v>1.4090416678577672E-10</c:v>
                  </c:pt>
                  <c:pt idx="151">
                    <c:v>1.2705478902814418E-10</c:v>
                  </c:pt>
                  <c:pt idx="152">
                    <c:v>1.2403340240127053E-10</c:v>
                  </c:pt>
                  <c:pt idx="153">
                    <c:v>1.1307773933557656E-10</c:v>
                  </c:pt>
                  <c:pt idx="154">
                    <c:v>1.0475788971553405E-10</c:v>
                  </c:pt>
                  <c:pt idx="155">
                    <c:v>8.4049583215249503E-11</c:v>
                  </c:pt>
                  <c:pt idx="156">
                    <c:v>9.0739041433227326E-11</c:v>
                  </c:pt>
                  <c:pt idx="157">
                    <c:v>9.6881017834551313E-11</c:v>
                  </c:pt>
                  <c:pt idx="158">
                    <c:v>9.4211294469409902E-11</c:v>
                  </c:pt>
                  <c:pt idx="159">
                    <c:v>1.0906722228029874E-10</c:v>
                  </c:pt>
                  <c:pt idx="160">
                    <c:v>1.3590038792153159E-10</c:v>
                  </c:pt>
                  <c:pt idx="161">
                    <c:v>1.3990038508442364E-10</c:v>
                  </c:pt>
                  <c:pt idx="162">
                    <c:v>1.482730885787312E-10</c:v>
                  </c:pt>
                  <c:pt idx="163">
                    <c:v>1.620479076544801E-10</c:v>
                  </c:pt>
                  <c:pt idx="164">
                    <c:v>1.6013865165668577E-10</c:v>
                  </c:pt>
                  <c:pt idx="165">
                    <c:v>1.767184853181726E-10</c:v>
                  </c:pt>
                  <c:pt idx="166">
                    <c:v>1.548432782003655E-10</c:v>
                  </c:pt>
                  <c:pt idx="167">
                    <c:v>6.8559003971391364E-11</c:v>
                  </c:pt>
                  <c:pt idx="168">
                    <c:v>6.6298298043487644E-11</c:v>
                  </c:pt>
                  <c:pt idx="169">
                    <c:v>5.4336948899110654E-11</c:v>
                  </c:pt>
                  <c:pt idx="170">
                    <c:v>4.7631754432053481E-11</c:v>
                  </c:pt>
                  <c:pt idx="171">
                    <c:v>4.9557210424870756E-11</c:v>
                  </c:pt>
                  <c:pt idx="172">
                    <c:v>5.7994721309218049E-11</c:v>
                  </c:pt>
                  <c:pt idx="173">
                    <c:v>6.4639663735128802E-11</c:v>
                  </c:pt>
                  <c:pt idx="174">
                    <c:v>7.6850430019922801E-11</c:v>
                  </c:pt>
                  <c:pt idx="175">
                    <c:v>8.1536973474047749E-11</c:v>
                  </c:pt>
                  <c:pt idx="176">
                    <c:v>8.3182010559134507E-11</c:v>
                  </c:pt>
                  <c:pt idx="177">
                    <c:v>8.1550573660896132E-11</c:v>
                  </c:pt>
                  <c:pt idx="178">
                    <c:v>8.1925217135079635E-11</c:v>
                  </c:pt>
                  <c:pt idx="179">
                    <c:v>7.8156345838176216E-11</c:v>
                  </c:pt>
                  <c:pt idx="180">
                    <c:v>6.5005245058592995E-11</c:v>
                  </c:pt>
                  <c:pt idx="181">
                    <c:v>5.865033421964411E-11</c:v>
                  </c:pt>
                  <c:pt idx="182">
                    <c:v>5.9977360906608172E-11</c:v>
                  </c:pt>
                  <c:pt idx="183">
                    <c:v>5.8420517889760495E-11</c:v>
                  </c:pt>
                  <c:pt idx="184">
                    <c:v>7.1626863697034064E-11</c:v>
                  </c:pt>
                  <c:pt idx="185">
                    <c:v>7.6824286028727316E-11</c:v>
                  </c:pt>
                  <c:pt idx="186">
                    <c:v>9.0169478746509274E-11</c:v>
                  </c:pt>
                  <c:pt idx="187">
                    <c:v>9.7781898699767573E-11</c:v>
                  </c:pt>
                  <c:pt idx="188">
                    <c:v>9.1940624738274523E-11</c:v>
                  </c:pt>
                  <c:pt idx="189">
                    <c:v>8.5697612304689384E-11</c:v>
                  </c:pt>
                  <c:pt idx="190">
                    <c:v>9.6698691615758974E-11</c:v>
                  </c:pt>
                  <c:pt idx="191">
                    <c:v>8.7876861039629501E-11</c:v>
                  </c:pt>
                  <c:pt idx="192">
                    <c:v>6.9233228452669645E-11</c:v>
                  </c:pt>
                  <c:pt idx="193">
                    <c:v>7.4505560632809627E-11</c:v>
                  </c:pt>
                  <c:pt idx="194">
                    <c:v>7.8214523879360394E-11</c:v>
                  </c:pt>
                  <c:pt idx="195">
                    <c:v>9.4554777619645634E-11</c:v>
                  </c:pt>
                  <c:pt idx="196">
                    <c:v>1.0141025576343524E-10</c:v>
                  </c:pt>
                  <c:pt idx="197">
                    <c:v>1.1822784386609785E-10</c:v>
                  </c:pt>
                  <c:pt idx="198">
                    <c:v>1.1443448249471784E-10</c:v>
                  </c:pt>
                  <c:pt idx="199">
                    <c:v>1.1733036356555448E-10</c:v>
                  </c:pt>
                  <c:pt idx="200">
                    <c:v>1.1132790605281352E-10</c:v>
                  </c:pt>
                  <c:pt idx="201">
                    <c:v>9.867887117261604E-11</c:v>
                  </c:pt>
                  <c:pt idx="202">
                    <c:v>9.231761742825897E-11</c:v>
                  </c:pt>
                  <c:pt idx="203">
                    <c:v>1.0220239672987589E-10</c:v>
                  </c:pt>
                  <c:pt idx="204">
                    <c:v>1.0469983454718697E-10</c:v>
                  </c:pt>
                  <c:pt idx="205">
                    <c:v>1.301449261932962E-10</c:v>
                  </c:pt>
                  <c:pt idx="206">
                    <c:v>1.1857549172618091E-10</c:v>
                  </c:pt>
                  <c:pt idx="207">
                    <c:v>1.3155165951649882E-10</c:v>
                  </c:pt>
                  <c:pt idx="208">
                    <c:v>1.3162203882244429E-10</c:v>
                  </c:pt>
                  <c:pt idx="209">
                    <c:v>1.3305030491675222E-10</c:v>
                  </c:pt>
                  <c:pt idx="210">
                    <c:v>1.2736194548301818E-10</c:v>
                  </c:pt>
                  <c:pt idx="211">
                    <c:v>1.0327918413706898E-10</c:v>
                  </c:pt>
                  <c:pt idx="212">
                    <c:v>1.3127447650506868E-10</c:v>
                  </c:pt>
                  <c:pt idx="213">
                    <c:v>1.3140121786678427E-10</c:v>
                  </c:pt>
                  <c:pt idx="214">
                    <c:v>1.4179791862840448E-10</c:v>
                  </c:pt>
                  <c:pt idx="215">
                    <c:v>1.5517181398793502E-10</c:v>
                  </c:pt>
                  <c:pt idx="216">
                    <c:v>1.3535533679579129E-10</c:v>
                  </c:pt>
                  <c:pt idx="217">
                    <c:v>1.3259344190285701E-10</c:v>
                  </c:pt>
                  <c:pt idx="218">
                    <c:v>1.4750243010279723E-10</c:v>
                  </c:pt>
                  <c:pt idx="219">
                    <c:v>1.4036845639884513E-10</c:v>
                  </c:pt>
                  <c:pt idx="220">
                    <c:v>1.5214468922137231E-10</c:v>
                  </c:pt>
                  <c:pt idx="221">
                    <c:v>1.6697356887612803E-10</c:v>
                  </c:pt>
                  <c:pt idx="222">
                    <c:v>1.6643340342623673E-10</c:v>
                  </c:pt>
                  <c:pt idx="223">
                    <c:v>1.6863792779519043E-10</c:v>
                  </c:pt>
                  <c:pt idx="224">
                    <c:v>1.3790856432303798E-10</c:v>
                  </c:pt>
                  <c:pt idx="225">
                    <c:v>1.5819296740442474E-10</c:v>
                  </c:pt>
                  <c:pt idx="226">
                    <c:v>1.5332262344634538E-10</c:v>
                  </c:pt>
                  <c:pt idx="227">
                    <c:v>1.6383587345899773E-10</c:v>
                  </c:pt>
                  <c:pt idx="228">
                    <c:v>1.6797700122874663E-10</c:v>
                  </c:pt>
                  <c:pt idx="229">
                    <c:v>1.7488088645972106E-10</c:v>
                  </c:pt>
                  <c:pt idx="230">
                    <c:v>1.8489893932647502E-10</c:v>
                  </c:pt>
                  <c:pt idx="231">
                    <c:v>1.9680103631368145E-10</c:v>
                  </c:pt>
                  <c:pt idx="232">
                    <c:v>2.0553539900805763E-10</c:v>
                  </c:pt>
                  <c:pt idx="233">
                    <c:v>1.7790069036366962E-10</c:v>
                  </c:pt>
                  <c:pt idx="234">
                    <c:v>1.9778489915328828E-10</c:v>
                  </c:pt>
                  <c:pt idx="235">
                    <c:v>2.1575835539102123E-10</c:v>
                  </c:pt>
                  <c:pt idx="236">
                    <c:v>2.283885230140505E-10</c:v>
                  </c:pt>
                  <c:pt idx="237">
                    <c:v>1.3304872993807297E-10</c:v>
                  </c:pt>
                  <c:pt idx="238">
                    <c:v>1.2391642904827051E-10</c:v>
                  </c:pt>
                  <c:pt idx="239">
                    <c:v>1.0408661149481016E-10</c:v>
                  </c:pt>
                  <c:pt idx="240">
                    <c:v>1.0557914871775749E-10</c:v>
                  </c:pt>
                  <c:pt idx="241">
                    <c:v>1.1033217941020139E-10</c:v>
                  </c:pt>
                  <c:pt idx="242">
                    <c:v>1.1612180280280846E-10</c:v>
                  </c:pt>
                  <c:pt idx="243">
                    <c:v>1.299815946844787E-10</c:v>
                  </c:pt>
                  <c:pt idx="244">
                    <c:v>1.2522946525718512E-10</c:v>
                  </c:pt>
                  <c:pt idx="245">
                    <c:v>1.3024132005020244E-10</c:v>
                  </c:pt>
                  <c:pt idx="246">
                    <c:v>1.2672229961460261E-10</c:v>
                  </c:pt>
                  <c:pt idx="247">
                    <c:v>1.3149792613258125E-10</c:v>
                  </c:pt>
                  <c:pt idx="248">
                    <c:v>1.3065958034520132E-10</c:v>
                  </c:pt>
                  <c:pt idx="249">
                    <c:v>1.4607861821163961E-10</c:v>
                  </c:pt>
                  <c:pt idx="250">
                    <c:v>1.3872484080206898E-10</c:v>
                  </c:pt>
                  <c:pt idx="251">
                    <c:v>1.4499014276023994E-10</c:v>
                  </c:pt>
                  <c:pt idx="252">
                    <c:v>1.4521289464789163E-10</c:v>
                  </c:pt>
                  <c:pt idx="253">
                    <c:v>1.4101556443056735E-10</c:v>
                  </c:pt>
                  <c:pt idx="254">
                    <c:v>1.5955353632413505E-10</c:v>
                  </c:pt>
                  <c:pt idx="255">
                    <c:v>1.7044798472937536E-10</c:v>
                  </c:pt>
                  <c:pt idx="256">
                    <c:v>1.6802134985885486E-10</c:v>
                  </c:pt>
                  <c:pt idx="257">
                    <c:v>1.5204563944027989E-10</c:v>
                  </c:pt>
                  <c:pt idx="258">
                    <c:v>1.6101644451605161E-10</c:v>
                  </c:pt>
                  <c:pt idx="259">
                    <c:v>1.6076548299776055E-10</c:v>
                  </c:pt>
                  <c:pt idx="260">
                    <c:v>1.9422710309899822E-10</c:v>
                  </c:pt>
                  <c:pt idx="261">
                    <c:v>1.7121826420082791E-10</c:v>
                  </c:pt>
                  <c:pt idx="262">
                    <c:v>1.8274581830851691E-10</c:v>
                  </c:pt>
                  <c:pt idx="263">
                    <c:v>1.7488063032288611E-10</c:v>
                  </c:pt>
                  <c:pt idx="264">
                    <c:v>1.9589927899277747E-10</c:v>
                  </c:pt>
                  <c:pt idx="265">
                    <c:v>2.0734510992313382E-10</c:v>
                  </c:pt>
                  <c:pt idx="266">
                    <c:v>2.0780085843599924E-10</c:v>
                  </c:pt>
                  <c:pt idx="267">
                    <c:v>1.9083169133554429E-10</c:v>
                  </c:pt>
                  <c:pt idx="268">
                    <c:v>2.2532527726106137E-10</c:v>
                  </c:pt>
                  <c:pt idx="269">
                    <c:v>2.4162047550530663E-10</c:v>
                  </c:pt>
                  <c:pt idx="270">
                    <c:v>2.2225462724276678E-10</c:v>
                  </c:pt>
                  <c:pt idx="271">
                    <c:v>2.1015990508273873E-10</c:v>
                  </c:pt>
                  <c:pt idx="272">
                    <c:v>2.0793936321376974E-10</c:v>
                  </c:pt>
                  <c:pt idx="273">
                    <c:v>2.3626260981939392E-10</c:v>
                  </c:pt>
                  <c:pt idx="274">
                    <c:v>2.6226703945401697E-10</c:v>
                  </c:pt>
                  <c:pt idx="275">
                    <c:v>2.2935876631880887E-10</c:v>
                  </c:pt>
                  <c:pt idx="276">
                    <c:v>2.5150978675524672E-10</c:v>
                  </c:pt>
                  <c:pt idx="277">
                    <c:v>3.0014982074180406E-10</c:v>
                  </c:pt>
                  <c:pt idx="278">
                    <c:v>2.7907211825515843E-10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1.5488850596002397E-9</c:v>
                  </c:pt>
                  <c:pt idx="1">
                    <c:v>7.7926858143219242E-10</c:v>
                  </c:pt>
                  <c:pt idx="2">
                    <c:v>5.5891218794106424E-10</c:v>
                  </c:pt>
                  <c:pt idx="3">
                    <c:v>4.6817798240850244E-10</c:v>
                  </c:pt>
                  <c:pt idx="4">
                    <c:v>4.365189157626009E-10</c:v>
                  </c:pt>
                  <c:pt idx="5">
                    <c:v>3.9187446920178303E-10</c:v>
                  </c:pt>
                  <c:pt idx="6">
                    <c:v>3.9661425027786351E-10</c:v>
                  </c:pt>
                  <c:pt idx="7">
                    <c:v>4.2597071115759252E-10</c:v>
                  </c:pt>
                  <c:pt idx="8">
                    <c:v>3.9835715940923037E-10</c:v>
                  </c:pt>
                  <c:pt idx="9">
                    <c:v>3.6325113402147693E-10</c:v>
                  </c:pt>
                  <c:pt idx="10">
                    <c:v>4.0306786639440099E-10</c:v>
                  </c:pt>
                  <c:pt idx="11">
                    <c:v>4.1439085685126106E-10</c:v>
                  </c:pt>
                  <c:pt idx="12">
                    <c:v>4.3572880287419588E-10</c:v>
                  </c:pt>
                  <c:pt idx="13">
                    <c:v>4.3469809649284051E-10</c:v>
                  </c:pt>
                  <c:pt idx="14">
                    <c:v>3.1978167397845699E-10</c:v>
                  </c:pt>
                  <c:pt idx="15">
                    <c:v>3.1163847435853907E-10</c:v>
                  </c:pt>
                  <c:pt idx="16">
                    <c:v>3.2217371858689702E-10</c:v>
                  </c:pt>
                  <c:pt idx="17">
                    <c:v>3.3418989571371941E-10</c:v>
                  </c:pt>
                  <c:pt idx="18">
                    <c:v>3.4052682557344356E-10</c:v>
                  </c:pt>
                  <c:pt idx="19">
                    <c:v>5.0994406088749075E-10</c:v>
                  </c:pt>
                  <c:pt idx="20">
                    <c:v>5.0929812651567551E-10</c:v>
                  </c:pt>
                  <c:pt idx="21">
                    <c:v>4.9076056087763437E-10</c:v>
                  </c:pt>
                  <c:pt idx="22">
                    <c:v>4.5156046016651675E-10</c:v>
                  </c:pt>
                  <c:pt idx="23">
                    <c:v>4.1022317787540139E-10</c:v>
                  </c:pt>
                  <c:pt idx="24">
                    <c:v>3.7797320444445175E-10</c:v>
                  </c:pt>
                  <c:pt idx="25">
                    <c:v>3.6445518643575818E-10</c:v>
                  </c:pt>
                  <c:pt idx="26">
                    <c:v>3.1498493427901598E-10</c:v>
                  </c:pt>
                  <c:pt idx="27">
                    <c:v>3.2564994834130739E-10</c:v>
                  </c:pt>
                  <c:pt idx="28">
                    <c:v>2.9851665249888253E-10</c:v>
                  </c:pt>
                  <c:pt idx="29">
                    <c:v>2.865529341526703E-10</c:v>
                  </c:pt>
                  <c:pt idx="30">
                    <c:v>2.9406292996529542E-10</c:v>
                  </c:pt>
                  <c:pt idx="31">
                    <c:v>2.8872284766104822E-10</c:v>
                  </c:pt>
                  <c:pt idx="32">
                    <c:v>2.7977896919184806E-10</c:v>
                  </c:pt>
                  <c:pt idx="33">
                    <c:v>2.8450470647555742E-10</c:v>
                  </c:pt>
                  <c:pt idx="34">
                    <c:v>2.558323261490201E-10</c:v>
                  </c:pt>
                  <c:pt idx="35">
                    <c:v>1.4023566375585989E-10</c:v>
                  </c:pt>
                  <c:pt idx="36">
                    <c:v>1.320657354795275E-10</c:v>
                  </c:pt>
                  <c:pt idx="37">
                    <c:v>1.2821044185765299E-10</c:v>
                  </c:pt>
                  <c:pt idx="38">
                    <c:v>1.0927409524365973E-10</c:v>
                  </c:pt>
                  <c:pt idx="39">
                    <c:v>1.2816510257651794E-10</c:v>
                  </c:pt>
                  <c:pt idx="40">
                    <c:v>1.1082128567259814E-10</c:v>
                  </c:pt>
                  <c:pt idx="41">
                    <c:v>1.0069108090637696E-10</c:v>
                  </c:pt>
                  <c:pt idx="42">
                    <c:v>8.6312732881914389E-11</c:v>
                  </c:pt>
                  <c:pt idx="43">
                    <c:v>7.3591107827866204E-11</c:v>
                  </c:pt>
                  <c:pt idx="44">
                    <c:v>6.9094666652464799E-11</c:v>
                  </c:pt>
                  <c:pt idx="45">
                    <c:v>5.5462608580845872E-11</c:v>
                  </c:pt>
                  <c:pt idx="46">
                    <c:v>5.5853441269280437E-11</c:v>
                  </c:pt>
                  <c:pt idx="47">
                    <c:v>5.1656416400489767E-11</c:v>
                  </c:pt>
                  <c:pt idx="48">
                    <c:v>4.6445987240553346E-11</c:v>
                  </c:pt>
                  <c:pt idx="49">
                    <c:v>5.9751982631956185E-11</c:v>
                  </c:pt>
                  <c:pt idx="50">
                    <c:v>5.7045764418177582E-11</c:v>
                  </c:pt>
                  <c:pt idx="51">
                    <c:v>6.7697265016064275E-11</c:v>
                  </c:pt>
                  <c:pt idx="52">
                    <c:v>7.4732806444309133E-11</c:v>
                  </c:pt>
                  <c:pt idx="53">
                    <c:v>8.1476648817069212E-11</c:v>
                  </c:pt>
                  <c:pt idx="54">
                    <c:v>9.6757520805968148E-11</c:v>
                  </c:pt>
                  <c:pt idx="55">
                    <c:v>1.0389777007734215E-10</c:v>
                  </c:pt>
                  <c:pt idx="56">
                    <c:v>1.1519368031793732E-10</c:v>
                  </c:pt>
                  <c:pt idx="57">
                    <c:v>1.0752008468202925E-10</c:v>
                  </c:pt>
                  <c:pt idx="58">
                    <c:v>1.247750554152639E-10</c:v>
                  </c:pt>
                  <c:pt idx="59">
                    <c:v>1.2718224280733123E-10</c:v>
                  </c:pt>
                  <c:pt idx="60">
                    <c:v>1.3640475062541663E-10</c:v>
                  </c:pt>
                  <c:pt idx="61">
                    <c:v>1.3126172130535031E-10</c:v>
                  </c:pt>
                  <c:pt idx="62">
                    <c:v>9.3769592997403164E-11</c:v>
                  </c:pt>
                  <c:pt idx="63">
                    <c:v>9.8060031507078628E-11</c:v>
                  </c:pt>
                  <c:pt idx="64">
                    <c:v>9.7594136693684524E-11</c:v>
                  </c:pt>
                  <c:pt idx="65">
                    <c:v>9.8691855535882499E-11</c:v>
                  </c:pt>
                  <c:pt idx="66">
                    <c:v>8.7918807380532894E-11</c:v>
                  </c:pt>
                  <c:pt idx="67">
                    <c:v>9.113607656586767E-11</c:v>
                  </c:pt>
                  <c:pt idx="68">
                    <c:v>1.1875089388393675E-10</c:v>
                  </c:pt>
                  <c:pt idx="69">
                    <c:v>1.3209369915103424E-10</c:v>
                  </c:pt>
                  <c:pt idx="70">
                    <c:v>1.0223669999772344E-10</c:v>
                  </c:pt>
                  <c:pt idx="71">
                    <c:v>1.0711376594844284E-10</c:v>
                  </c:pt>
                  <c:pt idx="72">
                    <c:v>9.8903915308806201E-11</c:v>
                  </c:pt>
                  <c:pt idx="73">
                    <c:v>8.2081955999498025E-11</c:v>
                  </c:pt>
                  <c:pt idx="74">
                    <c:v>8.5233717679480179E-11</c:v>
                  </c:pt>
                  <c:pt idx="75">
                    <c:v>6.7332260787575503E-11</c:v>
                  </c:pt>
                  <c:pt idx="76">
                    <c:v>5.9040823538376771E-11</c:v>
                  </c:pt>
                  <c:pt idx="77">
                    <c:v>5.195475909450658E-11</c:v>
                  </c:pt>
                  <c:pt idx="78">
                    <c:v>5.0533747386799713E-11</c:v>
                  </c:pt>
                  <c:pt idx="79">
                    <c:v>6.1092028864317416E-11</c:v>
                  </c:pt>
                  <c:pt idx="80">
                    <c:v>6.7770965043617218E-11</c:v>
                  </c:pt>
                  <c:pt idx="81">
                    <c:v>7.3417715155432054E-11</c:v>
                  </c:pt>
                  <c:pt idx="82">
                    <c:v>8.5206972018206005E-11</c:v>
                  </c:pt>
                  <c:pt idx="83">
                    <c:v>1.0040349430588253E-10</c:v>
                  </c:pt>
                  <c:pt idx="84">
                    <c:v>9.8843428622984829E-11</c:v>
                  </c:pt>
                  <c:pt idx="85">
                    <c:v>1.1374989147910913E-10</c:v>
                  </c:pt>
                  <c:pt idx="86">
                    <c:v>1.2824924304618551E-10</c:v>
                  </c:pt>
                  <c:pt idx="87">
                    <c:v>1.3061130466292847E-10</c:v>
                  </c:pt>
                  <c:pt idx="88">
                    <c:v>1.2153348211812235E-10</c:v>
                  </c:pt>
                  <c:pt idx="89">
                    <c:v>1.4019413080809435E-10</c:v>
                  </c:pt>
                  <c:pt idx="90">
                    <c:v>1.3484308436297026E-10</c:v>
                  </c:pt>
                  <c:pt idx="91">
                    <c:v>1.4038676267800926E-10</c:v>
                  </c:pt>
                  <c:pt idx="92">
                    <c:v>1.4081133759503462E-10</c:v>
                  </c:pt>
                  <c:pt idx="93">
                    <c:v>1.3335622763825496E-10</c:v>
                  </c:pt>
                  <c:pt idx="94">
                    <c:v>1.3293616380623117E-10</c:v>
                  </c:pt>
                  <c:pt idx="95">
                    <c:v>1.1406217897856238E-10</c:v>
                  </c:pt>
                  <c:pt idx="96">
                    <c:v>1.0556564196772598E-10</c:v>
                  </c:pt>
                  <c:pt idx="97">
                    <c:v>8.6711909512375111E-11</c:v>
                  </c:pt>
                  <c:pt idx="98">
                    <c:v>3.9696181357779547E-11</c:v>
                  </c:pt>
                  <c:pt idx="99">
                    <c:v>3.4094651304034627E-11</c:v>
                  </c:pt>
                  <c:pt idx="100">
                    <c:v>2.5377873085426077E-11</c:v>
                  </c:pt>
                  <c:pt idx="101">
                    <c:v>2.119720201025097E-11</c:v>
                  </c:pt>
                  <c:pt idx="102">
                    <c:v>2.0927871858488518E-11</c:v>
                  </c:pt>
                  <c:pt idx="103">
                    <c:v>2.3828616818242822E-11</c:v>
                  </c:pt>
                  <c:pt idx="104">
                    <c:v>2.4979273068320741E-11</c:v>
                  </c:pt>
                  <c:pt idx="105">
                    <c:v>3.1132251065360323E-11</c:v>
                  </c:pt>
                  <c:pt idx="106">
                    <c:v>3.703203912545199E-11</c:v>
                  </c:pt>
                  <c:pt idx="107">
                    <c:v>4.4126179315163179E-11</c:v>
                  </c:pt>
                  <c:pt idx="108">
                    <c:v>5.3478234167320725E-11</c:v>
                  </c:pt>
                  <c:pt idx="109">
                    <c:v>6.2522144195870299E-11</c:v>
                  </c:pt>
                  <c:pt idx="110">
                    <c:v>6.8272689668091158E-11</c:v>
                  </c:pt>
                  <c:pt idx="111">
                    <c:v>6.9501201205703812E-11</c:v>
                  </c:pt>
                  <c:pt idx="112">
                    <c:v>7.3872376420862259E-11</c:v>
                  </c:pt>
                  <c:pt idx="113">
                    <c:v>7.2119648809851679E-11</c:v>
                  </c:pt>
                  <c:pt idx="114">
                    <c:v>7.4467846709333095E-11</c:v>
                  </c:pt>
                  <c:pt idx="115">
                    <c:v>7.0055469403826644E-11</c:v>
                  </c:pt>
                  <c:pt idx="116">
                    <c:v>6.742635927056626E-11</c:v>
                  </c:pt>
                  <c:pt idx="117">
                    <c:v>6.9222728379599987E-11</c:v>
                  </c:pt>
                  <c:pt idx="118">
                    <c:v>6.3449148136996022E-11</c:v>
                  </c:pt>
                  <c:pt idx="119">
                    <c:v>6.0883236163643307E-11</c:v>
                  </c:pt>
                  <c:pt idx="120">
                    <c:v>5.1733392235121655E-11</c:v>
                  </c:pt>
                  <c:pt idx="121">
                    <c:v>4.8259079607882445E-11</c:v>
                  </c:pt>
                  <c:pt idx="122">
                    <c:v>4.1807941306621445E-11</c:v>
                  </c:pt>
                  <c:pt idx="123">
                    <c:v>3.9510290686414719E-11</c:v>
                  </c:pt>
                  <c:pt idx="124">
                    <c:v>4.0263984398816244E-11</c:v>
                  </c:pt>
                  <c:pt idx="125">
                    <c:v>4.5619378897990675E-11</c:v>
                  </c:pt>
                  <c:pt idx="126">
                    <c:v>5.3705856088243576E-11</c:v>
                  </c:pt>
                  <c:pt idx="127">
                    <c:v>6.3754667571327328E-11</c:v>
                  </c:pt>
                  <c:pt idx="128">
                    <c:v>7.1648291244775779E-11</c:v>
                  </c:pt>
                  <c:pt idx="129">
                    <c:v>8.2447321386996522E-11</c:v>
                  </c:pt>
                  <c:pt idx="130">
                    <c:v>9.0880498864296727E-11</c:v>
                  </c:pt>
                  <c:pt idx="131">
                    <c:v>9.8072780205811641E-11</c:v>
                  </c:pt>
                  <c:pt idx="132">
                    <c:v>9.5215168949239989E-11</c:v>
                  </c:pt>
                  <c:pt idx="133">
                    <c:v>1.0193699729577516E-10</c:v>
                  </c:pt>
                  <c:pt idx="134">
                    <c:v>1.0136986563366516E-10</c:v>
                  </c:pt>
                  <c:pt idx="135">
                    <c:v>1.0040658044533168E-10</c:v>
                  </c:pt>
                  <c:pt idx="136">
                    <c:v>9.4416892305099273E-11</c:v>
                  </c:pt>
                  <c:pt idx="137">
                    <c:v>8.5772644837438589E-11</c:v>
                  </c:pt>
                  <c:pt idx="138">
                    <c:v>7.6299708452259601E-11</c:v>
                  </c:pt>
                  <c:pt idx="139">
                    <c:v>7.9633560933364884E-11</c:v>
                  </c:pt>
                  <c:pt idx="140">
                    <c:v>7.0684978197235737E-11</c:v>
                  </c:pt>
                  <c:pt idx="141">
                    <c:v>6.4316232088950208E-11</c:v>
                  </c:pt>
                  <c:pt idx="142">
                    <c:v>7.1714331011380625E-11</c:v>
                  </c:pt>
                  <c:pt idx="143">
                    <c:v>8.0842145973599949E-11</c:v>
                  </c:pt>
                  <c:pt idx="144">
                    <c:v>9.5065550561736484E-11</c:v>
                  </c:pt>
                  <c:pt idx="145">
                    <c:v>9.3376849201879182E-11</c:v>
                  </c:pt>
                  <c:pt idx="146">
                    <c:v>1.2213336102964165E-10</c:v>
                  </c:pt>
                  <c:pt idx="147">
                    <c:v>1.143777932051922E-10</c:v>
                  </c:pt>
                  <c:pt idx="148">
                    <c:v>1.1341058313823058E-10</c:v>
                  </c:pt>
                  <c:pt idx="149">
                    <c:v>1.2730477772020207E-10</c:v>
                  </c:pt>
                  <c:pt idx="150">
                    <c:v>1.4090416678577672E-10</c:v>
                  </c:pt>
                  <c:pt idx="151">
                    <c:v>1.2705478902814418E-10</c:v>
                  </c:pt>
                  <c:pt idx="152">
                    <c:v>1.2403340240127053E-10</c:v>
                  </c:pt>
                  <c:pt idx="153">
                    <c:v>1.1307773933557656E-10</c:v>
                  </c:pt>
                  <c:pt idx="154">
                    <c:v>1.0475788971553405E-10</c:v>
                  </c:pt>
                  <c:pt idx="155">
                    <c:v>8.4049583215249503E-11</c:v>
                  </c:pt>
                  <c:pt idx="156">
                    <c:v>9.0739041433227326E-11</c:v>
                  </c:pt>
                  <c:pt idx="157">
                    <c:v>9.6881017834551313E-11</c:v>
                  </c:pt>
                  <c:pt idx="158">
                    <c:v>9.4211294469409902E-11</c:v>
                  </c:pt>
                  <c:pt idx="159">
                    <c:v>1.0906722228029874E-10</c:v>
                  </c:pt>
                  <c:pt idx="160">
                    <c:v>1.3590038792153159E-10</c:v>
                  </c:pt>
                  <c:pt idx="161">
                    <c:v>1.3990038508442364E-10</c:v>
                  </c:pt>
                  <c:pt idx="162">
                    <c:v>1.482730885787312E-10</c:v>
                  </c:pt>
                  <c:pt idx="163">
                    <c:v>1.620479076544801E-10</c:v>
                  </c:pt>
                  <c:pt idx="164">
                    <c:v>1.6013865165668577E-10</c:v>
                  </c:pt>
                  <c:pt idx="165">
                    <c:v>1.767184853181726E-10</c:v>
                  </c:pt>
                  <c:pt idx="166">
                    <c:v>1.548432782003655E-10</c:v>
                  </c:pt>
                  <c:pt idx="167">
                    <c:v>6.8559003971391364E-11</c:v>
                  </c:pt>
                  <c:pt idx="168">
                    <c:v>6.6298298043487644E-11</c:v>
                  </c:pt>
                  <c:pt idx="169">
                    <c:v>5.4336948899110654E-11</c:v>
                  </c:pt>
                  <c:pt idx="170">
                    <c:v>4.7631754432053481E-11</c:v>
                  </c:pt>
                  <c:pt idx="171">
                    <c:v>4.9557210424870756E-11</c:v>
                  </c:pt>
                  <c:pt idx="172">
                    <c:v>5.7994721309218049E-11</c:v>
                  </c:pt>
                  <c:pt idx="173">
                    <c:v>6.4639663735128802E-11</c:v>
                  </c:pt>
                  <c:pt idx="174">
                    <c:v>7.6850430019922801E-11</c:v>
                  </c:pt>
                  <c:pt idx="175">
                    <c:v>8.1536973474047749E-11</c:v>
                  </c:pt>
                  <c:pt idx="176">
                    <c:v>8.3182010559134507E-11</c:v>
                  </c:pt>
                  <c:pt idx="177">
                    <c:v>8.1550573660896132E-11</c:v>
                  </c:pt>
                  <c:pt idx="178">
                    <c:v>8.1925217135079635E-11</c:v>
                  </c:pt>
                  <c:pt idx="179">
                    <c:v>7.8156345838176216E-11</c:v>
                  </c:pt>
                  <c:pt idx="180">
                    <c:v>6.5005245058592995E-11</c:v>
                  </c:pt>
                  <c:pt idx="181">
                    <c:v>5.865033421964411E-11</c:v>
                  </c:pt>
                  <c:pt idx="182">
                    <c:v>5.9977360906608172E-11</c:v>
                  </c:pt>
                  <c:pt idx="183">
                    <c:v>5.8420517889760495E-11</c:v>
                  </c:pt>
                  <c:pt idx="184">
                    <c:v>7.1626863697034064E-11</c:v>
                  </c:pt>
                  <c:pt idx="185">
                    <c:v>7.6824286028727316E-11</c:v>
                  </c:pt>
                  <c:pt idx="186">
                    <c:v>9.0169478746509274E-11</c:v>
                  </c:pt>
                  <c:pt idx="187">
                    <c:v>9.7781898699767573E-11</c:v>
                  </c:pt>
                  <c:pt idx="188">
                    <c:v>9.1940624738274523E-11</c:v>
                  </c:pt>
                  <c:pt idx="189">
                    <c:v>8.5697612304689384E-11</c:v>
                  </c:pt>
                  <c:pt idx="190">
                    <c:v>9.6698691615758974E-11</c:v>
                  </c:pt>
                  <c:pt idx="191">
                    <c:v>8.7876861039629501E-11</c:v>
                  </c:pt>
                  <c:pt idx="192">
                    <c:v>6.9233228452669645E-11</c:v>
                  </c:pt>
                  <c:pt idx="193">
                    <c:v>7.4505560632809627E-11</c:v>
                  </c:pt>
                  <c:pt idx="194">
                    <c:v>7.8214523879360394E-11</c:v>
                  </c:pt>
                  <c:pt idx="195">
                    <c:v>9.4554777619645634E-11</c:v>
                  </c:pt>
                  <c:pt idx="196">
                    <c:v>1.0141025576343524E-10</c:v>
                  </c:pt>
                  <c:pt idx="197">
                    <c:v>1.1822784386609785E-10</c:v>
                  </c:pt>
                  <c:pt idx="198">
                    <c:v>1.1443448249471784E-10</c:v>
                  </c:pt>
                  <c:pt idx="199">
                    <c:v>1.1733036356555448E-10</c:v>
                  </c:pt>
                  <c:pt idx="200">
                    <c:v>1.1132790605281352E-10</c:v>
                  </c:pt>
                  <c:pt idx="201">
                    <c:v>9.867887117261604E-11</c:v>
                  </c:pt>
                  <c:pt idx="202">
                    <c:v>9.231761742825897E-11</c:v>
                  </c:pt>
                  <c:pt idx="203">
                    <c:v>1.0220239672987589E-10</c:v>
                  </c:pt>
                  <c:pt idx="204">
                    <c:v>1.0469983454718697E-10</c:v>
                  </c:pt>
                  <c:pt idx="205">
                    <c:v>1.301449261932962E-10</c:v>
                  </c:pt>
                  <c:pt idx="206">
                    <c:v>1.1857549172618091E-10</c:v>
                  </c:pt>
                  <c:pt idx="207">
                    <c:v>1.3155165951649882E-10</c:v>
                  </c:pt>
                  <c:pt idx="208">
                    <c:v>1.3162203882244429E-10</c:v>
                  </c:pt>
                  <c:pt idx="209">
                    <c:v>1.3305030491675222E-10</c:v>
                  </c:pt>
                  <c:pt idx="210">
                    <c:v>1.2736194548301818E-10</c:v>
                  </c:pt>
                  <c:pt idx="211">
                    <c:v>1.0327918413706898E-10</c:v>
                  </c:pt>
                  <c:pt idx="212">
                    <c:v>1.3127447650506868E-10</c:v>
                  </c:pt>
                  <c:pt idx="213">
                    <c:v>1.3140121786678427E-10</c:v>
                  </c:pt>
                  <c:pt idx="214">
                    <c:v>1.4179791862840448E-10</c:v>
                  </c:pt>
                  <c:pt idx="215">
                    <c:v>1.5517181398793502E-10</c:v>
                  </c:pt>
                  <c:pt idx="216">
                    <c:v>1.3535533679579129E-10</c:v>
                  </c:pt>
                  <c:pt idx="217">
                    <c:v>1.3259344190285701E-10</c:v>
                  </c:pt>
                  <c:pt idx="218">
                    <c:v>1.4750243010279723E-10</c:v>
                  </c:pt>
                  <c:pt idx="219">
                    <c:v>1.4036845639884513E-10</c:v>
                  </c:pt>
                  <c:pt idx="220">
                    <c:v>1.5214468922137231E-10</c:v>
                  </c:pt>
                  <c:pt idx="221">
                    <c:v>1.6697356887612803E-10</c:v>
                  </c:pt>
                  <c:pt idx="222">
                    <c:v>1.6643340342623673E-10</c:v>
                  </c:pt>
                  <c:pt idx="223">
                    <c:v>1.6863792779519043E-10</c:v>
                  </c:pt>
                  <c:pt idx="224">
                    <c:v>1.3790856432303798E-10</c:v>
                  </c:pt>
                  <c:pt idx="225">
                    <c:v>1.5819296740442474E-10</c:v>
                  </c:pt>
                  <c:pt idx="226">
                    <c:v>1.5332262344634538E-10</c:v>
                  </c:pt>
                  <c:pt idx="227">
                    <c:v>1.6383587345899773E-10</c:v>
                  </c:pt>
                  <c:pt idx="228">
                    <c:v>1.6797700122874663E-10</c:v>
                  </c:pt>
                  <c:pt idx="229">
                    <c:v>1.7488088645972106E-10</c:v>
                  </c:pt>
                  <c:pt idx="230">
                    <c:v>1.8489893932647502E-10</c:v>
                  </c:pt>
                  <c:pt idx="231">
                    <c:v>1.9680103631368145E-10</c:v>
                  </c:pt>
                  <c:pt idx="232">
                    <c:v>2.0553539900805763E-10</c:v>
                  </c:pt>
                  <c:pt idx="233">
                    <c:v>1.7790069036366962E-10</c:v>
                  </c:pt>
                  <c:pt idx="234">
                    <c:v>1.9778489915328828E-10</c:v>
                  </c:pt>
                  <c:pt idx="235">
                    <c:v>2.1575835539102123E-10</c:v>
                  </c:pt>
                  <c:pt idx="236">
                    <c:v>2.283885230140505E-10</c:v>
                  </c:pt>
                  <c:pt idx="237">
                    <c:v>1.3304872993807297E-10</c:v>
                  </c:pt>
                  <c:pt idx="238">
                    <c:v>1.2391642904827051E-10</c:v>
                  </c:pt>
                  <c:pt idx="239">
                    <c:v>1.0408661149481016E-10</c:v>
                  </c:pt>
                  <c:pt idx="240">
                    <c:v>1.0557914871775749E-10</c:v>
                  </c:pt>
                  <c:pt idx="241">
                    <c:v>1.1033217941020139E-10</c:v>
                  </c:pt>
                  <c:pt idx="242">
                    <c:v>1.1612180280280846E-10</c:v>
                  </c:pt>
                  <c:pt idx="243">
                    <c:v>1.299815946844787E-10</c:v>
                  </c:pt>
                  <c:pt idx="244">
                    <c:v>1.2522946525718512E-10</c:v>
                  </c:pt>
                  <c:pt idx="245">
                    <c:v>1.3024132005020244E-10</c:v>
                  </c:pt>
                  <c:pt idx="246">
                    <c:v>1.2672229961460261E-10</c:v>
                  </c:pt>
                  <c:pt idx="247">
                    <c:v>1.3149792613258125E-10</c:v>
                  </c:pt>
                  <c:pt idx="248">
                    <c:v>1.3065958034520132E-10</c:v>
                  </c:pt>
                  <c:pt idx="249">
                    <c:v>1.4607861821163961E-10</c:v>
                  </c:pt>
                  <c:pt idx="250">
                    <c:v>1.3872484080206898E-10</c:v>
                  </c:pt>
                  <c:pt idx="251">
                    <c:v>1.4499014276023994E-10</c:v>
                  </c:pt>
                  <c:pt idx="252">
                    <c:v>1.4521289464789163E-10</c:v>
                  </c:pt>
                  <c:pt idx="253">
                    <c:v>1.4101556443056735E-10</c:v>
                  </c:pt>
                  <c:pt idx="254">
                    <c:v>1.5955353632413505E-10</c:v>
                  </c:pt>
                  <c:pt idx="255">
                    <c:v>1.7044798472937536E-10</c:v>
                  </c:pt>
                  <c:pt idx="256">
                    <c:v>1.6802134985885486E-10</c:v>
                  </c:pt>
                  <c:pt idx="257">
                    <c:v>1.5204563944027989E-10</c:v>
                  </c:pt>
                  <c:pt idx="258">
                    <c:v>1.6101644451605161E-10</c:v>
                  </c:pt>
                  <c:pt idx="259">
                    <c:v>1.6076548299776055E-10</c:v>
                  </c:pt>
                  <c:pt idx="260">
                    <c:v>1.9422710309899822E-10</c:v>
                  </c:pt>
                  <c:pt idx="261">
                    <c:v>1.7121826420082791E-10</c:v>
                  </c:pt>
                  <c:pt idx="262">
                    <c:v>1.8274581830851691E-10</c:v>
                  </c:pt>
                  <c:pt idx="263">
                    <c:v>1.7488063032288611E-10</c:v>
                  </c:pt>
                  <c:pt idx="264">
                    <c:v>1.9589927899277747E-10</c:v>
                  </c:pt>
                  <c:pt idx="265">
                    <c:v>2.0734510992313382E-10</c:v>
                  </c:pt>
                  <c:pt idx="266">
                    <c:v>2.0780085843599924E-10</c:v>
                  </c:pt>
                  <c:pt idx="267">
                    <c:v>1.9083169133554429E-10</c:v>
                  </c:pt>
                  <c:pt idx="268">
                    <c:v>2.2532527726106137E-10</c:v>
                  </c:pt>
                  <c:pt idx="269">
                    <c:v>2.4162047550530663E-10</c:v>
                  </c:pt>
                  <c:pt idx="270">
                    <c:v>2.2225462724276678E-10</c:v>
                  </c:pt>
                  <c:pt idx="271">
                    <c:v>2.1015990508273873E-10</c:v>
                  </c:pt>
                  <c:pt idx="272">
                    <c:v>2.0793936321376974E-10</c:v>
                  </c:pt>
                  <c:pt idx="273">
                    <c:v>2.3626260981939392E-10</c:v>
                  </c:pt>
                  <c:pt idx="274">
                    <c:v>2.6226703945401697E-10</c:v>
                  </c:pt>
                  <c:pt idx="275">
                    <c:v>2.2935876631880887E-10</c:v>
                  </c:pt>
                  <c:pt idx="276">
                    <c:v>2.5150978675524672E-10</c:v>
                  </c:pt>
                  <c:pt idx="277">
                    <c:v>3.0014982074180406E-10</c:v>
                  </c:pt>
                  <c:pt idx="278">
                    <c:v>2.7907211825515843E-10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8.1014360403499994E-3</c:v>
                </c:pt>
                <c:pt idx="1">
                  <c:v>8.1824504007600007E-3</c:v>
                </c:pt>
                <c:pt idx="2">
                  <c:v>8.2642749047700005E-3</c:v>
                </c:pt>
                <c:pt idx="3">
                  <c:v>8.3469176538099998E-3</c:v>
                </c:pt>
                <c:pt idx="4">
                  <c:v>8.4303868303500003E-3</c:v>
                </c:pt>
                <c:pt idx="5">
                  <c:v>8.5146906986500008E-3</c:v>
                </c:pt>
                <c:pt idx="6">
                  <c:v>8.5998376056400008E-3</c:v>
                </c:pt>
                <c:pt idx="7">
                  <c:v>8.6858359817000002E-3</c:v>
                </c:pt>
                <c:pt idx="8">
                  <c:v>8.7726943415100001E-3</c:v>
                </c:pt>
                <c:pt idx="9">
                  <c:v>8.86042128493E-3</c:v>
                </c:pt>
                <c:pt idx="10">
                  <c:v>8.9490254977800006E-3</c:v>
                </c:pt>
                <c:pt idx="11">
                  <c:v>9.0385157527600006E-3</c:v>
                </c:pt>
                <c:pt idx="12">
                  <c:v>9.1289009102799995E-3</c:v>
                </c:pt>
                <c:pt idx="13">
                  <c:v>9.2201899193900001E-3</c:v>
                </c:pt>
                <c:pt idx="14">
                  <c:v>9.3123918185800004E-3</c:v>
                </c:pt>
                <c:pt idx="15">
                  <c:v>9.4055157367700006E-3</c:v>
                </c:pt>
                <c:pt idx="16">
                  <c:v>9.4995708941299998E-3</c:v>
                </c:pt>
                <c:pt idx="17">
                  <c:v>9.5945666030799997E-3</c:v>
                </c:pt>
                <c:pt idx="18">
                  <c:v>9.69051226911E-3</c:v>
                </c:pt>
                <c:pt idx="19">
                  <c:v>9.7874173918000001E-3</c:v>
                </c:pt>
                <c:pt idx="20">
                  <c:v>9.8852915657199995E-3</c:v>
                </c:pt>
                <c:pt idx="21">
                  <c:v>9.9841444813699998E-3</c:v>
                </c:pt>
                <c:pt idx="22">
                  <c:v>1.0083985926200001E-2</c:v>
                </c:pt>
                <c:pt idx="23">
                  <c:v>1.01848257854E-2</c:v>
                </c:pt>
                <c:pt idx="24">
                  <c:v>1.02866740433E-2</c:v>
                </c:pt>
                <c:pt idx="25">
                  <c:v>1.03895407837E-2</c:v>
                </c:pt>
                <c:pt idx="26">
                  <c:v>1.04934361916E-2</c:v>
                </c:pt>
                <c:pt idx="27">
                  <c:v>1.05983705535E-2</c:v>
                </c:pt>
                <c:pt idx="28">
                  <c:v>1.0704354259E-2</c:v>
                </c:pt>
                <c:pt idx="29">
                  <c:v>1.08113978016E-2</c:v>
                </c:pt>
                <c:pt idx="30">
                  <c:v>1.0919511779600001E-2</c:v>
                </c:pt>
                <c:pt idx="31">
                  <c:v>1.1028706897400001E-2</c:v>
                </c:pt>
                <c:pt idx="32">
                  <c:v>1.11389939664E-2</c:v>
                </c:pt>
                <c:pt idx="33">
                  <c:v>1.12503839061E-2</c:v>
                </c:pt>
                <c:pt idx="34">
                  <c:v>1.1362887745099999E-2</c:v>
                </c:pt>
                <c:pt idx="35">
                  <c:v>1.14765166226E-2</c:v>
                </c:pt>
                <c:pt idx="36">
                  <c:v>1.1591281788799999E-2</c:v>
                </c:pt>
                <c:pt idx="37">
                  <c:v>1.17071946067E-2</c:v>
                </c:pt>
                <c:pt idx="38">
                  <c:v>1.18242665528E-2</c:v>
                </c:pt>
                <c:pt idx="39">
                  <c:v>1.19425092183E-2</c:v>
                </c:pt>
                <c:pt idx="40">
                  <c:v>1.2061934310500001E-2</c:v>
                </c:pt>
                <c:pt idx="41">
                  <c:v>1.2182553653599999E-2</c:v>
                </c:pt>
                <c:pt idx="42">
                  <c:v>1.2304379190100001E-2</c:v>
                </c:pt>
                <c:pt idx="43">
                  <c:v>1.2427422981999999E-2</c:v>
                </c:pt>
                <c:pt idx="44">
                  <c:v>1.25516972118E-2</c:v>
                </c:pt>
                <c:pt idx="45">
                  <c:v>1.26772141839E-2</c:v>
                </c:pt>
                <c:pt idx="46">
                  <c:v>1.28039863258E-2</c:v>
                </c:pt>
                <c:pt idx="47">
                  <c:v>1.2932026189000001E-2</c:v>
                </c:pt>
                <c:pt idx="48">
                  <c:v>1.3061346450899999E-2</c:v>
                </c:pt>
                <c:pt idx="49">
                  <c:v>1.31919599154E-2</c:v>
                </c:pt>
                <c:pt idx="50">
                  <c:v>1.33238795146E-2</c:v>
                </c:pt>
                <c:pt idx="51">
                  <c:v>1.3457118309700001E-2</c:v>
                </c:pt>
                <c:pt idx="52">
                  <c:v>1.3591689492799999E-2</c:v>
                </c:pt>
                <c:pt idx="53">
                  <c:v>1.37276063878E-2</c:v>
                </c:pt>
                <c:pt idx="54">
                  <c:v>1.3864882451600001E-2</c:v>
                </c:pt>
                <c:pt idx="55">
                  <c:v>1.40035312762E-2</c:v>
                </c:pt>
                <c:pt idx="56">
                  <c:v>1.41435665889E-2</c:v>
                </c:pt>
                <c:pt idx="57">
                  <c:v>1.42850022548E-2</c:v>
                </c:pt>
                <c:pt idx="58">
                  <c:v>1.44278522774E-2</c:v>
                </c:pt>
                <c:pt idx="59">
                  <c:v>1.4572130800099999E-2</c:v>
                </c:pt>
                <c:pt idx="60">
                  <c:v>1.4717852108099999E-2</c:v>
                </c:pt>
                <c:pt idx="61">
                  <c:v>1.4865030629200001E-2</c:v>
                </c:pt>
                <c:pt idx="62">
                  <c:v>1.50136809355E-2</c:v>
                </c:pt>
                <c:pt idx="63">
                  <c:v>1.5163817744900001E-2</c:v>
                </c:pt>
                <c:pt idx="64">
                  <c:v>1.5315455922300001E-2</c:v>
                </c:pt>
                <c:pt idx="65">
                  <c:v>1.54686104815E-2</c:v>
                </c:pt>
                <c:pt idx="66">
                  <c:v>1.56232965864E-2</c:v>
                </c:pt>
                <c:pt idx="67">
                  <c:v>1.5779529552200001E-2</c:v>
                </c:pt>
                <c:pt idx="68">
                  <c:v>1.59373248477E-2</c:v>
                </c:pt>
                <c:pt idx="69">
                  <c:v>1.6096698096199999E-2</c:v>
                </c:pt>
                <c:pt idx="70">
                  <c:v>1.6257665077200001E-2</c:v>
                </c:pt>
                <c:pt idx="71">
                  <c:v>1.6420241727999999E-2</c:v>
                </c:pt>
                <c:pt idx="72">
                  <c:v>1.6584444145200002E-2</c:v>
                </c:pt>
                <c:pt idx="73">
                  <c:v>1.67502885867E-2</c:v>
                </c:pt>
                <c:pt idx="74">
                  <c:v>1.6917791472599999E-2</c:v>
                </c:pt>
                <c:pt idx="75">
                  <c:v>1.7086969387300002E-2</c:v>
                </c:pt>
                <c:pt idx="76">
                  <c:v>1.7257839081199999E-2</c:v>
                </c:pt>
                <c:pt idx="77">
                  <c:v>1.7430417472000002E-2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5.0336650662023247E-9</c:v>
                </c:pt>
                <c:pt idx="1">
                  <c:v>4.0051667355194237E-9</c:v>
                </c:pt>
                <c:pt idx="2">
                  <c:v>4.5655589127850725E-9</c:v>
                </c:pt>
                <c:pt idx="3">
                  <c:v>5.1487469354424805E-9</c:v>
                </c:pt>
                <c:pt idx="4">
                  <c:v>5.6000262933021538E-9</c:v>
                </c:pt>
                <c:pt idx="5">
                  <c:v>4.9859799980686815E-9</c:v>
                </c:pt>
                <c:pt idx="6">
                  <c:v>5.2934335128924658E-9</c:v>
                </c:pt>
                <c:pt idx="7">
                  <c:v>6.2199437456113303E-9</c:v>
                </c:pt>
                <c:pt idx="8">
                  <c:v>5.7101685961001614E-9</c:v>
                </c:pt>
                <c:pt idx="9">
                  <c:v>5.119101410471024E-9</c:v>
                </c:pt>
                <c:pt idx="10">
                  <c:v>6.280806533154091E-9</c:v>
                </c:pt>
                <c:pt idx="11">
                  <c:v>6.6023938860996806E-9</c:v>
                </c:pt>
                <c:pt idx="12">
                  <c:v>7.4615928991841073E-9</c:v>
                </c:pt>
                <c:pt idx="13">
                  <c:v>7.7175042916795432E-9</c:v>
                </c:pt>
                <c:pt idx="14">
                  <c:v>7.3149487572607952E-9</c:v>
                </c:pt>
                <c:pt idx="15">
                  <c:v>7.3462933949936805E-9</c:v>
                </c:pt>
                <c:pt idx="16">
                  <c:v>7.9164141457942482E-9</c:v>
                </c:pt>
                <c:pt idx="17">
                  <c:v>8.4426629316091007E-9</c:v>
                </c:pt>
                <c:pt idx="18">
                  <c:v>8.6935905178621399E-9</c:v>
                </c:pt>
                <c:pt idx="19">
                  <c:v>8.3770270647293726E-9</c:v>
                </c:pt>
                <c:pt idx="20">
                  <c:v>8.6012186259411555E-9</c:v>
                </c:pt>
                <c:pt idx="21">
                  <c:v>8.3773933574299298E-9</c:v>
                </c:pt>
                <c:pt idx="22">
                  <c:v>7.1887902782738035E-9</c:v>
                </c:pt>
                <c:pt idx="23">
                  <c:v>5.8985597614192605E-9</c:v>
                </c:pt>
                <c:pt idx="24">
                  <c:v>5.158269254402048E-9</c:v>
                </c:pt>
                <c:pt idx="25">
                  <c:v>4.8622135788666101E-9</c:v>
                </c:pt>
                <c:pt idx="26">
                  <c:v>3.695321539601329E-9</c:v>
                </c:pt>
                <c:pt idx="27">
                  <c:v>3.8591155457025523E-9</c:v>
                </c:pt>
                <c:pt idx="28">
                  <c:v>3.2999624042391747E-9</c:v>
                </c:pt>
                <c:pt idx="29">
                  <c:v>3.0246213708714608E-9</c:v>
                </c:pt>
                <c:pt idx="30">
                  <c:v>3.3980423646376242E-9</c:v>
                </c:pt>
                <c:pt idx="31">
                  <c:v>3.0382327421935105E-9</c:v>
                </c:pt>
                <c:pt idx="32">
                  <c:v>2.954934291585872E-9</c:v>
                </c:pt>
                <c:pt idx="33">
                  <c:v>3.2709955797383997E-9</c:v>
                </c:pt>
                <c:pt idx="34">
                  <c:v>2.4827468262097952E-9</c:v>
                </c:pt>
                <c:pt idx="35">
                  <c:v>2.2125540950314675E-9</c:v>
                </c:pt>
                <c:pt idx="36">
                  <c:v>2.0496524580079845E-9</c:v>
                </c:pt>
                <c:pt idx="37">
                  <c:v>1.8803427168177889E-9</c:v>
                </c:pt>
                <c:pt idx="38">
                  <c:v>1.4428475641180843E-9</c:v>
                </c:pt>
                <c:pt idx="39">
                  <c:v>1.3618296948412506E-9</c:v>
                </c:pt>
                <c:pt idx="40">
                  <c:v>1.0156227294070273E-9</c:v>
                </c:pt>
                <c:pt idx="41">
                  <c:v>7.9340512428903966E-10</c:v>
                </c:pt>
                <c:pt idx="42">
                  <c:v>6.0933730630476272E-10</c:v>
                </c:pt>
                <c:pt idx="43">
                  <c:v>4.1920308457426188E-10</c:v>
                </c:pt>
                <c:pt idx="44">
                  <c:v>2.435010943328106E-10</c:v>
                </c:pt>
                <c:pt idx="45">
                  <c:v>9.2865735983579449E-11</c:v>
                </c:pt>
                <c:pt idx="46">
                  <c:v>1.3893152988490805E-10</c:v>
                </c:pt>
                <c:pt idx="47">
                  <c:v>1.4648998112986228E-10</c:v>
                </c:pt>
                <c:pt idx="48">
                  <c:v>8.613789945514381E-11</c:v>
                </c:pt>
                <c:pt idx="49">
                  <c:v>2.4580495886571684E-10</c:v>
                </c:pt>
                <c:pt idx="50">
                  <c:v>2.1473420422486203E-10</c:v>
                </c:pt>
                <c:pt idx="51">
                  <c:v>3.6616113813220887E-10</c:v>
                </c:pt>
                <c:pt idx="52">
                  <c:v>4.720287710934067E-10</c:v>
                </c:pt>
                <c:pt idx="53">
                  <c:v>6.2183513172318039E-10</c:v>
                </c:pt>
                <c:pt idx="54">
                  <c:v>8.8257689534359634E-10</c:v>
                </c:pt>
                <c:pt idx="55">
                  <c:v>1.0313355116657498E-9</c:v>
                </c:pt>
                <c:pt idx="56">
                  <c:v>1.3138810408565646E-9</c:v>
                </c:pt>
                <c:pt idx="57">
                  <c:v>1.1654631176648793E-9</c:v>
                </c:pt>
                <c:pt idx="58">
                  <c:v>1.5738935825222303E-9</c:v>
                </c:pt>
                <c:pt idx="59">
                  <c:v>1.621900598682649E-9</c:v>
                </c:pt>
                <c:pt idx="60">
                  <c:v>1.8889172379246971E-9</c:v>
                </c:pt>
                <c:pt idx="61">
                  <c:v>1.7740305672908875E-9</c:v>
                </c:pt>
                <c:pt idx="62">
                  <c:v>1.6831404599699709E-9</c:v>
                </c:pt>
                <c:pt idx="63">
                  <c:v>1.8034130317595558E-9</c:v>
                </c:pt>
                <c:pt idx="64">
                  <c:v>1.9016496271586103E-9</c:v>
                </c:pt>
                <c:pt idx="65">
                  <c:v>1.9453675446443587E-9</c:v>
                </c:pt>
                <c:pt idx="66">
                  <c:v>1.6027044572488685E-9</c:v>
                </c:pt>
                <c:pt idx="67">
                  <c:v>1.5990870260132319E-9</c:v>
                </c:pt>
                <c:pt idx="68">
                  <c:v>1.3121788260339159E-9</c:v>
                </c:pt>
                <c:pt idx="69">
                  <c:v>1.495260083752022E-9</c:v>
                </c:pt>
                <c:pt idx="70">
                  <c:v>1.0378837020871548E-9</c:v>
                </c:pt>
                <c:pt idx="71">
                  <c:v>1.1076898463436515E-9</c:v>
                </c:pt>
                <c:pt idx="72">
                  <c:v>9.0634999468956569E-10</c:v>
                </c:pt>
                <c:pt idx="73">
                  <c:v>6.2090835150778872E-10</c:v>
                </c:pt>
                <c:pt idx="74">
                  <c:v>5.9943503048696199E-10</c:v>
                </c:pt>
                <c:pt idx="75">
                  <c:v>4.0295629558611905E-10</c:v>
                </c:pt>
                <c:pt idx="76">
                  <c:v>2.4338003823886507E-10</c:v>
                </c:pt>
                <c:pt idx="77">
                  <c:v>1.7668960345062918E-10</c:v>
                </c:pt>
                <c:pt idx="78">
                  <c:v>1.6263458936275565E-10</c:v>
                </c:pt>
                <c:pt idx="79">
                  <c:v>2.8919100768847409E-10</c:v>
                </c:pt>
                <c:pt idx="80">
                  <c:v>3.4314347676819905E-10</c:v>
                </c:pt>
                <c:pt idx="81">
                  <c:v>4.599451079407446E-10</c:v>
                </c:pt>
                <c:pt idx="82">
                  <c:v>6.1103490262279587E-10</c:v>
                </c:pt>
                <c:pt idx="83">
                  <c:v>9.231984569694026E-10</c:v>
                </c:pt>
                <c:pt idx="84">
                  <c:v>8.9451062369129774E-10</c:v>
                </c:pt>
                <c:pt idx="85">
                  <c:v>1.2090621843372344E-9</c:v>
                </c:pt>
                <c:pt idx="86">
                  <c:v>1.4906226318241559E-9</c:v>
                </c:pt>
                <c:pt idx="87">
                  <c:v>1.516229010494253E-9</c:v>
                </c:pt>
                <c:pt idx="88">
                  <c:v>1.344791375098905E-9</c:v>
                </c:pt>
                <c:pt idx="89">
                  <c:v>1.6714527380159993E-9</c:v>
                </c:pt>
                <c:pt idx="90">
                  <c:v>1.601748511984057E-9</c:v>
                </c:pt>
                <c:pt idx="91">
                  <c:v>1.713194363725188E-9</c:v>
                </c:pt>
                <c:pt idx="92">
                  <c:v>1.701625726282286E-9</c:v>
                </c:pt>
                <c:pt idx="93">
                  <c:v>1.4747812634719907E-9</c:v>
                </c:pt>
                <c:pt idx="94">
                  <c:v>1.4914303533331807E-9</c:v>
                </c:pt>
                <c:pt idx="95">
                  <c:v>1.1013805259296918E-9</c:v>
                </c:pt>
                <c:pt idx="96">
                  <c:v>9.1064569763315568E-10</c:v>
                </c:pt>
                <c:pt idx="97">
                  <c:v>5.4516941782195651E-10</c:v>
                </c:pt>
                <c:pt idx="98">
                  <c:v>6.2361909780118228E-10</c:v>
                </c:pt>
                <c:pt idx="99">
                  <c:v>4.471027632186482E-10</c:v>
                </c:pt>
                <c:pt idx="100">
                  <c:v>2.6623437392946535E-10</c:v>
                </c:pt>
                <c:pt idx="101">
                  <c:v>1.8686181762369105E-10</c:v>
                </c:pt>
                <c:pt idx="102">
                  <c:v>1.690610486247995E-10</c:v>
                </c:pt>
                <c:pt idx="103">
                  <c:v>2.316208986629312E-10</c:v>
                </c:pt>
                <c:pt idx="104">
                  <c:v>2.5597744687450865E-10</c:v>
                </c:pt>
                <c:pt idx="105">
                  <c:v>3.6924349676812313E-10</c:v>
                </c:pt>
                <c:pt idx="106">
                  <c:v>5.2857148705454569E-10</c:v>
                </c:pt>
                <c:pt idx="107">
                  <c:v>6.7148622409897445E-10</c:v>
                </c:pt>
                <c:pt idx="108">
                  <c:v>9.0088422699336052E-10</c:v>
                </c:pt>
                <c:pt idx="109">
                  <c:v>1.1808790545245684E-9</c:v>
                </c:pt>
                <c:pt idx="110">
                  <c:v>1.3571596897941052E-9</c:v>
                </c:pt>
                <c:pt idx="111">
                  <c:v>1.4749321766337521E-9</c:v>
                </c:pt>
                <c:pt idx="112">
                  <c:v>1.6024264316947219E-9</c:v>
                </c:pt>
                <c:pt idx="113">
                  <c:v>1.5375936652956376E-9</c:v>
                </c:pt>
                <c:pt idx="114">
                  <c:v>1.5632400700018946E-9</c:v>
                </c:pt>
                <c:pt idx="115">
                  <c:v>1.404108870223877E-9</c:v>
                </c:pt>
                <c:pt idx="116">
                  <c:v>1.2952142482247952E-9</c:v>
                </c:pt>
                <c:pt idx="117">
                  <c:v>1.2634521691281127E-9</c:v>
                </c:pt>
                <c:pt idx="118">
                  <c:v>1.0143189153146755E-9</c:v>
                </c:pt>
                <c:pt idx="119">
                  <c:v>9.7017786879181056E-10</c:v>
                </c:pt>
                <c:pt idx="120">
                  <c:v>7.0587997644255567E-10</c:v>
                </c:pt>
                <c:pt idx="121">
                  <c:v>5.4944371189961418E-10</c:v>
                </c:pt>
                <c:pt idx="122">
                  <c:v>3.561425756486933E-10</c:v>
                </c:pt>
                <c:pt idx="123">
                  <c:v>3.7915501584048802E-10</c:v>
                </c:pt>
                <c:pt idx="124">
                  <c:v>3.4899087470562392E-10</c:v>
                </c:pt>
                <c:pt idx="125">
                  <c:v>4.3122168513590851E-10</c:v>
                </c:pt>
                <c:pt idx="126">
                  <c:v>5.8780632926668603E-10</c:v>
                </c:pt>
                <c:pt idx="127">
                  <c:v>7.9862649454578402E-10</c:v>
                </c:pt>
                <c:pt idx="128">
                  <c:v>9.6876883266073533E-10</c:v>
                </c:pt>
                <c:pt idx="129">
                  <c:v>1.1952503897722909E-9</c:v>
                </c:pt>
                <c:pt idx="130">
                  <c:v>1.3531877914074803E-9</c:v>
                </c:pt>
                <c:pt idx="131">
                  <c:v>1.4938594638813404E-9</c:v>
                </c:pt>
                <c:pt idx="132">
                  <c:v>1.5190534415196762E-9</c:v>
                </c:pt>
                <c:pt idx="133">
                  <c:v>1.6182802779640384E-9</c:v>
                </c:pt>
                <c:pt idx="134">
                  <c:v>1.5257518118699123E-9</c:v>
                </c:pt>
                <c:pt idx="135">
                  <c:v>1.3646857813513261E-9</c:v>
                </c:pt>
                <c:pt idx="136">
                  <c:v>1.1149781596054579E-9</c:v>
                </c:pt>
                <c:pt idx="137">
                  <c:v>9.1135913386979647E-10</c:v>
                </c:pt>
                <c:pt idx="138">
                  <c:v>7.2094451388386436E-10</c:v>
                </c:pt>
                <c:pt idx="139">
                  <c:v>7.1799104929509606E-10</c:v>
                </c:pt>
                <c:pt idx="140">
                  <c:v>5.8043827067867994E-10</c:v>
                </c:pt>
                <c:pt idx="141">
                  <c:v>4.5904279782890981E-10</c:v>
                </c:pt>
                <c:pt idx="142">
                  <c:v>5.3177873038546898E-10</c:v>
                </c:pt>
                <c:pt idx="143">
                  <c:v>6.3810109726101902E-10</c:v>
                </c:pt>
                <c:pt idx="144">
                  <c:v>9.1762711997456425E-10</c:v>
                </c:pt>
                <c:pt idx="145">
                  <c:v>8.8010089126004922E-10</c:v>
                </c:pt>
                <c:pt idx="146">
                  <c:v>1.3467471549388397E-9</c:v>
                </c:pt>
                <c:pt idx="147">
                  <c:v>1.2230473446208716E-9</c:v>
                </c:pt>
                <c:pt idx="148">
                  <c:v>1.2654856276073612E-9</c:v>
                </c:pt>
                <c:pt idx="149">
                  <c:v>1.3750707672157707E-9</c:v>
                </c:pt>
                <c:pt idx="150">
                  <c:v>1.7136281206626462E-9</c:v>
                </c:pt>
                <c:pt idx="151">
                  <c:v>1.2778058487148261E-9</c:v>
                </c:pt>
                <c:pt idx="152">
                  <c:v>1.2142893029265753E-9</c:v>
                </c:pt>
                <c:pt idx="153">
                  <c:v>1.0367114204635983E-9</c:v>
                </c:pt>
                <c:pt idx="154">
                  <c:v>8.3383164829761248E-10</c:v>
                </c:pt>
                <c:pt idx="155">
                  <c:v>4.8954974031520773E-10</c:v>
                </c:pt>
                <c:pt idx="156">
                  <c:v>4.4796227653215555E-10</c:v>
                </c:pt>
                <c:pt idx="157">
                  <c:v>6.3034322592111308E-10</c:v>
                </c:pt>
                <c:pt idx="158">
                  <c:v>5.6886573646570733E-10</c:v>
                </c:pt>
                <c:pt idx="159">
                  <c:v>6.9092796083198118E-10</c:v>
                </c:pt>
                <c:pt idx="160">
                  <c:v>1.1057339541900283E-9</c:v>
                </c:pt>
                <c:pt idx="161">
                  <c:v>1.100490686912588E-9</c:v>
                </c:pt>
                <c:pt idx="162">
                  <c:v>1.2159638468663249E-9</c:v>
                </c:pt>
                <c:pt idx="163">
                  <c:v>1.3793739394553565E-9</c:v>
                </c:pt>
                <c:pt idx="164">
                  <c:v>1.3211878690164697E-9</c:v>
                </c:pt>
                <c:pt idx="165">
                  <c:v>1.4172544713092415E-9</c:v>
                </c:pt>
                <c:pt idx="166">
                  <c:v>1.1057041847326194E-9</c:v>
                </c:pt>
                <c:pt idx="167">
                  <c:v>1.0268618938267954E-9</c:v>
                </c:pt>
                <c:pt idx="168">
                  <c:v>9.3348803663975144E-10</c:v>
                </c:pt>
                <c:pt idx="169">
                  <c:v>6.857808334766531E-10</c:v>
                </c:pt>
                <c:pt idx="170">
                  <c:v>5.7349755123032133E-10</c:v>
                </c:pt>
                <c:pt idx="171">
                  <c:v>5.9442267615424909E-10</c:v>
                </c:pt>
                <c:pt idx="172">
                  <c:v>7.6732536551578827E-10</c:v>
                </c:pt>
                <c:pt idx="173">
                  <c:v>9.6075285240617462E-10</c:v>
                </c:pt>
                <c:pt idx="174">
                  <c:v>1.2568908577570531E-9</c:v>
                </c:pt>
                <c:pt idx="175">
                  <c:v>1.3914995166733965E-9</c:v>
                </c:pt>
                <c:pt idx="176">
                  <c:v>1.4852665143190412E-9</c:v>
                </c:pt>
                <c:pt idx="177">
                  <c:v>1.3605339217297653E-9</c:v>
                </c:pt>
                <c:pt idx="178">
                  <c:v>1.3317063143224592E-9</c:v>
                </c:pt>
                <c:pt idx="179">
                  <c:v>1.1761810739462994E-9</c:v>
                </c:pt>
                <c:pt idx="180">
                  <c:v>8.5606340283019783E-10</c:v>
                </c:pt>
                <c:pt idx="181">
                  <c:v>6.0545992973045947E-10</c:v>
                </c:pt>
                <c:pt idx="182">
                  <c:v>6.3335402969983968E-10</c:v>
                </c:pt>
                <c:pt idx="183">
                  <c:v>5.4826848417312832E-10</c:v>
                </c:pt>
                <c:pt idx="184">
                  <c:v>8.5766152811551796E-10</c:v>
                </c:pt>
                <c:pt idx="185">
                  <c:v>9.7663459096622176E-10</c:v>
                </c:pt>
                <c:pt idx="186">
                  <c:v>1.2420205886182049E-9</c:v>
                </c:pt>
                <c:pt idx="187">
                  <c:v>1.4200588243985446E-9</c:v>
                </c:pt>
                <c:pt idx="188">
                  <c:v>1.2408427309560675E-9</c:v>
                </c:pt>
                <c:pt idx="189">
                  <c:v>1.0905358699789983E-9</c:v>
                </c:pt>
                <c:pt idx="190">
                  <c:v>1.2550171531879247E-9</c:v>
                </c:pt>
                <c:pt idx="191">
                  <c:v>8.9849436732739546E-10</c:v>
                </c:pt>
                <c:pt idx="192">
                  <c:v>6.7707742694634348E-10</c:v>
                </c:pt>
                <c:pt idx="193">
                  <c:v>6.8260240051813812E-10</c:v>
                </c:pt>
                <c:pt idx="194">
                  <c:v>7.0878299452536853E-10</c:v>
                </c:pt>
                <c:pt idx="195">
                  <c:v>9.5753515962102341E-10</c:v>
                </c:pt>
                <c:pt idx="196">
                  <c:v>1.1467807066087807E-9</c:v>
                </c:pt>
                <c:pt idx="197">
                  <c:v>1.4735860720770627E-9</c:v>
                </c:pt>
                <c:pt idx="198">
                  <c:v>1.4015121797909126E-9</c:v>
                </c:pt>
                <c:pt idx="199">
                  <c:v>1.2746544045178596E-9</c:v>
                </c:pt>
                <c:pt idx="200">
                  <c:v>1.0646198979989489E-9</c:v>
                </c:pt>
                <c:pt idx="201">
                  <c:v>9.0211169992036114E-10</c:v>
                </c:pt>
                <c:pt idx="202">
                  <c:v>6.8250046094698899E-10</c:v>
                </c:pt>
                <c:pt idx="203">
                  <c:v>8.277699669676542E-10</c:v>
                </c:pt>
                <c:pt idx="204">
                  <c:v>8.2392888225376695E-10</c:v>
                </c:pt>
                <c:pt idx="205">
                  <c:v>1.1338724111314064E-9</c:v>
                </c:pt>
                <c:pt idx="206">
                  <c:v>1.0202387630951771E-9</c:v>
                </c:pt>
                <c:pt idx="207">
                  <c:v>1.1332484589763443E-9</c:v>
                </c:pt>
                <c:pt idx="208">
                  <c:v>1.1373616535843893E-9</c:v>
                </c:pt>
                <c:pt idx="209">
                  <c:v>1.1508075381353975E-9</c:v>
                </c:pt>
                <c:pt idx="210">
                  <c:v>1.0537196802800755E-9</c:v>
                </c:pt>
                <c:pt idx="211">
                  <c:v>5.519854553192976E-10</c:v>
                </c:pt>
                <c:pt idx="212">
                  <c:v>9.6570820603256515E-10</c:v>
                </c:pt>
                <c:pt idx="213">
                  <c:v>9.452592089696478E-10</c:v>
                </c:pt>
                <c:pt idx="214">
                  <c:v>1.1296880436594532E-9</c:v>
                </c:pt>
                <c:pt idx="215">
                  <c:v>1.228720518860972E-9</c:v>
                </c:pt>
                <c:pt idx="216">
                  <c:v>8.9462017458706152E-10</c:v>
                </c:pt>
                <c:pt idx="217">
                  <c:v>9.1816119576799016E-10</c:v>
                </c:pt>
                <c:pt idx="218">
                  <c:v>9.8990157317415384E-10</c:v>
                </c:pt>
                <c:pt idx="219">
                  <c:v>9.303563457139055E-10</c:v>
                </c:pt>
                <c:pt idx="220">
                  <c:v>9.292778114651452E-10</c:v>
                </c:pt>
                <c:pt idx="221">
                  <c:v>1.1623042568775615E-9</c:v>
                </c:pt>
                <c:pt idx="222">
                  <c:v>1.1236174190924987E-9</c:v>
                </c:pt>
                <c:pt idx="223">
                  <c:v>1.2278517200988744E-9</c:v>
                </c:pt>
                <c:pt idx="224">
                  <c:v>6.8545023474378345E-10</c:v>
                </c:pt>
                <c:pt idx="225">
                  <c:v>8.8271699133725374E-10</c:v>
                </c:pt>
                <c:pt idx="226">
                  <c:v>8.3972796377689806E-10</c:v>
                </c:pt>
                <c:pt idx="227">
                  <c:v>8.8785198340486526E-10</c:v>
                </c:pt>
                <c:pt idx="228">
                  <c:v>9.0130410195257539E-10</c:v>
                </c:pt>
                <c:pt idx="229">
                  <c:v>1.0317849824924552E-9</c:v>
                </c:pt>
                <c:pt idx="230">
                  <c:v>9.8871298823460495E-10</c:v>
                </c:pt>
                <c:pt idx="231">
                  <c:v>1.1612265348378555E-9</c:v>
                </c:pt>
                <c:pt idx="232">
                  <c:v>1.1094393010901242E-9</c:v>
                </c:pt>
                <c:pt idx="233">
                  <c:v>8.209824451082332E-10</c:v>
                </c:pt>
                <c:pt idx="234">
                  <c:v>8.7384224581450182E-10</c:v>
                </c:pt>
                <c:pt idx="235">
                  <c:v>1.236212809028979E-9</c:v>
                </c:pt>
                <c:pt idx="236">
                  <c:v>1.2575762855631212E-9</c:v>
                </c:pt>
                <c:pt idx="237">
                  <c:v>1.3372505067719714E-9</c:v>
                </c:pt>
                <c:pt idx="238">
                  <c:v>1.1813084933649224E-9</c:v>
                </c:pt>
                <c:pt idx="239">
                  <c:v>8.9227948010781845E-10</c:v>
                </c:pt>
                <c:pt idx="240">
                  <c:v>9.2675322079268367E-10</c:v>
                </c:pt>
                <c:pt idx="241">
                  <c:v>8.8633306248256037E-10</c:v>
                </c:pt>
                <c:pt idx="242">
                  <c:v>9.7823310549260314E-10</c:v>
                </c:pt>
                <c:pt idx="243">
                  <c:v>1.2004617924342322E-9</c:v>
                </c:pt>
                <c:pt idx="244">
                  <c:v>1.0313599836498397E-9</c:v>
                </c:pt>
                <c:pt idx="245">
                  <c:v>1.1339042262355089E-9</c:v>
                </c:pt>
                <c:pt idx="246">
                  <c:v>1.0162194756251966E-9</c:v>
                </c:pt>
                <c:pt idx="247">
                  <c:v>1.1183450950112014E-9</c:v>
                </c:pt>
                <c:pt idx="248">
                  <c:v>1.0533486755913771E-9</c:v>
                </c:pt>
                <c:pt idx="249">
                  <c:v>1.4454446491227439E-9</c:v>
                </c:pt>
                <c:pt idx="250">
                  <c:v>9.866019666791432E-10</c:v>
                </c:pt>
                <c:pt idx="251">
                  <c:v>1.053312288265977E-9</c:v>
                </c:pt>
                <c:pt idx="252">
                  <c:v>9.6835351015851447E-10</c:v>
                </c:pt>
                <c:pt idx="253">
                  <c:v>9.1510610701901912E-10</c:v>
                </c:pt>
                <c:pt idx="254">
                  <c:v>1.2187083609538593E-9</c:v>
                </c:pt>
                <c:pt idx="255">
                  <c:v>1.2306299726398336E-9</c:v>
                </c:pt>
                <c:pt idx="256">
                  <c:v>1.1168109885484908E-9</c:v>
                </c:pt>
                <c:pt idx="257">
                  <c:v>8.5794413393586714E-10</c:v>
                </c:pt>
                <c:pt idx="258">
                  <c:v>1.0117784588588845E-9</c:v>
                </c:pt>
                <c:pt idx="259">
                  <c:v>8.7724680079410575E-10</c:v>
                </c:pt>
                <c:pt idx="260">
                  <c:v>1.250440992476509E-9</c:v>
                </c:pt>
                <c:pt idx="261">
                  <c:v>1.1917174931009451E-9</c:v>
                </c:pt>
                <c:pt idx="262">
                  <c:v>1.1884937454686865E-9</c:v>
                </c:pt>
                <c:pt idx="263">
                  <c:v>9.8155396880301701E-10</c:v>
                </c:pt>
                <c:pt idx="264">
                  <c:v>1.0860008976393775E-9</c:v>
                </c:pt>
                <c:pt idx="265">
                  <c:v>1.40590242939453E-9</c:v>
                </c:pt>
                <c:pt idx="266">
                  <c:v>1.1784825351501433E-9</c:v>
                </c:pt>
                <c:pt idx="267">
                  <c:v>1.0386924185113242E-9</c:v>
                </c:pt>
                <c:pt idx="268">
                  <c:v>1.2387918579467334E-9</c:v>
                </c:pt>
                <c:pt idx="269">
                  <c:v>1.3498075678142853E-9</c:v>
                </c:pt>
                <c:pt idx="270">
                  <c:v>1.2739360722158499E-9</c:v>
                </c:pt>
                <c:pt idx="271">
                  <c:v>9.1888309970863141E-10</c:v>
                </c:pt>
                <c:pt idx="272">
                  <c:v>8.5410453868292026E-10</c:v>
                </c:pt>
                <c:pt idx="273">
                  <c:v>1.0377864065894817E-9</c:v>
                </c:pt>
                <c:pt idx="274">
                  <c:v>1.2019130123533202E-9</c:v>
                </c:pt>
                <c:pt idx="275">
                  <c:v>9.8510541776180042E-10</c:v>
                </c:pt>
                <c:pt idx="276">
                  <c:v>1.1331693396213027E-9</c:v>
                </c:pt>
                <c:pt idx="277">
                  <c:v>1.5105943838568162E-9</c:v>
                </c:pt>
                <c:pt idx="278">
                  <c:v>1.2446031478391945E-9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8.10E-03</c:v>
                </c:pt>
                <c:pt idx="1">
                  <c:v>8.18E-03</c:v>
                </c:pt>
                <c:pt idx="2">
                  <c:v>8.26E-03</c:v>
                </c:pt>
                <c:pt idx="3">
                  <c:v>8.35E-03</c:v>
                </c:pt>
                <c:pt idx="4">
                  <c:v>8.43E-03</c:v>
                </c:pt>
                <c:pt idx="5">
                  <c:v>8.51E-03</c:v>
                </c:pt>
                <c:pt idx="6">
                  <c:v>8.60E-03</c:v>
                </c:pt>
                <c:pt idx="7">
                  <c:v>8.69E-03</c:v>
                </c:pt>
                <c:pt idx="8">
                  <c:v>8.77E-03</c:v>
                </c:pt>
                <c:pt idx="9">
                  <c:v>8.86E-03</c:v>
                </c:pt>
                <c:pt idx="10">
                  <c:v>8.95E-03</c:v>
                </c:pt>
                <c:pt idx="11">
                  <c:v>9.04E-03</c:v>
                </c:pt>
                <c:pt idx="12">
                  <c:v>9.13E-03</c:v>
                </c:pt>
                <c:pt idx="13">
                  <c:v>9.22E-03</c:v>
                </c:pt>
                <c:pt idx="14">
                  <c:v>9.31E-03</c:v>
                </c:pt>
                <c:pt idx="15">
                  <c:v>9.41E-03</c:v>
                </c:pt>
                <c:pt idx="16">
                  <c:v>9.50E-03</c:v>
                </c:pt>
                <c:pt idx="17">
                  <c:v>9.59E-03</c:v>
                </c:pt>
                <c:pt idx="18">
                  <c:v>9.69E-03</c:v>
                </c:pt>
                <c:pt idx="19">
                  <c:v>9.79E-03</c:v>
                </c:pt>
                <c:pt idx="20">
                  <c:v>9.89E-03</c:v>
                </c:pt>
                <c:pt idx="21">
                  <c:v>9.98E-03</c:v>
                </c:pt>
                <c:pt idx="22">
                  <c:v>1.01E-02</c:v>
                </c:pt>
                <c:pt idx="23">
                  <c:v>1.02E-02</c:v>
                </c:pt>
                <c:pt idx="24">
                  <c:v>1.03E-02</c:v>
                </c:pt>
                <c:pt idx="25">
                  <c:v>1.04E-02</c:v>
                </c:pt>
                <c:pt idx="26">
                  <c:v>1.05E-02</c:v>
                </c:pt>
                <c:pt idx="27">
                  <c:v>1.06E-02</c:v>
                </c:pt>
                <c:pt idx="28">
                  <c:v>1.07E-02</c:v>
                </c:pt>
                <c:pt idx="29">
                  <c:v>1.08E-02</c:v>
                </c:pt>
                <c:pt idx="30">
                  <c:v>1.09E-02</c:v>
                </c:pt>
                <c:pt idx="31">
                  <c:v>1.10E-02</c:v>
                </c:pt>
                <c:pt idx="32">
                  <c:v>1.11E-02</c:v>
                </c:pt>
                <c:pt idx="33">
                  <c:v>1.13E-02</c:v>
                </c:pt>
                <c:pt idx="34">
                  <c:v>1.14E-02</c:v>
                </c:pt>
                <c:pt idx="35">
                  <c:v>1.15E-02</c:v>
                </c:pt>
                <c:pt idx="36">
                  <c:v>1.16E-02</c:v>
                </c:pt>
                <c:pt idx="37">
                  <c:v>1.17E-02</c:v>
                </c:pt>
                <c:pt idx="38">
                  <c:v>1.18E-02</c:v>
                </c:pt>
                <c:pt idx="39">
                  <c:v>1.19E-02</c:v>
                </c:pt>
                <c:pt idx="40">
                  <c:v>1.21E-02</c:v>
                </c:pt>
                <c:pt idx="41">
                  <c:v>1.22E-02</c:v>
                </c:pt>
                <c:pt idx="42">
                  <c:v>1.23E-02</c:v>
                </c:pt>
                <c:pt idx="43">
                  <c:v>1.24E-02</c:v>
                </c:pt>
                <c:pt idx="44">
                  <c:v>1.26E-02</c:v>
                </c:pt>
                <c:pt idx="45">
                  <c:v>1.27E-02</c:v>
                </c:pt>
                <c:pt idx="46">
                  <c:v>1.28E-02</c:v>
                </c:pt>
                <c:pt idx="47">
                  <c:v>1.29E-02</c:v>
                </c:pt>
                <c:pt idx="48">
                  <c:v>1.31E-02</c:v>
                </c:pt>
                <c:pt idx="49">
                  <c:v>1.32E-02</c:v>
                </c:pt>
                <c:pt idx="50">
                  <c:v>1.33E-02</c:v>
                </c:pt>
                <c:pt idx="51">
                  <c:v>1.35E-02</c:v>
                </c:pt>
                <c:pt idx="52">
                  <c:v>1.36E-02</c:v>
                </c:pt>
                <c:pt idx="53">
                  <c:v>1.37E-02</c:v>
                </c:pt>
                <c:pt idx="54">
                  <c:v>1.39E-02</c:v>
                </c:pt>
                <c:pt idx="55">
                  <c:v>1.40E-02</c:v>
                </c:pt>
                <c:pt idx="56">
                  <c:v>1.41E-02</c:v>
                </c:pt>
                <c:pt idx="57">
                  <c:v>1.43E-02</c:v>
                </c:pt>
                <c:pt idx="58">
                  <c:v>1.44E-02</c:v>
                </c:pt>
                <c:pt idx="59">
                  <c:v>1.46E-02</c:v>
                </c:pt>
                <c:pt idx="60">
                  <c:v>1.47E-02</c:v>
                </c:pt>
                <c:pt idx="61">
                  <c:v>1.49E-02</c:v>
                </c:pt>
                <c:pt idx="62">
                  <c:v>1.50E-02</c:v>
                </c:pt>
                <c:pt idx="63">
                  <c:v>1.52E-02</c:v>
                </c:pt>
                <c:pt idx="64">
                  <c:v>1.53E-02</c:v>
                </c:pt>
                <c:pt idx="65">
                  <c:v>1.55E-02</c:v>
                </c:pt>
                <c:pt idx="66">
                  <c:v>1.56E-02</c:v>
                </c:pt>
                <c:pt idx="67">
                  <c:v>1.58E-02</c:v>
                </c:pt>
                <c:pt idx="68">
                  <c:v>1.59E-02</c:v>
                </c:pt>
                <c:pt idx="69">
                  <c:v>1.61E-02</c:v>
                </c:pt>
                <c:pt idx="70">
                  <c:v>1.63E-02</c:v>
                </c:pt>
                <c:pt idx="71">
                  <c:v>1.64E-02</c:v>
                </c:pt>
                <c:pt idx="72">
                  <c:v>1.66E-02</c:v>
                </c:pt>
                <c:pt idx="73">
                  <c:v>1.68E-02</c:v>
                </c:pt>
                <c:pt idx="74">
                  <c:v>1.69E-02</c:v>
                </c:pt>
                <c:pt idx="75">
                  <c:v>1.71E-02</c:v>
                </c:pt>
                <c:pt idx="76">
                  <c:v>1.73E-02</c:v>
                </c:pt>
                <c:pt idx="77">
                  <c:v>1.74E-02</c:v>
                </c:pt>
                <c:pt idx="78">
                  <c:v>1.80E-02</c:v>
                </c:pt>
                <c:pt idx="79">
                  <c:v>1.81E-02</c:v>
                </c:pt>
                <c:pt idx="80">
                  <c:v>1.83E-02</c:v>
                </c:pt>
                <c:pt idx="81">
                  <c:v>1.85E-02</c:v>
                </c:pt>
                <c:pt idx="82">
                  <c:v>1.87E-02</c:v>
                </c:pt>
                <c:pt idx="83">
                  <c:v>1.89E-02</c:v>
                </c:pt>
                <c:pt idx="84">
                  <c:v>1.91E-02</c:v>
                </c:pt>
                <c:pt idx="85">
                  <c:v>1.93E-02</c:v>
                </c:pt>
                <c:pt idx="86">
                  <c:v>1.94E-02</c:v>
                </c:pt>
                <c:pt idx="87">
                  <c:v>1.96E-02</c:v>
                </c:pt>
                <c:pt idx="88">
                  <c:v>1.98E-02</c:v>
                </c:pt>
                <c:pt idx="89">
                  <c:v>2.00E-02</c:v>
                </c:pt>
                <c:pt idx="90">
                  <c:v>2.02E-02</c:v>
                </c:pt>
                <c:pt idx="91">
                  <c:v>2.04E-02</c:v>
                </c:pt>
                <c:pt idx="92">
                  <c:v>2.06E-02</c:v>
                </c:pt>
                <c:pt idx="93">
                  <c:v>2.08E-02</c:v>
                </c:pt>
                <c:pt idx="94">
                  <c:v>2.11E-02</c:v>
                </c:pt>
                <c:pt idx="95">
                  <c:v>2.13E-02</c:v>
                </c:pt>
                <c:pt idx="96">
                  <c:v>2.15E-02</c:v>
                </c:pt>
                <c:pt idx="97">
                  <c:v>2.17E-02</c:v>
                </c:pt>
                <c:pt idx="98">
                  <c:v>2.19E-02</c:v>
                </c:pt>
                <c:pt idx="99">
                  <c:v>2.21E-02</c:v>
                </c:pt>
                <c:pt idx="100">
                  <c:v>2.24E-02</c:v>
                </c:pt>
                <c:pt idx="101">
                  <c:v>2.26E-02</c:v>
                </c:pt>
                <c:pt idx="102">
                  <c:v>2.28E-02</c:v>
                </c:pt>
                <c:pt idx="103">
                  <c:v>2.30E-02</c:v>
                </c:pt>
                <c:pt idx="104">
                  <c:v>2.33E-02</c:v>
                </c:pt>
                <c:pt idx="105">
                  <c:v>2.35E-02</c:v>
                </c:pt>
                <c:pt idx="106">
                  <c:v>2.37E-02</c:v>
                </c:pt>
                <c:pt idx="107">
                  <c:v>2.40E-02</c:v>
                </c:pt>
                <c:pt idx="108">
                  <c:v>2.42E-02</c:v>
                </c:pt>
                <c:pt idx="109">
                  <c:v>2.44E-02</c:v>
                </c:pt>
                <c:pt idx="110">
                  <c:v>2.47E-02</c:v>
                </c:pt>
                <c:pt idx="111">
                  <c:v>2.49E-02</c:v>
                </c:pt>
                <c:pt idx="112">
                  <c:v>2.52E-02</c:v>
                </c:pt>
                <c:pt idx="113">
                  <c:v>2.54E-02</c:v>
                </c:pt>
                <c:pt idx="114">
                  <c:v>2.57E-02</c:v>
                </c:pt>
                <c:pt idx="115">
                  <c:v>2.60E-02</c:v>
                </c:pt>
                <c:pt idx="116">
                  <c:v>2.62E-02</c:v>
                </c:pt>
                <c:pt idx="117">
                  <c:v>2.65E-02</c:v>
                </c:pt>
                <c:pt idx="118">
                  <c:v>2.67E-02</c:v>
                </c:pt>
                <c:pt idx="119">
                  <c:v>2.70E-02</c:v>
                </c:pt>
                <c:pt idx="120">
                  <c:v>2.73E-02</c:v>
                </c:pt>
                <c:pt idx="121">
                  <c:v>2.75E-02</c:v>
                </c:pt>
                <c:pt idx="122">
                  <c:v>2.78E-02</c:v>
                </c:pt>
                <c:pt idx="123">
                  <c:v>2.81E-02</c:v>
                </c:pt>
                <c:pt idx="124">
                  <c:v>2.84E-02</c:v>
                </c:pt>
                <c:pt idx="125">
                  <c:v>2.87E-02</c:v>
                </c:pt>
                <c:pt idx="126">
                  <c:v>2.90E-02</c:v>
                </c:pt>
                <c:pt idx="127">
                  <c:v>2.92E-02</c:v>
                </c:pt>
                <c:pt idx="128">
                  <c:v>2.95E-02</c:v>
                </c:pt>
                <c:pt idx="129">
                  <c:v>2.98E-02</c:v>
                </c:pt>
                <c:pt idx="130">
                  <c:v>3.01E-02</c:v>
                </c:pt>
                <c:pt idx="131">
                  <c:v>3.04E-02</c:v>
                </c:pt>
                <c:pt idx="132">
                  <c:v>3.07E-02</c:v>
                </c:pt>
                <c:pt idx="133">
                  <c:v>3.10E-02</c:v>
                </c:pt>
                <c:pt idx="134">
                  <c:v>3.14E-02</c:v>
                </c:pt>
                <c:pt idx="135">
                  <c:v>3.17E-02</c:v>
                </c:pt>
                <c:pt idx="136">
                  <c:v>3.20E-02</c:v>
                </c:pt>
                <c:pt idx="137">
                  <c:v>3.23E-02</c:v>
                </c:pt>
                <c:pt idx="138">
                  <c:v>3.26E-02</c:v>
                </c:pt>
                <c:pt idx="139">
                  <c:v>3.30E-02</c:v>
                </c:pt>
                <c:pt idx="140">
                  <c:v>3.33E-02</c:v>
                </c:pt>
                <c:pt idx="141">
                  <c:v>3.36E-02</c:v>
                </c:pt>
                <c:pt idx="142">
                  <c:v>3.40E-02</c:v>
                </c:pt>
                <c:pt idx="143">
                  <c:v>3.43E-02</c:v>
                </c:pt>
                <c:pt idx="144">
                  <c:v>3.46E-02</c:v>
                </c:pt>
                <c:pt idx="145">
                  <c:v>3.50E-02</c:v>
                </c:pt>
                <c:pt idx="146">
                  <c:v>3.53E-02</c:v>
                </c:pt>
                <c:pt idx="147">
                  <c:v>3.57E-02</c:v>
                </c:pt>
                <c:pt idx="148">
                  <c:v>3.60E-02</c:v>
                </c:pt>
                <c:pt idx="149">
                  <c:v>3.64E-02</c:v>
                </c:pt>
                <c:pt idx="150">
                  <c:v>3.68E-02</c:v>
                </c:pt>
                <c:pt idx="151">
                  <c:v>3.71E-02</c:v>
                </c:pt>
                <c:pt idx="152">
                  <c:v>3.75E-02</c:v>
                </c:pt>
                <c:pt idx="153">
                  <c:v>3.79E-02</c:v>
                </c:pt>
                <c:pt idx="154">
                  <c:v>3.83E-02</c:v>
                </c:pt>
                <c:pt idx="155">
                  <c:v>3.86E-02</c:v>
                </c:pt>
                <c:pt idx="156">
                  <c:v>3.90E-02</c:v>
                </c:pt>
                <c:pt idx="157">
                  <c:v>3.94E-02</c:v>
                </c:pt>
                <c:pt idx="158">
                  <c:v>3.98E-02</c:v>
                </c:pt>
                <c:pt idx="159">
                  <c:v>4.02E-02</c:v>
                </c:pt>
                <c:pt idx="160">
                  <c:v>4.06E-02</c:v>
                </c:pt>
                <c:pt idx="161">
                  <c:v>4.10E-02</c:v>
                </c:pt>
                <c:pt idx="162">
                  <c:v>4.14E-02</c:v>
                </c:pt>
                <c:pt idx="163">
                  <c:v>4.18E-02</c:v>
                </c:pt>
                <c:pt idx="164">
                  <c:v>4.23E-02</c:v>
                </c:pt>
                <c:pt idx="165">
                  <c:v>4.27E-02</c:v>
                </c:pt>
                <c:pt idx="166">
                  <c:v>4.31E-02</c:v>
                </c:pt>
                <c:pt idx="167">
                  <c:v>4.35E-02</c:v>
                </c:pt>
                <c:pt idx="168">
                  <c:v>4.40E-02</c:v>
                </c:pt>
                <c:pt idx="169">
                  <c:v>4.44E-02</c:v>
                </c:pt>
                <c:pt idx="170">
                  <c:v>4.49E-02</c:v>
                </c:pt>
                <c:pt idx="171">
                  <c:v>4.53E-02</c:v>
                </c:pt>
                <c:pt idx="172">
                  <c:v>4.58E-02</c:v>
                </c:pt>
                <c:pt idx="173">
                  <c:v>4.62E-02</c:v>
                </c:pt>
                <c:pt idx="174">
                  <c:v>4.67E-02</c:v>
                </c:pt>
                <c:pt idx="175">
                  <c:v>4.71E-02</c:v>
                </c:pt>
                <c:pt idx="176">
                  <c:v>4.76E-02</c:v>
                </c:pt>
                <c:pt idx="177">
                  <c:v>4.81E-02</c:v>
                </c:pt>
                <c:pt idx="178">
                  <c:v>4.86E-02</c:v>
                </c:pt>
                <c:pt idx="179">
                  <c:v>4.91E-02</c:v>
                </c:pt>
                <c:pt idx="180">
                  <c:v>4.96E-02</c:v>
                </c:pt>
                <c:pt idx="181">
                  <c:v>5.00E-02</c:v>
                </c:pt>
                <c:pt idx="182">
                  <c:v>5.05E-02</c:v>
                </c:pt>
                <c:pt idx="183">
                  <c:v>5.11E-02</c:v>
                </c:pt>
                <c:pt idx="184">
                  <c:v>5.16E-02</c:v>
                </c:pt>
                <c:pt idx="185">
                  <c:v>5.21E-02</c:v>
                </c:pt>
                <c:pt idx="186">
                  <c:v>5.26E-02</c:v>
                </c:pt>
                <c:pt idx="187">
                  <c:v>5.31E-02</c:v>
                </c:pt>
                <c:pt idx="188">
                  <c:v>5.37E-02</c:v>
                </c:pt>
                <c:pt idx="189">
                  <c:v>5.42E-02</c:v>
                </c:pt>
                <c:pt idx="190">
                  <c:v>5.47E-02</c:v>
                </c:pt>
                <c:pt idx="191">
                  <c:v>5.53E-02</c:v>
                </c:pt>
                <c:pt idx="192">
                  <c:v>5.58E-02</c:v>
                </c:pt>
                <c:pt idx="193">
                  <c:v>5.64E-02</c:v>
                </c:pt>
                <c:pt idx="194">
                  <c:v>5.70E-02</c:v>
                </c:pt>
                <c:pt idx="195">
                  <c:v>5.75E-02</c:v>
                </c:pt>
                <c:pt idx="196">
                  <c:v>5.81E-02</c:v>
                </c:pt>
                <c:pt idx="197">
                  <c:v>5.87E-02</c:v>
                </c:pt>
                <c:pt idx="198">
                  <c:v>5.93E-02</c:v>
                </c:pt>
                <c:pt idx="199">
                  <c:v>5.99E-02</c:v>
                </c:pt>
                <c:pt idx="200">
                  <c:v>6.05E-02</c:v>
                </c:pt>
                <c:pt idx="201">
                  <c:v>6.11E-02</c:v>
                </c:pt>
                <c:pt idx="202">
                  <c:v>6.17E-02</c:v>
                </c:pt>
                <c:pt idx="203">
                  <c:v>6.23E-02</c:v>
                </c:pt>
                <c:pt idx="204">
                  <c:v>6.29E-02</c:v>
                </c:pt>
                <c:pt idx="205">
                  <c:v>6.35E-02</c:v>
                </c:pt>
                <c:pt idx="206">
                  <c:v>6.42E-02</c:v>
                </c:pt>
                <c:pt idx="207">
                  <c:v>6.48E-02</c:v>
                </c:pt>
                <c:pt idx="208">
                  <c:v>6.55E-02</c:v>
                </c:pt>
                <c:pt idx="209">
                  <c:v>6.61E-02</c:v>
                </c:pt>
                <c:pt idx="210">
                  <c:v>6.68E-02</c:v>
                </c:pt>
                <c:pt idx="211">
                  <c:v>6.75E-02</c:v>
                </c:pt>
                <c:pt idx="212">
                  <c:v>6.81E-02</c:v>
                </c:pt>
                <c:pt idx="213">
                  <c:v>6.88E-02</c:v>
                </c:pt>
                <c:pt idx="214">
                  <c:v>6.95E-02</c:v>
                </c:pt>
                <c:pt idx="215">
                  <c:v>7.02E-02</c:v>
                </c:pt>
                <c:pt idx="216">
                  <c:v>7.09E-02</c:v>
                </c:pt>
                <c:pt idx="217">
                  <c:v>7.16E-02</c:v>
                </c:pt>
                <c:pt idx="218">
                  <c:v>7.23E-02</c:v>
                </c:pt>
                <c:pt idx="219">
                  <c:v>7.30E-02</c:v>
                </c:pt>
                <c:pt idx="220">
                  <c:v>7.38E-02</c:v>
                </c:pt>
                <c:pt idx="221">
                  <c:v>7.45E-02</c:v>
                </c:pt>
                <c:pt idx="222">
                  <c:v>7.53E-02</c:v>
                </c:pt>
                <c:pt idx="223">
                  <c:v>7.60E-02</c:v>
                </c:pt>
                <c:pt idx="224">
                  <c:v>7.68E-02</c:v>
                </c:pt>
                <c:pt idx="225">
                  <c:v>7.75E-02</c:v>
                </c:pt>
                <c:pt idx="226">
                  <c:v>7.83E-02</c:v>
                </c:pt>
                <c:pt idx="227">
                  <c:v>7.91E-02</c:v>
                </c:pt>
                <c:pt idx="228">
                  <c:v>7.99E-02</c:v>
                </c:pt>
                <c:pt idx="229">
                  <c:v>8.07E-02</c:v>
                </c:pt>
                <c:pt idx="230">
                  <c:v>8.15E-02</c:v>
                </c:pt>
                <c:pt idx="231">
                  <c:v>8.23E-02</c:v>
                </c:pt>
                <c:pt idx="232">
                  <c:v>8.31E-02</c:v>
                </c:pt>
                <c:pt idx="233">
                  <c:v>8.40E-02</c:v>
                </c:pt>
                <c:pt idx="234">
                  <c:v>8.48E-02</c:v>
                </c:pt>
                <c:pt idx="235">
                  <c:v>8.57E-02</c:v>
                </c:pt>
                <c:pt idx="236">
                  <c:v>8.65E-02</c:v>
                </c:pt>
                <c:pt idx="237">
                  <c:v>8.74E-02</c:v>
                </c:pt>
                <c:pt idx="238">
                  <c:v>8.82E-02</c:v>
                </c:pt>
                <c:pt idx="239">
                  <c:v>8.91E-02</c:v>
                </c:pt>
                <c:pt idx="240">
                  <c:v>9.00E-02</c:v>
                </c:pt>
                <c:pt idx="241">
                  <c:v>9.09E-02</c:v>
                </c:pt>
                <c:pt idx="242">
                  <c:v>9.18E-02</c:v>
                </c:pt>
                <c:pt idx="243">
                  <c:v>9.27E-02</c:v>
                </c:pt>
                <c:pt idx="244">
                  <c:v>9.37E-02</c:v>
                </c:pt>
                <c:pt idx="245">
                  <c:v>9.46E-02</c:v>
                </c:pt>
                <c:pt idx="246">
                  <c:v>9.56E-02</c:v>
                </c:pt>
                <c:pt idx="247">
                  <c:v>9.65E-02</c:v>
                </c:pt>
                <c:pt idx="248">
                  <c:v>9.75E-02</c:v>
                </c:pt>
                <c:pt idx="249">
                  <c:v>9.85E-02</c:v>
                </c:pt>
                <c:pt idx="250">
                  <c:v>9.94E-02</c:v>
                </c:pt>
                <c:pt idx="251">
                  <c:v>1.00E-01</c:v>
                </c:pt>
                <c:pt idx="252">
                  <c:v>1.01E-01</c:v>
                </c:pt>
                <c:pt idx="253">
                  <c:v>1.02E-01</c:v>
                </c:pt>
                <c:pt idx="254">
                  <c:v>1.03E-01</c:v>
                </c:pt>
                <c:pt idx="255">
                  <c:v>1.05E-01</c:v>
                </c:pt>
                <c:pt idx="256">
                  <c:v>1.06E-01</c:v>
                </c:pt>
                <c:pt idx="257">
                  <c:v>1.07E-01</c:v>
                </c:pt>
                <c:pt idx="258">
                  <c:v>1.08E-01</c:v>
                </c:pt>
                <c:pt idx="259">
                  <c:v>1.09E-01</c:v>
                </c:pt>
                <c:pt idx="260">
                  <c:v>1.10E-01</c:v>
                </c:pt>
                <c:pt idx="261">
                  <c:v>1.11E-01</c:v>
                </c:pt>
                <c:pt idx="262">
                  <c:v>1.12E-01</c:v>
                </c:pt>
                <c:pt idx="263">
                  <c:v>1.13E-01</c:v>
                </c:pt>
                <c:pt idx="264">
                  <c:v>1.14E-01</c:v>
                </c:pt>
                <c:pt idx="265">
                  <c:v>1.15E-01</c:v>
                </c:pt>
                <c:pt idx="266">
                  <c:v>1.17E-01</c:v>
                </c:pt>
                <c:pt idx="267">
                  <c:v>1.18E-01</c:v>
                </c:pt>
                <c:pt idx="268">
                  <c:v>1.19E-01</c:v>
                </c:pt>
                <c:pt idx="269">
                  <c:v>1.20E-01</c:v>
                </c:pt>
                <c:pt idx="270">
                  <c:v>1.21E-01</c:v>
                </c:pt>
                <c:pt idx="271">
                  <c:v>1.23E-01</c:v>
                </c:pt>
                <c:pt idx="272">
                  <c:v>1.24E-01</c:v>
                </c:pt>
                <c:pt idx="273">
                  <c:v>1.25E-01</c:v>
                </c:pt>
                <c:pt idx="274">
                  <c:v>1.26E-01</c:v>
                </c:pt>
                <c:pt idx="275">
                  <c:v>1.28E-01</c:v>
                </c:pt>
                <c:pt idx="276">
                  <c:v>1.29E-01</c:v>
                </c:pt>
                <c:pt idx="277">
                  <c:v>1.30E-01</c:v>
                </c:pt>
                <c:pt idx="278">
                  <c:v>1.31E-01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8.1014360403499994E-3</c:v>
                </c:pt>
                <c:pt idx="1">
                  <c:v>8.1824504007600007E-3</c:v>
                </c:pt>
                <c:pt idx="2">
                  <c:v>8.2642749047700005E-3</c:v>
                </c:pt>
                <c:pt idx="3">
                  <c:v>8.3469176538099998E-3</c:v>
                </c:pt>
                <c:pt idx="4">
                  <c:v>8.4303868303500003E-3</c:v>
                </c:pt>
                <c:pt idx="5">
                  <c:v>8.5146906986500008E-3</c:v>
                </c:pt>
                <c:pt idx="6">
                  <c:v>8.5998376056400008E-3</c:v>
                </c:pt>
                <c:pt idx="7">
                  <c:v>8.6858359817000002E-3</c:v>
                </c:pt>
                <c:pt idx="8">
                  <c:v>8.7726943415100001E-3</c:v>
                </c:pt>
                <c:pt idx="9">
                  <c:v>8.86042128493E-3</c:v>
                </c:pt>
                <c:pt idx="10">
                  <c:v>8.9490254977800006E-3</c:v>
                </c:pt>
                <c:pt idx="11">
                  <c:v>9.0385157527600006E-3</c:v>
                </c:pt>
                <c:pt idx="12">
                  <c:v>9.1289009102799995E-3</c:v>
                </c:pt>
                <c:pt idx="13">
                  <c:v>9.2201899193900001E-3</c:v>
                </c:pt>
                <c:pt idx="14">
                  <c:v>9.3123918185800004E-3</c:v>
                </c:pt>
                <c:pt idx="15">
                  <c:v>9.4055157367700006E-3</c:v>
                </c:pt>
                <c:pt idx="16">
                  <c:v>9.4995708941299998E-3</c:v>
                </c:pt>
                <c:pt idx="17">
                  <c:v>9.5945666030799997E-3</c:v>
                </c:pt>
                <c:pt idx="18">
                  <c:v>9.69051226911E-3</c:v>
                </c:pt>
                <c:pt idx="19">
                  <c:v>9.7874173918000001E-3</c:v>
                </c:pt>
                <c:pt idx="20">
                  <c:v>9.8852915657199995E-3</c:v>
                </c:pt>
                <c:pt idx="21">
                  <c:v>9.9841444813699998E-3</c:v>
                </c:pt>
                <c:pt idx="22">
                  <c:v>1.0083985926200001E-2</c:v>
                </c:pt>
                <c:pt idx="23">
                  <c:v>1.01848257854E-2</c:v>
                </c:pt>
                <c:pt idx="24">
                  <c:v>1.02866740433E-2</c:v>
                </c:pt>
                <c:pt idx="25">
                  <c:v>1.03895407837E-2</c:v>
                </c:pt>
                <c:pt idx="26">
                  <c:v>1.04934361916E-2</c:v>
                </c:pt>
                <c:pt idx="27">
                  <c:v>1.05983705535E-2</c:v>
                </c:pt>
                <c:pt idx="28">
                  <c:v>1.0704354259E-2</c:v>
                </c:pt>
                <c:pt idx="29">
                  <c:v>1.08113978016E-2</c:v>
                </c:pt>
                <c:pt idx="30">
                  <c:v>1.0919511779600001E-2</c:v>
                </c:pt>
                <c:pt idx="31">
                  <c:v>1.1028706897400001E-2</c:v>
                </c:pt>
                <c:pt idx="32">
                  <c:v>1.11389939664E-2</c:v>
                </c:pt>
                <c:pt idx="33">
                  <c:v>1.12503839061E-2</c:v>
                </c:pt>
                <c:pt idx="34">
                  <c:v>1.1362887745099999E-2</c:v>
                </c:pt>
                <c:pt idx="35">
                  <c:v>1.14765166226E-2</c:v>
                </c:pt>
                <c:pt idx="36">
                  <c:v>1.1591281788799999E-2</c:v>
                </c:pt>
                <c:pt idx="37">
                  <c:v>1.17071946067E-2</c:v>
                </c:pt>
                <c:pt idx="38">
                  <c:v>1.18242665528E-2</c:v>
                </c:pt>
                <c:pt idx="39">
                  <c:v>1.19425092183E-2</c:v>
                </c:pt>
                <c:pt idx="40">
                  <c:v>1.2061934310500001E-2</c:v>
                </c:pt>
                <c:pt idx="41">
                  <c:v>1.2182553653599999E-2</c:v>
                </c:pt>
                <c:pt idx="42">
                  <c:v>1.2304379190100001E-2</c:v>
                </c:pt>
                <c:pt idx="43">
                  <c:v>1.2427422981999999E-2</c:v>
                </c:pt>
                <c:pt idx="44">
                  <c:v>1.25516972118E-2</c:v>
                </c:pt>
                <c:pt idx="45">
                  <c:v>1.26772141839E-2</c:v>
                </c:pt>
                <c:pt idx="46">
                  <c:v>1.28039863258E-2</c:v>
                </c:pt>
                <c:pt idx="47">
                  <c:v>1.2932026189000001E-2</c:v>
                </c:pt>
                <c:pt idx="48">
                  <c:v>1.3061346450899999E-2</c:v>
                </c:pt>
                <c:pt idx="49">
                  <c:v>1.31919599154E-2</c:v>
                </c:pt>
                <c:pt idx="50">
                  <c:v>1.33238795146E-2</c:v>
                </c:pt>
                <c:pt idx="51">
                  <c:v>1.3457118309700001E-2</c:v>
                </c:pt>
                <c:pt idx="52">
                  <c:v>1.3591689492799999E-2</c:v>
                </c:pt>
                <c:pt idx="53">
                  <c:v>1.37276063878E-2</c:v>
                </c:pt>
                <c:pt idx="54">
                  <c:v>1.3864882451600001E-2</c:v>
                </c:pt>
                <c:pt idx="55">
                  <c:v>1.40035312762E-2</c:v>
                </c:pt>
                <c:pt idx="56">
                  <c:v>1.41435665889E-2</c:v>
                </c:pt>
                <c:pt idx="57">
                  <c:v>1.42850022548E-2</c:v>
                </c:pt>
                <c:pt idx="58">
                  <c:v>1.44278522774E-2</c:v>
                </c:pt>
                <c:pt idx="59">
                  <c:v>1.4572130800099999E-2</c:v>
                </c:pt>
                <c:pt idx="60">
                  <c:v>1.4717852108099999E-2</c:v>
                </c:pt>
                <c:pt idx="61">
                  <c:v>1.4865030629200001E-2</c:v>
                </c:pt>
                <c:pt idx="62">
                  <c:v>1.50136809355E-2</c:v>
                </c:pt>
                <c:pt idx="63">
                  <c:v>1.5163817744900001E-2</c:v>
                </c:pt>
                <c:pt idx="64">
                  <c:v>1.5315455922300001E-2</c:v>
                </c:pt>
                <c:pt idx="65">
                  <c:v>1.54686104815E-2</c:v>
                </c:pt>
                <c:pt idx="66">
                  <c:v>1.56232965864E-2</c:v>
                </c:pt>
                <c:pt idx="67">
                  <c:v>1.5779529552200001E-2</c:v>
                </c:pt>
                <c:pt idx="68">
                  <c:v>1.59373248477E-2</c:v>
                </c:pt>
                <c:pt idx="69">
                  <c:v>1.6096698096199999E-2</c:v>
                </c:pt>
                <c:pt idx="70">
                  <c:v>1.6257665077200001E-2</c:v>
                </c:pt>
                <c:pt idx="71">
                  <c:v>1.6420241727999999E-2</c:v>
                </c:pt>
                <c:pt idx="72">
                  <c:v>1.6584444145200002E-2</c:v>
                </c:pt>
                <c:pt idx="73">
                  <c:v>1.67502885867E-2</c:v>
                </c:pt>
                <c:pt idx="74">
                  <c:v>1.6917791472599999E-2</c:v>
                </c:pt>
                <c:pt idx="75">
                  <c:v>1.7086969387300002E-2</c:v>
                </c:pt>
                <c:pt idx="76">
                  <c:v>1.7257839081199999E-2</c:v>
                </c:pt>
                <c:pt idx="77">
                  <c:v>1.7430417472000002E-2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4.2754642033488607E-9</c:v>
                </c:pt>
                <c:pt idx="1">
                  <c:v>4.4466455111551166E-9</c:v>
                </c:pt>
                <c:pt idx="2">
                  <c:v>4.6243205378801556E-9</c:v>
                </c:pt>
                <c:pt idx="3">
                  <c:v>4.8086350516337203E-9</c:v>
                </c:pt>
                <c:pt idx="4">
                  <c:v>4.9997088838472355E-9</c:v>
                </c:pt>
                <c:pt idx="5">
                  <c:v>5.1976166057736924E-9</c:v>
                </c:pt>
                <c:pt idx="6">
                  <c:v>5.4023601012086804E-9</c:v>
                </c:pt>
                <c:pt idx="7">
                  <c:v>5.6138303656807152E-9</c:v>
                </c:pt>
                <c:pt idx="8">
                  <c:v>5.8317473673377001E-9</c:v>
                </c:pt>
                <c:pt idx="9">
                  <c:v>6.0555613196653866E-9</c:v>
                </c:pt>
                <c:pt idx="10">
                  <c:v>6.2842853878177573E-9</c:v>
                </c:pt>
                <c:pt idx="11">
                  <c:v>6.5162037164357113E-9</c:v>
                </c:pt>
                <c:pt idx="12">
                  <c:v>6.7483468385074719E-9</c:v>
                </c:pt>
                <c:pt idx="13">
                  <c:v>6.9755426570820901E-9</c:v>
                </c:pt>
                <c:pt idx="14">
                  <c:v>7.1888143749091779E-9</c:v>
                </c:pt>
                <c:pt idx="15">
                  <c:v>7.3734241067778191E-9</c:v>
                </c:pt>
                <c:pt idx="16">
                  <c:v>7.5094728327248513E-9</c:v>
                </c:pt>
                <c:pt idx="17">
                  <c:v>7.583834576729246E-9</c:v>
                </c:pt>
                <c:pt idx="18">
                  <c:v>7.6209457842697182E-9</c:v>
                </c:pt>
                <c:pt idx="19">
                  <c:v>7.7046721268036726E-9</c:v>
                </c:pt>
                <c:pt idx="20">
                  <c:v>7.9001914112268702E-9</c:v>
                </c:pt>
                <c:pt idx="21">
                  <c:v>8.0549959777977283E-9</c:v>
                </c:pt>
                <c:pt idx="22">
                  <c:v>7.7768218000031468E-9</c:v>
                </c:pt>
                <c:pt idx="23">
                  <c:v>6.8751128944027318E-9</c:v>
                </c:pt>
                <c:pt idx="24">
                  <c:v>5.7018242918125396E-9</c:v>
                </c:pt>
                <c:pt idx="25">
                  <c:v>4.7586740075651897E-9</c:v>
                </c:pt>
                <c:pt idx="26">
                  <c:v>4.2020661486315957E-9</c:v>
                </c:pt>
                <c:pt idx="27">
                  <c:v>3.9027611109393761E-9</c:v>
                </c:pt>
                <c:pt idx="28">
                  <c:v>3.7109348761065348E-9</c:v>
                </c:pt>
                <c:pt idx="29">
                  <c:v>3.5492161136571815E-9</c:v>
                </c:pt>
                <c:pt idx="30">
                  <c:v>3.3859557410168099E-9</c:v>
                </c:pt>
                <c:pt idx="31">
                  <c:v>3.2098347412086092E-9</c:v>
                </c:pt>
                <c:pt idx="32">
                  <c:v>3.0164896033198746E-9</c:v>
                </c:pt>
                <c:pt idx="33">
                  <c:v>2.8050105394845535E-9</c:v>
                </c:pt>
                <c:pt idx="34">
                  <c:v>2.5766119479343191E-9</c:v>
                </c:pt>
                <c:pt idx="35">
                  <c:v>2.3340275998122086E-9</c:v>
                </c:pt>
                <c:pt idx="36">
                  <c:v>2.0811623067115443E-9</c:v>
                </c:pt>
                <c:pt idx="37">
                  <c:v>1.8228284050627429E-9</c:v>
                </c:pt>
                <c:pt idx="38">
                  <c:v>1.5644963770700505E-9</c:v>
                </c:pt>
                <c:pt idx="39">
                  <c:v>1.3120324414534765E-9</c:v>
                </c:pt>
                <c:pt idx="40">
                  <c:v>1.0714185064605829E-9</c:v>
                </c:pt>
                <c:pt idx="41">
                  <c:v>8.4846291931807382E-10</c:v>
                </c:pt>
                <c:pt idx="42">
                  <c:v>6.4851774240510354E-10</c:v>
                </c:pt>
                <c:pt idx="43">
                  <c:v>4.7622114923577764E-10</c:v>
                </c:pt>
                <c:pt idx="44">
                  <c:v>3.352826310259066E-10</c:v>
                </c:pt>
                <c:pt idx="45">
                  <c:v>2.2832481928874923E-10</c:v>
                </c:pt>
                <c:pt idx="46">
                  <c:v>1.5678990575473241E-10</c:v>
                </c:pt>
                <c:pt idx="47">
                  <c:v>1.2072601887146563E-10</c:v>
                </c:pt>
                <c:pt idx="48">
                  <c:v>1.1963223233049244E-10</c:v>
                </c:pt>
                <c:pt idx="49">
                  <c:v>1.5122102371080669E-10</c:v>
                </c:pt>
                <c:pt idx="50">
                  <c:v>2.1249956299065371E-10</c:v>
                </c:pt>
                <c:pt idx="51">
                  <c:v>2.9966423710653844E-10</c:v>
                </c:pt>
                <c:pt idx="52">
                  <c:v>4.0826673819957608E-10</c:v>
                </c:pt>
                <c:pt idx="53">
                  <c:v>5.3338401311292988E-10</c:v>
                </c:pt>
                <c:pt idx="54">
                  <c:v>6.6978448964183171E-10</c:v>
                </c:pt>
                <c:pt idx="55">
                  <c:v>8.1208583052554979E-10</c:v>
                </c:pt>
                <c:pt idx="56">
                  <c:v>9.5490202235249441E-10</c:v>
                </c:pt>
                <c:pt idx="57">
                  <c:v>1.0929796315445527E-9</c:v>
                </c:pt>
                <c:pt idx="58">
                  <c:v>1.2213243914578016E-9</c:v>
                </c:pt>
                <c:pt idx="59">
                  <c:v>1.335319926133174E-9</c:v>
                </c:pt>
                <c:pt idx="60">
                  <c:v>1.4308403829725637E-9</c:v>
                </c:pt>
                <c:pt idx="61">
                  <c:v>1.5043581399322305E-9</c:v>
                </c:pt>
                <c:pt idx="62">
                  <c:v>1.5530466862799277E-9</c:v>
                </c:pt>
                <c:pt idx="63">
                  <c:v>1.5748773702860458E-9</c:v>
                </c:pt>
                <c:pt idx="64">
                  <c:v>1.5687071203023933E-9</c:v>
                </c:pt>
                <c:pt idx="65">
                  <c:v>1.5343526405941859E-9</c:v>
                </c:pt>
                <c:pt idx="66">
                  <c:v>1.4726451526121017E-9</c:v>
                </c:pt>
                <c:pt idx="67">
                  <c:v>1.3854587075658134E-9</c:v>
                </c:pt>
                <c:pt idx="68">
                  <c:v>1.2757046523455642E-9</c:v>
                </c:pt>
                <c:pt idx="69">
                  <c:v>1.1472851933122592E-9</c:v>
                </c:pt>
                <c:pt idx="70">
                  <c:v>1.0050003102382417E-9</c:v>
                </c:pt>
                <c:pt idx="71">
                  <c:v>8.5440459156761628E-10</c:v>
                </c:pt>
                <c:pt idx="72">
                  <c:v>7.0161381805962668E-10</c:v>
                </c:pt>
                <c:pt idx="73">
                  <c:v>5.530650977544311E-10</c:v>
                </c:pt>
                <c:pt idx="74">
                  <c:v>4.1573830704519088E-10</c:v>
                </c:pt>
                <c:pt idx="75">
                  <c:v>2.9845511096096193E-10</c:v>
                </c:pt>
                <c:pt idx="76">
                  <c:v>2.118642654127636E-10</c:v>
                </c:pt>
                <c:pt idx="77">
                  <c:v>1.580821399244346E-10</c:v>
                </c:pt>
                <c:pt idx="78">
                  <c:v>1.2799682679265072E-10</c:v>
                </c:pt>
                <c:pt idx="79">
                  <c:v>1.7743526769227691E-10</c:v>
                </c:pt>
                <c:pt idx="80">
                  <c:v>2.5873954000784405E-10</c:v>
                </c:pt>
                <c:pt idx="81">
                  <c:v>3.7140974764602548E-10</c:v>
                </c:pt>
                <c:pt idx="82">
                  <c:v>5.0692230297351139E-10</c:v>
                </c:pt>
                <c:pt idx="83">
                  <c:v>6.5631405263475898E-10</c:v>
                </c:pt>
                <c:pt idx="84">
                  <c:v>8.1129138964063064E-10</c:v>
                </c:pt>
                <c:pt idx="85">
                  <c:v>9.635935905164819E-10</c:v>
                </c:pt>
                <c:pt idx="86">
                  <c:v>1.1048605460383841E-9</c:v>
                </c:pt>
                <c:pt idx="87">
                  <c:v>1.2270700642783448E-9</c:v>
                </c:pt>
                <c:pt idx="88">
                  <c:v>1.3229833867171852E-9</c:v>
                </c:pt>
                <c:pt idx="89">
                  <c:v>1.3865787748948893E-9</c:v>
                </c:pt>
                <c:pt idx="90">
                  <c:v>1.4134511540907083E-9</c:v>
                </c:pt>
                <c:pt idx="91">
                  <c:v>1.4011540989317901E-9</c:v>
                </c:pt>
                <c:pt idx="92">
                  <c:v>1.3494593105665652E-9</c:v>
                </c:pt>
                <c:pt idx="93">
                  <c:v>1.2605087651698564E-9</c:v>
                </c:pt>
                <c:pt idx="94">
                  <c:v>1.1388365950326974E-9</c:v>
                </c:pt>
                <c:pt idx="95">
                  <c:v>9.9124215339931201E-10</c:v>
                </c:pt>
                <c:pt idx="96">
                  <c:v>8.2650307488849981E-10</c:v>
                </c:pt>
                <c:pt idx="97">
                  <c:v>6.5492755069574635E-10</c:v>
                </c:pt>
                <c:pt idx="98">
                  <c:v>4.8775808023692604E-10</c:v>
                </c:pt>
                <c:pt idx="99">
                  <c:v>3.3645362298770385E-10</c:v>
                </c:pt>
                <c:pt idx="100">
                  <c:v>2.1189183853609453E-10</c:v>
                </c:pt>
                <c:pt idx="101">
                  <c:v>1.2354609307246665E-10</c:v>
                </c:pt>
                <c:pt idx="102">
                  <c:v>7.8701200017840675E-11</c:v>
                </c:pt>
                <c:pt idx="103">
                  <c:v>8.1775815768293207E-11</c:v>
                </c:pt>
                <c:pt idx="104">
                  <c:v>1.3381698593441286E-10</c:v>
                </c:pt>
                <c:pt idx="105">
                  <c:v>2.3222331261526361E-10</c:v>
                </c:pt>
                <c:pt idx="106">
                  <c:v>3.707381984999474E-10</c:v>
                </c:pt>
                <c:pt idx="107">
                  <c:v>5.3973493793694594E-10</c:v>
                </c:pt>
                <c:pt idx="108">
                  <c:v>7.2679280495655215E-10</c:v>
                </c:pt>
                <c:pt idx="109">
                  <c:v>9.175395849767941E-10</c:v>
                </c:pt>
                <c:pt idx="110">
                  <c:v>1.0967128859248441E-9</c:v>
                </c:pt>
                <c:pt idx="111">
                  <c:v>1.249371454650902E-9</c:v>
                </c:pt>
                <c:pt idx="112">
                  <c:v>1.3621697470585869E-9</c:v>
                </c:pt>
                <c:pt idx="113">
                  <c:v>1.4245952375815521E-9</c:v>
                </c:pt>
                <c:pt idx="114">
                  <c:v>1.4300596271073863E-9</c:v>
                </c:pt>
                <c:pt idx="115">
                  <c:v>1.3767337646057438E-9</c:v>
                </c:pt>
                <c:pt idx="116">
                  <c:v>1.2680235777667271E-9</c:v>
                </c:pt>
                <c:pt idx="117">
                  <c:v>1.1126024591080886E-9</c:v>
                </c:pt>
                <c:pt idx="118">
                  <c:v>9.2394566853129599E-10</c:v>
                </c:pt>
                <c:pt idx="119">
                  <c:v>7.193543928397031E-10</c:v>
                </c:pt>
                <c:pt idx="120">
                  <c:v>5.185091444762398E-10</c:v>
                </c:pt>
                <c:pt idx="121">
                  <c:v>3.4164974486367537E-10</c:v>
                </c:pt>
                <c:pt idx="122">
                  <c:v>2.0753545779162792E-10</c:v>
                </c:pt>
                <c:pt idx="123">
                  <c:v>1.3138554604651575E-10</c:v>
                </c:pt>
                <c:pt idx="124">
                  <c:v>1.2302907224052183E-10</c:v>
                </c:pt>
                <c:pt idx="125">
                  <c:v>1.8549604598253182E-10</c:v>
                </c:pt>
                <c:pt idx="126">
                  <c:v>3.1425599454888315E-10</c:v>
                </c:pt>
                <c:pt idx="127">
                  <c:v>4.9725473877777275E-10</c:v>
                </c:pt>
                <c:pt idx="128">
                  <c:v>7.1581989266607006E-10</c:v>
                </c:pt>
                <c:pt idx="129">
                  <c:v>9.4640831498032229E-10</c:v>
                </c:pt>
                <c:pt idx="130">
                  <c:v>1.1630647902772333E-9</c:v>
                </c:pt>
                <c:pt idx="131">
                  <c:v>1.3403620952006288E-9</c:v>
                </c:pt>
                <c:pt idx="132">
                  <c:v>1.4565098513724896E-9</c:v>
                </c:pt>
                <c:pt idx="133">
                  <c:v>1.4962641124123197E-9</c:v>
                </c:pt>
                <c:pt idx="134">
                  <c:v>1.4532513821408686E-9</c:v>
                </c:pt>
                <c:pt idx="135">
                  <c:v>1.3313479042584198E-9</c:v>
                </c:pt>
                <c:pt idx="136">
                  <c:v>1.1448328298354896E-9</c:v>
                </c:pt>
                <c:pt idx="137">
                  <c:v>9.1716241547923005E-10</c:v>
                </c:pt>
                <c:pt idx="138">
                  <c:v>6.783843710733745E-10</c:v>
                </c:pt>
                <c:pt idx="139">
                  <c:v>4.6141004996800396E-10</c:v>
                </c:pt>
                <c:pt idx="140">
                  <c:v>2.9756090780948949E-10</c:v>
                </c:pt>
                <c:pt idx="141">
                  <c:v>2.1197107235601082E-10</c:v>
                </c:pt>
                <c:pt idx="142">
                  <c:v>2.1952495693153392E-10</c:v>
                </c:pt>
                <c:pt idx="143">
                  <c:v>3.2200858437953494E-10</c:v>
                </c:pt>
                <c:pt idx="144">
                  <c:v>5.0704020162153498E-10</c:v>
                </c:pt>
                <c:pt idx="145">
                  <c:v>7.4912332666868408E-10</c:v>
                </c:pt>
                <c:pt idx="146">
                  <c:v>1.0128575658487679E-9</c:v>
                </c:pt>
                <c:pt idx="147">
                  <c:v>1.2579912384509118E-9</c:v>
                </c:pt>
                <c:pt idx="148">
                  <c:v>1.4456588744038354E-9</c:v>
                </c:pt>
                <c:pt idx="149">
                  <c:v>1.5448742119185259E-9</c:v>
                </c:pt>
                <c:pt idx="150">
                  <c:v>1.538552123874474E-9</c:v>
                </c:pt>
                <c:pt idx="151">
                  <c:v>1.4259141896633881E-9</c:v>
                </c:pt>
                <c:pt idx="152">
                  <c:v>1.2254980548930419E-9</c:v>
                </c:pt>
                <c:pt idx="153">
                  <c:v>9.7180354226904839E-10</c:v>
                </c:pt>
                <c:pt idx="154">
                  <c:v>7.1027101715345124E-10</c:v>
                </c:pt>
                <c:pt idx="155">
                  <c:v>4.8953694226341779E-10</c:v>
                </c:pt>
                <c:pt idx="156">
                  <c:v>3.5247418112193741E-10</c:v>
                </c:pt>
                <c:pt idx="157">
                  <c:v>3.2764984074365761E-10</c:v>
                </c:pt>
                <c:pt idx="158">
                  <c:v>4.2294456387276444E-10</c:v>
                </c:pt>
                <c:pt idx="159">
                  <c:v>6.2283543015811702E-10</c:v>
                </c:pt>
                <c:pt idx="160">
                  <c:v>8.9024885128216381E-10</c:v>
                </c:pt>
                <c:pt idx="161">
                  <c:v>1.1730205059053041E-9</c:v>
                </c:pt>
                <c:pt idx="162">
                  <c:v>1.4140113891523135E-9</c:v>
                </c:pt>
                <c:pt idx="163">
                  <c:v>1.5630262941713409E-9</c:v>
                </c:pt>
                <c:pt idx="164">
                  <c:v>1.5880775004316896E-9</c:v>
                </c:pt>
                <c:pt idx="165">
                  <c:v>1.4834113131292402E-9</c:v>
                </c:pt>
                <c:pt idx="166">
                  <c:v>1.2721683059791756E-9</c:v>
                </c:pt>
                <c:pt idx="167">
                  <c:v>1.002562892570546E-9</c:v>
                </c:pt>
                <c:pt idx="168">
                  <c:v>7.3788934788860052E-10</c:v>
                </c:pt>
                <c:pt idx="169">
                  <c:v>5.4220283640026971E-10</c:v>
                </c:pt>
                <c:pt idx="170">
                  <c:v>4.6481078125359039E-10</c:v>
                </c:pt>
                <c:pt idx="171">
                  <c:v>5.2736316275914804E-10</c:v>
                </c:pt>
                <c:pt idx="172">
                  <c:v>7.1707514168621681E-10</c:v>
                </c:pt>
                <c:pt idx="173">
                  <c:v>9.8838310714923064E-10</c:v>
                </c:pt>
                <c:pt idx="174">
                  <c:v>1.273322754128654E-9</c:v>
                </c:pt>
                <c:pt idx="175">
                  <c:v>1.4985758373463627E-9</c:v>
                </c:pt>
                <c:pt idx="176">
                  <c:v>1.605075409490384E-9</c:v>
                </c:pt>
                <c:pt idx="177">
                  <c:v>1.5649144767573519E-9</c:v>
                </c:pt>
                <c:pt idx="178">
                  <c:v>1.39053003256336E-9</c:v>
                </c:pt>
                <c:pt idx="179">
                  <c:v>1.1328632720855635E-9</c:v>
                </c:pt>
                <c:pt idx="180">
                  <c:v>8.6812720385321617E-10</c:v>
                </c:pt>
                <c:pt idx="181">
                  <c:v>6.7622220338318199E-10</c:v>
                </c:pt>
                <c:pt idx="182">
                  <c:v>6.1672790440725124E-10</c:v>
                </c:pt>
                <c:pt idx="183">
                  <c:v>7.0976204044552023E-10</c:v>
                </c:pt>
                <c:pt idx="184">
                  <c:v>9.2816646085853702E-10</c:v>
                </c:pt>
                <c:pt idx="185">
                  <c:v>1.2044242303257196E-9</c:v>
                </c:pt>
                <c:pt idx="186">
                  <c:v>1.4511570814765712E-9</c:v>
                </c:pt>
                <c:pt idx="187">
                  <c:v>1.5893621815151976E-9</c:v>
                </c:pt>
                <c:pt idx="188">
                  <c:v>1.5753394051472628E-9</c:v>
                </c:pt>
                <c:pt idx="189">
                  <c:v>1.4168695429009114E-9</c:v>
                </c:pt>
                <c:pt idx="190">
                  <c:v>1.1721473669237445E-9</c:v>
                </c:pt>
                <c:pt idx="191">
                  <c:v>9.3061807131736818E-10</c:v>
                </c:pt>
                <c:pt idx="192">
                  <c:v>7.8146220031222882E-10</c:v>
                </c:pt>
                <c:pt idx="193">
                  <c:v>7.8063336344330753E-10</c:v>
                </c:pt>
                <c:pt idx="194">
                  <c:v>9.2887770058011665E-10</c:v>
                </c:pt>
                <c:pt idx="195">
                  <c:v>1.1699754062632252E-9</c:v>
                </c:pt>
                <c:pt idx="196">
                  <c:v>1.4112229923154561E-9</c:v>
                </c:pt>
                <c:pt idx="197">
                  <c:v>1.5596536660195847E-9</c:v>
                </c:pt>
                <c:pt idx="198">
                  <c:v>1.5585213922704558E-9</c:v>
                </c:pt>
                <c:pt idx="199">
                  <c:v>1.4130550796139768E-9</c:v>
                </c:pt>
                <c:pt idx="200">
                  <c:v>1.1885050249907767E-9</c:v>
                </c:pt>
                <c:pt idx="201">
                  <c:v>9.836619732070822E-10</c:v>
                </c:pt>
                <c:pt idx="202">
                  <c:v>8.8850395435070677E-10</c:v>
                </c:pt>
                <c:pt idx="203">
                  <c:v>9.4422911460119766E-10</c:v>
                </c:pt>
                <c:pt idx="204">
                  <c:v>1.1239669061357462E-9</c:v>
                </c:pt>
                <c:pt idx="205">
                  <c:v>1.3441899517545035E-9</c:v>
                </c:pt>
                <c:pt idx="206">
                  <c:v>1.5030383097713095E-9</c:v>
                </c:pt>
                <c:pt idx="207">
                  <c:v>1.5285367943933814E-9</c:v>
                </c:pt>
                <c:pt idx="208">
                  <c:v>1.4136665718193134E-9</c:v>
                </c:pt>
                <c:pt idx="209">
                  <c:v>1.2202667332723402E-9</c:v>
                </c:pt>
                <c:pt idx="210">
                  <c:v>1.0483920139172308E-9</c:v>
                </c:pt>
                <c:pt idx="211">
                  <c:v>9.8539092697209529E-10</c:v>
                </c:pt>
                <c:pt idx="212">
                  <c:v>1.0605156005896613E-9</c:v>
                </c:pt>
                <c:pt idx="213">
                  <c:v>1.2294585697904442E-9</c:v>
                </c:pt>
                <c:pt idx="214">
                  <c:v>1.3983240970475995E-9</c:v>
                </c:pt>
                <c:pt idx="215">
                  <c:v>1.4752174099583085E-9</c:v>
                </c:pt>
                <c:pt idx="216">
                  <c:v>1.4214234456415265E-9</c:v>
                </c:pt>
                <c:pt idx="217">
                  <c:v>1.2729297638887314E-9</c:v>
                </c:pt>
                <c:pt idx="218">
                  <c:v>1.1189095629776723E-9</c:v>
                </c:pt>
                <c:pt idx="219">
                  <c:v>1.0487129571151867E-9</c:v>
                </c:pt>
                <c:pt idx="220">
                  <c:v>1.0984723090277071E-9</c:v>
                </c:pt>
                <c:pt idx="221">
                  <c:v>1.2300034002965223E-9</c:v>
                </c:pt>
                <c:pt idx="222">
                  <c:v>1.3558096558789848E-9</c:v>
                </c:pt>
                <c:pt idx="223">
                  <c:v>1.3951828861039526E-9</c:v>
                </c:pt>
                <c:pt idx="224">
                  <c:v>1.3257211679846907E-9</c:v>
                </c:pt>
                <c:pt idx="225">
                  <c:v>1.1964111633122984E-9</c:v>
                </c:pt>
                <c:pt idx="226">
                  <c:v>1.0931293644194136E-9</c:v>
                </c:pt>
                <c:pt idx="227">
                  <c:v>1.0795857541017238E-9</c:v>
                </c:pt>
                <c:pt idx="228">
                  <c:v>1.1543466829257812E-9</c:v>
                </c:pt>
                <c:pt idx="229">
                  <c:v>1.254167662163069E-9</c:v>
                </c:pt>
                <c:pt idx="230">
                  <c:v>1.301266400941934E-9</c:v>
                </c:pt>
                <c:pt idx="231">
                  <c:v>1.2600789933719789E-9</c:v>
                </c:pt>
                <c:pt idx="232">
                  <c:v>1.1615114325619899E-9</c:v>
                </c:pt>
                <c:pt idx="233">
                  <c:v>1.0767329678210587E-9</c:v>
                </c:pt>
                <c:pt idx="234">
                  <c:v>1.0611051453480826E-9</c:v>
                </c:pt>
                <c:pt idx="235">
                  <c:v>1.1122416584907439E-9</c:v>
                </c:pt>
                <c:pt idx="236">
                  <c:v>1.1750893214728503E-9</c:v>
                </c:pt>
                <c:pt idx="237">
                  <c:v>1.1889826897257941E-9</c:v>
                </c:pt>
                <c:pt idx="238">
                  <c:v>1.1372462547538099E-9</c:v>
                </c:pt>
                <c:pt idx="239">
                  <c:v>1.058095670644922E-9</c:v>
                </c:pt>
                <c:pt idx="240">
                  <c:v>1.0088186275194832E-9</c:v>
                </c:pt>
                <c:pt idx="241">
                  <c:v>1.0155458322068196E-9</c:v>
                </c:pt>
                <c:pt idx="242">
                  <c:v>1.052940310076313E-9</c:v>
                </c:pt>
                <c:pt idx="243">
                  <c:v>1.0705661554850445E-9</c:v>
                </c:pt>
                <c:pt idx="244">
                  <c:v>1.0401004133528746E-9</c:v>
                </c:pt>
                <c:pt idx="245">
                  <c:v>9.7918805641446657E-10</c:v>
                </c:pt>
                <c:pt idx="246">
                  <c:v>9.3100783752887171E-10</c:v>
                </c:pt>
                <c:pt idx="247">
                  <c:v>9.2135937417630204E-10</c:v>
                </c:pt>
                <c:pt idx="248">
                  <c:v>9.3579057763549722E-10</c:v>
                </c:pt>
                <c:pt idx="249">
                  <c:v>9.3772389912991244E-10</c:v>
                </c:pt>
                <c:pt idx="250">
                  <c:v>9.0678437979284463E-10</c:v>
                </c:pt>
                <c:pt idx="251">
                  <c:v>8.5733664840688512E-10</c:v>
                </c:pt>
                <c:pt idx="252">
                  <c:v>8.1991032691264011E-10</c:v>
                </c:pt>
                <c:pt idx="253">
                  <c:v>8.0787303389803392E-10</c:v>
                </c:pt>
                <c:pt idx="254">
                  <c:v>8.0567849852299146E-10</c:v>
                </c:pt>
                <c:pt idx="255">
                  <c:v>7.8916513302808477E-10</c:v>
                </c:pt>
                <c:pt idx="256">
                  <c:v>7.5272397384616699E-10</c:v>
                </c:pt>
                <c:pt idx="257">
                  <c:v>7.1279036517990946E-10</c:v>
                </c:pt>
                <c:pt idx="258">
                  <c:v>6.8643140038216748E-10</c:v>
                </c:pt>
                <c:pt idx="259">
                  <c:v>6.7215907264005888E-10</c:v>
                </c:pt>
                <c:pt idx="260">
                  <c:v>6.5466379861488551E-10</c:v>
                </c:pt>
                <c:pt idx="261">
                  <c:v>6.2482616170283996E-10</c:v>
                </c:pt>
                <c:pt idx="262">
                  <c:v>5.8933472310778529E-10</c:v>
                </c:pt>
                <c:pt idx="263">
                  <c:v>5.5994718093296054E-10</c:v>
                </c:pt>
                <c:pt idx="264">
                  <c:v>5.3849467616024945E-10</c:v>
                </c:pt>
                <c:pt idx="265">
                  <c:v>5.1668382883130766E-10</c:v>
                </c:pt>
                <c:pt idx="266">
                  <c:v>4.8844248236210554E-10</c:v>
                </c:pt>
                <c:pt idx="267">
                  <c:v>4.5707203475064167E-10</c:v>
                </c:pt>
                <c:pt idx="268">
                  <c:v>4.2907717978439566E-10</c:v>
                </c:pt>
                <c:pt idx="269">
                  <c:v>4.0522129137325292E-10</c:v>
                </c:pt>
                <c:pt idx="270">
                  <c:v>3.8102253729556735E-10</c:v>
                </c:pt>
                <c:pt idx="271">
                  <c:v>3.5399853105236036E-10</c:v>
                </c:pt>
                <c:pt idx="272">
                  <c:v>3.264892439489329E-10</c:v>
                </c:pt>
                <c:pt idx="273">
                  <c:v>3.0132062671637035E-10</c:v>
                </c:pt>
                <c:pt idx="274">
                  <c:v>2.7799076665475185E-10</c:v>
                </c:pt>
                <c:pt idx="275">
                  <c:v>2.5445901622796422E-10</c:v>
                </c:pt>
                <c:pt idx="276">
                  <c:v>2.3049438766777379E-10</c:v>
                </c:pt>
                <c:pt idx="277">
                  <c:v>2.074491253612688E-10</c:v>
                </c:pt>
                <c:pt idx="278">
                  <c:v>1.8597227496934394E-10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1067</c:v>
                </c:pt>
                <c:pt idx="1">
                  <c:v>1071</c:v>
                </c:pt>
                <c:pt idx="2">
                  <c:v>1075</c:v>
                </c:pt>
                <c:pt idx="3">
                  <c:v>1079</c:v>
                </c:pt>
                <c:pt idx="4">
                  <c:v>1083</c:v>
                </c:pt>
                <c:pt idx="5">
                  <c:v>1087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5.9087543552294495</c:v>
                </c:pt>
                <c:pt idx="1">
                  <c:v>5.2910669995858743</c:v>
                </c:pt>
                <c:pt idx="2">
                  <c:v>5.1259223437685808</c:v>
                </c:pt>
                <c:pt idx="3">
                  <c:v>5.4057338167812743</c:v>
                </c:pt>
                <c:pt idx="4">
                  <c:v>6.1192973625171661</c:v>
                </c:pt>
                <c:pt idx="5">
                  <c:v>7.2516611052779334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density!$B$3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density!$A$4:$A$23</c:f>
              <c:numCache>
                <c:formatCode>0.00</c:formatCode>
                <c:ptCount val="20"/>
                <c:pt idx="0">
                  <c:v>1.3</c:v>
                </c:pt>
                <c:pt idx="1">
                  <c:v>1.32</c:v>
                </c:pt>
                <c:pt idx="2">
                  <c:v>1.34</c:v>
                </c:pt>
                <c:pt idx="3">
                  <c:v>1.3599999999999999</c:v>
                </c:pt>
                <c:pt idx="4">
                  <c:v>1.38</c:v>
                </c:pt>
                <c:pt idx="5">
                  <c:v>1.4</c:v>
                </c:pt>
              </c:numCache>
            </c:numRef>
          </c:xVal>
          <c:yVal>
            <c:numRef>
              <c:f>density!$B$4:$B$23</c:f>
              <c:numCache>
                <c:formatCode>0.00</c:formatCode>
                <c:ptCount val="20"/>
                <c:pt idx="0">
                  <c:v>5.9137844233189041</c:v>
                </c:pt>
                <c:pt idx="1">
                  <c:v>5.4961345838507603</c:v>
                </c:pt>
                <c:pt idx="2">
                  <c:v>5.2100998652780914</c:v>
                </c:pt>
                <c:pt idx="3">
                  <c:v>5.0742169542850988</c:v>
                </c:pt>
                <c:pt idx="4">
                  <c:v>5.111104427428196</c:v>
                </c:pt>
                <c:pt idx="5">
                  <c:v>5.3475795737943734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4-4134-887F-ACC8836AA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f_PEO!$B$3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f_PEO!$A$4:$A$23</c:f>
              <c:numCache>
                <c:formatCode>0.00</c:formatCode>
                <c:ptCount val="20"/>
                <c:pt idx="0">
                  <c:v>0.31</c:v>
                </c:pt>
                <c:pt idx="1">
                  <c:v>0.32200000000000001</c:v>
                </c:pt>
                <c:pt idx="2">
                  <c:v>0.33400000000000002</c:v>
                </c:pt>
                <c:pt idx="3">
                  <c:v>0.34599999999999997</c:v>
                </c:pt>
                <c:pt idx="4">
                  <c:v>0.35799999999999998</c:v>
                </c:pt>
                <c:pt idx="5">
                  <c:v>0.37</c:v>
                </c:pt>
              </c:numCache>
            </c:numRef>
          </c:xVal>
          <c:yVal>
            <c:numRef>
              <c:f>f_PEO!$B$4:$B$23</c:f>
              <c:numCache>
                <c:formatCode>0.00</c:formatCode>
                <c:ptCount val="20"/>
                <c:pt idx="0">
                  <c:v>5.2930369977639256</c:v>
                </c:pt>
                <c:pt idx="1">
                  <c:v>5.1396349738390326</c:v>
                </c:pt>
                <c:pt idx="2">
                  <c:v>5.0712815532491575</c:v>
                </c:pt>
                <c:pt idx="3">
                  <c:v>5.0803879090380395</c:v>
                </c:pt>
                <c:pt idx="4">
                  <c:v>5.1601020850383721</c:v>
                </c:pt>
                <c:pt idx="5">
                  <c:v>5.3042918916047022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9-4338-9736-E89776945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32</c:v>
                </c:pt>
                <c:pt idx="1">
                  <c:v>36</c:v>
                </c:pt>
                <c:pt idx="2">
                  <c:v>40</c:v>
                </c:pt>
                <c:pt idx="3">
                  <c:v>44</c:v>
                </c:pt>
                <c:pt idx="4">
                  <c:v>48</c:v>
                </c:pt>
                <c:pt idx="5">
                  <c:v>52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5.5647936444088115</c:v>
                </c:pt>
                <c:pt idx="1">
                  <c:v>5.2862789668996477</c:v>
                </c:pt>
                <c:pt idx="2">
                  <c:v>5.1182306361494341</c:v>
                </c:pt>
                <c:pt idx="3">
                  <c:v>5.0652859572206292</c:v>
                </c:pt>
                <c:pt idx="4">
                  <c:v>5.1257553950441519</c:v>
                </c:pt>
                <c:pt idx="5">
                  <c:v>5.2929370532476767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35</c:v>
                </c:pt>
                <c:pt idx="1">
                  <c:v>38</c:v>
                </c:pt>
                <c:pt idx="2">
                  <c:v>41</c:v>
                </c:pt>
                <c:pt idx="3">
                  <c:v>44</c:v>
                </c:pt>
                <c:pt idx="4">
                  <c:v>47</c:v>
                </c:pt>
                <c:pt idx="5">
                  <c:v>50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6.4263726877231502</c:v>
                </c:pt>
                <c:pt idx="1">
                  <c:v>5.4161210248788061</c:v>
                </c:pt>
                <c:pt idx="2">
                  <c:v>5.0585340779893144</c:v>
                </c:pt>
                <c:pt idx="3">
                  <c:v>5.3512931330216684</c:v>
                </c:pt>
                <c:pt idx="4">
                  <c:v>6.2396299145603189</c:v>
                </c:pt>
                <c:pt idx="5">
                  <c:v>7.6196622920614612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D-4B3E-9196-574E9C927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NbBPEI!$B$3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NbBPEI!$A$4:$A$23</c:f>
              <c:numCache>
                <c:formatCode>0.00E+00</c:formatCode>
                <c:ptCount val="20"/>
                <c:pt idx="0">
                  <c:v>1.3999999999999999E-6</c:v>
                </c:pt>
                <c:pt idx="1">
                  <c:v>1.5E-6</c:v>
                </c:pt>
                <c:pt idx="2">
                  <c:v>1.5999999999999999E-6</c:v>
                </c:pt>
                <c:pt idx="3">
                  <c:v>1.7E-6</c:v>
                </c:pt>
                <c:pt idx="4">
                  <c:v>1.8000000000000001E-6</c:v>
                </c:pt>
                <c:pt idx="5">
                  <c:v>1.9E-6</c:v>
                </c:pt>
              </c:numCache>
            </c:numRef>
          </c:xVal>
          <c:yVal>
            <c:numRef>
              <c:f>NbBPEI!$B$4:$B$23</c:f>
              <c:numCache>
                <c:formatCode>0.00</c:formatCode>
                <c:ptCount val="20"/>
                <c:pt idx="0">
                  <c:v>5.338293172362798</c:v>
                </c:pt>
                <c:pt idx="1">
                  <c:v>5.1863833337816985</c:v>
                </c:pt>
                <c:pt idx="2">
                  <c:v>5.0951859873196117</c:v>
                </c:pt>
                <c:pt idx="3">
                  <c:v>5.0594195590037954</c:v>
                </c:pt>
                <c:pt idx="4">
                  <c:v>5.0743014419795944</c:v>
                </c:pt>
                <c:pt idx="5">
                  <c:v>5.1355482998475734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4-42E6-8969-6C0A31741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2.03E-6</c:v>
                </c:pt>
                <c:pt idx="2">
                  <c:v>2.0600000000000002E-6</c:v>
                </c:pt>
                <c:pt idx="3">
                  <c:v>2.0899999999999999E-6</c:v>
                </c:pt>
                <c:pt idx="4">
                  <c:v>2.12E-6</c:v>
                </c:pt>
                <c:pt idx="5">
                  <c:v>2.1500000000000002E-6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5.6980123873305466</c:v>
                </c:pt>
                <c:pt idx="1">
                  <c:v>5.186313697157054</c:v>
                </c:pt>
                <c:pt idx="2">
                  <c:v>5.0774008883091373</c:v>
                </c:pt>
                <c:pt idx="3">
                  <c:v>5.3234186941572075</c:v>
                </c:pt>
                <c:pt idx="4">
                  <c:v>6.0732104348572138</c:v>
                </c:pt>
                <c:pt idx="5">
                  <c:v>7.3994910219129917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55-46EB-BAA2-196BDBE93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56684</xdr:colOff>
      <xdr:row>3</xdr:row>
      <xdr:rowOff>71592</xdr:rowOff>
    </xdr:from>
    <xdr:to>
      <xdr:col>20</xdr:col>
      <xdr:colOff>179714</xdr:colOff>
      <xdr:row>24</xdr:row>
      <xdr:rowOff>57585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422683</xdr:colOff>
      <xdr:row>28</xdr:row>
      <xdr:rowOff>68236</xdr:rowOff>
    </xdr:from>
    <xdr:to>
      <xdr:col>20</xdr:col>
      <xdr:colOff>361577</xdr:colOff>
      <xdr:row>48</xdr:row>
      <xdr:rowOff>109072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F38" sqref="F38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9.83203125" style="50" customWidth="1"/>
    <col min="10" max="10" width="9.83203125" style="51" customWidth="1"/>
    <col min="11" max="11" width="9.83203125" style="52" customWidth="1"/>
    <col min="12" max="12" width="8.58203125" style="156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8.58203125" style="57" bestFit="1" customWidth="1"/>
    <col min="20" max="20" width="12.1640625" style="75" bestFit="1" customWidth="1"/>
    <col min="21" max="21" width="11.6640625" style="130" bestFit="1" customWidth="1"/>
    <col min="22" max="22" width="8.1640625" style="132" bestFit="1" customWidth="1"/>
    <col min="23" max="23" width="11.83203125" style="133" customWidth="1"/>
    <col min="24" max="24" width="8.1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9" bestFit="1" customWidth="1"/>
  </cols>
  <sheetData>
    <row r="1" spans="1:36" ht="18" x14ac:dyDescent="0.35">
      <c r="A1" s="87" t="s">
        <v>525</v>
      </c>
      <c r="B1" s="189" t="s">
        <v>491</v>
      </c>
      <c r="C1" s="189"/>
      <c r="D1" s="189"/>
      <c r="E1" s="189"/>
      <c r="F1" s="189"/>
      <c r="G1" s="189"/>
      <c r="H1" s="189"/>
      <c r="I1" s="190" t="s">
        <v>507</v>
      </c>
      <c r="J1" s="190"/>
      <c r="K1" s="190"/>
      <c r="L1" s="66" t="s">
        <v>505</v>
      </c>
      <c r="M1" s="191" t="s">
        <v>489</v>
      </c>
      <c r="N1" s="191"/>
      <c r="O1" s="191"/>
      <c r="P1" s="191"/>
      <c r="Q1" s="191"/>
      <c r="R1" s="188" t="s">
        <v>490</v>
      </c>
      <c r="S1" s="188"/>
      <c r="T1" s="70"/>
      <c r="U1" s="187" t="s">
        <v>593</v>
      </c>
      <c r="V1" s="187"/>
      <c r="W1" s="187"/>
      <c r="X1" s="124" t="s">
        <v>594</v>
      </c>
      <c r="Y1" s="137" t="s">
        <v>536</v>
      </c>
      <c r="AA1" s="186"/>
      <c r="AB1" s="186"/>
      <c r="AC1" s="186"/>
      <c r="AD1" s="186"/>
      <c r="AE1" s="186"/>
      <c r="AF1" s="186"/>
      <c r="AG1" s="70"/>
      <c r="AH1" s="184"/>
      <c r="AI1" s="184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SUM(Y3:Y280)/277</f>
        <v>5.0585163988230004</v>
      </c>
      <c r="AA2" s="178"/>
      <c r="AB2" s="179"/>
      <c r="AC2" s="180"/>
      <c r="AD2" s="181"/>
      <c r="AE2" s="181"/>
      <c r="AF2" s="181"/>
      <c r="AG2" s="72"/>
      <c r="AH2" s="182"/>
      <c r="AI2" s="181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614</v>
      </c>
      <c r="I3" s="109">
        <v>8.1014360403499994E-3</v>
      </c>
      <c r="J3" s="109">
        <v>5.0336650662023247E-9</v>
      </c>
      <c r="K3" s="109">
        <v>1.5488850596002397E-9</v>
      </c>
      <c r="L3" s="156">
        <v>4.2754626633212289E-9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4.2752316793220444E-9</v>
      </c>
      <c r="V3" s="127">
        <v>4.2754626633212289E-9</v>
      </c>
      <c r="W3" s="128">
        <v>4.2756998074309398E-9</v>
      </c>
      <c r="X3" s="128">
        <f t="shared" ref="X3:X66" si="0">(U3+2*V3+W3)/4</f>
        <v>4.2754642033488607E-9</v>
      </c>
      <c r="Y3" s="139">
        <f t="shared" ref="Y3:Y66" si="1">(J3-X3)*(J3-X3)/(K3*K3)</f>
        <v>0.23962391940122968</v>
      </c>
      <c r="AA3" s="73"/>
      <c r="AB3" s="183"/>
      <c r="AC3" s="183"/>
      <c r="AD3" s="183"/>
      <c r="AJ3" s="135"/>
    </row>
    <row r="4" spans="1:36" ht="18.5" x14ac:dyDescent="0.35">
      <c r="A4" s="88" t="s">
        <v>528</v>
      </c>
      <c r="B4" s="21" t="s">
        <v>606</v>
      </c>
      <c r="C4" s="161">
        <f>C5</f>
        <v>1.6046562573069151E-6</v>
      </c>
      <c r="D4" s="19">
        <v>9.9999999999999994E-12</v>
      </c>
      <c r="E4" s="19">
        <v>5.0000000000000001E-9</v>
      </c>
      <c r="F4" s="153">
        <f>H4*H8</f>
        <v>200</v>
      </c>
      <c r="G4" s="107">
        <v>43.928417817474397</v>
      </c>
      <c r="H4" s="153">
        <v>200</v>
      </c>
      <c r="I4" s="109">
        <v>8.1824504007600007E-3</v>
      </c>
      <c r="J4" s="109">
        <v>4.0051667355194237E-9</v>
      </c>
      <c r="K4" s="109">
        <v>7.7926858143219242E-10</v>
      </c>
      <c r="L4" s="156">
        <v>4.4466435134784049E-9</v>
      </c>
      <c r="M4" s="27"/>
      <c r="N4" s="18">
        <v>6.2775210251849733E-9</v>
      </c>
      <c r="O4" s="18">
        <v>3.9120658998460512E-14</v>
      </c>
      <c r="P4" s="18">
        <v>1.9560329499230255E-11</v>
      </c>
      <c r="Q4" s="28">
        <v>15.120878219776493</v>
      </c>
      <c r="R4" s="60">
        <v>100</v>
      </c>
      <c r="S4" s="57">
        <v>0</v>
      </c>
      <c r="U4" s="127">
        <v>4.4464246595361545E-9</v>
      </c>
      <c r="V4" s="127">
        <v>4.4466435134784049E-9</v>
      </c>
      <c r="W4" s="128">
        <v>4.4468703581275012E-9</v>
      </c>
      <c r="X4" s="128">
        <f t="shared" si="0"/>
        <v>4.4466455111551166E-9</v>
      </c>
      <c r="Y4" s="139">
        <f t="shared" si="1"/>
        <v>0.32095587186928315</v>
      </c>
      <c r="AA4" s="73"/>
      <c r="AB4" s="183"/>
      <c r="AC4" s="183"/>
      <c r="AD4" s="183"/>
      <c r="AJ4" s="135"/>
    </row>
    <row r="5" spans="1:36" x14ac:dyDescent="0.35">
      <c r="A5" s="89"/>
      <c r="B5" s="100" t="s">
        <v>603</v>
      </c>
      <c r="C5" s="161">
        <f>H14*(H16*D16+(1-H16)*C16)</f>
        <v>1.6046562573069151E-6</v>
      </c>
      <c r="D5" s="101">
        <v>1.5392483148537927E-10</v>
      </c>
      <c r="E5" s="101">
        <v>5.0509225500401457E-8</v>
      </c>
      <c r="F5" s="153">
        <f>(H10-H4)*H8</f>
        <v>874.52688970033137</v>
      </c>
      <c r="G5" s="153">
        <v>55.42680874121109</v>
      </c>
      <c r="H5" s="111" t="s">
        <v>599</v>
      </c>
      <c r="I5" s="109">
        <v>8.2642749047700005E-3</v>
      </c>
      <c r="J5" s="109">
        <v>4.5655589127850725E-9</v>
      </c>
      <c r="K5" s="109">
        <v>5.5891218794106424E-10</v>
      </c>
      <c r="L5" s="156">
        <v>4.6243180002362893E-9</v>
      </c>
      <c r="M5" s="27"/>
      <c r="N5" s="18">
        <v>5.1709756249262764E-8</v>
      </c>
      <c r="O5" s="18">
        <v>3.2224818252381934E-13</v>
      </c>
      <c r="P5" s="18">
        <v>1.6112409126190968E-10</v>
      </c>
      <c r="Q5" s="28">
        <v>11.259634317530255</v>
      </c>
      <c r="R5" s="60">
        <v>100</v>
      </c>
      <c r="S5" s="57">
        <v>6.2775210251849733E-9</v>
      </c>
      <c r="U5" s="127">
        <v>4.6241217916083632E-9</v>
      </c>
      <c r="V5" s="127">
        <v>4.6243180002362893E-9</v>
      </c>
      <c r="W5" s="128">
        <v>4.6245243594396791E-9</v>
      </c>
      <c r="X5" s="128">
        <f t="shared" si="0"/>
        <v>4.6243205378801556E-9</v>
      </c>
      <c r="Y5" s="139">
        <f t="shared" si="1"/>
        <v>1.1053515782190883E-2</v>
      </c>
      <c r="AA5" s="73"/>
      <c r="AB5" s="183"/>
      <c r="AC5" s="183"/>
      <c r="AD5" s="183"/>
      <c r="AJ5" s="135"/>
    </row>
    <row r="6" spans="1:36" x14ac:dyDescent="0.35">
      <c r="B6" s="100" t="s">
        <v>604</v>
      </c>
      <c r="C6" s="152">
        <v>1.7243969448656413E-6</v>
      </c>
      <c r="D6" s="101">
        <v>1.5392483148537927E-10</v>
      </c>
      <c r="E6" s="101">
        <v>5.0509225500401457E-8</v>
      </c>
      <c r="F6" s="153">
        <v>10</v>
      </c>
      <c r="G6" s="102">
        <f>F6</f>
        <v>10</v>
      </c>
      <c r="H6" s="154">
        <v>0.02</v>
      </c>
      <c r="I6" s="109">
        <v>8.3469176538099998E-3</v>
      </c>
      <c r="J6" s="109">
        <v>5.1487469354424805E-9</v>
      </c>
      <c r="K6" s="109">
        <v>4.6817798240850244E-10</v>
      </c>
      <c r="L6" s="156">
        <v>4.8086318890180313E-9</v>
      </c>
      <c r="M6" s="27"/>
      <c r="N6" s="18">
        <v>1.1743430644503301E-7</v>
      </c>
      <c r="O6" s="18">
        <v>7.318346587332186E-13</v>
      </c>
      <c r="P6" s="18">
        <v>3.6591732936660931E-10</v>
      </c>
      <c r="Q6" s="28">
        <v>6.2657490986774675</v>
      </c>
      <c r="R6" s="60">
        <v>115.1208782197765</v>
      </c>
      <c r="S6" s="57">
        <v>6.2775210251849733E-9</v>
      </c>
      <c r="U6" s="127">
        <v>4.8084735659665441E-9</v>
      </c>
      <c r="V6" s="127">
        <v>4.8086318890180313E-9</v>
      </c>
      <c r="W6" s="128">
        <v>4.8088028625322721E-9</v>
      </c>
      <c r="X6" s="128">
        <f t="shared" si="0"/>
        <v>4.8086350516337203E-9</v>
      </c>
      <c r="Y6" s="139">
        <f t="shared" si="1"/>
        <v>0.52774198007554207</v>
      </c>
      <c r="AA6" s="73"/>
      <c r="AB6" s="183"/>
      <c r="AC6" s="183"/>
      <c r="AD6" s="183"/>
      <c r="AJ6" s="135"/>
    </row>
    <row r="7" spans="1:36" ht="18.5" x14ac:dyDescent="0.35">
      <c r="A7" s="68" t="s">
        <v>529</v>
      </c>
      <c r="B7" s="141" t="s">
        <v>504</v>
      </c>
      <c r="C7" s="155">
        <v>3.1999999999999999E-6</v>
      </c>
      <c r="D7" s="142">
        <v>2.5307649463664093E-11</v>
      </c>
      <c r="E7" s="142">
        <v>1.486857631694136E-12</v>
      </c>
      <c r="F7" s="167">
        <v>41.262845079762997</v>
      </c>
      <c r="G7" s="102">
        <v>5</v>
      </c>
      <c r="H7" s="134" t="s">
        <v>600</v>
      </c>
      <c r="I7" s="109">
        <v>8.4303868303500003E-3</v>
      </c>
      <c r="J7" s="109">
        <v>5.6000262933021538E-9</v>
      </c>
      <c r="K7" s="109">
        <v>4.365189157626009E-10</v>
      </c>
      <c r="L7" s="156">
        <v>4.9997050220384386E-9</v>
      </c>
      <c r="M7" s="27"/>
      <c r="N7" s="18">
        <v>1.9180507346024993E-7</v>
      </c>
      <c r="O7" s="18">
        <v>1.1953031846344163E-12</v>
      </c>
      <c r="P7" s="18">
        <v>5.9765159231720819E-10</v>
      </c>
      <c r="Q7" s="28">
        <v>4.590719183628063</v>
      </c>
      <c r="R7" s="60">
        <v>115.1208782197765</v>
      </c>
      <c r="S7" s="57">
        <v>5.1709756249262764E-8</v>
      </c>
      <c r="U7" s="127">
        <v>4.9996067110504519E-9</v>
      </c>
      <c r="V7" s="127">
        <v>4.9997050220384386E-9</v>
      </c>
      <c r="W7" s="128">
        <v>4.9998187802616097E-9</v>
      </c>
      <c r="X7" s="128">
        <f t="shared" si="0"/>
        <v>4.9997088838472355E-9</v>
      </c>
      <c r="Y7" s="139">
        <f t="shared" si="1"/>
        <v>1.891279611962343</v>
      </c>
      <c r="AA7" s="73"/>
      <c r="AB7" s="183"/>
      <c r="AC7" s="183"/>
      <c r="AD7" s="183"/>
      <c r="AJ7" s="135"/>
    </row>
    <row r="8" spans="1:36" x14ac:dyDescent="0.35">
      <c r="A8" s="90" t="b">
        <v>1</v>
      </c>
      <c r="B8" s="141" t="s">
        <v>52</v>
      </c>
      <c r="C8" s="177">
        <v>2.0533014161526217E-6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4">
        <v>1</v>
      </c>
      <c r="I8" s="109">
        <v>8.5146906986500008E-3</v>
      </c>
      <c r="J8" s="109">
        <v>4.9859799980686815E-9</v>
      </c>
      <c r="K8" s="109">
        <v>3.9187446920178303E-10</v>
      </c>
      <c r="L8" s="156">
        <v>5.1976120086559224E-9</v>
      </c>
      <c r="M8" s="27"/>
      <c r="N8" s="18">
        <v>2.7029227619890691E-7</v>
      </c>
      <c r="O8" s="18">
        <v>1.6844247792517059E-12</v>
      </c>
      <c r="P8" s="18">
        <v>8.422123896258529E-10</v>
      </c>
      <c r="Q8" s="28">
        <v>3.7358644252624349</v>
      </c>
      <c r="R8" s="60">
        <v>126.38051253730676</v>
      </c>
      <c r="S8" s="57">
        <v>5.1709756249262764E-8</v>
      </c>
      <c r="U8" s="127">
        <v>5.1976060875027574E-9</v>
      </c>
      <c r="V8" s="127">
        <v>5.1976120086559224E-9</v>
      </c>
      <c r="W8" s="128">
        <v>5.1976363182801674E-9</v>
      </c>
      <c r="X8" s="128">
        <f t="shared" si="0"/>
        <v>5.1976166057736924E-9</v>
      </c>
      <c r="Y8" s="139">
        <f t="shared" si="1"/>
        <v>0.29166723428944552</v>
      </c>
      <c r="AA8" s="73"/>
      <c r="AB8" s="183"/>
      <c r="AC8" s="183"/>
      <c r="AD8" s="183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8.5998376056400008E-3</v>
      </c>
      <c r="J9" s="109">
        <v>5.2934335128924658E-9</v>
      </c>
      <c r="K9" s="109">
        <v>3.9661425027786351E-10</v>
      </c>
      <c r="L9" s="156">
        <v>5.4023548263672414E-9</v>
      </c>
      <c r="M9" s="27"/>
      <c r="N9" s="18">
        <v>3.5082221683157841E-7</v>
      </c>
      <c r="O9" s="18">
        <v>2.1862764391693533E-12</v>
      </c>
      <c r="P9" s="18">
        <v>1.0931382195846767E-9</v>
      </c>
      <c r="Q9" s="28">
        <v>3.225939672125238</v>
      </c>
      <c r="R9" s="60">
        <v>126.38051253730676</v>
      </c>
      <c r="S9" s="57">
        <v>1.1743430644503301E-7</v>
      </c>
      <c r="U9" s="127">
        <v>5.402489273864067E-9</v>
      </c>
      <c r="V9" s="127">
        <v>5.4023548263672414E-9</v>
      </c>
      <c r="W9" s="128">
        <v>5.4022414782361744E-9</v>
      </c>
      <c r="X9" s="128">
        <f t="shared" si="0"/>
        <v>5.4023601012086804E-9</v>
      </c>
      <c r="Y9" s="139">
        <f t="shared" si="1"/>
        <v>7.5427753674933401E-2</v>
      </c>
      <c r="AA9" s="73"/>
      <c r="AB9" s="183"/>
      <c r="AC9" s="183"/>
      <c r="AD9" s="183"/>
      <c r="AJ9" s="135"/>
    </row>
    <row r="10" spans="1:36" x14ac:dyDescent="0.35">
      <c r="A10" s="69">
        <v>6.6744488622452698</v>
      </c>
      <c r="B10" s="100"/>
      <c r="C10" s="101"/>
      <c r="D10" s="101"/>
      <c r="E10" s="101"/>
      <c r="F10" s="102"/>
      <c r="G10" s="102"/>
      <c r="H10" s="107">
        <v>1074.5268897003314</v>
      </c>
      <c r="I10" s="109">
        <v>8.6858359817000002E-3</v>
      </c>
      <c r="J10" s="109">
        <v>6.2199437456113303E-9</v>
      </c>
      <c r="K10" s="109">
        <v>4.2597071115759252E-10</v>
      </c>
      <c r="L10" s="156">
        <v>5.6138246782763117E-9</v>
      </c>
      <c r="M10" s="27"/>
      <c r="N10" s="18">
        <v>4.3236113304900342E-7</v>
      </c>
      <c r="O10" s="18">
        <v>2.694415897985731E-12</v>
      </c>
      <c r="P10" s="18">
        <v>1.3472079489928657E-9</v>
      </c>
      <c r="Q10" s="28">
        <v>2.8980003312391749</v>
      </c>
      <c r="R10" s="60">
        <v>132.64626163598422</v>
      </c>
      <c r="S10" s="57">
        <v>1.1743430644503301E-7</v>
      </c>
      <c r="U10" s="127">
        <v>5.6141717305615741E-9</v>
      </c>
      <c r="V10" s="127">
        <v>5.6138246782763117E-9</v>
      </c>
      <c r="W10" s="128">
        <v>5.6135003756086641E-9</v>
      </c>
      <c r="X10" s="128">
        <f t="shared" si="0"/>
        <v>5.6138303656807152E-9</v>
      </c>
      <c r="Y10" s="139">
        <f t="shared" si="1"/>
        <v>2.0246421053085291</v>
      </c>
      <c r="AA10" s="73"/>
      <c r="AB10" s="183"/>
      <c r="AC10" s="183"/>
      <c r="AD10" s="183"/>
      <c r="AJ10" s="135"/>
    </row>
    <row r="11" spans="1:36" x14ac:dyDescent="0.35">
      <c r="B11" s="100"/>
      <c r="C11" s="142"/>
      <c r="D11" s="101"/>
      <c r="E11" s="101"/>
      <c r="F11" s="143"/>
      <c r="G11" s="147"/>
      <c r="H11" s="147"/>
      <c r="I11" s="109">
        <v>8.7726943415100001E-3</v>
      </c>
      <c r="J11" s="109">
        <v>5.7101685961001614E-9</v>
      </c>
      <c r="K11" s="109">
        <v>3.9835715940923037E-10</v>
      </c>
      <c r="L11" s="156">
        <v>5.8317419748049663E-9</v>
      </c>
      <c r="M11" s="27"/>
      <c r="N11" s="18">
        <v>5.1437506677281833E-7</v>
      </c>
      <c r="O11" s="18">
        <v>3.2055156014291243E-12</v>
      </c>
      <c r="P11" s="18">
        <v>1.6027578007145623E-9</v>
      </c>
      <c r="Q11" s="28">
        <v>2.6806513932317215</v>
      </c>
      <c r="R11" s="60">
        <v>132.64626163598422</v>
      </c>
      <c r="S11" s="57">
        <v>1.9180507346024993E-7</v>
      </c>
      <c r="U11" s="127">
        <v>5.8324125166429017E-9</v>
      </c>
      <c r="V11" s="127">
        <v>5.8317419748049663E-9</v>
      </c>
      <c r="W11" s="128">
        <v>5.8310930030979669E-9</v>
      </c>
      <c r="X11" s="128">
        <f t="shared" si="0"/>
        <v>5.8317473673377001E-9</v>
      </c>
      <c r="Y11" s="139">
        <f t="shared" si="1"/>
        <v>9.3147294645623033E-2</v>
      </c>
      <c r="AA11" s="73"/>
      <c r="AB11" s="183"/>
      <c r="AC11" s="183"/>
      <c r="AD11" s="183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8.86042128493E-3</v>
      </c>
      <c r="J12" s="109">
        <v>5.119101410471024E-9</v>
      </c>
      <c r="K12" s="109">
        <v>3.6325113402147693E-10</v>
      </c>
      <c r="L12" s="156">
        <v>6.055557863478781E-9</v>
      </c>
      <c r="M12" s="27"/>
      <c r="N12" s="18">
        <v>5.9659038685728553E-7</v>
      </c>
      <c r="O12" s="18">
        <v>3.7178703173384912E-12</v>
      </c>
      <c r="P12" s="18">
        <v>1.8589351586692456E-9</v>
      </c>
      <c r="Q12" s="28">
        <v>2.5381442954166564</v>
      </c>
      <c r="R12" s="60">
        <v>137.23698081961228</v>
      </c>
      <c r="S12" s="57">
        <v>1.9180507346024993E-7</v>
      </c>
      <c r="U12" s="127">
        <v>6.0567261219250777E-9</v>
      </c>
      <c r="V12" s="127">
        <v>6.055557863478781E-9</v>
      </c>
      <c r="W12" s="128">
        <v>6.0544034297789086E-9</v>
      </c>
      <c r="X12" s="128">
        <f t="shared" si="0"/>
        <v>6.0555613196653866E-9</v>
      </c>
      <c r="Y12" s="139">
        <f t="shared" si="1"/>
        <v>6.6460625058027096</v>
      </c>
      <c r="AA12" s="73"/>
      <c r="AB12" s="183"/>
      <c r="AC12" s="183"/>
      <c r="AD12" s="183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612</v>
      </c>
      <c r="I13" s="109">
        <v>8.9490254977800006E-3</v>
      </c>
      <c r="J13" s="109">
        <v>6.280806533154091E-9</v>
      </c>
      <c r="K13" s="109">
        <v>4.0306786639440099E-10</v>
      </c>
      <c r="L13" s="156">
        <v>6.2842874988811572E-9</v>
      </c>
      <c r="M13" s="27"/>
      <c r="N13" s="18">
        <v>6.7887546646719375E-7</v>
      </c>
      <c r="O13" s="18">
        <v>4.2306597651421388E-12</v>
      </c>
      <c r="P13" s="18">
        <v>2.1153298825710695E-9</v>
      </c>
      <c r="Q13" s="28">
        <v>2.4513623245808511</v>
      </c>
      <c r="R13" s="60">
        <v>137.23698081961228</v>
      </c>
      <c r="S13" s="57">
        <v>2.7029227619890691E-7</v>
      </c>
      <c r="U13" s="127">
        <v>6.2862349172500622E-9</v>
      </c>
      <c r="V13" s="127">
        <v>6.2842874988811572E-9</v>
      </c>
      <c r="W13" s="128">
        <v>6.2823316362586518E-9</v>
      </c>
      <c r="X13" s="128">
        <f t="shared" si="0"/>
        <v>6.2842853878177573E-9</v>
      </c>
      <c r="Y13" s="139">
        <f t="shared" si="1"/>
        <v>7.4493129261654027E-5</v>
      </c>
      <c r="AA13" s="73"/>
      <c r="AB13" s="183"/>
      <c r="AC13" s="183"/>
      <c r="AD13" s="183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64">
        <v>1.3644558148159582</v>
      </c>
      <c r="I14" s="109">
        <v>9.0385157527600006E-3</v>
      </c>
      <c r="J14" s="109">
        <v>6.6023938860996806E-9</v>
      </c>
      <c r="K14" s="109">
        <v>4.1439085685126106E-10</v>
      </c>
      <c r="L14" s="156">
        <v>6.516219337400269E-9</v>
      </c>
      <c r="M14" s="27"/>
      <c r="N14" s="18">
        <v>7.6117664335493792E-7</v>
      </c>
      <c r="O14" s="18">
        <v>4.7435495289964222E-12</v>
      </c>
      <c r="P14" s="18">
        <v>2.3717747644982111E-9</v>
      </c>
      <c r="Q14" s="28">
        <v>2.4101835893568255</v>
      </c>
      <c r="R14" s="60">
        <v>140.97284524487472</v>
      </c>
      <c r="S14" s="57">
        <v>2.7029227619890691E-7</v>
      </c>
      <c r="U14" s="127">
        <v>6.5194153728605205E-9</v>
      </c>
      <c r="V14" s="127">
        <v>6.516219337400269E-9</v>
      </c>
      <c r="W14" s="128">
        <v>6.5129608180817886E-9</v>
      </c>
      <c r="X14" s="128">
        <f t="shared" si="0"/>
        <v>6.5162037164357113E-9</v>
      </c>
      <c r="Y14" s="139">
        <f t="shared" si="1"/>
        <v>4.3260859347224428E-2</v>
      </c>
      <c r="AA14" s="73"/>
      <c r="AB14" s="183"/>
      <c r="AC14" s="183"/>
      <c r="AD14" s="183"/>
      <c r="AJ14" s="135"/>
    </row>
    <row r="15" spans="1:36" ht="18" x14ac:dyDescent="0.45">
      <c r="A15" s="118">
        <v>2.3E-2</v>
      </c>
      <c r="B15" s="100"/>
      <c r="C15" s="111" t="s">
        <v>631</v>
      </c>
      <c r="D15" s="111" t="s">
        <v>608</v>
      </c>
      <c r="E15" s="111" t="s">
        <v>610</v>
      </c>
      <c r="F15" s="102"/>
      <c r="G15" s="102"/>
      <c r="H15" s="120" t="s">
        <v>613</v>
      </c>
      <c r="I15" s="109">
        <v>9.1289009102799995E-3</v>
      </c>
      <c r="J15" s="109">
        <v>7.4615928991841073E-9</v>
      </c>
      <c r="K15" s="109">
        <v>4.3572880287419588E-10</v>
      </c>
      <c r="L15" s="156">
        <v>6.7483933849707503E-9</v>
      </c>
      <c r="M15" s="27"/>
      <c r="N15" s="18">
        <v>8.4347961395197716E-7</v>
      </c>
      <c r="O15" s="18">
        <v>5.2564504710035772E-12</v>
      </c>
      <c r="P15" s="18">
        <v>2.628225235501789E-9</v>
      </c>
      <c r="Q15" s="28">
        <v>2.4101835893568255</v>
      </c>
      <c r="R15" s="60">
        <v>140.97284524487472</v>
      </c>
      <c r="S15" s="57">
        <v>3.5082221683157841E-7</v>
      </c>
      <c r="U15" s="127">
        <v>6.7536489987789046E-9</v>
      </c>
      <c r="V15" s="127">
        <v>6.7483933849707503E-9</v>
      </c>
      <c r="W15" s="128">
        <v>6.7429515853094815E-9</v>
      </c>
      <c r="X15" s="128">
        <f t="shared" si="0"/>
        <v>6.7483468385074719E-9</v>
      </c>
      <c r="Y15" s="139">
        <f t="shared" si="1"/>
        <v>2.6794535056003634</v>
      </c>
      <c r="AA15" s="73"/>
      <c r="AB15" s="183"/>
      <c r="AC15" s="183"/>
      <c r="AD15" s="183"/>
      <c r="AJ15" s="135"/>
    </row>
    <row r="16" spans="1:36" x14ac:dyDescent="0.35">
      <c r="A16" s="83" t="s">
        <v>516</v>
      </c>
      <c r="B16" s="100"/>
      <c r="C16" s="161">
        <v>1.4899999999999999E-6</v>
      </c>
      <c r="D16" s="161">
        <v>5.6499999999999999E-7</v>
      </c>
      <c r="E16" s="161">
        <v>5.7300000000000002E-6</v>
      </c>
      <c r="F16" s="102"/>
      <c r="G16" s="102"/>
      <c r="H16" s="164">
        <v>0.33941491614281738</v>
      </c>
      <c r="I16" s="109">
        <v>9.2201899193900001E-3</v>
      </c>
      <c r="J16" s="109">
        <v>7.7175042916795432E-9</v>
      </c>
      <c r="K16" s="109">
        <v>4.3469809649284051E-10</v>
      </c>
      <c r="L16" s="156">
        <v>6.9756579069583807E-9</v>
      </c>
      <c r="M16" s="27"/>
      <c r="N16" s="18">
        <v>9.2578079083972133E-7</v>
      </c>
      <c r="O16" s="18">
        <v>5.7693402348578606E-12</v>
      </c>
      <c r="P16" s="18">
        <v>2.8846701174289306E-9</v>
      </c>
      <c r="Q16" s="28">
        <v>2.4513623245808511</v>
      </c>
      <c r="R16" s="60">
        <v>144.19878491699995</v>
      </c>
      <c r="S16" s="57">
        <v>3.5082221683157841E-7</v>
      </c>
      <c r="U16" s="127">
        <v>6.9844192114736588E-9</v>
      </c>
      <c r="V16" s="127">
        <v>6.9756579069583807E-9</v>
      </c>
      <c r="W16" s="128">
        <v>6.9664356029379429E-9</v>
      </c>
      <c r="X16" s="128">
        <f t="shared" si="0"/>
        <v>6.9755426570820901E-9</v>
      </c>
      <c r="Y16" s="139">
        <f t="shared" si="1"/>
        <v>2.9133148445045154</v>
      </c>
      <c r="AA16" s="73"/>
      <c r="AB16" s="183"/>
      <c r="AC16" s="183"/>
      <c r="AD16" s="183"/>
      <c r="AJ16" s="135"/>
    </row>
    <row r="17" spans="1:36" ht="19.5" x14ac:dyDescent="0.45">
      <c r="A17" s="84">
        <v>4.25</v>
      </c>
      <c r="B17" s="103"/>
      <c r="C17" s="162" t="s">
        <v>632</v>
      </c>
      <c r="D17" s="162" t="s">
        <v>609</v>
      </c>
      <c r="E17" s="162" t="s">
        <v>611</v>
      </c>
      <c r="F17" s="104"/>
      <c r="G17" s="104"/>
      <c r="H17" s="144"/>
      <c r="I17" s="109">
        <v>9.3123918185800004E-3</v>
      </c>
      <c r="J17" s="109">
        <v>7.3149487572607952E-9</v>
      </c>
      <c r="K17" s="109">
        <v>3.1978167397845699E-10</v>
      </c>
      <c r="L17" s="156">
        <v>7.189074302908968E-9</v>
      </c>
      <c r="M17" s="27"/>
      <c r="N17" s="18">
        <v>1.0080658704496294E-6</v>
      </c>
      <c r="O17" s="18">
        <v>6.2821296826615082E-12</v>
      </c>
      <c r="P17" s="18">
        <v>3.1410648413307545E-9</v>
      </c>
      <c r="Q17" s="28">
        <v>2.5381442954166564</v>
      </c>
      <c r="R17" s="60">
        <v>144.19878491699995</v>
      </c>
      <c r="S17" s="57">
        <v>4.3236113304900342E-7</v>
      </c>
      <c r="U17" s="127">
        <v>7.2039449402866143E-9</v>
      </c>
      <c r="V17" s="127">
        <v>7.189074302908968E-9</v>
      </c>
      <c r="W17" s="128">
        <v>7.1731639535321622E-9</v>
      </c>
      <c r="X17" s="128">
        <f t="shared" si="0"/>
        <v>7.1888143749091779E-9</v>
      </c>
      <c r="Y17" s="139">
        <f t="shared" si="1"/>
        <v>0.15558217072728661</v>
      </c>
      <c r="AA17" s="73"/>
      <c r="AB17" s="183"/>
      <c r="AC17" s="183"/>
      <c r="AD17" s="183"/>
      <c r="AJ17" s="135"/>
    </row>
    <row r="18" spans="1:36" x14ac:dyDescent="0.35">
      <c r="B18" s="103"/>
      <c r="C18" s="163">
        <v>207.25</v>
      </c>
      <c r="D18" s="163">
        <v>44.06</v>
      </c>
      <c r="E18" s="163">
        <v>48.06</v>
      </c>
      <c r="F18" s="104"/>
      <c r="G18" s="104"/>
      <c r="H18" s="108"/>
      <c r="I18" s="109">
        <v>9.4055157367700006E-3</v>
      </c>
      <c r="J18" s="109">
        <v>7.3462933949936805E-9</v>
      </c>
      <c r="K18" s="109">
        <v>3.1163847435853907E-10</v>
      </c>
      <c r="L18" s="156">
        <v>7.3739496594169327E-9</v>
      </c>
      <c r="N18" s="18">
        <v>1.0902811905340968E-6</v>
      </c>
      <c r="O18" s="18">
        <v>6.7944843985708755E-12</v>
      </c>
      <c r="P18" s="18">
        <v>3.397242199285438E-9</v>
      </c>
      <c r="Q18" s="28">
        <v>2.6806513932317215</v>
      </c>
      <c r="R18" s="60">
        <v>147.09678524823914</v>
      </c>
      <c r="S18" s="57">
        <v>4.3236113304900342E-7</v>
      </c>
      <c r="U18" s="127">
        <v>7.3993695642174663E-9</v>
      </c>
      <c r="V18" s="127">
        <v>7.3739496594169327E-9</v>
      </c>
      <c r="W18" s="128">
        <v>7.3464275440599456E-9</v>
      </c>
      <c r="X18" s="128">
        <f t="shared" si="0"/>
        <v>7.3734241067778191E-9</v>
      </c>
      <c r="Y18" s="139">
        <f t="shared" si="1"/>
        <v>7.5791453595056091E-3</v>
      </c>
      <c r="AA18" s="73"/>
      <c r="AB18" s="183"/>
      <c r="AC18" s="183"/>
      <c r="AD18" s="183"/>
      <c r="AJ18" s="135"/>
    </row>
    <row r="19" spans="1:36" x14ac:dyDescent="0.35">
      <c r="B19" s="108"/>
      <c r="C19" s="104"/>
      <c r="D19" s="104"/>
      <c r="E19" s="104"/>
      <c r="F19" s="104"/>
      <c r="G19" s="104"/>
      <c r="H19" s="144"/>
      <c r="I19" s="109">
        <v>9.4995708941299998E-3</v>
      </c>
      <c r="J19" s="109">
        <v>7.9164141457942482E-9</v>
      </c>
      <c r="K19" s="109">
        <v>3.2217371858689702E-10</v>
      </c>
      <c r="L19" s="156">
        <v>7.510347419457527E-9</v>
      </c>
      <c r="N19" s="18">
        <v>1.1722951242579117E-6</v>
      </c>
      <c r="O19" s="18">
        <v>7.3055841020142692E-12</v>
      </c>
      <c r="P19" s="18">
        <v>3.6527920510071346E-9</v>
      </c>
      <c r="Q19" s="28">
        <v>2.8980003312391749</v>
      </c>
      <c r="R19" s="60">
        <v>147.09678524823914</v>
      </c>
      <c r="S19" s="57">
        <v>5.1437506677281833E-7</v>
      </c>
      <c r="U19" s="127">
        <v>7.552524541175708E-9</v>
      </c>
      <c r="V19" s="127">
        <v>7.510347419457527E-9</v>
      </c>
      <c r="W19" s="128">
        <v>7.464671950808645E-9</v>
      </c>
      <c r="X19" s="128">
        <f t="shared" si="0"/>
        <v>7.5094728327248513E-9</v>
      </c>
      <c r="Y19" s="139">
        <f t="shared" si="1"/>
        <v>1.59545053694974</v>
      </c>
      <c r="AA19" s="73"/>
      <c r="AB19" s="183"/>
      <c r="AC19" s="183"/>
      <c r="AD19" s="183"/>
      <c r="AJ19" s="135"/>
    </row>
    <row r="20" spans="1:36" x14ac:dyDescent="0.35">
      <c r="B20" s="100"/>
      <c r="C20" s="100"/>
      <c r="D20" s="101"/>
      <c r="E20" s="101"/>
      <c r="F20" s="102"/>
      <c r="G20" s="102"/>
      <c r="H20" s="108"/>
      <c r="I20" s="109">
        <v>9.5945666030799997E-3</v>
      </c>
      <c r="J20" s="109">
        <v>8.4426629316091007E-9</v>
      </c>
      <c r="K20" s="109">
        <v>3.3418989571371941E-10</v>
      </c>
      <c r="L20" s="156">
        <v>7.584827060672238E-9</v>
      </c>
      <c r="N20" s="18">
        <v>1.2538340404753367E-6</v>
      </c>
      <c r="O20" s="18">
        <v>7.8137235608306465E-12</v>
      </c>
      <c r="P20" s="18">
        <v>3.9068617804153232E-9</v>
      </c>
      <c r="Q20" s="28">
        <v>3.225939672125238</v>
      </c>
      <c r="R20" s="60">
        <v>149.77743664147087</v>
      </c>
      <c r="S20" s="57">
        <v>5.1437506677281833E-7</v>
      </c>
      <c r="U20" s="127">
        <v>7.6482804828994852E-9</v>
      </c>
      <c r="V20" s="127">
        <v>7.584827060672238E-9</v>
      </c>
      <c r="W20" s="128">
        <v>7.5174037026730243E-9</v>
      </c>
      <c r="X20" s="128">
        <f t="shared" si="0"/>
        <v>7.583834576729246E-9</v>
      </c>
      <c r="Y20" s="139">
        <f t="shared" si="1"/>
        <v>6.6042897613047549</v>
      </c>
      <c r="AA20" s="73"/>
      <c r="AB20" s="183"/>
      <c r="AC20" s="183"/>
      <c r="AD20" s="183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9.69051226911E-3</v>
      </c>
      <c r="J21" s="109">
        <v>8.6935905178621399E-9</v>
      </c>
      <c r="K21" s="109">
        <v>3.4052682557344356E-10</v>
      </c>
      <c r="L21" s="156">
        <v>7.6212628734582378E-9</v>
      </c>
      <c r="M21" s="31"/>
      <c r="N21" s="18">
        <v>1.3343639811080081E-6</v>
      </c>
      <c r="O21" s="18">
        <v>8.3155752207482941E-12</v>
      </c>
      <c r="P21" s="30">
        <v>4.1577876103741469E-9</v>
      </c>
      <c r="Q21" s="65">
        <v>3.7358644252624349</v>
      </c>
      <c r="R21" s="62">
        <v>149.77743664147087</v>
      </c>
      <c r="S21" s="61">
        <v>5.9659038685728553E-7</v>
      </c>
      <c r="T21" s="75"/>
      <c r="U21" s="127">
        <v>7.6999659778850767E-9</v>
      </c>
      <c r="V21" s="127">
        <v>7.6212628734582378E-9</v>
      </c>
      <c r="W21" s="128">
        <v>7.5412914122773221E-9</v>
      </c>
      <c r="X21" s="128">
        <f t="shared" si="0"/>
        <v>7.6209457842697182E-9</v>
      </c>
      <c r="Y21" s="139">
        <f t="shared" si="1"/>
        <v>9.9222268020450279</v>
      </c>
      <c r="AA21" s="73"/>
      <c r="AB21" s="183"/>
      <c r="AC21" s="183"/>
      <c r="AD21" s="183"/>
      <c r="AE21" s="75"/>
      <c r="AF21" s="75"/>
      <c r="AG21" s="75"/>
      <c r="AH21" s="75"/>
      <c r="AI21" s="159"/>
      <c r="AJ21" s="135"/>
    </row>
    <row r="22" spans="1:36" x14ac:dyDescent="0.35">
      <c r="B22" s="100"/>
      <c r="C22" s="100"/>
      <c r="D22" s="101"/>
      <c r="E22" s="101"/>
      <c r="F22" s="102"/>
      <c r="G22" s="102"/>
      <c r="H22" s="108"/>
      <c r="I22" s="109">
        <v>9.7874173918000001E-3</v>
      </c>
      <c r="J22" s="109">
        <v>8.3770270647293726E-9</v>
      </c>
      <c r="K22" s="109">
        <v>5.0994406088749075E-10</v>
      </c>
      <c r="L22" s="156">
        <v>7.7034794850726145E-9</v>
      </c>
      <c r="N22" s="18">
        <v>1.4128511838466652E-6</v>
      </c>
      <c r="O22" s="18">
        <v>8.8046968153655827E-12</v>
      </c>
      <c r="P22" s="18">
        <v>4.402348407682792E-9</v>
      </c>
      <c r="Q22" s="28">
        <v>4.590719183628063</v>
      </c>
      <c r="R22" s="60">
        <v>152.31558093688753</v>
      </c>
      <c r="S22" s="57">
        <v>5.9659038685728553E-7</v>
      </c>
      <c r="U22" s="127">
        <v>7.7736596514843166E-9</v>
      </c>
      <c r="V22" s="127">
        <v>7.7034794850726145E-9</v>
      </c>
      <c r="W22" s="128">
        <v>7.6380698855851447E-9</v>
      </c>
      <c r="X22" s="128">
        <f t="shared" si="0"/>
        <v>7.7046721268036726E-9</v>
      </c>
      <c r="Y22" s="139">
        <f t="shared" si="1"/>
        <v>1.7384096390138386</v>
      </c>
      <c r="AA22" s="73"/>
      <c r="AB22" s="183"/>
      <c r="AC22" s="183"/>
      <c r="AD22" s="183"/>
      <c r="AJ22" s="135"/>
    </row>
    <row r="23" spans="1:36" x14ac:dyDescent="0.35">
      <c r="B23" s="100"/>
      <c r="C23" s="100"/>
      <c r="D23" s="101"/>
      <c r="E23" s="101"/>
      <c r="F23" s="102"/>
      <c r="G23" s="102"/>
      <c r="H23" s="121"/>
      <c r="I23" s="109">
        <v>9.8852915657199995E-3</v>
      </c>
      <c r="J23" s="109">
        <v>8.6012186259411555E-9</v>
      </c>
      <c r="K23" s="109">
        <v>5.0929812651567551E-10</v>
      </c>
      <c r="L23" s="156">
        <v>7.897866677936161E-9</v>
      </c>
      <c r="N23" s="18">
        <v>1.487221950861882E-6</v>
      </c>
      <c r="O23" s="18">
        <v>9.2681653412667804E-12</v>
      </c>
      <c r="P23" s="18">
        <v>4.6340826706333911E-9</v>
      </c>
      <c r="Q23" s="28">
        <v>6.2657490986774675</v>
      </c>
      <c r="R23" s="60">
        <v>152.31558093688753</v>
      </c>
      <c r="S23" s="57">
        <v>6.7887546646719375E-7</v>
      </c>
      <c r="U23" s="127">
        <v>7.9267424208528355E-9</v>
      </c>
      <c r="V23" s="127">
        <v>7.897866677936161E-9</v>
      </c>
      <c r="W23" s="128">
        <v>7.8782898681823216E-9</v>
      </c>
      <c r="X23" s="128">
        <f t="shared" si="0"/>
        <v>7.9001914112268702E-9</v>
      </c>
      <c r="Y23" s="139">
        <f t="shared" si="1"/>
        <v>1.8946351884199295</v>
      </c>
      <c r="AA23" s="73"/>
      <c r="AB23" s="183"/>
      <c r="AC23" s="183"/>
      <c r="AD23" s="183"/>
      <c r="AJ23" s="135"/>
    </row>
    <row r="24" spans="1:36" x14ac:dyDescent="0.35">
      <c r="B24" s="100"/>
      <c r="C24" s="100"/>
      <c r="D24" s="101"/>
      <c r="E24" s="101"/>
      <c r="F24" s="102"/>
      <c r="G24" s="102"/>
      <c r="H24" s="146"/>
      <c r="I24" s="109">
        <v>9.9841444813699998E-3</v>
      </c>
      <c r="J24" s="109">
        <v>8.3773933574299298E-9</v>
      </c>
      <c r="K24" s="109">
        <v>4.9076056087763437E-10</v>
      </c>
      <c r="L24" s="156">
        <v>8.0533108838180734E-9</v>
      </c>
      <c r="N24" s="18">
        <v>1.5529465010576522E-6</v>
      </c>
      <c r="O24" s="18">
        <v>9.6777518174761795E-12</v>
      </c>
      <c r="P24" s="18">
        <v>4.8388759087380908E-9</v>
      </c>
      <c r="Q24" s="28">
        <v>11.259634317530255</v>
      </c>
      <c r="R24" s="60">
        <v>154.76694326146838</v>
      </c>
      <c r="S24" s="57">
        <v>6.7887546646719375E-7</v>
      </c>
      <c r="U24" s="127">
        <v>8.0190831724592305E-9</v>
      </c>
      <c r="V24" s="127">
        <v>8.0533108838180734E-9</v>
      </c>
      <c r="W24" s="128">
        <v>8.0942789710955358E-9</v>
      </c>
      <c r="X24" s="128">
        <f t="shared" si="0"/>
        <v>8.0549959777977283E-9</v>
      </c>
      <c r="Y24" s="139">
        <f t="shared" si="1"/>
        <v>0.43156249810033492</v>
      </c>
      <c r="AA24" s="73"/>
      <c r="AB24" s="183"/>
      <c r="AC24" s="183"/>
      <c r="AD24" s="183"/>
      <c r="AJ24" s="135"/>
    </row>
    <row r="25" spans="1:36" x14ac:dyDescent="0.35">
      <c r="B25" s="100"/>
      <c r="C25" s="100"/>
      <c r="D25" s="101"/>
      <c r="E25" s="101"/>
      <c r="F25" s="102"/>
      <c r="G25" s="102"/>
      <c r="H25" s="147"/>
      <c r="I25" s="109">
        <v>1.0083985926200001E-2</v>
      </c>
      <c r="J25" s="109">
        <v>7.1887902782738035E-9</v>
      </c>
      <c r="K25" s="109">
        <v>4.5156046016651675E-10</v>
      </c>
      <c r="L25" s="156">
        <v>7.7773526863712422E-9</v>
      </c>
      <c r="N25" s="18">
        <v>1.5983787362817301E-6</v>
      </c>
      <c r="O25" s="18">
        <v>9.960879341001539E-12</v>
      </c>
      <c r="P25" s="18">
        <v>4.98043967050077E-9</v>
      </c>
      <c r="Q25" s="28">
        <v>15.120878219776493</v>
      </c>
      <c r="R25" s="60">
        <v>154.76694326146838</v>
      </c>
      <c r="S25" s="57">
        <v>7.6117664335493792E-7</v>
      </c>
      <c r="U25" s="127">
        <v>7.6765943117532236E-9</v>
      </c>
      <c r="V25" s="127">
        <v>7.7773526863712422E-9</v>
      </c>
      <c r="W25" s="128">
        <v>7.8759875155168808E-9</v>
      </c>
      <c r="X25" s="128">
        <f t="shared" si="0"/>
        <v>7.7768218000031468E-9</v>
      </c>
      <c r="Y25" s="139">
        <f t="shared" si="1"/>
        <v>1.6957795774297777</v>
      </c>
      <c r="AA25" s="73"/>
      <c r="AB25" s="183"/>
      <c r="AC25" s="183"/>
      <c r="AD25" s="183"/>
      <c r="AJ25" s="135"/>
    </row>
    <row r="26" spans="1:36" x14ac:dyDescent="0.35">
      <c r="B26" s="100"/>
      <c r="C26" s="100"/>
      <c r="D26" s="101"/>
      <c r="E26" s="101"/>
      <c r="F26" s="102"/>
      <c r="G26" s="102"/>
      <c r="H26" s="148"/>
      <c r="I26" s="109">
        <v>1.01848257854E-2</v>
      </c>
      <c r="J26" s="109">
        <v>5.8985597614192605E-9</v>
      </c>
      <c r="K26" s="109">
        <v>4.1022317787540139E-10</v>
      </c>
      <c r="L26" s="156">
        <v>6.8779827066411394E-9</v>
      </c>
      <c r="N26" s="18">
        <v>1.6046562573069151E-6</v>
      </c>
      <c r="O26" s="18">
        <v>9.9999999999999994E-12</v>
      </c>
      <c r="P26" s="18">
        <v>5.0000000000000001E-9</v>
      </c>
      <c r="Q26" s="28">
        <v>70.679467313329084</v>
      </c>
      <c r="R26" s="60">
        <v>157.1771268508252</v>
      </c>
      <c r="S26" s="57">
        <v>7.6117664335493792E-7</v>
      </c>
      <c r="U26" s="127">
        <v>6.7219718007286897E-9</v>
      </c>
      <c r="V26" s="127">
        <v>6.8779827066411394E-9</v>
      </c>
      <c r="W26" s="128">
        <v>7.0225143635999562E-9</v>
      </c>
      <c r="X26" s="128">
        <f t="shared" si="0"/>
        <v>6.8751128944027318E-9</v>
      </c>
      <c r="Y26" s="139">
        <f t="shared" si="1"/>
        <v>5.6669759041665397</v>
      </c>
      <c r="AA26" s="73"/>
      <c r="AB26" s="183"/>
      <c r="AC26" s="183"/>
      <c r="AD26" s="183"/>
      <c r="AJ26" s="135"/>
    </row>
    <row r="27" spans="1:36" x14ac:dyDescent="0.35">
      <c r="B27" s="100"/>
      <c r="C27" s="100"/>
      <c r="D27" s="101"/>
      <c r="E27" s="101"/>
      <c r="F27" s="102"/>
      <c r="G27" s="102"/>
      <c r="H27" s="149"/>
      <c r="I27" s="109">
        <v>1.02866740433E-2</v>
      </c>
      <c r="J27" s="109">
        <v>5.158269254402048E-9</v>
      </c>
      <c r="K27" s="109">
        <v>3.7797320444445175E-10</v>
      </c>
      <c r="L27" s="156">
        <v>5.7061215614969699E-9</v>
      </c>
      <c r="N27" s="18">
        <v>1.6046562573069151E-6</v>
      </c>
      <c r="O27" s="18">
        <v>1.056304342539504E-11</v>
      </c>
      <c r="P27" s="18">
        <v>5.1780350892085253E-9</v>
      </c>
      <c r="Q27" s="28">
        <v>19.078812002040859</v>
      </c>
      <c r="R27" s="60">
        <v>157.1771268508252</v>
      </c>
      <c r="S27" s="57">
        <v>8.4347961395197716E-7</v>
      </c>
      <c r="U27" s="127">
        <v>5.5197575275024488E-9</v>
      </c>
      <c r="V27" s="127">
        <v>5.7061215614969699E-9</v>
      </c>
      <c r="W27" s="128">
        <v>5.8752965167537706E-9</v>
      </c>
      <c r="X27" s="128">
        <f t="shared" si="0"/>
        <v>5.7018242918125396E-9</v>
      </c>
      <c r="Y27" s="139">
        <f t="shared" si="1"/>
        <v>2.0680689999798103</v>
      </c>
      <c r="AA27" s="73"/>
      <c r="AB27" s="183"/>
      <c r="AC27" s="183"/>
      <c r="AD27" s="183"/>
      <c r="AJ27" s="135"/>
    </row>
    <row r="28" spans="1:36" x14ac:dyDescent="0.35">
      <c r="B28" s="100"/>
      <c r="C28" s="100"/>
      <c r="D28" s="101"/>
      <c r="E28" s="101"/>
      <c r="F28" s="102"/>
      <c r="G28" s="102"/>
      <c r="H28" s="148"/>
      <c r="I28" s="109">
        <v>1.03895407837E-2</v>
      </c>
      <c r="J28" s="109">
        <v>4.8622135788666101E-9</v>
      </c>
      <c r="K28" s="109">
        <v>3.6445518643575818E-10</v>
      </c>
      <c r="L28" s="156">
        <v>4.7635132766528074E-9</v>
      </c>
      <c r="N28" s="18">
        <v>1.6046562573069151E-6</v>
      </c>
      <c r="O28" s="18">
        <v>1.4637951536621044E-11</v>
      </c>
      <c r="P28" s="18">
        <v>6.4665265205571022E-9</v>
      </c>
      <c r="Q28" s="28">
        <v>14.206876296042461</v>
      </c>
      <c r="R28" s="60">
        <v>159.58731044018202</v>
      </c>
      <c r="S28" s="57">
        <v>8.4347961395197716E-7</v>
      </c>
      <c r="U28" s="127">
        <v>4.5768375826746456E-9</v>
      </c>
      <c r="V28" s="127">
        <v>4.7635132766528074E-9</v>
      </c>
      <c r="W28" s="128">
        <v>4.9308318942804983E-9</v>
      </c>
      <c r="X28" s="128">
        <f t="shared" si="0"/>
        <v>4.7586740075651897E-9</v>
      </c>
      <c r="Y28" s="139">
        <f t="shared" si="1"/>
        <v>8.0709462519880912E-2</v>
      </c>
      <c r="AA28" s="73"/>
      <c r="AB28" s="183"/>
      <c r="AC28" s="183"/>
      <c r="AD28" s="183"/>
      <c r="AJ28" s="135"/>
    </row>
    <row r="29" spans="1:36" x14ac:dyDescent="0.35">
      <c r="B29" s="100"/>
      <c r="C29" s="100"/>
      <c r="D29" s="101"/>
      <c r="E29" s="101"/>
      <c r="F29" s="102"/>
      <c r="G29" s="102"/>
      <c r="H29" s="150"/>
      <c r="I29" s="109">
        <v>1.04934361916E-2</v>
      </c>
      <c r="J29" s="109">
        <v>3.695321539601329E-9</v>
      </c>
      <c r="K29" s="109">
        <v>3.1498493427901598E-10</v>
      </c>
      <c r="L29" s="156">
        <v>4.2070613291593637E-9</v>
      </c>
      <c r="N29" s="18">
        <v>1.6046562573069151E-6</v>
      </c>
      <c r="O29" s="18">
        <v>2.0532917993333852E-11</v>
      </c>
      <c r="P29" s="18">
        <v>8.3305228513299389E-9</v>
      </c>
      <c r="Q29" s="28">
        <v>7.9058271198345373</v>
      </c>
      <c r="R29" s="60">
        <v>159.58731044018202</v>
      </c>
      <c r="S29" s="57">
        <v>9.2578079083972133E-7</v>
      </c>
      <c r="U29" s="127">
        <v>4.0412991814848828E-9</v>
      </c>
      <c r="V29" s="127">
        <v>4.2070613291593637E-9</v>
      </c>
      <c r="W29" s="128">
        <v>4.3528427547227733E-9</v>
      </c>
      <c r="X29" s="128">
        <f t="shared" si="0"/>
        <v>4.2020661486315957E-9</v>
      </c>
      <c r="Y29" s="139">
        <f t="shared" si="1"/>
        <v>2.5882052294866691</v>
      </c>
      <c r="AA29" s="73"/>
      <c r="AB29" s="183"/>
      <c r="AC29" s="183"/>
      <c r="AD29" s="183"/>
      <c r="AJ29" s="135"/>
    </row>
    <row r="30" spans="1:36" x14ac:dyDescent="0.35">
      <c r="B30" s="185"/>
      <c r="C30" s="185"/>
      <c r="D30" s="185"/>
      <c r="E30" s="185"/>
      <c r="F30" s="185"/>
      <c r="G30" s="185"/>
      <c r="H30" s="145"/>
      <c r="I30" s="109">
        <v>1.05983705535E-2</v>
      </c>
      <c r="J30" s="109">
        <v>3.8591155457025523E-9</v>
      </c>
      <c r="K30" s="109">
        <v>3.2564994834130739E-10</v>
      </c>
      <c r="L30" s="156">
        <v>3.9078706860856164E-9</v>
      </c>
      <c r="N30" s="18">
        <v>1.6046562573069151E-6</v>
      </c>
      <c r="O30" s="18">
        <v>2.7203380942244557E-11</v>
      </c>
      <c r="P30" s="18">
        <v>1.0439732217087566E-8</v>
      </c>
      <c r="Q30" s="28">
        <v>5.7923532605434165</v>
      </c>
      <c r="R30" s="60">
        <v>162.03867276476288</v>
      </c>
      <c r="S30" s="57">
        <v>9.2578079083972133E-7</v>
      </c>
      <c r="U30" s="127">
        <v>3.7721121841404148E-9</v>
      </c>
      <c r="V30" s="127">
        <v>3.9078706860856164E-9</v>
      </c>
      <c r="W30" s="128">
        <v>4.0231908874458578E-9</v>
      </c>
      <c r="X30" s="128">
        <f t="shared" si="0"/>
        <v>3.9027611109393761E-9</v>
      </c>
      <c r="Y30" s="139">
        <f t="shared" si="1"/>
        <v>1.7962973006015542E-2</v>
      </c>
      <c r="AA30" s="73"/>
      <c r="AB30" s="183"/>
      <c r="AC30" s="183"/>
      <c r="AD30" s="183"/>
      <c r="AJ30" s="135"/>
    </row>
    <row r="31" spans="1:36" x14ac:dyDescent="0.35">
      <c r="B31" s="141"/>
      <c r="C31" s="103"/>
      <c r="D31" s="103"/>
      <c r="E31" s="103"/>
      <c r="F31" s="143"/>
      <c r="G31" s="143"/>
      <c r="H31" s="144"/>
      <c r="I31" s="109">
        <v>1.0704354259E-2</v>
      </c>
      <c r="J31" s="109">
        <v>3.2999624042391747E-9</v>
      </c>
      <c r="K31" s="109">
        <v>2.9851665249888253E-10</v>
      </c>
      <c r="L31" s="156">
        <v>3.7162119601041792E-9</v>
      </c>
      <c r="N31" s="18">
        <v>1.6046562573069151E-6</v>
      </c>
      <c r="O31" s="18">
        <v>3.4243055250359895E-11</v>
      </c>
      <c r="P31" s="18">
        <v>1.2665686711742984E-8</v>
      </c>
      <c r="Q31" s="28">
        <v>4.7137377868352397</v>
      </c>
      <c r="R31" s="60">
        <v>162.03867276476288</v>
      </c>
      <c r="S31" s="57">
        <v>1.0080658704496294E-6</v>
      </c>
      <c r="U31" s="127">
        <v>3.6128784151170867E-9</v>
      </c>
      <c r="V31" s="127">
        <v>3.7162119601041792E-9</v>
      </c>
      <c r="W31" s="128">
        <v>3.7984371691006946E-9</v>
      </c>
      <c r="X31" s="128">
        <f t="shared" si="0"/>
        <v>3.7109348761065348E-9</v>
      </c>
      <c r="Y31" s="139">
        <f t="shared" si="1"/>
        <v>1.8953452853630057</v>
      </c>
      <c r="AA31" s="73"/>
      <c r="AB31" s="183"/>
      <c r="AC31" s="183"/>
      <c r="AD31" s="183"/>
      <c r="AJ31" s="135"/>
    </row>
    <row r="32" spans="1:36" x14ac:dyDescent="0.35">
      <c r="B32" s="100"/>
      <c r="C32" s="101"/>
      <c r="D32" s="101"/>
      <c r="E32" s="101"/>
      <c r="F32" s="102"/>
      <c r="G32" s="102"/>
      <c r="H32" s="101"/>
      <c r="I32" s="109">
        <v>1.08113978016E-2</v>
      </c>
      <c r="J32" s="109">
        <v>3.0246213708714608E-9</v>
      </c>
      <c r="K32" s="109">
        <v>2.865529341526703E-10</v>
      </c>
      <c r="L32" s="156">
        <v>3.5546960092466473E-9</v>
      </c>
      <c r="N32" s="18">
        <v>1.6046562573069151E-6</v>
      </c>
      <c r="O32" s="18">
        <v>4.1465946808790422E-11</v>
      </c>
      <c r="P32" s="18">
        <v>1.4949574747637285E-8</v>
      </c>
      <c r="Q32" s="28">
        <v>4.0703387488370701</v>
      </c>
      <c r="R32" s="60">
        <v>164.57681706017954</v>
      </c>
      <c r="S32" s="57">
        <v>1.0080658704496294E-6</v>
      </c>
      <c r="U32" s="127">
        <v>3.4841790075596106E-9</v>
      </c>
      <c r="V32" s="127">
        <v>3.5546960092466473E-9</v>
      </c>
      <c r="W32" s="128">
        <v>3.6032934285758204E-9</v>
      </c>
      <c r="X32" s="128">
        <f t="shared" si="0"/>
        <v>3.5492161136571815E-9</v>
      </c>
      <c r="Y32" s="139">
        <f t="shared" si="1"/>
        <v>3.3514917021582149</v>
      </c>
      <c r="AA32" s="73"/>
      <c r="AB32" s="183"/>
      <c r="AC32" s="183"/>
      <c r="AD32" s="183"/>
      <c r="AJ32" s="135"/>
    </row>
    <row r="33" spans="2:36" x14ac:dyDescent="0.35">
      <c r="B33" s="100"/>
      <c r="C33" s="142"/>
      <c r="D33" s="101"/>
      <c r="E33" s="101"/>
      <c r="F33" s="143"/>
      <c r="G33" s="102"/>
      <c r="H33" s="121"/>
      <c r="I33" s="109">
        <v>1.0919511779600001E-2</v>
      </c>
      <c r="J33" s="109">
        <v>3.3980423646376242E-9</v>
      </c>
      <c r="K33" s="109">
        <v>2.9406292996529542E-10</v>
      </c>
      <c r="L33" s="156">
        <v>3.3916324020048887E-9</v>
      </c>
      <c r="N33" s="18">
        <v>1.6046562573069151E-6</v>
      </c>
      <c r="O33" s="18">
        <v>4.8779335406912324E-11</v>
      </c>
      <c r="P33" s="18">
        <v>1.7262078069329932E-8</v>
      </c>
      <c r="Q33" s="28">
        <v>3.6565603331987968</v>
      </c>
      <c r="R33" s="60">
        <v>164.57681706017954</v>
      </c>
      <c r="S33" s="57">
        <v>1.0902811905340968E-6</v>
      </c>
      <c r="U33" s="127">
        <v>3.3540247534214294E-9</v>
      </c>
      <c r="V33" s="127">
        <v>3.3916324020048887E-9</v>
      </c>
      <c r="W33" s="128">
        <v>3.4065334066360317E-9</v>
      </c>
      <c r="X33" s="128">
        <f t="shared" si="0"/>
        <v>3.3859557410168099E-9</v>
      </c>
      <c r="Y33" s="139">
        <f t="shared" si="1"/>
        <v>1.6893881222758179E-3</v>
      </c>
      <c r="AA33" s="73"/>
      <c r="AB33" s="183"/>
      <c r="AC33" s="183"/>
      <c r="AD33" s="183"/>
      <c r="AJ33" s="135"/>
    </row>
    <row r="34" spans="2:36" x14ac:dyDescent="0.35">
      <c r="B34" s="100"/>
      <c r="C34" s="101"/>
      <c r="D34" s="101"/>
      <c r="E34" s="101"/>
      <c r="F34" s="102"/>
      <c r="G34" s="102"/>
      <c r="H34" s="101"/>
      <c r="I34" s="109">
        <v>1.1028706897400001E-2</v>
      </c>
      <c r="J34" s="109">
        <v>3.0382327421935105E-9</v>
      </c>
      <c r="K34" s="109">
        <v>2.8872284766104822E-10</v>
      </c>
      <c r="L34" s="156">
        <v>3.2156594600877859E-9</v>
      </c>
      <c r="N34" s="18">
        <v>1.6046562573069151E-6</v>
      </c>
      <c r="O34" s="18">
        <v>5.613532927594409E-11</v>
      </c>
      <c r="P34" s="18">
        <v>1.9588053235049304E-8</v>
      </c>
      <c r="Q34" s="28">
        <v>3.3823196795267156</v>
      </c>
      <c r="R34" s="60">
        <v>167.25746845341126</v>
      </c>
      <c r="S34" s="57">
        <v>1.0902811905340968E-6</v>
      </c>
      <c r="U34" s="127">
        <v>3.2108408010952164E-9</v>
      </c>
      <c r="V34" s="127">
        <v>3.2156594600877859E-9</v>
      </c>
      <c r="W34" s="128">
        <v>3.1971792435636486E-9</v>
      </c>
      <c r="X34" s="128">
        <f t="shared" si="0"/>
        <v>3.2098347412086092E-9</v>
      </c>
      <c r="Y34" s="139">
        <f t="shared" si="1"/>
        <v>0.35325017070928083</v>
      </c>
      <c r="AA34" s="73"/>
      <c r="AB34" s="183"/>
      <c r="AC34" s="183"/>
      <c r="AD34" s="183"/>
      <c r="AJ34" s="135"/>
    </row>
    <row r="35" spans="2:36" x14ac:dyDescent="0.35">
      <c r="B35" s="100"/>
      <c r="C35" s="142"/>
      <c r="D35" s="101"/>
      <c r="E35" s="101"/>
      <c r="F35" s="143"/>
      <c r="G35" s="102"/>
      <c r="H35" s="116"/>
      <c r="I35" s="109">
        <v>1.11389939664E-2</v>
      </c>
      <c r="J35" s="109">
        <v>2.954934291585872E-9</v>
      </c>
      <c r="K35" s="109">
        <v>2.7977896919184806E-10</v>
      </c>
      <c r="L35" s="156">
        <v>3.0223710831658998E-9</v>
      </c>
      <c r="N35" s="18">
        <v>1.6046562573069151E-6</v>
      </c>
      <c r="O35" s="18">
        <v>6.3509385890743584E-11</v>
      </c>
      <c r="P35" s="18">
        <v>2.1919739865300652E-8</v>
      </c>
      <c r="Q35" s="28">
        <v>3.2025109350442627</v>
      </c>
      <c r="R35" s="60">
        <v>167.25746845341126</v>
      </c>
      <c r="S35" s="57">
        <v>1.1722951242579117E-6</v>
      </c>
      <c r="U35" s="127">
        <v>3.0499069410124619E-9</v>
      </c>
      <c r="V35" s="127">
        <v>3.0223710831658998E-9</v>
      </c>
      <c r="W35" s="128">
        <v>2.9713093059352367E-9</v>
      </c>
      <c r="X35" s="128">
        <f t="shared" si="0"/>
        <v>3.0164896033198746E-9</v>
      </c>
      <c r="Y35" s="139">
        <f t="shared" si="1"/>
        <v>4.8406194177634379E-2</v>
      </c>
      <c r="AA35" s="73"/>
      <c r="AB35" s="183"/>
      <c r="AC35" s="183"/>
      <c r="AD35" s="183"/>
      <c r="AJ35" s="135"/>
    </row>
    <row r="36" spans="2:36" x14ac:dyDescent="0.35">
      <c r="B36" s="100"/>
      <c r="C36" s="101"/>
      <c r="D36" s="101"/>
      <c r="E36" s="101"/>
      <c r="F36" s="102"/>
      <c r="G36" s="102"/>
      <c r="H36" s="102"/>
      <c r="I36" s="109">
        <v>1.12503839061E-2</v>
      </c>
      <c r="J36" s="109">
        <v>3.2709955797383997E-9</v>
      </c>
      <c r="K36" s="109">
        <v>2.8450470647555742E-10</v>
      </c>
      <c r="L36" s="156">
        <v>2.8108151560298953E-9</v>
      </c>
      <c r="N36" s="18">
        <v>1.6046562573069151E-6</v>
      </c>
      <c r="O36" s="18">
        <v>7.088969937700566E-11</v>
      </c>
      <c r="P36" s="18">
        <v>2.4253404926732906E-8</v>
      </c>
      <c r="Q36" s="28">
        <v>3.0930135313433689</v>
      </c>
      <c r="R36" s="60">
        <v>170.15546878465045</v>
      </c>
      <c r="S36" s="57">
        <v>1.1722951242579117E-6</v>
      </c>
      <c r="U36" s="127">
        <v>2.8697679846975506E-9</v>
      </c>
      <c r="V36" s="127">
        <v>2.8108151560298953E-9</v>
      </c>
      <c r="W36" s="128">
        <v>2.7286438611808711E-9</v>
      </c>
      <c r="X36" s="128">
        <f t="shared" si="0"/>
        <v>2.8050105394845535E-9</v>
      </c>
      <c r="Y36" s="139">
        <f t="shared" si="1"/>
        <v>2.6826563244943311</v>
      </c>
      <c r="AA36" s="73"/>
      <c r="AB36" s="183"/>
      <c r="AC36" s="183"/>
      <c r="AD36" s="183"/>
      <c r="AJ36" s="135"/>
    </row>
    <row r="37" spans="2:36" x14ac:dyDescent="0.35">
      <c r="B37" s="100"/>
      <c r="C37" s="142"/>
      <c r="D37" s="101"/>
      <c r="E37" s="101"/>
      <c r="F37" s="143"/>
      <c r="G37" s="102"/>
      <c r="H37" s="116"/>
      <c r="I37" s="109">
        <v>1.1362887745099999E-2</v>
      </c>
      <c r="J37" s="109">
        <v>2.4827468262097952E-9</v>
      </c>
      <c r="K37" s="109">
        <v>2.558323261490201E-10</v>
      </c>
      <c r="L37" s="156">
        <v>2.5821658726988699E-9</v>
      </c>
      <c r="N37" s="18">
        <v>1.6046562573069151E-6</v>
      </c>
      <c r="O37" s="18">
        <v>7.8271456660336026E-11</v>
      </c>
      <c r="P37" s="18">
        <v>2.6587526518742132E-8</v>
      </c>
      <c r="Q37" s="28">
        <v>3.0410561425990124</v>
      </c>
      <c r="R37" s="60">
        <v>170.15546878465045</v>
      </c>
      <c r="S37" s="57">
        <v>1.2538340404753367E-6</v>
      </c>
      <c r="U37" s="127">
        <v>2.6709274867607804E-9</v>
      </c>
      <c r="V37" s="127">
        <v>2.5821658726988699E-9</v>
      </c>
      <c r="W37" s="128">
        <v>2.4711885595787568E-9</v>
      </c>
      <c r="X37" s="128">
        <f t="shared" si="0"/>
        <v>2.5766119479343191E-9</v>
      </c>
      <c r="Y37" s="139">
        <f t="shared" si="1"/>
        <v>0.1346163020045924</v>
      </c>
      <c r="AA37" s="73"/>
      <c r="AB37" s="183"/>
      <c r="AC37" s="183"/>
      <c r="AD37" s="183"/>
      <c r="AJ37" s="135"/>
    </row>
    <row r="38" spans="2:36" x14ac:dyDescent="0.35">
      <c r="B38" s="100"/>
      <c r="C38" s="101"/>
      <c r="D38" s="101"/>
      <c r="E38" s="101"/>
      <c r="F38" s="102"/>
      <c r="G38" s="102"/>
      <c r="H38" s="102"/>
      <c r="I38" s="109">
        <v>1.14765166226E-2</v>
      </c>
      <c r="J38" s="109">
        <v>2.2125540950314675E-9</v>
      </c>
      <c r="K38" s="109">
        <v>1.4023566375585989E-10</v>
      </c>
      <c r="L38" s="156">
        <v>2.3391222374925642E-9</v>
      </c>
      <c r="N38" s="18">
        <v>1.6046562573069151E-6</v>
      </c>
      <c r="O38" s="18">
        <v>8.5653374825043235E-11</v>
      </c>
      <c r="P38" s="18">
        <v>2.8921698981659327E-8</v>
      </c>
      <c r="Q38" s="28">
        <v>3.0410561425990124</v>
      </c>
      <c r="R38" s="60">
        <v>173.38140845677569</v>
      </c>
      <c r="S38" s="57">
        <v>1.2538340404753367E-6</v>
      </c>
      <c r="U38" s="127">
        <v>2.4552830313310005E-9</v>
      </c>
      <c r="V38" s="127">
        <v>2.3391222374925642E-9</v>
      </c>
      <c r="W38" s="128">
        <v>2.2025828929327059E-9</v>
      </c>
      <c r="X38" s="128">
        <f t="shared" si="0"/>
        <v>2.3340275998122086E-9</v>
      </c>
      <c r="Y38" s="139">
        <f t="shared" si="1"/>
        <v>0.75031939940568204</v>
      </c>
      <c r="AA38" s="73"/>
      <c r="AB38" s="183"/>
      <c r="AC38" s="183"/>
      <c r="AD38" s="183"/>
      <c r="AJ38" s="135"/>
    </row>
    <row r="39" spans="2:36" x14ac:dyDescent="0.35">
      <c r="B39" s="100"/>
      <c r="C39" s="101"/>
      <c r="D39" s="101"/>
      <c r="E39" s="101"/>
      <c r="F39" s="102"/>
      <c r="G39" s="102"/>
      <c r="H39" s="116"/>
      <c r="I39" s="109">
        <v>1.1591281788799999E-2</v>
      </c>
      <c r="J39" s="109">
        <v>2.0496524580079845E-9</v>
      </c>
      <c r="K39" s="109">
        <v>1.320657354795275E-10</v>
      </c>
      <c r="L39" s="156">
        <v>2.0855638928756489E-9</v>
      </c>
      <c r="N39" s="18">
        <v>1.6046562573069151E-6</v>
      </c>
      <c r="O39" s="18">
        <v>9.3035132108373614E-11</v>
      </c>
      <c r="P39" s="18">
        <v>3.1255820573668549E-8</v>
      </c>
      <c r="Q39" s="28">
        <v>3.0930135313433689</v>
      </c>
      <c r="R39" s="60">
        <v>173.38140845677569</v>
      </c>
      <c r="S39" s="57">
        <v>1.3343639811080081E-6</v>
      </c>
      <c r="U39" s="127">
        <v>2.2258304086875323E-9</v>
      </c>
      <c r="V39" s="127">
        <v>2.0855638928756489E-9</v>
      </c>
      <c r="W39" s="128">
        <v>1.9276910324073469E-9</v>
      </c>
      <c r="X39" s="128">
        <f t="shared" si="0"/>
        <v>2.0811623067115443E-9</v>
      </c>
      <c r="Y39" s="139">
        <f t="shared" si="1"/>
        <v>5.6926217416989597E-2</v>
      </c>
      <c r="AA39" s="73"/>
      <c r="AB39" s="183"/>
      <c r="AC39" s="183"/>
      <c r="AD39" s="183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1.17071946067E-2</v>
      </c>
      <c r="J40" s="109">
        <v>1.8803427168177889E-9</v>
      </c>
      <c r="K40" s="109">
        <v>1.2821044185765299E-10</v>
      </c>
      <c r="L40" s="156">
        <v>1.8262919420408327E-9</v>
      </c>
      <c r="N40" s="18">
        <v>1.6046562573069151E-6</v>
      </c>
      <c r="O40" s="18">
        <v>1.0041544559463568E-10</v>
      </c>
      <c r="P40" s="18">
        <v>3.3589485635100807E-8</v>
      </c>
      <c r="Q40" s="28">
        <v>3.2025109350442627</v>
      </c>
      <c r="R40" s="60">
        <v>177.11727288203812</v>
      </c>
      <c r="S40" s="57">
        <v>1.3343639811080081E-6</v>
      </c>
      <c r="U40" s="127">
        <v>1.9864634675941358E-9</v>
      </c>
      <c r="V40" s="127">
        <v>1.8262919420408327E-9</v>
      </c>
      <c r="W40" s="128">
        <v>1.6522662685751703E-9</v>
      </c>
      <c r="X40" s="128">
        <f t="shared" si="0"/>
        <v>1.8228284050627429E-9</v>
      </c>
      <c r="Y40" s="139">
        <f t="shared" si="1"/>
        <v>0.20123571471335205</v>
      </c>
      <c r="AA40" s="73"/>
      <c r="AB40" s="183"/>
      <c r="AC40" s="183"/>
      <c r="AD40" s="183"/>
      <c r="AJ40" s="135"/>
    </row>
    <row r="41" spans="2:36" x14ac:dyDescent="0.35">
      <c r="B41" s="141"/>
      <c r="C41" s="142"/>
      <c r="D41" s="142"/>
      <c r="E41" s="142"/>
      <c r="F41" s="143"/>
      <c r="G41" s="143"/>
      <c r="H41" s="151"/>
      <c r="I41" s="109">
        <v>1.18242665528E-2</v>
      </c>
      <c r="J41" s="109">
        <v>1.4428475641180843E-9</v>
      </c>
      <c r="K41" s="109">
        <v>1.0927409524365973E-10</v>
      </c>
      <c r="L41" s="156">
        <v>1.5667833304726595E-9</v>
      </c>
      <c r="N41" s="18">
        <v>1.6046562573069151E-6</v>
      </c>
      <c r="O41" s="18">
        <v>1.0778950220943518E-10</v>
      </c>
      <c r="P41" s="18">
        <v>3.5921172265352152E-8</v>
      </c>
      <c r="Q41" s="28">
        <v>3.3823196795267156</v>
      </c>
      <c r="R41" s="60">
        <v>177.11727288203812</v>
      </c>
      <c r="S41" s="57">
        <v>1.4128511838466652E-6</v>
      </c>
      <c r="U41" s="127">
        <v>1.7417958395282754E-9</v>
      </c>
      <c r="V41" s="127">
        <v>1.5667833304726595E-9</v>
      </c>
      <c r="W41" s="128">
        <v>1.3826230078066077E-9</v>
      </c>
      <c r="X41" s="128">
        <f t="shared" si="0"/>
        <v>1.5644963770700505E-9</v>
      </c>
      <c r="Y41" s="139">
        <f t="shared" si="1"/>
        <v>1.239313875663445</v>
      </c>
      <c r="AA41" s="73"/>
      <c r="AB41" s="183"/>
      <c r="AC41" s="183"/>
      <c r="AD41" s="183"/>
      <c r="AJ41" s="135"/>
    </row>
    <row r="42" spans="2:36" x14ac:dyDescent="0.35">
      <c r="B42" s="103"/>
      <c r="C42" s="104"/>
      <c r="D42" s="104"/>
      <c r="E42" s="104"/>
      <c r="F42" s="104"/>
      <c r="G42" s="104"/>
      <c r="H42" s="150"/>
      <c r="I42" s="109">
        <v>1.19425092183E-2</v>
      </c>
      <c r="J42" s="109">
        <v>1.3618296948412506E-9</v>
      </c>
      <c r="K42" s="109">
        <v>1.2816510257651794E-10</v>
      </c>
      <c r="L42" s="156">
        <v>1.3129308516727592E-9</v>
      </c>
      <c r="N42" s="18">
        <v>1.6046562573069151E-6</v>
      </c>
      <c r="O42" s="18">
        <v>1.1514549607846696E-10</v>
      </c>
      <c r="P42" s="18">
        <v>3.8247147431071527E-8</v>
      </c>
      <c r="Q42" s="28">
        <v>3.6565603331987968</v>
      </c>
      <c r="R42" s="60">
        <v>181.70799206566619</v>
      </c>
      <c r="S42" s="57">
        <v>1.4128511838466652E-6</v>
      </c>
      <c r="U42" s="127">
        <v>1.4969721158522411E-9</v>
      </c>
      <c r="V42" s="127">
        <v>1.3129308516727592E-9</v>
      </c>
      <c r="W42" s="128">
        <v>1.125295946616147E-9</v>
      </c>
      <c r="X42" s="128">
        <f t="shared" si="0"/>
        <v>1.3120324414534765E-9</v>
      </c>
      <c r="Y42" s="139">
        <f t="shared" si="1"/>
        <v>0.15096323721361787</v>
      </c>
      <c r="AA42" s="73"/>
      <c r="AB42" s="183"/>
      <c r="AC42" s="183"/>
      <c r="AD42" s="183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1.2061934310500001E-2</v>
      </c>
      <c r="J43" s="109">
        <v>1.0156227294070273E-9</v>
      </c>
      <c r="K43" s="109">
        <v>1.1082128567259814E-10</v>
      </c>
      <c r="L43" s="156">
        <v>1.0707635262536584E-9</v>
      </c>
      <c r="N43" s="18">
        <v>1.6046562573069151E-6</v>
      </c>
      <c r="O43" s="18">
        <v>1.2245888467658885E-10</v>
      </c>
      <c r="P43" s="18">
        <v>4.055965075276417E-8</v>
      </c>
      <c r="Q43" s="28">
        <v>4.0703387488370701</v>
      </c>
      <c r="R43" s="60">
        <v>181.70799206566619</v>
      </c>
      <c r="S43" s="57">
        <v>1.487221950861882E-6</v>
      </c>
      <c r="U43" s="127">
        <v>1.257456993048716E-9</v>
      </c>
      <c r="V43" s="127">
        <v>1.0707635262536584E-9</v>
      </c>
      <c r="W43" s="128">
        <v>8.8668998028629877E-10</v>
      </c>
      <c r="X43" s="128">
        <f t="shared" si="0"/>
        <v>1.0714185064605829E-9</v>
      </c>
      <c r="Y43" s="139">
        <f t="shared" si="1"/>
        <v>0.2534873504800208</v>
      </c>
      <c r="AA43" s="73"/>
      <c r="AB43" s="183"/>
      <c r="AC43" s="183"/>
      <c r="AD43" s="183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1.2182553653599999E-2</v>
      </c>
      <c r="J44" s="109">
        <v>7.9340512428903966E-10</v>
      </c>
      <c r="K44" s="109">
        <v>1.0069108090637696E-10</v>
      </c>
      <c r="L44" s="156">
        <v>8.4615542159652566E-10</v>
      </c>
      <c r="N44" s="18">
        <v>1.6046562573069151E-6</v>
      </c>
      <c r="O44" s="18">
        <v>1.2968177623501939E-10</v>
      </c>
      <c r="P44" s="18">
        <v>4.2843538788658475E-8</v>
      </c>
      <c r="Q44" s="28">
        <v>4.7137377868352397</v>
      </c>
      <c r="R44" s="60">
        <v>187.97374116434366</v>
      </c>
      <c r="S44" s="57">
        <v>1.487221950861882E-6</v>
      </c>
      <c r="U44" s="127">
        <v>1.0288033565098943E-9</v>
      </c>
      <c r="V44" s="127">
        <v>8.4615542159652566E-10</v>
      </c>
      <c r="W44" s="128">
        <v>6.7273747756934977E-10</v>
      </c>
      <c r="X44" s="128">
        <f t="shared" si="0"/>
        <v>8.4846291931807382E-10</v>
      </c>
      <c r="Y44" s="139">
        <f t="shared" si="1"/>
        <v>0.29898928412302878</v>
      </c>
      <c r="AA44" s="73"/>
      <c r="AB44" s="183"/>
      <c r="AC44" s="183"/>
      <c r="AD44" s="183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1.2304379190100001E-2</v>
      </c>
      <c r="J45" s="109">
        <v>6.0933730630476272E-10</v>
      </c>
      <c r="K45" s="109">
        <v>8.6312732881914389E-11</v>
      </c>
      <c r="L45" s="156">
        <v>6.4453866482056093E-10</v>
      </c>
      <c r="N45" s="18">
        <v>1.6046562573069151E-6</v>
      </c>
      <c r="O45" s="18">
        <v>1.3672145054313472E-10</v>
      </c>
      <c r="P45" s="18">
        <v>4.5069493283313893E-8</v>
      </c>
      <c r="Q45" s="28">
        <v>5.7923532605434165</v>
      </c>
      <c r="R45" s="60">
        <v>187.97374116434366</v>
      </c>
      <c r="S45" s="57">
        <v>1.5529465010576522E-6</v>
      </c>
      <c r="U45" s="127">
        <v>8.1640828118554231E-10</v>
      </c>
      <c r="V45" s="127">
        <v>6.4453866482056093E-10</v>
      </c>
      <c r="W45" s="128">
        <v>4.885853587937502E-10</v>
      </c>
      <c r="X45" s="128">
        <f t="shared" si="0"/>
        <v>6.4851774240510354E-10</v>
      </c>
      <c r="Y45" s="139">
        <f t="shared" si="1"/>
        <v>0.20605767527872854</v>
      </c>
      <c r="AA45" s="73"/>
      <c r="AB45" s="183"/>
      <c r="AC45" s="183"/>
      <c r="AD45" s="183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1.2427422981999999E-2</v>
      </c>
      <c r="J46" s="109">
        <v>4.1920308457426188E-10</v>
      </c>
      <c r="K46" s="109">
        <v>7.3591107827866204E-11</v>
      </c>
      <c r="L46" s="156">
        <v>4.7063968536351919E-10</v>
      </c>
      <c r="N46" s="18">
        <v>1.6046562573069151E-6</v>
      </c>
      <c r="O46" s="18">
        <v>1.4339191349204541E-10</v>
      </c>
      <c r="P46" s="18">
        <v>4.717870264907152E-8</v>
      </c>
      <c r="Q46" s="28">
        <v>7.9058271198345373</v>
      </c>
      <c r="R46" s="60">
        <v>199.23337548187391</v>
      </c>
      <c r="S46" s="57">
        <v>1.5529465010576522E-6</v>
      </c>
      <c r="U46" s="127">
        <v>6.2527076426252811E-10</v>
      </c>
      <c r="V46" s="127">
        <v>4.7063968536351919E-10</v>
      </c>
      <c r="W46" s="128">
        <v>3.3833446195354431E-10</v>
      </c>
      <c r="X46" s="128">
        <f t="shared" si="0"/>
        <v>4.7622114923577764E-10</v>
      </c>
      <c r="Y46" s="139">
        <f t="shared" si="1"/>
        <v>0.60030818213702786</v>
      </c>
      <c r="AA46" s="73"/>
      <c r="AB46" s="183"/>
      <c r="AC46" s="183"/>
      <c r="AD46" s="183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1.25516972118E-2</v>
      </c>
      <c r="J47" s="109">
        <v>2.435010943328106E-10</v>
      </c>
      <c r="K47" s="109">
        <v>6.9094666652464799E-11</v>
      </c>
      <c r="L47" s="156">
        <v>3.2825717154403546E-10</v>
      </c>
      <c r="N47" s="18">
        <v>1.6046562573069151E-6</v>
      </c>
      <c r="O47" s="18">
        <v>1.4928687994875822E-10</v>
      </c>
      <c r="P47" s="18">
        <v>4.9042698979844353E-8</v>
      </c>
      <c r="Q47" s="28">
        <v>14.206876296042461</v>
      </c>
      <c r="R47" s="60">
        <v>199.23337548187391</v>
      </c>
      <c r="S47" s="57">
        <v>1.5983787362817301E-6</v>
      </c>
      <c r="U47" s="127">
        <v>4.5976700105017825E-10</v>
      </c>
      <c r="V47" s="127">
        <v>3.2825717154403546E-10</v>
      </c>
      <c r="W47" s="128">
        <v>2.2484917996537721E-10</v>
      </c>
      <c r="X47" s="128">
        <f t="shared" si="0"/>
        <v>3.352826310259066E-10</v>
      </c>
      <c r="Y47" s="139">
        <f t="shared" si="1"/>
        <v>1.7644997361062853</v>
      </c>
      <c r="AA47" s="73"/>
      <c r="AB47" s="183"/>
      <c r="AC47" s="183"/>
      <c r="AD47" s="183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1.26772141839E-2</v>
      </c>
      <c r="J48" s="109">
        <v>9.2865735983579449E-11</v>
      </c>
      <c r="K48" s="109">
        <v>5.5462608580845872E-11</v>
      </c>
      <c r="L48" s="156">
        <v>2.2009653203390043E-10</v>
      </c>
      <c r="N48" s="18">
        <v>1.6046562573069151E-6</v>
      </c>
      <c r="O48" s="18">
        <v>1.5336178805998422E-10</v>
      </c>
      <c r="P48" s="18">
        <v>5.0331190411192935E-8</v>
      </c>
      <c r="Q48" s="28">
        <v>19.078812002040859</v>
      </c>
      <c r="R48" s="60">
        <v>214.35425370165041</v>
      </c>
      <c r="S48" s="57">
        <v>1.5983787362817301E-6</v>
      </c>
      <c r="U48" s="127">
        <v>3.234583833448549E-10</v>
      </c>
      <c r="V48" s="127">
        <v>2.2009653203390043E-10</v>
      </c>
      <c r="W48" s="128">
        <v>1.4964782974234109E-10</v>
      </c>
      <c r="X48" s="128">
        <f t="shared" si="0"/>
        <v>2.2832481928874923E-10</v>
      </c>
      <c r="Y48" s="139">
        <f t="shared" si="1"/>
        <v>5.9650718700713954</v>
      </c>
      <c r="AA48" s="73"/>
      <c r="AB48" s="183"/>
      <c r="AC48" s="183"/>
      <c r="AD48" s="183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1.28039863258E-2</v>
      </c>
      <c r="J49" s="109">
        <v>1.3893152988490805E-10</v>
      </c>
      <c r="K49" s="109">
        <v>5.5853441269280437E-11</v>
      </c>
      <c r="L49" s="156">
        <v>1.4766981724320117E-10</v>
      </c>
      <c r="N49" s="18">
        <v>1.6046562573069151E-6</v>
      </c>
      <c r="O49" s="18">
        <v>1.5392483148537927E-10</v>
      </c>
      <c r="P49" s="18">
        <v>5.0509225500401457E-8</v>
      </c>
      <c r="Q49" s="28">
        <v>789.36750703408848</v>
      </c>
      <c r="R49" s="60">
        <v>214.35425370165041</v>
      </c>
      <c r="S49" s="57">
        <v>1.6046562573069151E-6</v>
      </c>
      <c r="U49" s="127">
        <v>2.1894453386954691E-10</v>
      </c>
      <c r="V49" s="127">
        <v>1.4766981724320117E-10</v>
      </c>
      <c r="W49" s="128">
        <v>1.1287545466298039E-10</v>
      </c>
      <c r="X49" s="128">
        <f t="shared" si="0"/>
        <v>1.5678990575473241E-10</v>
      </c>
      <c r="Y49" s="139">
        <f t="shared" si="1"/>
        <v>0.10223133835939784</v>
      </c>
      <c r="AA49" s="73"/>
      <c r="AB49" s="183"/>
      <c r="AC49" s="183"/>
      <c r="AD49" s="183"/>
      <c r="AJ49" s="135"/>
    </row>
    <row r="50" spans="2:36" x14ac:dyDescent="0.35">
      <c r="B50" s="150"/>
      <c r="C50" s="150"/>
      <c r="D50" s="150"/>
      <c r="E50" s="150"/>
      <c r="F50" s="102"/>
      <c r="G50" s="102"/>
      <c r="H50" s="101"/>
      <c r="I50" s="109">
        <v>1.2932026189000001E-2</v>
      </c>
      <c r="J50" s="109">
        <v>1.4648998112986228E-10</v>
      </c>
      <c r="K50" s="109">
        <v>5.1656416400489767E-11</v>
      </c>
      <c r="L50" s="156">
        <v>1.1107586188418588E-10</v>
      </c>
      <c r="N50" s="18">
        <v>1.6051246907675377E-6</v>
      </c>
      <c r="O50" s="18">
        <v>1.5392483148537927E-10</v>
      </c>
      <c r="P50" s="18">
        <v>5.0509225500401457E-8</v>
      </c>
      <c r="Q50" s="28">
        <v>3.4421631761482474</v>
      </c>
      <c r="R50" s="60">
        <v>285.03372101497951</v>
      </c>
      <c r="S50" s="57">
        <v>1.6046562573069151E-6</v>
      </c>
      <c r="U50" s="127">
        <v>1.4752801197005903E-10</v>
      </c>
      <c r="V50" s="127">
        <v>1.1107586188418588E-10</v>
      </c>
      <c r="W50" s="128">
        <v>1.1322433974743173E-10</v>
      </c>
      <c r="X50" s="128">
        <f t="shared" si="0"/>
        <v>1.2072601887146563E-10</v>
      </c>
      <c r="Y50" s="139">
        <f t="shared" si="1"/>
        <v>0.24875783024499201</v>
      </c>
      <c r="AA50" s="73"/>
      <c r="AB50" s="183"/>
      <c r="AC50" s="183"/>
      <c r="AD50" s="183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1.3061346450899999E-2</v>
      </c>
      <c r="J51" s="109">
        <v>8.613789945514381E-11</v>
      </c>
      <c r="K51" s="109">
        <v>4.6445987240553346E-11</v>
      </c>
      <c r="L51" s="156">
        <v>1.0984856743938984E-10</v>
      </c>
      <c r="N51" s="18">
        <v>1.6085148792009103E-6</v>
      </c>
      <c r="O51" s="18">
        <v>1.5392483148537927E-10</v>
      </c>
      <c r="P51" s="18">
        <v>5.0509225500401457E-8</v>
      </c>
      <c r="Q51" s="28">
        <v>2.563177750747776</v>
      </c>
      <c r="R51" s="60">
        <v>285.03372101497951</v>
      </c>
      <c r="S51" s="57">
        <v>1.6046562573069151E-6</v>
      </c>
      <c r="U51" s="127">
        <v>1.102059718355992E-10</v>
      </c>
      <c r="V51" s="127">
        <v>1.0984856743938984E-10</v>
      </c>
      <c r="W51" s="128">
        <v>1.486258226075909E-10</v>
      </c>
      <c r="X51" s="128">
        <f t="shared" si="0"/>
        <v>1.1963223233049244E-10</v>
      </c>
      <c r="Y51" s="139">
        <f t="shared" si="1"/>
        <v>0.52005139683236545</v>
      </c>
      <c r="AA51" s="73"/>
      <c r="AB51" s="183"/>
      <c r="AC51" s="183"/>
      <c r="AD51" s="183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1.31919599154E-2</v>
      </c>
      <c r="J52" s="109">
        <v>2.4580495886571684E-10</v>
      </c>
      <c r="K52" s="109">
        <v>5.9751982631956185E-11</v>
      </c>
      <c r="L52" s="156">
        <v>1.4170870711748405E-10</v>
      </c>
      <c r="N52" s="18">
        <v>1.6134192958285171E-6</v>
      </c>
      <c r="O52" s="18">
        <v>1.5392483148537927E-10</v>
      </c>
      <c r="P52" s="18">
        <v>5.0509225500401457E-8</v>
      </c>
      <c r="Q52" s="28">
        <v>1.4263543760469788</v>
      </c>
      <c r="R52" s="60">
        <v>304.11253301702038</v>
      </c>
      <c r="S52" s="57">
        <v>1.6046562573069151E-6</v>
      </c>
      <c r="U52" s="127">
        <v>1.0603811157266318E-10</v>
      </c>
      <c r="V52" s="127">
        <v>1.4170870711748405E-10</v>
      </c>
      <c r="W52" s="128">
        <v>2.1542856903559549E-10</v>
      </c>
      <c r="X52" s="128">
        <f t="shared" si="0"/>
        <v>1.5122102371080669E-10</v>
      </c>
      <c r="Y52" s="139">
        <f t="shared" si="1"/>
        <v>2.5057060251310941</v>
      </c>
      <c r="AA52" s="73"/>
      <c r="AB52" s="183"/>
      <c r="AC52" s="183"/>
      <c r="AD52" s="183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1.33238795146E-2</v>
      </c>
      <c r="J53" s="109">
        <v>2.1473420422486203E-10</v>
      </c>
      <c r="K53" s="109">
        <v>5.7045764418177582E-11</v>
      </c>
      <c r="L53" s="156">
        <v>2.0365360777309343E-10</v>
      </c>
      <c r="N53" s="18">
        <v>1.618968899823841E-6</v>
      </c>
      <c r="O53" s="18">
        <v>1.5392483148537927E-10</v>
      </c>
      <c r="P53" s="18">
        <v>5.0509225500401457E-8</v>
      </c>
      <c r="Q53" s="28">
        <v>1.0450454197332617</v>
      </c>
      <c r="R53" s="60">
        <v>304.11253301702038</v>
      </c>
      <c r="S53" s="57">
        <v>1.6046562573069151E-6</v>
      </c>
      <c r="U53" s="127">
        <v>1.3337470780953983E-10</v>
      </c>
      <c r="V53" s="127">
        <v>2.0365360777309343E-10</v>
      </c>
      <c r="W53" s="128">
        <v>3.0931632860688822E-10</v>
      </c>
      <c r="X53" s="128">
        <f t="shared" si="0"/>
        <v>2.1249956299065371E-10</v>
      </c>
      <c r="Y53" s="139">
        <f t="shared" si="1"/>
        <v>1.5345067680842225E-3</v>
      </c>
      <c r="AA53" s="73"/>
      <c r="AB53" s="183"/>
      <c r="AC53" s="183"/>
      <c r="AD53" s="183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1.3457118309700001E-2</v>
      </c>
      <c r="J54" s="109">
        <v>3.6616113813220887E-10</v>
      </c>
      <c r="K54" s="109">
        <v>6.7697265016064275E-11</v>
      </c>
      <c r="L54" s="156">
        <v>2.9185233097444913E-10</v>
      </c>
      <c r="N54" s="18">
        <v>1.6248256754277706E-6</v>
      </c>
      <c r="O54" s="18">
        <v>1.5392483148537927E-10</v>
      </c>
      <c r="P54" s="18">
        <v>5.0509225500401457E-8</v>
      </c>
      <c r="Q54" s="28">
        <v>0.8504436560372397</v>
      </c>
      <c r="R54" s="60">
        <v>318.31940931306286</v>
      </c>
      <c r="S54" s="57">
        <v>1.6046562573069151E-6</v>
      </c>
      <c r="U54" s="127">
        <v>1.8964706383009565E-10</v>
      </c>
      <c r="V54" s="127">
        <v>2.9185233097444913E-10</v>
      </c>
      <c r="W54" s="128">
        <v>4.2530522264715995E-10</v>
      </c>
      <c r="X54" s="128">
        <f t="shared" si="0"/>
        <v>2.9966423710653844E-10</v>
      </c>
      <c r="Y54" s="139">
        <f t="shared" si="1"/>
        <v>0.96485169815087901</v>
      </c>
      <c r="AA54" s="73"/>
      <c r="AB54" s="183"/>
      <c r="AC54" s="183"/>
      <c r="AD54" s="183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1.3591689492799999E-2</v>
      </c>
      <c r="J55" s="109">
        <v>4.720287710934067E-10</v>
      </c>
      <c r="K55" s="109">
        <v>7.4732806444309133E-11</v>
      </c>
      <c r="L55" s="156">
        <v>4.0181511070721915E-10</v>
      </c>
      <c r="N55" s="18">
        <v>1.6308348817088733E-6</v>
      </c>
      <c r="O55" s="18">
        <v>1.5392483148537927E-10</v>
      </c>
      <c r="P55" s="18">
        <v>5.0509225500401457E-8</v>
      </c>
      <c r="Q55" s="28">
        <v>0.73436281851289054</v>
      </c>
      <c r="R55" s="60">
        <v>318.31940931306286</v>
      </c>
      <c r="S55" s="57">
        <v>1.6046562573069151E-6</v>
      </c>
      <c r="U55" s="127">
        <v>2.7149329690963946E-10</v>
      </c>
      <c r="V55" s="127">
        <v>4.0181511070721915E-10</v>
      </c>
      <c r="W55" s="128">
        <v>5.5794343447422646E-10</v>
      </c>
      <c r="X55" s="128">
        <f t="shared" si="0"/>
        <v>4.0826673819957608E-10</v>
      </c>
      <c r="Y55" s="139">
        <f t="shared" si="1"/>
        <v>0.72795029561166613</v>
      </c>
      <c r="AA55" s="73"/>
      <c r="AB55" s="183"/>
      <c r="AC55" s="183"/>
      <c r="AD55" s="183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1.37276063878E-2</v>
      </c>
      <c r="J56" s="109">
        <v>6.2183513172318039E-10</v>
      </c>
      <c r="K56" s="109">
        <v>8.1476648817069212E-11</v>
      </c>
      <c r="L56" s="156">
        <v>5.28566867073451E-10</v>
      </c>
      <c r="N56" s="18">
        <v>1.6369193785263125E-6</v>
      </c>
      <c r="O56" s="18">
        <v>1.5392483148537927E-10</v>
      </c>
      <c r="P56" s="18">
        <v>5.0509225500401457E-8</v>
      </c>
      <c r="Q56" s="28">
        <v>0.6597096993751439</v>
      </c>
      <c r="R56" s="60">
        <v>326.22523643289742</v>
      </c>
      <c r="S56" s="57">
        <v>1.6046562573069151E-6</v>
      </c>
      <c r="U56" s="127">
        <v>3.7490062808230746E-10</v>
      </c>
      <c r="V56" s="127">
        <v>5.28566867073451E-10</v>
      </c>
      <c r="W56" s="128">
        <v>7.0150169022251012E-10</v>
      </c>
      <c r="X56" s="128">
        <f t="shared" si="0"/>
        <v>5.3338401311292988E-10</v>
      </c>
      <c r="Y56" s="139">
        <f t="shared" si="1"/>
        <v>1.1785291895128789</v>
      </c>
      <c r="AA56" s="73"/>
      <c r="AB56" s="183"/>
      <c r="AC56" s="183"/>
      <c r="AD56" s="183"/>
      <c r="AJ56" s="135"/>
    </row>
    <row r="57" spans="2:36" x14ac:dyDescent="0.35">
      <c r="B57" s="100"/>
      <c r="C57" s="100"/>
      <c r="D57" s="101"/>
      <c r="E57" s="101"/>
      <c r="F57" s="102"/>
      <c r="G57" s="102"/>
      <c r="H57" s="150"/>
      <c r="I57" s="109">
        <v>1.3864882451600001E-2</v>
      </c>
      <c r="J57" s="109">
        <v>8.8257689534359634E-10</v>
      </c>
      <c r="K57" s="109">
        <v>9.6757520805968148E-11</v>
      </c>
      <c r="L57" s="156">
        <v>6.6681675320213938E-10</v>
      </c>
      <c r="N57" s="18">
        <v>1.6430393215164498E-6</v>
      </c>
      <c r="O57" s="18">
        <v>1.5392483148537927E-10</v>
      </c>
      <c r="P57" s="18">
        <v>5.0509225500401457E-8</v>
      </c>
      <c r="Q57" s="28">
        <v>0.61023171933257703</v>
      </c>
      <c r="R57" s="60">
        <v>326.22523643289742</v>
      </c>
      <c r="S57" s="57">
        <v>1.6046562573069151E-6</v>
      </c>
      <c r="U57" s="127">
        <v>4.9535510496302507E-10</v>
      </c>
      <c r="V57" s="127">
        <v>6.6681675320213938E-10</v>
      </c>
      <c r="W57" s="128">
        <v>8.501493472000232E-10</v>
      </c>
      <c r="X57" s="128">
        <f t="shared" si="0"/>
        <v>6.6978448964183171E-10</v>
      </c>
      <c r="Y57" s="139">
        <f t="shared" si="1"/>
        <v>4.8366291043657261</v>
      </c>
      <c r="AA57" s="73"/>
      <c r="AB57" s="183"/>
      <c r="AC57" s="183"/>
      <c r="AD57" s="183"/>
      <c r="AJ57" s="135"/>
    </row>
    <row r="58" spans="2:36" x14ac:dyDescent="0.35">
      <c r="B58" s="100"/>
      <c r="C58" s="100"/>
      <c r="D58" s="101"/>
      <c r="E58" s="101"/>
      <c r="F58" s="102"/>
      <c r="G58" s="102"/>
      <c r="H58" s="150"/>
      <c r="I58" s="109">
        <v>1.40035312762E-2</v>
      </c>
      <c r="J58" s="109">
        <v>1.0313355116657498E-9</v>
      </c>
      <c r="K58" s="109">
        <v>1.0389777007734215E-10</v>
      </c>
      <c r="L58" s="156">
        <v>8.1111868061789875E-10</v>
      </c>
      <c r="N58" s="18">
        <v>1.6491742921121441E-6</v>
      </c>
      <c r="O58" s="18">
        <v>1.5392483148537927E-10</v>
      </c>
      <c r="P58" s="18">
        <v>5.0509225500401457E-8</v>
      </c>
      <c r="Q58" s="28">
        <v>0.57779096573949484</v>
      </c>
      <c r="R58" s="60">
        <v>332.01758969344081</v>
      </c>
      <c r="S58" s="57">
        <v>1.6046562573069151E-6</v>
      </c>
      <c r="U58" s="127">
        <v>6.2799166704257269E-10</v>
      </c>
      <c r="V58" s="127">
        <v>8.1111868061789875E-10</v>
      </c>
      <c r="W58" s="128">
        <v>9.9811429382382918E-10</v>
      </c>
      <c r="X58" s="128">
        <f t="shared" si="0"/>
        <v>8.1208583052554979E-10</v>
      </c>
      <c r="Y58" s="139">
        <f t="shared" si="1"/>
        <v>4.4531311702720053</v>
      </c>
      <c r="AA58" s="73"/>
      <c r="AB58" s="183"/>
      <c r="AC58" s="183"/>
      <c r="AD58" s="183"/>
      <c r="AJ58" s="135"/>
    </row>
    <row r="59" spans="2:36" x14ac:dyDescent="0.35">
      <c r="B59" s="100"/>
      <c r="C59" s="100"/>
      <c r="D59" s="101"/>
      <c r="E59" s="101"/>
      <c r="F59" s="102"/>
      <c r="G59" s="102"/>
      <c r="H59" s="150"/>
      <c r="I59" s="109">
        <v>1.41435665889E-2</v>
      </c>
      <c r="J59" s="109">
        <v>1.3138810408565646E-9</v>
      </c>
      <c r="K59" s="109">
        <v>1.1519368031793732E-10</v>
      </c>
      <c r="L59" s="156">
        <v>9.5602048553388011E-10</v>
      </c>
      <c r="N59" s="18">
        <v>1.6553144682174311E-6</v>
      </c>
      <c r="O59" s="18">
        <v>1.5392483148537927E-10</v>
      </c>
      <c r="P59" s="18">
        <v>5.0509225500401457E-8</v>
      </c>
      <c r="Q59" s="28">
        <v>0.55803565126484422</v>
      </c>
      <c r="R59" s="60">
        <v>332.01758969344081</v>
      </c>
      <c r="S59" s="57">
        <v>1.6046562573069151E-6</v>
      </c>
      <c r="U59" s="127">
        <v>7.6773970617822263E-10</v>
      </c>
      <c r="V59" s="127">
        <v>9.5602048553388011E-10</v>
      </c>
      <c r="W59" s="128">
        <v>1.1398274121639945E-9</v>
      </c>
      <c r="X59" s="128">
        <f t="shared" si="0"/>
        <v>9.5490202235249441E-10</v>
      </c>
      <c r="Y59" s="139">
        <f t="shared" si="1"/>
        <v>9.7113772270449505</v>
      </c>
      <c r="AA59" s="73"/>
      <c r="AB59" s="183"/>
      <c r="AC59" s="183"/>
      <c r="AD59" s="183"/>
      <c r="AJ59" s="135"/>
    </row>
    <row r="60" spans="2:36" x14ac:dyDescent="0.35">
      <c r="B60" s="100"/>
      <c r="C60" s="100"/>
      <c r="D60" s="101"/>
      <c r="E60" s="101"/>
      <c r="F60" s="102"/>
      <c r="G60" s="102"/>
      <c r="H60" s="150"/>
      <c r="I60" s="109">
        <v>1.42850022548E-2</v>
      </c>
      <c r="J60" s="109">
        <v>1.1654631176648793E-9</v>
      </c>
      <c r="K60" s="109">
        <v>1.0752008468202925E-10</v>
      </c>
      <c r="L60" s="156">
        <v>1.0962015676896252E-9</v>
      </c>
      <c r="N60" s="18">
        <v>1.6614558455140053E-6</v>
      </c>
      <c r="O60" s="18">
        <v>1.5392483148537927E-10</v>
      </c>
      <c r="P60" s="18">
        <v>5.0509225500401457E-8</v>
      </c>
      <c r="Q60" s="28">
        <v>0.54866159745868937</v>
      </c>
      <c r="R60" s="60">
        <v>336.73132748027604</v>
      </c>
      <c r="S60" s="57">
        <v>1.6046562573069151E-6</v>
      </c>
      <c r="U60" s="127">
        <v>9.094614404022605E-10</v>
      </c>
      <c r="V60" s="127">
        <v>1.0962015676896252E-9</v>
      </c>
      <c r="W60" s="128">
        <v>1.2700539503966999E-9</v>
      </c>
      <c r="X60" s="128">
        <f t="shared" si="0"/>
        <v>1.0929796315445527E-9</v>
      </c>
      <c r="Y60" s="139">
        <f t="shared" si="1"/>
        <v>0.45446343838113479</v>
      </c>
      <c r="AA60" s="73"/>
      <c r="AB60" s="183"/>
      <c r="AC60" s="183"/>
      <c r="AD60" s="183"/>
      <c r="AJ60" s="135"/>
    </row>
    <row r="61" spans="2:36" x14ac:dyDescent="0.35">
      <c r="B61" s="185"/>
      <c r="C61" s="185"/>
      <c r="D61" s="185"/>
      <c r="E61" s="185"/>
      <c r="F61" s="185"/>
      <c r="G61" s="185"/>
      <c r="H61" s="185"/>
      <c r="I61" s="109">
        <v>1.44278522774E-2</v>
      </c>
      <c r="J61" s="109">
        <v>1.5738935825222303E-9</v>
      </c>
      <c r="K61" s="109">
        <v>1.247750554152639E-10</v>
      </c>
      <c r="L61" s="156">
        <v>1.2266002785430935E-9</v>
      </c>
      <c r="N61" s="18">
        <v>1.6658070367384392E-6</v>
      </c>
      <c r="O61" s="18">
        <v>1.5392462373247677E-10</v>
      </c>
      <c r="P61" s="18">
        <v>5.050914391620612E-8</v>
      </c>
      <c r="Q61" s="28">
        <v>0.22727272727272727</v>
      </c>
      <c r="R61" s="60">
        <v>336.73132748027604</v>
      </c>
      <c r="S61" s="57">
        <v>1.6046562573069151E-6</v>
      </c>
      <c r="U61" s="127">
        <v>1.0480822231191431E-9</v>
      </c>
      <c r="V61" s="127">
        <v>1.2266002785430935E-9</v>
      </c>
      <c r="W61" s="128">
        <v>1.3840147856258769E-9</v>
      </c>
      <c r="X61" s="128">
        <f t="shared" si="0"/>
        <v>1.2213243914578016E-9</v>
      </c>
      <c r="Y61" s="139">
        <f t="shared" si="1"/>
        <v>7.9842325089068948</v>
      </c>
      <c r="AA61" s="73"/>
      <c r="AB61" s="183"/>
      <c r="AC61" s="183"/>
      <c r="AD61" s="183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1.4572130800099999E-2</v>
      </c>
      <c r="J62" s="109">
        <v>1.621900598682649E-9</v>
      </c>
      <c r="K62" s="109">
        <v>1.2718224280733123E-10</v>
      </c>
      <c r="L62" s="156">
        <v>1.3425330562149509E-9</v>
      </c>
      <c r="N62" s="18">
        <v>1.6696347884568394E-6</v>
      </c>
      <c r="O62" s="18">
        <v>1.5392438425026633E-10</v>
      </c>
      <c r="P62" s="18">
        <v>5.0509049871967987E-8</v>
      </c>
      <c r="Q62" s="28">
        <v>0.45454545454545453</v>
      </c>
      <c r="R62" s="60">
        <v>340.8016662291131</v>
      </c>
      <c r="S62" s="57">
        <v>1.6046562573069151E-6</v>
      </c>
      <c r="U62" s="127">
        <v>1.1787132263641829E-9</v>
      </c>
      <c r="V62" s="127">
        <v>1.3425330562149509E-9</v>
      </c>
      <c r="W62" s="128">
        <v>1.4775003657386117E-9</v>
      </c>
      <c r="X62" s="128">
        <f t="shared" si="0"/>
        <v>1.335319926133174E-9</v>
      </c>
      <c r="Y62" s="139">
        <f t="shared" si="1"/>
        <v>5.0773936607173766</v>
      </c>
      <c r="AA62" s="73"/>
      <c r="AB62" s="183"/>
      <c r="AC62" s="183"/>
      <c r="AD62" s="183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1.4717852108099999E-2</v>
      </c>
      <c r="J63" s="109">
        <v>1.8889172379246971E-9</v>
      </c>
      <c r="K63" s="109">
        <v>1.3640475062541663E-10</v>
      </c>
      <c r="L63" s="156">
        <v>1.4398073178736486E-9</v>
      </c>
      <c r="N63" s="18">
        <v>1.674688351632675E-6</v>
      </c>
      <c r="O63" s="18">
        <v>1.5392363528405696E-10</v>
      </c>
      <c r="P63" s="18">
        <v>5.0508755754269556E-8</v>
      </c>
      <c r="Q63" s="28">
        <v>0.45454545454545453</v>
      </c>
      <c r="R63" s="60">
        <v>340.8016662291131</v>
      </c>
      <c r="S63" s="57">
        <v>1.6046562573069151E-6</v>
      </c>
      <c r="U63" s="127">
        <v>1.2967676757339674E-9</v>
      </c>
      <c r="V63" s="127">
        <v>1.4398073178736486E-9</v>
      </c>
      <c r="W63" s="128">
        <v>1.5469792204089904E-9</v>
      </c>
      <c r="X63" s="128">
        <f t="shared" si="0"/>
        <v>1.4308403829725637E-9</v>
      </c>
      <c r="Y63" s="139">
        <f t="shared" si="1"/>
        <v>11.277626467126305</v>
      </c>
      <c r="AA63" s="73"/>
      <c r="AB63" s="183"/>
      <c r="AC63" s="183"/>
      <c r="AD63" s="183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1.4865030629200001E-2</v>
      </c>
      <c r="J64" s="109">
        <v>1.7740305672908875E-9</v>
      </c>
      <c r="K64" s="109">
        <v>1.3126172130535031E-10</v>
      </c>
      <c r="L64" s="156">
        <v>1.5148295318867237E-9</v>
      </c>
      <c r="N64" s="18">
        <v>1.6796405725230574E-6</v>
      </c>
      <c r="O64" s="18">
        <v>1.5392176934880552E-10</v>
      </c>
      <c r="P64" s="18">
        <v>5.0508023004814749E-8</v>
      </c>
      <c r="Q64" s="28">
        <v>0.45454545454545453</v>
      </c>
      <c r="R64" s="60">
        <v>344.45822656231189</v>
      </c>
      <c r="S64" s="57">
        <v>1.6046562573069151E-6</v>
      </c>
      <c r="U64" s="127">
        <v>1.3980719903750419E-9</v>
      </c>
      <c r="V64" s="127">
        <v>1.5148295318867237E-9</v>
      </c>
      <c r="W64" s="128">
        <v>1.5897015055804332E-9</v>
      </c>
      <c r="X64" s="128">
        <f t="shared" si="0"/>
        <v>1.5043581399322305E-9</v>
      </c>
      <c r="Y64" s="139">
        <f t="shared" si="1"/>
        <v>4.2208206481478125</v>
      </c>
      <c r="AA64" s="73"/>
      <c r="AB64" s="183"/>
      <c r="AC64" s="183"/>
      <c r="AD64" s="183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1.50136809355E-2</v>
      </c>
      <c r="J65" s="109">
        <v>1.6831404599699709E-9</v>
      </c>
      <c r="K65" s="109">
        <v>9.3769592997403164E-11</v>
      </c>
      <c r="L65" s="156">
        <v>1.5647088190069225E-9</v>
      </c>
      <c r="N65" s="18">
        <v>1.6844559294332856E-6</v>
      </c>
      <c r="O65" s="18">
        <v>1.5391732796236246E-10</v>
      </c>
      <c r="P65" s="18">
        <v>5.0506278880257284E-8</v>
      </c>
      <c r="Q65" s="28">
        <v>0.45454545454545453</v>
      </c>
      <c r="R65" s="60">
        <v>344.45822656231189</v>
      </c>
      <c r="S65" s="57">
        <v>1.6046562573069151E-6</v>
      </c>
      <c r="U65" s="127">
        <v>1.4789728441193569E-9</v>
      </c>
      <c r="V65" s="127">
        <v>1.5647088190069225E-9</v>
      </c>
      <c r="W65" s="128">
        <v>1.6037962629865088E-9</v>
      </c>
      <c r="X65" s="128">
        <f t="shared" si="0"/>
        <v>1.5530466862799277E-9</v>
      </c>
      <c r="Y65" s="139">
        <f t="shared" si="1"/>
        <v>1.9248148533109581</v>
      </c>
      <c r="AA65" s="73"/>
      <c r="AB65" s="183"/>
      <c r="AC65" s="183"/>
      <c r="AD65" s="183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1.5163817744900001E-2</v>
      </c>
      <c r="J66" s="109">
        <v>1.8034130317595558E-9</v>
      </c>
      <c r="K66" s="109">
        <v>9.8060031507078628E-11</v>
      </c>
      <c r="L66" s="156">
        <v>1.5873549958177955E-9</v>
      </c>
      <c r="N66" s="18">
        <v>1.6891230225464175E-6</v>
      </c>
      <c r="O66" s="18">
        <v>1.5390722782781785E-10</v>
      </c>
      <c r="P66" s="18">
        <v>5.0502312575384026E-8</v>
      </c>
      <c r="Q66" s="28">
        <v>0.45454545454545453</v>
      </c>
      <c r="R66" s="60">
        <v>347.84054624183858</v>
      </c>
      <c r="S66" s="57">
        <v>1.6046562573069151E-6</v>
      </c>
      <c r="U66" s="127">
        <v>1.5364403785896626E-9</v>
      </c>
      <c r="V66" s="127">
        <v>1.5873549958177955E-9</v>
      </c>
      <c r="W66" s="128">
        <v>1.5883591109189299E-9</v>
      </c>
      <c r="X66" s="128">
        <f t="shared" si="0"/>
        <v>1.5748773702860458E-9</v>
      </c>
      <c r="Y66" s="139">
        <f t="shared" si="1"/>
        <v>5.431551478933911</v>
      </c>
      <c r="AA66" s="73"/>
      <c r="AB66" s="183"/>
      <c r="AC66" s="183"/>
      <c r="AD66" s="183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1.5315455922300001E-2</v>
      </c>
      <c r="J67" s="109">
        <v>1.9016496271586103E-9</v>
      </c>
      <c r="K67" s="109">
        <v>9.7594136693684524E-11</v>
      </c>
      <c r="L67" s="156">
        <v>1.5815683316096202E-9</v>
      </c>
      <c r="N67" s="18">
        <v>1.6936728781738011E-6</v>
      </c>
      <c r="O67" s="18">
        <v>1.5388528355918637E-10</v>
      </c>
      <c r="P67" s="18">
        <v>5.0493695100118872E-8</v>
      </c>
      <c r="Q67" s="28">
        <v>0.45454545454545453</v>
      </c>
      <c r="R67" s="60">
        <v>347.84054624183858</v>
      </c>
      <c r="S67" s="57">
        <v>1.6046562573069151E-6</v>
      </c>
      <c r="U67" s="127">
        <v>1.5681666737536946E-9</v>
      </c>
      <c r="V67" s="127">
        <v>1.5815683316096202E-9</v>
      </c>
      <c r="W67" s="128">
        <v>1.5435251442366375E-9</v>
      </c>
      <c r="X67" s="128">
        <f t="shared" ref="X67:X127" si="2">(U67+2*V67+W67)/4</f>
        <v>1.5687071203023933E-9</v>
      </c>
      <c r="Y67" s="139">
        <f t="shared" ref="Y67:Y127" si="3">(J67-X67)*(J67-X67)/(K67*K67)</f>
        <v>11.638339907161418</v>
      </c>
      <c r="AA67" s="73"/>
      <c r="AB67" s="183"/>
      <c r="AC67" s="183"/>
      <c r="AD67" s="183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1.54686104815E-2</v>
      </c>
      <c r="J68" s="109">
        <v>1.9453675446443587E-9</v>
      </c>
      <c r="K68" s="109">
        <v>9.8691855535882499E-11</v>
      </c>
      <c r="L68" s="156">
        <v>1.5471166026835909E-9</v>
      </c>
      <c r="N68" s="18">
        <v>1.6982083343074465E-6</v>
      </c>
      <c r="O68" s="18">
        <v>1.5383973244666914E-10</v>
      </c>
      <c r="P68" s="18">
        <v>5.0475807259242999E-8</v>
      </c>
      <c r="Q68" s="28">
        <v>0.45454545454545453</v>
      </c>
      <c r="R68" s="60">
        <v>351.04305717688283</v>
      </c>
      <c r="S68" s="57">
        <v>1.6046562573069151E-6</v>
      </c>
      <c r="U68" s="127">
        <v>1.5726572252030228E-9</v>
      </c>
      <c r="V68" s="127">
        <v>1.5471166026835909E-9</v>
      </c>
      <c r="W68" s="128">
        <v>1.4705201318065391E-9</v>
      </c>
      <c r="X68" s="128">
        <f t="shared" si="2"/>
        <v>1.5343526405941859E-9</v>
      </c>
      <c r="Y68" s="139">
        <f t="shared" si="3"/>
        <v>17.34412967942859</v>
      </c>
      <c r="AA68" s="73"/>
      <c r="AB68" s="183"/>
      <c r="AC68" s="183"/>
      <c r="AD68" s="183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1.56232965864E-2</v>
      </c>
      <c r="J69" s="109">
        <v>1.6027044572488685E-9</v>
      </c>
      <c r="K69" s="109">
        <v>8.7918807380532894E-11</v>
      </c>
      <c r="L69" s="156">
        <v>1.4847934874077996E-9</v>
      </c>
      <c r="N69" s="18">
        <v>1.7029486550938797E-6</v>
      </c>
      <c r="O69" s="18">
        <v>1.5374939678812531E-10</v>
      </c>
      <c r="P69" s="18">
        <v>5.0440332606788841E-8</v>
      </c>
      <c r="Q69" s="28">
        <v>0.45454545454545453</v>
      </c>
      <c r="R69" s="60">
        <v>351.04305717688283</v>
      </c>
      <c r="S69" s="57">
        <v>1.6046562573069151E-6</v>
      </c>
      <c r="U69" s="127">
        <v>1.5493117247514974E-9</v>
      </c>
      <c r="V69" s="127">
        <v>1.4847934874077996E-9</v>
      </c>
      <c r="W69" s="128">
        <v>1.3716819108813105E-9</v>
      </c>
      <c r="X69" s="128">
        <f t="shared" si="2"/>
        <v>1.4726451526121017E-9</v>
      </c>
      <c r="Y69" s="139">
        <f t="shared" si="3"/>
        <v>2.1883625750247133</v>
      </c>
      <c r="AA69" s="73"/>
      <c r="AB69" s="183"/>
      <c r="AC69" s="183"/>
      <c r="AD69" s="183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1.5779529552200001E-2</v>
      </c>
      <c r="J70" s="109">
        <v>1.5990870260132319E-9</v>
      </c>
      <c r="K70" s="109">
        <v>9.113607656586767E-11</v>
      </c>
      <c r="L70" s="156">
        <v>1.3964511654975572E-9</v>
      </c>
      <c r="N70" s="18">
        <v>1.7082921918558109E-6</v>
      </c>
      <c r="O70" s="18">
        <v>1.5357823763804676E-10</v>
      </c>
      <c r="P70" s="18">
        <v>5.0373118712948229E-8</v>
      </c>
      <c r="Q70" s="28">
        <v>0.45454545454545453</v>
      </c>
      <c r="R70" s="60">
        <v>354.13607070822621</v>
      </c>
      <c r="S70" s="57">
        <v>1.6046562573069151E-6</v>
      </c>
      <c r="U70" s="127">
        <v>1.4984890519846602E-9</v>
      </c>
      <c r="V70" s="127">
        <v>1.3964511654975572E-9</v>
      </c>
      <c r="W70" s="128">
        <v>1.2504434472834788E-9</v>
      </c>
      <c r="X70" s="128">
        <f t="shared" si="2"/>
        <v>1.3854587075658134E-9</v>
      </c>
      <c r="Y70" s="139">
        <f t="shared" si="3"/>
        <v>5.494611461133351</v>
      </c>
      <c r="AA70" s="73"/>
      <c r="AB70" s="183"/>
      <c r="AC70" s="183"/>
      <c r="AD70" s="183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1.59373248477E-2</v>
      </c>
      <c r="J71" s="109">
        <v>1.3121788260339159E-9</v>
      </c>
      <c r="K71" s="109">
        <v>1.1875089388393675E-10</v>
      </c>
      <c r="L71" s="156">
        <v>1.2849993902373998E-9</v>
      </c>
      <c r="N71" s="18">
        <v>1.71489584742656E-6</v>
      </c>
      <c r="O71" s="18">
        <v>1.5326841009825541E-10</v>
      </c>
      <c r="P71" s="18">
        <v>5.0251449989079967E-8</v>
      </c>
      <c r="Q71" s="28">
        <v>0.45454545454545453</v>
      </c>
      <c r="R71" s="60">
        <v>354.13607070822621</v>
      </c>
      <c r="S71" s="57">
        <v>1.6046562573069151E-6</v>
      </c>
      <c r="U71" s="127">
        <v>1.4215502351691037E-9</v>
      </c>
      <c r="V71" s="127">
        <v>1.2849993902373998E-9</v>
      </c>
      <c r="W71" s="128">
        <v>1.1112695937383533E-9</v>
      </c>
      <c r="X71" s="128">
        <f t="shared" si="2"/>
        <v>1.2757046523455642E-9</v>
      </c>
      <c r="Y71" s="139">
        <f t="shared" si="3"/>
        <v>9.4340277396477532E-2</v>
      </c>
      <c r="AA71" s="73"/>
      <c r="AB71" s="183"/>
      <c r="AC71" s="183"/>
      <c r="AD71" s="183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1.6096698096199999E-2</v>
      </c>
      <c r="J72" s="109">
        <v>1.495260083752022E-9</v>
      </c>
      <c r="K72" s="109">
        <v>1.3209369915103424E-10</v>
      </c>
      <c r="L72" s="156">
        <v>1.1543635152011318E-9</v>
      </c>
      <c r="N72" s="18">
        <v>1.7237625308375588E-6</v>
      </c>
      <c r="O72" s="18">
        <v>1.5273259210709308E-10</v>
      </c>
      <c r="P72" s="18">
        <v>5.0041035216867413E-8</v>
      </c>
      <c r="Q72" s="28">
        <v>0.45454545454545453</v>
      </c>
      <c r="R72" s="60">
        <v>357.17712685082523</v>
      </c>
      <c r="S72" s="57">
        <v>1.6046562573069151E-6</v>
      </c>
      <c r="U72" s="127">
        <v>1.3208724314171447E-9</v>
      </c>
      <c r="V72" s="127">
        <v>1.1543635152011318E-9</v>
      </c>
      <c r="W72" s="128">
        <v>9.5954131142962868E-10</v>
      </c>
      <c r="X72" s="128">
        <f t="shared" si="2"/>
        <v>1.1472851933122592E-9</v>
      </c>
      <c r="Y72" s="139">
        <f t="shared" si="3"/>
        <v>6.9395547880503585</v>
      </c>
      <c r="AA72" s="73"/>
      <c r="AB72" s="183"/>
      <c r="AC72" s="183"/>
      <c r="AD72" s="183"/>
      <c r="AJ72" s="135"/>
    </row>
    <row r="73" spans="2:36" x14ac:dyDescent="0.35">
      <c r="B73" s="103"/>
      <c r="C73" s="104"/>
      <c r="D73" s="104"/>
      <c r="E73" s="104"/>
      <c r="F73" s="104"/>
      <c r="G73" s="104"/>
      <c r="H73" s="150"/>
      <c r="I73" s="109">
        <v>1.6257665077200001E-2</v>
      </c>
      <c r="J73" s="109">
        <v>1.0378837020871548E-9</v>
      </c>
      <c r="K73" s="109">
        <v>1.0223669999772344E-10</v>
      </c>
      <c r="L73" s="156">
        <v>1.0093951411400033E-9</v>
      </c>
      <c r="N73" s="18">
        <v>1.7363170998646439E-6</v>
      </c>
      <c r="O73" s="18">
        <v>1.5184729200633146E-10</v>
      </c>
      <c r="P73" s="18">
        <v>4.9693379441746038E-8</v>
      </c>
      <c r="Q73" s="28">
        <v>0.45454545454545453</v>
      </c>
      <c r="R73" s="60">
        <v>357.17712685082523</v>
      </c>
      <c r="S73" s="57">
        <v>1.6046562573069151E-6</v>
      </c>
      <c r="U73" s="127">
        <v>1.1998268983076247E-9</v>
      </c>
      <c r="V73" s="127">
        <v>1.0093951411400033E-9</v>
      </c>
      <c r="W73" s="128">
        <v>8.0138406036533535E-10</v>
      </c>
      <c r="X73" s="128">
        <f t="shared" si="2"/>
        <v>1.0050003102382417E-9</v>
      </c>
      <c r="Y73" s="139">
        <f t="shared" si="3"/>
        <v>0.10345216162978223</v>
      </c>
      <c r="AA73" s="73"/>
      <c r="AB73" s="183"/>
      <c r="AC73" s="183"/>
      <c r="AD73" s="183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1.6420241727999999E-2</v>
      </c>
      <c r="J74" s="109">
        <v>1.1076898463436515E-9</v>
      </c>
      <c r="K74" s="109">
        <v>1.0711376594844284E-10</v>
      </c>
      <c r="L74" s="156">
        <v>8.5573129958089126E-10</v>
      </c>
      <c r="N74" s="18">
        <v>1.7544398916111714E-6</v>
      </c>
      <c r="O74" s="18">
        <v>1.5044983463714939E-10</v>
      </c>
      <c r="P74" s="18">
        <v>4.9144600418153815E-8</v>
      </c>
      <c r="Q74" s="28">
        <v>0.45454545454545453</v>
      </c>
      <c r="R74" s="60">
        <v>360.21818299342425</v>
      </c>
      <c r="S74" s="57">
        <v>1.6046562573069151E-6</v>
      </c>
      <c r="U74" s="127">
        <v>1.0627146562287496E-9</v>
      </c>
      <c r="V74" s="127">
        <v>8.5573129958089126E-10</v>
      </c>
      <c r="W74" s="128">
        <v>6.4344111087993311E-10</v>
      </c>
      <c r="X74" s="128">
        <f t="shared" si="2"/>
        <v>8.5440459156761628E-10</v>
      </c>
      <c r="Y74" s="139">
        <f t="shared" si="3"/>
        <v>5.5915117006320649</v>
      </c>
      <c r="AA74" s="73"/>
      <c r="AB74" s="183"/>
      <c r="AC74" s="183"/>
      <c r="AD74" s="183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1.6584444145200002E-2</v>
      </c>
      <c r="J75" s="109">
        <v>9.0634999468956569E-10</v>
      </c>
      <c r="K75" s="109">
        <v>9.8903915308806201E-11</v>
      </c>
      <c r="L75" s="156">
        <v>6.996013617310601E-10</v>
      </c>
      <c r="N75" s="18">
        <v>1.7804195814472903E-6</v>
      </c>
      <c r="O75" s="18">
        <v>1.4834236768904425E-10</v>
      </c>
      <c r="P75" s="18">
        <v>4.8317001895623606E-8</v>
      </c>
      <c r="Q75" s="28">
        <v>0.45454545454545453</v>
      </c>
      <c r="R75" s="60">
        <v>360.21818299342425</v>
      </c>
      <c r="S75" s="57">
        <v>1.6046562573069151E-6</v>
      </c>
      <c r="U75" s="127">
        <v>9.1465518114329963E-10</v>
      </c>
      <c r="V75" s="127">
        <v>6.996013617310601E-10</v>
      </c>
      <c r="W75" s="128">
        <v>4.925973676330872E-10</v>
      </c>
      <c r="X75" s="128">
        <f t="shared" si="2"/>
        <v>7.0161381805962668E-10</v>
      </c>
      <c r="Y75" s="139">
        <f t="shared" si="3"/>
        <v>4.2851123080220965</v>
      </c>
      <c r="AA75" s="73"/>
      <c r="AB75" s="183"/>
      <c r="AC75" s="183"/>
      <c r="AD75" s="183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1.67502885867E-2</v>
      </c>
      <c r="J76" s="109">
        <v>6.2090835150778872E-10</v>
      </c>
      <c r="K76" s="109">
        <v>8.2081955999498025E-11</v>
      </c>
      <c r="L76" s="156">
        <v>5.475849572867337E-10</v>
      </c>
      <c r="N76" s="18">
        <v>1.8167899573124624E-6</v>
      </c>
      <c r="O76" s="18">
        <v>1.4530598180669824E-10</v>
      </c>
      <c r="P76" s="18">
        <v>4.7124618559637941E-8</v>
      </c>
      <c r="Q76" s="28">
        <v>0.45454545454545453</v>
      </c>
      <c r="R76" s="60">
        <v>363.31119652476764</v>
      </c>
      <c r="S76" s="57">
        <v>1.6046562573069151E-6</v>
      </c>
      <c r="U76" s="127">
        <v>7.6142603565656308E-10</v>
      </c>
      <c r="V76" s="127">
        <v>5.475849572867337E-10</v>
      </c>
      <c r="W76" s="128">
        <v>3.5566444078769372E-10</v>
      </c>
      <c r="X76" s="128">
        <f t="shared" si="2"/>
        <v>5.530650977544311E-10</v>
      </c>
      <c r="Y76" s="139">
        <f t="shared" si="3"/>
        <v>0.68315294172783592</v>
      </c>
      <c r="AA76" s="73"/>
      <c r="AB76" s="183"/>
      <c r="AC76" s="183"/>
      <c r="AD76" s="183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1.6917791472599999E-2</v>
      </c>
      <c r="J77" s="109">
        <v>5.9943503048696199E-10</v>
      </c>
      <c r="K77" s="109">
        <v>8.5233717679480179E-11</v>
      </c>
      <c r="L77" s="156">
        <v>4.0683868744502641E-10</v>
      </c>
      <c r="N77" s="18">
        <v>1.8660333945018442E-6</v>
      </c>
      <c r="O77" s="18">
        <v>1.4112645118160966E-10</v>
      </c>
      <c r="P77" s="18">
        <v>4.5483324316184636E-8</v>
      </c>
      <c r="Q77" s="28">
        <v>0.45454545454545453</v>
      </c>
      <c r="R77" s="60">
        <v>363.31119652476764</v>
      </c>
      <c r="S77" s="57">
        <v>1.6046562573069151E-6</v>
      </c>
      <c r="U77" s="127">
        <v>6.0996064368514049E-10</v>
      </c>
      <c r="V77" s="127">
        <v>4.0683868744502641E-10</v>
      </c>
      <c r="W77" s="128">
        <v>2.3931520960557027E-10</v>
      </c>
      <c r="X77" s="128">
        <f t="shared" si="2"/>
        <v>4.1573830704519088E-10</v>
      </c>
      <c r="Y77" s="139">
        <f t="shared" si="3"/>
        <v>4.6449383752549434</v>
      </c>
      <c r="AA77" s="73"/>
      <c r="AB77" s="183"/>
      <c r="AC77" s="183"/>
      <c r="AD77" s="183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1.7086969387300002E-2</v>
      </c>
      <c r="J78" s="109">
        <v>4.0295629558611905E-10</v>
      </c>
      <c r="K78" s="109">
        <v>6.7332260787575503E-11</v>
      </c>
      <c r="L78" s="156">
        <v>2.8641994328546096E-10</v>
      </c>
      <c r="N78" s="18">
        <v>1.9301680527670717E-6</v>
      </c>
      <c r="O78" s="18">
        <v>1.3563011623289256E-10</v>
      </c>
      <c r="P78" s="18">
        <v>4.3324923356691892E-8</v>
      </c>
      <c r="Q78" s="28">
        <v>0.45454545454545453</v>
      </c>
      <c r="R78" s="60">
        <v>366.51370745981188</v>
      </c>
      <c r="S78" s="57">
        <v>1.6046562573069151E-6</v>
      </c>
      <c r="U78" s="127">
        <v>4.7084612601143922E-10</v>
      </c>
      <c r="V78" s="127">
        <v>2.8641994328546096E-10</v>
      </c>
      <c r="W78" s="128">
        <v>1.5013443126148679E-10</v>
      </c>
      <c r="X78" s="128">
        <f t="shared" si="2"/>
        <v>2.9845511096096193E-10</v>
      </c>
      <c r="Y78" s="139">
        <f t="shared" si="3"/>
        <v>2.4087738823180436</v>
      </c>
      <c r="AA78" s="73"/>
      <c r="AB78" s="183"/>
      <c r="AC78" s="183"/>
      <c r="AD78" s="183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1.7257839081199999E-2</v>
      </c>
      <c r="J79" s="109">
        <v>2.4338003823886507E-10</v>
      </c>
      <c r="K79" s="109">
        <v>5.9040823538376771E-11</v>
      </c>
      <c r="L79" s="156">
        <v>1.9726128277683817E-10</v>
      </c>
      <c r="N79" s="18">
        <v>2.0102795067473101E-6</v>
      </c>
      <c r="O79" s="18">
        <v>1.2872462070995875E-10</v>
      </c>
      <c r="P79" s="18">
        <v>4.0613147545803174E-8</v>
      </c>
      <c r="Q79" s="28">
        <v>0.45454545454545453</v>
      </c>
      <c r="R79" s="60">
        <v>366.51370745981188</v>
      </c>
      <c r="S79" s="57">
        <v>1.6046562573069151E-6</v>
      </c>
      <c r="U79" s="127">
        <v>3.6035514443229056E-10</v>
      </c>
      <c r="V79" s="127">
        <v>1.9726128277683817E-10</v>
      </c>
      <c r="W79" s="128">
        <v>9.2579351665087526E-11</v>
      </c>
      <c r="X79" s="128">
        <f t="shared" si="2"/>
        <v>2.118642654127636E-10</v>
      </c>
      <c r="Y79" s="139">
        <f t="shared" si="3"/>
        <v>0.28493848396926752</v>
      </c>
      <c r="AA79" s="73"/>
      <c r="AB79" s="183"/>
      <c r="AC79" s="183"/>
      <c r="AD79" s="183"/>
      <c r="AJ79" s="135"/>
    </row>
    <row r="80" spans="2:36" x14ac:dyDescent="0.35">
      <c r="I80" s="109">
        <v>1.7430417472000002E-2</v>
      </c>
      <c r="J80" s="109">
        <v>1.7668960345062918E-10</v>
      </c>
      <c r="K80" s="109">
        <v>5.195475909450658E-11</v>
      </c>
      <c r="L80" s="156">
        <v>1.4158650378843845E-10</v>
      </c>
      <c r="N80" s="18">
        <v>2.1060967167652985E-6</v>
      </c>
      <c r="O80" s="18">
        <v>1.2043579780249245E-10</v>
      </c>
      <c r="P80" s="18">
        <v>3.7358141531164883E-8</v>
      </c>
      <c r="Q80" s="28">
        <v>0.45454545454545453</v>
      </c>
      <c r="R80" s="60">
        <v>369.89602713933857</v>
      </c>
      <c r="S80" s="57">
        <v>1.6046562573069151E-6</v>
      </c>
      <c r="U80" s="127">
        <v>2.8446395371197764E-10</v>
      </c>
      <c r="V80" s="127">
        <v>1.4158650378843845E-10</v>
      </c>
      <c r="W80" s="128">
        <v>6.4691598408883897E-11</v>
      </c>
      <c r="X80" s="128">
        <f t="shared" si="2"/>
        <v>1.580821399244346E-10</v>
      </c>
      <c r="Y80" s="139">
        <f t="shared" si="3"/>
        <v>0.1282695827216988</v>
      </c>
      <c r="AA80" s="73"/>
      <c r="AB80" s="183"/>
      <c r="AC80" s="183"/>
      <c r="AD80" s="183"/>
      <c r="AJ80" s="135"/>
    </row>
    <row r="81" spans="2:36" x14ac:dyDescent="0.35">
      <c r="I81" s="109">
        <v>1.7958576551799998E-2</v>
      </c>
      <c r="J81" s="109">
        <v>1.6263458936275565E-10</v>
      </c>
      <c r="K81" s="109">
        <v>5.0533747386799713E-11</v>
      </c>
      <c r="L81" s="156">
        <v>1.101824559575362E-10</v>
      </c>
      <c r="N81" s="18">
        <v>2.2157296560062247E-6</v>
      </c>
      <c r="O81" s="18">
        <v>1.1093048112340735E-10</v>
      </c>
      <c r="P81" s="18">
        <v>3.3625420575865659E-8</v>
      </c>
      <c r="Q81" s="28">
        <v>0.45454545454545453</v>
      </c>
      <c r="R81" s="60">
        <v>369.89602713933857</v>
      </c>
      <c r="S81" s="57">
        <v>1.6046562573069151E-6</v>
      </c>
      <c r="U81" s="127">
        <v>4.8086681607646408E-11</v>
      </c>
      <c r="V81" s="127">
        <v>1.101824559575362E-10</v>
      </c>
      <c r="W81" s="128">
        <v>2.4353571364788412E-10</v>
      </c>
      <c r="X81" s="128">
        <f t="shared" si="2"/>
        <v>1.2799682679265072E-10</v>
      </c>
      <c r="Y81" s="139">
        <f t="shared" si="3"/>
        <v>0.46982557273469727</v>
      </c>
      <c r="AA81" s="73"/>
      <c r="AB81" s="183"/>
      <c r="AC81" s="183"/>
      <c r="AD81" s="183"/>
      <c r="AJ81" s="135"/>
    </row>
    <row r="82" spans="2:36" x14ac:dyDescent="0.35">
      <c r="I82" s="109">
        <v>1.8138162317300002E-2</v>
      </c>
      <c r="J82" s="109">
        <v>2.8919100768847409E-10</v>
      </c>
      <c r="K82" s="109">
        <v>6.1092028864317416E-11</v>
      </c>
      <c r="L82" s="156">
        <v>1.6058723273213825E-10</v>
      </c>
      <c r="N82" s="18">
        <v>2.3356682978451038E-6</v>
      </c>
      <c r="O82" s="18">
        <v>1.0051655036892841E-10</v>
      </c>
      <c r="P82" s="18">
        <v>2.9535888489069367E-8</v>
      </c>
      <c r="Q82" s="28">
        <v>0.45454545454545453</v>
      </c>
      <c r="R82" s="60">
        <v>373.55258747253737</v>
      </c>
      <c r="S82" s="57">
        <v>1.6046562573069151E-6</v>
      </c>
      <c r="U82" s="127">
        <v>6.4782581316112039E-11</v>
      </c>
      <c r="V82" s="127">
        <v>1.6058723273213825E-10</v>
      </c>
      <c r="W82" s="128">
        <v>3.2378402398871911E-10</v>
      </c>
      <c r="X82" s="128">
        <f t="shared" si="2"/>
        <v>1.7743526769227691E-10</v>
      </c>
      <c r="Y82" s="139">
        <f t="shared" si="3"/>
        <v>3.3463439753066404</v>
      </c>
      <c r="AA82" s="73"/>
      <c r="AB82" s="183"/>
      <c r="AC82" s="183"/>
      <c r="AD82" s="183"/>
      <c r="AJ82" s="135"/>
    </row>
    <row r="83" spans="2:36" x14ac:dyDescent="0.35">
      <c r="I83" s="109">
        <v>1.8319543940500001E-2</v>
      </c>
      <c r="J83" s="109">
        <v>3.4314347676819905E-10</v>
      </c>
      <c r="K83" s="109">
        <v>6.7770965043617218E-11</v>
      </c>
      <c r="L83" s="156">
        <v>2.4395959293756582E-10</v>
      </c>
      <c r="N83" s="18">
        <v>2.4295176589392118E-6</v>
      </c>
      <c r="O83" s="18">
        <v>9.2360844852852474E-11</v>
      </c>
      <c r="P83" s="18">
        <v>2.6333157437289582E-8</v>
      </c>
      <c r="Q83" s="28">
        <v>0.22727272727272727</v>
      </c>
      <c r="R83" s="60">
        <v>373.55258747253737</v>
      </c>
      <c r="S83" s="57">
        <v>1.6046562573069151E-6</v>
      </c>
      <c r="U83" s="127">
        <v>1.0924552358388427E-10</v>
      </c>
      <c r="V83" s="127">
        <v>2.4395959293756582E-10</v>
      </c>
      <c r="W83" s="128">
        <v>4.3779345057236034E-10</v>
      </c>
      <c r="X83" s="128">
        <f t="shared" si="2"/>
        <v>2.5873954000784405E-10</v>
      </c>
      <c r="Y83" s="139">
        <f t="shared" si="3"/>
        <v>1.5510938180743585</v>
      </c>
      <c r="AA83" s="73"/>
      <c r="AB83" s="183"/>
      <c r="AC83" s="183"/>
      <c r="AD83" s="183"/>
      <c r="AJ83" s="135"/>
    </row>
    <row r="84" spans="2:36" x14ac:dyDescent="0.35">
      <c r="I84" s="109">
        <v>1.8502739379900001E-2</v>
      </c>
      <c r="J84" s="109">
        <v>4.599451079407446E-10</v>
      </c>
      <c r="K84" s="109">
        <v>7.3417715155432054E-11</v>
      </c>
      <c r="L84" s="156">
        <v>3.5984876832883455E-10</v>
      </c>
      <c r="N84" s="18">
        <v>2.5000403822831728E-6</v>
      </c>
      <c r="O84" s="18">
        <v>8.6317846783659503E-11</v>
      </c>
      <c r="P84" s="18">
        <v>2.3960082842590184E-8</v>
      </c>
      <c r="Q84" s="28">
        <v>0.27433079872934468</v>
      </c>
      <c r="R84" s="60">
        <v>377.62292622137443</v>
      </c>
      <c r="S84" s="57">
        <v>1.6046562573069151E-6</v>
      </c>
      <c r="U84" s="127">
        <v>1.8424145355466695E-10</v>
      </c>
      <c r="V84" s="127">
        <v>3.5984876832883455E-10</v>
      </c>
      <c r="W84" s="128">
        <v>5.8170000037176585E-10</v>
      </c>
      <c r="X84" s="128">
        <f t="shared" si="2"/>
        <v>3.7140974764602548E-10</v>
      </c>
      <c r="Y84" s="139">
        <f t="shared" si="3"/>
        <v>1.4542256103129365</v>
      </c>
      <c r="AA84" s="73"/>
      <c r="AB84" s="183"/>
      <c r="AC84" s="183"/>
      <c r="AD84" s="183"/>
      <c r="AJ84" s="135"/>
    </row>
    <row r="85" spans="2:36" x14ac:dyDescent="0.35">
      <c r="I85" s="109">
        <v>1.8687766773700001E-2</v>
      </c>
      <c r="J85" s="109">
        <v>6.1103490262279587E-10</v>
      </c>
      <c r="K85" s="109">
        <v>8.5206972018206005E-11</v>
      </c>
      <c r="L85" s="156">
        <v>4.994789589111154E-10</v>
      </c>
      <c r="N85" s="18">
        <v>2.5757225525322249E-6</v>
      </c>
      <c r="O85" s="18">
        <v>7.9721203172187416E-11</v>
      </c>
      <c r="P85" s="18">
        <v>2.1369592628059781E-8</v>
      </c>
      <c r="Q85" s="28">
        <v>0.27901782563242211</v>
      </c>
      <c r="R85" s="60">
        <v>377.62292622137443</v>
      </c>
      <c r="S85" s="57">
        <v>1.6046562573069151E-6</v>
      </c>
      <c r="U85" s="127">
        <v>2.8851501788524778E-10</v>
      </c>
      <c r="V85" s="127">
        <v>4.994789589111154E-10</v>
      </c>
      <c r="W85" s="128">
        <v>7.4021627618656692E-10</v>
      </c>
      <c r="X85" s="128">
        <f t="shared" si="2"/>
        <v>5.0692230297351139E-10</v>
      </c>
      <c r="Y85" s="139">
        <f t="shared" si="3"/>
        <v>1.4929880005875471</v>
      </c>
      <c r="AA85" s="73"/>
      <c r="AB85" s="183"/>
      <c r="AC85" s="183"/>
      <c r="AD85" s="183"/>
      <c r="AJ85" s="135"/>
    </row>
    <row r="86" spans="2:36" x14ac:dyDescent="0.35">
      <c r="I86" s="109">
        <v>1.8874644441399999E-2</v>
      </c>
      <c r="J86" s="109">
        <v>9.231984569694026E-10</v>
      </c>
      <c r="K86" s="109">
        <v>1.0040349430588253E-10</v>
      </c>
      <c r="L86" s="156">
        <v>6.536248496878405E-10</v>
      </c>
      <c r="N86" s="18">
        <v>2.6513899201141974E-6</v>
      </c>
      <c r="O86" s="18">
        <v>7.3125849797489764E-11</v>
      </c>
      <c r="P86" s="18">
        <v>1.8779609087216092E-8</v>
      </c>
      <c r="Q86" s="28">
        <v>0.28889548286974742</v>
      </c>
      <c r="R86" s="60">
        <v>382.33666400820965</v>
      </c>
      <c r="S86" s="57">
        <v>1.6046562573069151E-6</v>
      </c>
      <c r="U86" s="127">
        <v>4.1702127883700907E-10</v>
      </c>
      <c r="V86" s="127">
        <v>6.536248496878405E-10</v>
      </c>
      <c r="W86" s="128">
        <v>9.0098523232634596E-10</v>
      </c>
      <c r="X86" s="128">
        <f t="shared" si="2"/>
        <v>6.5631405263475898E-10</v>
      </c>
      <c r="Y86" s="139">
        <f t="shared" si="3"/>
        <v>7.0655949478289486</v>
      </c>
      <c r="AA86" s="73"/>
      <c r="AB86" s="183"/>
      <c r="AC86" s="183"/>
      <c r="AD86" s="183"/>
      <c r="AJ86" s="135"/>
    </row>
    <row r="87" spans="2:36" x14ac:dyDescent="0.35">
      <c r="I87" s="109">
        <v>1.9063390885799999E-2</v>
      </c>
      <c r="J87" s="109">
        <v>8.9451062369129774E-10</v>
      </c>
      <c r="K87" s="109">
        <v>9.8843428622984829E-11</v>
      </c>
      <c r="L87" s="156">
        <v>8.1374712771207596E-10</v>
      </c>
      <c r="N87" s="18">
        <v>2.7269931385250332E-6</v>
      </c>
      <c r="O87" s="18">
        <v>6.6536087821909837E-11</v>
      </c>
      <c r="P87" s="18">
        <v>1.619182127886201E-8</v>
      </c>
      <c r="Q87" s="28">
        <v>0.30511585966628851</v>
      </c>
      <c r="R87" s="60">
        <v>382.33666400820965</v>
      </c>
      <c r="S87" s="57">
        <v>1.6046562573069151E-6</v>
      </c>
      <c r="U87" s="127">
        <v>5.6332976603956455E-10</v>
      </c>
      <c r="V87" s="127">
        <v>8.1374712771207596E-10</v>
      </c>
      <c r="W87" s="128">
        <v>1.054341537098806E-9</v>
      </c>
      <c r="X87" s="128">
        <f t="shared" si="2"/>
        <v>8.1129138964063064E-10</v>
      </c>
      <c r="Y87" s="139">
        <f t="shared" si="3"/>
        <v>0.70884588963998152</v>
      </c>
      <c r="AA87" s="73"/>
      <c r="AB87" s="183"/>
      <c r="AC87" s="183"/>
      <c r="AD87" s="183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1.9254024794699998E-2</v>
      </c>
      <c r="J88" s="109">
        <v>1.2090621843372344E-9</v>
      </c>
      <c r="K88" s="109">
        <v>1.1374989147910913E-10</v>
      </c>
      <c r="L88" s="156">
        <v>9.7132458183358898E-10</v>
      </c>
      <c r="N88" s="18">
        <v>2.802411166912967E-6</v>
      </c>
      <c r="O88" s="18">
        <v>5.9962467463007486E-11</v>
      </c>
      <c r="P88" s="18">
        <v>1.3610372254670404E-8</v>
      </c>
      <c r="Q88" s="28">
        <v>0.32985484968757195</v>
      </c>
      <c r="R88" s="60">
        <v>388.12901726875305</v>
      </c>
      <c r="S88" s="57">
        <v>1.6046562573069151E-6</v>
      </c>
      <c r="U88" s="127">
        <v>7.2013877168880571E-10</v>
      </c>
      <c r="V88" s="127">
        <v>9.7132458183358898E-10</v>
      </c>
      <c r="W88" s="128">
        <v>1.1915864267099437E-9</v>
      </c>
      <c r="X88" s="128">
        <f t="shared" si="2"/>
        <v>9.635935905164819E-10</v>
      </c>
      <c r="Y88" s="139">
        <f t="shared" si="3"/>
        <v>4.6568246750729569</v>
      </c>
      <c r="AA88" s="73"/>
      <c r="AB88" s="183"/>
      <c r="AC88" s="183"/>
      <c r="AD88" s="183"/>
      <c r="AJ88" s="135"/>
    </row>
    <row r="89" spans="2:36" x14ac:dyDescent="0.35">
      <c r="I89" s="109">
        <v>1.9446565042599999E-2</v>
      </c>
      <c r="J89" s="109">
        <v>1.4906226318241559E-9</v>
      </c>
      <c r="K89" s="109">
        <v>1.2824924304618551E-10</v>
      </c>
      <c r="L89" s="156">
        <v>1.117711987991907E-9</v>
      </c>
      <c r="N89" s="18">
        <v>2.8773923806993435E-6</v>
      </c>
      <c r="O89" s="18">
        <v>5.3426920936307296E-11</v>
      </c>
      <c r="P89" s="18">
        <v>1.1043874756672797E-8</v>
      </c>
      <c r="Q89" s="28">
        <v>0.36718140925644527</v>
      </c>
      <c r="R89" s="60">
        <v>388.12901726875305</v>
      </c>
      <c r="S89" s="57">
        <v>1.6046562573069151E-6</v>
      </c>
      <c r="U89" s="127">
        <v>8.7938660173440786E-10</v>
      </c>
      <c r="V89" s="127">
        <v>1.117711987991907E-9</v>
      </c>
      <c r="W89" s="128">
        <v>1.3046316064353144E-9</v>
      </c>
      <c r="X89" s="128">
        <f t="shared" si="2"/>
        <v>1.1048605460383841E-9</v>
      </c>
      <c r="Y89" s="139">
        <f t="shared" si="3"/>
        <v>9.0475181182306255</v>
      </c>
      <c r="AA89" s="73"/>
      <c r="AB89" s="183"/>
      <c r="AC89" s="183"/>
      <c r="AD89" s="183"/>
      <c r="AJ89" s="135"/>
    </row>
    <row r="90" spans="2:36" x14ac:dyDescent="0.35">
      <c r="I90" s="109">
        <v>1.9641030693100001E-2</v>
      </c>
      <c r="J90" s="109">
        <v>1.516229010494253E-9</v>
      </c>
      <c r="K90" s="109">
        <v>1.3061130466292847E-10</v>
      </c>
      <c r="L90" s="156">
        <v>1.2445897106580403E-9</v>
      </c>
      <c r="N90" s="18">
        <v>2.9514457649592163E-6</v>
      </c>
      <c r="O90" s="18">
        <v>4.69722463071545E-11</v>
      </c>
      <c r="P90" s="18">
        <v>8.5091355090167258E-9</v>
      </c>
      <c r="Q90" s="28">
        <v>0.42522182801861985</v>
      </c>
      <c r="R90" s="60">
        <v>396.0348443885876</v>
      </c>
      <c r="S90" s="57">
        <v>1.6046562573069151E-6</v>
      </c>
      <c r="U90" s="127">
        <v>1.0326332294427593E-9</v>
      </c>
      <c r="V90" s="127">
        <v>1.2445897106580403E-9</v>
      </c>
      <c r="W90" s="128">
        <v>1.3864676063545395E-9</v>
      </c>
      <c r="X90" s="128">
        <f t="shared" si="2"/>
        <v>1.2270700642783448E-9</v>
      </c>
      <c r="Y90" s="139">
        <f t="shared" si="3"/>
        <v>4.9013050313709048</v>
      </c>
      <c r="AA90" s="73"/>
      <c r="AB90" s="183"/>
      <c r="AC90" s="183"/>
      <c r="AD90" s="183"/>
      <c r="AJ90" s="135"/>
    </row>
    <row r="91" spans="2:36" x14ac:dyDescent="0.35">
      <c r="I91" s="109">
        <v>1.9837441000000001E-2</v>
      </c>
      <c r="J91" s="109">
        <v>1.344791375098905E-9</v>
      </c>
      <c r="K91" s="109">
        <v>1.2153348211812235E-10</v>
      </c>
      <c r="L91" s="156">
        <v>1.3444229402302553E-9</v>
      </c>
      <c r="N91" s="18">
        <v>3.0236206968941626E-6</v>
      </c>
      <c r="O91" s="18">
        <v>4.0681302190590146E-11</v>
      </c>
      <c r="P91" s="18">
        <v>6.038692942470242E-9</v>
      </c>
      <c r="Q91" s="28">
        <v>0.52252270986663085</v>
      </c>
      <c r="R91" s="60">
        <v>396.0348443885876</v>
      </c>
      <c r="S91" s="57">
        <v>1.6046562573069151E-6</v>
      </c>
      <c r="U91" s="127">
        <v>1.1714804683792006E-9</v>
      </c>
      <c r="V91" s="127">
        <v>1.3444229402302553E-9</v>
      </c>
      <c r="W91" s="128">
        <v>1.4316071980290297E-9</v>
      </c>
      <c r="X91" s="128">
        <f t="shared" si="2"/>
        <v>1.3229833867171852E-9</v>
      </c>
      <c r="Y91" s="139">
        <f t="shared" si="3"/>
        <v>3.2198773693487164E-2</v>
      </c>
      <c r="AA91" s="73"/>
      <c r="AB91" s="183"/>
      <c r="AC91" s="183"/>
      <c r="AD91" s="183"/>
      <c r="AJ91" s="135"/>
    </row>
    <row r="92" spans="2:36" x14ac:dyDescent="0.35">
      <c r="I92" s="109">
        <v>2.0035815410000001E-2</v>
      </c>
      <c r="J92" s="109">
        <v>1.6714527380159993E-9</v>
      </c>
      <c r="K92" s="109">
        <v>1.4019413080809435E-10</v>
      </c>
      <c r="L92" s="156">
        <v>1.4109104208342642E-9</v>
      </c>
      <c r="N92" s="18">
        <v>3.0920102541720052E-6</v>
      </c>
      <c r="O92" s="18">
        <v>3.4720300614873111E-11</v>
      </c>
      <c r="P92" s="18">
        <v>3.6978182249334949E-9</v>
      </c>
      <c r="Q92" s="28">
        <v>0.71317718802348939</v>
      </c>
      <c r="R92" s="60">
        <v>410.24172068463008</v>
      </c>
      <c r="S92" s="57">
        <v>1.6046562573069151E-6</v>
      </c>
      <c r="U92" s="127">
        <v>1.2880140320485727E-9</v>
      </c>
      <c r="V92" s="127">
        <v>1.4109104208342642E-9</v>
      </c>
      <c r="W92" s="128">
        <v>1.4364802258624568E-9</v>
      </c>
      <c r="X92" s="128">
        <f t="shared" si="2"/>
        <v>1.3865787748948893E-9</v>
      </c>
      <c r="Y92" s="139">
        <f t="shared" si="3"/>
        <v>4.1290091962028734</v>
      </c>
      <c r="AA92" s="73"/>
      <c r="AB92" s="183"/>
      <c r="AC92" s="183"/>
      <c r="AD92" s="183"/>
      <c r="AJ92" s="135"/>
    </row>
    <row r="93" spans="2:36" x14ac:dyDescent="0.35">
      <c r="I93" s="109">
        <v>2.0236173564099999E-2</v>
      </c>
      <c r="J93" s="109">
        <v>1.601748511984057E-9</v>
      </c>
      <c r="K93" s="109">
        <v>1.3484308436297026E-10</v>
      </c>
      <c r="L93" s="156">
        <v>1.4394006080215298E-9</v>
      </c>
      <c r="N93" s="18">
        <v>3.1524489597356358E-6</v>
      </c>
      <c r="O93" s="18">
        <v>2.9452314778447387E-11</v>
      </c>
      <c r="P93" s="18">
        <v>1.6290895557337576E-9</v>
      </c>
      <c r="Q93" s="28">
        <v>1.281588875373888</v>
      </c>
      <c r="R93" s="60">
        <v>410.24172068463008</v>
      </c>
      <c r="S93" s="57">
        <v>1.6046562573069151E-6</v>
      </c>
      <c r="U93" s="127">
        <v>1.3752490089798232E-9</v>
      </c>
      <c r="V93" s="127">
        <v>1.4394006080215298E-9</v>
      </c>
      <c r="W93" s="128">
        <v>1.3997543913399507E-9</v>
      </c>
      <c r="X93" s="128">
        <f t="shared" si="2"/>
        <v>1.4134511540907083E-9</v>
      </c>
      <c r="Y93" s="139">
        <f t="shared" si="3"/>
        <v>1.949984218951603</v>
      </c>
      <c r="AA93" s="73"/>
      <c r="AB93" s="183"/>
      <c r="AC93" s="183"/>
      <c r="AD93" s="183"/>
      <c r="AJ93" s="135"/>
    </row>
    <row r="94" spans="2:36" x14ac:dyDescent="0.35">
      <c r="I94" s="109">
        <v>2.0438535299700002E-2</v>
      </c>
      <c r="J94" s="109">
        <v>1.713194363725188E-9</v>
      </c>
      <c r="K94" s="109">
        <v>1.4038676267800926E-10</v>
      </c>
      <c r="L94" s="156">
        <v>1.4272512951709231E-9</v>
      </c>
      <c r="N94" s="18">
        <v>3.1942273436063003E-6</v>
      </c>
      <c r="O94" s="18">
        <v>2.5810808355585536E-11</v>
      </c>
      <c r="P94" s="18">
        <v>1.990764596544104E-10</v>
      </c>
      <c r="Q94" s="28">
        <v>1.7210815880741237</v>
      </c>
      <c r="R94" s="60">
        <v>429.32053268667096</v>
      </c>
      <c r="S94" s="57">
        <v>1.6046562573069151E-6</v>
      </c>
      <c r="U94" s="127">
        <v>1.4275583731165956E-9</v>
      </c>
      <c r="V94" s="127">
        <v>1.4272512951709231E-9</v>
      </c>
      <c r="W94" s="128">
        <v>1.3225554322687177E-9</v>
      </c>
      <c r="X94" s="128">
        <f t="shared" si="2"/>
        <v>1.4011540989317901E-9</v>
      </c>
      <c r="Y94" s="139">
        <f t="shared" si="3"/>
        <v>4.9404778543045493</v>
      </c>
      <c r="AA94" s="73"/>
      <c r="AB94" s="183"/>
      <c r="AC94" s="183"/>
      <c r="AD94" s="183"/>
      <c r="AJ94" s="135"/>
    </row>
    <row r="95" spans="2:36" x14ac:dyDescent="0.35">
      <c r="I95" s="109">
        <v>2.06429206527E-2</v>
      </c>
      <c r="J95" s="109">
        <v>1.701625726282286E-9</v>
      </c>
      <c r="K95" s="109">
        <v>1.4081133759503462E-10</v>
      </c>
      <c r="L95" s="156">
        <v>1.3741072519935264E-9</v>
      </c>
      <c r="N95" s="18">
        <v>3.1999999999999999E-6</v>
      </c>
      <c r="O95" s="18">
        <v>2.5307649463664093E-11</v>
      </c>
      <c r="P95" s="18">
        <v>1.486857631694136E-12</v>
      </c>
      <c r="Q95" s="28">
        <v>28.246868249365853</v>
      </c>
      <c r="R95" s="60">
        <v>429.32053268667096</v>
      </c>
      <c r="S95" s="57">
        <v>1.6046562573069151E-6</v>
      </c>
      <c r="U95" s="127">
        <v>1.4410621938784214E-9</v>
      </c>
      <c r="V95" s="127">
        <v>1.3741072519935264E-9</v>
      </c>
      <c r="W95" s="128">
        <v>1.2085605444007861E-9</v>
      </c>
      <c r="X95" s="128">
        <f t="shared" si="2"/>
        <v>1.3494593105665652E-9</v>
      </c>
      <c r="Y95" s="139">
        <f t="shared" si="3"/>
        <v>6.2549036820321762</v>
      </c>
      <c r="AA95" s="73"/>
      <c r="AB95" s="183"/>
      <c r="AC95" s="183"/>
      <c r="AD95" s="183"/>
      <c r="AJ95" s="135"/>
    </row>
    <row r="96" spans="2:36" x14ac:dyDescent="0.35">
      <c r="I96" s="109">
        <v>2.0849349859299999E-2</v>
      </c>
      <c r="J96" s="109">
        <v>1.4747812634719907E-9</v>
      </c>
      <c r="K96" s="109">
        <v>1.3335622763825496E-10</v>
      </c>
      <c r="L96" s="156">
        <v>1.2820699603753954E-9</v>
      </c>
      <c r="N96" s="18">
        <v>3.1955140395727289E-6</v>
      </c>
      <c r="O96" s="18">
        <v>2.5394460155846639E-11</v>
      </c>
      <c r="P96" s="18">
        <v>1.4888560802367562E-12</v>
      </c>
      <c r="Q96" s="28">
        <v>1.7210815880741237</v>
      </c>
      <c r="R96" s="60">
        <v>1218.6880397207594</v>
      </c>
      <c r="S96" s="57">
        <v>1.6046562573069151E-6</v>
      </c>
      <c r="U96" s="127">
        <v>1.4139534624540916E-9</v>
      </c>
      <c r="V96" s="127">
        <v>1.2820699603753954E-9</v>
      </c>
      <c r="W96" s="128">
        <v>1.0639416774745429E-9</v>
      </c>
      <c r="X96" s="128">
        <f t="shared" si="2"/>
        <v>1.2605087651698564E-9</v>
      </c>
      <c r="Y96" s="139">
        <f t="shared" si="3"/>
        <v>2.5817029029663736</v>
      </c>
      <c r="AA96" s="73"/>
      <c r="AB96" s="183"/>
      <c r="AC96" s="183"/>
      <c r="AD96" s="183"/>
      <c r="AJ96" s="135"/>
    </row>
    <row r="97" spans="9:36" x14ac:dyDescent="0.35">
      <c r="I97" s="109">
        <v>2.1057843357800001E-2</v>
      </c>
      <c r="J97" s="109">
        <v>1.4914303533331807E-9</v>
      </c>
      <c r="K97" s="109">
        <v>1.3293616380623117E-10</v>
      </c>
      <c r="L97" s="156">
        <v>1.1557348730396911E-9</v>
      </c>
      <c r="N97" s="18">
        <v>3.1630478465452543E-6</v>
      </c>
      <c r="O97" s="18">
        <v>2.6022734242286083E-11</v>
      </c>
      <c r="P97" s="18">
        <v>1.5033194303246767E-12</v>
      </c>
      <c r="Q97" s="28">
        <v>1.281588875373888</v>
      </c>
      <c r="R97" s="60">
        <v>1218.6880397207594</v>
      </c>
      <c r="S97" s="57">
        <v>1.6051246907675377E-6</v>
      </c>
      <c r="U97" s="127">
        <v>1.3467353640545997E-9</v>
      </c>
      <c r="V97" s="127">
        <v>1.1557348730396911E-9</v>
      </c>
      <c r="W97" s="128">
        <v>8.9714126999680743E-10</v>
      </c>
      <c r="X97" s="128">
        <f t="shared" si="2"/>
        <v>1.1388365950326974E-9</v>
      </c>
      <c r="Y97" s="139">
        <f t="shared" si="3"/>
        <v>7.0349814414110181</v>
      </c>
      <c r="AA97" s="73"/>
      <c r="AB97" s="183"/>
      <c r="AC97" s="183"/>
      <c r="AD97" s="183"/>
      <c r="AJ97" s="135"/>
    </row>
    <row r="98" spans="9:36" x14ac:dyDescent="0.35">
      <c r="I98" s="109">
        <v>2.12684217914E-2</v>
      </c>
      <c r="J98" s="109">
        <v>1.1013805259296918E-9</v>
      </c>
      <c r="K98" s="109">
        <v>1.1406217897856238E-10</v>
      </c>
      <c r="L98" s="156">
        <v>1.0020755316864536E-9</v>
      </c>
      <c r="N98" s="18">
        <v>3.1160806233220189E-6</v>
      </c>
      <c r="O98" s="18">
        <v>2.6931627047740807E-11</v>
      </c>
      <c r="P98" s="18">
        <v>1.5242428379924715E-12</v>
      </c>
      <c r="Q98" s="28">
        <v>0.71317718802348939</v>
      </c>
      <c r="R98" s="60">
        <v>1222.1302028969076</v>
      </c>
      <c r="S98" s="57">
        <v>1.6051246907675377E-6</v>
      </c>
      <c r="U98" s="127">
        <v>1.2423450287161722E-9</v>
      </c>
      <c r="V98" s="127">
        <v>1.0020755316864536E-9</v>
      </c>
      <c r="W98" s="128">
        <v>7.1847252150816859E-10</v>
      </c>
      <c r="X98" s="128">
        <f t="shared" si="2"/>
        <v>9.9124215339931201E-10</v>
      </c>
      <c r="Y98" s="139">
        <f t="shared" si="3"/>
        <v>0.93238221729697168</v>
      </c>
      <c r="AA98" s="73"/>
      <c r="AB98" s="183"/>
      <c r="AC98" s="183"/>
      <c r="AD98" s="183"/>
      <c r="AJ98" s="135"/>
    </row>
    <row r="99" spans="9:36" x14ac:dyDescent="0.35">
      <c r="I99" s="109">
        <v>2.1481106009300002E-2</v>
      </c>
      <c r="J99" s="109">
        <v>9.1064569763315568E-10</v>
      </c>
      <c r="K99" s="109">
        <v>1.0556564196772598E-10</v>
      </c>
      <c r="L99" s="156">
        <v>8.3016096790310111E-10</v>
      </c>
      <c r="N99" s="18">
        <v>3.0629347530911451E-6</v>
      </c>
      <c r="O99" s="18">
        <v>2.7960086807068764E-11</v>
      </c>
      <c r="P99" s="18">
        <v>1.5479187684049419E-12</v>
      </c>
      <c r="Q99" s="28">
        <v>0.52252270986663085</v>
      </c>
      <c r="R99" s="60">
        <v>1222.1302028969076</v>
      </c>
      <c r="S99" s="57">
        <v>1.6085148792009103E-6</v>
      </c>
      <c r="U99" s="127">
        <v>1.1061410024307883E-9</v>
      </c>
      <c r="V99" s="127">
        <v>8.3016096790310111E-10</v>
      </c>
      <c r="W99" s="128">
        <v>5.3954936131700865E-10</v>
      </c>
      <c r="X99" s="128">
        <f t="shared" si="2"/>
        <v>8.2650307488849981E-10</v>
      </c>
      <c r="Y99" s="139">
        <f t="shared" si="3"/>
        <v>0.63531177355616619</v>
      </c>
      <c r="AA99" s="73"/>
      <c r="AB99" s="183"/>
      <c r="AC99" s="183"/>
      <c r="AD99" s="183"/>
      <c r="AJ99" s="135"/>
    </row>
    <row r="100" spans="9:36" x14ac:dyDescent="0.35">
      <c r="I100" s="109">
        <v>2.1695917069400002E-2</v>
      </c>
      <c r="J100" s="109">
        <v>5.4516941782195651E-10</v>
      </c>
      <c r="K100" s="109">
        <v>8.6711909512375111E-11</v>
      </c>
      <c r="L100" s="156">
        <v>6.5070328973800399E-10</v>
      </c>
      <c r="N100" s="18">
        <v>3.0068472491034633E-6</v>
      </c>
      <c r="O100" s="18">
        <v>2.9045472004486553E-11</v>
      </c>
      <c r="P100" s="18">
        <v>1.5729051659491501E-12</v>
      </c>
      <c r="Q100" s="28">
        <v>0.42522182801861985</v>
      </c>
      <c r="R100" s="60">
        <v>1224.6933806476554</v>
      </c>
      <c r="S100" s="57">
        <v>1.6085148792009103E-6</v>
      </c>
      <c r="U100" s="127">
        <v>9.4573654908200925E-10</v>
      </c>
      <c r="V100" s="127">
        <v>6.5070328973800399E-10</v>
      </c>
      <c r="W100" s="128">
        <v>3.7256707422496799E-10</v>
      </c>
      <c r="X100" s="128">
        <f t="shared" si="2"/>
        <v>6.5492755069574635E-10</v>
      </c>
      <c r="Y100" s="139">
        <f t="shared" si="3"/>
        <v>1.6021970246313091</v>
      </c>
      <c r="AA100" s="73"/>
      <c r="AB100" s="183"/>
      <c r="AC100" s="183"/>
      <c r="AD100" s="183"/>
      <c r="AJ100" s="135"/>
    </row>
    <row r="101" spans="9:36" x14ac:dyDescent="0.35">
      <c r="I101" s="109">
        <v>2.19128762401E-2</v>
      </c>
      <c r="J101" s="109">
        <v>6.2361909780118228E-10</v>
      </c>
      <c r="K101" s="109">
        <v>3.9696181357779547E-11</v>
      </c>
      <c r="L101" s="156">
        <v>4.7544592300297351E-10</v>
      </c>
      <c r="N101" s="18">
        <v>2.9492999903305614E-6</v>
      </c>
      <c r="O101" s="18">
        <v>3.015910585130201E-11</v>
      </c>
      <c r="P101" s="18">
        <v>1.5985418690121882E-12</v>
      </c>
      <c r="Q101" s="28">
        <v>0.36718140925644527</v>
      </c>
      <c r="R101" s="60">
        <v>1224.6933806476554</v>
      </c>
      <c r="S101" s="57">
        <v>1.6134192958285171E-6</v>
      </c>
      <c r="U101" s="127">
        <v>7.7066886556135537E-10</v>
      </c>
      <c r="V101" s="127">
        <v>4.7544592300297351E-10</v>
      </c>
      <c r="W101" s="128">
        <v>2.2947160938040183E-10</v>
      </c>
      <c r="X101" s="128">
        <f t="shared" si="2"/>
        <v>4.8775808023692604E-10</v>
      </c>
      <c r="Y101" s="139">
        <f t="shared" si="3"/>
        <v>11.713650555417102</v>
      </c>
      <c r="AA101" s="73"/>
      <c r="AB101" s="183"/>
      <c r="AC101" s="183"/>
      <c r="AD101" s="183"/>
      <c r="AJ101" s="135"/>
    </row>
    <row r="102" spans="9:36" x14ac:dyDescent="0.35">
      <c r="I102" s="109">
        <v>2.21320050025E-2</v>
      </c>
      <c r="J102" s="109">
        <v>4.471027632186482E-10</v>
      </c>
      <c r="K102" s="109">
        <v>3.4094651304034627E-11</v>
      </c>
      <c r="L102" s="156">
        <v>3.1641864029017224E-10</v>
      </c>
      <c r="N102" s="18">
        <v>2.8910317105483899E-6</v>
      </c>
      <c r="O102" s="18">
        <v>3.1286692637272319E-11</v>
      </c>
      <c r="P102" s="18">
        <v>1.6244997794083121E-12</v>
      </c>
      <c r="Q102" s="28">
        <v>0.32985484968757195</v>
      </c>
      <c r="R102" s="60">
        <v>1226.1197350237023</v>
      </c>
      <c r="S102" s="57">
        <v>1.6134192958285171E-6</v>
      </c>
      <c r="U102" s="127">
        <v>5.9190539494615627E-10</v>
      </c>
      <c r="V102" s="127">
        <v>3.1641864029017224E-10</v>
      </c>
      <c r="W102" s="128">
        <v>1.2107181642431462E-10</v>
      </c>
      <c r="X102" s="128">
        <f t="shared" si="2"/>
        <v>3.3645362298770385E-10</v>
      </c>
      <c r="Y102" s="139">
        <f t="shared" si="3"/>
        <v>10.532308734297457</v>
      </c>
      <c r="AA102" s="73"/>
      <c r="AB102" s="183"/>
      <c r="AC102" s="183"/>
      <c r="AD102" s="183"/>
      <c r="AJ102" s="135"/>
    </row>
    <row r="103" spans="9:36" x14ac:dyDescent="0.35">
      <c r="I103" s="109">
        <v>2.2353325052600001E-2</v>
      </c>
      <c r="J103" s="109">
        <v>2.6623437392946535E-10</v>
      </c>
      <c r="K103" s="109">
        <v>2.5377873085426077E-11</v>
      </c>
      <c r="L103" s="156">
        <v>1.8510167488002823E-10</v>
      </c>
      <c r="N103" s="18">
        <v>2.8324239799340546E-6</v>
      </c>
      <c r="O103" s="18">
        <v>3.242084835361548E-11</v>
      </c>
      <c r="P103" s="18">
        <v>1.6506089116067295E-12</v>
      </c>
      <c r="Q103" s="28">
        <v>0.30511585966628851</v>
      </c>
      <c r="R103" s="60">
        <v>1226.1197350237023</v>
      </c>
      <c r="S103" s="57">
        <v>1.618968899823841E-6</v>
      </c>
      <c r="U103" s="127">
        <v>4.2120215445692945E-10</v>
      </c>
      <c r="V103" s="127">
        <v>1.8510167488002823E-10</v>
      </c>
      <c r="W103" s="128">
        <v>5.6161849927392294E-11</v>
      </c>
      <c r="X103" s="128">
        <f t="shared" si="2"/>
        <v>2.1189183853609453E-10</v>
      </c>
      <c r="Y103" s="139">
        <f t="shared" si="3"/>
        <v>4.5853168529565647</v>
      </c>
      <c r="AA103" s="73"/>
      <c r="AB103" s="183"/>
      <c r="AC103" s="183"/>
      <c r="AD103" s="183"/>
      <c r="AJ103" s="135"/>
    </row>
    <row r="104" spans="9:36" x14ac:dyDescent="0.35">
      <c r="I104" s="109">
        <v>2.2576858303100002E-2</v>
      </c>
      <c r="J104" s="109">
        <v>1.8686181762369105E-10</v>
      </c>
      <c r="K104" s="109">
        <v>2.119720201025097E-11</v>
      </c>
      <c r="L104" s="156">
        <v>9.1555811279890413E-11</v>
      </c>
      <c r="N104" s="18">
        <v>2.7736723372179748E-6</v>
      </c>
      <c r="O104" s="18">
        <v>3.3557789005173389E-11</v>
      </c>
      <c r="P104" s="18">
        <v>1.6767821551442145E-12</v>
      </c>
      <c r="Q104" s="28">
        <v>0.28889548286974742</v>
      </c>
      <c r="R104" s="60">
        <v>1227.1647804434356</v>
      </c>
      <c r="S104" s="57">
        <v>1.618968899823841E-6</v>
      </c>
      <c r="U104" s="127">
        <v>2.7034424596081372E-10</v>
      </c>
      <c r="V104" s="127">
        <v>9.1555811279890413E-11</v>
      </c>
      <c r="W104" s="128">
        <v>4.0728503769272056E-11</v>
      </c>
      <c r="X104" s="128">
        <f t="shared" si="2"/>
        <v>1.2354609307246665E-10</v>
      </c>
      <c r="Y104" s="139">
        <f t="shared" si="3"/>
        <v>8.9220794197140716</v>
      </c>
      <c r="AA104" s="73"/>
      <c r="AB104" s="183"/>
      <c r="AC104" s="183"/>
      <c r="AD104" s="183"/>
      <c r="AJ104" s="135"/>
    </row>
    <row r="105" spans="9:36" x14ac:dyDescent="0.35">
      <c r="I105" s="109">
        <v>2.2802626886099998E-2</v>
      </c>
      <c r="J105" s="109">
        <v>1.690610486247995E-10</v>
      </c>
      <c r="K105" s="109">
        <v>2.0927871858488518E-11</v>
      </c>
      <c r="L105" s="156">
        <v>4.3586164249248955E-11</v>
      </c>
      <c r="N105" s="18">
        <v>2.7148708438571425E-6</v>
      </c>
      <c r="O105" s="18">
        <v>3.4695694348472758E-11</v>
      </c>
      <c r="P105" s="18">
        <v>1.7029776066235592E-12</v>
      </c>
      <c r="Q105" s="28">
        <v>0.27901782563242211</v>
      </c>
      <c r="R105" s="60">
        <v>1227.1647804434356</v>
      </c>
      <c r="S105" s="57">
        <v>1.6248256754277706E-6</v>
      </c>
      <c r="U105" s="127">
        <v>1.5031384074516303E-10</v>
      </c>
      <c r="V105" s="127">
        <v>4.3586164249248955E-11</v>
      </c>
      <c r="W105" s="128">
        <v>7.7318630827701719E-11</v>
      </c>
      <c r="X105" s="128">
        <f t="shared" si="2"/>
        <v>7.8701200017840675E-11</v>
      </c>
      <c r="Y105" s="139">
        <f t="shared" si="3"/>
        <v>18.642358453668503</v>
      </c>
      <c r="AA105" s="73"/>
      <c r="AB105" s="183"/>
      <c r="AC105" s="183"/>
      <c r="AD105" s="183"/>
      <c r="AJ105" s="135"/>
    </row>
    <row r="106" spans="9:36" x14ac:dyDescent="0.35">
      <c r="I106" s="109">
        <v>2.3030653155000001E-2</v>
      </c>
      <c r="J106" s="109">
        <v>2.316208986629312E-10</v>
      </c>
      <c r="K106" s="109">
        <v>2.3828616818242822E-11</v>
      </c>
      <c r="L106" s="156">
        <v>4.6012467017472705E-11</v>
      </c>
      <c r="N106" s="18">
        <v>2.6560578472689905E-6</v>
      </c>
      <c r="O106" s="18">
        <v>3.5833822298088476E-11</v>
      </c>
      <c r="P106" s="18">
        <v>1.7291781826705961E-12</v>
      </c>
      <c r="Q106" s="28">
        <v>0.27433079872934468</v>
      </c>
      <c r="R106" s="60">
        <v>1228.0152240994728</v>
      </c>
      <c r="S106" s="57">
        <v>1.6248256754277706E-6</v>
      </c>
      <c r="U106" s="127">
        <v>7.0443949279605119E-11</v>
      </c>
      <c r="V106" s="127">
        <v>4.6012467017472705E-11</v>
      </c>
      <c r="W106" s="128">
        <v>1.6463437975862231E-10</v>
      </c>
      <c r="X106" s="128">
        <f t="shared" si="2"/>
        <v>8.1775815768293207E-11</v>
      </c>
      <c r="Y106" s="139">
        <f t="shared" si="3"/>
        <v>39.544612620092416</v>
      </c>
      <c r="AA106" s="73"/>
      <c r="AB106" s="183"/>
      <c r="AC106" s="183"/>
      <c r="AD106" s="183"/>
      <c r="AJ106" s="135"/>
    </row>
    <row r="107" spans="9:36" x14ac:dyDescent="0.35">
      <c r="I107" s="109">
        <v>2.32609596865E-2</v>
      </c>
      <c r="J107" s="109">
        <v>2.5597744687450865E-10</v>
      </c>
      <c r="K107" s="109">
        <v>2.4979273068320741E-11</v>
      </c>
      <c r="L107" s="156">
        <v>1.0011679802421477E-10</v>
      </c>
      <c r="N107" s="18">
        <v>2.5972435688836311E-6</v>
      </c>
      <c r="O107" s="18">
        <v>3.6971975052582559E-11</v>
      </c>
      <c r="P107" s="18">
        <v>1.7553793297449081E-12</v>
      </c>
      <c r="Q107" s="28">
        <v>0.27433079872934468</v>
      </c>
      <c r="R107" s="60">
        <v>1228.0152240994728</v>
      </c>
      <c r="S107" s="57">
        <v>1.6308348817088733E-6</v>
      </c>
      <c r="U107" s="127">
        <v>3.7625184906399637E-11</v>
      </c>
      <c r="V107" s="127">
        <v>1.0011679802421477E-10</v>
      </c>
      <c r="W107" s="128">
        <v>2.9740916278282226E-10</v>
      </c>
      <c r="X107" s="128">
        <f t="shared" si="2"/>
        <v>1.3381698593441286E-10</v>
      </c>
      <c r="Y107" s="139">
        <f t="shared" si="3"/>
        <v>23.916726335956202</v>
      </c>
      <c r="AA107" s="73"/>
      <c r="AB107" s="183"/>
      <c r="AC107" s="183"/>
      <c r="AD107" s="183"/>
      <c r="AJ107" s="135"/>
    </row>
    <row r="108" spans="9:36" x14ac:dyDescent="0.35">
      <c r="I108" s="109">
        <v>2.34935692834E-2</v>
      </c>
      <c r="J108" s="109">
        <v>3.6924349676812313E-10</v>
      </c>
      <c r="K108" s="109">
        <v>3.1132251065360323E-11</v>
      </c>
      <c r="L108" s="156">
        <v>2.0333044523077915E-10</v>
      </c>
      <c r="N108" s="18">
        <v>2.538430572295479E-6</v>
      </c>
      <c r="O108" s="18">
        <v>3.8110103002198277E-11</v>
      </c>
      <c r="P108" s="18">
        <v>1.781579905791945E-12</v>
      </c>
      <c r="Q108" s="28">
        <v>0.27901782563242211</v>
      </c>
      <c r="R108" s="60">
        <v>1228.7495869179857</v>
      </c>
      <c r="S108" s="57">
        <v>1.6308348817088733E-6</v>
      </c>
      <c r="U108" s="127">
        <v>5.5635857366751896E-11</v>
      </c>
      <c r="V108" s="127">
        <v>2.0333044523077915E-10</v>
      </c>
      <c r="W108" s="128">
        <v>4.6659650263274429E-10</v>
      </c>
      <c r="X108" s="128">
        <f t="shared" si="2"/>
        <v>2.3222331261526361E-10</v>
      </c>
      <c r="Y108" s="139">
        <f t="shared" si="3"/>
        <v>19.370821779678323</v>
      </c>
      <c r="AA108" s="73"/>
      <c r="AB108" s="183"/>
      <c r="AC108" s="183"/>
      <c r="AD108" s="183"/>
      <c r="AJ108" s="135"/>
    </row>
    <row r="109" spans="9:36" x14ac:dyDescent="0.35">
      <c r="I109" s="109">
        <v>2.37285049762E-2</v>
      </c>
      <c r="J109" s="109">
        <v>5.2857148705454569E-10</v>
      </c>
      <c r="K109" s="109">
        <v>3.703203912545199E-11</v>
      </c>
      <c r="L109" s="156">
        <v>3.4920569281680182E-10</v>
      </c>
      <c r="N109" s="18">
        <v>2.4796290789346468E-6</v>
      </c>
      <c r="O109" s="18">
        <v>3.9248008345497645E-11</v>
      </c>
      <c r="P109" s="18">
        <v>1.8077753572712897E-12</v>
      </c>
      <c r="Q109" s="28">
        <v>0.28889548286974742</v>
      </c>
      <c r="R109" s="60">
        <v>1228.7495869179857</v>
      </c>
      <c r="S109" s="57">
        <v>1.6369193785263125E-6</v>
      </c>
      <c r="U109" s="127">
        <v>1.2466210177030301E-10</v>
      </c>
      <c r="V109" s="127">
        <v>3.4920569281680182E-10</v>
      </c>
      <c r="W109" s="128">
        <v>6.5987930659588287E-10</v>
      </c>
      <c r="X109" s="128">
        <f t="shared" si="2"/>
        <v>3.707381984999474E-10</v>
      </c>
      <c r="Y109" s="139">
        <f t="shared" si="3"/>
        <v>18.165274190141854</v>
      </c>
      <c r="AA109" s="73"/>
      <c r="AB109" s="183"/>
      <c r="AC109" s="183"/>
      <c r="AD109" s="183"/>
      <c r="AJ109" s="135"/>
    </row>
    <row r="110" spans="9:36" x14ac:dyDescent="0.35">
      <c r="I110" s="109">
        <v>2.3965790026000001E-2</v>
      </c>
      <c r="J110" s="109">
        <v>6.7148622409897445E-10</v>
      </c>
      <c r="K110" s="109">
        <v>4.4126179315163179E-11</v>
      </c>
      <c r="L110" s="156">
        <v>5.2769723313040466E-10</v>
      </c>
      <c r="N110" s="18">
        <v>2.420877436218567E-6</v>
      </c>
      <c r="O110" s="18">
        <v>4.0384948997055555E-11</v>
      </c>
      <c r="P110" s="18">
        <v>1.8339486008087749E-12</v>
      </c>
      <c r="Q110" s="28">
        <v>0.30511585966628851</v>
      </c>
      <c r="R110" s="60">
        <v>1229.4092966173607</v>
      </c>
      <c r="S110" s="57">
        <v>1.6369193785263125E-6</v>
      </c>
      <c r="U110" s="127">
        <v>2.410642608833273E-10</v>
      </c>
      <c r="V110" s="127">
        <v>5.2769723313040466E-10</v>
      </c>
      <c r="W110" s="128">
        <v>8.6248102460364702E-10</v>
      </c>
      <c r="X110" s="128">
        <f t="shared" si="2"/>
        <v>5.3973493793694594E-10</v>
      </c>
      <c r="Y110" s="139">
        <f t="shared" si="3"/>
        <v>8.914912317329275</v>
      </c>
      <c r="AA110" s="73"/>
      <c r="AB110" s="183"/>
      <c r="AC110" s="183"/>
      <c r="AD110" s="183"/>
      <c r="AJ110" s="135"/>
    </row>
    <row r="111" spans="9:36" x14ac:dyDescent="0.35">
      <c r="I111" s="109">
        <v>2.42054479262E-2</v>
      </c>
      <c r="J111" s="109">
        <v>9.0088422699336052E-10</v>
      </c>
      <c r="K111" s="109">
        <v>5.3478234167320725E-11</v>
      </c>
      <c r="L111" s="156">
        <v>7.2575367877468284E-10</v>
      </c>
      <c r="N111" s="18">
        <v>2.3622697056042317E-6</v>
      </c>
      <c r="O111" s="18">
        <v>4.1519104713398716E-11</v>
      </c>
      <c r="P111" s="18">
        <v>1.8600577330071923E-12</v>
      </c>
      <c r="Q111" s="28">
        <v>0.32985484968757195</v>
      </c>
      <c r="R111" s="60">
        <v>1229.4092966173607</v>
      </c>
      <c r="S111" s="57">
        <v>1.6430393215164498E-6</v>
      </c>
      <c r="U111" s="127">
        <v>3.9742919300210118E-10</v>
      </c>
      <c r="V111" s="127">
        <v>7.2575367877468284E-10</v>
      </c>
      <c r="W111" s="128">
        <v>1.0582346692747418E-9</v>
      </c>
      <c r="X111" s="128">
        <f t="shared" si="2"/>
        <v>7.2679280495655215E-10</v>
      </c>
      <c r="Y111" s="139">
        <f t="shared" si="3"/>
        <v>10.597431752072048</v>
      </c>
      <c r="AA111" s="73"/>
      <c r="AB111" s="183"/>
      <c r="AC111" s="183"/>
      <c r="AD111" s="183"/>
      <c r="AJ111" s="135"/>
    </row>
    <row r="112" spans="9:36" x14ac:dyDescent="0.35">
      <c r="I112" s="109">
        <v>2.4447502405500001E-2</v>
      </c>
      <c r="J112" s="109">
        <v>1.1808790545245684E-9</v>
      </c>
      <c r="K112" s="109">
        <v>6.2522144195870299E-11</v>
      </c>
      <c r="L112" s="156">
        <v>9.2819440911287741E-10</v>
      </c>
      <c r="N112" s="18">
        <v>2.3040014258220602E-6</v>
      </c>
      <c r="O112" s="18">
        <v>4.2646691499369025E-11</v>
      </c>
      <c r="P112" s="18">
        <v>1.8860156434033162E-12</v>
      </c>
      <c r="Q112" s="28">
        <v>0.36718140925644527</v>
      </c>
      <c r="R112" s="60">
        <v>1230.0195283366934</v>
      </c>
      <c r="S112" s="57">
        <v>1.6430393215164498E-6</v>
      </c>
      <c r="U112" s="127">
        <v>5.8292708490817449E-10</v>
      </c>
      <c r="V112" s="127">
        <v>9.2819440911287741E-10</v>
      </c>
      <c r="W112" s="128">
        <v>1.2308424367732468E-9</v>
      </c>
      <c r="X112" s="128">
        <f t="shared" si="2"/>
        <v>9.175395849767941E-10</v>
      </c>
      <c r="Y112" s="139">
        <f t="shared" si="3"/>
        <v>17.740431762671875</v>
      </c>
      <c r="AA112" s="73"/>
      <c r="AB112" s="183"/>
      <c r="AC112" s="183"/>
      <c r="AD112" s="183"/>
      <c r="AJ112" s="135"/>
    </row>
    <row r="113" spans="9:36" x14ac:dyDescent="0.35">
      <c r="I113" s="109">
        <v>2.4691977429599998E-2</v>
      </c>
      <c r="J113" s="109">
        <v>1.3571596897941052E-9</v>
      </c>
      <c r="K113" s="109">
        <v>6.8272689668091158E-11</v>
      </c>
      <c r="L113" s="156">
        <v>1.1188225953519107E-9</v>
      </c>
      <c r="N113" s="18">
        <v>2.2464541670491583E-6</v>
      </c>
      <c r="O113" s="18">
        <v>4.3760325346184482E-11</v>
      </c>
      <c r="P113" s="18">
        <v>1.9116523464663543E-12</v>
      </c>
      <c r="Q113" s="28">
        <v>0.42522182801861985</v>
      </c>
      <c r="R113" s="60">
        <v>1230.0195283366934</v>
      </c>
      <c r="S113" s="57">
        <v>1.6491742921121441E-6</v>
      </c>
      <c r="U113" s="127">
        <v>7.8396761023910114E-10</v>
      </c>
      <c r="V113" s="127">
        <v>1.1188225953519107E-9</v>
      </c>
      <c r="W113" s="128">
        <v>1.3652387427564544E-9</v>
      </c>
      <c r="X113" s="128">
        <f t="shared" si="2"/>
        <v>1.0967128859248441E-9</v>
      </c>
      <c r="Y113" s="139">
        <f t="shared" si="3"/>
        <v>14.552715503671511</v>
      </c>
      <c r="AA113" s="73"/>
      <c r="AB113" s="183"/>
      <c r="AC113" s="183"/>
      <c r="AD113" s="183"/>
      <c r="AJ113" s="135"/>
    </row>
    <row r="114" spans="9:36" x14ac:dyDescent="0.35">
      <c r="I114" s="109">
        <v>2.4938897203899999E-2</v>
      </c>
      <c r="J114" s="109">
        <v>1.4749321766337521E-9</v>
      </c>
      <c r="K114" s="109">
        <v>6.9501201205703812E-11</v>
      </c>
      <c r="L114" s="156">
        <v>1.2817031568741668E-9</v>
      </c>
      <c r="N114" s="18">
        <v>2.1903666630614765E-6</v>
      </c>
      <c r="O114" s="18">
        <v>4.4845710543602274E-11</v>
      </c>
      <c r="P114" s="18">
        <v>1.9366387440105623E-12</v>
      </c>
      <c r="Q114" s="28">
        <v>0.52252270986663085</v>
      </c>
      <c r="R114" s="60">
        <v>1230.5973193024329</v>
      </c>
      <c r="S114" s="57">
        <v>1.6491742921121441E-6</v>
      </c>
      <c r="U114" s="127">
        <v>9.8512583493486061E-10</v>
      </c>
      <c r="V114" s="127">
        <v>1.2817031568741668E-9</v>
      </c>
      <c r="W114" s="128">
        <v>1.4489536699204135E-9</v>
      </c>
      <c r="X114" s="128">
        <f t="shared" si="2"/>
        <v>1.249371454650902E-9</v>
      </c>
      <c r="Y114" s="139">
        <f t="shared" si="3"/>
        <v>10.532763450353036</v>
      </c>
      <c r="AA114" s="73"/>
      <c r="AB114" s="183"/>
      <c r="AC114" s="183"/>
      <c r="AD114" s="183"/>
      <c r="AJ114" s="135"/>
    </row>
    <row r="115" spans="9:36" x14ac:dyDescent="0.35">
      <c r="I115" s="109">
        <v>2.51882861759E-2</v>
      </c>
      <c r="J115" s="109">
        <v>1.6024264316947219E-9</v>
      </c>
      <c r="K115" s="109">
        <v>7.3872376420862259E-11</v>
      </c>
      <c r="L115" s="156">
        <v>1.4025156253329802E-9</v>
      </c>
      <c r="N115" s="18">
        <v>2.1372207928306027E-6</v>
      </c>
      <c r="O115" s="18">
        <v>4.5874170302930228E-11</v>
      </c>
      <c r="P115" s="18">
        <v>1.9603146744230327E-12</v>
      </c>
      <c r="Q115" s="28">
        <v>0.71317718802348939</v>
      </c>
      <c r="R115" s="60">
        <v>1230.5973193024329</v>
      </c>
      <c r="S115" s="57">
        <v>1.6553144682174311E-6</v>
      </c>
      <c r="U115" s="127">
        <v>1.1702848138784623E-9</v>
      </c>
      <c r="V115" s="127">
        <v>1.4025156253329802E-9</v>
      </c>
      <c r="W115" s="128">
        <v>1.4733629236899251E-9</v>
      </c>
      <c r="X115" s="128">
        <f t="shared" si="2"/>
        <v>1.3621697470585869E-9</v>
      </c>
      <c r="Y115" s="139">
        <f t="shared" si="3"/>
        <v>10.577592193697653</v>
      </c>
      <c r="AA115" s="73"/>
      <c r="AB115" s="183"/>
      <c r="AC115" s="183"/>
      <c r="AD115" s="183"/>
      <c r="AJ115" s="135"/>
    </row>
    <row r="116" spans="9:36" x14ac:dyDescent="0.35">
      <c r="I116" s="109">
        <v>2.5440169037600002E-2</v>
      </c>
      <c r="J116" s="109">
        <v>1.5375936652956376E-9</v>
      </c>
      <c r="K116" s="109">
        <v>7.2119648809851679E-11</v>
      </c>
      <c r="L116" s="156">
        <v>1.469877303562437E-9</v>
      </c>
      <c r="N116" s="18">
        <v>2.0902535696073672E-6</v>
      </c>
      <c r="O116" s="18">
        <v>4.6783063108384949E-11</v>
      </c>
      <c r="P116" s="18">
        <v>1.9812380820908275E-12</v>
      </c>
      <c r="Q116" s="28">
        <v>1.281588875373888</v>
      </c>
      <c r="R116" s="60">
        <v>1231.1553549536977</v>
      </c>
      <c r="S116" s="57">
        <v>1.6553144682174311E-6</v>
      </c>
      <c r="U116" s="127">
        <v>1.3239206786247335E-9</v>
      </c>
      <c r="V116" s="127">
        <v>1.469877303562437E-9</v>
      </c>
      <c r="W116" s="128">
        <v>1.4347056645766015E-9</v>
      </c>
      <c r="X116" s="128">
        <f t="shared" si="2"/>
        <v>1.4245952375815521E-9</v>
      </c>
      <c r="Y116" s="139">
        <f t="shared" si="3"/>
        <v>2.4549214174907021</v>
      </c>
      <c r="AA116" s="73"/>
      <c r="AB116" s="183"/>
      <c r="AC116" s="183"/>
      <c r="AD116" s="183"/>
      <c r="AJ116" s="135"/>
    </row>
    <row r="117" spans="9:36" x14ac:dyDescent="0.35">
      <c r="I117" s="109">
        <v>2.5694570728E-2</v>
      </c>
      <c r="J117" s="109">
        <v>1.5632400700018946E-9</v>
      </c>
      <c r="K117" s="109">
        <v>7.4467846709333095E-11</v>
      </c>
      <c r="L117" s="156">
        <v>1.4765227140488016E-9</v>
      </c>
      <c r="N117" s="18">
        <v>2.0577873765798927E-6</v>
      </c>
      <c r="O117" s="18">
        <v>4.7411337194824393E-11</v>
      </c>
      <c r="P117" s="18">
        <v>1.995701432178748E-12</v>
      </c>
      <c r="Q117" s="28">
        <v>1.7210815880741237</v>
      </c>
      <c r="R117" s="60">
        <v>1231.1553549536977</v>
      </c>
      <c r="S117" s="57">
        <v>1.6614558455140053E-6</v>
      </c>
      <c r="U117" s="127">
        <v>1.4324382129161619E-9</v>
      </c>
      <c r="V117" s="127">
        <v>1.4765227140488016E-9</v>
      </c>
      <c r="W117" s="128">
        <v>1.3347548674157808E-9</v>
      </c>
      <c r="X117" s="128">
        <f t="shared" si="2"/>
        <v>1.4300596271073863E-9</v>
      </c>
      <c r="Y117" s="139">
        <f t="shared" si="3"/>
        <v>3.1984776286535039</v>
      </c>
      <c r="AA117" s="73"/>
      <c r="AB117" s="183"/>
      <c r="AC117" s="183"/>
      <c r="AD117" s="183"/>
      <c r="AJ117" s="135"/>
    </row>
    <row r="118" spans="9:36" x14ac:dyDescent="0.35">
      <c r="I118" s="109">
        <v>2.5951516435299998E-2</v>
      </c>
      <c r="J118" s="109">
        <v>1.404108870223877E-9</v>
      </c>
      <c r="K118" s="109">
        <v>7.0055469403826644E-11</v>
      </c>
      <c r="L118" s="156">
        <v>1.4202225895178307E-9</v>
      </c>
      <c r="N118" s="18">
        <v>2.0533014161526217E-6</v>
      </c>
      <c r="O118" s="18">
        <v>4.7498147887006942E-11</v>
      </c>
      <c r="P118" s="18">
        <v>1.9976998807213682E-12</v>
      </c>
      <c r="Q118" s="28">
        <v>100</v>
      </c>
      <c r="R118" s="60">
        <v>1231.7040165511564</v>
      </c>
      <c r="S118" s="57">
        <v>1.6614558455140053E-6</v>
      </c>
      <c r="U118" s="127">
        <v>1.4854514169955528E-9</v>
      </c>
      <c r="V118" s="127">
        <v>1.4202225895178307E-9</v>
      </c>
      <c r="W118" s="128">
        <v>1.1810384623917609E-9</v>
      </c>
      <c r="X118" s="128">
        <f t="shared" si="2"/>
        <v>1.3767337646057438E-9</v>
      </c>
      <c r="Y118" s="139">
        <f t="shared" si="3"/>
        <v>0.15269594782321338</v>
      </c>
      <c r="AA118" s="73"/>
      <c r="AB118" s="183"/>
      <c r="AC118" s="183"/>
      <c r="AD118" s="183"/>
      <c r="AJ118" s="135"/>
    </row>
    <row r="119" spans="9:36" x14ac:dyDescent="0.35">
      <c r="I119" s="109">
        <v>2.6211031599700001E-2</v>
      </c>
      <c r="J119" s="109">
        <v>1.2952142482247952E-9</v>
      </c>
      <c r="K119" s="109">
        <v>6.742635927056626E-11</v>
      </c>
      <c r="L119" s="156">
        <v>1.3043315321521039E-9</v>
      </c>
      <c r="R119" s="60">
        <v>1231.7040165511564</v>
      </c>
      <c r="S119" s="57">
        <v>1.6658070367384392E-6</v>
      </c>
      <c r="U119" s="127">
        <v>1.4768955575174633E-9</v>
      </c>
      <c r="V119" s="127">
        <v>1.3043315321521039E-9</v>
      </c>
      <c r="W119" s="128">
        <v>9.8653568924523804E-10</v>
      </c>
      <c r="X119" s="128">
        <f t="shared" si="2"/>
        <v>1.2680235777667271E-9</v>
      </c>
      <c r="Y119" s="139">
        <f t="shared" si="3"/>
        <v>0.16262241724613311</v>
      </c>
      <c r="AA119" s="73"/>
      <c r="AB119" s="183"/>
      <c r="AC119" s="183"/>
      <c r="AD119" s="183"/>
      <c r="AJ119" s="135"/>
    </row>
    <row r="120" spans="9:36" x14ac:dyDescent="0.35">
      <c r="I120" s="109">
        <v>2.6473141915700001E-2</v>
      </c>
      <c r="J120" s="109">
        <v>1.2634521691281127E-9</v>
      </c>
      <c r="K120" s="109">
        <v>6.9222728379599987E-11</v>
      </c>
      <c r="L120" s="156">
        <v>1.1378701970270659E-9</v>
      </c>
      <c r="R120" s="60">
        <v>1231.9312892784292</v>
      </c>
      <c r="S120" s="57">
        <v>1.6658070367384392E-6</v>
      </c>
      <c r="U120" s="127">
        <v>1.4058562862885311E-9</v>
      </c>
      <c r="V120" s="127">
        <v>1.1378701970270659E-9</v>
      </c>
      <c r="W120" s="128">
        <v>7.6881315608969129E-10</v>
      </c>
      <c r="X120" s="128">
        <f t="shared" si="2"/>
        <v>1.1126024591080886E-9</v>
      </c>
      <c r="Y120" s="139">
        <f t="shared" si="3"/>
        <v>4.7488836986384007</v>
      </c>
      <c r="AA120" s="73"/>
      <c r="AB120" s="183"/>
      <c r="AC120" s="183"/>
      <c r="AD120" s="183"/>
      <c r="AJ120" s="135"/>
    </row>
    <row r="121" spans="9:36" x14ac:dyDescent="0.35">
      <c r="I121" s="109">
        <v>2.6737873334799999E-2</v>
      </c>
      <c r="J121" s="109">
        <v>1.0143189153146755E-9</v>
      </c>
      <c r="K121" s="109">
        <v>6.3449148136996022E-11</v>
      </c>
      <c r="L121" s="156">
        <v>9.3507735403869448E-10</v>
      </c>
      <c r="R121" s="60">
        <v>1231.9312892784292</v>
      </c>
      <c r="S121" s="57">
        <v>1.6696347884568394E-6</v>
      </c>
      <c r="U121" s="127">
        <v>1.2770095992934633E-9</v>
      </c>
      <c r="V121" s="127">
        <v>9.3507735403869448E-10</v>
      </c>
      <c r="W121" s="128">
        <v>5.4861836675433186E-10</v>
      </c>
      <c r="X121" s="128">
        <f t="shared" si="2"/>
        <v>9.2394566853129599E-10</v>
      </c>
      <c r="Y121" s="139">
        <f t="shared" si="3"/>
        <v>2.0287483472997305</v>
      </c>
      <c r="AA121" s="73"/>
      <c r="AB121" s="183"/>
      <c r="AC121" s="183"/>
      <c r="AD121" s="183"/>
      <c r="AJ121" s="135"/>
    </row>
    <row r="122" spans="9:36" x14ac:dyDescent="0.35">
      <c r="I122" s="109">
        <v>2.7005252068200002E-2</v>
      </c>
      <c r="J122" s="109">
        <v>9.7017786879181056E-10</v>
      </c>
      <c r="K122" s="109">
        <v>6.0883236163643307E-11</v>
      </c>
      <c r="L122" s="156">
        <v>7.1441016611053467E-10</v>
      </c>
      <c r="R122" s="60">
        <v>1232.3858347329747</v>
      </c>
      <c r="S122" s="57">
        <v>1.6696347884568394E-6</v>
      </c>
      <c r="U122" s="127">
        <v>1.1005857918534536E-9</v>
      </c>
      <c r="V122" s="127">
        <v>7.1441016611053467E-10</v>
      </c>
      <c r="W122" s="128">
        <v>3.4801144728428935E-10</v>
      </c>
      <c r="X122" s="128">
        <f t="shared" si="2"/>
        <v>7.193543928397031E-10</v>
      </c>
      <c r="Y122" s="139">
        <f t="shared" si="3"/>
        <v>16.972308092428751</v>
      </c>
      <c r="AA122" s="73"/>
      <c r="AB122" s="183"/>
      <c r="AC122" s="183"/>
      <c r="AD122" s="183"/>
      <c r="AJ122" s="135"/>
    </row>
    <row r="123" spans="9:36" x14ac:dyDescent="0.35">
      <c r="I123" s="109">
        <v>2.7275304588799999E-2</v>
      </c>
      <c r="J123" s="109">
        <v>7.0587997644255567E-10</v>
      </c>
      <c r="K123" s="109">
        <v>5.1733392235121655E-11</v>
      </c>
      <c r="L123" s="156">
        <v>4.9702606330549253E-10</v>
      </c>
      <c r="R123" s="60">
        <v>1232.3858347329747</v>
      </c>
      <c r="S123" s="57">
        <v>1.674688351632675E-6</v>
      </c>
      <c r="U123" s="127">
        <v>8.9180270481388086E-10</v>
      </c>
      <c r="V123" s="127">
        <v>4.9702606330549253E-10</v>
      </c>
      <c r="W123" s="128">
        <v>1.8818174648009307E-10</v>
      </c>
      <c r="X123" s="128">
        <f t="shared" si="2"/>
        <v>5.185091444762398E-10</v>
      </c>
      <c r="Y123" s="139">
        <f t="shared" si="3"/>
        <v>13.117831769318716</v>
      </c>
      <c r="AA123" s="73"/>
      <c r="AB123" s="183"/>
      <c r="AC123" s="183"/>
      <c r="AD123" s="183"/>
      <c r="AJ123" s="135"/>
    </row>
    <row r="124" spans="9:36" x14ac:dyDescent="0.35">
      <c r="I124" s="109">
        <v>2.7548057634700002E-2</v>
      </c>
      <c r="J124" s="109">
        <v>5.4944371189961418E-10</v>
      </c>
      <c r="K124" s="109">
        <v>4.8259079607882445E-11</v>
      </c>
      <c r="L124" s="156">
        <v>3.0484242631126749E-10</v>
      </c>
      <c r="R124" s="60">
        <v>1232.8403801875202</v>
      </c>
      <c r="S124" s="57">
        <v>1.674688351632675E-6</v>
      </c>
      <c r="U124" s="127">
        <v>6.6975861836730649E-10</v>
      </c>
      <c r="V124" s="127">
        <v>3.0484242631126749E-10</v>
      </c>
      <c r="W124" s="128">
        <v>8.7155508464860128E-11</v>
      </c>
      <c r="X124" s="128">
        <f t="shared" si="2"/>
        <v>3.4164974486367537E-10</v>
      </c>
      <c r="Y124" s="139">
        <f t="shared" si="3"/>
        <v>18.539917576557663</v>
      </c>
      <c r="AA124" s="73"/>
      <c r="AB124" s="183"/>
      <c r="AC124" s="183"/>
      <c r="AD124" s="183"/>
      <c r="AJ124" s="135"/>
    </row>
    <row r="125" spans="9:36" x14ac:dyDescent="0.35">
      <c r="I125" s="109">
        <v>2.78235382111E-2</v>
      </c>
      <c r="J125" s="109">
        <v>3.561425756486933E-10</v>
      </c>
      <c r="K125" s="109">
        <v>4.1807941306621445E-11</v>
      </c>
      <c r="L125" s="156">
        <v>1.583337212055341E-10</v>
      </c>
      <c r="R125" s="60">
        <v>1232.8403801875202</v>
      </c>
      <c r="S125" s="57">
        <v>1.6796405725230574E-6</v>
      </c>
      <c r="U125" s="127">
        <v>4.5583109692784465E-10</v>
      </c>
      <c r="V125" s="127">
        <v>1.583337212055341E-10</v>
      </c>
      <c r="W125" s="128">
        <v>5.764329182759885E-11</v>
      </c>
      <c r="X125" s="128">
        <f t="shared" si="2"/>
        <v>2.0753545779162792E-10</v>
      </c>
      <c r="Y125" s="139">
        <f t="shared" si="3"/>
        <v>12.63460466360992</v>
      </c>
      <c r="AA125" s="73"/>
      <c r="AB125" s="183"/>
      <c r="AC125" s="183"/>
      <c r="AD125" s="183"/>
      <c r="AJ125" s="135"/>
    </row>
    <row r="126" spans="9:36" x14ac:dyDescent="0.35">
      <c r="I126" s="109">
        <v>2.81017735932E-2</v>
      </c>
      <c r="J126" s="109">
        <v>3.7915501584048802E-10</v>
      </c>
      <c r="K126" s="109">
        <v>3.9510290686414719E-11</v>
      </c>
      <c r="L126" s="156">
        <v>7.4280291162529973E-11</v>
      </c>
      <c r="R126" s="60">
        <v>1233.2949256420657</v>
      </c>
      <c r="S126" s="57">
        <v>1.6796405725230574E-6</v>
      </c>
      <c r="U126" s="127">
        <v>2.7169010666902525E-10</v>
      </c>
      <c r="V126" s="127">
        <v>7.4280291162529973E-11</v>
      </c>
      <c r="W126" s="128">
        <v>1.0529149519197782E-10</v>
      </c>
      <c r="X126" s="128">
        <f t="shared" si="2"/>
        <v>1.3138554604651575E-10</v>
      </c>
      <c r="Y126" s="139">
        <f t="shared" si="3"/>
        <v>39.325579687866693</v>
      </c>
      <c r="AA126" s="73"/>
      <c r="AB126" s="183"/>
      <c r="AC126" s="183"/>
      <c r="AD126" s="183"/>
      <c r="AJ126" s="135"/>
    </row>
    <row r="127" spans="9:36" x14ac:dyDescent="0.35">
      <c r="I127" s="109">
        <v>2.8382791329100002E-2</v>
      </c>
      <c r="J127" s="109">
        <v>3.4899087470562392E-10</v>
      </c>
      <c r="K127" s="109">
        <v>4.0263984398816244E-11</v>
      </c>
      <c r="L127" s="156">
        <v>6.3718602056290489E-11</v>
      </c>
      <c r="R127" s="60">
        <v>1233.2949256420657</v>
      </c>
      <c r="S127" s="57">
        <v>1.6844559294332856E-6</v>
      </c>
      <c r="U127" s="127">
        <v>1.3709435637251709E-10</v>
      </c>
      <c r="V127" s="127">
        <v>6.3718602056290489E-11</v>
      </c>
      <c r="W127" s="128">
        <v>2.2758472847698927E-10</v>
      </c>
      <c r="X127" s="128">
        <f t="shared" si="2"/>
        <v>1.2302907224052183E-10</v>
      </c>
      <c r="Y127" s="139">
        <f t="shared" si="3"/>
        <v>31.494633766158806</v>
      </c>
      <c r="AA127" s="73"/>
      <c r="AB127" s="183"/>
      <c r="AC127" s="183"/>
      <c r="AD127" s="183"/>
      <c r="AJ127" s="135"/>
    </row>
    <row r="128" spans="9:36" x14ac:dyDescent="0.35">
      <c r="I128" s="109">
        <v>2.86666192424E-2</v>
      </c>
      <c r="J128" s="109">
        <v>4.3122168513590851E-10</v>
      </c>
      <c r="K128" s="109">
        <v>4.5619378897990675E-11</v>
      </c>
      <c r="L128" s="156">
        <v>1.3035060927022231E-10</v>
      </c>
      <c r="R128" s="60">
        <v>1233.7494710966112</v>
      </c>
      <c r="S128" s="57">
        <v>1.6844559294332856E-6</v>
      </c>
      <c r="U128" s="127">
        <v>6.7689735228934083E-11</v>
      </c>
      <c r="V128" s="127">
        <v>1.3035060927022231E-10</v>
      </c>
      <c r="W128" s="128">
        <v>4.1359323016074857E-10</v>
      </c>
      <c r="X128" s="128">
        <f t="shared" ref="X128:X191" si="4">(U128+2*V128+W128)/4</f>
        <v>1.8549604598253182E-10</v>
      </c>
      <c r="Y128" s="139">
        <f t="shared" ref="Y128:Y191" si="5">(J128-X128)*(J128-X128)/(K128*K128)</f>
        <v>29.01363949785372</v>
      </c>
      <c r="AA128" s="73"/>
      <c r="AB128" s="183"/>
      <c r="AC128" s="183"/>
      <c r="AD128" s="183"/>
      <c r="AJ128" s="135"/>
    </row>
    <row r="129" spans="9:36" x14ac:dyDescent="0.35">
      <c r="I129" s="109">
        <v>2.89532854348E-2</v>
      </c>
      <c r="J129" s="109">
        <v>5.8780632926668603E-10</v>
      </c>
      <c r="K129" s="109">
        <v>5.3705856088243576E-11</v>
      </c>
      <c r="L129" s="156">
        <v>2.6964478835320081E-10</v>
      </c>
      <c r="R129" s="60">
        <v>1233.7494710966112</v>
      </c>
      <c r="S129" s="57">
        <v>1.6891230225464175E-6</v>
      </c>
      <c r="U129" s="127">
        <v>7.3058379724637997E-11</v>
      </c>
      <c r="V129" s="127">
        <v>2.6964478835320081E-10</v>
      </c>
      <c r="W129" s="128">
        <v>6.4467602176449303E-10</v>
      </c>
      <c r="X129" s="128">
        <f t="shared" si="4"/>
        <v>3.1425599454888315E-10</v>
      </c>
      <c r="Y129" s="139">
        <f t="shared" si="5"/>
        <v>25.94365817045297</v>
      </c>
      <c r="AA129" s="73"/>
      <c r="AB129" s="183"/>
      <c r="AC129" s="183"/>
      <c r="AD129" s="183"/>
      <c r="AJ129" s="135"/>
    </row>
    <row r="130" spans="9:36" x14ac:dyDescent="0.35">
      <c r="I130" s="109">
        <v>2.9242818289200001E-2</v>
      </c>
      <c r="J130" s="109">
        <v>7.9862649454578402E-10</v>
      </c>
      <c r="K130" s="109">
        <v>6.3754667571327328E-11</v>
      </c>
      <c r="L130" s="156">
        <v>4.6880285020754019E-10</v>
      </c>
      <c r="R130" s="60">
        <v>1234.2040165511567</v>
      </c>
      <c r="S130" s="57">
        <v>1.6891230225464175E-6</v>
      </c>
      <c r="U130" s="127">
        <v>1.5526846196280332E-10</v>
      </c>
      <c r="V130" s="127">
        <v>4.6880285020754019E-10</v>
      </c>
      <c r="W130" s="127">
        <v>8.9614479273320731E-10</v>
      </c>
      <c r="X130" s="128">
        <f t="shared" si="4"/>
        <v>4.9725473877777275E-10</v>
      </c>
      <c r="Y130" s="139">
        <f t="shared" si="5"/>
        <v>22.345039430876621</v>
      </c>
      <c r="AA130" s="73"/>
      <c r="AB130" s="183"/>
      <c r="AC130" s="183"/>
      <c r="AD130" s="183"/>
      <c r="AJ130" s="135"/>
    </row>
    <row r="131" spans="9:36" x14ac:dyDescent="0.35">
      <c r="I131" s="109">
        <v>2.9535246472099999E-2</v>
      </c>
      <c r="J131" s="49">
        <v>9.6876883266073533E-10</v>
      </c>
      <c r="K131" s="49">
        <v>7.1648291244775779E-11</v>
      </c>
      <c r="L131" s="156">
        <v>7.0767902590449696E-10</v>
      </c>
      <c r="R131" s="60">
        <v>1234.2040165511567</v>
      </c>
      <c r="S131" s="57">
        <v>1.6936728781738011E-6</v>
      </c>
      <c r="U131" s="127">
        <v>3.0814398436804585E-10</v>
      </c>
      <c r="V131" s="127">
        <v>7.0767902590449696E-10</v>
      </c>
      <c r="W131" s="127">
        <v>1.1397775344872405E-9</v>
      </c>
      <c r="X131" s="128">
        <f t="shared" si="4"/>
        <v>7.1581989266607006E-10</v>
      </c>
      <c r="Y131" s="139">
        <f t="shared" si="5"/>
        <v>12.46390278728488</v>
      </c>
      <c r="AA131" s="73"/>
      <c r="AB131" s="183"/>
      <c r="AC131" s="183"/>
      <c r="AD131" s="183"/>
      <c r="AJ131" s="135"/>
    </row>
    <row r="132" spans="9:36" x14ac:dyDescent="0.35">
      <c r="I132" s="109">
        <v>2.9830598936799999E-2</v>
      </c>
      <c r="J132" s="49">
        <v>1.1952503897722909E-9</v>
      </c>
      <c r="K132" s="49">
        <v>8.2447321386996522E-11</v>
      </c>
      <c r="L132" s="156">
        <v>9.6063218724180415E-10</v>
      </c>
      <c r="R132" s="60">
        <v>1234.6585620057022</v>
      </c>
      <c r="S132" s="57">
        <v>1.6936728781738011E-6</v>
      </c>
      <c r="U132" s="127">
        <v>5.1741115616837871E-10</v>
      </c>
      <c r="V132" s="127">
        <v>9.6063218724180415E-10</v>
      </c>
      <c r="W132" s="127">
        <v>1.346957729269302E-9</v>
      </c>
      <c r="X132" s="128">
        <f t="shared" si="4"/>
        <v>9.4640831498032229E-10</v>
      </c>
      <c r="Y132" s="139">
        <f t="shared" si="5"/>
        <v>9.1094997122099191</v>
      </c>
      <c r="AA132" s="73"/>
      <c r="AB132" s="183"/>
      <c r="AC132" s="183"/>
      <c r="AD132" s="183"/>
      <c r="AJ132" s="135"/>
    </row>
    <row r="133" spans="9:36" x14ac:dyDescent="0.35">
      <c r="I133" s="109">
        <v>3.01289049262E-2</v>
      </c>
      <c r="J133" s="49">
        <v>1.3531877914074803E-9</v>
      </c>
      <c r="K133" s="49">
        <v>9.0880498864296727E-11</v>
      </c>
      <c r="L133" s="156">
        <v>1.1991767701755474E-9</v>
      </c>
      <c r="R133" s="60">
        <v>1234.6585620057022</v>
      </c>
      <c r="S133" s="57">
        <v>1.6982083343074465E-6</v>
      </c>
      <c r="U133" s="127">
        <v>7.6178863227411824E-10</v>
      </c>
      <c r="V133" s="127">
        <v>1.1991767701755474E-9</v>
      </c>
      <c r="W133" s="127">
        <v>1.4921169884837201E-9</v>
      </c>
      <c r="X133" s="128">
        <f t="shared" si="4"/>
        <v>1.1630647902772333E-9</v>
      </c>
      <c r="Y133" s="139">
        <f t="shared" si="5"/>
        <v>4.376509923786549</v>
      </c>
      <c r="AA133" s="73"/>
      <c r="AB133" s="183"/>
      <c r="AC133" s="183"/>
      <c r="AD133" s="183"/>
      <c r="AJ133" s="135"/>
    </row>
    <row r="134" spans="9:36" x14ac:dyDescent="0.35">
      <c r="I134" s="109">
        <v>3.0430193975400002E-2</v>
      </c>
      <c r="J134" s="49">
        <v>1.4938594638813404E-9</v>
      </c>
      <c r="K134" s="49">
        <v>9.8072780205811641E-11</v>
      </c>
      <c r="L134" s="156">
        <v>1.3951891719647682E-9</v>
      </c>
      <c r="R134" s="60">
        <v>1235.1131074602476</v>
      </c>
      <c r="S134" s="57">
        <v>1.6982083343074465E-6</v>
      </c>
      <c r="U134" s="127">
        <v>1.0149822697469521E-9</v>
      </c>
      <c r="V134" s="127">
        <v>1.3951891719647682E-9</v>
      </c>
      <c r="W134" s="127">
        <v>1.5560877671260267E-9</v>
      </c>
      <c r="X134" s="128">
        <f t="shared" si="4"/>
        <v>1.3403620952006288E-9</v>
      </c>
      <c r="Y134" s="139">
        <f t="shared" si="5"/>
        <v>2.4496548401738147</v>
      </c>
      <c r="AA134" s="73"/>
      <c r="AB134" s="183"/>
      <c r="AC134" s="183"/>
      <c r="AD134" s="183"/>
      <c r="AJ134" s="135"/>
    </row>
    <row r="135" spans="9:36" x14ac:dyDescent="0.35">
      <c r="I135" s="109">
        <v>3.07344959152E-2</v>
      </c>
      <c r="J135" s="49">
        <v>1.5190534415196762E-9</v>
      </c>
      <c r="K135" s="49">
        <v>9.5215168949239989E-11</v>
      </c>
      <c r="L135" s="156">
        <v>1.5243341964452357E-9</v>
      </c>
      <c r="R135" s="60">
        <v>1235.1131074602476</v>
      </c>
      <c r="S135" s="57">
        <v>1.7029486550938797E-6</v>
      </c>
      <c r="U135" s="127">
        <v>1.2484327282665661E-9</v>
      </c>
      <c r="V135" s="127">
        <v>1.5243341964452357E-9</v>
      </c>
      <c r="W135" s="127">
        <v>1.5289382843329208E-9</v>
      </c>
      <c r="X135" s="128">
        <f t="shared" si="4"/>
        <v>1.4565098513724896E-9</v>
      </c>
      <c r="Y135" s="139">
        <f t="shared" si="5"/>
        <v>0.4314727071248719</v>
      </c>
      <c r="AA135" s="73"/>
      <c r="AB135" s="183"/>
      <c r="AC135" s="183"/>
      <c r="AD135" s="183"/>
      <c r="AJ135" s="135"/>
    </row>
    <row r="136" spans="9:36" x14ac:dyDescent="0.35">
      <c r="I136" s="109">
        <v>3.1041840874300002E-2</v>
      </c>
      <c r="J136" s="49">
        <v>1.6182802779640384E-9</v>
      </c>
      <c r="K136" s="49">
        <v>1.0193699729577516E-10</v>
      </c>
      <c r="L136" s="156">
        <v>1.5693123608838553E-9</v>
      </c>
      <c r="R136" s="60">
        <v>1235.5676529147931</v>
      </c>
      <c r="S136" s="57">
        <v>1.7029486550938797E-6</v>
      </c>
      <c r="U136" s="127">
        <v>1.4345585754989324E-9</v>
      </c>
      <c r="V136" s="127">
        <v>1.5693123608838553E-9</v>
      </c>
      <c r="W136" s="127">
        <v>1.4118731523826354E-9</v>
      </c>
      <c r="X136" s="128">
        <f t="shared" si="4"/>
        <v>1.4962641124123197E-9</v>
      </c>
      <c r="Y136" s="139">
        <f t="shared" si="5"/>
        <v>1.4327521616723793</v>
      </c>
      <c r="AA136" s="73"/>
      <c r="AB136" s="183"/>
      <c r="AC136" s="183"/>
      <c r="AD136" s="183"/>
      <c r="AJ136" s="135"/>
    </row>
    <row r="137" spans="9:36" x14ac:dyDescent="0.35">
      <c r="I137" s="109">
        <v>3.1352259283100002E-2</v>
      </c>
      <c r="J137" s="49">
        <v>1.5257518118699123E-9</v>
      </c>
      <c r="K137" s="49">
        <v>1.0136986563366516E-10</v>
      </c>
      <c r="L137" s="156">
        <v>1.5225035198855757E-9</v>
      </c>
      <c r="R137" s="60">
        <v>1235.5676529147931</v>
      </c>
      <c r="S137" s="57">
        <v>1.7082921918558109E-6</v>
      </c>
      <c r="U137" s="127">
        <v>1.550150525799359E-9</v>
      </c>
      <c r="V137" s="127">
        <v>1.5225035198855757E-9</v>
      </c>
      <c r="W137" s="127">
        <v>1.2178479629929633E-9</v>
      </c>
      <c r="X137" s="128">
        <f t="shared" si="4"/>
        <v>1.4532513821408686E-9</v>
      </c>
      <c r="Y137" s="139">
        <f t="shared" si="5"/>
        <v>0.5115209433317669</v>
      </c>
      <c r="AA137" s="73"/>
      <c r="AB137" s="183"/>
      <c r="AC137" s="183"/>
      <c r="AD137" s="183"/>
      <c r="AJ137" s="135"/>
    </row>
    <row r="138" spans="9:36" x14ac:dyDescent="0.35">
      <c r="I138" s="109">
        <v>3.1665781875900002E-2</v>
      </c>
      <c r="J138" s="49">
        <v>1.3646857813513261E-9</v>
      </c>
      <c r="K138" s="49">
        <v>1.0040658044533168E-10</v>
      </c>
      <c r="L138" s="156">
        <v>1.3876041850958375E-9</v>
      </c>
      <c r="R138" s="60">
        <v>1236.0221983693386</v>
      </c>
      <c r="S138" s="57">
        <v>1.7082921918558109E-6</v>
      </c>
      <c r="U138" s="127">
        <v>1.5795150571604303E-9</v>
      </c>
      <c r="V138" s="127">
        <v>1.3876041850958375E-9</v>
      </c>
      <c r="W138" s="127">
        <v>9.7066818968157343E-10</v>
      </c>
      <c r="X138" s="128">
        <f t="shared" si="4"/>
        <v>1.3313479042584198E-9</v>
      </c>
      <c r="Y138" s="139">
        <f t="shared" si="5"/>
        <v>0.11024312849724516</v>
      </c>
      <c r="AA138" s="73"/>
      <c r="AB138" s="183"/>
      <c r="AC138" s="183"/>
      <c r="AD138" s="183"/>
      <c r="AJ138" s="135"/>
    </row>
    <row r="139" spans="9:36" x14ac:dyDescent="0.35">
      <c r="I139" s="109">
        <v>3.19824396947E-2</v>
      </c>
      <c r="J139" s="49">
        <v>1.1149781596054579E-9</v>
      </c>
      <c r="K139" s="49">
        <v>9.4416892305099273E-11</v>
      </c>
      <c r="L139" s="156">
        <v>1.179931953471344E-9</v>
      </c>
      <c r="R139" s="60">
        <v>1236.0221983693386</v>
      </c>
      <c r="S139" s="57">
        <v>1.71489584742656E-6</v>
      </c>
      <c r="U139" s="127">
        <v>1.5169479280629818E-9</v>
      </c>
      <c r="V139" s="127">
        <v>1.179931953471344E-9</v>
      </c>
      <c r="W139" s="127">
        <v>7.0251948433628842E-10</v>
      </c>
      <c r="X139" s="128">
        <f t="shared" si="4"/>
        <v>1.1448328298354896E-9</v>
      </c>
      <c r="Y139" s="139">
        <f t="shared" si="5"/>
        <v>9.9982767417419488E-2</v>
      </c>
      <c r="AA139" s="73"/>
      <c r="AB139" s="183"/>
      <c r="AC139" s="183"/>
      <c r="AD139" s="183"/>
      <c r="AJ139" s="135"/>
    </row>
    <row r="140" spans="9:36" x14ac:dyDescent="0.35">
      <c r="I140" s="109">
        <v>3.2302264091600003E-2</v>
      </c>
      <c r="J140" s="49">
        <v>9.1135913386979647E-10</v>
      </c>
      <c r="K140" s="49">
        <v>8.5772644837438589E-11</v>
      </c>
      <c r="L140" s="156">
        <v>9.2520315850587584E-10</v>
      </c>
      <c r="R140" s="60">
        <v>1236.4767438238841</v>
      </c>
      <c r="S140" s="57">
        <v>1.71489584742656E-6</v>
      </c>
      <c r="U140" s="127">
        <v>1.36814866945763E-9</v>
      </c>
      <c r="V140" s="127">
        <v>9.2520315850587584E-10</v>
      </c>
      <c r="W140" s="127">
        <v>4.5009467544753846E-10</v>
      </c>
      <c r="X140" s="128">
        <f t="shared" si="4"/>
        <v>9.1716241547923005E-10</v>
      </c>
      <c r="Y140" s="139">
        <f t="shared" si="5"/>
        <v>4.5777248712612056E-3</v>
      </c>
      <c r="AA140" s="73"/>
      <c r="AB140" s="183"/>
      <c r="AC140" s="183"/>
      <c r="AD140" s="183"/>
      <c r="AJ140" s="135"/>
    </row>
    <row r="141" spans="9:36" x14ac:dyDescent="0.35">
      <c r="I141" s="109">
        <v>3.2625286732500001E-2</v>
      </c>
      <c r="J141" s="49">
        <v>7.2094451388386436E-10</v>
      </c>
      <c r="K141" s="49">
        <v>7.6299708452259601E-11</v>
      </c>
      <c r="L141" s="156">
        <v>6.5677430552644353E-10</v>
      </c>
      <c r="R141" s="60">
        <v>1236.4767438238841</v>
      </c>
      <c r="S141" s="57">
        <v>1.7237625308375588E-6</v>
      </c>
      <c r="U141" s="127">
        <v>1.1502720684125084E-9</v>
      </c>
      <c r="V141" s="127">
        <v>6.5677430552644353E-10</v>
      </c>
      <c r="W141" s="127">
        <v>2.4971680482810254E-10</v>
      </c>
      <c r="X141" s="128">
        <f t="shared" si="4"/>
        <v>6.783843710733745E-10</v>
      </c>
      <c r="Y141" s="139">
        <f t="shared" si="5"/>
        <v>0.31114325888943789</v>
      </c>
      <c r="AA141" s="73"/>
      <c r="AB141" s="183"/>
      <c r="AC141" s="183"/>
      <c r="AD141" s="183"/>
      <c r="AJ141" s="135"/>
    </row>
    <row r="142" spans="9:36" x14ac:dyDescent="0.35">
      <c r="I142" s="109">
        <v>3.29515395999E-2</v>
      </c>
      <c r="J142" s="49">
        <v>7.1799104929509606E-10</v>
      </c>
      <c r="K142" s="49">
        <v>7.9633560933364884E-11</v>
      </c>
      <c r="L142" s="156">
        <v>4.1155843327529196E-10</v>
      </c>
      <c r="R142" s="60">
        <v>1236.9312892784296</v>
      </c>
      <c r="S142" s="57">
        <v>1.7237625308375588E-6</v>
      </c>
      <c r="U142" s="127">
        <v>8.9045321507830858E-10</v>
      </c>
      <c r="V142" s="127">
        <v>4.1155843327529196E-10</v>
      </c>
      <c r="W142" s="127">
        <v>1.3207011824312326E-10</v>
      </c>
      <c r="X142" s="128">
        <f t="shared" si="4"/>
        <v>4.6141004996800396E-10</v>
      </c>
      <c r="Y142" s="139">
        <f t="shared" si="5"/>
        <v>10.381418814233822</v>
      </c>
      <c r="AA142" s="73"/>
      <c r="AB142" s="183"/>
      <c r="AC142" s="183"/>
      <c r="AD142" s="183"/>
      <c r="AJ142" s="135"/>
    </row>
    <row r="143" spans="9:36" x14ac:dyDescent="0.35">
      <c r="I143" s="109">
        <v>3.3281054995899999E-2</v>
      </c>
      <c r="J143" s="49">
        <v>5.8043827067867994E-10</v>
      </c>
      <c r="K143" s="49">
        <v>7.0684978197235737E-11</v>
      </c>
      <c r="L143" s="156">
        <v>2.2505645463580646E-10</v>
      </c>
      <c r="R143" s="60">
        <v>1236.9312892784296</v>
      </c>
      <c r="S143" s="57">
        <v>1.7363170998646439E-6</v>
      </c>
      <c r="U143" s="127">
        <v>6.2283209494636575E-10</v>
      </c>
      <c r="V143" s="127">
        <v>2.2505645463580646E-10</v>
      </c>
      <c r="W143" s="127">
        <v>1.1729862701997929E-10</v>
      </c>
      <c r="X143" s="128">
        <f t="shared" si="4"/>
        <v>2.9756090780948949E-10</v>
      </c>
      <c r="Y143" s="139">
        <f t="shared" si="5"/>
        <v>16.015560136648812</v>
      </c>
      <c r="AA143" s="73"/>
      <c r="AB143" s="183"/>
      <c r="AC143" s="183"/>
      <c r="AD143" s="183"/>
      <c r="AJ143" s="135"/>
    </row>
    <row r="144" spans="9:36" x14ac:dyDescent="0.35">
      <c r="I144" s="109">
        <v>3.3613865545800002E-2</v>
      </c>
      <c r="J144" s="49">
        <v>4.5904279782890981E-10</v>
      </c>
      <c r="K144" s="49">
        <v>6.4316232088950208E-11</v>
      </c>
      <c r="L144" s="156">
        <v>1.2614270459211832E-10</v>
      </c>
      <c r="O144" s="30"/>
      <c r="R144" s="60">
        <v>1237.3858347329751</v>
      </c>
      <c r="S144" s="57">
        <v>1.7363170998646439E-6</v>
      </c>
      <c r="U144" s="127">
        <v>3.8432443510554088E-10</v>
      </c>
      <c r="V144" s="127">
        <v>1.2614270459211832E-10</v>
      </c>
      <c r="W144" s="127">
        <v>2.1127444513426582E-10</v>
      </c>
      <c r="X144" s="128">
        <f t="shared" si="4"/>
        <v>2.1197107235601082E-10</v>
      </c>
      <c r="Y144" s="139">
        <f t="shared" si="5"/>
        <v>14.757232138735525</v>
      </c>
      <c r="AA144" s="73"/>
      <c r="AB144" s="183"/>
      <c r="AC144" s="183"/>
      <c r="AD144" s="183"/>
      <c r="AJ144" s="135"/>
    </row>
    <row r="145" spans="9:36" x14ac:dyDescent="0.35">
      <c r="I145" s="109">
        <v>3.3950004201300003E-2</v>
      </c>
      <c r="J145" s="49">
        <v>5.3177873038546898E-10</v>
      </c>
      <c r="K145" s="49">
        <v>7.1714331011380625E-11</v>
      </c>
      <c r="L145" s="156">
        <v>1.3237107015903177E-10</v>
      </c>
      <c r="R145" s="60">
        <v>1237.3858347329751</v>
      </c>
      <c r="S145" s="57">
        <v>1.7544398916111714E-6</v>
      </c>
      <c r="U145" s="127">
        <v>2.0960840109458969E-10</v>
      </c>
      <c r="V145" s="127">
        <v>1.3237107015903177E-10</v>
      </c>
      <c r="W145" s="127">
        <v>4.0374928631348247E-10</v>
      </c>
      <c r="X145" s="128">
        <f t="shared" si="4"/>
        <v>2.1952495693153392E-10</v>
      </c>
      <c r="Y145" s="139">
        <f t="shared" si="5"/>
        <v>18.958478823270454</v>
      </c>
      <c r="AA145" s="73"/>
      <c r="AB145" s="183"/>
      <c r="AC145" s="183"/>
      <c r="AD145" s="183"/>
      <c r="AJ145" s="135"/>
    </row>
    <row r="146" spans="9:36" x14ac:dyDescent="0.35">
      <c r="I146" s="109">
        <v>3.4289504243299997E-2</v>
      </c>
      <c r="J146" s="49">
        <v>6.3810109726101902E-10</v>
      </c>
      <c r="K146" s="49">
        <v>8.0842145973599949E-11</v>
      </c>
      <c r="L146" s="156">
        <v>2.46586039613335E-10</v>
      </c>
      <c r="R146" s="60">
        <v>1237.8403801875206</v>
      </c>
      <c r="S146" s="57">
        <v>1.7544398916111714E-6</v>
      </c>
      <c r="U146" s="127">
        <v>1.2598355139533929E-10</v>
      </c>
      <c r="V146" s="127">
        <v>2.46586039613335E-10</v>
      </c>
      <c r="W146" s="127">
        <v>6.6887870689613039E-10</v>
      </c>
      <c r="X146" s="128">
        <f t="shared" si="4"/>
        <v>3.2200858437953494E-10</v>
      </c>
      <c r="Y146" s="139">
        <f t="shared" si="5"/>
        <v>15.288073120656312</v>
      </c>
      <c r="AA146" s="73"/>
      <c r="AB146" s="183"/>
      <c r="AC146" s="183"/>
      <c r="AD146" s="183"/>
      <c r="AJ146" s="135"/>
    </row>
    <row r="147" spans="9:36" x14ac:dyDescent="0.35">
      <c r="I147" s="109">
        <v>3.46323992857E-2</v>
      </c>
      <c r="J147" s="49">
        <v>9.1762711997456425E-10</v>
      </c>
      <c r="K147" s="49">
        <v>9.5065550561736484E-11</v>
      </c>
      <c r="L147" s="156">
        <v>4.5550994703813552E-10</v>
      </c>
      <c r="R147" s="60">
        <v>1237.8403801875206</v>
      </c>
      <c r="S147" s="57">
        <v>1.7804195814472903E-6</v>
      </c>
      <c r="U147" s="127">
        <v>1.4886830805960162E-10</v>
      </c>
      <c r="V147" s="127">
        <v>4.5550994703813552E-10</v>
      </c>
      <c r="W147" s="127">
        <v>9.6827260435026713E-10</v>
      </c>
      <c r="X147" s="128">
        <f t="shared" si="4"/>
        <v>5.0704020162153498E-10</v>
      </c>
      <c r="Y147" s="139">
        <f t="shared" si="5"/>
        <v>18.653652461464652</v>
      </c>
      <c r="AA147" s="73"/>
      <c r="AB147" s="183"/>
      <c r="AC147" s="183"/>
      <c r="AD147" s="183"/>
      <c r="AJ147" s="135"/>
    </row>
    <row r="148" spans="9:36" x14ac:dyDescent="0.35">
      <c r="I148" s="109">
        <v>3.49787232786E-2</v>
      </c>
      <c r="J148" s="49">
        <v>8.8010089126004922E-10</v>
      </c>
      <c r="K148" s="49">
        <v>9.3376849201879182E-11</v>
      </c>
      <c r="L148" s="156">
        <v>7.3073467339126674E-10</v>
      </c>
      <c r="R148" s="60">
        <v>1238.2949256420661</v>
      </c>
      <c r="S148" s="57">
        <v>1.7804195814472903E-6</v>
      </c>
      <c r="U148" s="127">
        <v>2.7870077030411078E-10</v>
      </c>
      <c r="V148" s="127">
        <v>7.3073467339126674E-10</v>
      </c>
      <c r="W148" s="127">
        <v>1.2563231895880924E-9</v>
      </c>
      <c r="X148" s="128">
        <f t="shared" si="4"/>
        <v>7.4912332666868408E-10</v>
      </c>
      <c r="Y148" s="139">
        <f t="shared" si="5"/>
        <v>1.9675029430867157</v>
      </c>
      <c r="AA148" s="73"/>
      <c r="AB148" s="183"/>
      <c r="AC148" s="183"/>
      <c r="AD148" s="183"/>
      <c r="AJ148" s="135"/>
    </row>
    <row r="149" spans="9:36" x14ac:dyDescent="0.35">
      <c r="I149" s="109">
        <v>3.5328510511399999E-2</v>
      </c>
      <c r="J149" s="49">
        <v>1.3467471549388397E-9</v>
      </c>
      <c r="K149" s="49">
        <v>1.2213336102964165E-10</v>
      </c>
      <c r="L149" s="156">
        <v>1.0321994783218021E-9</v>
      </c>
      <c r="R149" s="60">
        <v>1238.2949256420661</v>
      </c>
      <c r="S149" s="57">
        <v>1.8167899573124624E-6</v>
      </c>
      <c r="U149" s="127">
        <v>4.9987670717043118E-10</v>
      </c>
      <c r="V149" s="127">
        <v>1.0321994783218021E-9</v>
      </c>
      <c r="W149" s="127">
        <v>1.4871545995810365E-9</v>
      </c>
      <c r="X149" s="128">
        <f t="shared" si="4"/>
        <v>1.0128575658487679E-9</v>
      </c>
      <c r="Y149" s="139">
        <f t="shared" si="5"/>
        <v>7.473725414838559</v>
      </c>
      <c r="AA149" s="73"/>
      <c r="AB149" s="183"/>
      <c r="AC149" s="183"/>
      <c r="AD149" s="183"/>
      <c r="AJ149" s="135"/>
    </row>
    <row r="150" spans="9:36" x14ac:dyDescent="0.35">
      <c r="I150" s="109">
        <v>3.5681795616499999E-2</v>
      </c>
      <c r="J150" s="49">
        <v>1.2230473446208716E-9</v>
      </c>
      <c r="K150" s="49">
        <v>1.143777932051922E-10</v>
      </c>
      <c r="L150" s="156">
        <v>1.3138345769876604E-9</v>
      </c>
      <c r="R150" s="60">
        <v>1238.7494710966116</v>
      </c>
      <c r="S150" s="57">
        <v>1.8167899573124624E-6</v>
      </c>
      <c r="U150" s="127">
        <v>7.8210250975416423E-10</v>
      </c>
      <c r="V150" s="127">
        <v>1.3138345769876604E-9</v>
      </c>
      <c r="W150" s="127">
        <v>1.6221932900741623E-9</v>
      </c>
      <c r="X150" s="128">
        <f t="shared" si="4"/>
        <v>1.2579912384509118E-9</v>
      </c>
      <c r="Y150" s="139">
        <f t="shared" si="5"/>
        <v>9.3338145594507538E-2</v>
      </c>
      <c r="AA150" s="73"/>
      <c r="AB150" s="183"/>
      <c r="AC150" s="183"/>
      <c r="AD150" s="183"/>
      <c r="AJ150" s="135"/>
    </row>
    <row r="151" spans="9:36" x14ac:dyDescent="0.35">
      <c r="I151" s="109">
        <v>3.6038613572599999E-2</v>
      </c>
      <c r="J151" s="49">
        <v>1.2654856276073612E-9</v>
      </c>
      <c r="K151" s="49">
        <v>1.1341058313823058E-10</v>
      </c>
      <c r="L151" s="156">
        <v>1.5306543043688921E-9</v>
      </c>
      <c r="R151" s="60">
        <v>1238.7494710966116</v>
      </c>
      <c r="S151" s="57">
        <v>1.8660333945018442E-6</v>
      </c>
      <c r="U151" s="127">
        <v>1.0841885721092981E-9</v>
      </c>
      <c r="V151" s="127">
        <v>1.5306543043688921E-9</v>
      </c>
      <c r="W151" s="127">
        <v>1.6371383167682595E-9</v>
      </c>
      <c r="X151" s="128">
        <f t="shared" si="4"/>
        <v>1.4456588744038354E-9</v>
      </c>
      <c r="Y151" s="139">
        <f t="shared" si="5"/>
        <v>2.5239075485390527</v>
      </c>
      <c r="AA151" s="73"/>
      <c r="AB151" s="183"/>
      <c r="AC151" s="183"/>
      <c r="AD151" s="183"/>
      <c r="AJ151" s="135"/>
    </row>
    <row r="152" spans="9:36" x14ac:dyDescent="0.35">
      <c r="I152" s="109">
        <v>3.63989997084E-2</v>
      </c>
      <c r="J152" s="49">
        <v>1.3750707672157707E-9</v>
      </c>
      <c r="K152" s="49">
        <v>1.2730477772020207E-10</v>
      </c>
      <c r="L152" s="156">
        <v>1.6462600618338087E-9</v>
      </c>
      <c r="R152" s="60">
        <v>1239.2040165511571</v>
      </c>
      <c r="S152" s="57">
        <v>1.8660333945018442E-6</v>
      </c>
      <c r="U152" s="127">
        <v>1.3599091864114442E-9</v>
      </c>
      <c r="V152" s="127">
        <v>1.6462600618338087E-9</v>
      </c>
      <c r="W152" s="127">
        <v>1.5270675375950422E-9</v>
      </c>
      <c r="X152" s="128">
        <f t="shared" si="4"/>
        <v>1.5448742119185259E-9</v>
      </c>
      <c r="Y152" s="139">
        <f t="shared" si="5"/>
        <v>1.7791132195433745</v>
      </c>
      <c r="AA152" s="73"/>
      <c r="AB152" s="183"/>
      <c r="AC152" s="183"/>
      <c r="AD152" s="183"/>
      <c r="AJ152" s="135"/>
    </row>
    <row r="153" spans="9:36" x14ac:dyDescent="0.35">
      <c r="I153" s="109">
        <v>3.6762989705399998E-2</v>
      </c>
      <c r="J153" s="49">
        <v>1.7136281206626462E-9</v>
      </c>
      <c r="K153" s="49">
        <v>1.4090416678577672E-10</v>
      </c>
      <c r="L153" s="156">
        <v>1.6399264475626001E-9</v>
      </c>
      <c r="R153" s="60">
        <v>1239.2040165511571</v>
      </c>
      <c r="S153" s="57">
        <v>1.9301680527670717E-6</v>
      </c>
      <c r="U153" s="127">
        <v>1.5653458699257543E-9</v>
      </c>
      <c r="V153" s="127">
        <v>1.6399264475626001E-9</v>
      </c>
      <c r="W153" s="127">
        <v>1.3090097304469419E-9</v>
      </c>
      <c r="X153" s="128">
        <f t="shared" si="4"/>
        <v>1.538552123874474E-9</v>
      </c>
      <c r="Y153" s="139">
        <f t="shared" si="5"/>
        <v>1.5438515672944668</v>
      </c>
      <c r="AA153" s="73"/>
      <c r="AB153" s="183"/>
      <c r="AC153" s="183"/>
      <c r="AD153" s="183"/>
      <c r="AJ153" s="135"/>
    </row>
    <row r="154" spans="9:36" x14ac:dyDescent="0.35">
      <c r="I154" s="109">
        <v>3.7130619602499998E-2</v>
      </c>
      <c r="J154" s="49">
        <v>1.2778058487148261E-9</v>
      </c>
      <c r="K154" s="49">
        <v>1.2705478902814418E-10</v>
      </c>
      <c r="L154" s="156">
        <v>1.5096476158033428E-9</v>
      </c>
      <c r="R154" s="60">
        <v>1239.6585620057026</v>
      </c>
      <c r="S154" s="57">
        <v>1.9301680527670717E-6</v>
      </c>
      <c r="U154" s="127">
        <v>1.6657328279234028E-9</v>
      </c>
      <c r="V154" s="127">
        <v>1.5096476158033428E-9</v>
      </c>
      <c r="W154" s="127">
        <v>1.0186286991234638E-9</v>
      </c>
      <c r="X154" s="128">
        <f t="shared" si="4"/>
        <v>1.4259141896633881E-9</v>
      </c>
      <c r="Y154" s="139">
        <f t="shared" si="5"/>
        <v>1.3588670112650874</v>
      </c>
      <c r="AA154" s="73"/>
      <c r="AB154" s="183"/>
      <c r="AC154" s="183"/>
      <c r="AD154" s="183"/>
      <c r="AJ154" s="135"/>
    </row>
    <row r="155" spans="9:36" x14ac:dyDescent="0.35">
      <c r="I155" s="109">
        <v>3.7501925798500001E-2</v>
      </c>
      <c r="J155" s="49">
        <v>1.2142893029265753E-9</v>
      </c>
      <c r="K155" s="49">
        <v>1.2403340240127053E-10</v>
      </c>
      <c r="L155" s="156">
        <v>1.2759117828089017E-9</v>
      </c>
      <c r="R155" s="60">
        <v>1239.6585620057026</v>
      </c>
      <c r="S155" s="57">
        <v>2.0102795067473101E-6</v>
      </c>
      <c r="U155" s="127">
        <v>1.6424784845424379E-9</v>
      </c>
      <c r="V155" s="127">
        <v>1.2759117828089017E-9</v>
      </c>
      <c r="W155" s="127">
        <v>7.076901694119268E-10</v>
      </c>
      <c r="X155" s="128">
        <f t="shared" si="4"/>
        <v>1.2254980548930419E-9</v>
      </c>
      <c r="Y155" s="139">
        <f t="shared" si="5"/>
        <v>8.1665232651804594E-3</v>
      </c>
      <c r="AA155" s="73"/>
      <c r="AB155" s="183"/>
      <c r="AC155" s="183"/>
      <c r="AD155" s="183"/>
      <c r="AJ155" s="135"/>
    </row>
    <row r="156" spans="9:36" x14ac:dyDescent="0.35">
      <c r="I156" s="109">
        <v>3.7876945056500001E-2</v>
      </c>
      <c r="J156" s="49">
        <v>1.0367114204635983E-9</v>
      </c>
      <c r="K156" s="49">
        <v>1.1307773933557656E-10</v>
      </c>
      <c r="L156" s="156">
        <v>9.7817382384475141E-10</v>
      </c>
      <c r="R156" s="60">
        <v>1240.1131074602481</v>
      </c>
      <c r="S156" s="57">
        <v>2.0102795067473101E-6</v>
      </c>
      <c r="U156" s="127">
        <v>1.4971771299491859E-9</v>
      </c>
      <c r="V156" s="127">
        <v>9.7817382384475141E-10</v>
      </c>
      <c r="W156" s="127">
        <v>4.336893914375044E-10</v>
      </c>
      <c r="X156" s="128">
        <f t="shared" si="4"/>
        <v>9.7180354226904839E-10</v>
      </c>
      <c r="Y156" s="139">
        <f t="shared" si="5"/>
        <v>0.32948874955302182</v>
      </c>
      <c r="AA156" s="73"/>
      <c r="AB156" s="183"/>
      <c r="AC156" s="183"/>
      <c r="AD156" s="183"/>
      <c r="AJ156" s="135"/>
    </row>
    <row r="157" spans="9:36" x14ac:dyDescent="0.35">
      <c r="I157" s="109">
        <v>3.8255714507099997E-2</v>
      </c>
      <c r="J157" s="49">
        <v>8.3383164829761248E-10</v>
      </c>
      <c r="K157" s="49">
        <v>1.0475788971553405E-10</v>
      </c>
      <c r="L157" s="156">
        <v>6.692788571508173E-10</v>
      </c>
      <c r="R157" s="60">
        <v>1240.1131074602481</v>
      </c>
      <c r="S157" s="57">
        <v>2.1060967167652985E-6</v>
      </c>
      <c r="U157" s="127">
        <v>1.2526801778824599E-9</v>
      </c>
      <c r="V157" s="127">
        <v>6.692788571508173E-10</v>
      </c>
      <c r="W157" s="127">
        <v>2.4984617642971065E-10</v>
      </c>
      <c r="X157" s="128">
        <f t="shared" si="4"/>
        <v>7.1027101715345124E-10</v>
      </c>
      <c r="Y157" s="139">
        <f t="shared" si="5"/>
        <v>1.3911909810462195</v>
      </c>
      <c r="AA157" s="73"/>
      <c r="AB157" s="183"/>
      <c r="AC157" s="183"/>
      <c r="AD157" s="183"/>
      <c r="AJ157" s="135"/>
    </row>
    <row r="158" spans="9:36" x14ac:dyDescent="0.35">
      <c r="I158" s="109">
        <v>3.8638271652100001E-2</v>
      </c>
      <c r="J158" s="49">
        <v>4.8954974031520773E-10</v>
      </c>
      <c r="K158" s="49">
        <v>8.4049583215249503E-11</v>
      </c>
      <c r="L158" s="156">
        <v>4.0656639168577803E-10</v>
      </c>
      <c r="R158" s="60">
        <v>1240.5676529147936</v>
      </c>
      <c r="S158" s="57">
        <v>2.1060967167652985E-6</v>
      </c>
      <c r="U158" s="127">
        <v>9.5044113828026089E-10</v>
      </c>
      <c r="V158" s="127">
        <v>4.0656639168577803E-10</v>
      </c>
      <c r="W158" s="127">
        <v>1.9457384740185443E-10</v>
      </c>
      <c r="X158" s="128">
        <f t="shared" si="4"/>
        <v>4.8953694226341779E-10</v>
      </c>
      <c r="Y158" s="139">
        <f t="shared" si="5"/>
        <v>2.3185507058208162E-8</v>
      </c>
      <c r="AA158" s="73"/>
      <c r="AB158" s="183"/>
      <c r="AC158" s="183"/>
      <c r="AD158" s="183"/>
      <c r="AJ158" s="135"/>
    </row>
    <row r="159" spans="9:36" x14ac:dyDescent="0.35">
      <c r="I159" s="109">
        <v>3.90246543687E-2</v>
      </c>
      <c r="J159" s="49">
        <v>4.4796227653215555E-10</v>
      </c>
      <c r="K159" s="49">
        <v>9.0739041433227326E-11</v>
      </c>
      <c r="L159" s="156">
        <v>2.4134166378027539E-10</v>
      </c>
      <c r="R159" s="60">
        <v>1240.5676529147936</v>
      </c>
      <c r="S159" s="57">
        <v>2.2157296560062247E-6</v>
      </c>
      <c r="U159" s="127">
        <v>6.4423184487981459E-10</v>
      </c>
      <c r="V159" s="127">
        <v>2.4134166378027539E-10</v>
      </c>
      <c r="W159" s="127">
        <v>2.8298155204738417E-10</v>
      </c>
      <c r="X159" s="128">
        <f t="shared" si="4"/>
        <v>3.5247418112193741E-10</v>
      </c>
      <c r="Y159" s="139">
        <f t="shared" si="5"/>
        <v>1.1074141998961029</v>
      </c>
      <c r="AA159" s="73"/>
      <c r="AB159" s="183"/>
      <c r="AC159" s="183"/>
      <c r="AD159" s="183"/>
      <c r="AJ159" s="135"/>
    </row>
    <row r="160" spans="9:36" x14ac:dyDescent="0.35">
      <c r="I160" s="109">
        <v>3.9414900912399999E-2</v>
      </c>
      <c r="J160" s="49">
        <v>6.3034322592111308E-10</v>
      </c>
      <c r="K160" s="49">
        <v>9.6881017834551313E-11</v>
      </c>
      <c r="L160" s="157">
        <v>2.0861059034284931E-10</v>
      </c>
      <c r="M160" s="32"/>
      <c r="R160" s="60">
        <v>1241.0221983693391</v>
      </c>
      <c r="S160" s="57">
        <v>2.2157296560062247E-6</v>
      </c>
      <c r="U160" s="127">
        <v>3.9101376685443569E-10</v>
      </c>
      <c r="V160" s="127">
        <v>2.0861059034284931E-10</v>
      </c>
      <c r="W160" s="127">
        <v>5.0236441543449619E-10</v>
      </c>
      <c r="X160" s="128">
        <f t="shared" si="4"/>
        <v>3.2764984074365761E-10</v>
      </c>
      <c r="Y160" s="139">
        <f t="shared" si="5"/>
        <v>9.7617678427967185</v>
      </c>
      <c r="AA160" s="73"/>
      <c r="AB160" s="183"/>
      <c r="AC160" s="183"/>
      <c r="AD160" s="183"/>
      <c r="AJ160" s="135"/>
    </row>
    <row r="161" spans="1:36" x14ac:dyDescent="0.35">
      <c r="I161" s="109">
        <v>3.98090499215E-2</v>
      </c>
      <c r="J161" s="49">
        <v>5.6886573646570733E-10</v>
      </c>
      <c r="K161" s="49">
        <v>9.4211294469409902E-11</v>
      </c>
      <c r="L161" s="157">
        <v>3.1916893245784868E-10</v>
      </c>
      <c r="M161" s="32"/>
      <c r="R161" s="60">
        <v>1241.0221983693391</v>
      </c>
      <c r="S161" s="57">
        <v>2.3356682978451038E-6</v>
      </c>
      <c r="U161" s="127">
        <v>2.4041073584297394E-10</v>
      </c>
      <c r="V161" s="127">
        <v>3.1916893245784868E-10</v>
      </c>
      <c r="W161" s="127">
        <v>8.1302965473238634E-10</v>
      </c>
      <c r="X161" s="128">
        <f t="shared" si="4"/>
        <v>4.2294456387276444E-10</v>
      </c>
      <c r="Y161" s="139">
        <f t="shared" si="5"/>
        <v>2.3990023846342696</v>
      </c>
      <c r="AA161" s="73"/>
      <c r="AB161" s="183"/>
      <c r="AC161" s="183"/>
      <c r="AD161" s="183"/>
      <c r="AJ161" s="135"/>
    </row>
    <row r="162" spans="1:36" x14ac:dyDescent="0.35">
      <c r="I162" s="109">
        <v>4.0207140420699998E-2</v>
      </c>
      <c r="J162" s="49">
        <v>6.9092796083198118E-10</v>
      </c>
      <c r="K162" s="49">
        <v>1.0906722228029874E-10</v>
      </c>
      <c r="L162" s="157">
        <v>5.5590942110114665E-10</v>
      </c>
      <c r="M162" s="32"/>
      <c r="R162" s="60">
        <v>1241.4767438238846</v>
      </c>
      <c r="S162" s="57">
        <v>2.3356682978451038E-6</v>
      </c>
      <c r="U162" s="127">
        <v>2.2470224559700621E-10</v>
      </c>
      <c r="V162" s="127">
        <v>5.5590942110114665E-10</v>
      </c>
      <c r="W162" s="127">
        <v>1.1548206328331687E-9</v>
      </c>
      <c r="X162" s="128">
        <f t="shared" si="4"/>
        <v>6.2283543015811702E-10</v>
      </c>
      <c r="Y162" s="139">
        <f t="shared" si="5"/>
        <v>0.38977182709667491</v>
      </c>
      <c r="AA162" s="73"/>
      <c r="AB162" s="183"/>
      <c r="AC162" s="183"/>
      <c r="AD162" s="183"/>
      <c r="AJ162" s="135"/>
    </row>
    <row r="163" spans="1:36" x14ac:dyDescent="0.35">
      <c r="I163" s="109">
        <v>4.0609211824900002E-2</v>
      </c>
      <c r="J163" s="49">
        <v>1.1057339541900283E-9</v>
      </c>
      <c r="K163" s="49">
        <v>1.3590038792153159E-10</v>
      </c>
      <c r="L163" s="157">
        <v>8.7554498528131682E-10</v>
      </c>
      <c r="M163" s="32"/>
      <c r="R163" s="60">
        <v>1241.4767438238846</v>
      </c>
      <c r="S163" s="57">
        <v>2.4295176589392118E-6</v>
      </c>
      <c r="U163" s="127">
        <v>3.5139898668673079E-10</v>
      </c>
      <c r="V163" s="127">
        <v>8.7554498528131682E-10</v>
      </c>
      <c r="W163" s="127">
        <v>1.4585064478792908E-9</v>
      </c>
      <c r="X163" s="128">
        <f t="shared" si="4"/>
        <v>8.9024885128216381E-10</v>
      </c>
      <c r="Y163" s="139">
        <f t="shared" si="5"/>
        <v>2.5141611446024004</v>
      </c>
      <c r="AA163" s="73"/>
      <c r="AB163" s="183"/>
      <c r="AC163" s="183"/>
      <c r="AD163" s="183"/>
      <c r="AJ163" s="135"/>
    </row>
    <row r="164" spans="1:36" x14ac:dyDescent="0.35">
      <c r="I164" s="109">
        <v>4.1015303943099997E-2</v>
      </c>
      <c r="J164" s="49">
        <v>1.100490686912588E-9</v>
      </c>
      <c r="K164" s="49">
        <v>1.3990038508442364E-10</v>
      </c>
      <c r="L164" s="157">
        <v>1.2159274236465805E-9</v>
      </c>
      <c r="M164" s="32"/>
      <c r="R164" s="60">
        <v>1241.7040165511573</v>
      </c>
      <c r="S164" s="57">
        <v>2.4295176589392118E-6</v>
      </c>
      <c r="U164" s="127">
        <v>6.001837952284543E-10</v>
      </c>
      <c r="V164" s="127">
        <v>1.2159274236465805E-9</v>
      </c>
      <c r="W164" s="127">
        <v>1.6600433810996013E-9</v>
      </c>
      <c r="X164" s="128">
        <f t="shared" si="4"/>
        <v>1.1730205059053041E-9</v>
      </c>
      <c r="Y164" s="139">
        <f t="shared" si="5"/>
        <v>0.26877902080802213</v>
      </c>
      <c r="AA164" s="73"/>
      <c r="AB164" s="183"/>
      <c r="AC164" s="183"/>
      <c r="AD164" s="183"/>
      <c r="AJ164" s="135"/>
    </row>
    <row r="165" spans="1:36" x14ac:dyDescent="0.35">
      <c r="I165" s="109">
        <v>4.1425456982600001E-2</v>
      </c>
      <c r="J165" s="49">
        <v>1.2159638468663249E-9</v>
      </c>
      <c r="K165" s="49">
        <v>1.482730885787312E-10</v>
      </c>
      <c r="L165" s="157">
        <v>1.5079500633660519E-9</v>
      </c>
      <c r="M165" s="32"/>
      <c r="R165" s="60">
        <v>1241.7040165511573</v>
      </c>
      <c r="S165" s="57">
        <v>2.5000403822831728E-6</v>
      </c>
      <c r="U165" s="127">
        <v>9.2529613513695179E-10</v>
      </c>
      <c r="V165" s="127">
        <v>1.5079500633660519E-9</v>
      </c>
      <c r="W165" s="127">
        <v>1.7148492947401981E-9</v>
      </c>
      <c r="X165" s="128">
        <f t="shared" si="4"/>
        <v>1.4140113891523135E-9</v>
      </c>
      <c r="Y165" s="139">
        <f t="shared" si="5"/>
        <v>1.7840796779402723</v>
      </c>
      <c r="AA165" s="73"/>
      <c r="AB165" s="183"/>
      <c r="AC165" s="183"/>
      <c r="AD165" s="183"/>
      <c r="AJ165" s="135"/>
    </row>
    <row r="166" spans="1:36" x14ac:dyDescent="0.35">
      <c r="I166" s="109">
        <v>4.1839711552400002E-2</v>
      </c>
      <c r="J166" s="49">
        <v>1.3793739394553565E-9</v>
      </c>
      <c r="K166" s="49">
        <v>1.620479076544801E-10</v>
      </c>
      <c r="L166" s="157">
        <v>1.6899039560415989E-9</v>
      </c>
      <c r="M166" s="32"/>
      <c r="R166" s="60">
        <v>1241.9783473498867</v>
      </c>
      <c r="S166" s="57">
        <v>2.5000403822831728E-6</v>
      </c>
      <c r="U166" s="127">
        <v>1.2634022277890337E-9</v>
      </c>
      <c r="V166" s="127">
        <v>1.6899039560415989E-9</v>
      </c>
      <c r="W166" s="127">
        <v>1.6088950368131321E-9</v>
      </c>
      <c r="X166" s="128">
        <f t="shared" si="4"/>
        <v>1.5630262941713409E-9</v>
      </c>
      <c r="Y166" s="139">
        <f t="shared" si="5"/>
        <v>1.2844172998268708</v>
      </c>
      <c r="AA166" s="73"/>
      <c r="AB166" s="183"/>
      <c r="AC166" s="183"/>
      <c r="AD166" s="183"/>
      <c r="AJ166" s="135"/>
    </row>
    <row r="167" spans="1:36" x14ac:dyDescent="0.35">
      <c r="I167" s="109">
        <v>4.2258108667900002E-2</v>
      </c>
      <c r="J167" s="49">
        <v>1.3211878690164697E-9</v>
      </c>
      <c r="K167" s="49">
        <v>1.6013865165668577E-10</v>
      </c>
      <c r="L167" s="157">
        <v>1.7213682045616408E-9</v>
      </c>
      <c r="M167" s="32"/>
      <c r="R167" s="60">
        <v>1241.9783473498867</v>
      </c>
      <c r="S167" s="57">
        <v>2.5757225525322249E-6</v>
      </c>
      <c r="U167" s="127">
        <v>1.5458127114149387E-9</v>
      </c>
      <c r="V167" s="127">
        <v>1.7213682045616408E-9</v>
      </c>
      <c r="W167" s="127">
        <v>1.363760881188538E-9</v>
      </c>
      <c r="X167" s="128">
        <f t="shared" si="4"/>
        <v>1.5880775004316896E-9</v>
      </c>
      <c r="Y167" s="139">
        <f t="shared" si="5"/>
        <v>2.7776087321355978</v>
      </c>
      <c r="AA167" s="73"/>
      <c r="AB167" s="183"/>
      <c r="AC167" s="183"/>
      <c r="AD167" s="183"/>
      <c r="AJ167" s="135"/>
    </row>
    <row r="168" spans="1:36" x14ac:dyDescent="0.35">
      <c r="I168" s="109">
        <v>4.2680689754600001E-2</v>
      </c>
      <c r="J168" s="49">
        <v>1.4172544713092415E-9</v>
      </c>
      <c r="K168" s="49">
        <v>1.767184853181726E-10</v>
      </c>
      <c r="L168" s="157">
        <v>1.5934770979316149E-9</v>
      </c>
      <c r="M168" s="32"/>
      <c r="R168" s="60">
        <v>1242.257365175519</v>
      </c>
      <c r="S168" s="57">
        <v>2.5757225525322249E-6</v>
      </c>
      <c r="U168" s="127">
        <v>1.7128291693535604E-9</v>
      </c>
      <c r="V168" s="127">
        <v>1.5934770979316149E-9</v>
      </c>
      <c r="W168" s="127">
        <v>1.0338618873001701E-9</v>
      </c>
      <c r="X168" s="128">
        <f t="shared" si="4"/>
        <v>1.4834113131292402E-9</v>
      </c>
      <c r="Y168" s="139">
        <f t="shared" si="5"/>
        <v>0.14014756891754271</v>
      </c>
      <c r="AA168" s="73"/>
      <c r="AB168" s="183"/>
      <c r="AC168" s="183"/>
      <c r="AD168" s="183"/>
      <c r="AJ168" s="135"/>
    </row>
    <row r="169" spans="1:36" x14ac:dyDescent="0.35">
      <c r="I169" s="109">
        <v>4.3107496652199997E-2</v>
      </c>
      <c r="J169" s="49">
        <v>1.1057041847326194E-9</v>
      </c>
      <c r="K169" s="49">
        <v>1.548432782003655E-10</v>
      </c>
      <c r="L169" s="157">
        <v>1.3328556397504842E-9</v>
      </c>
      <c r="M169" s="32"/>
      <c r="R169" s="60">
        <v>1242.257365175519</v>
      </c>
      <c r="S169" s="57">
        <v>2.6513899201141974E-6</v>
      </c>
      <c r="U169" s="127">
        <v>1.727273333205252E-9</v>
      </c>
      <c r="V169" s="127">
        <v>1.3328556397504842E-9</v>
      </c>
      <c r="W169" s="127">
        <v>6.9568861121048186E-10</v>
      </c>
      <c r="X169" s="128">
        <f t="shared" si="4"/>
        <v>1.2721683059791756E-9</v>
      </c>
      <c r="Y169" s="139">
        <f t="shared" si="5"/>
        <v>1.1557304893207936</v>
      </c>
      <c r="AA169" s="73"/>
      <c r="AB169" s="183"/>
      <c r="AC169" s="183"/>
      <c r="AD169" s="183"/>
      <c r="AJ169" s="135"/>
    </row>
    <row r="170" spans="1:36" x14ac:dyDescent="0.35">
      <c r="I170" s="109">
        <v>4.3538571618699999E-2</v>
      </c>
      <c r="J170" s="49">
        <v>1.0268618938267954E-9</v>
      </c>
      <c r="K170" s="49">
        <v>6.8559003971391364E-11</v>
      </c>
      <c r="L170" s="157">
        <v>9.9765940187541745E-10</v>
      </c>
      <c r="M170" s="32"/>
      <c r="R170" s="60">
        <v>1242.5462606583887</v>
      </c>
      <c r="S170" s="57">
        <v>2.6513899201141974E-6</v>
      </c>
      <c r="U170" s="127">
        <v>1.5840898560821687E-9</v>
      </c>
      <c r="V170" s="127">
        <v>9.9765940187541745E-10</v>
      </c>
      <c r="W170" s="127">
        <v>4.308429104491807E-10</v>
      </c>
      <c r="X170" s="128">
        <f t="shared" si="4"/>
        <v>1.002562892570546E-9</v>
      </c>
      <c r="Y170" s="139">
        <f t="shared" si="5"/>
        <v>0.12561683531240306</v>
      </c>
      <c r="AA170" s="73"/>
      <c r="AB170" s="183"/>
      <c r="AC170" s="183"/>
      <c r="AD170" s="183"/>
      <c r="AJ170" s="135"/>
    </row>
    <row r="171" spans="1:36" x14ac:dyDescent="0.35">
      <c r="I171" s="109">
        <v>4.3973957334899998E-2</v>
      </c>
      <c r="J171" s="49">
        <v>9.3348803663975144E-10</v>
      </c>
      <c r="K171" s="49">
        <v>6.6298298043487644E-11</v>
      </c>
      <c r="L171" s="157">
        <v>6.6584431599284652E-10</v>
      </c>
      <c r="M171" s="32"/>
      <c r="R171" s="60">
        <v>1242.5462606583887</v>
      </c>
      <c r="S171" s="57">
        <v>2.7269931385250332E-6</v>
      </c>
      <c r="U171" s="127">
        <v>1.3134375024556848E-9</v>
      </c>
      <c r="V171" s="127">
        <v>6.6584431599284652E-10</v>
      </c>
      <c r="W171" s="127">
        <v>3.064312571130244E-10</v>
      </c>
      <c r="X171" s="128">
        <f t="shared" si="4"/>
        <v>7.3788934788860052E-10</v>
      </c>
      <c r="Y171" s="139">
        <f t="shared" si="5"/>
        <v>8.7041650723776254</v>
      </c>
      <c r="AA171" s="73"/>
      <c r="AB171" s="183"/>
      <c r="AC171" s="183"/>
      <c r="AD171" s="183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4.4413696908199997E-2</v>
      </c>
      <c r="J172" s="49">
        <v>6.857808334766531E-10</v>
      </c>
      <c r="K172" s="49">
        <v>5.4336948899110654E-11</v>
      </c>
      <c r="L172" s="157">
        <v>4.1770952761661077E-10</v>
      </c>
      <c r="M172" s="32"/>
      <c r="N172" s="18"/>
      <c r="O172" s="18"/>
      <c r="P172" s="30"/>
      <c r="Q172" s="65"/>
      <c r="R172" s="62">
        <v>1242.8513765180551</v>
      </c>
      <c r="S172" s="61">
        <v>2.7269931385250332E-6</v>
      </c>
      <c r="T172" s="75"/>
      <c r="U172" s="127">
        <v>9.7588604461090157E-10</v>
      </c>
      <c r="V172" s="127">
        <v>4.1770952761661077E-10</v>
      </c>
      <c r="W172" s="127">
        <v>3.5750624575695568E-10</v>
      </c>
      <c r="X172" s="128">
        <f t="shared" si="4"/>
        <v>5.4220283640026971E-10</v>
      </c>
      <c r="Y172" s="139">
        <f t="shared" si="5"/>
        <v>6.9820874535968827</v>
      </c>
      <c r="AA172" s="73"/>
      <c r="AB172" s="183"/>
      <c r="AC172" s="183"/>
      <c r="AD172" s="183"/>
      <c r="AE172" s="75"/>
      <c r="AF172" s="75"/>
      <c r="AG172" s="75"/>
      <c r="AH172" s="75"/>
      <c r="AI172" s="159"/>
      <c r="AJ172" s="135"/>
    </row>
    <row r="173" spans="1:36" x14ac:dyDescent="0.35">
      <c r="I173" s="109">
        <v>4.4857833877300003E-2</v>
      </c>
      <c r="J173" s="49">
        <v>5.7349755123032133E-10</v>
      </c>
      <c r="K173" s="49">
        <v>4.7631754432053481E-11</v>
      </c>
      <c r="L173" s="157">
        <v>3.1645090321010909E-10</v>
      </c>
      <c r="M173" s="32"/>
      <c r="R173" s="60">
        <v>1242.8513765180551</v>
      </c>
      <c r="S173" s="57">
        <v>2.802411166912967E-6</v>
      </c>
      <c r="U173" s="127">
        <v>6.5004901400621777E-10</v>
      </c>
      <c r="V173" s="127">
        <v>3.1645090321010909E-10</v>
      </c>
      <c r="W173" s="127">
        <v>5.7629230458792562E-10</v>
      </c>
      <c r="X173" s="128">
        <f t="shared" si="4"/>
        <v>4.6481078125359039E-10</v>
      </c>
      <c r="Y173" s="139">
        <f t="shared" si="5"/>
        <v>5.206671860494656</v>
      </c>
      <c r="AA173" s="73"/>
      <c r="AB173" s="183"/>
      <c r="AC173" s="183"/>
      <c r="AD173" s="183"/>
      <c r="AJ173" s="135"/>
    </row>
    <row r="174" spans="1:36" x14ac:dyDescent="0.35">
      <c r="I174" s="109">
        <v>4.5306412216100003E-2</v>
      </c>
      <c r="J174" s="49">
        <v>5.9442267615424909E-10</v>
      </c>
      <c r="K174" s="49">
        <v>4.9557210424870756E-11</v>
      </c>
      <c r="L174" s="157">
        <v>3.9144104734770577E-10</v>
      </c>
      <c r="M174" s="32"/>
      <c r="R174" s="60">
        <v>1243.1812313677426</v>
      </c>
      <c r="S174" s="57">
        <v>2.802411166912967E-6</v>
      </c>
      <c r="U174" s="127">
        <v>4.148744023788364E-10</v>
      </c>
      <c r="V174" s="127">
        <v>3.9144104734770577E-10</v>
      </c>
      <c r="W174" s="127">
        <v>9.1169615396234411E-10</v>
      </c>
      <c r="X174" s="128">
        <f t="shared" si="4"/>
        <v>5.2736316275914804E-10</v>
      </c>
      <c r="Y174" s="139">
        <f t="shared" si="5"/>
        <v>1.8310790406803794</v>
      </c>
      <c r="AA174" s="73"/>
      <c r="AB174" s="183"/>
      <c r="AC174" s="183"/>
      <c r="AD174" s="183"/>
      <c r="AJ174" s="135"/>
    </row>
    <row r="175" spans="1:36" x14ac:dyDescent="0.35">
      <c r="I175" s="109">
        <v>4.5759476338200003E-2</v>
      </c>
      <c r="J175" s="49">
        <v>7.6732536551578827E-10</v>
      </c>
      <c r="K175" s="49">
        <v>5.7994721309218049E-11</v>
      </c>
      <c r="L175" s="157">
        <v>6.288179205118166E-10</v>
      </c>
      <c r="M175" s="32"/>
      <c r="R175" s="60">
        <v>1243.1812313677426</v>
      </c>
      <c r="S175" s="57">
        <v>2.8773923806993435E-6</v>
      </c>
      <c r="U175" s="127">
        <v>3.3043245854501186E-10</v>
      </c>
      <c r="V175" s="127">
        <v>6.288179205118166E-10</v>
      </c>
      <c r="W175" s="127">
        <v>1.2802322671762219E-9</v>
      </c>
      <c r="X175" s="128">
        <f t="shared" si="4"/>
        <v>7.1707514168621681E-10</v>
      </c>
      <c r="Y175" s="139">
        <f t="shared" si="5"/>
        <v>0.75075644568773037</v>
      </c>
      <c r="AA175" s="73"/>
      <c r="AB175" s="183"/>
      <c r="AC175" s="183"/>
      <c r="AD175" s="183"/>
      <c r="AJ175" s="135"/>
    </row>
    <row r="176" spans="1:36" x14ac:dyDescent="0.35">
      <c r="I176" s="109">
        <v>4.6217071101599998E-2</v>
      </c>
      <c r="J176" s="49">
        <v>9.6075285240617462E-10</v>
      </c>
      <c r="K176" s="49">
        <v>6.4639663735128802E-11</v>
      </c>
      <c r="L176" s="157">
        <v>9.7256851084232181E-10</v>
      </c>
      <c r="M176" s="32"/>
      <c r="R176" s="60">
        <v>1243.5484127769992</v>
      </c>
      <c r="S176" s="57">
        <v>2.8773923806993435E-6</v>
      </c>
      <c r="U176" s="127">
        <v>4.2190120072913384E-10</v>
      </c>
      <c r="V176" s="127">
        <v>9.7256851084232181E-10</v>
      </c>
      <c r="W176" s="127">
        <v>1.5864942061831447E-9</v>
      </c>
      <c r="X176" s="128">
        <f t="shared" si="4"/>
        <v>9.8838310714923064E-10</v>
      </c>
      <c r="Y176" s="139">
        <f t="shared" si="5"/>
        <v>0.18271390561035411</v>
      </c>
      <c r="AA176" s="73"/>
      <c r="AB176" s="183"/>
      <c r="AC176" s="183"/>
      <c r="AD176" s="183"/>
      <c r="AJ176" s="135"/>
    </row>
    <row r="177" spans="9:36" x14ac:dyDescent="0.35">
      <c r="I177" s="109">
        <v>4.6679241812599997E-2</v>
      </c>
      <c r="J177" s="49">
        <v>1.2568908577570531E-9</v>
      </c>
      <c r="K177" s="49">
        <v>7.6850430019922801E-11</v>
      </c>
      <c r="L177" s="156">
        <v>1.3368315940695546E-9</v>
      </c>
      <c r="M177" s="33"/>
      <c r="R177" s="60">
        <v>1243.5484127769992</v>
      </c>
      <c r="S177" s="57">
        <v>2.9514457649592163E-6</v>
      </c>
      <c r="U177" s="127">
        <v>6.7118799578101773E-10</v>
      </c>
      <c r="V177" s="127">
        <v>1.3368315940695546E-9</v>
      </c>
      <c r="W177" s="127">
        <v>1.7484398325944891E-9</v>
      </c>
      <c r="X177" s="128">
        <f t="shared" si="4"/>
        <v>1.273322754128654E-9</v>
      </c>
      <c r="Y177" s="139">
        <f t="shared" si="5"/>
        <v>4.5717531291889206E-2</v>
      </c>
      <c r="AA177" s="73"/>
      <c r="AB177" s="183"/>
      <c r="AC177" s="183"/>
      <c r="AD177" s="183"/>
      <c r="AJ177" s="135"/>
    </row>
    <row r="178" spans="9:36" x14ac:dyDescent="0.35">
      <c r="I178" s="109">
        <v>4.71460342308E-2</v>
      </c>
      <c r="J178" s="49">
        <v>1.3914995166733965E-9</v>
      </c>
      <c r="K178" s="49">
        <v>8.1536973474047749E-11</v>
      </c>
      <c r="L178" s="156">
        <v>1.6271547779178583E-9</v>
      </c>
      <c r="M178" s="33"/>
      <c r="R178" s="60">
        <v>1243.9736346050179</v>
      </c>
      <c r="S178" s="57">
        <v>2.9514457649592163E-6</v>
      </c>
      <c r="U178" s="127">
        <v>1.0191256425606852E-9</v>
      </c>
      <c r="V178" s="127">
        <v>1.6271547779178583E-9</v>
      </c>
      <c r="W178" s="127">
        <v>1.7208681509890484E-9</v>
      </c>
      <c r="X178" s="128">
        <f t="shared" si="4"/>
        <v>1.4985758373463627E-9</v>
      </c>
      <c r="Y178" s="139">
        <f t="shared" si="5"/>
        <v>1.7245576033633809</v>
      </c>
      <c r="AA178" s="73"/>
      <c r="AB178" s="183"/>
      <c r="AC178" s="183"/>
      <c r="AD178" s="183"/>
      <c r="AJ178" s="135"/>
    </row>
    <row r="179" spans="9:36" x14ac:dyDescent="0.35">
      <c r="I179" s="109">
        <v>4.7617494573100001E-2</v>
      </c>
      <c r="J179" s="49">
        <v>1.4852665143190412E-9</v>
      </c>
      <c r="K179" s="49">
        <v>8.3182010559134507E-11</v>
      </c>
      <c r="L179" s="156">
        <v>1.7657004949011274E-9</v>
      </c>
      <c r="M179" s="33"/>
      <c r="R179" s="60">
        <v>1243.9736346050179</v>
      </c>
      <c r="S179" s="57">
        <v>3.0236206968941626E-6</v>
      </c>
      <c r="U179" s="127">
        <v>1.378672051508301E-9</v>
      </c>
      <c r="V179" s="127">
        <v>1.7657004949011274E-9</v>
      </c>
      <c r="W179" s="127">
        <v>1.5102285966509809E-9</v>
      </c>
      <c r="X179" s="128">
        <f t="shared" si="4"/>
        <v>1.605075409490384E-9</v>
      </c>
      <c r="Y179" s="139">
        <f t="shared" si="5"/>
        <v>2.0745279955683107</v>
      </c>
      <c r="AA179" s="73"/>
      <c r="AB179" s="183"/>
      <c r="AC179" s="183"/>
      <c r="AD179" s="183"/>
      <c r="AJ179" s="135"/>
    </row>
    <row r="180" spans="9:36" x14ac:dyDescent="0.35">
      <c r="I180" s="109">
        <v>4.8093669518800002E-2</v>
      </c>
      <c r="J180" s="49">
        <v>1.3605339217297653E-9</v>
      </c>
      <c r="K180" s="49">
        <v>8.1550573660896132E-11</v>
      </c>
      <c r="L180" s="156">
        <v>1.7137194632169329E-9</v>
      </c>
      <c r="M180" s="33"/>
      <c r="R180" s="60">
        <v>1244.4961573148846</v>
      </c>
      <c r="S180" s="57">
        <v>3.0236206968941626E-6</v>
      </c>
      <c r="U180" s="127">
        <v>1.6565838926234265E-9</v>
      </c>
      <c r="V180" s="127">
        <v>1.7137194632169329E-9</v>
      </c>
      <c r="W180" s="127">
        <v>1.1756350879721152E-9</v>
      </c>
      <c r="X180" s="128">
        <f t="shared" si="4"/>
        <v>1.5649144767573519E-9</v>
      </c>
      <c r="Y180" s="139">
        <f t="shared" si="5"/>
        <v>6.280946694616155</v>
      </c>
      <c r="AA180" s="73"/>
      <c r="AB180" s="183"/>
      <c r="AC180" s="183"/>
      <c r="AD180" s="183"/>
      <c r="AJ180" s="135"/>
    </row>
    <row r="181" spans="9:36" x14ac:dyDescent="0.35">
      <c r="I181" s="109">
        <v>4.8574606213999998E-2</v>
      </c>
      <c r="J181" s="49">
        <v>1.3317063143224592E-9</v>
      </c>
      <c r="K181" s="49">
        <v>8.1925217135079635E-11</v>
      </c>
      <c r="L181" s="156">
        <v>1.4846322980539199E-9</v>
      </c>
      <c r="M181" s="33"/>
      <c r="R181" s="60">
        <v>1244.4961573148846</v>
      </c>
      <c r="S181" s="57">
        <v>3.0920102541720052E-6</v>
      </c>
      <c r="U181" s="127">
        <v>1.7784013492763249E-9</v>
      </c>
      <c r="V181" s="127">
        <v>1.4846322980539199E-9</v>
      </c>
      <c r="W181" s="127">
        <v>8.1445418486927573E-10</v>
      </c>
      <c r="X181" s="128">
        <f t="shared" si="4"/>
        <v>1.39053003256336E-9</v>
      </c>
      <c r="Y181" s="139">
        <f t="shared" si="5"/>
        <v>0.51554875601118522</v>
      </c>
      <c r="AA181" s="73"/>
      <c r="AB181" s="183"/>
      <c r="AC181" s="183"/>
      <c r="AD181" s="183"/>
      <c r="AJ181" s="135"/>
    </row>
    <row r="182" spans="9:36" x14ac:dyDescent="0.35">
      <c r="I182" s="109">
        <v>4.9060352276099999E-2</v>
      </c>
      <c r="J182" s="49">
        <v>1.1761810739462994E-9</v>
      </c>
      <c r="K182" s="49">
        <v>7.8156345838176216E-11</v>
      </c>
      <c r="L182" s="156">
        <v>1.1430289293848706E-9</v>
      </c>
      <c r="M182" s="33"/>
      <c r="R182" s="60">
        <v>1245.2093345029082</v>
      </c>
      <c r="S182" s="57">
        <v>3.0920102541720052E-6</v>
      </c>
      <c r="U182" s="127">
        <v>1.7100691448853119E-9</v>
      </c>
      <c r="V182" s="127">
        <v>1.1430289293848706E-9</v>
      </c>
      <c r="W182" s="127">
        <v>5.3532608468720091E-10</v>
      </c>
      <c r="X182" s="128">
        <f t="shared" si="4"/>
        <v>1.1328632720855635E-9</v>
      </c>
      <c r="Y182" s="139">
        <f t="shared" si="5"/>
        <v>0.30718805843469604</v>
      </c>
      <c r="AA182" s="73"/>
      <c r="AB182" s="183"/>
      <c r="AC182" s="183"/>
      <c r="AD182" s="183"/>
      <c r="AJ182" s="135"/>
    </row>
    <row r="183" spans="9:36" x14ac:dyDescent="0.35">
      <c r="I183" s="109">
        <v>4.9550955798900002E-2</v>
      </c>
      <c r="J183" s="49">
        <v>8.5606340283019783E-10</v>
      </c>
      <c r="K183" s="49">
        <v>6.5005245058592995E-11</v>
      </c>
      <c r="L183" s="156">
        <v>7.8853383186373839E-10</v>
      </c>
      <c r="M183" s="33"/>
      <c r="R183" s="60">
        <v>1245.2093345029082</v>
      </c>
      <c r="S183" s="57">
        <v>3.1524489597356358E-6</v>
      </c>
      <c r="U183" s="127">
        <v>1.4697244307443594E-9</v>
      </c>
      <c r="V183" s="127">
        <v>7.8853383186373839E-10</v>
      </c>
      <c r="W183" s="127">
        <v>4.2571672094102855E-10</v>
      </c>
      <c r="X183" s="128">
        <f t="shared" si="4"/>
        <v>8.6812720385321617E-10</v>
      </c>
      <c r="Y183" s="139">
        <f t="shared" si="5"/>
        <v>3.4440665217888099E-2</v>
      </c>
      <c r="AA183" s="73"/>
      <c r="AB183" s="183"/>
      <c r="AC183" s="183"/>
      <c r="AD183" s="183"/>
      <c r="AJ183" s="135"/>
    </row>
    <row r="184" spans="9:36" x14ac:dyDescent="0.35">
      <c r="I184" s="109">
        <v>5.0046465356900001E-2</v>
      </c>
      <c r="J184" s="49">
        <v>6.0545992973045947E-10</v>
      </c>
      <c r="K184" s="49">
        <v>5.865033421964411E-11</v>
      </c>
      <c r="L184" s="156">
        <v>5.2795699108008771E-10</v>
      </c>
      <c r="M184" s="33"/>
      <c r="R184" s="60">
        <v>1246.4909233782821</v>
      </c>
      <c r="S184" s="57">
        <v>3.1524489597356358E-6</v>
      </c>
      <c r="U184" s="127">
        <v>1.1253039163777096E-9</v>
      </c>
      <c r="V184" s="127">
        <v>5.2795699108008771E-10</v>
      </c>
      <c r="W184" s="127">
        <v>5.2367091499484279E-10</v>
      </c>
      <c r="X184" s="128">
        <f t="shared" si="4"/>
        <v>6.7622220338318199E-10</v>
      </c>
      <c r="Y184" s="139">
        <f t="shared" si="5"/>
        <v>1.4556688039433519</v>
      </c>
      <c r="AA184" s="73"/>
      <c r="AB184" s="183"/>
      <c r="AC184" s="183"/>
      <c r="AD184" s="183"/>
      <c r="AJ184" s="135"/>
    </row>
    <row r="185" spans="9:36" x14ac:dyDescent="0.35">
      <c r="I185" s="109">
        <v>5.0546930010399997E-2</v>
      </c>
      <c r="J185" s="49">
        <v>6.3335402969983968E-10</v>
      </c>
      <c r="K185" s="49">
        <v>5.9977360906608172E-11</v>
      </c>
      <c r="L185" s="156">
        <v>4.4318859778980061E-10</v>
      </c>
      <c r="M185" s="33"/>
      <c r="R185" s="60">
        <v>1246.4909233782821</v>
      </c>
      <c r="S185" s="57">
        <v>3.1942273436063003E-6</v>
      </c>
      <c r="U185" s="127">
        <v>7.7733194249641072E-10</v>
      </c>
      <c r="V185" s="127">
        <v>4.4318859778980061E-10</v>
      </c>
      <c r="W185" s="127">
        <v>8.0320247955299311E-10</v>
      </c>
      <c r="X185" s="128">
        <f t="shared" si="4"/>
        <v>6.1672790440725124E-10</v>
      </c>
      <c r="Y185" s="139">
        <f t="shared" si="5"/>
        <v>7.6843545290039991E-2</v>
      </c>
      <c r="AA185" s="73"/>
      <c r="AB185" s="183"/>
      <c r="AC185" s="183"/>
      <c r="AD185" s="183"/>
      <c r="AJ185" s="135"/>
    </row>
    <row r="186" spans="9:36" x14ac:dyDescent="0.35">
      <c r="I186" s="109">
        <v>5.1052399310499999E-2</v>
      </c>
      <c r="J186" s="49">
        <v>5.4826848417312832E-10</v>
      </c>
      <c r="K186" s="49">
        <v>5.8420517889760495E-11</v>
      </c>
      <c r="L186" s="156">
        <v>5.6451580817191645E-10</v>
      </c>
      <c r="M186" s="33"/>
      <c r="R186" s="60">
        <v>1248.2120049663563</v>
      </c>
      <c r="S186" s="57">
        <v>3.1942273436063003E-6</v>
      </c>
      <c r="U186" s="127">
        <v>5.3067421629873772E-10</v>
      </c>
      <c r="V186" s="127">
        <v>5.6451580817191645E-10</v>
      </c>
      <c r="W186" s="127">
        <v>1.1793423291395103E-9</v>
      </c>
      <c r="X186" s="128">
        <f t="shared" si="4"/>
        <v>7.0976204044552023E-10</v>
      </c>
      <c r="Y186" s="139">
        <f t="shared" si="5"/>
        <v>7.6415171364187104</v>
      </c>
      <c r="AA186" s="73"/>
      <c r="AB186" s="183"/>
      <c r="AC186" s="183"/>
      <c r="AD186" s="183"/>
      <c r="AJ186" s="135"/>
    </row>
    <row r="187" spans="9:36" x14ac:dyDescent="0.35">
      <c r="I187" s="109">
        <v>5.1562923303600003E-2</v>
      </c>
      <c r="J187" s="49">
        <v>8.5766152811551796E-10</v>
      </c>
      <c r="K187" s="49">
        <v>7.1626863697034064E-11</v>
      </c>
      <c r="L187" s="156">
        <v>8.5840132316922127E-10</v>
      </c>
      <c r="M187" s="33"/>
      <c r="R187" s="60">
        <v>1248.2120049663563</v>
      </c>
      <c r="S187" s="57">
        <v>3.1999999999999999E-6</v>
      </c>
      <c r="U187" s="127">
        <v>4.6290481115857522E-10</v>
      </c>
      <c r="V187" s="127">
        <v>8.5840132316922127E-10</v>
      </c>
      <c r="W187" s="127">
        <v>1.5329583859371303E-9</v>
      </c>
      <c r="X187" s="128">
        <f t="shared" si="4"/>
        <v>9.2816646085853702E-10</v>
      </c>
      <c r="Y187" s="139">
        <f t="shared" si="5"/>
        <v>0.96891824698678419</v>
      </c>
      <c r="AA187" s="73"/>
      <c r="AB187" s="183"/>
      <c r="AC187" s="183"/>
      <c r="AD187" s="183"/>
      <c r="AJ187" s="135"/>
    </row>
    <row r="188" spans="9:36" x14ac:dyDescent="0.35">
      <c r="I188" s="109">
        <v>5.2078552536699997E-2</v>
      </c>
      <c r="J188" s="49">
        <v>9.7663459096622176E-10</v>
      </c>
      <c r="K188" s="49">
        <v>7.6824286028727316E-11</v>
      </c>
      <c r="L188" s="156">
        <v>1.2350257027092898E-9</v>
      </c>
      <c r="M188" s="33"/>
      <c r="R188" s="60">
        <v>1276.4588732157222</v>
      </c>
      <c r="S188" s="57">
        <v>3.1999999999999999E-6</v>
      </c>
      <c r="U188" s="127">
        <v>5.9889055102278893E-10</v>
      </c>
      <c r="V188" s="127">
        <v>1.2350257027092898E-9</v>
      </c>
      <c r="W188" s="127">
        <v>1.7487549648615104E-9</v>
      </c>
      <c r="X188" s="128">
        <f t="shared" si="4"/>
        <v>1.2044242303257196E-9</v>
      </c>
      <c r="Y188" s="139">
        <f t="shared" si="5"/>
        <v>8.791659679325118</v>
      </c>
      <c r="AA188" s="73"/>
      <c r="AB188" s="183"/>
      <c r="AC188" s="183"/>
      <c r="AD188" s="183"/>
      <c r="AJ188" s="135"/>
    </row>
    <row r="189" spans="9:36" x14ac:dyDescent="0.35">
      <c r="I189" s="109">
        <v>5.2599338062100001E-2</v>
      </c>
      <c r="J189" s="49">
        <v>1.2420205886182049E-9</v>
      </c>
      <c r="K189" s="49">
        <v>9.0169478746509274E-11</v>
      </c>
      <c r="L189" s="156">
        <v>1.5748729404531773E-9</v>
      </c>
      <c r="M189" s="33"/>
      <c r="R189" s="60">
        <v>1276.4588732157222</v>
      </c>
      <c r="S189" s="57">
        <v>3.1955140395727289E-6</v>
      </c>
      <c r="U189" s="127">
        <v>9.0028417569927988E-10</v>
      </c>
      <c r="V189" s="127">
        <v>1.5748729404531773E-9</v>
      </c>
      <c r="W189" s="127">
        <v>1.7545982693006503E-9</v>
      </c>
      <c r="X189" s="128">
        <f t="shared" si="4"/>
        <v>1.4511570814765712E-9</v>
      </c>
      <c r="Y189" s="139">
        <f t="shared" si="5"/>
        <v>5.3794828011858957</v>
      </c>
      <c r="AA189" s="73"/>
      <c r="AB189" s="183"/>
      <c r="AC189" s="183"/>
      <c r="AD189" s="183"/>
      <c r="AJ189" s="135"/>
    </row>
    <row r="190" spans="9:36" x14ac:dyDescent="0.35">
      <c r="I190" s="109">
        <v>5.31253314427E-2</v>
      </c>
      <c r="J190" s="49">
        <v>1.4200588243985446E-9</v>
      </c>
      <c r="K190" s="49">
        <v>9.7781898699767573E-11</v>
      </c>
      <c r="L190" s="156">
        <v>1.7670941704973365E-9</v>
      </c>
      <c r="M190" s="33"/>
      <c r="R190" s="60">
        <v>1278.1799548037964</v>
      </c>
      <c r="S190" s="57">
        <v>3.1955140395727289E-6</v>
      </c>
      <c r="U190" s="127">
        <v>1.274691300029584E-9</v>
      </c>
      <c r="V190" s="127">
        <v>1.7670941704973365E-9</v>
      </c>
      <c r="W190" s="127">
        <v>1.5485690850365332E-9</v>
      </c>
      <c r="X190" s="128">
        <f t="shared" si="4"/>
        <v>1.5893621815151976E-9</v>
      </c>
      <c r="Y190" s="139">
        <f t="shared" si="5"/>
        <v>2.9978797433786522</v>
      </c>
      <c r="AA190" s="73"/>
      <c r="AB190" s="183"/>
      <c r="AC190" s="183"/>
      <c r="AD190" s="183"/>
      <c r="AJ190" s="135"/>
    </row>
    <row r="191" spans="9:36" x14ac:dyDescent="0.35">
      <c r="I191" s="109">
        <v>5.3656584757100001E-2</v>
      </c>
      <c r="J191" s="49">
        <v>1.2408427309560675E-9</v>
      </c>
      <c r="K191" s="49">
        <v>9.1940624738274523E-11</v>
      </c>
      <c r="L191" s="156">
        <v>1.74754111632736E-9</v>
      </c>
      <c r="M191" s="33"/>
      <c r="R191" s="60">
        <v>1278.1799548037964</v>
      </c>
      <c r="S191" s="57">
        <v>3.1630478465452543E-6</v>
      </c>
      <c r="U191" s="127">
        <v>1.603229365656579E-9</v>
      </c>
      <c r="V191" s="127">
        <v>1.74754111632736E-9</v>
      </c>
      <c r="W191" s="127">
        <v>1.203046022277752E-9</v>
      </c>
      <c r="X191" s="128">
        <f t="shared" si="4"/>
        <v>1.5753394051472628E-9</v>
      </c>
      <c r="Y191" s="139">
        <f t="shared" si="5"/>
        <v>13.236364165541548</v>
      </c>
      <c r="AA191" s="73"/>
      <c r="AB191" s="183"/>
      <c r="AC191" s="183"/>
      <c r="AD191" s="183"/>
      <c r="AJ191" s="135"/>
    </row>
    <row r="192" spans="9:36" x14ac:dyDescent="0.35">
      <c r="I192" s="109">
        <v>5.4193150604700001E-2</v>
      </c>
      <c r="J192" s="49">
        <v>1.0905358699789983E-9</v>
      </c>
      <c r="K192" s="49">
        <v>8.5697612304689384E-11</v>
      </c>
      <c r="L192" s="156">
        <v>1.5231770597440733E-9</v>
      </c>
      <c r="M192" s="33"/>
      <c r="R192" s="60">
        <v>1279.4615436791703</v>
      </c>
      <c r="S192" s="57">
        <v>3.1630478465452543E-6</v>
      </c>
      <c r="U192" s="127">
        <v>1.7788212587983916E-9</v>
      </c>
      <c r="V192" s="127">
        <v>1.5231770597440733E-9</v>
      </c>
      <c r="W192" s="127">
        <v>8.4230279331710696E-10</v>
      </c>
      <c r="X192" s="128">
        <f t="shared" ref="X192:X252" si="6">(U192+2*V192+W192)/4</f>
        <v>1.4168695429009114E-9</v>
      </c>
      <c r="Y192" s="139">
        <f t="shared" ref="Y192:Y252" si="7">(J192-X192)*(J192-X192)/(K192*K192)</f>
        <v>14.500612076493425</v>
      </c>
      <c r="AA192" s="73"/>
      <c r="AB192" s="183"/>
      <c r="AC192" s="183"/>
      <c r="AD192" s="183"/>
      <c r="AJ192" s="135"/>
    </row>
    <row r="193" spans="9:36" x14ac:dyDescent="0.35">
      <c r="I193" s="109">
        <v>5.4735082110700002E-2</v>
      </c>
      <c r="J193" s="49">
        <v>1.2550171531879247E-9</v>
      </c>
      <c r="K193" s="49">
        <v>9.6698691615758974E-11</v>
      </c>
      <c r="L193" s="156">
        <v>1.1730007940923656E-9</v>
      </c>
      <c r="M193" s="33"/>
      <c r="R193" s="60">
        <v>1279.4615436791703</v>
      </c>
      <c r="S193" s="57">
        <v>3.1160806233220189E-6</v>
      </c>
      <c r="U193" s="127">
        <v>1.7430505364567909E-9</v>
      </c>
      <c r="V193" s="127">
        <v>1.1730007940923656E-9</v>
      </c>
      <c r="W193" s="127">
        <v>5.9953734305345598E-10</v>
      </c>
      <c r="X193" s="128">
        <f t="shared" si="6"/>
        <v>1.1721473669237445E-9</v>
      </c>
      <c r="Y193" s="139">
        <f t="shared" si="7"/>
        <v>0.73443140875873381</v>
      </c>
      <c r="AA193" s="73"/>
      <c r="AB193" s="183"/>
      <c r="AC193" s="183"/>
      <c r="AD193" s="183"/>
      <c r="AJ193" s="135"/>
    </row>
    <row r="194" spans="9:36" x14ac:dyDescent="0.35">
      <c r="I194" s="109">
        <v>5.5282432931799998E-2</v>
      </c>
      <c r="J194" s="49">
        <v>8.9849436732739546E-10</v>
      </c>
      <c r="K194" s="49">
        <v>8.7876861039629501E-11</v>
      </c>
      <c r="L194" s="156">
        <v>8.2308871721532706E-10</v>
      </c>
      <c r="M194" s="33"/>
      <c r="R194" s="60">
        <v>1280.1747208671939</v>
      </c>
      <c r="S194" s="57">
        <v>3.1160806233220189E-6</v>
      </c>
      <c r="U194" s="127">
        <v>1.5086123536441464E-9</v>
      </c>
      <c r="V194" s="127">
        <v>8.2308871721532706E-10</v>
      </c>
      <c r="W194" s="127">
        <v>5.6768249719467229E-10</v>
      </c>
      <c r="X194" s="128">
        <f t="shared" si="6"/>
        <v>9.3061807131736818E-10</v>
      </c>
      <c r="Y194" s="139">
        <f t="shared" si="7"/>
        <v>0.13362944346017941</v>
      </c>
      <c r="AA194" s="73"/>
      <c r="AB194" s="183"/>
      <c r="AC194" s="183"/>
      <c r="AD194" s="183"/>
      <c r="AJ194" s="135"/>
    </row>
    <row r="195" spans="9:36" x14ac:dyDescent="0.35">
      <c r="I195" s="109">
        <v>5.5835257261100002E-2</v>
      </c>
      <c r="J195" s="49">
        <v>6.7707742694634348E-10</v>
      </c>
      <c r="K195" s="49">
        <v>6.9233228452669645E-11</v>
      </c>
      <c r="L195" s="156">
        <v>6.0269732119561435E-10</v>
      </c>
      <c r="M195" s="33"/>
      <c r="R195" s="60">
        <v>1280.1747208671939</v>
      </c>
      <c r="S195" s="57">
        <v>3.0629347530911451E-6</v>
      </c>
      <c r="U195" s="127">
        <v>1.1581443781585431E-9</v>
      </c>
      <c r="V195" s="127">
        <v>6.0269732119561435E-10</v>
      </c>
      <c r="W195" s="127">
        <v>7.6230978069914317E-10</v>
      </c>
      <c r="X195" s="128">
        <f t="shared" si="6"/>
        <v>7.8146220031222882E-10</v>
      </c>
      <c r="Y195" s="139">
        <f t="shared" si="7"/>
        <v>2.2732392052153454</v>
      </c>
      <c r="AA195" s="73"/>
      <c r="AB195" s="183"/>
      <c r="AC195" s="183"/>
      <c r="AD195" s="183"/>
      <c r="AJ195" s="135"/>
    </row>
    <row r="196" spans="9:36" x14ac:dyDescent="0.35">
      <c r="I196" s="109">
        <v>5.6393609833799999E-2</v>
      </c>
      <c r="J196" s="49">
        <v>6.8260240051813812E-10</v>
      </c>
      <c r="K196" s="49">
        <v>7.4505560632809627E-11</v>
      </c>
      <c r="L196" s="156">
        <v>5.9628695397994465E-10</v>
      </c>
      <c r="M196" s="33"/>
      <c r="R196" s="60">
        <v>1280.6972435770606</v>
      </c>
      <c r="S196" s="57">
        <v>3.0629347530911451E-6</v>
      </c>
      <c r="U196" s="127">
        <v>8.1781467156441289E-10</v>
      </c>
      <c r="V196" s="127">
        <v>5.9628695397994465E-10</v>
      </c>
      <c r="W196" s="127">
        <v>1.112144874248928E-9</v>
      </c>
      <c r="X196" s="128">
        <f t="shared" si="6"/>
        <v>7.8063336344330753E-10</v>
      </c>
      <c r="Y196" s="139">
        <f t="shared" si="7"/>
        <v>1.7312076525570927</v>
      </c>
      <c r="AA196" s="73"/>
      <c r="AB196" s="183"/>
      <c r="AC196" s="183"/>
      <c r="AD196" s="183"/>
      <c r="AJ196" s="135"/>
    </row>
    <row r="197" spans="9:36" x14ac:dyDescent="0.35">
      <c r="I197" s="109">
        <v>5.69575459321E-2</v>
      </c>
      <c r="J197" s="49">
        <v>7.0878299452536853E-10</v>
      </c>
      <c r="K197" s="49">
        <v>7.8214523879360394E-11</v>
      </c>
      <c r="L197" s="156">
        <v>8.0949852591015768E-10</v>
      </c>
      <c r="M197" s="33"/>
      <c r="R197" s="60">
        <v>1280.6972435770606</v>
      </c>
      <c r="S197" s="57">
        <v>3.0068472491034633E-6</v>
      </c>
      <c r="U197" s="127">
        <v>6.132228248702882E-10</v>
      </c>
      <c r="V197" s="127">
        <v>8.0949852591015768E-10</v>
      </c>
      <c r="W197" s="127">
        <v>1.4832909256298629E-9</v>
      </c>
      <c r="X197" s="128">
        <f t="shared" si="6"/>
        <v>9.2887770058011665E-10</v>
      </c>
      <c r="Y197" s="139">
        <f t="shared" si="7"/>
        <v>7.9185266244193659</v>
      </c>
      <c r="AA197" s="73"/>
      <c r="AB197" s="183"/>
      <c r="AC197" s="183"/>
      <c r="AD197" s="183"/>
      <c r="AJ197" s="135"/>
    </row>
    <row r="198" spans="9:36" x14ac:dyDescent="0.35">
      <c r="I198" s="109">
        <v>5.7527121391400003E-2</v>
      </c>
      <c r="J198" s="49">
        <v>9.5753515962102341E-10</v>
      </c>
      <c r="K198" s="49">
        <v>9.4554777619645634E-11</v>
      </c>
      <c r="L198" s="156">
        <v>1.1635376114326646E-9</v>
      </c>
      <c r="M198" s="33"/>
      <c r="R198" s="60">
        <v>1281.1224654050793</v>
      </c>
      <c r="S198" s="57">
        <v>3.0068472491034633E-6</v>
      </c>
      <c r="U198" s="127">
        <v>6.226657388824237E-10</v>
      </c>
      <c r="V198" s="127">
        <v>1.1635376114326646E-9</v>
      </c>
      <c r="W198" s="127">
        <v>1.7301606633051474E-9</v>
      </c>
      <c r="X198" s="128">
        <f t="shared" si="6"/>
        <v>1.1699754062632252E-9</v>
      </c>
      <c r="Y198" s="139">
        <f t="shared" si="7"/>
        <v>5.047852297853006</v>
      </c>
      <c r="AA198" s="73"/>
      <c r="AB198" s="183"/>
      <c r="AC198" s="183"/>
      <c r="AD198" s="183"/>
      <c r="AJ198" s="135"/>
    </row>
    <row r="199" spans="9:36" x14ac:dyDescent="0.35">
      <c r="I199" s="109">
        <v>5.81023926053E-2</v>
      </c>
      <c r="J199" s="49">
        <v>1.1467807066087807E-9</v>
      </c>
      <c r="K199" s="49">
        <v>1.0141025576343524E-10</v>
      </c>
      <c r="L199" s="156">
        <v>1.522554721286848E-9</v>
      </c>
      <c r="M199" s="33"/>
      <c r="R199" s="60">
        <v>1281.1224654050793</v>
      </c>
      <c r="S199" s="57">
        <v>2.9492999903305614E-6</v>
      </c>
      <c r="U199" s="127">
        <v>8.4543161148430363E-10</v>
      </c>
      <c r="V199" s="127">
        <v>1.522554721286848E-9</v>
      </c>
      <c r="W199" s="127">
        <v>1.7543509152038248E-9</v>
      </c>
      <c r="X199" s="128">
        <f t="shared" si="6"/>
        <v>1.4112229923154561E-9</v>
      </c>
      <c r="Y199" s="139">
        <f t="shared" si="7"/>
        <v>6.7998298962791015</v>
      </c>
      <c r="AA199" s="73"/>
      <c r="AB199" s="183"/>
      <c r="AC199" s="183"/>
      <c r="AD199" s="183"/>
      <c r="AJ199" s="135"/>
    </row>
    <row r="200" spans="9:36" x14ac:dyDescent="0.35">
      <c r="I200" s="109">
        <v>5.8683416531400003E-2</v>
      </c>
      <c r="J200" s="49">
        <v>1.4735860720770627E-9</v>
      </c>
      <c r="K200" s="49">
        <v>1.1822784386609785E-10</v>
      </c>
      <c r="L200" s="156">
        <v>1.7461025721644424E-9</v>
      </c>
      <c r="M200" s="33"/>
      <c r="R200" s="60">
        <v>1281.4896468143359</v>
      </c>
      <c r="S200" s="57">
        <v>2.9492999903305614E-6</v>
      </c>
      <c r="U200" s="127">
        <v>1.1988670006005374E-9</v>
      </c>
      <c r="V200" s="127">
        <v>1.7461025721644424E-9</v>
      </c>
      <c r="W200" s="127">
        <v>1.5475425191489168E-9</v>
      </c>
      <c r="X200" s="128">
        <f t="shared" si="6"/>
        <v>1.5596536660195847E-9</v>
      </c>
      <c r="Y200" s="139">
        <f t="shared" si="7"/>
        <v>0.52995596613919949</v>
      </c>
      <c r="AA200" s="73"/>
      <c r="AB200" s="183"/>
      <c r="AC200" s="183"/>
      <c r="AD200" s="183"/>
      <c r="AJ200" s="135"/>
    </row>
    <row r="201" spans="9:36" x14ac:dyDescent="0.35">
      <c r="I201" s="109">
        <v>5.92702506967E-2</v>
      </c>
      <c r="J201" s="49">
        <v>1.4015121797909126E-9</v>
      </c>
      <c r="K201" s="49">
        <v>1.1443448249471784E-10</v>
      </c>
      <c r="L201" s="156">
        <v>1.7444339486216795E-9</v>
      </c>
      <c r="M201" s="33"/>
      <c r="R201" s="60">
        <v>1281.4896468143359</v>
      </c>
      <c r="S201" s="57">
        <v>2.8910317105483899E-6</v>
      </c>
      <c r="U201" s="127">
        <v>1.5471821119178182E-9</v>
      </c>
      <c r="V201" s="127">
        <v>1.7444339486216795E-9</v>
      </c>
      <c r="W201" s="127">
        <v>1.1980355599206457E-9</v>
      </c>
      <c r="X201" s="128">
        <f t="shared" si="6"/>
        <v>1.5585213922704558E-9</v>
      </c>
      <c r="Y201" s="139">
        <f t="shared" si="7"/>
        <v>1.8825063536682449</v>
      </c>
      <c r="AA201" s="73"/>
      <c r="AB201" s="183"/>
      <c r="AC201" s="183"/>
      <c r="AD201" s="183"/>
      <c r="AJ201" s="135"/>
    </row>
    <row r="202" spans="9:36" x14ac:dyDescent="0.35">
      <c r="I202" s="109">
        <v>5.9862953203699998E-2</v>
      </c>
      <c r="J202" s="49">
        <v>1.2746544045178596E-9</v>
      </c>
      <c r="K202" s="49">
        <v>1.1733036356555448E-10</v>
      </c>
      <c r="L202" s="156">
        <v>1.5203531270450248E-9</v>
      </c>
      <c r="M202" s="33"/>
      <c r="R202" s="60">
        <v>1281.8195016640234</v>
      </c>
      <c r="S202" s="57">
        <v>2.8910317105483899E-6</v>
      </c>
      <c r="U202" s="127">
        <v>1.7535525400440397E-9</v>
      </c>
      <c r="V202" s="127">
        <v>1.5203531270450248E-9</v>
      </c>
      <c r="W202" s="127">
        <v>8.5796152432181754E-10</v>
      </c>
      <c r="X202" s="128">
        <f t="shared" si="6"/>
        <v>1.4130550796139768E-9</v>
      </c>
      <c r="Y202" s="139">
        <f t="shared" si="7"/>
        <v>1.3914114865866534</v>
      </c>
      <c r="AA202" s="73"/>
      <c r="AB202" s="183"/>
      <c r="AC202" s="183"/>
      <c r="AD202" s="183"/>
      <c r="AJ202" s="135"/>
    </row>
    <row r="203" spans="9:36" x14ac:dyDescent="0.35">
      <c r="I203" s="109">
        <v>6.0461582735700001E-2</v>
      </c>
      <c r="J203" s="49">
        <v>1.0646198979989489E-9</v>
      </c>
      <c r="K203" s="49">
        <v>1.1132790605281352E-10</v>
      </c>
      <c r="L203" s="156">
        <v>1.1700219932573711E-9</v>
      </c>
      <c r="M203" s="33"/>
      <c r="R203" s="60">
        <v>1281.8195016640234</v>
      </c>
      <c r="S203" s="57">
        <v>2.8324239799340546E-6</v>
      </c>
      <c r="U203" s="127">
        <v>1.7361644117107991E-9</v>
      </c>
      <c r="V203" s="127">
        <v>1.1700219932573711E-9</v>
      </c>
      <c r="W203" s="127">
        <v>6.7781170173756513E-10</v>
      </c>
      <c r="X203" s="128">
        <f t="shared" si="6"/>
        <v>1.1885050249907767E-9</v>
      </c>
      <c r="Y203" s="139">
        <f t="shared" si="7"/>
        <v>1.2383125076296617</v>
      </c>
      <c r="AA203" s="73"/>
      <c r="AB203" s="183"/>
      <c r="AC203" s="183"/>
      <c r="AD203" s="183"/>
      <c r="AJ203" s="135"/>
    </row>
    <row r="204" spans="9:36" x14ac:dyDescent="0.35">
      <c r="I204" s="109">
        <v>6.1066198563099999E-2</v>
      </c>
      <c r="J204" s="49">
        <v>9.0211169992036114E-10</v>
      </c>
      <c r="K204" s="49">
        <v>9.867887117261604E-11</v>
      </c>
      <c r="L204" s="156">
        <v>8.4552981363615461E-10</v>
      </c>
      <c r="M204" s="33"/>
      <c r="R204" s="60">
        <v>1282.1246175236897</v>
      </c>
      <c r="S204" s="57">
        <v>2.8324239799340546E-6</v>
      </c>
      <c r="U204" s="127">
        <v>1.5040824261254632E-9</v>
      </c>
      <c r="V204" s="127">
        <v>8.4552981363615461E-10</v>
      </c>
      <c r="W204" s="127">
        <v>7.395058394305564E-10</v>
      </c>
      <c r="X204" s="128">
        <f t="shared" si="6"/>
        <v>9.836619732070822E-10</v>
      </c>
      <c r="Y204" s="139">
        <f t="shared" si="7"/>
        <v>0.68297136596042873</v>
      </c>
      <c r="AA204" s="73"/>
      <c r="AB204" s="183"/>
      <c r="AC204" s="183"/>
      <c r="AD204" s="183"/>
      <c r="AJ204" s="135"/>
    </row>
    <row r="205" spans="9:36" x14ac:dyDescent="0.35">
      <c r="I205" s="109">
        <v>6.1676860548700002E-2</v>
      </c>
      <c r="J205" s="49">
        <v>6.8250046094698899E-10</v>
      </c>
      <c r="K205" s="49">
        <v>9.231761742825897E-11</v>
      </c>
      <c r="L205" s="156">
        <v>6.9028943960455192E-10</v>
      </c>
      <c r="M205" s="33"/>
      <c r="R205" s="60">
        <v>1282.1246175236897</v>
      </c>
      <c r="S205" s="57">
        <v>2.7736723372179748E-6</v>
      </c>
      <c r="U205" s="127">
        <v>1.1568603222761137E-9</v>
      </c>
      <c r="V205" s="127">
        <v>6.9028943960455192E-10</v>
      </c>
      <c r="W205" s="127">
        <v>1.0165766159176092E-9</v>
      </c>
      <c r="X205" s="128">
        <f t="shared" si="6"/>
        <v>8.8850395435070677E-10</v>
      </c>
      <c r="Y205" s="139">
        <f t="shared" si="7"/>
        <v>4.9794341719186832</v>
      </c>
      <c r="AA205" s="73"/>
      <c r="AB205" s="183"/>
      <c r="AC205" s="183"/>
      <c r="AD205" s="183"/>
      <c r="AJ205" s="135"/>
    </row>
    <row r="206" spans="9:36" x14ac:dyDescent="0.35">
      <c r="I206" s="109">
        <v>6.2293629154200003E-2</v>
      </c>
      <c r="J206" s="49">
        <v>8.277699669676542E-10</v>
      </c>
      <c r="K206" s="49">
        <v>1.0220239672987589E-10</v>
      </c>
      <c r="L206" s="156">
        <v>7.746606429542632E-10</v>
      </c>
      <c r="M206" s="33"/>
      <c r="R206" s="60">
        <v>1282.4135130065595</v>
      </c>
      <c r="S206" s="57">
        <v>2.7736723372179748E-6</v>
      </c>
      <c r="U206" s="127">
        <v>8.4506280434883304E-10</v>
      </c>
      <c r="V206" s="127">
        <v>7.746606429542632E-10</v>
      </c>
      <c r="W206" s="127">
        <v>1.3825323681474314E-9</v>
      </c>
      <c r="X206" s="128">
        <f t="shared" si="6"/>
        <v>9.4422911460119766E-10</v>
      </c>
      <c r="Y206" s="139">
        <f t="shared" si="7"/>
        <v>1.2984494698436573</v>
      </c>
      <c r="AA206" s="73"/>
      <c r="AB206" s="183"/>
      <c r="AC206" s="183"/>
      <c r="AD206" s="183"/>
      <c r="AJ206" s="135"/>
    </row>
    <row r="207" spans="9:36" x14ac:dyDescent="0.35">
      <c r="I207" s="109">
        <v>6.2916565445699998E-2</v>
      </c>
      <c r="J207" s="49">
        <v>8.2392888225376695E-10</v>
      </c>
      <c r="K207" s="49">
        <v>1.0469983454718697E-10</v>
      </c>
      <c r="L207" s="156">
        <v>1.061350773225505E-9</v>
      </c>
      <c r="M207" s="33"/>
      <c r="R207" s="60">
        <v>1282.4135130065595</v>
      </c>
      <c r="S207" s="57">
        <v>2.7148708438571425E-6</v>
      </c>
      <c r="U207" s="127">
        <v>7.0613818133310161E-10</v>
      </c>
      <c r="V207" s="127">
        <v>1.061350773225505E-9</v>
      </c>
      <c r="W207" s="127">
        <v>1.6670278967588736E-9</v>
      </c>
      <c r="X207" s="128">
        <f t="shared" si="6"/>
        <v>1.1239669061357462E-9</v>
      </c>
      <c r="Y207" s="139">
        <f t="shared" si="7"/>
        <v>8.2122205066628737</v>
      </c>
      <c r="AA207" s="73"/>
      <c r="AB207" s="183"/>
      <c r="AC207" s="183"/>
      <c r="AD207" s="183"/>
      <c r="AJ207" s="135"/>
    </row>
    <row r="208" spans="9:36" x14ac:dyDescent="0.35">
      <c r="I208" s="109">
        <v>6.3545731100199995E-2</v>
      </c>
      <c r="J208" s="49">
        <v>1.1338724111314064E-9</v>
      </c>
      <c r="K208" s="49">
        <v>1.301449261932962E-10</v>
      </c>
      <c r="L208" s="156">
        <v>1.4189783607655308E-9</v>
      </c>
      <c r="M208" s="33"/>
      <c r="R208" s="60">
        <v>1282.6925308321918</v>
      </c>
      <c r="S208" s="57">
        <v>2.7148708438571425E-6</v>
      </c>
      <c r="U208" s="127">
        <v>8.0262929840469868E-10</v>
      </c>
      <c r="V208" s="127">
        <v>1.4189783607655308E-9</v>
      </c>
      <c r="W208" s="127">
        <v>1.7361737870822539E-9</v>
      </c>
      <c r="X208" s="128">
        <f t="shared" si="6"/>
        <v>1.3441899517545035E-9</v>
      </c>
      <c r="Y208" s="139">
        <f t="shared" si="7"/>
        <v>2.6115389431142337</v>
      </c>
      <c r="AA208" s="73"/>
      <c r="AB208" s="183"/>
      <c r="AC208" s="183"/>
      <c r="AD208" s="183"/>
      <c r="AJ208" s="135"/>
    </row>
    <row r="209" spans="9:36" x14ac:dyDescent="0.35">
      <c r="I209" s="109">
        <v>6.4181188411200005E-2</v>
      </c>
      <c r="J209" s="49">
        <v>1.0202387630951771E-9</v>
      </c>
      <c r="K209" s="49">
        <v>1.1857549172618091E-10</v>
      </c>
      <c r="L209" s="156">
        <v>1.6808814097167624E-9</v>
      </c>
      <c r="M209" s="33"/>
      <c r="R209" s="60">
        <v>1282.6925308321918</v>
      </c>
      <c r="S209" s="57">
        <v>2.6560578472689905E-6</v>
      </c>
      <c r="U209" s="127">
        <v>1.0912122028327754E-9</v>
      </c>
      <c r="V209" s="127">
        <v>1.6808814097167624E-9</v>
      </c>
      <c r="W209" s="127">
        <v>1.5591782168189385E-9</v>
      </c>
      <c r="X209" s="128">
        <f t="shared" si="6"/>
        <v>1.5030383097713095E-9</v>
      </c>
      <c r="Y209" s="139">
        <f t="shared" si="7"/>
        <v>16.578446749045934</v>
      </c>
      <c r="AA209" s="73"/>
      <c r="AB209" s="183"/>
      <c r="AC209" s="183"/>
      <c r="AD209" s="183"/>
      <c r="AJ209" s="135"/>
    </row>
    <row r="210" spans="9:36" x14ac:dyDescent="0.35">
      <c r="I210" s="109">
        <v>6.4823000295299998E-2</v>
      </c>
      <c r="J210" s="49">
        <v>1.1332484589763443E-9</v>
      </c>
      <c r="K210" s="49">
        <v>1.3155165951649882E-10</v>
      </c>
      <c r="L210" s="157">
        <v>1.7239751211229532E-9</v>
      </c>
      <c r="M210" s="18"/>
      <c r="R210" s="60">
        <v>1282.9668616309211</v>
      </c>
      <c r="S210" s="57">
        <v>2.6560578472689905E-6</v>
      </c>
      <c r="U210" s="127">
        <v>1.439261410008E-9</v>
      </c>
      <c r="V210" s="127">
        <v>1.7239751211229532E-9</v>
      </c>
      <c r="W210" s="127">
        <v>1.2269355253196194E-9</v>
      </c>
      <c r="X210" s="128">
        <f t="shared" si="6"/>
        <v>1.5285367943933814E-9</v>
      </c>
      <c r="Y210" s="139">
        <f t="shared" si="7"/>
        <v>9.0289102434938062</v>
      </c>
      <c r="AA210" s="73"/>
      <c r="AB210" s="183"/>
      <c r="AC210" s="183"/>
      <c r="AD210" s="183"/>
      <c r="AJ210" s="135"/>
    </row>
    <row r="211" spans="9:36" x14ac:dyDescent="0.35">
      <c r="I211" s="49">
        <v>6.5471230298199998E-2</v>
      </c>
      <c r="J211" s="49">
        <v>1.1373616535843893E-9</v>
      </c>
      <c r="K211" s="49">
        <v>1.3162203882244429E-10</v>
      </c>
      <c r="L211" s="157">
        <v>1.5302525506610784E-9</v>
      </c>
      <c r="M211" s="18"/>
      <c r="R211" s="60">
        <v>1282.9668616309211</v>
      </c>
      <c r="S211" s="57">
        <v>2.5972435688836311E-6</v>
      </c>
      <c r="U211" s="127">
        <v>1.6844812988019841E-9</v>
      </c>
      <c r="V211" s="127">
        <v>1.5302525506610784E-9</v>
      </c>
      <c r="W211" s="127">
        <v>9.0967988715311289E-10</v>
      </c>
      <c r="X211" s="128">
        <f t="shared" si="6"/>
        <v>1.4136665718193134E-9</v>
      </c>
      <c r="Y211" s="139">
        <f t="shared" si="7"/>
        <v>4.406766136048943</v>
      </c>
      <c r="AA211" s="73"/>
      <c r="AB211" s="183"/>
      <c r="AC211" s="183"/>
      <c r="AD211" s="183"/>
      <c r="AJ211" s="135"/>
    </row>
    <row r="212" spans="9:36" x14ac:dyDescent="0.35">
      <c r="I212" s="49">
        <v>6.61259426012E-2</v>
      </c>
      <c r="J212" s="49">
        <v>1.1508075381353975E-9</v>
      </c>
      <c r="K212" s="49">
        <v>1.3305030491675222E-10</v>
      </c>
      <c r="L212" s="157">
        <v>1.1988931305007301E-9</v>
      </c>
      <c r="M212" s="18"/>
      <c r="R212" s="60">
        <v>1283.2411924296505</v>
      </c>
      <c r="S212" s="57">
        <v>2.5972435688836311E-6</v>
      </c>
      <c r="U212" s="127">
        <v>1.7118137931547687E-9</v>
      </c>
      <c r="V212" s="127">
        <v>1.1988931305007301E-9</v>
      </c>
      <c r="W212" s="127">
        <v>7.7146687893313159E-10</v>
      </c>
      <c r="X212" s="128">
        <f t="shared" si="6"/>
        <v>1.2202667332723402E-9</v>
      </c>
      <c r="Y212" s="139">
        <f t="shared" si="7"/>
        <v>0.27253842689271041</v>
      </c>
      <c r="AA212" s="73"/>
      <c r="AB212" s="183"/>
      <c r="AC212" s="183"/>
      <c r="AD212" s="183"/>
      <c r="AJ212" s="135"/>
    </row>
    <row r="213" spans="9:36" x14ac:dyDescent="0.35">
      <c r="I213" s="49">
        <v>6.6787202027199996E-2</v>
      </c>
      <c r="J213" s="49">
        <v>1.0537196802800755E-9</v>
      </c>
      <c r="K213" s="49">
        <v>1.2736194548301818E-10</v>
      </c>
      <c r="L213" s="157">
        <v>8.9939551780373985E-10</v>
      </c>
      <c r="M213" s="18"/>
      <c r="R213" s="60">
        <v>1283.2411924296505</v>
      </c>
      <c r="S213" s="57">
        <v>2.538430572295479E-6</v>
      </c>
      <c r="U213" s="127">
        <v>1.5109897850651723E-9</v>
      </c>
      <c r="V213" s="127">
        <v>8.9939551780373985E-10</v>
      </c>
      <c r="W213" s="127">
        <v>8.8378723499627096E-10</v>
      </c>
      <c r="X213" s="128">
        <f t="shared" si="6"/>
        <v>1.0483920139172308E-9</v>
      </c>
      <c r="Y213" s="139">
        <f t="shared" si="7"/>
        <v>1.7498252179298942E-3</v>
      </c>
      <c r="AA213" s="73"/>
      <c r="AB213" s="183"/>
      <c r="AC213" s="183"/>
      <c r="AD213" s="183"/>
      <c r="AJ213" s="135"/>
    </row>
    <row r="214" spans="9:36" x14ac:dyDescent="0.35">
      <c r="I214" s="49">
        <v>6.7455074047499994E-2</v>
      </c>
      <c r="J214" s="49">
        <v>5.519854553192976E-10</v>
      </c>
      <c r="K214" s="49">
        <v>1.0327918413706898E-10</v>
      </c>
      <c r="L214" s="157">
        <v>7.8608058454140885E-10</v>
      </c>
      <c r="M214" s="18"/>
      <c r="R214" s="60">
        <v>1283.5202102552828</v>
      </c>
      <c r="S214" s="57">
        <v>2.538430572295479E-6</v>
      </c>
      <c r="U214" s="127">
        <v>1.1845908468020544E-9</v>
      </c>
      <c r="V214" s="127">
        <v>7.8608058454140885E-10</v>
      </c>
      <c r="W214" s="127">
        <v>1.1848116920035097E-9</v>
      </c>
      <c r="X214" s="128">
        <f t="shared" si="6"/>
        <v>9.8539092697209529E-10</v>
      </c>
      <c r="Y214" s="139">
        <f t="shared" si="7"/>
        <v>17.610155170669884</v>
      </c>
      <c r="AA214" s="73"/>
      <c r="AB214" s="183"/>
      <c r="AC214" s="183"/>
      <c r="AD214" s="183"/>
      <c r="AJ214" s="135"/>
    </row>
    <row r="215" spans="9:36" x14ac:dyDescent="0.35">
      <c r="I215" s="49">
        <v>6.8129624787999998E-2</v>
      </c>
      <c r="J215" s="49">
        <v>9.6570820603256515E-10</v>
      </c>
      <c r="K215" s="49">
        <v>1.3127447650506868E-10</v>
      </c>
      <c r="L215" s="157">
        <v>9.1662408794444429E-10</v>
      </c>
      <c r="M215" s="18"/>
      <c r="R215" s="60">
        <v>1283.5202102552828</v>
      </c>
      <c r="S215" s="57">
        <v>2.4796290789346468E-6</v>
      </c>
      <c r="U215" s="127">
        <v>8.9918771856851479E-10</v>
      </c>
      <c r="V215" s="127">
        <v>9.1662408794444429E-10</v>
      </c>
      <c r="W215" s="127">
        <v>1.509626507901242E-9</v>
      </c>
      <c r="X215" s="128">
        <f t="shared" si="6"/>
        <v>1.0605156005896613E-9</v>
      </c>
      <c r="Y215" s="139">
        <f t="shared" si="7"/>
        <v>0.52158348673739607</v>
      </c>
      <c r="AA215" s="73"/>
      <c r="AB215" s="183"/>
      <c r="AC215" s="183"/>
      <c r="AD215" s="183"/>
      <c r="AJ215" s="135"/>
    </row>
    <row r="216" spans="9:36" x14ac:dyDescent="0.35">
      <c r="I216" s="49">
        <v>6.8810921035900002E-2</v>
      </c>
      <c r="J216" s="49">
        <v>9.452592089696478E-10</v>
      </c>
      <c r="K216" s="49">
        <v>1.3140121786678427E-10</v>
      </c>
      <c r="L216" s="157">
        <v>1.2187715247860958E-9</v>
      </c>
      <c r="M216" s="18"/>
      <c r="R216" s="60">
        <v>1283.8091057381525</v>
      </c>
      <c r="S216" s="57">
        <v>2.4796290789346468E-6</v>
      </c>
      <c r="U216" s="127">
        <v>8.0115535845216636E-10</v>
      </c>
      <c r="V216" s="127">
        <v>1.2187715247860958E-9</v>
      </c>
      <c r="W216" s="127">
        <v>1.6791358711374187E-9</v>
      </c>
      <c r="X216" s="128">
        <f t="shared" si="6"/>
        <v>1.2294585697904442E-9</v>
      </c>
      <c r="Y216" s="139">
        <f t="shared" si="7"/>
        <v>4.6778620771179433</v>
      </c>
      <c r="AA216" s="73"/>
      <c r="AB216" s="183"/>
      <c r="AC216" s="183"/>
      <c r="AD216" s="183"/>
      <c r="AJ216" s="135"/>
    </row>
    <row r="217" spans="9:36" x14ac:dyDescent="0.35">
      <c r="I217" s="49">
        <v>6.9499030246199994E-2</v>
      </c>
      <c r="J217" s="49">
        <v>1.1296880436594532E-9</v>
      </c>
      <c r="K217" s="49">
        <v>1.4179791862840448E-10</v>
      </c>
      <c r="L217" s="157">
        <v>1.5265650208544248E-9</v>
      </c>
      <c r="M217" s="18"/>
      <c r="R217" s="60">
        <v>1283.8091057381525</v>
      </c>
      <c r="S217" s="57">
        <v>2.420877436218567E-6</v>
      </c>
      <c r="U217" s="127">
        <v>9.3936935785979143E-10</v>
      </c>
      <c r="V217" s="127">
        <v>1.5265650208544248E-9</v>
      </c>
      <c r="W217" s="127">
        <v>1.6007969886217574E-9</v>
      </c>
      <c r="X217" s="128">
        <f t="shared" si="6"/>
        <v>1.3983240970475995E-9</v>
      </c>
      <c r="Y217" s="139">
        <f t="shared" si="7"/>
        <v>3.5891274856101401</v>
      </c>
      <c r="AA217" s="73"/>
      <c r="AB217" s="183"/>
      <c r="AC217" s="183"/>
      <c r="AD217" s="183"/>
      <c r="AJ217" s="135"/>
    </row>
    <row r="218" spans="9:36" x14ac:dyDescent="0.35">
      <c r="I218" s="49">
        <v>7.0194020548699998E-2</v>
      </c>
      <c r="J218" s="49">
        <v>1.228720518860972E-9</v>
      </c>
      <c r="K218" s="49">
        <v>1.5517181398793502E-10</v>
      </c>
      <c r="L218" s="157">
        <v>1.6701936807417825E-9</v>
      </c>
      <c r="M218" s="18"/>
      <c r="R218" s="60">
        <v>1284.1142215978189</v>
      </c>
      <c r="S218" s="57">
        <v>2.420877436218567E-6</v>
      </c>
      <c r="U218" s="127">
        <v>1.2368196827700867E-9</v>
      </c>
      <c r="V218" s="127">
        <v>1.6701936807417825E-9</v>
      </c>
      <c r="W218" s="127">
        <v>1.3236625955795827E-9</v>
      </c>
      <c r="X218" s="128">
        <f t="shared" si="6"/>
        <v>1.4752174099583085E-9</v>
      </c>
      <c r="Y218" s="139">
        <f t="shared" si="7"/>
        <v>2.5234646080070013</v>
      </c>
      <c r="AA218" s="73"/>
      <c r="AB218" s="183"/>
      <c r="AC218" s="183"/>
      <c r="AD218" s="183"/>
      <c r="AJ218" s="135"/>
    </row>
    <row r="219" spans="9:36" x14ac:dyDescent="0.35">
      <c r="I219" s="49">
        <v>7.0895960754200002E-2</v>
      </c>
      <c r="J219" s="49">
        <v>8.9462017458706152E-10</v>
      </c>
      <c r="K219" s="49">
        <v>1.3535533679579129E-10</v>
      </c>
      <c r="L219" s="157">
        <v>1.5716953377835226E-9</v>
      </c>
      <c r="M219" s="18"/>
      <c r="R219" s="60">
        <v>1284.1142215978189</v>
      </c>
      <c r="S219" s="57">
        <v>2.3622697056042317E-6</v>
      </c>
      <c r="U219" s="127">
        <v>1.5297186136926631E-9</v>
      </c>
      <c r="V219" s="127">
        <v>1.5716953377835226E-9</v>
      </c>
      <c r="W219" s="127">
        <v>1.0125844933063976E-9</v>
      </c>
      <c r="X219" s="128">
        <f t="shared" si="6"/>
        <v>1.4214234456415265E-9</v>
      </c>
      <c r="Y219" s="139">
        <f t="shared" si="7"/>
        <v>15.14768126647586</v>
      </c>
      <c r="AA219" s="73"/>
      <c r="AB219" s="183"/>
      <c r="AC219" s="183"/>
      <c r="AD219" s="183"/>
      <c r="AJ219" s="135"/>
    </row>
    <row r="220" spans="9:36" x14ac:dyDescent="0.35">
      <c r="I220" s="49">
        <v>7.1604920361700006E-2</v>
      </c>
      <c r="J220" s="49">
        <v>9.1816119576799016E-10</v>
      </c>
      <c r="K220" s="49">
        <v>1.3259344190285701E-10</v>
      </c>
      <c r="L220" s="157">
        <v>1.2915377629652947E-9</v>
      </c>
      <c r="M220" s="18"/>
      <c r="R220" s="60">
        <v>1284.4440764475064</v>
      </c>
      <c r="S220" s="57">
        <v>2.3622697056042317E-6</v>
      </c>
      <c r="U220" s="127">
        <v>1.6563720367269101E-9</v>
      </c>
      <c r="V220" s="127">
        <v>1.2915377629652947E-9</v>
      </c>
      <c r="W220" s="127">
        <v>8.5227149289742531E-10</v>
      </c>
      <c r="X220" s="128">
        <f t="shared" si="6"/>
        <v>1.2729297638887314E-9</v>
      </c>
      <c r="Y220" s="139">
        <f t="shared" si="7"/>
        <v>7.1588981153615752</v>
      </c>
      <c r="AA220" s="73"/>
      <c r="AB220" s="183"/>
      <c r="AC220" s="183"/>
      <c r="AD220" s="183"/>
      <c r="AJ220" s="135"/>
    </row>
    <row r="221" spans="9:36" x14ac:dyDescent="0.35">
      <c r="I221" s="49">
        <v>7.23209695653E-2</v>
      </c>
      <c r="J221" s="49">
        <v>9.8990157317415384E-10</v>
      </c>
      <c r="K221" s="49">
        <v>1.4750243010279723E-10</v>
      </c>
      <c r="L221" s="157">
        <v>9.958163266670372E-10</v>
      </c>
      <c r="M221" s="18"/>
      <c r="R221" s="60">
        <v>1284.4440764475064</v>
      </c>
      <c r="S221" s="57">
        <v>2.3040014258220602E-6</v>
      </c>
      <c r="U221" s="127">
        <v>1.5483203032276749E-9</v>
      </c>
      <c r="V221" s="127">
        <v>9.958163266670372E-10</v>
      </c>
      <c r="W221" s="127">
        <v>9.3568529534893945E-10</v>
      </c>
      <c r="X221" s="128">
        <f t="shared" si="6"/>
        <v>1.1189095629776723E-9</v>
      </c>
      <c r="Y221" s="139">
        <f t="shared" si="7"/>
        <v>0.76495319959684627</v>
      </c>
      <c r="AA221" s="73"/>
      <c r="AB221" s="183"/>
      <c r="AC221" s="183"/>
      <c r="AD221" s="183"/>
      <c r="AJ221" s="135"/>
    </row>
    <row r="222" spans="9:36" x14ac:dyDescent="0.35">
      <c r="I222" s="49">
        <v>7.3044179261E-2</v>
      </c>
      <c r="J222" s="49">
        <v>9.303563457139055E-10</v>
      </c>
      <c r="K222" s="49">
        <v>1.4036845639884513E-10</v>
      </c>
      <c r="L222" s="157">
        <v>8.592021006547867E-10</v>
      </c>
      <c r="M222" s="18"/>
      <c r="R222" s="60">
        <v>1284.8112578567629</v>
      </c>
      <c r="S222" s="57">
        <v>2.3040014258220602E-6</v>
      </c>
      <c r="U222" s="127">
        <v>1.2712539598945512E-9</v>
      </c>
      <c r="V222" s="127">
        <v>8.592021006547867E-10</v>
      </c>
      <c r="W222" s="127">
        <v>1.2051936672566221E-9</v>
      </c>
      <c r="X222" s="128">
        <f t="shared" si="6"/>
        <v>1.0487129571151867E-9</v>
      </c>
      <c r="Y222" s="139">
        <f t="shared" si="7"/>
        <v>0.7109613586153205</v>
      </c>
      <c r="AA222" s="73"/>
      <c r="AB222" s="183"/>
      <c r="AC222" s="183"/>
      <c r="AD222" s="183"/>
      <c r="AJ222" s="135"/>
    </row>
    <row r="223" spans="9:36" x14ac:dyDescent="0.35">
      <c r="I223" s="49">
        <v>7.3774621053599998E-2</v>
      </c>
      <c r="J223" s="49">
        <v>9.292778114651452E-10</v>
      </c>
      <c r="K223" s="49">
        <v>1.5214468922137231E-10</v>
      </c>
      <c r="L223" s="157">
        <v>9.592524942929494E-10</v>
      </c>
      <c r="M223" s="18"/>
      <c r="R223" s="60">
        <v>1284.8112578567629</v>
      </c>
      <c r="S223" s="57">
        <v>2.2464541670491583E-6</v>
      </c>
      <c r="U223" s="127">
        <v>9.8884252922434092E-10</v>
      </c>
      <c r="V223" s="127">
        <v>9.592524942929494E-10</v>
      </c>
      <c r="W223" s="127">
        <v>1.4865417183005884E-9</v>
      </c>
      <c r="X223" s="128">
        <f t="shared" si="6"/>
        <v>1.0984723090277071E-9</v>
      </c>
      <c r="Y223" s="139">
        <f t="shared" si="7"/>
        <v>1.2366843795839229</v>
      </c>
      <c r="AA223" s="73"/>
      <c r="AB223" s="183"/>
      <c r="AC223" s="183"/>
      <c r="AD223" s="183"/>
      <c r="AJ223" s="135"/>
    </row>
    <row r="224" spans="9:36" x14ac:dyDescent="0.35">
      <c r="I224" s="49">
        <v>7.4512367264100002E-2</v>
      </c>
      <c r="J224" s="49">
        <v>1.1623042568775615E-9</v>
      </c>
      <c r="K224" s="49">
        <v>1.6697356887612803E-10</v>
      </c>
      <c r="L224" s="157">
        <v>1.2272133332695551E-9</v>
      </c>
      <c r="M224" s="18"/>
      <c r="R224" s="60">
        <v>1285.2364796847817</v>
      </c>
      <c r="S224" s="57">
        <v>2.2464541670491583E-6</v>
      </c>
      <c r="U224" s="127">
        <v>8.6690046003956535E-10</v>
      </c>
      <c r="V224" s="127">
        <v>1.2272133332695551E-9</v>
      </c>
      <c r="W224" s="127">
        <v>1.5986864746074134E-9</v>
      </c>
      <c r="X224" s="128">
        <f t="shared" si="6"/>
        <v>1.2300034002965223E-9</v>
      </c>
      <c r="Y224" s="139">
        <f t="shared" si="7"/>
        <v>0.16438829373283875</v>
      </c>
      <c r="AA224" s="73"/>
      <c r="AB224" s="183"/>
      <c r="AC224" s="183"/>
      <c r="AD224" s="183"/>
      <c r="AJ224" s="135"/>
    </row>
    <row r="225" spans="9:36" x14ac:dyDescent="0.35">
      <c r="I225" s="49">
        <v>7.5257490936799995E-2</v>
      </c>
      <c r="J225" s="49">
        <v>1.1236174190924987E-9</v>
      </c>
      <c r="K225" s="49">
        <v>1.6643340342623673E-10</v>
      </c>
      <c r="L225" s="157">
        <v>1.4893370280151921E-9</v>
      </c>
      <c r="M225" s="18"/>
      <c r="R225" s="60">
        <v>1285.2364796847817</v>
      </c>
      <c r="S225" s="57">
        <v>2.1903666630614765E-6</v>
      </c>
      <c r="U225" s="127">
        <v>9.7307824087841735E-10</v>
      </c>
      <c r="V225" s="127">
        <v>1.4893370280151921E-9</v>
      </c>
      <c r="W225" s="127">
        <v>1.4714863266071382E-9</v>
      </c>
      <c r="X225" s="128">
        <f t="shared" si="6"/>
        <v>1.3558096558789848E-9</v>
      </c>
      <c r="Y225" s="139">
        <f t="shared" si="7"/>
        <v>1.9463207020503228</v>
      </c>
      <c r="AA225" s="73"/>
      <c r="AB225" s="183"/>
      <c r="AC225" s="183"/>
      <c r="AD225" s="183"/>
      <c r="AJ225" s="135"/>
    </row>
    <row r="226" spans="9:36" x14ac:dyDescent="0.35">
      <c r="I226" s="49">
        <v>7.6010065846099997E-2</v>
      </c>
      <c r="J226" s="49">
        <v>1.2278517200988744E-9</v>
      </c>
      <c r="K226" s="49">
        <v>1.6863792779519043E-10</v>
      </c>
      <c r="L226" s="157">
        <v>1.5767243625650181E-9</v>
      </c>
      <c r="M226" s="18"/>
      <c r="R226" s="60">
        <v>1285.7590023946484</v>
      </c>
      <c r="S226" s="57">
        <v>2.1903666630614765E-6</v>
      </c>
      <c r="U226" s="127">
        <v>1.2340281056232209E-9</v>
      </c>
      <c r="V226" s="127">
        <v>1.5767243625650181E-9</v>
      </c>
      <c r="W226" s="127">
        <v>1.1932547136625536E-9</v>
      </c>
      <c r="X226" s="128">
        <f t="shared" si="6"/>
        <v>1.3951828861039526E-9</v>
      </c>
      <c r="Y226" s="139">
        <f t="shared" si="7"/>
        <v>0.98456220601227395</v>
      </c>
      <c r="AA226" s="73"/>
      <c r="AB226" s="183"/>
      <c r="AC226" s="183"/>
      <c r="AD226" s="183"/>
      <c r="AJ226" s="135"/>
    </row>
    <row r="227" spans="9:36" x14ac:dyDescent="0.35">
      <c r="I227" s="49">
        <v>7.6770166504600001E-2</v>
      </c>
      <c r="J227" s="49">
        <v>6.8545023474378345E-10</v>
      </c>
      <c r="K227" s="49">
        <v>1.3790856432303798E-10</v>
      </c>
      <c r="L227" s="157">
        <v>1.4351814834871676E-9</v>
      </c>
      <c r="M227" s="18"/>
      <c r="R227" s="60">
        <v>1285.7590023946484</v>
      </c>
      <c r="S227" s="57">
        <v>2.1372207928306027E-6</v>
      </c>
      <c r="U227" s="127">
        <v>1.4799353104414441E-9</v>
      </c>
      <c r="V227" s="127">
        <v>1.4351814834871676E-9</v>
      </c>
      <c r="W227" s="127">
        <v>9.5258639452298426E-10</v>
      </c>
      <c r="X227" s="128">
        <f t="shared" si="6"/>
        <v>1.3257211679846907E-9</v>
      </c>
      <c r="Y227" s="139">
        <f t="shared" si="7"/>
        <v>21.554854619617725</v>
      </c>
      <c r="AA227" s="73"/>
      <c r="AB227" s="183"/>
      <c r="AC227" s="183"/>
      <c r="AD227" s="183"/>
      <c r="AJ227" s="135"/>
    </row>
    <row r="228" spans="9:36" x14ac:dyDescent="0.35">
      <c r="I228" s="49">
        <v>7.7537868169599997E-2</v>
      </c>
      <c r="J228" s="49">
        <v>8.8271699133725374E-10</v>
      </c>
      <c r="K228" s="49">
        <v>1.5819296740442474E-10</v>
      </c>
      <c r="L228" s="157">
        <v>1.1619670816656654E-9</v>
      </c>
      <c r="M228" s="18"/>
      <c r="R228" s="60">
        <v>1286.472179582672</v>
      </c>
      <c r="S228" s="57">
        <v>2.1372207928306027E-6</v>
      </c>
      <c r="U228" s="127">
        <v>1.5520293656042662E-9</v>
      </c>
      <c r="V228" s="127">
        <v>1.1619670816656654E-9</v>
      </c>
      <c r="W228" s="127">
        <v>9.0968112431359617E-10</v>
      </c>
      <c r="X228" s="128">
        <f t="shared" si="6"/>
        <v>1.1964111633122984E-9</v>
      </c>
      <c r="Y228" s="139">
        <f t="shared" si="7"/>
        <v>3.9322267651754279</v>
      </c>
      <c r="AA228" s="73"/>
      <c r="AB228" s="183"/>
      <c r="AC228" s="183"/>
      <c r="AD228" s="183"/>
      <c r="AJ228" s="135"/>
    </row>
    <row r="229" spans="9:36" x14ac:dyDescent="0.35">
      <c r="I229" s="49">
        <v>7.8313246851300006E-2</v>
      </c>
      <c r="J229" s="49">
        <v>8.3972796377689806E-10</v>
      </c>
      <c r="K229" s="49">
        <v>1.5332262344634538E-10</v>
      </c>
      <c r="L229" s="157">
        <v>9.4120730101110843E-10</v>
      </c>
      <c r="M229" s="18"/>
      <c r="R229" s="60">
        <v>1286.472179582672</v>
      </c>
      <c r="S229" s="57">
        <v>2.0902535696073672E-6</v>
      </c>
      <c r="U229" s="127">
        <v>1.4057582562093475E-9</v>
      </c>
      <c r="V229" s="127">
        <v>9.4120730101110843E-10</v>
      </c>
      <c r="W229" s="127">
        <v>1.0843445994460899E-9</v>
      </c>
      <c r="X229" s="128">
        <f t="shared" si="6"/>
        <v>1.0931293644194136E-9</v>
      </c>
      <c r="Y229" s="139">
        <f t="shared" si="7"/>
        <v>2.731527258079582</v>
      </c>
      <c r="AA229" s="73"/>
      <c r="AB229" s="183"/>
      <c r="AC229" s="183"/>
      <c r="AD229" s="183"/>
      <c r="AJ229" s="135"/>
    </row>
    <row r="230" spans="9:36" x14ac:dyDescent="0.35">
      <c r="I230" s="49">
        <v>7.90963793198E-2</v>
      </c>
      <c r="J230" s="49">
        <v>8.8785198340486526E-10</v>
      </c>
      <c r="K230" s="49">
        <v>1.6383587345899773E-10</v>
      </c>
      <c r="L230" s="157">
        <v>9.1805358364319756E-10</v>
      </c>
      <c r="M230" s="27"/>
      <c r="R230" s="60">
        <v>1287.7537684580459</v>
      </c>
      <c r="S230" s="57">
        <v>2.0902535696073672E-6</v>
      </c>
      <c r="U230" s="127">
        <v>1.1408393743856935E-9</v>
      </c>
      <c r="V230" s="127">
        <v>9.1805358364319756E-10</v>
      </c>
      <c r="W230" s="127">
        <v>1.3413964747348066E-9</v>
      </c>
      <c r="X230" s="128">
        <f t="shared" si="6"/>
        <v>1.0795857541017238E-9</v>
      </c>
      <c r="Y230" s="139">
        <f t="shared" si="7"/>
        <v>1.3695542027392673</v>
      </c>
      <c r="AA230" s="73"/>
      <c r="AB230" s="183"/>
      <c r="AC230" s="183"/>
      <c r="AD230" s="183"/>
      <c r="AJ230" s="135"/>
    </row>
    <row r="231" spans="9:36" x14ac:dyDescent="0.35">
      <c r="I231" s="49">
        <v>7.9887343112999998E-2</v>
      </c>
      <c r="J231" s="49">
        <v>9.0130410195257539E-10</v>
      </c>
      <c r="K231" s="49">
        <v>1.6797700122874663E-10</v>
      </c>
      <c r="L231" s="157">
        <v>1.097290185058651E-9</v>
      </c>
      <c r="M231" s="27"/>
      <c r="R231" s="60">
        <v>1287.7537684580459</v>
      </c>
      <c r="S231" s="57">
        <v>2.0577873765798927E-6</v>
      </c>
      <c r="U231" s="127">
        <v>9.3470681151638091E-10</v>
      </c>
      <c r="V231" s="127">
        <v>1.097290185058651E-9</v>
      </c>
      <c r="W231" s="127">
        <v>1.4880995500694417E-9</v>
      </c>
      <c r="X231" s="128">
        <f t="shared" si="6"/>
        <v>1.1543466829257812E-9</v>
      </c>
      <c r="Y231" s="139">
        <f t="shared" si="7"/>
        <v>2.2692773038327219</v>
      </c>
      <c r="AA231" s="73"/>
      <c r="AB231" s="183"/>
      <c r="AC231" s="183"/>
      <c r="AD231" s="183"/>
      <c r="AJ231" s="135"/>
    </row>
    <row r="232" spans="9:36" x14ac:dyDescent="0.35">
      <c r="I232" s="49">
        <v>8.0686216544199996E-2</v>
      </c>
      <c r="J232" s="49">
        <v>1.0317849824924552E-9</v>
      </c>
      <c r="K232" s="49">
        <v>1.7488088645972106E-10</v>
      </c>
      <c r="L232" s="157">
        <v>1.3397710014822883E-9</v>
      </c>
      <c r="M232" s="27"/>
      <c r="R232" s="60">
        <v>1289.4748500461201</v>
      </c>
      <c r="S232" s="57">
        <v>2.0577873765798927E-6</v>
      </c>
      <c r="U232" s="127">
        <v>9.2118084640144285E-10</v>
      </c>
      <c r="V232" s="127">
        <v>1.3397710014822883E-9</v>
      </c>
      <c r="W232" s="127">
        <v>1.4159477992862564E-9</v>
      </c>
      <c r="X232" s="128">
        <f t="shared" si="6"/>
        <v>1.254167662163069E-9</v>
      </c>
      <c r="Y232" s="139">
        <f t="shared" si="7"/>
        <v>1.6170268310775591</v>
      </c>
      <c r="AA232" s="73"/>
      <c r="AB232" s="183"/>
      <c r="AC232" s="183"/>
      <c r="AD232" s="183"/>
      <c r="AJ232" s="135"/>
    </row>
    <row r="233" spans="9:36" x14ac:dyDescent="0.35">
      <c r="I233" s="49">
        <v>8.14930787096E-2</v>
      </c>
      <c r="J233" s="49">
        <v>9.8871298823460495E-10</v>
      </c>
      <c r="K233" s="49">
        <v>1.8489893932647502E-10</v>
      </c>
      <c r="L233" s="157">
        <v>1.4630430865424192E-9</v>
      </c>
      <c r="M233" s="27"/>
      <c r="R233" s="60">
        <v>1289.4748500461201</v>
      </c>
      <c r="S233" s="57">
        <v>2.0533014161526217E-6</v>
      </c>
      <c r="U233" s="127">
        <v>1.0972049400943712E-9</v>
      </c>
      <c r="V233" s="127">
        <v>1.4630430865424192E-9</v>
      </c>
      <c r="W233" s="127">
        <v>1.1817744905885261E-9</v>
      </c>
      <c r="X233" s="128">
        <f t="shared" si="6"/>
        <v>1.301266400941934E-9</v>
      </c>
      <c r="Y233" s="139">
        <f t="shared" si="7"/>
        <v>2.8574566519726292</v>
      </c>
      <c r="AA233" s="73"/>
      <c r="AB233" s="183"/>
      <c r="AC233" s="183"/>
      <c r="AD233" s="183"/>
      <c r="AJ233" s="135"/>
    </row>
    <row r="234" spans="9:36" x14ac:dyDescent="0.35">
      <c r="I234" s="49">
        <v>8.2308009496700002E-2</v>
      </c>
      <c r="J234" s="49">
        <v>1.1612265348378555E-9</v>
      </c>
      <c r="K234" s="49">
        <v>1.9680103631368145E-10</v>
      </c>
      <c r="L234" s="157">
        <v>1.3755963935062914E-9</v>
      </c>
      <c r="M234" s="27"/>
      <c r="R234" s="60">
        <v>1389.4748500461201</v>
      </c>
      <c r="S234" s="57">
        <v>2.0533014161526217E-6</v>
      </c>
      <c r="U234" s="127">
        <v>1.325208109750341E-9</v>
      </c>
      <c r="V234" s="127">
        <v>1.3755963935062914E-9</v>
      </c>
      <c r="W234" s="127">
        <v>9.6391507672499149E-10</v>
      </c>
      <c r="X234" s="128">
        <f t="shared" si="6"/>
        <v>1.2600789933719789E-9</v>
      </c>
      <c r="Y234" s="139">
        <f t="shared" si="7"/>
        <v>0.25230170651803974</v>
      </c>
      <c r="AA234" s="73"/>
      <c r="AB234" s="183"/>
      <c r="AC234" s="183"/>
      <c r="AD234" s="183"/>
      <c r="AJ234" s="135"/>
    </row>
    <row r="235" spans="9:36" x14ac:dyDescent="0.35">
      <c r="I235" s="49">
        <v>8.31310895917E-2</v>
      </c>
      <c r="J235" s="49">
        <v>1.1094393010901242E-9</v>
      </c>
      <c r="K235" s="49">
        <v>2.0553539900805763E-10</v>
      </c>
      <c r="L235" s="157">
        <v>1.1449481303975533E-9</v>
      </c>
      <c r="M235" s="27"/>
      <c r="U235" s="127">
        <v>1.4328050937280974E-9</v>
      </c>
      <c r="V235" s="127">
        <v>1.1449481303975533E-9</v>
      </c>
      <c r="W235" s="127">
        <v>9.2334437572475537E-10</v>
      </c>
      <c r="X235" s="128">
        <f t="shared" si="6"/>
        <v>1.1615114325619899E-9</v>
      </c>
      <c r="Y235" s="139">
        <f t="shared" si="7"/>
        <v>6.4185576929516416E-2</v>
      </c>
      <c r="AA235" s="73"/>
      <c r="AB235" s="183"/>
      <c r="AC235" s="183"/>
      <c r="AD235" s="183"/>
      <c r="AJ235" s="135"/>
    </row>
    <row r="236" spans="9:36" x14ac:dyDescent="0.35">
      <c r="I236" s="49">
        <v>8.3962400487599995E-2</v>
      </c>
      <c r="J236" s="49">
        <v>8.209824451082332E-10</v>
      </c>
      <c r="K236" s="49">
        <v>1.7790069036366962E-10</v>
      </c>
      <c r="L236" s="157">
        <v>9.4529035207949283E-10</v>
      </c>
      <c r="M236" s="27"/>
      <c r="U236" s="127">
        <v>1.3395405976594361E-9</v>
      </c>
      <c r="V236" s="127">
        <v>9.4529035207949283E-10</v>
      </c>
      <c r="W236" s="127">
        <v>1.0768105694658132E-9</v>
      </c>
      <c r="X236" s="128">
        <f t="shared" si="6"/>
        <v>1.0767329678210587E-9</v>
      </c>
      <c r="Y236" s="139">
        <f t="shared" si="7"/>
        <v>2.0667016832783616</v>
      </c>
      <c r="AA236" s="73"/>
      <c r="AB236" s="183"/>
      <c r="AC236" s="183"/>
      <c r="AD236" s="183"/>
      <c r="AJ236" s="135"/>
    </row>
    <row r="237" spans="9:36" x14ac:dyDescent="0.35">
      <c r="I237" s="49">
        <v>8.4802024492500003E-2</v>
      </c>
      <c r="J237" s="49">
        <v>8.7384224581450182E-10</v>
      </c>
      <c r="K237" s="49">
        <v>1.9778489915328828E-10</v>
      </c>
      <c r="L237" s="157">
        <v>9.2171706237430545E-10</v>
      </c>
      <c r="M237" s="27"/>
      <c r="U237" s="127">
        <v>1.116359432603709E-9</v>
      </c>
      <c r="V237" s="127">
        <v>9.2171706237430545E-10</v>
      </c>
      <c r="W237" s="127">
        <v>1.2846270240400112E-9</v>
      </c>
      <c r="X237" s="128">
        <f t="shared" si="6"/>
        <v>1.0611051453480826E-9</v>
      </c>
      <c r="Y237" s="139">
        <f t="shared" si="7"/>
        <v>0.8964317432704646</v>
      </c>
      <c r="AA237" s="73"/>
      <c r="AB237" s="183"/>
      <c r="AC237" s="183"/>
      <c r="AD237" s="183"/>
      <c r="AJ237" s="135"/>
    </row>
    <row r="238" spans="9:36" x14ac:dyDescent="0.35">
      <c r="I238" s="49">
        <v>8.5650044737399997E-2</v>
      </c>
      <c r="J238" s="49">
        <v>1.236212809028979E-9</v>
      </c>
      <c r="K238" s="49">
        <v>2.1575835539102123E-10</v>
      </c>
      <c r="L238" s="157">
        <v>1.0761361519906593E-9</v>
      </c>
      <c r="M238" s="27"/>
      <c r="U238" s="127">
        <v>9.3034243164236719E-10</v>
      </c>
      <c r="V238" s="127">
        <v>1.0761361519906593E-9</v>
      </c>
      <c r="W238" s="127">
        <v>1.3663518983392891E-9</v>
      </c>
      <c r="X238" s="128">
        <f t="shared" si="6"/>
        <v>1.1122416584907439E-9</v>
      </c>
      <c r="Y238" s="139">
        <f t="shared" si="7"/>
        <v>0.33014598299340586</v>
      </c>
      <c r="AA238" s="73"/>
      <c r="AB238" s="183"/>
      <c r="AC238" s="183"/>
      <c r="AD238" s="183"/>
      <c r="AJ238" s="135"/>
    </row>
    <row r="239" spans="9:36" x14ac:dyDescent="0.35">
      <c r="I239" s="49">
        <v>8.6506545184799999E-2</v>
      </c>
      <c r="J239" s="49">
        <v>1.2575762855631212E-9</v>
      </c>
      <c r="K239" s="49">
        <v>2.283885230140505E-10</v>
      </c>
      <c r="L239" s="157">
        <v>1.2673792589522937E-9</v>
      </c>
      <c r="M239" s="27"/>
      <c r="U239" s="127">
        <v>9.1444062748384604E-10</v>
      </c>
      <c r="V239" s="127">
        <v>1.2673792589522937E-9</v>
      </c>
      <c r="W239" s="127">
        <v>1.2511581405029678E-9</v>
      </c>
      <c r="X239" s="128">
        <f t="shared" si="6"/>
        <v>1.1750893214728503E-9</v>
      </c>
      <c r="Y239" s="139">
        <f t="shared" si="7"/>
        <v>0.13044339326866317</v>
      </c>
      <c r="AA239" s="73"/>
      <c r="AB239" s="183"/>
      <c r="AC239" s="183"/>
      <c r="AD239" s="183"/>
      <c r="AJ239" s="135"/>
    </row>
    <row r="240" spans="9:36" x14ac:dyDescent="0.35">
      <c r="I240" s="49">
        <v>8.7371610636599997E-2</v>
      </c>
      <c r="J240" s="49">
        <v>1.3372505067719714E-9</v>
      </c>
      <c r="K240" s="49">
        <v>1.3304872993807297E-10</v>
      </c>
      <c r="L240" s="157">
        <v>1.328279656529419E-9</v>
      </c>
      <c r="M240" s="27"/>
      <c r="U240" s="127">
        <v>1.0632670667439189E-9</v>
      </c>
      <c r="V240" s="127">
        <v>1.328279656529419E-9</v>
      </c>
      <c r="W240" s="127">
        <v>1.0361043791004194E-9</v>
      </c>
      <c r="X240" s="128">
        <f t="shared" si="6"/>
        <v>1.1889826897257941E-9</v>
      </c>
      <c r="Y240" s="139">
        <f t="shared" si="7"/>
        <v>1.2418590899491015</v>
      </c>
      <c r="AA240" s="73"/>
      <c r="AB240" s="183"/>
      <c r="AC240" s="183"/>
      <c r="AD240" s="183"/>
      <c r="AJ240" s="135"/>
    </row>
    <row r="241" spans="9:36" x14ac:dyDescent="0.35">
      <c r="I241" s="49">
        <v>8.8245326742999994E-2</v>
      </c>
      <c r="J241" s="49">
        <v>1.1813084933649224E-9</v>
      </c>
      <c r="K241" s="49">
        <v>1.2391642904827051E-10</v>
      </c>
      <c r="L241" s="157">
        <v>1.2047942554545086E-9</v>
      </c>
      <c r="M241" s="27"/>
      <c r="U241" s="127">
        <v>1.2394104251177629E-9</v>
      </c>
      <c r="V241" s="127">
        <v>1.2047942554545086E-9</v>
      </c>
      <c r="W241" s="127">
        <v>8.9998608298845923E-10</v>
      </c>
      <c r="X241" s="128">
        <f t="shared" si="6"/>
        <v>1.1372462547538099E-9</v>
      </c>
      <c r="Y241" s="139">
        <f t="shared" si="7"/>
        <v>0.12643733594685982</v>
      </c>
      <c r="AA241" s="73"/>
      <c r="AB241" s="183"/>
      <c r="AC241" s="183"/>
      <c r="AD241" s="183"/>
      <c r="AJ241" s="135"/>
    </row>
    <row r="242" spans="9:36" x14ac:dyDescent="0.35">
      <c r="I242" s="49">
        <v>8.9127780010400004E-2</v>
      </c>
      <c r="J242" s="49">
        <v>8.9227948010781845E-10</v>
      </c>
      <c r="K242" s="49">
        <v>1.0408661149481016E-10</v>
      </c>
      <c r="L242" s="157">
        <v>9.9965652825629819E-10</v>
      </c>
      <c r="M242" s="27"/>
      <c r="U242" s="127">
        <v>1.2875285602971741E-9</v>
      </c>
      <c r="V242" s="127">
        <v>9.9965652825629819E-10</v>
      </c>
      <c r="W242" s="127">
        <v>9.455410657699175E-10</v>
      </c>
      <c r="X242" s="128">
        <f t="shared" si="6"/>
        <v>1.058095670644922E-9</v>
      </c>
      <c r="Y242" s="139">
        <f t="shared" si="7"/>
        <v>2.5378393441378906</v>
      </c>
      <c r="AA242" s="73"/>
      <c r="AB242" s="183"/>
      <c r="AC242" s="183"/>
      <c r="AD242" s="183"/>
      <c r="AJ242" s="135"/>
    </row>
    <row r="243" spans="9:36" x14ac:dyDescent="0.35">
      <c r="I243" s="49">
        <v>9.00190578105E-2</v>
      </c>
      <c r="J243" s="49">
        <v>9.2675322079268367E-10</v>
      </c>
      <c r="K243" s="49">
        <v>1.0557914871775749E-10</v>
      </c>
      <c r="L243" s="157">
        <v>8.8112222402838356E-10</v>
      </c>
      <c r="M243" s="27"/>
      <c r="U243" s="127">
        <v>1.1633841194546563E-9</v>
      </c>
      <c r="V243" s="127">
        <v>8.8112222402838356E-10</v>
      </c>
      <c r="W243" s="127">
        <v>1.1096459425665091E-9</v>
      </c>
      <c r="X243" s="128">
        <f t="shared" si="6"/>
        <v>1.0088186275194832E-9</v>
      </c>
      <c r="Y243" s="139">
        <f t="shared" si="7"/>
        <v>0.60417665523803921</v>
      </c>
      <c r="AA243" s="73"/>
      <c r="AB243" s="183"/>
      <c r="AC243" s="183"/>
      <c r="AD243" s="183"/>
      <c r="AJ243" s="135"/>
    </row>
    <row r="244" spans="9:36" x14ac:dyDescent="0.35">
      <c r="I244" s="49">
        <v>9.0919248388599994E-2</v>
      </c>
      <c r="J244" s="49">
        <v>8.8633306248256037E-10</v>
      </c>
      <c r="K244" s="49">
        <v>1.1033217941020139E-10</v>
      </c>
      <c r="L244" s="157">
        <v>9.3461797981979718E-10</v>
      </c>
      <c r="M244" s="27"/>
      <c r="U244" s="127">
        <v>9.6884131997923593E-10</v>
      </c>
      <c r="V244" s="127">
        <v>9.3461797981979718E-10</v>
      </c>
      <c r="W244" s="127">
        <v>1.2241060492084483E-9</v>
      </c>
      <c r="X244" s="128">
        <f t="shared" si="6"/>
        <v>1.0155458322068196E-9</v>
      </c>
      <c r="Y244" s="139">
        <f t="shared" si="7"/>
        <v>1.3715336830967018</v>
      </c>
      <c r="AA244" s="73"/>
      <c r="AB244" s="183"/>
      <c r="AC244" s="183"/>
      <c r="AD244" s="183"/>
      <c r="AJ244" s="135"/>
    </row>
    <row r="245" spans="9:36" x14ac:dyDescent="0.35">
      <c r="I245" s="49">
        <v>9.18284408725E-2</v>
      </c>
      <c r="J245" s="49">
        <v>9.7823310549260314E-10</v>
      </c>
      <c r="K245" s="49">
        <v>1.1612180280280846E-10</v>
      </c>
      <c r="L245" s="157">
        <v>1.0888164412693362E-9</v>
      </c>
      <c r="M245" s="27"/>
      <c r="U245" s="127">
        <v>8.6123808113744401E-10</v>
      </c>
      <c r="V245" s="127">
        <v>1.0888164412693362E-9</v>
      </c>
      <c r="W245" s="127">
        <v>1.1728902766291357E-9</v>
      </c>
      <c r="X245" s="128">
        <f t="shared" si="6"/>
        <v>1.052940310076313E-9</v>
      </c>
      <c r="Y245" s="139">
        <f t="shared" si="7"/>
        <v>0.41390191232738766</v>
      </c>
      <c r="AA245" s="73"/>
      <c r="AB245" s="183"/>
      <c r="AC245" s="183"/>
      <c r="AD245" s="183"/>
      <c r="AJ245" s="135"/>
    </row>
    <row r="246" spans="9:36" x14ac:dyDescent="0.35">
      <c r="I246" s="49">
        <v>9.2746725281199996E-2</v>
      </c>
      <c r="J246" s="49">
        <v>1.2004617924342322E-9</v>
      </c>
      <c r="K246" s="49">
        <v>1.299815946844787E-10</v>
      </c>
      <c r="L246" s="157">
        <v>1.1841002455880551E-9</v>
      </c>
      <c r="M246" s="27"/>
      <c r="U246" s="127">
        <v>9.1483891626214738E-10</v>
      </c>
      <c r="V246" s="127">
        <v>1.1841002455880551E-9</v>
      </c>
      <c r="W246" s="127">
        <v>9.9922521450192039E-10</v>
      </c>
      <c r="X246" s="128">
        <f t="shared" si="6"/>
        <v>1.0705661554850445E-9</v>
      </c>
      <c r="Y246" s="139">
        <f t="shared" si="7"/>
        <v>0.99867782337530708</v>
      </c>
      <c r="AA246" s="73"/>
      <c r="AB246" s="183"/>
      <c r="AC246" s="183"/>
      <c r="AD246" s="183"/>
      <c r="AJ246" s="135"/>
    </row>
    <row r="247" spans="9:36" x14ac:dyDescent="0.35">
      <c r="I247" s="49">
        <v>9.3674192534E-2</v>
      </c>
      <c r="J247" s="49">
        <v>1.0313599836498397E-9</v>
      </c>
      <c r="K247" s="49">
        <v>1.2522946525718512E-10</v>
      </c>
      <c r="L247" s="157">
        <v>1.1216440917702841E-9</v>
      </c>
      <c r="M247" s="27"/>
      <c r="U247" s="127">
        <v>1.0572311255903539E-9</v>
      </c>
      <c r="V247" s="127">
        <v>1.1216440917702841E-9</v>
      </c>
      <c r="W247" s="127">
        <v>8.5988234428057604E-10</v>
      </c>
      <c r="X247" s="128">
        <f t="shared" si="6"/>
        <v>1.0401004133528746E-9</v>
      </c>
      <c r="Y247" s="139">
        <f t="shared" si="7"/>
        <v>4.8713856928993817E-3</v>
      </c>
      <c r="AA247" s="73"/>
      <c r="AB247" s="183"/>
      <c r="AC247" s="183"/>
      <c r="AD247" s="183"/>
      <c r="AJ247" s="135"/>
    </row>
    <row r="248" spans="9:36" x14ac:dyDescent="0.35">
      <c r="I248" s="49">
        <v>9.4610934459399998E-2</v>
      </c>
      <c r="J248" s="49">
        <v>1.1339042262355089E-9</v>
      </c>
      <c r="K248" s="49">
        <v>1.3024132005020244E-10</v>
      </c>
      <c r="L248" s="157">
        <v>9.5387805996340042E-10</v>
      </c>
      <c r="M248" s="27"/>
      <c r="U248" s="127">
        <v>1.1389045877278879E-9</v>
      </c>
      <c r="V248" s="127">
        <v>9.5387805996340042E-10</v>
      </c>
      <c r="W248" s="127">
        <v>8.700915180031771E-10</v>
      </c>
      <c r="X248" s="128">
        <f t="shared" si="6"/>
        <v>9.7918805641446657E-10</v>
      </c>
      <c r="Y248" s="139">
        <f t="shared" si="7"/>
        <v>1.41115211876304</v>
      </c>
      <c r="AA248" s="73"/>
      <c r="AB248" s="183"/>
      <c r="AC248" s="183"/>
      <c r="AD248" s="183"/>
      <c r="AJ248" s="135"/>
    </row>
    <row r="249" spans="9:36" x14ac:dyDescent="0.35">
      <c r="I249" s="49">
        <v>9.5557043804E-2</v>
      </c>
      <c r="J249" s="49">
        <v>1.0162194756251966E-9</v>
      </c>
      <c r="K249" s="49">
        <v>1.2672229961460261E-10</v>
      </c>
      <c r="L249" s="157">
        <v>8.2977897751381272E-10</v>
      </c>
      <c r="M249" s="27"/>
      <c r="U249" s="127">
        <v>1.0727615872206899E-9</v>
      </c>
      <c r="V249" s="127">
        <v>8.2977897751381272E-10</v>
      </c>
      <c r="W249" s="127">
        <v>9.9171180786717153E-10</v>
      </c>
      <c r="X249" s="128">
        <f t="shared" si="6"/>
        <v>9.3100783752887171E-10</v>
      </c>
      <c r="Y249" s="139">
        <f t="shared" si="7"/>
        <v>0.45215958085849006</v>
      </c>
      <c r="AA249" s="73"/>
      <c r="AB249" s="183"/>
      <c r="AC249" s="183"/>
      <c r="AD249" s="183"/>
      <c r="AJ249" s="135"/>
    </row>
    <row r="250" spans="9:36" x14ac:dyDescent="0.35">
      <c r="I250" s="49">
        <v>9.6512614242E-2</v>
      </c>
      <c r="J250" s="49">
        <v>1.1183450950112014E-9</v>
      </c>
      <c r="K250" s="49">
        <v>1.3149792613258125E-10</v>
      </c>
      <c r="L250" s="157">
        <v>8.476761522389484E-10</v>
      </c>
      <c r="M250" s="27"/>
      <c r="U250" s="127">
        <v>9.1320212147102486E-10</v>
      </c>
      <c r="V250" s="127">
        <v>8.476761522389484E-10</v>
      </c>
      <c r="W250" s="127">
        <v>1.0768830707562864E-9</v>
      </c>
      <c r="X250" s="128">
        <f t="shared" si="6"/>
        <v>9.2135937417630204E-10</v>
      </c>
      <c r="Y250" s="139">
        <f t="shared" si="7"/>
        <v>2.2440456370089117</v>
      </c>
      <c r="AA250" s="73"/>
      <c r="AB250" s="183"/>
      <c r="AC250" s="183"/>
      <c r="AD250" s="183"/>
      <c r="AJ250" s="135"/>
    </row>
    <row r="251" spans="9:36" x14ac:dyDescent="0.35">
      <c r="I251" s="49">
        <v>9.7477740384400005E-2</v>
      </c>
      <c r="J251" s="49">
        <v>1.0533486755913771E-9</v>
      </c>
      <c r="K251" s="49">
        <v>1.3065958034520132E-10</v>
      </c>
      <c r="L251" s="157">
        <v>9.60650987656093E-10</v>
      </c>
      <c r="M251" s="27"/>
      <c r="U251" s="127">
        <v>7.9944085591871121E-10</v>
      </c>
      <c r="V251" s="127">
        <v>9.60650987656093E-10</v>
      </c>
      <c r="W251" s="127">
        <v>1.0224194793110918E-9</v>
      </c>
      <c r="X251" s="128">
        <f t="shared" si="6"/>
        <v>9.3579057763549722E-10</v>
      </c>
      <c r="Y251" s="139">
        <f t="shared" si="7"/>
        <v>0.80951068126852221</v>
      </c>
      <c r="AA251" s="73"/>
      <c r="AB251" s="183"/>
      <c r="AC251" s="183"/>
      <c r="AD251" s="183"/>
      <c r="AJ251" s="135"/>
    </row>
    <row r="252" spans="9:36" x14ac:dyDescent="0.35">
      <c r="I252" s="49">
        <v>9.8452517788299998E-2</v>
      </c>
      <c r="J252" s="49">
        <v>1.4454446491227439E-9</v>
      </c>
      <c r="K252" s="49">
        <v>1.4607861821163961E-10</v>
      </c>
      <c r="L252" s="157">
        <v>1.0291597719426128E-9</v>
      </c>
      <c r="M252" s="27"/>
      <c r="U252" s="127">
        <v>8.1809548030973284E-10</v>
      </c>
      <c r="V252" s="127">
        <v>1.0291597719426128E-9</v>
      </c>
      <c r="W252" s="127">
        <v>8.7448057232469166E-10</v>
      </c>
      <c r="X252" s="128">
        <f t="shared" si="6"/>
        <v>9.3772389912991244E-10</v>
      </c>
      <c r="Y252" s="139">
        <f t="shared" si="7"/>
        <v>12.080266675283625</v>
      </c>
      <c r="AA252" s="73"/>
      <c r="AB252" s="183"/>
      <c r="AC252" s="183"/>
      <c r="AD252" s="183"/>
      <c r="AJ252" s="135"/>
    </row>
    <row r="253" spans="9:36" x14ac:dyDescent="0.35">
      <c r="I253" s="49">
        <v>9.9437042966199998E-2</v>
      </c>
      <c r="J253" s="49">
        <v>9.866019666791432E-10</v>
      </c>
      <c r="K253" s="49">
        <v>1.3872484080206898E-10</v>
      </c>
      <c r="L253" s="157">
        <v>9.6649402813060325E-10</v>
      </c>
      <c r="M253" s="27"/>
      <c r="U253" s="127">
        <v>9.2053434252411178E-10</v>
      </c>
      <c r="V253" s="127">
        <v>9.6649402813060325E-10</v>
      </c>
      <c r="W253" s="127">
        <v>7.7361512038606022E-10</v>
      </c>
      <c r="X253" s="128">
        <f t="shared" ref="X253:X280" si="8">(U253+2*V253+W253)/4</f>
        <v>9.0678437979284463E-10</v>
      </c>
      <c r="Y253" s="139">
        <f t="shared" ref="Y253:Y280" si="9">(J253-X253)*(J253-X253)/(K253*K253)</f>
        <v>0.33104628391444746</v>
      </c>
      <c r="AA253" s="73"/>
      <c r="AB253" s="183"/>
      <c r="AC253" s="183"/>
      <c r="AD253" s="183"/>
      <c r="AJ253" s="135"/>
    </row>
    <row r="254" spans="9:36" x14ac:dyDescent="0.35">
      <c r="I254" s="49">
        <v>0.10043141339599999</v>
      </c>
      <c r="J254" s="49">
        <v>1.053312288265977E-9</v>
      </c>
      <c r="K254" s="49">
        <v>1.4499014276023994E-10</v>
      </c>
      <c r="L254" s="157">
        <v>8.2577534431113604E-10</v>
      </c>
      <c r="M254" s="27"/>
      <c r="U254" s="127">
        <v>9.7724922148108503E-10</v>
      </c>
      <c r="V254" s="127">
        <v>8.2577534431113604E-10</v>
      </c>
      <c r="W254" s="127">
        <v>8.0054668352418355E-10</v>
      </c>
      <c r="X254" s="128">
        <f t="shared" si="8"/>
        <v>8.5733664840688512E-10</v>
      </c>
      <c r="Y254" s="139">
        <f t="shared" si="9"/>
        <v>1.8269523788764175</v>
      </c>
      <c r="AA254" s="73"/>
      <c r="AB254" s="183"/>
      <c r="AC254" s="183"/>
      <c r="AD254" s="183"/>
      <c r="AJ254" s="135"/>
    </row>
    <row r="255" spans="9:36" x14ac:dyDescent="0.35">
      <c r="I255" s="49">
        <v>0.10143572753000001</v>
      </c>
      <c r="J255" s="49">
        <v>9.6835351015851447E-10</v>
      </c>
      <c r="K255" s="49">
        <v>1.4521289464789163E-10</v>
      </c>
      <c r="L255" s="157">
        <v>7.3762923825496592E-10</v>
      </c>
      <c r="M255" s="27"/>
      <c r="U255" s="127">
        <v>9.1269126701135638E-10</v>
      </c>
      <c r="V255" s="127">
        <v>7.3762923825496592E-10</v>
      </c>
      <c r="W255" s="127">
        <v>8.9169156412927225E-10</v>
      </c>
      <c r="X255" s="128">
        <f t="shared" si="8"/>
        <v>8.1991032691264011E-10</v>
      </c>
      <c r="Y255" s="139">
        <f t="shared" si="9"/>
        <v>1.0449852308165664</v>
      </c>
      <c r="AA255" s="73"/>
      <c r="AB255" s="183"/>
      <c r="AC255" s="183"/>
      <c r="AD255" s="183"/>
      <c r="AJ255" s="135"/>
    </row>
    <row r="256" spans="9:36" x14ac:dyDescent="0.35">
      <c r="I256" s="49">
        <v>0.10245008480499999</v>
      </c>
      <c r="J256" s="49">
        <v>9.1510610701901912E-10</v>
      </c>
      <c r="K256" s="49">
        <v>1.4101556443056735E-10</v>
      </c>
      <c r="L256" s="157">
        <v>7.6723142131931726E-10</v>
      </c>
      <c r="M256" s="27"/>
      <c r="U256" s="127">
        <v>7.8032141624136033E-10</v>
      </c>
      <c r="V256" s="127">
        <v>7.6723142131931726E-10</v>
      </c>
      <c r="W256" s="127">
        <v>9.167078767121408E-10</v>
      </c>
      <c r="X256" s="128">
        <f t="shared" si="8"/>
        <v>8.0787303389803392E-10</v>
      </c>
      <c r="Y256" s="139">
        <f t="shared" si="9"/>
        <v>0.57826033641671604</v>
      </c>
      <c r="AA256" s="73"/>
      <c r="AB256" s="183"/>
      <c r="AC256" s="183"/>
      <c r="AD256" s="183"/>
      <c r="AJ256" s="135"/>
    </row>
    <row r="257" spans="9:36" x14ac:dyDescent="0.35">
      <c r="I257" s="49">
        <v>0.103474585653</v>
      </c>
      <c r="J257" s="49">
        <v>1.2187083609538593E-9</v>
      </c>
      <c r="K257" s="49">
        <v>1.5955353632413505E-10</v>
      </c>
      <c r="L257" s="157">
        <v>8.4734704874512737E-10</v>
      </c>
      <c r="M257" s="27"/>
      <c r="U257" s="127">
        <v>7.00028568951487E-10</v>
      </c>
      <c r="V257" s="127">
        <v>8.4734704874512737E-10</v>
      </c>
      <c r="W257" s="127">
        <v>8.2799132765022419E-10</v>
      </c>
      <c r="X257" s="128">
        <f t="shared" si="8"/>
        <v>8.0567849852299146E-10</v>
      </c>
      <c r="Y257" s="139">
        <f t="shared" si="9"/>
        <v>6.7011607607654211</v>
      </c>
      <c r="AA257" s="73"/>
      <c r="AB257" s="183"/>
      <c r="AC257" s="183"/>
      <c r="AD257" s="183"/>
      <c r="AJ257" s="136"/>
    </row>
    <row r="258" spans="9:36" x14ac:dyDescent="0.35">
      <c r="I258" s="49">
        <v>0.10450933151</v>
      </c>
      <c r="J258" s="49">
        <v>1.2306299726398336E-9</v>
      </c>
      <c r="K258" s="49">
        <v>1.7044798472937536E-10</v>
      </c>
      <c r="L258" s="157">
        <v>8.597413971881728E-10</v>
      </c>
      <c r="M258" s="27"/>
      <c r="U258" s="127">
        <v>7.2717973320814484E-10</v>
      </c>
      <c r="V258" s="127">
        <v>8.597413971881728E-10</v>
      </c>
      <c r="W258" s="127">
        <v>7.0999800452784865E-10</v>
      </c>
      <c r="X258" s="128">
        <f t="shared" si="8"/>
        <v>7.8916513302808477E-10</v>
      </c>
      <c r="Y258" s="139">
        <f t="shared" si="9"/>
        <v>6.7082385559623932</v>
      </c>
      <c r="AA258" s="73"/>
      <c r="AB258" s="183"/>
      <c r="AC258" s="183"/>
      <c r="AD258" s="183"/>
      <c r="AJ258" s="136"/>
    </row>
    <row r="259" spans="9:36" x14ac:dyDescent="0.35">
      <c r="I259" s="49">
        <v>0.10555442482500001</v>
      </c>
      <c r="J259" s="49">
        <v>1.1168109885484908E-9</v>
      </c>
      <c r="K259" s="49">
        <v>1.6802134985885486E-10</v>
      </c>
      <c r="L259" s="157">
        <v>7.7026737481927599E-10</v>
      </c>
      <c r="M259" s="27"/>
      <c r="U259" s="127">
        <v>7.9665981280176858E-10</v>
      </c>
      <c r="V259" s="127">
        <v>7.7026737481927599E-10</v>
      </c>
      <c r="W259" s="127">
        <v>6.7370133294434762E-10</v>
      </c>
      <c r="X259" s="128">
        <f t="shared" si="8"/>
        <v>7.5272397384616699E-10</v>
      </c>
      <c r="Y259" s="139">
        <f t="shared" si="9"/>
        <v>4.6954956331411131</v>
      </c>
      <c r="AA259" s="73"/>
      <c r="AB259" s="183"/>
      <c r="AC259" s="183"/>
      <c r="AD259" s="183"/>
      <c r="AJ259" s="136"/>
    </row>
    <row r="260" spans="9:36" x14ac:dyDescent="0.35">
      <c r="I260" s="49">
        <v>0.10660996907299999</v>
      </c>
      <c r="J260" s="49">
        <v>8.5794413393586714E-10</v>
      </c>
      <c r="K260" s="49">
        <v>1.5204563944027989E-10</v>
      </c>
      <c r="L260" s="157">
        <v>6.6236060546312155E-10</v>
      </c>
      <c r="M260" s="27"/>
      <c r="U260" s="127">
        <v>8.0166108903838506E-10</v>
      </c>
      <c r="V260" s="127">
        <v>6.6236060546312155E-10</v>
      </c>
      <c r="W260" s="127">
        <v>7.2477916075500955E-10</v>
      </c>
      <c r="X260" s="128">
        <f t="shared" si="8"/>
        <v>7.1279036517990946E-10</v>
      </c>
      <c r="Y260" s="139">
        <f t="shared" si="9"/>
        <v>0.91139930645640499</v>
      </c>
      <c r="AA260" s="73"/>
      <c r="AB260" s="183"/>
      <c r="AC260" s="183"/>
      <c r="AD260" s="183"/>
      <c r="AJ260" s="136"/>
    </row>
    <row r="261" spans="9:36" x14ac:dyDescent="0.35">
      <c r="I261" s="49">
        <v>0.107676068764</v>
      </c>
      <c r="J261" s="49">
        <v>1.0117784588588845E-9</v>
      </c>
      <c r="K261" s="49">
        <v>1.6101644451605161E-10</v>
      </c>
      <c r="L261" s="157">
        <v>6.3319190790298733E-10</v>
      </c>
      <c r="M261" s="27"/>
      <c r="U261" s="127">
        <v>7.1535101700412089E-10</v>
      </c>
      <c r="V261" s="127">
        <v>6.3319190790298733E-10</v>
      </c>
      <c r="W261" s="127">
        <v>7.6399076871857448E-10</v>
      </c>
      <c r="X261" s="128">
        <f t="shared" si="8"/>
        <v>6.8643140038216748E-10</v>
      </c>
      <c r="Y261" s="139">
        <f t="shared" si="9"/>
        <v>4.0827548559332341</v>
      </c>
      <c r="AA261" s="73"/>
      <c r="AB261" s="183"/>
      <c r="AC261" s="183"/>
      <c r="AD261" s="183"/>
      <c r="AJ261" s="136"/>
    </row>
    <row r="262" spans="9:36" x14ac:dyDescent="0.35">
      <c r="I262" s="49">
        <v>0.108752829451</v>
      </c>
      <c r="J262" s="49">
        <v>8.7724680079410575E-10</v>
      </c>
      <c r="K262" s="49">
        <v>1.6076548299776055E-10</v>
      </c>
      <c r="L262" s="157">
        <v>6.7903526498932065E-10</v>
      </c>
      <c r="M262" s="27"/>
      <c r="U262" s="127">
        <v>6.1586016649007322E-10</v>
      </c>
      <c r="V262" s="127">
        <v>6.7903526498932065E-10</v>
      </c>
      <c r="W262" s="127">
        <v>7.14705594091521E-10</v>
      </c>
      <c r="X262" s="128">
        <f t="shared" si="8"/>
        <v>6.7215907264005888E-10</v>
      </c>
      <c r="Y262" s="139">
        <f t="shared" si="9"/>
        <v>1.6273978174741253</v>
      </c>
      <c r="AA262" s="73"/>
      <c r="AB262" s="183"/>
      <c r="AC262" s="183"/>
      <c r="AD262" s="183"/>
      <c r="AJ262" s="136"/>
    </row>
    <row r="263" spans="9:36" x14ac:dyDescent="0.35">
      <c r="I263" s="49">
        <v>0.109840357746</v>
      </c>
      <c r="J263" s="49">
        <v>1.250440992476509E-9</v>
      </c>
      <c r="K263" s="49">
        <v>1.9422710309899822E-10</v>
      </c>
      <c r="L263" s="157">
        <v>7.0705840727792664E-10</v>
      </c>
      <c r="M263" s="27"/>
      <c r="U263" s="127">
        <v>5.8910788234675411E-10</v>
      </c>
      <c r="V263" s="127">
        <v>7.0705840727792664E-10</v>
      </c>
      <c r="W263" s="127">
        <v>6.1543049755693454E-10</v>
      </c>
      <c r="X263" s="128">
        <f t="shared" si="8"/>
        <v>6.5466379861488551E-10</v>
      </c>
      <c r="Y263" s="139">
        <f t="shared" si="9"/>
        <v>9.4090999884773368</v>
      </c>
      <c r="AA263" s="73"/>
      <c r="AB263" s="183"/>
      <c r="AC263" s="183"/>
      <c r="AD263" s="183"/>
      <c r="AJ263" s="136"/>
    </row>
    <row r="264" spans="9:36" x14ac:dyDescent="0.35">
      <c r="I264" s="49">
        <v>0.110938761323</v>
      </c>
      <c r="J264" s="49">
        <v>1.1917174931009451E-9</v>
      </c>
      <c r="K264" s="49">
        <v>1.7121826420082791E-10</v>
      </c>
      <c r="L264" s="157">
        <v>6.541962749635774E-10</v>
      </c>
      <c r="M264" s="27"/>
      <c r="U264" s="127">
        <v>6.2801026235212096E-10</v>
      </c>
      <c r="V264" s="127">
        <v>6.541962749635774E-10</v>
      </c>
      <c r="W264" s="127">
        <v>5.6290183453208398E-10</v>
      </c>
      <c r="X264" s="128">
        <f t="shared" si="8"/>
        <v>6.2482616170283996E-10</v>
      </c>
      <c r="Y264" s="139">
        <f t="shared" si="9"/>
        <v>10.962243693046242</v>
      </c>
      <c r="AA264" s="73"/>
      <c r="AB264" s="183"/>
      <c r="AC264" s="183"/>
      <c r="AD264" s="183"/>
      <c r="AJ264" s="136"/>
    </row>
    <row r="265" spans="9:36" x14ac:dyDescent="0.35">
      <c r="I265" s="49">
        <v>0.11204814893700001</v>
      </c>
      <c r="J265" s="49">
        <v>1.1884937454686865E-9</v>
      </c>
      <c r="K265" s="49">
        <v>1.8274581830851691E-10</v>
      </c>
      <c r="L265" s="157">
        <v>5.6213909545882632E-10</v>
      </c>
      <c r="M265" s="27"/>
      <c r="U265" s="127">
        <v>6.4817227928785185E-10</v>
      </c>
      <c r="V265" s="127">
        <v>5.6213909545882632E-10</v>
      </c>
      <c r="W265" s="127">
        <v>5.8488842222563669E-10</v>
      </c>
      <c r="X265" s="128">
        <f t="shared" si="8"/>
        <v>5.8933472310778529E-10</v>
      </c>
      <c r="Y265" s="139">
        <f t="shared" si="9"/>
        <v>10.749525913828295</v>
      </c>
      <c r="AA265" s="73"/>
      <c r="AB265" s="183"/>
      <c r="AC265" s="183"/>
      <c r="AD265" s="183"/>
      <c r="AJ265" s="136"/>
    </row>
    <row r="266" spans="9:36" x14ac:dyDescent="0.35">
      <c r="I266" s="49">
        <v>0.11316863042600001</v>
      </c>
      <c r="J266" s="49">
        <v>9.8155396880301701E-10</v>
      </c>
      <c r="K266" s="49">
        <v>1.7488063032288611E-10</v>
      </c>
      <c r="L266" s="157">
        <v>5.1681062811054299E-10</v>
      </c>
      <c r="M266" s="27"/>
      <c r="U266" s="127">
        <v>5.9579286290656728E-10</v>
      </c>
      <c r="V266" s="127">
        <v>5.1681062811054299E-10</v>
      </c>
      <c r="W266" s="127">
        <v>6.1037460460418898E-10</v>
      </c>
      <c r="X266" s="128">
        <f t="shared" si="8"/>
        <v>5.5994718093296054E-10</v>
      </c>
      <c r="Y266" s="139">
        <f t="shared" si="9"/>
        <v>5.8120824817720846</v>
      </c>
      <c r="AA266" s="73"/>
      <c r="AB266" s="183"/>
      <c r="AC266" s="183"/>
      <c r="AD266" s="183"/>
      <c r="AJ266" s="136"/>
    </row>
    <row r="267" spans="9:36" x14ac:dyDescent="0.35">
      <c r="I267" s="49">
        <v>0.11430031673</v>
      </c>
      <c r="J267" s="49">
        <v>1.0860008976393775E-9</v>
      </c>
      <c r="K267" s="49">
        <v>1.9589927899277747E-10</v>
      </c>
      <c r="L267" s="156">
        <v>5.3604830965580626E-10</v>
      </c>
      <c r="M267" s="34"/>
      <c r="U267" s="127">
        <v>5.1083961595042588E-10</v>
      </c>
      <c r="V267" s="127">
        <v>5.3604830965580626E-10</v>
      </c>
      <c r="W267" s="127">
        <v>5.7104246937895948E-10</v>
      </c>
      <c r="X267" s="128">
        <f t="shared" si="8"/>
        <v>5.3849467616024945E-10</v>
      </c>
      <c r="Y267" s="139">
        <f t="shared" si="9"/>
        <v>7.8111043913782918</v>
      </c>
      <c r="AA267" s="73"/>
      <c r="AB267" s="183"/>
      <c r="AC267" s="183"/>
      <c r="AD267" s="183"/>
      <c r="AJ267" s="136"/>
    </row>
    <row r="268" spans="9:36" x14ac:dyDescent="0.35">
      <c r="I268" s="49">
        <v>0.115443319898</v>
      </c>
      <c r="J268" s="49">
        <v>1.40590242939453E-9</v>
      </c>
      <c r="K268" s="49">
        <v>2.0734510992313382E-10</v>
      </c>
      <c r="L268" s="156">
        <v>5.5296847055465046E-10</v>
      </c>
      <c r="M268" s="34"/>
      <c r="U268" s="127">
        <v>4.6920122982284872E-10</v>
      </c>
      <c r="V268" s="127">
        <v>5.5296847055465046E-10</v>
      </c>
      <c r="W268" s="127">
        <v>4.9159714439308098E-10</v>
      </c>
      <c r="X268" s="128">
        <f t="shared" si="8"/>
        <v>5.1668382883130766E-10</v>
      </c>
      <c r="Y268" s="139">
        <f t="shared" si="9"/>
        <v>18.392022207348738</v>
      </c>
      <c r="AA268" s="73"/>
      <c r="AB268" s="183"/>
      <c r="AC268" s="183"/>
      <c r="AD268" s="183"/>
      <c r="AJ268" s="136"/>
    </row>
    <row r="269" spans="9:36" x14ac:dyDescent="0.35">
      <c r="I269" s="49">
        <v>0.116597753096</v>
      </c>
      <c r="J269" s="49">
        <v>1.1784825351501433E-9</v>
      </c>
      <c r="K269" s="49">
        <v>2.0780085843599924E-10</v>
      </c>
      <c r="L269" s="156">
        <v>5.1108195951986374E-10</v>
      </c>
      <c r="M269" s="33"/>
      <c r="U269" s="127">
        <v>4.8390626656521829E-10</v>
      </c>
      <c r="V269" s="127">
        <v>5.1108195951986374E-10</v>
      </c>
      <c r="W269" s="127">
        <v>4.4769974384347662E-10</v>
      </c>
      <c r="X269" s="128">
        <f t="shared" si="8"/>
        <v>4.8844248236210554E-10</v>
      </c>
      <c r="Y269" s="139">
        <f t="shared" si="9"/>
        <v>11.026912408747616</v>
      </c>
      <c r="AA269" s="73"/>
      <c r="AB269" s="183"/>
      <c r="AC269" s="183"/>
      <c r="AD269" s="183"/>
      <c r="AJ269" s="136"/>
    </row>
    <row r="270" spans="9:36" x14ac:dyDescent="0.35">
      <c r="I270" s="49">
        <v>0.117763730627</v>
      </c>
      <c r="J270" s="49">
        <v>1.0386924185113242E-9</v>
      </c>
      <c r="K270" s="49">
        <v>1.9083169133554429E-10</v>
      </c>
      <c r="L270" s="156">
        <v>4.3792973314230942E-10</v>
      </c>
      <c r="M270" s="34"/>
      <c r="U270" s="127">
        <v>4.946659453592207E-10</v>
      </c>
      <c r="V270" s="127">
        <v>4.3792973314230942E-10</v>
      </c>
      <c r="W270" s="127">
        <v>4.577627273587271E-10</v>
      </c>
      <c r="X270" s="128">
        <f t="shared" si="8"/>
        <v>4.5707203475064167E-10</v>
      </c>
      <c r="Y270" s="139">
        <f t="shared" si="9"/>
        <v>9.2891983922331711</v>
      </c>
      <c r="AA270" s="73"/>
      <c r="AB270" s="183"/>
      <c r="AC270" s="183"/>
      <c r="AD270" s="183"/>
      <c r="AJ270" s="136"/>
    </row>
    <row r="271" spans="9:36" x14ac:dyDescent="0.35">
      <c r="I271" s="49">
        <v>0.11894136793399999</v>
      </c>
      <c r="J271" s="49">
        <v>1.2387918579467334E-9</v>
      </c>
      <c r="K271" s="49">
        <v>2.2532527726106137E-10</v>
      </c>
      <c r="L271" s="156">
        <v>3.9962983850321529E-10</v>
      </c>
      <c r="M271" s="35"/>
      <c r="U271" s="127">
        <v>4.5350898192417676E-10</v>
      </c>
      <c r="V271" s="127">
        <v>3.9962983850321529E-10</v>
      </c>
      <c r="W271" s="127">
        <v>4.6354006020697526E-10</v>
      </c>
      <c r="X271" s="128">
        <f t="shared" si="8"/>
        <v>4.2907717978439566E-10</v>
      </c>
      <c r="Y271" s="139">
        <f t="shared" si="9"/>
        <v>12.913506808054738</v>
      </c>
      <c r="AA271" s="73"/>
      <c r="AB271" s="183"/>
      <c r="AC271" s="183"/>
      <c r="AD271" s="183"/>
      <c r="AJ271" s="136"/>
    </row>
    <row r="272" spans="9:36" x14ac:dyDescent="0.35">
      <c r="I272" s="49">
        <v>0.120130781613</v>
      </c>
      <c r="J272" s="49">
        <v>1.3498075678142853E-9</v>
      </c>
      <c r="K272" s="49">
        <v>2.4162047550530663E-10</v>
      </c>
      <c r="L272" s="156">
        <v>4.070037852334649E-10</v>
      </c>
      <c r="M272" s="34"/>
      <c r="U272" s="127">
        <v>3.8661504126570104E-10</v>
      </c>
      <c r="V272" s="127">
        <v>4.070037852334649E-10</v>
      </c>
      <c r="W272" s="127">
        <v>4.2026255376038068E-10</v>
      </c>
      <c r="X272" s="128">
        <f t="shared" si="8"/>
        <v>4.0522129137325292E-10</v>
      </c>
      <c r="Y272" s="139">
        <f t="shared" si="9"/>
        <v>15.283252693403613</v>
      </c>
      <c r="AA272" s="73"/>
      <c r="AB272" s="183"/>
      <c r="AC272" s="183"/>
      <c r="AD272" s="183"/>
      <c r="AJ272" s="136"/>
    </row>
    <row r="273" spans="9:36" x14ac:dyDescent="0.35">
      <c r="I273" s="49">
        <v>0.12133208942900001</v>
      </c>
      <c r="J273" s="49">
        <v>1.2739360722158499E-9</v>
      </c>
      <c r="K273" s="49">
        <v>2.2225462724276678E-10</v>
      </c>
      <c r="L273" s="156">
        <v>4.0695110691174508E-10</v>
      </c>
      <c r="M273" s="33"/>
      <c r="U273" s="127">
        <v>3.5131554444178087E-10</v>
      </c>
      <c r="V273" s="127">
        <v>4.0695110691174508E-10</v>
      </c>
      <c r="W273" s="127">
        <v>3.5887239091699838E-10</v>
      </c>
      <c r="X273" s="128">
        <f t="shared" si="8"/>
        <v>3.8102253729556735E-10</v>
      </c>
      <c r="Y273" s="139">
        <f t="shared" si="9"/>
        <v>16.140507617543694</v>
      </c>
      <c r="AA273" s="73"/>
      <c r="AB273" s="183"/>
      <c r="AC273" s="183"/>
      <c r="AD273" s="183"/>
      <c r="AJ273" s="136"/>
    </row>
    <row r="274" spans="9:36" x14ac:dyDescent="0.35">
      <c r="I274" s="49">
        <v>0.122545410323</v>
      </c>
      <c r="J274" s="49">
        <v>9.1888309970863141E-10</v>
      </c>
      <c r="K274" s="49">
        <v>2.1015990508273873E-10</v>
      </c>
      <c r="L274" s="156">
        <v>3.6416037020136399E-10</v>
      </c>
      <c r="M274" s="34"/>
      <c r="U274" s="127">
        <v>3.5511189070975071E-10</v>
      </c>
      <c r="V274" s="127">
        <v>3.6416037020136399E-10</v>
      </c>
      <c r="W274" s="127">
        <v>3.3256149309696262E-10</v>
      </c>
      <c r="X274" s="128">
        <f t="shared" si="8"/>
        <v>3.5399853105236036E-10</v>
      </c>
      <c r="Y274" s="139">
        <f t="shared" si="9"/>
        <v>7.2246979475148141</v>
      </c>
      <c r="AA274" s="73"/>
      <c r="AB274" s="183"/>
      <c r="AC274" s="183"/>
      <c r="AD274" s="183"/>
      <c r="AJ274" s="136"/>
    </row>
    <row r="275" spans="9:36" x14ac:dyDescent="0.35">
      <c r="I275" s="49">
        <v>0.123770864427</v>
      </c>
      <c r="J275" s="49">
        <v>8.5410453868292026E-10</v>
      </c>
      <c r="K275" s="49">
        <v>2.0793936321376974E-10</v>
      </c>
      <c r="L275" s="156">
        <v>3.0901326940027931E-10</v>
      </c>
      <c r="M275" s="34"/>
      <c r="U275" s="127">
        <v>3.5149420780311576E-10</v>
      </c>
      <c r="V275" s="127">
        <v>3.0901326940027931E-10</v>
      </c>
      <c r="W275" s="127">
        <v>3.3643622919205727E-10</v>
      </c>
      <c r="X275" s="128">
        <f t="shared" si="8"/>
        <v>3.264892439489329E-10</v>
      </c>
      <c r="Y275" s="139">
        <f t="shared" si="9"/>
        <v>6.438153600356685</v>
      </c>
      <c r="AA275" s="73"/>
      <c r="AB275" s="183"/>
      <c r="AC275" s="183"/>
      <c r="AD275" s="183"/>
      <c r="AJ275" s="136"/>
    </row>
    <row r="276" spans="9:36" x14ac:dyDescent="0.35">
      <c r="I276" s="49">
        <v>0.125008573071</v>
      </c>
      <c r="J276" s="49">
        <v>1.0377864065894817E-9</v>
      </c>
      <c r="K276" s="49">
        <v>2.3626260981939392E-10</v>
      </c>
      <c r="L276" s="156">
        <v>2.8577046179659769E-10</v>
      </c>
      <c r="M276" s="33"/>
      <c r="U276" s="127">
        <v>3.1139070074466822E-10</v>
      </c>
      <c r="V276" s="127">
        <v>2.8577046179659769E-10</v>
      </c>
      <c r="W276" s="127">
        <v>3.2235088252761783E-10</v>
      </c>
      <c r="X276" s="128">
        <f t="shared" si="8"/>
        <v>3.0132062671637035E-10</v>
      </c>
      <c r="Y276" s="139">
        <f t="shared" si="9"/>
        <v>9.7166184670612274</v>
      </c>
      <c r="AA276" s="73"/>
      <c r="AB276" s="183"/>
      <c r="AC276" s="183"/>
      <c r="AD276" s="183"/>
      <c r="AJ276" s="136"/>
    </row>
    <row r="277" spans="9:36" x14ac:dyDescent="0.35">
      <c r="I277" s="49">
        <v>0.12625865880199999</v>
      </c>
      <c r="J277" s="49">
        <v>1.2019130123533202E-9</v>
      </c>
      <c r="K277" s="49">
        <v>2.6226703945401697E-10</v>
      </c>
      <c r="L277" s="156">
        <v>2.8656765269540297E-10</v>
      </c>
      <c r="M277" s="34"/>
      <c r="U277" s="127">
        <v>2.6185700681449213E-10</v>
      </c>
      <c r="V277" s="127">
        <v>2.8656765269540297E-10</v>
      </c>
      <c r="W277" s="127">
        <v>2.7697075441370946E-10</v>
      </c>
      <c r="X277" s="128">
        <f t="shared" si="8"/>
        <v>2.7799076665475185E-10</v>
      </c>
      <c r="Y277" s="139">
        <f t="shared" si="9"/>
        <v>12.410332581640533</v>
      </c>
      <c r="AA277" s="73"/>
      <c r="AB277" s="183"/>
      <c r="AC277" s="183"/>
      <c r="AD277" s="183"/>
      <c r="AJ277" s="136"/>
    </row>
    <row r="278" spans="9:36" x14ac:dyDescent="0.35">
      <c r="I278" s="49">
        <v>0.12752124539000001</v>
      </c>
      <c r="J278" s="49">
        <v>9.8510541776180042E-10</v>
      </c>
      <c r="K278" s="49">
        <v>2.2935876631880887E-10</v>
      </c>
      <c r="L278" s="156">
        <v>2.7033191745457842E-10</v>
      </c>
      <c r="M278" s="34"/>
      <c r="U278" s="127">
        <v>2.3995947154742056E-10</v>
      </c>
      <c r="V278" s="127">
        <v>2.7033191745457842E-10</v>
      </c>
      <c r="W278" s="127">
        <v>2.3721275845527954E-10</v>
      </c>
      <c r="X278" s="128">
        <f t="shared" si="8"/>
        <v>2.5445901622796422E-10</v>
      </c>
      <c r="Y278" s="139">
        <f t="shared" si="9"/>
        <v>10.148078348084853</v>
      </c>
      <c r="AA278" s="73"/>
      <c r="AB278" s="183"/>
      <c r="AC278" s="183"/>
      <c r="AD278" s="183"/>
      <c r="AJ278" s="136"/>
    </row>
    <row r="279" spans="9:36" x14ac:dyDescent="0.35">
      <c r="I279" s="49">
        <v>0.12879645784400001</v>
      </c>
      <c r="J279" s="49">
        <v>1.1331693396213027E-9</v>
      </c>
      <c r="K279" s="49">
        <v>2.5150978675524672E-10</v>
      </c>
      <c r="L279" s="156">
        <v>2.2881507020326806E-10</v>
      </c>
      <c r="M279" s="35"/>
      <c r="U279" s="127">
        <v>2.3802852468572932E-10</v>
      </c>
      <c r="V279" s="127">
        <v>2.2881507020326806E-10</v>
      </c>
      <c r="W279" s="127">
        <v>2.2631888557882979E-10</v>
      </c>
      <c r="X279" s="128">
        <f t="shared" si="8"/>
        <v>2.3049438766777379E-10</v>
      </c>
      <c r="Y279" s="139">
        <f t="shared" si="9"/>
        <v>12.881101579212581</v>
      </c>
      <c r="AA279" s="73"/>
      <c r="AB279" s="183"/>
      <c r="AC279" s="183"/>
      <c r="AD279" s="183"/>
      <c r="AJ279" s="136"/>
    </row>
    <row r="280" spans="9:36" x14ac:dyDescent="0.35">
      <c r="I280" s="49">
        <v>0.130084422422</v>
      </c>
      <c r="J280" s="49">
        <v>1.5105943838568162E-9</v>
      </c>
      <c r="K280" s="49">
        <v>3.0014982074180406E-10</v>
      </c>
      <c r="L280" s="156">
        <v>1.9412867252284581E-10</v>
      </c>
      <c r="M280" s="33"/>
      <c r="U280" s="127">
        <v>2.2160040676214786E-10</v>
      </c>
      <c r="V280" s="127">
        <v>1.9412867252284581E-10</v>
      </c>
      <c r="W280" s="127">
        <v>2.1993874963723571E-10</v>
      </c>
      <c r="X280" s="128">
        <f t="shared" si="8"/>
        <v>2.074491253612688E-10</v>
      </c>
      <c r="Y280" s="139">
        <f t="shared" si="9"/>
        <v>18.849918626160473</v>
      </c>
      <c r="AA280" s="73"/>
      <c r="AB280" s="183"/>
      <c r="AC280" s="183"/>
      <c r="AD280" s="183"/>
      <c r="AJ280" s="136"/>
    </row>
    <row r="281" spans="9:36" x14ac:dyDescent="0.35">
      <c r="I281" s="49">
        <v>0.131385266646</v>
      </c>
      <c r="J281" s="49">
        <v>1.2446031478391945E-9</v>
      </c>
      <c r="K281" s="49">
        <v>2.7907211825515843E-10</v>
      </c>
      <c r="L281" s="156">
        <v>1.8357977415915222E-10</v>
      </c>
      <c r="M281" s="34"/>
      <c r="U281" s="127">
        <v>1.846120278937867E-10</v>
      </c>
      <c r="V281" s="127">
        <v>1.8357977415915222E-10</v>
      </c>
      <c r="W281" s="127">
        <v>1.9211752366528467E-10</v>
      </c>
      <c r="X281" s="128">
        <f t="shared" ref="X281" si="10">(U281+2*V281+W281)/4</f>
        <v>1.8597227496934394E-10</v>
      </c>
      <c r="Y281" s="139">
        <f t="shared" ref="Y281" si="11">(J281-X281)*(J281-X281)/(K281*K281)</f>
        <v>14.38984820435939</v>
      </c>
      <c r="AA281" s="73"/>
      <c r="AB281" s="183"/>
      <c r="AC281" s="183"/>
      <c r="AD281" s="183"/>
      <c r="AJ281" s="136"/>
    </row>
    <row r="282" spans="9:36" x14ac:dyDescent="0.35">
      <c r="I282" s="49"/>
      <c r="J282" s="49"/>
      <c r="K282" s="49"/>
      <c r="M282" s="34"/>
      <c r="U282" s="127"/>
      <c r="V282" s="127"/>
      <c r="W282" s="127"/>
      <c r="X282" s="128"/>
      <c r="Y282" s="139"/>
      <c r="AA282" s="73"/>
      <c r="AB282" s="183"/>
      <c r="AC282" s="183"/>
      <c r="AD282" s="183"/>
      <c r="AJ282" s="136"/>
    </row>
    <row r="283" spans="9:36" x14ac:dyDescent="0.35">
      <c r="I283" s="49"/>
      <c r="J283" s="49"/>
      <c r="K283" s="49"/>
      <c r="M283" s="33"/>
      <c r="U283" s="127"/>
      <c r="V283" s="127"/>
      <c r="W283" s="127"/>
      <c r="X283" s="128"/>
      <c r="Y283" s="139"/>
      <c r="AA283" s="73"/>
      <c r="AB283" s="183"/>
      <c r="AC283" s="183"/>
      <c r="AD283" s="183"/>
      <c r="AJ283" s="136"/>
    </row>
    <row r="284" spans="9:36" x14ac:dyDescent="0.35">
      <c r="I284" s="49"/>
      <c r="J284" s="49"/>
      <c r="K284" s="49"/>
      <c r="M284" s="34"/>
      <c r="U284" s="127"/>
      <c r="V284" s="127"/>
      <c r="W284" s="127"/>
      <c r="X284" s="128"/>
      <c r="Y284" s="139"/>
      <c r="AA284" s="73"/>
      <c r="AB284" s="183"/>
      <c r="AC284" s="183"/>
      <c r="AD284" s="183"/>
      <c r="AJ284" s="136"/>
    </row>
    <row r="285" spans="9:36" x14ac:dyDescent="0.35">
      <c r="I285" s="49"/>
      <c r="J285" s="49"/>
      <c r="K285" s="49"/>
      <c r="M285" s="34"/>
      <c r="U285" s="127"/>
      <c r="V285" s="127"/>
      <c r="W285" s="127"/>
      <c r="X285" s="128"/>
      <c r="Y285" s="139"/>
      <c r="AA285" s="73"/>
      <c r="AB285" s="183"/>
      <c r="AC285" s="183"/>
      <c r="AD285" s="183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83"/>
      <c r="AC286" s="183"/>
      <c r="AD286" s="183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83"/>
      <c r="AC287" s="183"/>
      <c r="AD287" s="183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83"/>
      <c r="AC288" s="183"/>
      <c r="AD288" s="183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83"/>
      <c r="AC289" s="183"/>
      <c r="AD289" s="183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83"/>
      <c r="AC290" s="183"/>
      <c r="AD290" s="183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83"/>
      <c r="AC291" s="183"/>
      <c r="AD291" s="183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83"/>
      <c r="AC292" s="183"/>
      <c r="AD292" s="183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83"/>
      <c r="AC293" s="183"/>
      <c r="AD293" s="183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83"/>
      <c r="AC294" s="183"/>
      <c r="AD294" s="183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83"/>
      <c r="AC295" s="183"/>
      <c r="AD295" s="183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83"/>
      <c r="AC296" s="183"/>
      <c r="AD296" s="183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8"/>
      <c r="X297" s="128"/>
      <c r="Y297" s="139"/>
      <c r="AA297" s="73"/>
      <c r="AB297" s="183"/>
      <c r="AC297" s="183"/>
      <c r="AD297" s="183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8"/>
      <c r="X298" s="128"/>
      <c r="Y298" s="139"/>
      <c r="AA298" s="73"/>
      <c r="AB298" s="183"/>
      <c r="AC298" s="183"/>
      <c r="AD298" s="183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8"/>
      <c r="X299" s="128"/>
      <c r="Y299" s="139"/>
      <c r="AA299" s="73"/>
      <c r="AB299" s="183"/>
      <c r="AC299" s="183"/>
      <c r="AD299" s="183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8"/>
      <c r="X300" s="128"/>
      <c r="Y300" s="139"/>
      <c r="AA300" s="73"/>
      <c r="AB300" s="183"/>
      <c r="AC300" s="183"/>
      <c r="AD300" s="183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8"/>
      <c r="X301" s="128"/>
      <c r="Y301" s="139"/>
      <c r="AA301" s="73"/>
      <c r="AB301" s="183"/>
      <c r="AC301" s="183"/>
      <c r="AD301" s="183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8"/>
      <c r="X302" s="128"/>
      <c r="Y302" s="139"/>
      <c r="AA302" s="73"/>
      <c r="AB302" s="183"/>
      <c r="AC302" s="183"/>
      <c r="AD302" s="183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8"/>
      <c r="X303" s="128"/>
      <c r="Y303" s="139"/>
      <c r="AA303" s="73"/>
      <c r="AB303" s="183"/>
      <c r="AC303" s="183"/>
      <c r="AD303" s="183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8"/>
      <c r="X304" s="128"/>
      <c r="Y304" s="139"/>
      <c r="AA304" s="73"/>
      <c r="AB304" s="183"/>
      <c r="AC304" s="183"/>
      <c r="AD304" s="183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8"/>
      <c r="X305" s="128"/>
      <c r="Y305" s="139"/>
      <c r="AA305" s="73"/>
      <c r="AB305" s="183"/>
      <c r="AC305" s="183"/>
      <c r="AD305" s="183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8"/>
      <c r="X306" s="128"/>
      <c r="Y306" s="139"/>
      <c r="AA306" s="73"/>
      <c r="AB306" s="183"/>
      <c r="AC306" s="183"/>
      <c r="AD306" s="183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8"/>
      <c r="X307" s="128"/>
      <c r="Y307" s="139"/>
      <c r="AA307" s="73"/>
      <c r="AB307" s="183"/>
      <c r="AC307" s="183"/>
      <c r="AD307" s="183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8"/>
      <c r="X308" s="128"/>
      <c r="Y308" s="139"/>
      <c r="AA308" s="73"/>
      <c r="AB308" s="183"/>
      <c r="AC308" s="183"/>
      <c r="AD308" s="183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8"/>
      <c r="X309" s="128"/>
      <c r="Y309" s="139"/>
      <c r="AA309" s="73"/>
      <c r="AB309" s="183"/>
      <c r="AC309" s="183"/>
      <c r="AD309" s="183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8"/>
      <c r="X310" s="128"/>
      <c r="Y310" s="139"/>
      <c r="AA310" s="73"/>
      <c r="AB310" s="183"/>
      <c r="AC310" s="183"/>
      <c r="AD310" s="183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8"/>
      <c r="X311" s="128"/>
      <c r="Y311" s="139"/>
      <c r="AA311" s="73"/>
      <c r="AB311" s="183"/>
      <c r="AC311" s="183"/>
      <c r="AD311" s="183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8"/>
      <c r="X312" s="128"/>
      <c r="Y312" s="139"/>
      <c r="AA312" s="73"/>
      <c r="AB312" s="183"/>
      <c r="AC312" s="183"/>
      <c r="AD312" s="183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8"/>
      <c r="X313" s="128"/>
      <c r="Y313" s="139"/>
      <c r="AA313" s="73"/>
      <c r="AB313" s="183"/>
      <c r="AC313" s="183"/>
      <c r="AD313" s="183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8"/>
      <c r="X314" s="128"/>
      <c r="Y314" s="139"/>
      <c r="AA314" s="73"/>
      <c r="AB314" s="183"/>
      <c r="AC314" s="183"/>
      <c r="AD314" s="183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8"/>
      <c r="X315" s="128"/>
      <c r="Y315" s="139"/>
      <c r="AA315" s="73"/>
      <c r="AB315" s="183"/>
      <c r="AC315" s="183"/>
      <c r="AD315" s="183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8"/>
      <c r="X316" s="128"/>
      <c r="Y316" s="139"/>
      <c r="AA316" s="73"/>
      <c r="AB316" s="183"/>
      <c r="AC316" s="183"/>
      <c r="AD316" s="183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8"/>
      <c r="X317" s="128"/>
      <c r="Y317" s="139"/>
      <c r="AA317" s="73"/>
      <c r="AB317" s="183"/>
      <c r="AC317" s="183"/>
      <c r="AD317" s="183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8"/>
      <c r="X318" s="128"/>
      <c r="Y318" s="139"/>
      <c r="AA318" s="73"/>
      <c r="AB318" s="183"/>
      <c r="AC318" s="183"/>
      <c r="AD318" s="183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8"/>
      <c r="X319" s="128"/>
      <c r="Y319" s="139"/>
      <c r="AA319" s="73"/>
      <c r="AB319" s="183"/>
      <c r="AC319" s="183"/>
      <c r="AD319" s="183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8"/>
      <c r="X320" s="128"/>
      <c r="Y320" s="139"/>
      <c r="AA320" s="73"/>
      <c r="AB320" s="183"/>
      <c r="AC320" s="183"/>
      <c r="AD320" s="183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8"/>
      <c r="X321" s="128"/>
      <c r="Y321" s="139"/>
      <c r="AA321" s="73"/>
      <c r="AB321" s="183"/>
      <c r="AC321" s="183"/>
      <c r="AD321" s="183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8"/>
      <c r="X322" s="128"/>
      <c r="Y322" s="139"/>
      <c r="AA322" s="73"/>
      <c r="AB322" s="183"/>
      <c r="AC322" s="183"/>
      <c r="AD322" s="183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83"/>
      <c r="AC323" s="183"/>
      <c r="AD323" s="183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83"/>
      <c r="AC324" s="183"/>
      <c r="AD324" s="183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83"/>
      <c r="AC325" s="183"/>
      <c r="AD325" s="183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83"/>
      <c r="AC326" s="183"/>
      <c r="AD326" s="183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83"/>
      <c r="AC327" s="183"/>
      <c r="AD327" s="183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83"/>
      <c r="AC328" s="183"/>
      <c r="AD328" s="183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83"/>
      <c r="AC329" s="183"/>
      <c r="AD329" s="183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83"/>
      <c r="AC330" s="183"/>
      <c r="AD330" s="183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83"/>
      <c r="AC331" s="183"/>
      <c r="AD331" s="183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83"/>
      <c r="AC332" s="183"/>
      <c r="AD332" s="183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83"/>
      <c r="AC333" s="183"/>
      <c r="AD333" s="183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83"/>
      <c r="AC334" s="183"/>
      <c r="AD334" s="183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60"/>
    </row>
    <row r="596" spans="9:35" x14ac:dyDescent="0.35">
      <c r="I596" s="109"/>
      <c r="J596" s="109"/>
      <c r="K596" s="109"/>
      <c r="L596" s="158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1899-D9DA-4710-AB3B-80877DCE0C57}">
  <sheetPr codeName="Sheet6"/>
  <dimension ref="A1:D20"/>
  <sheetViews>
    <sheetView workbookViewId="0">
      <selection activeCell="A15" sqref="A15:C15"/>
    </sheetView>
  </sheetViews>
  <sheetFormatPr defaultRowHeight="15.5" x14ac:dyDescent="0.35"/>
  <cols>
    <col min="1" max="1" width="39.33203125" bestFit="1" customWidth="1"/>
    <col min="2" max="2" width="9.1640625" bestFit="1" customWidth="1"/>
  </cols>
  <sheetData>
    <row r="1" spans="1:4" x14ac:dyDescent="0.35">
      <c r="A1" s="168"/>
      <c r="B1" s="93" t="s">
        <v>535</v>
      </c>
      <c r="C1" s="93" t="s">
        <v>621</v>
      </c>
      <c r="D1" s="169"/>
    </row>
    <row r="2" spans="1:4" ht="18" x14ac:dyDescent="0.35">
      <c r="A2" s="93" t="s">
        <v>622</v>
      </c>
      <c r="B2" s="170">
        <f>Reflectivity!H10</f>
        <v>1074.5268897003314</v>
      </c>
      <c r="C2" s="170">
        <f>dTotal!D4</f>
        <v>8.547097640025358</v>
      </c>
      <c r="D2" s="171"/>
    </row>
    <row r="3" spans="1:4" ht="18" x14ac:dyDescent="0.35">
      <c r="A3" s="93" t="s">
        <v>623</v>
      </c>
      <c r="B3" s="170">
        <f>Reflectivity!F7</f>
        <v>41.262845079762997</v>
      </c>
      <c r="C3" s="170">
        <f>dSiOx!D4</f>
        <v>5.4553320716889733</v>
      </c>
      <c r="D3" s="171"/>
    </row>
    <row r="4" spans="1:4" x14ac:dyDescent="0.35">
      <c r="A4" s="94"/>
      <c r="B4" s="94"/>
      <c r="C4" s="94"/>
      <c r="D4" s="171"/>
    </row>
    <row r="5" spans="1:4" ht="18" x14ac:dyDescent="0.35">
      <c r="A5" s="93" t="s">
        <v>624</v>
      </c>
      <c r="B5" s="170">
        <f>Reflectivity!G4</f>
        <v>43.928417817474397</v>
      </c>
      <c r="C5" s="170">
        <f>sigDstack!D4</f>
        <v>16.885453005728788</v>
      </c>
      <c r="D5" s="171"/>
    </row>
    <row r="6" spans="1:4" x14ac:dyDescent="0.35">
      <c r="D6" s="171"/>
    </row>
    <row r="7" spans="1:4" ht="18" x14ac:dyDescent="0.35">
      <c r="A7" s="93" t="s">
        <v>612</v>
      </c>
      <c r="B7" s="172">
        <f>Reflectivity!H14</f>
        <v>1.3644558148159582</v>
      </c>
      <c r="C7" s="172">
        <f>density!D4</f>
        <v>7.0069890230164661E-2</v>
      </c>
    </row>
    <row r="8" spans="1:4" ht="18" x14ac:dyDescent="0.35">
      <c r="A8" s="93" t="s">
        <v>613</v>
      </c>
      <c r="B8" s="172">
        <f>Reflectivity!H16</f>
        <v>0.33941491614281738</v>
      </c>
      <c r="C8" s="172">
        <f>f_PEO!D4</f>
        <v>6.2261507252362923E-2</v>
      </c>
    </row>
    <row r="9" spans="1:4" x14ac:dyDescent="0.35">
      <c r="D9" s="173"/>
    </row>
    <row r="10" spans="1:4" ht="18" x14ac:dyDescent="0.35">
      <c r="A10" s="93" t="s">
        <v>625</v>
      </c>
      <c r="B10" s="174">
        <f>Reflectivity!C5</f>
        <v>1.6046562573069151E-6</v>
      </c>
      <c r="C10" s="174">
        <f>SQRT(B11^2*C7^2+B12^2*C8^2)</f>
        <v>1.1386686936245833E-7</v>
      </c>
      <c r="D10" s="173"/>
    </row>
    <row r="11" spans="1:4" ht="18" x14ac:dyDescent="0.35">
      <c r="A11" s="93" t="s">
        <v>626</v>
      </c>
      <c r="B11" s="174">
        <f>B8*Reflectivity!D16+(1-B8)*Reflectivity!C16</f>
        <v>1.1760412025678939E-6</v>
      </c>
      <c r="C11" s="174"/>
    </row>
    <row r="12" spans="1:4" ht="18" x14ac:dyDescent="0.35">
      <c r="A12" s="93" t="s">
        <v>627</v>
      </c>
      <c r="B12" s="174">
        <f>B7*(Reflectivity!D16-Reflectivity!C16)</f>
        <v>-1.2621216287047613E-6</v>
      </c>
      <c r="C12" s="174"/>
    </row>
    <row r="13" spans="1:4" ht="18" x14ac:dyDescent="0.35">
      <c r="A13" s="93" t="s">
        <v>628</v>
      </c>
      <c r="B13" s="174">
        <f>Reflectivity!C6</f>
        <v>1.7243969448656413E-6</v>
      </c>
      <c r="C13" s="174">
        <f>NbBPEI!D4</f>
        <v>6.1303637974651156E-7</v>
      </c>
    </row>
    <row r="15" spans="1:4" x14ac:dyDescent="0.35">
      <c r="A15" s="193"/>
      <c r="B15" s="75"/>
      <c r="C15" s="75"/>
    </row>
    <row r="16" spans="1:4" x14ac:dyDescent="0.35">
      <c r="A16" s="175"/>
      <c r="B16" s="1"/>
      <c r="C16" s="176"/>
    </row>
    <row r="17" spans="1:3" x14ac:dyDescent="0.35">
      <c r="A17" s="175"/>
      <c r="B17" s="1"/>
      <c r="C17" s="176"/>
    </row>
    <row r="18" spans="1:3" x14ac:dyDescent="0.35">
      <c r="A18" s="175"/>
      <c r="B18" s="1"/>
      <c r="C18" s="176"/>
    </row>
    <row r="19" spans="1:3" x14ac:dyDescent="0.35">
      <c r="A19" s="175"/>
      <c r="B19" s="1"/>
      <c r="C19" s="176"/>
    </row>
    <row r="20" spans="1:3" x14ac:dyDescent="0.35">
      <c r="A20" s="175"/>
      <c r="B20" s="1"/>
      <c r="C2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607</v>
      </c>
      <c r="B2" s="105">
        <v>1067</v>
      </c>
      <c r="C2" s="105">
        <v>1087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1067</v>
      </c>
      <c r="B4" s="94">
        <v>5.9087543552294495</v>
      </c>
      <c r="C4" s="106">
        <v>1074.5268897003314</v>
      </c>
      <c r="D4" s="106">
        <v>8.547097640025358</v>
      </c>
    </row>
    <row r="5" spans="1:5" x14ac:dyDescent="0.35">
      <c r="A5" s="106">
        <v>1071</v>
      </c>
      <c r="B5" s="94">
        <v>5.2910669995858743</v>
      </c>
      <c r="C5" s="94"/>
      <c r="D5" s="94"/>
    </row>
    <row r="6" spans="1:5" x14ac:dyDescent="0.35">
      <c r="A6" s="106">
        <v>1075</v>
      </c>
      <c r="B6" s="94">
        <v>5.1259223437685808</v>
      </c>
      <c r="C6" s="94"/>
      <c r="D6" s="94"/>
    </row>
    <row r="7" spans="1:5" x14ac:dyDescent="0.35">
      <c r="A7" s="106">
        <v>1079</v>
      </c>
      <c r="B7" s="94">
        <v>5.4057338167812743</v>
      </c>
      <c r="C7" s="94"/>
      <c r="D7" s="94"/>
    </row>
    <row r="8" spans="1:5" x14ac:dyDescent="0.35">
      <c r="A8" s="106">
        <v>1083</v>
      </c>
      <c r="B8" s="94">
        <v>6.1192973625171661</v>
      </c>
      <c r="C8" s="94"/>
      <c r="D8" s="94"/>
    </row>
    <row r="9" spans="1:5" x14ac:dyDescent="0.35">
      <c r="A9" s="106">
        <v>1087</v>
      </c>
      <c r="B9" s="94">
        <v>7.2516611052779334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C0983-8C62-4B8D-8C2B-D110D4CD84E6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615</v>
      </c>
      <c r="B2" s="166">
        <v>1.3</v>
      </c>
      <c r="C2" s="166">
        <v>1.4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5">
        <v>1.3</v>
      </c>
      <c r="B4" s="94">
        <v>5.9137844233189041</v>
      </c>
      <c r="C4" s="165">
        <v>1.3644558148159582</v>
      </c>
      <c r="D4" s="165">
        <v>7.0069890230164661E-2</v>
      </c>
    </row>
    <row r="5" spans="1:5" x14ac:dyDescent="0.35">
      <c r="A5" s="165">
        <v>1.32</v>
      </c>
      <c r="B5" s="94">
        <v>5.4961345838507603</v>
      </c>
      <c r="C5" s="94"/>
      <c r="D5" s="94"/>
    </row>
    <row r="6" spans="1:5" x14ac:dyDescent="0.35">
      <c r="A6" s="165">
        <v>1.34</v>
      </c>
      <c r="B6" s="94">
        <v>5.2100998652780914</v>
      </c>
      <c r="C6" s="94"/>
      <c r="D6" s="94"/>
    </row>
    <row r="7" spans="1:5" x14ac:dyDescent="0.35">
      <c r="A7" s="165">
        <v>1.3599999999999999</v>
      </c>
      <c r="B7" s="94">
        <v>5.0742169542850988</v>
      </c>
      <c r="C7" s="94"/>
      <c r="D7" s="94"/>
    </row>
    <row r="8" spans="1:5" x14ac:dyDescent="0.35">
      <c r="A8" s="165">
        <v>1.38</v>
      </c>
      <c r="B8" s="94">
        <v>5.111104427428196</v>
      </c>
      <c r="C8" s="94"/>
      <c r="D8" s="94"/>
    </row>
    <row r="9" spans="1:5" x14ac:dyDescent="0.35">
      <c r="A9" s="165">
        <v>1.4</v>
      </c>
      <c r="B9" s="94">
        <v>5.3475795737943734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122B2-0ECF-4E78-8677-3DF2BE891EE0}">
  <sheetPr codeName="Sheet27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616</v>
      </c>
      <c r="B2" s="166">
        <v>0.31</v>
      </c>
      <c r="C2" s="166">
        <v>0.37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5">
        <v>0.31</v>
      </c>
      <c r="B4" s="94">
        <v>5.2930369977639256</v>
      </c>
      <c r="C4" s="165">
        <v>0.33941491614281738</v>
      </c>
      <c r="D4" s="165">
        <v>6.2261507252362923E-2</v>
      </c>
    </row>
    <row r="5" spans="1:5" x14ac:dyDescent="0.35">
      <c r="A5" s="165">
        <v>0.32200000000000001</v>
      </c>
      <c r="B5" s="94">
        <v>5.1396349738390326</v>
      </c>
      <c r="C5" s="94"/>
      <c r="D5" s="94"/>
    </row>
    <row r="6" spans="1:5" x14ac:dyDescent="0.35">
      <c r="A6" s="165">
        <v>0.33400000000000002</v>
      </c>
      <c r="B6" s="94">
        <v>5.0712815532491575</v>
      </c>
      <c r="C6" s="94"/>
      <c r="D6" s="94"/>
    </row>
    <row r="7" spans="1:5" x14ac:dyDescent="0.35">
      <c r="A7" s="165">
        <v>0.34599999999999997</v>
      </c>
      <c r="B7" s="94">
        <v>5.0803879090380395</v>
      </c>
      <c r="C7" s="94"/>
      <c r="D7" s="94"/>
    </row>
    <row r="8" spans="1:5" x14ac:dyDescent="0.35">
      <c r="A8" s="165">
        <v>0.35799999999999998</v>
      </c>
      <c r="B8" s="94">
        <v>5.1601020850383721</v>
      </c>
      <c r="C8" s="94"/>
      <c r="D8" s="94"/>
    </row>
    <row r="9" spans="1:5" x14ac:dyDescent="0.35">
      <c r="A9" s="165">
        <v>0.37</v>
      </c>
      <c r="B9" s="94">
        <v>5.3042918916047022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32</v>
      </c>
      <c r="C2" s="105">
        <v>52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32</v>
      </c>
      <c r="B4" s="94">
        <v>5.5647936444088115</v>
      </c>
      <c r="C4" s="106">
        <v>43.928417817474397</v>
      </c>
      <c r="D4" s="106">
        <v>16.885453005728788</v>
      </c>
    </row>
    <row r="5" spans="1:5" x14ac:dyDescent="0.35">
      <c r="A5" s="106">
        <v>36</v>
      </c>
      <c r="B5" s="94">
        <v>5.2862789668996477</v>
      </c>
      <c r="C5" s="94"/>
      <c r="D5" s="94"/>
    </row>
    <row r="6" spans="1:5" x14ac:dyDescent="0.35">
      <c r="A6" s="106">
        <v>40</v>
      </c>
      <c r="B6" s="94">
        <v>5.1182306361494341</v>
      </c>
      <c r="C6" s="94"/>
      <c r="D6" s="94"/>
    </row>
    <row r="7" spans="1:5" x14ac:dyDescent="0.35">
      <c r="A7" s="106">
        <v>44</v>
      </c>
      <c r="B7" s="94">
        <v>5.0652859572206292</v>
      </c>
      <c r="C7" s="94"/>
      <c r="D7" s="94"/>
    </row>
    <row r="8" spans="1:5" x14ac:dyDescent="0.35">
      <c r="A8" s="106">
        <v>48</v>
      </c>
      <c r="B8" s="94">
        <v>5.1257553950441519</v>
      </c>
      <c r="C8" s="94"/>
      <c r="D8" s="94"/>
    </row>
    <row r="9" spans="1:5" x14ac:dyDescent="0.35">
      <c r="A9" s="106">
        <v>52</v>
      </c>
      <c r="B9" s="94">
        <v>5.2929370532476767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EB19A-E75C-4C2A-91AC-1273F17B00C3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05">
        <v>35</v>
      </c>
      <c r="C2" s="105">
        <v>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35</v>
      </c>
      <c r="B4" s="94">
        <v>6.4263726877231502</v>
      </c>
      <c r="C4" s="106">
        <v>41.262845079762997</v>
      </c>
      <c r="D4" s="106">
        <v>5.4553320716889733</v>
      </c>
    </row>
    <row r="5" spans="1:5" x14ac:dyDescent="0.35">
      <c r="A5" s="106">
        <v>38</v>
      </c>
      <c r="B5" s="94">
        <v>5.4161210248788061</v>
      </c>
      <c r="C5" s="94"/>
      <c r="D5" s="94"/>
    </row>
    <row r="6" spans="1:5" x14ac:dyDescent="0.35">
      <c r="A6" s="106">
        <v>41</v>
      </c>
      <c r="B6" s="94">
        <v>5.0585340779893144</v>
      </c>
      <c r="C6" s="94"/>
      <c r="D6" s="94"/>
    </row>
    <row r="7" spans="1:5" x14ac:dyDescent="0.35">
      <c r="A7" s="106">
        <v>44</v>
      </c>
      <c r="B7" s="94">
        <v>5.3512931330216684</v>
      </c>
      <c r="C7" s="94"/>
      <c r="D7" s="94"/>
    </row>
    <row r="8" spans="1:5" x14ac:dyDescent="0.35">
      <c r="A8" s="106">
        <v>47</v>
      </c>
      <c r="B8" s="94">
        <v>6.2396299145603189</v>
      </c>
      <c r="C8" s="94"/>
      <c r="D8" s="94"/>
    </row>
    <row r="9" spans="1:5" x14ac:dyDescent="0.35">
      <c r="A9" s="106">
        <v>50</v>
      </c>
      <c r="B9" s="94">
        <v>7.6196622920614612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F466F-D7FA-4609-80E8-F184FBED30D1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619</v>
      </c>
      <c r="B2" s="119">
        <v>1.3999999999999999E-6</v>
      </c>
      <c r="C2" s="119">
        <v>1.9E-6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1.3999999999999999E-6</v>
      </c>
      <c r="B4" s="94">
        <v>5.338293172362798</v>
      </c>
      <c r="C4" s="99">
        <v>1.7243969448656413E-6</v>
      </c>
      <c r="D4" s="99">
        <v>6.1303637974651156E-7</v>
      </c>
    </row>
    <row r="5" spans="1:5" x14ac:dyDescent="0.35">
      <c r="A5" s="99">
        <v>1.5E-6</v>
      </c>
      <c r="B5" s="94">
        <v>5.1863833337816985</v>
      </c>
      <c r="C5" s="94"/>
      <c r="D5" s="94"/>
    </row>
    <row r="6" spans="1:5" x14ac:dyDescent="0.35">
      <c r="A6" s="99">
        <v>1.5999999999999999E-6</v>
      </c>
      <c r="B6" s="94">
        <v>5.0951859873196117</v>
      </c>
      <c r="C6" s="94"/>
      <c r="D6" s="94"/>
    </row>
    <row r="7" spans="1:5" x14ac:dyDescent="0.35">
      <c r="A7" s="99">
        <v>1.7E-6</v>
      </c>
      <c r="B7" s="94">
        <v>5.0594195590037954</v>
      </c>
      <c r="C7" s="94"/>
      <c r="D7" s="94"/>
    </row>
    <row r="8" spans="1:5" x14ac:dyDescent="0.35">
      <c r="A8" s="99">
        <v>1.8000000000000001E-6</v>
      </c>
      <c r="B8" s="94">
        <v>5.0743014419795944</v>
      </c>
      <c r="C8" s="94"/>
      <c r="D8" s="94"/>
    </row>
    <row r="9" spans="1:5" x14ac:dyDescent="0.35">
      <c r="A9" s="99">
        <v>1.9E-6</v>
      </c>
      <c r="B9" s="94">
        <v>5.1355482998475734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F472-4875-4895-A58B-9D3417F225A4}">
  <sheetPr codeName="Sheet3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1.9999999999999999E-6</v>
      </c>
      <c r="C2" s="119">
        <v>2.1500000000000002E-6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5.6980123873305466</v>
      </c>
      <c r="C4" s="99">
        <v>2.0533014161526217E-6</v>
      </c>
      <c r="D4" s="99">
        <v>6.3183616945602742E-8</v>
      </c>
    </row>
    <row r="5" spans="1:5" x14ac:dyDescent="0.35">
      <c r="A5" s="99">
        <v>2.03E-6</v>
      </c>
      <c r="B5" s="94">
        <v>5.186313697157054</v>
      </c>
      <c r="C5" s="94"/>
      <c r="D5" s="94"/>
    </row>
    <row r="6" spans="1:5" x14ac:dyDescent="0.35">
      <c r="A6" s="99">
        <v>2.0600000000000002E-6</v>
      </c>
      <c r="B6" s="94">
        <v>5.0774008883091373</v>
      </c>
      <c r="C6" s="94"/>
      <c r="D6" s="94"/>
    </row>
    <row r="7" spans="1:5" x14ac:dyDescent="0.35">
      <c r="A7" s="99">
        <v>2.0899999999999999E-6</v>
      </c>
      <c r="B7" s="94">
        <v>5.3234186941572075</v>
      </c>
      <c r="C7" s="94"/>
      <c r="D7" s="94"/>
    </row>
    <row r="8" spans="1:5" x14ac:dyDescent="0.35">
      <c r="A8" s="99">
        <v>2.12E-6</v>
      </c>
      <c r="B8" s="94">
        <v>6.0732104348572138</v>
      </c>
      <c r="C8" s="94"/>
      <c r="D8" s="94"/>
    </row>
    <row r="9" spans="1:5" x14ac:dyDescent="0.35">
      <c r="A9" s="99">
        <v>2.1500000000000002E-6</v>
      </c>
      <c r="B9" s="94">
        <v>7.3994910219129917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5" x14ac:dyDescent="0.35"/>
  <cols>
    <col min="1" max="1" width="4.25" bestFit="1" customWidth="1"/>
    <col min="2" max="2" width="15" style="1" bestFit="1" customWidth="1"/>
    <col min="3" max="3" width="17" style="1" bestFit="1" customWidth="1"/>
    <col min="4" max="4" width="36.83203125" style="1" bestFit="1" customWidth="1"/>
    <col min="5" max="5" width="28.08203125" style="1" bestFit="1" customWidth="1"/>
    <col min="6" max="7" width="13.83203125" style="1" bestFit="1" customWidth="1"/>
    <col min="8" max="9" width="9.9140625" style="1" bestFit="1" customWidth="1"/>
    <col min="10" max="10" width="11.6640625" style="1" bestFit="1" customWidth="1"/>
    <col min="11" max="11" width="10.75" style="1" bestFit="1" customWidth="1"/>
    <col min="12" max="12" width="8.6640625" style="1" bestFit="1" customWidth="1"/>
    <col min="13" max="13" width="12.582031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618</v>
      </c>
      <c r="D1" s="86" t="s">
        <v>547</v>
      </c>
      <c r="E1" s="86">
        <v>174457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629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630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634</v>
      </c>
      <c r="E4" s="1" t="s">
        <v>635</v>
      </c>
      <c r="F4" s="1">
        <v>25</v>
      </c>
      <c r="G4" s="117">
        <v>0.61128472222222219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636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174457</v>
      </c>
      <c r="C8" s="1">
        <v>174452</v>
      </c>
      <c r="D8" s="1">
        <v>1.1831499999999999</v>
      </c>
      <c r="E8" s="1">
        <v>13.2996</v>
      </c>
      <c r="F8" s="1">
        <v>16.700600000000001</v>
      </c>
      <c r="G8" s="1">
        <v>7.7000000000000002E-3</v>
      </c>
      <c r="H8" s="1">
        <v>9.7000000000000003E-3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174458</v>
      </c>
      <c r="C9" s="1">
        <v>174453</v>
      </c>
      <c r="D9" s="1">
        <v>1.1818</v>
      </c>
      <c r="E9" s="1">
        <v>10.685600000000001</v>
      </c>
      <c r="F9" s="1">
        <v>14.086499999999999</v>
      </c>
      <c r="G9" s="1">
        <v>9.1999999999999998E-3</v>
      </c>
      <c r="H9" s="1">
        <v>1.21E-2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174459</v>
      </c>
      <c r="C10" s="1">
        <v>174454</v>
      </c>
      <c r="D10" s="1">
        <v>1.1817200000000001</v>
      </c>
      <c r="E10" s="1">
        <v>8.0395699999999994</v>
      </c>
      <c r="F10" s="1">
        <v>11.4405</v>
      </c>
      <c r="G10" s="1">
        <v>1.1299999999999999E-2</v>
      </c>
      <c r="H10" s="1">
        <v>1.61E-2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174460</v>
      </c>
      <c r="C11" s="1">
        <v>174455</v>
      </c>
      <c r="D11" s="1">
        <v>1.1817200000000001</v>
      </c>
      <c r="E11" s="1">
        <v>5.3425500000000001</v>
      </c>
      <c r="F11" s="1">
        <v>8.7435200000000002</v>
      </c>
      <c r="G11" s="1">
        <v>1.4800000000000001E-2</v>
      </c>
      <c r="H11" s="1">
        <v>2.4199999999999999E-2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174461</v>
      </c>
      <c r="C12" s="1">
        <v>174456</v>
      </c>
      <c r="D12" s="1">
        <v>1.1817200000000001</v>
      </c>
      <c r="E12" s="1">
        <v>2.5495399999999999</v>
      </c>
      <c r="F12" s="1">
        <v>5.9504999999999999</v>
      </c>
      <c r="G12" s="1">
        <v>2.1700000000000001E-2</v>
      </c>
      <c r="H12" s="1">
        <v>5.0799999999999998E-2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174462</v>
      </c>
      <c r="C13" s="1">
        <v>174456</v>
      </c>
      <c r="D13" s="1">
        <v>2.3491200000000001</v>
      </c>
      <c r="E13" s="1">
        <v>2.5495399999999999</v>
      </c>
      <c r="F13" s="1">
        <v>5.9504999999999999</v>
      </c>
      <c r="G13" s="1">
        <v>4.3200000000000002E-2</v>
      </c>
      <c r="H13" s="1">
        <v>0.10100000000000001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174463</v>
      </c>
      <c r="C14" s="1">
        <v>174456</v>
      </c>
      <c r="D14" s="1">
        <v>4.6696400000000002</v>
      </c>
      <c r="E14" s="1">
        <v>3.83812</v>
      </c>
      <c r="F14" s="1">
        <v>5.9516400000000003</v>
      </c>
      <c r="G14" s="1">
        <v>8.5999999999999993E-2</v>
      </c>
      <c r="H14" s="1">
        <v>0.1333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637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637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174457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1.07000218139</v>
      </c>
      <c r="K22" s="1">
        <v>6046</v>
      </c>
      <c r="L22" s="1">
        <v>42.634354000000002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174458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1.07000218139</v>
      </c>
      <c r="K23" s="1">
        <v>6095</v>
      </c>
      <c r="L23" s="1">
        <v>33.454788000000001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174459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1.07000218139</v>
      </c>
      <c r="K24" s="1">
        <v>6008</v>
      </c>
      <c r="L24" s="1">
        <v>75.044286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174460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1.07000218139</v>
      </c>
      <c r="K25" s="1">
        <v>6043</v>
      </c>
      <c r="L25" s="1">
        <v>71.808649000000003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174461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5.1700000000000003E-2</v>
      </c>
      <c r="J26" s="1">
        <v>1.07000218139</v>
      </c>
      <c r="K26" s="1">
        <v>18016</v>
      </c>
      <c r="L26" s="1">
        <v>352.26276999999999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174462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1.07000218139</v>
      </c>
      <c r="K27" s="1">
        <v>18005</v>
      </c>
      <c r="L27" s="1">
        <v>888.681468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174463</v>
      </c>
      <c r="D28" s="1">
        <v>174456</v>
      </c>
      <c r="E28" s="1">
        <v>4.6900000000000004</v>
      </c>
      <c r="F28" s="1">
        <v>3.84</v>
      </c>
      <c r="G28" s="1">
        <v>5.95</v>
      </c>
      <c r="H28" s="1">
        <v>8.6400000000000005E-2</v>
      </c>
      <c r="I28" s="1">
        <v>0.13389999999999999</v>
      </c>
      <c r="J28" s="1">
        <v>1.07000218139</v>
      </c>
      <c r="K28" s="1">
        <v>36012</v>
      </c>
      <c r="L28" s="1">
        <v>1087.759407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8.0212238023300002E-3</v>
      </c>
      <c r="B41" s="1">
        <v>1.9338013354400001</v>
      </c>
      <c r="C41" s="1">
        <v>1.6205988089700001</v>
      </c>
      <c r="D41" s="1">
        <v>5.8448814745400005E-4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8.1014360403499994E-3</v>
      </c>
      <c r="B42" s="1">
        <v>1.1685203607900001</v>
      </c>
      <c r="C42" s="1">
        <v>0.35955982467300002</v>
      </c>
      <c r="D42" s="1">
        <v>5.8633302892800005E-4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8.1824504007600007E-3</v>
      </c>
      <c r="B43" s="1">
        <v>0.89348460678599995</v>
      </c>
      <c r="C43" s="1">
        <v>0.17384157215900001</v>
      </c>
      <c r="D43" s="1">
        <v>5.8819635921700004E-4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8.2642749047700005E-3</v>
      </c>
      <c r="B44" s="1">
        <v>0.97875711078200001</v>
      </c>
      <c r="C44" s="1">
        <v>0.119818687854</v>
      </c>
      <c r="D44" s="1">
        <v>5.9007832281000004E-4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8.3469176538099998E-3</v>
      </c>
      <c r="B45" s="1">
        <v>1.0607108968300001</v>
      </c>
      <c r="C45" s="1">
        <v>9.6450941136400001E-2</v>
      </c>
      <c r="D45" s="1">
        <v>5.9197910603799996E-4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8.4303868303500003E-3</v>
      </c>
      <c r="B46" s="1">
        <v>1.1086642792700001</v>
      </c>
      <c r="C46" s="1">
        <v>8.64197601555E-2</v>
      </c>
      <c r="D46" s="1">
        <v>5.9389889709799998E-4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8.5146906986500008E-3</v>
      </c>
      <c r="B47" s="1">
        <v>0.94858231953700001</v>
      </c>
      <c r="C47" s="1">
        <v>7.4554088284899997E-2</v>
      </c>
      <c r="D47" s="1">
        <v>5.9583788606899996E-4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8.5998376056400008E-3</v>
      </c>
      <c r="B48" s="1">
        <v>0.96777959523799995</v>
      </c>
      <c r="C48" s="1">
        <v>7.2511570734700007E-2</v>
      </c>
      <c r="D48" s="1">
        <v>5.9779626492999997E-4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8.6858359817000002E-3</v>
      </c>
      <c r="B49" s="1">
        <v>1.0927981731300001</v>
      </c>
      <c r="C49" s="1">
        <v>7.48399075616E-2</v>
      </c>
      <c r="D49" s="1">
        <v>5.9977422757899999E-4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8.7726943415100001E-3</v>
      </c>
      <c r="B50" s="1">
        <v>0.96408858232799999</v>
      </c>
      <c r="C50" s="1">
        <v>6.7257486817000001E-2</v>
      </c>
      <c r="D50" s="1">
        <v>6.0177196985499999E-4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8.86042128493E-3</v>
      </c>
      <c r="B51" s="1">
        <v>0.83057001118499996</v>
      </c>
      <c r="C51" s="1">
        <v>5.8937198983800003E-2</v>
      </c>
      <c r="D51" s="1">
        <v>6.0378968955299996E-4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8.9490254977800006E-3</v>
      </c>
      <c r="B52" s="1">
        <v>0.97929251288999997</v>
      </c>
      <c r="C52" s="1">
        <v>6.2845645963300001E-2</v>
      </c>
      <c r="D52" s="1">
        <v>6.0582758644900001E-4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9.0385157527600006E-3</v>
      </c>
      <c r="B53" s="1">
        <v>0.98926570333399999</v>
      </c>
      <c r="C53" s="1">
        <v>6.2090003948600002E-2</v>
      </c>
      <c r="D53" s="1">
        <v>6.0788586231300004E-4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9.1289009102799995E-3</v>
      </c>
      <c r="B54" s="1">
        <v>1.07437916651</v>
      </c>
      <c r="C54" s="1">
        <v>6.2739679634299994E-2</v>
      </c>
      <c r="D54" s="1">
        <v>6.0996472093700004E-4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9.2201899193900001E-3</v>
      </c>
      <c r="B55" s="1">
        <v>1.0678676060900001</v>
      </c>
      <c r="C55" s="1">
        <v>6.0148980567999999E-2</v>
      </c>
      <c r="D55" s="1">
        <v>6.1206436814599996E-4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9.3123918185800004E-3</v>
      </c>
      <c r="B56" s="1">
        <v>0.97267180184699997</v>
      </c>
      <c r="C56" s="1">
        <v>4.2521503204999998E-2</v>
      </c>
      <c r="D56" s="1">
        <v>6.1418501182700005E-4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9.4055157367700006E-3</v>
      </c>
      <c r="B57" s="1">
        <v>0.93872376242400002</v>
      </c>
      <c r="C57" s="1">
        <v>3.9821774796700002E-2</v>
      </c>
      <c r="D57" s="1">
        <v>6.1632686194599997E-4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9.4995708941299998E-3</v>
      </c>
      <c r="B58" s="1">
        <v>0.97210360443499999</v>
      </c>
      <c r="C58" s="1">
        <v>3.9561628197400001E-2</v>
      </c>
      <c r="D58" s="1">
        <v>6.1849013056499997E-4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9.5945666030799997E-3</v>
      </c>
      <c r="B59" s="1">
        <v>0.99627217908499999</v>
      </c>
      <c r="C59" s="1">
        <v>3.9435910011800003E-2</v>
      </c>
      <c r="D59" s="1">
        <v>6.2067503187099998E-4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9.69051226911E-3</v>
      </c>
      <c r="B60" s="1">
        <v>0.98585317029800001</v>
      </c>
      <c r="C60" s="1">
        <v>3.8615742238299999E-2</v>
      </c>
      <c r="D60" s="1">
        <v>6.2288178218900003E-4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9.7874173918000001E-3</v>
      </c>
      <c r="B61" s="1">
        <v>0.91288796255000004</v>
      </c>
      <c r="C61" s="1">
        <v>5.5571241582600003E-2</v>
      </c>
      <c r="D61" s="1">
        <v>6.2511060001099999E-4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9.8852915657199995E-3</v>
      </c>
      <c r="B62" s="1">
        <v>0.90074540114599999</v>
      </c>
      <c r="C62" s="1">
        <v>5.3335226695400001E-2</v>
      </c>
      <c r="D62" s="1">
        <v>6.2736170601099999E-4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9.9841444813699998E-3</v>
      </c>
      <c r="B63" s="1">
        <v>0.84307357992700005</v>
      </c>
      <c r="C63" s="1">
        <v>4.9388544299300001E-2</v>
      </c>
      <c r="D63" s="1">
        <v>6.2963532307199995E-4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1.0083985926200001E-2</v>
      </c>
      <c r="B64" s="1">
        <v>0.69522741667700005</v>
      </c>
      <c r="C64" s="1">
        <v>4.3670381252300002E-2</v>
      </c>
      <c r="D64" s="1">
        <v>6.3193167630200004E-4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1.01848257854E-2</v>
      </c>
      <c r="B65" s="1">
        <v>0.54819057592700005</v>
      </c>
      <c r="C65" s="1">
        <v>3.8124642155700002E-2</v>
      </c>
      <c r="D65" s="1">
        <v>6.3425099306499996E-4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1.02866740433E-2</v>
      </c>
      <c r="B66" s="1">
        <v>0.46068502378300002</v>
      </c>
      <c r="C66" s="1">
        <v>3.3756786645099998E-2</v>
      </c>
      <c r="D66" s="1">
        <v>6.3659350299599996E-4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1.03895407837E-2</v>
      </c>
      <c r="B67" s="1">
        <v>0.41730022892899998</v>
      </c>
      <c r="C67" s="1">
        <v>3.1279422482600003E-2</v>
      </c>
      <c r="D67" s="1">
        <v>6.3895943802600005E-4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1.04934361916E-2</v>
      </c>
      <c r="B68" s="1">
        <v>0.30477639617399999</v>
      </c>
      <c r="C68" s="1">
        <v>2.59787875263E-2</v>
      </c>
      <c r="D68" s="1">
        <v>6.4134903240600002E-4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1.05983705535E-2</v>
      </c>
      <c r="B69" s="1">
        <v>0.30586612622100001</v>
      </c>
      <c r="C69" s="1">
        <v>2.5810392828E-2</v>
      </c>
      <c r="D69" s="1">
        <v>6.4376252273E-4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1.0704354259E-2</v>
      </c>
      <c r="B70" s="1">
        <v>0.25134317554899999</v>
      </c>
      <c r="C70" s="1">
        <v>2.2736660059200001E-2</v>
      </c>
      <c r="D70" s="1">
        <v>6.46200147958E-4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1.08113978016E-2</v>
      </c>
      <c r="B71" s="1">
        <v>0.221382673058</v>
      </c>
      <c r="C71" s="1">
        <v>2.0973816804400001E-2</v>
      </c>
      <c r="D71" s="1">
        <v>6.4866214943700004E-4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1.0919511779600001E-2</v>
      </c>
      <c r="B72" s="1">
        <v>0.23900990789500001</v>
      </c>
      <c r="C72" s="1">
        <v>2.0683660256200002E-2</v>
      </c>
      <c r="D72" s="1">
        <v>6.5114877093200004E-4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1.1028706897400001E-2</v>
      </c>
      <c r="B73" s="1">
        <v>0.205363217524</v>
      </c>
      <c r="C73" s="1">
        <v>1.9515638859700001E-2</v>
      </c>
      <c r="D73" s="1">
        <v>6.5366025864100003E-4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1.11389939664E-2</v>
      </c>
      <c r="B74" s="1">
        <v>0.19193932057999999</v>
      </c>
      <c r="C74" s="1">
        <v>1.8173190995200001E-2</v>
      </c>
      <c r="D74" s="1">
        <v>6.5619686122700004E-4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1.12503839061E-2</v>
      </c>
      <c r="B75" s="1">
        <v>0.20417877190399999</v>
      </c>
      <c r="C75" s="1">
        <v>1.77590645273E-2</v>
      </c>
      <c r="D75" s="1">
        <v>6.5875882983899999E-4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1.1362887745099999E-2</v>
      </c>
      <c r="B76" s="1">
        <v>0.14892841597699999</v>
      </c>
      <c r="C76" s="1">
        <v>1.53461894249E-2</v>
      </c>
      <c r="D76" s="1">
        <v>6.6134641813799997E-4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1.14765166226E-2</v>
      </c>
      <c r="B77" s="1">
        <v>0.12754209235799999</v>
      </c>
      <c r="C77" s="1">
        <v>8.0838475401799996E-3</v>
      </c>
      <c r="D77" s="1">
        <v>6.6395988231899997E-4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1.1591281788799999E-2</v>
      </c>
      <c r="B78" s="1">
        <v>0.113541433324</v>
      </c>
      <c r="C78" s="1">
        <v>7.31584168855E-3</v>
      </c>
      <c r="D78" s="1">
        <v>6.6659948114199997E-4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1.17071946067E-2</v>
      </c>
      <c r="B79" s="1">
        <v>0.1000980603</v>
      </c>
      <c r="C79" s="1">
        <v>6.82514757835E-3</v>
      </c>
      <c r="D79" s="1">
        <v>6.69265475954E-4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1.18242665528E-2</v>
      </c>
      <c r="B80" s="1">
        <v>7.3811427568400007E-2</v>
      </c>
      <c r="C80" s="1">
        <v>5.5901102561100001E-3</v>
      </c>
      <c r="D80" s="1">
        <v>6.7195813071299995E-4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1.19425092183E-2</v>
      </c>
      <c r="B81" s="1">
        <v>6.6948439584399999E-2</v>
      </c>
      <c r="C81" s="1">
        <v>6.3006803708100002E-3</v>
      </c>
      <c r="D81" s="1">
        <v>6.7467771202100004E-4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1.2061934310500001E-2</v>
      </c>
      <c r="B82" s="1">
        <v>4.7980478618199998E-2</v>
      </c>
      <c r="C82" s="1">
        <v>5.2354660581099997E-3</v>
      </c>
      <c r="D82" s="1">
        <v>6.7742448914099999E-4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1.2182553653599999E-2</v>
      </c>
      <c r="B83" s="1">
        <v>3.6019830937699997E-2</v>
      </c>
      <c r="C83" s="1">
        <v>4.5712784051299997E-3</v>
      </c>
      <c r="D83" s="1">
        <v>6.8019873403200003E-4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1.2304379190100001E-2</v>
      </c>
      <c r="B84" s="1">
        <v>2.6583915158100001E-2</v>
      </c>
      <c r="C84" s="1">
        <v>3.7656160951500001E-3</v>
      </c>
      <c r="D84" s="1">
        <v>6.8300072137200002E-4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1.2427422981999999E-2</v>
      </c>
      <c r="B85" s="1">
        <v>1.7575194840600002E-2</v>
      </c>
      <c r="C85" s="1">
        <v>3.0853257196900002E-3</v>
      </c>
      <c r="D85" s="1">
        <v>6.8583072858600003E-4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1.25516972118E-2</v>
      </c>
      <c r="B86" s="1">
        <v>9.8104990705500002E-3</v>
      </c>
      <c r="C86" s="1">
        <v>2.7837787129099999E-3</v>
      </c>
      <c r="D86" s="1">
        <v>6.8868903587199996E-4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1.26772141839E-2</v>
      </c>
      <c r="B87" s="1">
        <v>3.5955074541700002E-3</v>
      </c>
      <c r="C87" s="1">
        <v>2.1473606004199998E-3</v>
      </c>
      <c r="D87" s="1">
        <v>6.9157592623100004E-4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1.28039863258E-2</v>
      </c>
      <c r="B88" s="1">
        <v>5.1691604338000002E-3</v>
      </c>
      <c r="C88" s="1">
        <v>2.07811285847E-3</v>
      </c>
      <c r="D88" s="1">
        <v>6.9449168549300003E-4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1.2932026189000001E-2</v>
      </c>
      <c r="B89" s="1">
        <v>5.2377120795200002E-3</v>
      </c>
      <c r="C89" s="1">
        <v>1.84696205214E-3</v>
      </c>
      <c r="D89" s="1">
        <v>6.9743660234799999E-4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1.3061346450899999E-2</v>
      </c>
      <c r="B90" s="1">
        <v>2.9596644774E-3</v>
      </c>
      <c r="C90" s="1">
        <v>1.5958659245600001E-3</v>
      </c>
      <c r="D90" s="1">
        <v>7.0041096837200004E-4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1.31919599154E-2</v>
      </c>
      <c r="B91" s="1">
        <v>8.11621135592E-3</v>
      </c>
      <c r="C91" s="1">
        <v>1.9729452254099999E-3</v>
      </c>
      <c r="D91" s="1">
        <v>7.0341507805499995E-4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1.33238795146E-2</v>
      </c>
      <c r="B92" s="1">
        <v>6.81362832981E-3</v>
      </c>
      <c r="C92" s="1">
        <v>1.8100918665399999E-3</v>
      </c>
      <c r="D92" s="86">
        <v>7.0644922883600001E-4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1.3457118309700001E-2</v>
      </c>
      <c r="B93" s="1">
        <v>1.11651347032E-2</v>
      </c>
      <c r="C93" s="1">
        <v>2.06425260419E-3</v>
      </c>
      <c r="D93" s="1">
        <v>7.0951372112399997E-4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1.3591689492799999E-2</v>
      </c>
      <c r="B94" s="1">
        <v>1.38316723653E-2</v>
      </c>
      <c r="C94" s="1">
        <v>2.18986586619E-3</v>
      </c>
      <c r="D94" s="1">
        <v>7.1260885833499996E-4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1.37276063878E-2</v>
      </c>
      <c r="B95" s="1">
        <v>1.7510396575899999E-2</v>
      </c>
      <c r="C95" s="1">
        <v>2.2943194420499999E-3</v>
      </c>
      <c r="D95" s="1">
        <v>7.1573494691900001E-4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1.3864882451600001E-2</v>
      </c>
      <c r="B96" s="1">
        <v>2.3882939931800001E-2</v>
      </c>
      <c r="C96" s="1">
        <v>2.6183033677299999E-3</v>
      </c>
      <c r="D96" s="1">
        <v>7.1889229638800003E-4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1.40035312762E-2</v>
      </c>
      <c r="B97" s="1">
        <v>2.6819440230800001E-2</v>
      </c>
      <c r="C97" s="1">
        <v>2.70181721E-3</v>
      </c>
      <c r="D97" s="1">
        <v>7.2208121935199996E-4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1.41435665889E-2</v>
      </c>
      <c r="B98" s="1">
        <v>3.2833734941800002E-2</v>
      </c>
      <c r="C98" s="1">
        <v>2.87867672104E-3</v>
      </c>
      <c r="D98" s="1">
        <v>7.2530203154500005E-4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1.42850022548E-2</v>
      </c>
      <c r="B99" s="1">
        <v>2.7988349037499999E-2</v>
      </c>
      <c r="C99" s="1">
        <v>2.5820719789500001E-3</v>
      </c>
      <c r="D99" s="1">
        <v>7.2855505186099996E-4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1.44278522774E-2</v>
      </c>
      <c r="B100" s="1">
        <v>3.6321904846099998E-2</v>
      </c>
      <c r="C100" s="1">
        <v>2.87952612571E-3</v>
      </c>
      <c r="D100" s="1">
        <v>7.3184060237899997E-4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1.4572130800099999E-2</v>
      </c>
      <c r="B101" s="1">
        <v>3.5969300389099998E-2</v>
      </c>
      <c r="C101" s="1">
        <v>2.8205528128000001E-3</v>
      </c>
      <c r="D101" s="1">
        <v>7.3515900840299996E-4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1.4717852108099999E-2</v>
      </c>
      <c r="B102" s="1">
        <v>4.0256423796000002E-2</v>
      </c>
      <c r="C102" s="1">
        <v>2.9070450196099999E-3</v>
      </c>
      <c r="D102" s="1">
        <v>7.3851059848700003E-4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1.4865030629200001E-2</v>
      </c>
      <c r="B103" s="1">
        <v>3.6332716075300003E-2</v>
      </c>
      <c r="C103" s="1">
        <v>2.6882822312499998E-3</v>
      </c>
      <c r="D103" s="1">
        <v>7.4189570447199995E-4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1.50136809355E-2</v>
      </c>
      <c r="B104" s="1">
        <v>3.3126200879399999E-2</v>
      </c>
      <c r="C104" s="1">
        <v>1.8454968244699999E-3</v>
      </c>
      <c r="D104" s="1">
        <v>7.4531466151699999E-4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1.5163817744900001E-2</v>
      </c>
      <c r="B105" s="1">
        <v>3.4108371123100001E-2</v>
      </c>
      <c r="C105" s="1">
        <v>1.85463223792E-3</v>
      </c>
      <c r="D105" s="1">
        <v>7.4876780813200002E-4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1.5315455922300001E-2</v>
      </c>
      <c r="B106" s="1">
        <v>3.4562948450999997E-2</v>
      </c>
      <c r="C106" s="1">
        <v>1.77379737439E-3</v>
      </c>
      <c r="D106" s="1">
        <v>7.5225548621300005E-4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1.54686104815E-2</v>
      </c>
      <c r="B107" s="1">
        <v>3.39778935943E-2</v>
      </c>
      <c r="C107" s="1">
        <v>1.7237572279099999E-3</v>
      </c>
      <c r="D107" s="1">
        <v>7.5577804107499998E-4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1.56232965864E-2</v>
      </c>
      <c r="B108" s="1">
        <v>2.6900647615099998E-2</v>
      </c>
      <c r="C108" s="1">
        <v>1.47567622052E-3</v>
      </c>
      <c r="D108" s="1">
        <v>7.5933582148599997E-4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1.5779529552200001E-2</v>
      </c>
      <c r="B109" s="1">
        <v>2.5792645866899999E-2</v>
      </c>
      <c r="C109" s="1">
        <v>1.4699891315E-3</v>
      </c>
      <c r="D109" s="1">
        <v>7.6292917970100004E-4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1.59373248477E-2</v>
      </c>
      <c r="B110" s="1">
        <v>2.0339081004E-2</v>
      </c>
      <c r="C110" s="1">
        <v>1.8406668375399999E-3</v>
      </c>
      <c r="D110" s="1">
        <v>7.6655847149800001E-4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1.6096698096199999E-2</v>
      </c>
      <c r="B111" s="1">
        <v>2.2272529624E-2</v>
      </c>
      <c r="C111" s="1">
        <v>1.9675913638400001E-3</v>
      </c>
      <c r="D111" s="1">
        <v>7.7022405621299998E-4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1.6257665077200001E-2</v>
      </c>
      <c r="B112" s="1">
        <v>1.48564827316E-2</v>
      </c>
      <c r="C112" s="1">
        <v>1.4634373437E-3</v>
      </c>
      <c r="D112" s="1">
        <v>7.7392629677499995E-4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1.6420241727999999E-2</v>
      </c>
      <c r="B113" s="1">
        <v>1.5237018324699999E-2</v>
      </c>
      <c r="C113" s="1">
        <v>1.4734218427399999E-3</v>
      </c>
      <c r="D113" s="1">
        <v>7.7766555974299997E-4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1.6584444145200002E-2</v>
      </c>
      <c r="B114" s="1">
        <v>1.1980977608500001E-2</v>
      </c>
      <c r="C114" s="1">
        <v>1.3074039848300001E-3</v>
      </c>
      <c r="D114" s="1">
        <v>7.8144221533999999E-4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1.67502885867E-2</v>
      </c>
      <c r="B115" s="1">
        <v>7.8874810016100003E-3</v>
      </c>
      <c r="C115" s="1">
        <v>1.04269795526E-3</v>
      </c>
      <c r="D115" s="1">
        <v>7.8525663749399999E-4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1.6917791472599999E-2</v>
      </c>
      <c r="B116" s="1">
        <v>7.3175794906000001E-3</v>
      </c>
      <c r="C116" s="1">
        <v>1.0404872466199999E-3</v>
      </c>
      <c r="D116" s="1">
        <v>7.8910920386899999E-4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1.7086969387300002E-2</v>
      </c>
      <c r="B117" s="1">
        <v>4.72713254701E-3</v>
      </c>
      <c r="C117" s="1">
        <v>7.8988348096099999E-4</v>
      </c>
      <c r="D117" s="1">
        <v>7.9300029590700005E-4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1.7257839081199999E-2</v>
      </c>
      <c r="B118" s="1">
        <v>2.7437168754599998E-3</v>
      </c>
      <c r="C118" s="1">
        <v>6.6558993521200003E-4</v>
      </c>
      <c r="D118" s="1">
        <v>7.9693029886600004E-4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1.7430417472000002E-2</v>
      </c>
      <c r="B119" s="1">
        <v>1.91416706864E-3</v>
      </c>
      <c r="C119" s="1">
        <v>5.6285195606099996E-4</v>
      </c>
      <c r="D119" s="1">
        <v>8.0089960185499996E-4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1.7958576551799998E-2</v>
      </c>
      <c r="B120" s="1">
        <v>1.56359861252E-3</v>
      </c>
      <c r="C120" s="1">
        <v>4.85840666546E-4</v>
      </c>
      <c r="D120" s="1">
        <v>8.1304726069100005E-4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1.8138162317300002E-2</v>
      </c>
      <c r="B121" s="1">
        <v>2.6718473886600002E-3</v>
      </c>
      <c r="C121" s="1">
        <v>5.6443171969200001E-4</v>
      </c>
      <c r="D121" s="1">
        <v>8.17177733298E-4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1.8319543940500001E-2</v>
      </c>
      <c r="B122" s="1">
        <v>3.0466117725299999E-3</v>
      </c>
      <c r="C122" s="1">
        <v>6.0170696491800002E-4</v>
      </c>
      <c r="D122" s="1">
        <v>8.2134951063100002E-4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1.8502739379900001E-2</v>
      </c>
      <c r="B123" s="1">
        <v>3.9242970825000001E-3</v>
      </c>
      <c r="C123" s="1">
        <v>6.2640719601999998E-4</v>
      </c>
      <c r="D123" s="1">
        <v>8.2556300573700004E-4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1.8687766773700001E-2</v>
      </c>
      <c r="B124" s="1">
        <v>5.0099846640900003E-3</v>
      </c>
      <c r="C124" s="1">
        <v>6.9862723267100004E-4</v>
      </c>
      <c r="D124" s="1">
        <v>8.2981863579399998E-4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1.8874644441399999E-2</v>
      </c>
      <c r="B125" s="1">
        <v>7.2741114902699997E-3</v>
      </c>
      <c r="C125" s="1">
        <v>7.9110423775100003E-4</v>
      </c>
      <c r="D125" s="1">
        <v>8.34116822152E-4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1.9063390885799999E-2</v>
      </c>
      <c r="B126" s="1">
        <v>6.7730595026600001E-3</v>
      </c>
      <c r="C126" s="1">
        <v>7.4842311066999998E-4</v>
      </c>
      <c r="D126" s="1">
        <v>8.3845799037399996E-4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1.9254024794699998E-2</v>
      </c>
      <c r="B127" s="1">
        <v>8.7975659470799997E-3</v>
      </c>
      <c r="C127" s="1">
        <v>8.2768461765200005E-4</v>
      </c>
      <c r="D127" s="1">
        <v>8.4284257027799996E-4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1.9446565042599999E-2</v>
      </c>
      <c r="B128" s="1">
        <v>1.0423080900400001E-2</v>
      </c>
      <c r="C128" s="1">
        <v>8.9677441301800004E-4</v>
      </c>
      <c r="D128" s="1">
        <v>8.4727099597999998E-4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1.9641030693100001E-2</v>
      </c>
      <c r="B129" s="1">
        <v>1.0188440290700001E-2</v>
      </c>
      <c r="C129" s="1">
        <v>8.7765467461599995E-4</v>
      </c>
      <c r="D129" s="1">
        <v>8.5174370594E-4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1.9837441000000001E-2</v>
      </c>
      <c r="B130" s="1">
        <v>8.6838501917700008E-3</v>
      </c>
      <c r="C130" s="1">
        <v>7.8478979828400003E-4</v>
      </c>
      <c r="D130" s="1">
        <v>8.5626114299999995E-4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2.0035815410000001E-2</v>
      </c>
      <c r="B131" s="1">
        <v>1.03720837172E-2</v>
      </c>
      <c r="C131" s="1">
        <v>8.6996492831000003E-4</v>
      </c>
      <c r="D131" s="1">
        <v>8.6082375442999995E-4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2.0236173564099999E-2</v>
      </c>
      <c r="B132" s="1">
        <v>9.5517016030400009E-3</v>
      </c>
      <c r="C132" s="1">
        <v>8.0410931893000004E-4</v>
      </c>
      <c r="D132" s="1">
        <v>8.6543199197399996E-4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2.0438535299700002E-2</v>
      </c>
      <c r="B133" s="1">
        <v>9.81765031076E-3</v>
      </c>
      <c r="C133" s="1">
        <v>8.0450191374399995E-4</v>
      </c>
      <c r="D133" s="1">
        <v>8.7008631189400005E-4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2.06429206527E-2</v>
      </c>
      <c r="B134" s="1">
        <v>9.3708604398099991E-3</v>
      </c>
      <c r="C134" s="1">
        <v>7.7544866216200002E-4</v>
      </c>
      <c r="D134" s="1">
        <v>8.7478717501299999E-4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2.0849349859299999E-2</v>
      </c>
      <c r="B135" s="1">
        <v>7.8047238876999998E-3</v>
      </c>
      <c r="C135" s="1">
        <v>7.0573756339399997E-4</v>
      </c>
      <c r="D135" s="1">
        <v>8.7953504676300002E-4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2.1057843357800001E-2</v>
      </c>
      <c r="B136" s="1">
        <v>7.5848572981300003E-3</v>
      </c>
      <c r="C136" s="1">
        <v>6.7606363916199999E-4</v>
      </c>
      <c r="D136" s="1">
        <v>8.8433039722999999E-4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2.12684217914E-2</v>
      </c>
      <c r="B137" s="1">
        <v>5.3826524000400002E-3</v>
      </c>
      <c r="C137" s="1">
        <v>5.5744317879100004E-4</v>
      </c>
      <c r="D137" s="1">
        <v>8.8917370120300001E-4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2.1481106009300002E-2</v>
      </c>
      <c r="B138" s="1">
        <v>4.2768388518599999E-3</v>
      </c>
      <c r="C138" s="1">
        <v>4.9578803278E-4</v>
      </c>
      <c r="D138" s="1">
        <v>8.9406543821499997E-4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2.1695917069400002E-2</v>
      </c>
      <c r="B139" s="1">
        <v>2.4604777201900001E-3</v>
      </c>
      <c r="C139" s="1">
        <v>3.9135122854600001E-4</v>
      </c>
      <c r="D139" s="1">
        <v>8.9900609259699999E-4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2.19128762401E-2</v>
      </c>
      <c r="B140" s="1">
        <v>2.7047172006199999E-3</v>
      </c>
      <c r="C140" s="1">
        <v>1.7216750560699999E-4</v>
      </c>
      <c r="D140" s="1">
        <v>9.0399615352299999E-4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2.21320050025E-2</v>
      </c>
      <c r="B141" s="1">
        <v>1.86347819404E-3</v>
      </c>
      <c r="C141" s="1">
        <v>1.42102989436E-4</v>
      </c>
      <c r="D141" s="1">
        <v>9.0903611505800002E-4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2.2353325052600001E-2</v>
      </c>
      <c r="B142" s="1">
        <v>1.0663397365E-3</v>
      </c>
      <c r="C142" s="1">
        <v>1.01645156106E-4</v>
      </c>
      <c r="D142" s="1">
        <v>9.1412647620899999E-4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2.2576858303100002E-2</v>
      </c>
      <c r="B143" s="1">
        <v>7.1922792292200002E-4</v>
      </c>
      <c r="C143" s="1">
        <v>8.1587666049000001E-5</v>
      </c>
      <c r="D143" s="1">
        <v>9.1926774097100003E-4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2.2802626886099998E-2</v>
      </c>
      <c r="B144" s="1">
        <v>6.2532246933700002E-4</v>
      </c>
      <c r="C144" s="1">
        <v>7.7407945916400003E-5</v>
      </c>
      <c r="D144" s="1">
        <v>9.2446041838000002E-4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2.3030653155000001E-2</v>
      </c>
      <c r="B145" s="1">
        <v>8.2328977746499998E-4</v>
      </c>
      <c r="C145" s="1">
        <v>8.4698128497200003E-5</v>
      </c>
      <c r="D145" s="1">
        <v>9.29705022564E-4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2.32609596865E-2</v>
      </c>
      <c r="B146" s="1">
        <v>8.7436182647500002E-4</v>
      </c>
      <c r="C146" s="1">
        <v>8.5323621634299994E-5</v>
      </c>
      <c r="D146" s="1">
        <v>9.3500207279000004E-4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2.34935692834E-2</v>
      </c>
      <c r="B147" s="1">
        <v>1.2120397007300001E-3</v>
      </c>
      <c r="C147" s="1">
        <v>1.02191438968E-4</v>
      </c>
      <c r="D147" s="1">
        <v>9.4035209351799997E-4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2.37285049762E-2</v>
      </c>
      <c r="B148" s="1">
        <v>1.66733254512E-3</v>
      </c>
      <c r="C148" s="1">
        <v>1.16814329865E-4</v>
      </c>
      <c r="D148" s="1">
        <v>9.4575561445300004E-4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2.3965790026000001E-2</v>
      </c>
      <c r="B149" s="1">
        <v>2.03549531649E-3</v>
      </c>
      <c r="C149" s="1">
        <v>1.33760944167E-4</v>
      </c>
      <c r="D149" s="1">
        <v>9.5121317059800004E-4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2.42054479262E-2</v>
      </c>
      <c r="B150" s="1">
        <v>2.6243181750199998E-3</v>
      </c>
      <c r="C150" s="1">
        <v>1.5578461436899999E-4</v>
      </c>
      <c r="D150" s="1">
        <v>9.5672530230299997E-4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2.4447502405500001E-2</v>
      </c>
      <c r="B151" s="1">
        <v>3.3057303827699999E-3</v>
      </c>
      <c r="C151" s="1">
        <v>1.7502330223599999E-4</v>
      </c>
      <c r="D151" s="1">
        <v>9.62292555327E-4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2.4691977429599998E-2</v>
      </c>
      <c r="B152" s="1">
        <v>3.6509632928700001E-3</v>
      </c>
      <c r="C152" s="1">
        <v>1.8366378382599999E-4</v>
      </c>
      <c r="D152" s="1">
        <v>9.6791548087999996E-4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2.4938897203899999E-2</v>
      </c>
      <c r="B153" s="1">
        <v>3.8129672031999998E-3</v>
      </c>
      <c r="C153" s="1">
        <v>1.7967321140499999E-4</v>
      </c>
      <c r="D153" s="86">
        <v>9.7359463568899996E-4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2.51882861759E-2</v>
      </c>
      <c r="B154" s="1">
        <v>3.9809215974100001E-3</v>
      </c>
      <c r="C154" s="1">
        <v>1.83521772313E-4</v>
      </c>
      <c r="D154" s="1">
        <v>9.7933058204499992E-4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2.5440169037600002E-2</v>
      </c>
      <c r="B155" s="1">
        <v>3.6708075006399998E-3</v>
      </c>
      <c r="C155" s="1">
        <v>1.72176403799E-4</v>
      </c>
      <c r="D155" s="1">
        <v>9.8512388786599998E-4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2.5694570728E-2</v>
      </c>
      <c r="B156" s="1">
        <v>3.5864122796600002E-3</v>
      </c>
      <c r="C156" s="1">
        <v>1.70845415879E-4</v>
      </c>
      <c r="D156" s="1">
        <v>9.9097512674499997E-4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2.5951516435299998E-2</v>
      </c>
      <c r="B157" s="1">
        <v>3.0956355258399998E-3</v>
      </c>
      <c r="C157" s="1">
        <v>1.5445112873E-4</v>
      </c>
      <c r="D157" s="1">
        <v>9.9688487801200009E-4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2.6211031599700001E-2</v>
      </c>
      <c r="B158" s="1">
        <v>2.7441330046899999E-3</v>
      </c>
      <c r="C158" s="1">
        <v>1.42854279216E-4</v>
      </c>
      <c r="D158" s="1">
        <v>1.0028537267900001E-3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2.6473141915700001E-2</v>
      </c>
      <c r="B159" s="1">
        <v>2.5723902461399998E-3</v>
      </c>
      <c r="C159" s="1">
        <v>1.4093756427500001E-4</v>
      </c>
      <c r="D159" s="1">
        <v>1.00888226406E-3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2.6737873334799999E-2</v>
      </c>
      <c r="B160" s="1">
        <v>1.98457299816E-3</v>
      </c>
      <c r="C160" s="1">
        <v>1.2414188895399999E-4</v>
      </c>
      <c r="D160" s="1">
        <v>1.0149710867E-3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2.7005252068200002E-2</v>
      </c>
      <c r="B161" s="1">
        <v>1.8241410724799999E-3</v>
      </c>
      <c r="C161" s="1">
        <v>1.14473454079E-4</v>
      </c>
      <c r="D161" s="1">
        <v>1.02112079757E-3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2.7275304588799999E-2</v>
      </c>
      <c r="B162" s="1">
        <v>1.27541765951E-3</v>
      </c>
      <c r="C162" s="1">
        <v>9.3474364261700006E-5</v>
      </c>
      <c r="D162" s="1">
        <v>1.02733200554E-3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2.7548057634700002E-2</v>
      </c>
      <c r="B163" s="1">
        <v>9.5402394631700005E-4</v>
      </c>
      <c r="C163" s="1">
        <v>8.3794420749600001E-5</v>
      </c>
      <c r="D163" s="1">
        <v>1.0336053256E-3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2.78235382111E-2</v>
      </c>
      <c r="B164" s="1">
        <v>5.9425722198299996E-4</v>
      </c>
      <c r="C164" s="1">
        <v>6.9760463242700001E-5</v>
      </c>
      <c r="D164" s="1">
        <v>1.0399413788499999E-3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2.81017735932E-2</v>
      </c>
      <c r="B165" s="1">
        <v>6.0796962754400003E-4</v>
      </c>
      <c r="C165" s="1">
        <v>6.3354184196999996E-5</v>
      </c>
      <c r="D165" s="1">
        <v>1.0463407926400001E-3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2.8382791329100002E-2</v>
      </c>
      <c r="B166" s="1">
        <v>5.3776638824500002E-4</v>
      </c>
      <c r="C166" s="1">
        <v>6.2043506108200002E-5</v>
      </c>
      <c r="D166" s="1">
        <v>1.0528042005699999E-3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2.86666192424E-2</v>
      </c>
      <c r="B167" s="1">
        <v>6.3854966320299998E-4</v>
      </c>
      <c r="C167" s="1">
        <v>6.75528157209E-5</v>
      </c>
      <c r="D167" s="1">
        <v>1.05933224258E-3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2.89532854348E-2</v>
      </c>
      <c r="B168" s="1">
        <v>8.3645551843800005E-4</v>
      </c>
      <c r="C168" s="1">
        <v>7.6424083002799999E-5</v>
      </c>
      <c r="D168" s="1">
        <v>1.065925565E-3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2.9242818289200001E-2</v>
      </c>
      <c r="B169" s="1">
        <v>1.09211107532E-3</v>
      </c>
      <c r="C169" s="1">
        <v>8.7183657233399996E-5</v>
      </c>
      <c r="D169" s="1">
        <v>1.0725848206499999E-3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2.9535246472099999E-2</v>
      </c>
      <c r="B170" s="1">
        <v>1.2730860536499999E-3</v>
      </c>
      <c r="C170" s="1">
        <v>9.4155011264200004E-5</v>
      </c>
      <c r="D170" s="1">
        <v>1.0793106688599999E-3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2.9830598936799999E-2</v>
      </c>
      <c r="B171" s="1">
        <v>1.50942313184E-3</v>
      </c>
      <c r="C171" s="1">
        <v>1.0411868101E-4</v>
      </c>
      <c r="D171" s="1">
        <v>1.08610377555E-3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3.01289049262E-2</v>
      </c>
      <c r="B172" s="1">
        <v>1.6421948393499999E-3</v>
      </c>
      <c r="C172" s="1">
        <v>1.10290299085E-4</v>
      </c>
      <c r="D172" s="1">
        <v>1.0929648132999999E-3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3.0430193975400002E-2</v>
      </c>
      <c r="B173" s="1">
        <v>1.7421713190299999E-3</v>
      </c>
      <c r="C173" s="1">
        <v>1.1437460416E-4</v>
      </c>
      <c r="D173" s="1">
        <v>1.09989446143E-3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3.07344959152E-2</v>
      </c>
      <c r="B174" s="1">
        <v>1.7024276913699999E-3</v>
      </c>
      <c r="C174" s="1">
        <v>1.06709175482E-4</v>
      </c>
      <c r="D174" s="1">
        <v>1.1068934060499999E-3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3.1041840874300002E-2</v>
      </c>
      <c r="B175" s="1">
        <v>1.74286547995E-3</v>
      </c>
      <c r="C175" s="1">
        <v>1.0978473638699999E-4</v>
      </c>
      <c r="D175" s="1">
        <v>1.1139623401100001E-3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3.1352259283100002E-2</v>
      </c>
      <c r="B176" s="1">
        <v>1.57909597287E-3</v>
      </c>
      <c r="C176" s="1">
        <v>1.04914013765E-4</v>
      </c>
      <c r="D176" s="1">
        <v>1.1211019635100001E-3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3.1665781875900002E-2</v>
      </c>
      <c r="B177" s="1">
        <v>1.3572873552399999E-3</v>
      </c>
      <c r="C177" s="1">
        <v>9.9862242197900001E-5</v>
      </c>
      <c r="D177" s="1">
        <v>1.12831298315E-3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3.19824396947E-2</v>
      </c>
      <c r="B178" s="1">
        <v>1.06566328098E-3</v>
      </c>
      <c r="C178" s="1">
        <v>9.02408844218E-5</v>
      </c>
      <c r="D178" s="1">
        <v>1.1355961129799999E-3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3.2302264091600003E-2</v>
      </c>
      <c r="B179" s="1">
        <v>8.3706213490700003E-4</v>
      </c>
      <c r="C179" s="1">
        <v>7.8780176262000006E-5</v>
      </c>
      <c r="D179" s="1">
        <v>1.1429520741100001E-3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3.2625286732500001E-2</v>
      </c>
      <c r="B180" s="1">
        <v>6.3633306779499997E-4</v>
      </c>
      <c r="C180" s="1">
        <v>6.73450267202E-5</v>
      </c>
      <c r="D180" s="1">
        <v>1.15038159485E-3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3.29515395999E-2</v>
      </c>
      <c r="B181" s="1">
        <v>6.0899844844099996E-4</v>
      </c>
      <c r="C181" s="1">
        <v>6.7545013409099993E-5</v>
      </c>
      <c r="D181" s="1">
        <v>1.1578854107999999E-3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3.3281054995899999E-2</v>
      </c>
      <c r="B182" s="1">
        <v>4.7311607073400003E-4</v>
      </c>
      <c r="C182" s="1">
        <v>5.7615427572499999E-5</v>
      </c>
      <c r="D182" s="1">
        <v>1.1654642648999999E-3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3.3613865545800002E-2</v>
      </c>
      <c r="B183" s="1">
        <v>3.5956660008300002E-4</v>
      </c>
      <c r="C183" s="1">
        <v>5.03786771337E-5</v>
      </c>
      <c r="D183" s="1">
        <v>1.1731189075499999E-3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3.3950004201300003E-2</v>
      </c>
      <c r="B184" s="1">
        <v>4.0028713594300001E-4</v>
      </c>
      <c r="C184" s="1">
        <v>5.3981708042E-5</v>
      </c>
      <c r="D184" s="1">
        <v>1.18085009663E-3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3.4289504243299997E-2</v>
      </c>
      <c r="B185" s="1">
        <v>4.6157753853199999E-4</v>
      </c>
      <c r="C185" s="1">
        <v>5.84780670466E-5</v>
      </c>
      <c r="D185" s="1">
        <v>1.1886585976000001E-3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3.46323992857E-2</v>
      </c>
      <c r="B186" s="1">
        <v>6.3787549847100003E-4</v>
      </c>
      <c r="C186" s="1">
        <v>6.6083471305499996E-5</v>
      </c>
      <c r="D186" s="1">
        <v>1.1965451835699999E-3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3.49787232786E-2</v>
      </c>
      <c r="B187" s="1">
        <v>5.8791784971500005E-4</v>
      </c>
      <c r="C187" s="1">
        <v>6.23768444517E-5</v>
      </c>
      <c r="D187" s="1">
        <v>1.20451063541E-3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3.5328510511399999E-2</v>
      </c>
      <c r="B188" s="1">
        <v>8.64539333217E-4</v>
      </c>
      <c r="C188" s="1">
        <v>7.8403057412000001E-5</v>
      </c>
      <c r="D188" s="1">
        <v>1.2125557417599999E-3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3.5681795616499999E-2</v>
      </c>
      <c r="B189" s="1">
        <v>7.5449517007400001E-4</v>
      </c>
      <c r="C189" s="1">
        <v>7.0559404684199996E-5</v>
      </c>
      <c r="D189" s="1">
        <v>1.2206812991799999E-3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3.6038613572599999E-2</v>
      </c>
      <c r="B190" s="1">
        <v>7.5021357248999997E-4</v>
      </c>
      <c r="C190" s="1">
        <v>6.7232813141600002E-5</v>
      </c>
      <c r="D190" s="1">
        <v>1.2288881121700001E-3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3.63989997084E-2</v>
      </c>
      <c r="B191" s="1">
        <v>7.8337057422199995E-4</v>
      </c>
      <c r="C191" s="1">
        <v>7.2524861411899994E-5</v>
      </c>
      <c r="D191" s="1">
        <v>1.2371769932899999E-3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3.6762989705399998E-2</v>
      </c>
      <c r="B192" s="1">
        <v>9.3815217516300003E-4</v>
      </c>
      <c r="C192" s="1">
        <v>7.7140161838899998E-5</v>
      </c>
      <c r="D192" s="1">
        <v>1.24554876323E-3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3.7130619602499998E-2</v>
      </c>
      <c r="B193" s="1">
        <v>6.7225816548100001E-4</v>
      </c>
      <c r="C193" s="1">
        <v>6.6843972794100004E-5</v>
      </c>
      <c r="D193" s="1">
        <v>1.2540042508600001E-3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3.7501925798500001E-2</v>
      </c>
      <c r="B194" s="1">
        <v>6.1391449629200003E-4</v>
      </c>
      <c r="C194" s="1">
        <v>6.2708206005799994E-5</v>
      </c>
      <c r="D194" s="1">
        <v>1.2625442933699999E-3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3.7876945056500001E-2</v>
      </c>
      <c r="B195" s="1">
        <v>5.0368394386099999E-4</v>
      </c>
      <c r="C195" s="1">
        <v>5.4938568812100003E-5</v>
      </c>
      <c r="D195" s="1">
        <v>1.2711697363000001E-3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3.8255714507099997E-2</v>
      </c>
      <c r="B196" s="1">
        <v>3.8930779885000002E-4</v>
      </c>
      <c r="C196" s="1">
        <v>4.8910428790499998E-5</v>
      </c>
      <c r="D196" s="1">
        <v>1.2798814336599999E-3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3.8638271652100001E-2</v>
      </c>
      <c r="B197" s="1">
        <v>2.1964739573799999E-4</v>
      </c>
      <c r="C197" s="1">
        <v>3.7710717718299997E-5</v>
      </c>
      <c r="D197" s="1">
        <v>1.288680248E-3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3.90246543687E-2</v>
      </c>
      <c r="B198" s="1">
        <v>1.9314576132300001E-4</v>
      </c>
      <c r="C198" s="1">
        <v>3.9123520344199997E-5</v>
      </c>
      <c r="D198" s="1">
        <v>1.2975670504800001E-3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3.9414900912399999E-2</v>
      </c>
      <c r="B199" s="1">
        <v>2.6117724327200001E-4</v>
      </c>
      <c r="C199" s="1">
        <v>4.0141808657400001E-5</v>
      </c>
      <c r="D199" s="1">
        <v>1.30654272098E-3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3.98090499215E-2</v>
      </c>
      <c r="B200" s="1">
        <v>2.2650746775400001E-4</v>
      </c>
      <c r="C200" s="1">
        <v>3.7512475046699998E-5</v>
      </c>
      <c r="D200" s="1">
        <v>1.31560814819E-3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4.0207140420699998E-2</v>
      </c>
      <c r="B201" s="1">
        <v>2.64374778974E-4</v>
      </c>
      <c r="C201" s="1">
        <v>4.1733182644600001E-5</v>
      </c>
      <c r="D201" s="1">
        <v>1.32476422968E-3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4.0609211824900002E-2</v>
      </c>
      <c r="B202" s="1">
        <v>4.0658598462800001E-4</v>
      </c>
      <c r="C202" s="1">
        <v>4.9971507906599997E-5</v>
      </c>
      <c r="D202" s="1">
        <v>1.3340118719700001E-3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4.1015303943099997E-2</v>
      </c>
      <c r="B203" s="1">
        <v>3.88868383438E-4</v>
      </c>
      <c r="C203" s="1">
        <v>4.9435072224699999E-5</v>
      </c>
      <c r="D203" s="1">
        <v>1.3433519906900001E-3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4.1425456982600001E-2</v>
      </c>
      <c r="B204" s="1">
        <v>4.1290622521299999E-4</v>
      </c>
      <c r="C204" s="1">
        <v>5.0349261175400001E-5</v>
      </c>
      <c r="D204" s="1">
        <v>1.3527855106E-3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4.1839711552400002E-2</v>
      </c>
      <c r="B205" s="1">
        <v>4.5011894201900003E-4</v>
      </c>
      <c r="C205" s="1">
        <v>5.2879665668199998E-5</v>
      </c>
      <c r="D205" s="1">
        <v>1.36231336571E-3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4.2258108667900002E-2</v>
      </c>
      <c r="B206" s="1">
        <v>4.1430898811800003E-4</v>
      </c>
      <c r="C206" s="1">
        <v>5.0217599088199998E-5</v>
      </c>
      <c r="D206" s="1">
        <v>1.37193649936E-3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4.2680689754600001E-2</v>
      </c>
      <c r="B207" s="1">
        <v>4.27092670485E-4</v>
      </c>
      <c r="C207" s="1">
        <v>5.3254494056300003E-5</v>
      </c>
      <c r="D207" s="1">
        <v>1.3816558643600001E-3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4.3107496652199997E-2</v>
      </c>
      <c r="B208" s="1">
        <v>3.20204728336E-4</v>
      </c>
      <c r="C208" s="1">
        <v>4.4841604576899997E-5</v>
      </c>
      <c r="D208" s="1">
        <v>1.391472423E-3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4.3538571618699999E-2</v>
      </c>
      <c r="B209" s="1">
        <v>2.8576914146300001E-4</v>
      </c>
      <c r="C209" s="1">
        <v>1.90795352542E-5</v>
      </c>
      <c r="D209" s="1">
        <v>1.4013871472299999E-3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4.3973957334899998E-2</v>
      </c>
      <c r="B210" s="1">
        <v>2.49647116203E-4</v>
      </c>
      <c r="C210" s="1">
        <v>1.7730467093400001E-5</v>
      </c>
      <c r="D210" s="1">
        <v>1.4114010186999999E-3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4.4413696908199997E-2</v>
      </c>
      <c r="B211" s="1">
        <v>1.7624534090500001E-4</v>
      </c>
      <c r="C211" s="1">
        <v>1.3964569458599999E-5</v>
      </c>
      <c r="D211" s="1">
        <v>1.4215150288899999E-3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4.4857833877300003E-2</v>
      </c>
      <c r="B212" s="1">
        <v>1.41637539854E-4</v>
      </c>
      <c r="C212" s="1">
        <v>1.1763684957700001E-5</v>
      </c>
      <c r="D212" s="1">
        <v>1.43173017918E-3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4.5306412216100003E-2</v>
      </c>
      <c r="B213" s="1">
        <v>1.4107715091E-4</v>
      </c>
      <c r="C213" s="1">
        <v>1.17616476192E-5</v>
      </c>
      <c r="D213" s="1">
        <v>1.4420474809700001E-3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4.5759476338200003E-2</v>
      </c>
      <c r="B214" s="1">
        <v>1.7500698044E-4</v>
      </c>
      <c r="C214" s="1">
        <v>1.32270892035E-5</v>
      </c>
      <c r="D214" s="1">
        <v>1.4524679557800001E-3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4.6217071101599998E-2</v>
      </c>
      <c r="B215" s="1">
        <v>2.10572670071E-4</v>
      </c>
      <c r="C215" s="1">
        <v>1.41673756691E-5</v>
      </c>
      <c r="D215" s="1">
        <v>1.46299263534E-3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4.6679241812599997E-2</v>
      </c>
      <c r="B216" s="1">
        <v>2.6472953310800003E-4</v>
      </c>
      <c r="C216" s="1">
        <v>1.6186432046E-5</v>
      </c>
      <c r="D216" s="1">
        <v>1.47362256169E-3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4.71460342308E-2</v>
      </c>
      <c r="B217" s="1">
        <v>2.8164522399199999E-4</v>
      </c>
      <c r="C217" s="1">
        <v>1.6503418709499999E-5</v>
      </c>
      <c r="D217" s="1">
        <v>1.48435878731E-3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4.7617494573100001E-2</v>
      </c>
      <c r="B218" s="1">
        <v>2.8889380301699998E-4</v>
      </c>
      <c r="C218" s="1">
        <v>1.6179431193899998E-5</v>
      </c>
      <c r="D218" s="1">
        <v>1.4952023751800001E-3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4.8093669518800002E-2</v>
      </c>
      <c r="B219" s="1">
        <v>2.5430664908400002E-4</v>
      </c>
      <c r="C219" s="1">
        <v>1.52431723953E-5</v>
      </c>
      <c r="D219" s="1">
        <v>1.5061543989299999E-3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4.8574606213999998E-2</v>
      </c>
      <c r="B220" s="1">
        <v>2.3920557918099999E-4</v>
      </c>
      <c r="C220" s="1">
        <v>1.47156837837E-5</v>
      </c>
      <c r="D220" s="1">
        <v>1.51721594292E-3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4.9060352276099999E-2</v>
      </c>
      <c r="B221" s="1">
        <v>2.0302594357400001E-4</v>
      </c>
      <c r="C221" s="1">
        <v>1.34909209233E-5</v>
      </c>
      <c r="D221" s="1">
        <v>1.5283881023500001E-3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4.9550955798900002E-2</v>
      </c>
      <c r="B222" s="1">
        <v>1.4200308736799999E-4</v>
      </c>
      <c r="C222" s="1">
        <v>1.0783016144499999E-5</v>
      </c>
      <c r="D222" s="1">
        <v>1.5396719833700001E-3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5.0046465356900001E-2</v>
      </c>
      <c r="B223" s="1">
        <v>9.6514322546099995E-5</v>
      </c>
      <c r="C223" s="1">
        <v>9.3492516950399997E-6</v>
      </c>
      <c r="D223" s="1">
        <v>1.5510687032100001E-3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5.0546930010399997E-2</v>
      </c>
      <c r="B224" s="1">
        <v>9.7021370131499999E-5</v>
      </c>
      <c r="C224" s="1">
        <v>9.1877298622200001E-6</v>
      </c>
      <c r="D224" s="1">
        <v>1.56257939024E-3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5.1052399310499999E-2</v>
      </c>
      <c r="B225" s="1">
        <v>8.0710242557300002E-5</v>
      </c>
      <c r="C225" s="1">
        <v>8.60004597258E-6</v>
      </c>
      <c r="D225" s="1">
        <v>1.5742051841400001E-3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5.1562923303600003E-2</v>
      </c>
      <c r="B226" s="1">
        <v>1.2132933145400001E-4</v>
      </c>
      <c r="C226" s="1">
        <v>1.01327145985E-5</v>
      </c>
      <c r="D226" s="1">
        <v>1.58594723598E-3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5.2078552536699997E-2</v>
      </c>
      <c r="B227" s="1">
        <v>1.3276893825400001E-4</v>
      </c>
      <c r="C227" s="1">
        <v>1.04439050004E-5</v>
      </c>
      <c r="D227" s="1">
        <v>1.5978067083399999E-3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5.2599338062100001E-2</v>
      </c>
      <c r="B228" s="1">
        <v>1.6225858334099999E-4</v>
      </c>
      <c r="C228" s="1">
        <v>1.1779814293E-5</v>
      </c>
      <c r="D228" s="1">
        <v>1.6097847754299999E-3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5.31253314427E-2</v>
      </c>
      <c r="B229" s="1">
        <v>1.78278809213E-4</v>
      </c>
      <c r="C229" s="1">
        <v>1.2275857987899999E-5</v>
      </c>
      <c r="D229" s="1">
        <v>1.6218826231800001E-3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5.3656584757100001E-2</v>
      </c>
      <c r="B230" s="1">
        <v>1.4970097725099999E-4</v>
      </c>
      <c r="C230" s="1">
        <v>1.10921400666E-5</v>
      </c>
      <c r="D230" s="1">
        <v>1.6341014494100001E-3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5.4193150604700001E-2</v>
      </c>
      <c r="B231" s="1">
        <v>1.2643355646E-4</v>
      </c>
      <c r="C231" s="1">
        <v>9.9355318812399999E-6</v>
      </c>
      <c r="D231" s="1">
        <v>1.64644246391E-3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5.4735082110700002E-2</v>
      </c>
      <c r="B232" s="1">
        <v>1.3982555955099999E-4</v>
      </c>
      <c r="C232" s="1">
        <v>1.0773517022199999E-5</v>
      </c>
      <c r="D232" s="1">
        <v>1.65890688855E-3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5.5282432931799998E-2</v>
      </c>
      <c r="B233" s="1">
        <v>9.6198160605300004E-5</v>
      </c>
      <c r="C233" s="1">
        <v>9.4086203533200002E-6</v>
      </c>
      <c r="D233" s="1">
        <v>1.6714959574299999E-3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5.5835257261100002E-2</v>
      </c>
      <c r="B234" s="1">
        <v>6.9663332995500003E-5</v>
      </c>
      <c r="C234" s="1">
        <v>7.1232879078599997E-6</v>
      </c>
      <c r="D234" s="1">
        <v>1.6842109170100001E-3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5.6393609833799999E-2</v>
      </c>
      <c r="B235" s="1">
        <v>6.7491367856599993E-5</v>
      </c>
      <c r="C235" s="1">
        <v>7.36663421666E-6</v>
      </c>
      <c r="D235" s="1">
        <v>1.69705302618E-3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5.69575459321E-2</v>
      </c>
      <c r="B236" s="1">
        <v>6.7345442829900001E-5</v>
      </c>
      <c r="C236" s="1">
        <v>7.4316000624599996E-6</v>
      </c>
      <c r="D236" s="1">
        <v>1.7100235564399999E-3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5.7527121391400003E-2</v>
      </c>
      <c r="B237" s="1">
        <v>8.7430740841099995E-5</v>
      </c>
      <c r="C237" s="1">
        <v>8.6336195326999998E-6</v>
      </c>
      <c r="D237" s="1">
        <v>1.7231237920000001E-3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5.81023926053E-2</v>
      </c>
      <c r="B238" s="1">
        <v>1.00624633436E-4</v>
      </c>
      <c r="C238" s="1">
        <v>8.8982747564900004E-6</v>
      </c>
      <c r="D238" s="1">
        <v>1.73635502992E-3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5.8683416531400003E-2</v>
      </c>
      <c r="B239" s="1">
        <v>1.24255020808E-4</v>
      </c>
      <c r="C239" s="1">
        <v>9.96915177066E-6</v>
      </c>
      <c r="D239" s="1">
        <v>1.74971858022E-3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5.92702506967E-2</v>
      </c>
      <c r="B240" s="1">
        <v>1.1356638967200001E-4</v>
      </c>
      <c r="C240" s="1">
        <v>9.2727778026500005E-6</v>
      </c>
      <c r="D240" s="1">
        <v>1.7632157660200001E-3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5.9862953203699998E-2</v>
      </c>
      <c r="B241" s="1">
        <v>9.9256715326199993E-5</v>
      </c>
      <c r="C241" s="1">
        <v>9.1364580503299996E-6</v>
      </c>
      <c r="D241" s="1">
        <v>1.7768479236799999E-3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6.0461582735700001E-2</v>
      </c>
      <c r="B242" s="1">
        <v>7.9666645706599998E-5</v>
      </c>
      <c r="C242" s="1">
        <v>8.3307862885499998E-6</v>
      </c>
      <c r="D242" s="1">
        <v>1.79061640292E-3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6.1066198563099999E-2</v>
      </c>
      <c r="B243" s="1">
        <v>6.4871923203600003E-5</v>
      </c>
      <c r="C243" s="1">
        <v>7.0961147639399999E-6</v>
      </c>
      <c r="D243" s="1">
        <v>1.80452256695E-3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6.1676860548700002E-2</v>
      </c>
      <c r="B244" s="1">
        <v>4.7164356321299998E-5</v>
      </c>
      <c r="C244" s="1">
        <v>6.3796308607299997E-6</v>
      </c>
      <c r="D244" s="1">
        <v>1.8185677926199999E-3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6.2293629154200003E-2</v>
      </c>
      <c r="B245" s="1">
        <v>5.49711892898E-5</v>
      </c>
      <c r="C245" s="1">
        <v>6.7871359444100001E-6</v>
      </c>
      <c r="D245" s="1">
        <v>1.8327534705499999E-3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6.2916565445699998E-2</v>
      </c>
      <c r="B246" s="1">
        <v>5.2581103892099998E-5</v>
      </c>
      <c r="C246" s="1">
        <v>6.6816845438799997E-6</v>
      </c>
      <c r="D246" s="1">
        <v>1.8470810052500001E-3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6.3545731100199995E-2</v>
      </c>
      <c r="B247" s="1">
        <v>6.9537434793099997E-5</v>
      </c>
      <c r="C247" s="1">
        <v>7.9814485562700001E-6</v>
      </c>
      <c r="D247" s="1">
        <v>1.8615518153E-3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6.4181188411200005E-2</v>
      </c>
      <c r="B248" s="1">
        <v>6.0127175389699999E-5</v>
      </c>
      <c r="C248" s="1">
        <v>6.9881773226400003E-6</v>
      </c>
      <c r="D248" s="1">
        <v>1.87616733346E-3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6.4823000295299998E-2</v>
      </c>
      <c r="B249" s="1">
        <v>6.4181316951000006E-5</v>
      </c>
      <c r="C249" s="1">
        <v>7.4504039144999996E-6</v>
      </c>
      <c r="D249" s="1">
        <v>1.8909290067899999E-3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6.5471230298199998E-2</v>
      </c>
      <c r="B250" s="1">
        <v>6.1900844459899997E-5</v>
      </c>
      <c r="C250" s="1">
        <v>7.16352211011E-6</v>
      </c>
      <c r="D250" s="1">
        <v>1.9058382968600001E-3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6.61259426012E-2</v>
      </c>
      <c r="B251" s="1">
        <v>6.01887320955E-5</v>
      </c>
      <c r="C251" s="1">
        <v>6.9587041207900002E-6</v>
      </c>
      <c r="D251" s="1">
        <v>1.9208966798300001E-3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6.6787202027199996E-2</v>
      </c>
      <c r="B252" s="1">
        <v>5.2960502010300003E-5</v>
      </c>
      <c r="C252" s="1">
        <v>6.4012779641699996E-6</v>
      </c>
      <c r="D252" s="1">
        <v>1.93610564663E-3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6.7455074047499994E-2</v>
      </c>
      <c r="B253" s="1">
        <v>2.66605522302E-5</v>
      </c>
      <c r="C253" s="1">
        <v>4.9883199936599998E-6</v>
      </c>
      <c r="D253" s="1">
        <v>1.9514667030900001E-3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6.8129624787999998E-2</v>
      </c>
      <c r="B254" s="1">
        <v>4.4823104525499998E-5</v>
      </c>
      <c r="C254" s="1">
        <v>6.09307194985E-6</v>
      </c>
      <c r="D254" s="1">
        <v>1.9669813701200002E-3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6.8810921035900002E-2</v>
      </c>
      <c r="B255" s="1">
        <v>4.2162022274099998E-5</v>
      </c>
      <c r="C255" s="1">
        <v>5.8609755101800002E-6</v>
      </c>
      <c r="D255" s="1">
        <v>1.9826511838199998E-3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6.9499030246199994E-2</v>
      </c>
      <c r="B256" s="1">
        <v>4.8422092552499998E-5</v>
      </c>
      <c r="C256" s="1">
        <v>6.0779185706300003E-6</v>
      </c>
      <c r="D256" s="1">
        <v>1.9984776956599999E-3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7.0194020548699998E-2</v>
      </c>
      <c r="B257" s="1">
        <v>5.0611899478699999E-5</v>
      </c>
      <c r="C257" s="1">
        <v>6.3916408417799998E-6</v>
      </c>
      <c r="D257" s="1">
        <v>2.0144624726199998E-3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7.0895960754200002E-2</v>
      </c>
      <c r="B258" s="1">
        <v>3.5412184529699998E-5</v>
      </c>
      <c r="C258" s="1">
        <v>5.3578359843100004E-6</v>
      </c>
      <c r="D258" s="1">
        <v>2.0306070973499998E-3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7.1604920361700006E-2</v>
      </c>
      <c r="B259" s="1">
        <v>3.4925889047500002E-5</v>
      </c>
      <c r="C259" s="1">
        <v>5.0437154844600002E-6</v>
      </c>
      <c r="D259" s="1">
        <v>2.0469131683199999E-3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7.23209695653E-2</v>
      </c>
      <c r="B260" s="1">
        <v>3.6185539754700001E-5</v>
      </c>
      <c r="C260" s="1">
        <v>5.3919048045200004E-6</v>
      </c>
      <c r="D260" s="1">
        <v>2.0633823E-3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7.3044179261E-2</v>
      </c>
      <c r="B261" s="1">
        <v>3.2681867858300003E-5</v>
      </c>
      <c r="C261" s="1">
        <v>4.9309099299799998E-6</v>
      </c>
      <c r="D261" s="1">
        <v>2.080016123E-3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7.3774621053599998E-2</v>
      </c>
      <c r="B262" s="1">
        <v>3.1370223864199997E-5</v>
      </c>
      <c r="C262" s="1">
        <v>5.1360453265300003E-6</v>
      </c>
      <c r="D262" s="1">
        <v>2.0968162842299998E-3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7.4512367264100002E-2</v>
      </c>
      <c r="B263" s="1">
        <v>3.77056458092E-5</v>
      </c>
      <c r="C263" s="1">
        <v>5.4166937876099998E-6</v>
      </c>
      <c r="D263" s="1">
        <v>2.11378444707E-3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7.5257490936799995E-2</v>
      </c>
      <c r="B264" s="1">
        <v>3.5028337332300003E-5</v>
      </c>
      <c r="C264" s="1">
        <v>5.18849681352E-6</v>
      </c>
      <c r="D264" s="1">
        <v>2.1309222915499998E-3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7.6010065846099997E-2</v>
      </c>
      <c r="B265" s="1">
        <v>3.6784214628500003E-5</v>
      </c>
      <c r="C265" s="1">
        <v>5.05208701424E-6</v>
      </c>
      <c r="D265" s="1">
        <v>2.1482315144599998E-3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7.6770166504600001E-2</v>
      </c>
      <c r="B266" s="1">
        <v>1.97335853935E-5</v>
      </c>
      <c r="C266" s="1">
        <v>3.9702815647599998E-6</v>
      </c>
      <c r="D266" s="1">
        <v>2.1657138296100002E-3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7.7537868169599997E-2</v>
      </c>
      <c r="B267" s="1">
        <v>2.44211471842E-5</v>
      </c>
      <c r="C267" s="1">
        <v>4.3765485182699998E-6</v>
      </c>
      <c r="D267" s="1">
        <v>2.1833709679000002E-3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7.8313246851300006E-2</v>
      </c>
      <c r="B268" s="1">
        <v>2.2325320148700001E-5</v>
      </c>
      <c r="C268" s="1">
        <v>4.0762923257699998E-6</v>
      </c>
      <c r="D268" s="1">
        <v>2.2012046775799999E-3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7.90963793198E-2</v>
      </c>
      <c r="B269" s="1">
        <v>2.2683713513499999E-5</v>
      </c>
      <c r="C269" s="1">
        <v>4.1858396289499999E-6</v>
      </c>
      <c r="D269" s="1">
        <v>2.2192167243599999E-3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7.9887343112999998E-2</v>
      </c>
      <c r="B270" s="1">
        <v>2.2128880164099999E-5</v>
      </c>
      <c r="C270" s="1">
        <v>4.1241828617700002E-6</v>
      </c>
      <c r="D270" s="1">
        <v>2.2374088916000002E-3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8.0686216544199996E-2</v>
      </c>
      <c r="B271" s="1">
        <v>2.43439920027E-5</v>
      </c>
      <c r="C271" s="1">
        <v>4.1261493175800001E-6</v>
      </c>
      <c r="D271" s="1">
        <v>2.2557829805199998E-3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8.14930787096E-2</v>
      </c>
      <c r="B272" s="1">
        <v>2.24175082561E-5</v>
      </c>
      <c r="C272" s="1">
        <v>4.1922919474299999E-6</v>
      </c>
      <c r="D272" s="1">
        <v>2.27434081032E-3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8.2308009496700002E-2</v>
      </c>
      <c r="B273" s="1">
        <v>2.5301633182899999E-5</v>
      </c>
      <c r="C273" s="1">
        <v>4.28804155041E-6</v>
      </c>
      <c r="D273" s="1">
        <v>2.2930842184199999E-3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8.31310895917E-2</v>
      </c>
      <c r="B274" s="1">
        <v>2.3230023823700001E-5</v>
      </c>
      <c r="C274" s="1">
        <v>4.3036083279900003E-6</v>
      </c>
      <c r="D274" s="1">
        <v>2.3120150606099998E-3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8.3962400487599995E-2</v>
      </c>
      <c r="B275" s="1">
        <v>1.6519408184899999E-5</v>
      </c>
      <c r="C275" s="1">
        <v>3.5796308897999999E-6</v>
      </c>
      <c r="D275" s="1">
        <v>2.3311352112099998E-3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8.4802024492500003E-2</v>
      </c>
      <c r="B276" s="1">
        <v>1.6896943634899998E-5</v>
      </c>
      <c r="C276" s="1">
        <v>3.8244434951899997E-6</v>
      </c>
      <c r="D276" s="1">
        <v>2.3504465633299998E-3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8.5650044737399997E-2</v>
      </c>
      <c r="B277" s="1">
        <v>2.2971156606700001E-5</v>
      </c>
      <c r="C277" s="1">
        <v>4.00919561316E-6</v>
      </c>
      <c r="D277" s="1">
        <v>2.3699510289600001E-3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8.6506545184799999E-2</v>
      </c>
      <c r="B278" s="1">
        <v>2.2456313750600001E-5</v>
      </c>
      <c r="C278" s="1">
        <v>4.0782928150900001E-6</v>
      </c>
      <c r="D278" s="1">
        <v>2.3896505392499998E-3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8.7371610636599997E-2</v>
      </c>
      <c r="B279" s="1">
        <v>2.29472900087E-5</v>
      </c>
      <c r="C279" s="1">
        <v>2.2831233009200002E-6</v>
      </c>
      <c r="D279" s="1">
        <v>2.4095470446400002E-3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8.8245326742999994E-2</v>
      </c>
      <c r="B280" s="1">
        <v>1.9480336946400001E-5</v>
      </c>
      <c r="C280" s="1">
        <v>2.0434406462099998E-6</v>
      </c>
      <c r="D280" s="1">
        <v>2.4296425150899998E-3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8.9127780010400004E-2</v>
      </c>
      <c r="B281" s="1">
        <v>1.4139971967E-5</v>
      </c>
      <c r="C281" s="1">
        <v>1.64946275409E-6</v>
      </c>
      <c r="D281" s="1">
        <v>2.44993894024E-3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9.00190578105E-2</v>
      </c>
      <c r="B282" s="1">
        <v>1.41132245603E-5</v>
      </c>
      <c r="C282" s="1">
        <v>1.6078306514699999E-6</v>
      </c>
      <c r="D282" s="1">
        <v>2.4704383296399999E-3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9.0919248388599994E-2</v>
      </c>
      <c r="B283" s="1">
        <v>1.2971004276899999E-5</v>
      </c>
      <c r="C283" s="1">
        <v>1.6146516829699999E-6</v>
      </c>
      <c r="D283" s="1">
        <v>2.49114271294E-3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9.18284408725E-2</v>
      </c>
      <c r="B284" s="1">
        <v>1.37573096875E-5</v>
      </c>
      <c r="C284" s="1">
        <v>1.63307047539E-6</v>
      </c>
      <c r="D284" s="1">
        <v>2.51205414007E-3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9.2746725281199996E-2</v>
      </c>
      <c r="B285" s="1">
        <v>1.6223853070300001E-5</v>
      </c>
      <c r="C285" s="1">
        <v>1.75665923505E-6</v>
      </c>
      <c r="D285" s="1">
        <v>2.5331746814699998E-3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9.3674192534E-2</v>
      </c>
      <c r="B286" s="1">
        <v>1.3394621444399999E-5</v>
      </c>
      <c r="C286" s="1">
        <v>1.6263974823499999E-6</v>
      </c>
      <c r="D286" s="1">
        <v>2.5545064282799998E-3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9.4610934459399998E-2</v>
      </c>
      <c r="B287" s="1">
        <v>1.4151779269100001E-5</v>
      </c>
      <c r="C287" s="1">
        <v>1.6254868536700001E-6</v>
      </c>
      <c r="D287" s="1">
        <v>2.5760514925700002E-3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9.5557043804E-2</v>
      </c>
      <c r="B288" s="1">
        <v>1.21881191387E-5</v>
      </c>
      <c r="C288" s="1">
        <v>1.5198552303699999E-6</v>
      </c>
      <c r="D288" s="1">
        <v>2.5978120074900001E-3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9.6512614242E-2</v>
      </c>
      <c r="B289" s="1">
        <v>1.28896023432E-5</v>
      </c>
      <c r="C289" s="1">
        <v>1.51559298142E-6</v>
      </c>
      <c r="D289" s="1">
        <v>2.61979012757E-3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9.7477740384400005E-2</v>
      </c>
      <c r="B290" s="1">
        <v>1.1666762049399999E-5</v>
      </c>
      <c r="C290" s="1">
        <v>1.4471696492200001E-6</v>
      </c>
      <c r="D290" s="1">
        <v>2.6419880288399999E-3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9.8452517788299998E-2</v>
      </c>
      <c r="B291" s="1">
        <v>1.5384881564999999E-5</v>
      </c>
      <c r="C291" s="1">
        <v>1.5548172264700001E-6</v>
      </c>
      <c r="D291" s="1">
        <v>2.6644079091300002E-3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9.9437042966199998E-2</v>
      </c>
      <c r="B292" s="1">
        <v>1.0091347773000001E-5</v>
      </c>
      <c r="C292" s="1">
        <v>1.4189315048700001E-6</v>
      </c>
      <c r="D292" s="1">
        <v>2.68705198822E-3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0.10043141339599999</v>
      </c>
      <c r="B293" s="1">
        <v>1.03533012808E-5</v>
      </c>
      <c r="C293" s="1">
        <v>1.42514869281E-6</v>
      </c>
      <c r="D293" s="1">
        <v>2.7099225081E-3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0.10143572753000001</v>
      </c>
      <c r="B294" s="1">
        <v>9.1468200979100003E-6</v>
      </c>
      <c r="C294" s="1">
        <v>1.3716439392299999E-6</v>
      </c>
      <c r="D294" s="1">
        <v>2.73302173319E-3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0.10245008480499999</v>
      </c>
      <c r="B295" s="1">
        <v>8.3065783290900005E-6</v>
      </c>
      <c r="C295" s="1">
        <v>1.2800229640899999E-6</v>
      </c>
      <c r="D295" s="1">
        <v>2.7563519505200001E-3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0.103474585653</v>
      </c>
      <c r="B296" s="1">
        <v>1.06307769617E-5</v>
      </c>
      <c r="C296" s="1">
        <v>1.3917833933499999E-6</v>
      </c>
      <c r="D296" s="1">
        <v>2.7799154700199999E-3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0.10450933151</v>
      </c>
      <c r="B297" s="1">
        <v>1.03159020337E-5</v>
      </c>
      <c r="C297" s="1">
        <v>1.42880049357E-6</v>
      </c>
      <c r="D297" s="1">
        <v>2.8037146247199998E-3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0.10555442482500001</v>
      </c>
      <c r="B298" s="1">
        <v>8.9965066246899995E-6</v>
      </c>
      <c r="C298" s="1">
        <v>1.3535013557300001E-6</v>
      </c>
      <c r="D298" s="1">
        <v>2.82775177097E-3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0.10660996907299999</v>
      </c>
      <c r="B299" s="1">
        <v>6.6415238982099997E-6</v>
      </c>
      <c r="C299" s="1">
        <v>1.1770169035699999E-6</v>
      </c>
      <c r="D299" s="1">
        <v>2.8520292886799999E-3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0.107676068764</v>
      </c>
      <c r="B300" s="1">
        <v>7.5267703301200002E-6</v>
      </c>
      <c r="C300" s="1">
        <v>1.19782526168E-6</v>
      </c>
      <c r="D300" s="1">
        <v>2.87654958157E-3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0.108752829451</v>
      </c>
      <c r="B301" s="1">
        <v>6.27132825606E-6</v>
      </c>
      <c r="C301" s="1">
        <v>1.1492924399499999E-6</v>
      </c>
      <c r="D301" s="1">
        <v>2.9013150773800002E-3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0.109840357746</v>
      </c>
      <c r="B302" s="1">
        <v>8.5904407669199996E-6</v>
      </c>
      <c r="C302" s="1">
        <v>1.3343263972800001E-6</v>
      </c>
      <c r="D302" s="1">
        <v>2.9263282281600002E-3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0.110938761323</v>
      </c>
      <c r="B303" s="1">
        <v>7.8675600135400008E-6</v>
      </c>
      <c r="C303" s="1">
        <v>1.13036015399E-6</v>
      </c>
      <c r="D303" s="1">
        <v>2.9515915104400001E-3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0.11204814893700001</v>
      </c>
      <c r="B304" s="1">
        <v>7.5401182254099999E-6</v>
      </c>
      <c r="C304" s="1">
        <v>1.15938773805E-6</v>
      </c>
      <c r="D304" s="1">
        <v>2.97710742554E-3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0.11316863042600001</v>
      </c>
      <c r="B305" s="1">
        <v>5.98425295856E-6</v>
      </c>
      <c r="C305" s="1">
        <v>1.0661970331399999E-6</v>
      </c>
      <c r="D305" s="1">
        <v>3.0028784998000001E-3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0.11430031673</v>
      </c>
      <c r="B306" s="1">
        <v>6.3626853791299997E-6</v>
      </c>
      <c r="C306" s="1">
        <v>1.14773890237E-6</v>
      </c>
      <c r="D306" s="1">
        <v>3.0289072847900001E-3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0.115443319898</v>
      </c>
      <c r="B307" s="1">
        <v>7.9155291190199994E-6</v>
      </c>
      <c r="C307" s="1">
        <v>1.1673969835800001E-6</v>
      </c>
      <c r="D307" s="1">
        <v>3.0551963576400001E-3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0.116597753096</v>
      </c>
      <c r="B308" s="1">
        <v>6.3762072553499997E-6</v>
      </c>
      <c r="C308" s="1">
        <v>1.12431139343E-6</v>
      </c>
      <c r="D308" s="1">
        <v>3.0817483212199999E-3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0.117763730627</v>
      </c>
      <c r="B309" s="1">
        <v>5.4005841928099997E-6</v>
      </c>
      <c r="C309" s="1">
        <v>9.9221155112600005E-7</v>
      </c>
      <c r="D309" s="1">
        <v>3.1085658044299998E-3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0.11894136793399999</v>
      </c>
      <c r="B310" s="1">
        <v>6.1896576145300004E-6</v>
      </c>
      <c r="C310" s="1">
        <v>1.1258439496499999E-6</v>
      </c>
      <c r="D310" s="1">
        <v>3.1356514624800002E-3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0.120130781613</v>
      </c>
      <c r="B311" s="1">
        <v>6.48118842492E-6</v>
      </c>
      <c r="C311" s="1">
        <v>1.1601563559200001E-6</v>
      </c>
      <c r="D311" s="1">
        <v>3.1630079771000001E-3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0.12133208942900001</v>
      </c>
      <c r="B312" s="1">
        <v>5.8782077217100002E-6</v>
      </c>
      <c r="C312" s="1">
        <v>1.02552937666E-6</v>
      </c>
      <c r="D312" s="1">
        <v>3.19063805687E-3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0.122545410323</v>
      </c>
      <c r="B313" s="1">
        <v>4.0744788021399998E-6</v>
      </c>
      <c r="C313" s="1">
        <v>9.3188358627E-7</v>
      </c>
      <c r="D313" s="1">
        <v>3.2185444374399999E-3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0.123770864427</v>
      </c>
      <c r="B314" s="1">
        <v>3.6394632072099999E-6</v>
      </c>
      <c r="C314" s="1">
        <v>8.8605975904799999E-7</v>
      </c>
      <c r="D314" s="1">
        <v>3.2467298818099999E-3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0.125008573071</v>
      </c>
      <c r="B315" s="1">
        <v>4.2496071715600004E-6</v>
      </c>
      <c r="C315" s="1">
        <v>9.674662095060001E-7</v>
      </c>
      <c r="D315" s="1">
        <v>3.2751971806300002E-3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0.12625865880199999</v>
      </c>
      <c r="B316" s="1">
        <v>4.72964288595E-6</v>
      </c>
      <c r="C316" s="1">
        <v>1.0320459339599999E-6</v>
      </c>
      <c r="D316" s="1">
        <v>3.3039491524399999E-3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0.12752124539000001</v>
      </c>
      <c r="B317" s="1">
        <v>3.7252251449799998E-6</v>
      </c>
      <c r="C317" s="1">
        <v>8.6733158513499996E-7</v>
      </c>
      <c r="D317" s="1">
        <v>3.3329886439600002E-3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0.12879645784400001</v>
      </c>
      <c r="B318" s="1">
        <v>4.1179316918700001E-6</v>
      </c>
      <c r="C318" s="1">
        <v>9.1398530253300003E-7</v>
      </c>
      <c r="D318" s="1">
        <v>3.3623185304E-3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0.130084422422</v>
      </c>
      <c r="B319" s="1">
        <v>5.2752943053600001E-6</v>
      </c>
      <c r="C319" s="1">
        <v>1.04818252804E-6</v>
      </c>
      <c r="D319" s="1">
        <v>3.3919417157099998E-3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0.131385266646</v>
      </c>
      <c r="B320" s="1">
        <v>4.1768052671600004E-6</v>
      </c>
      <c r="C320" s="1">
        <v>9.3654744122200002E-7</v>
      </c>
      <c r="D320" s="1">
        <v>3.4218611328599999E-3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92" t="s">
        <v>1</v>
      </c>
      <c r="B1" s="192"/>
      <c r="C1" s="192"/>
      <c r="D1" s="192"/>
      <c r="E1" s="192"/>
      <c r="F1" s="192"/>
      <c r="G1" s="192"/>
      <c r="H1" s="192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Reflectivity</vt:lpstr>
      <vt:lpstr>Uncertainties</vt:lpstr>
      <vt:lpstr>dTotal</vt:lpstr>
      <vt:lpstr>density</vt:lpstr>
      <vt:lpstr>f_PEO</vt:lpstr>
      <vt:lpstr>sigDstack</vt:lpstr>
      <vt:lpstr>dSiOx</vt:lpstr>
      <vt:lpstr>NbBPEI</vt:lpstr>
      <vt:lpstr>NbSi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2021-06-28T15:37:30Z</dcterms:modified>
</cp:coreProperties>
</file>