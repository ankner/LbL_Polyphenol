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B3A53222-2BAE-4CF6-BAB8-71588000477C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78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X320" i="1"/>
  <c r="Y320" i="1" s="1"/>
  <c r="X321" i="1"/>
  <c r="Y321" i="1" s="1"/>
  <c r="X322" i="1"/>
  <c r="Y322" i="1" s="1"/>
  <c r="G27" i="1" l="1"/>
  <c r="F26" i="1"/>
  <c r="C26" i="1"/>
  <c r="F25" i="1"/>
  <c r="C25" i="1" l="1"/>
  <c r="X280" i="1" l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D19" i="69"/>
  <c r="B10" i="69"/>
  <c r="C10" i="69"/>
  <c r="X278" i="1"/>
  <c r="Y278" i="1" s="1"/>
  <c r="X279" i="1"/>
  <c r="Y279" i="1" s="1"/>
  <c r="C6" i="1"/>
  <c r="F7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G5" i="1" s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579_off_min0.03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<sst xmlns="http://schemas.openxmlformats.org/spreadsheetml/2006/main" count="1169" uniqueCount="649">
  <si>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</si>
  <si>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</si>
  <si>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</si>
  <si>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</si>
  <si>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</si>
  <si>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</si>
  <si>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</si>
  <si>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</si>
  <si>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</si>
  <si>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</si>
  <si>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</si>
  <si>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</si>
  <si>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</si>
  <si>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</si>
  <si>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</si>
  <si>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</si>
  <si>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</si>
  <si>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</si>
  <si>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</si>
  <si>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</si>
  <si>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</si>
  <si>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</si>
  <si>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</si>
  <si>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</si>
  <si>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</si>
  <si>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</si>
  <si>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</si>
  <si>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</si>
  <si>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</si>
  <si>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</si>
  <si>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</si>
  <si>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</si>
  <si>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</si>
  <si>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</si>
  <si>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</si>
  <si>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</si>
  <si>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</si>
  <si>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</si>
  <si>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</si>
  <si>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</si>
  <si>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</si>
  <si>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</si>
  <si>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</si>
  <si>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</si>
  <si>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</si>
  <si>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</si>
  <si>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</si>
  <si>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</si>
  <si>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</si>
  <si>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</si>
  <si>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</si>
  <si>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</si>
  <si>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</si>
  <si>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</si>
  <si>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</si>
  <si>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</si>
  <si>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</si>
  <si>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</si>
  <si>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</si>
  <si>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</si>
  <si>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</si>
  <si>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</si>
  <si>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</si>
  <si>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</si>
  <si>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</si>
  <si>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</si>
  <si>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</si>
  <si>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</si>
  <si>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</si>
  <si>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</si>
  <si>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</si>
  <si>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</si>
  <si>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</si>
  <si>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</si>
  <si>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</si>
  <si>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</si>
  <si>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</si>
  <si>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</si>
  <si>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</si>
  <si>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</si>
  <si>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</si>
  <si>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</si>
  <si>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</si>
  <si>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</si>
  <si>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</si>
  <si>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</si>
  <si>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</si>
  <si>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</si>
  <si>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</si>
  <si>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</si>
  <si>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</si>
  <si>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</si>
  <si>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</si>
  <si>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</si>
  <si>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</si>
  <si>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</si>
  <si>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</si>
  <si>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</si>
  <si>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</si>
  <si>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</si>
  <si>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</si>
  <si>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</si>
  <si>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</si>
  <si>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</si>
  <si>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</si>
  <si>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</si>
  <si>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</si>
  <si>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</si>
  <si>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</si>
  <si>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</si>
  <si>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</si>
  <si>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</si>
  <si>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</si>
  <si>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</si>
  <si>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</si>
  <si>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</si>
  <si>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</si>
  <si>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</si>
  <si>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</si>
  <si>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</si>
  <si>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</si>
  <si>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</si>
  <si>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</si>
  <si>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</si>
  <si>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</si>
  <si>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</si>
  <si>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</si>
  <si>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</si>
  <si>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</si>
  <si>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</si>
  <si>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</si>
  <si>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</si>
  <si>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</si>
  <si>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</si>
  <si>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</si>
  <si>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</si>
  <si>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</si>
  <si>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</si>
  <si>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</si>
  <si>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</si>
  <si>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</si>
  <si>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</si>
  <si>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</si>
  <si>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</si>
  <si>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</si>
  <si>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</si>
  <si>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</si>
  <si>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</si>
  <si>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</si>
  <si>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</si>
  <si>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</si>
  <si>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</si>
  <si>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</si>
  <si>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</si>
  <si>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</si>
  <si>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</si>
  <si>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</si>
  <si>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</si>
  <si>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</si>
  <si>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</si>
  <si>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</si>
  <si>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</si>
  <si>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</si>
  <si>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</si>
  <si>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</si>
  <si>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</si>
  <si>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</si>
  <si>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</si>
  <si>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</si>
  <si>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</si>
  <si>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</si>
  <si>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</si>
  <si>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</si>
  <si>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</si>
  <si>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</si>
  <si>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</si>
  <si>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</si>
  <si>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</si>
  <si>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</si>
  <si>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</si>
  <si>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</si>
  <si>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</si>
  <si>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</si>
  <si>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</si>
  <si>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</si>
  <si>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</si>
  <si>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</si>
  <si>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</si>
  <si>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</si>
  <si>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</si>
  <si>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</si>
  <si>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</si>
  <si>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</si>
  <si>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</si>
  <si>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</si>
  <si>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</si>
  <si>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</si>
  <si>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</si>
  <si>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</si>
  <si>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</si>
  <si>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</si>
  <si>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</si>
  <si>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</si>
  <si>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</si>
  <si>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</si>
  <si>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</si>
  <si>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</si>
  <si>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</si>
  <si>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</si>
  <si>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</si>
  <si>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</si>
  <si>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</si>
  <si>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</si>
  <si>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</si>
  <si>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</si>
  <si>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</si>
  <si>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</si>
  <si>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</si>
  <si>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</si>
  <si>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</si>
  <si>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</si>
  <si>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</si>
  <si>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</si>
  <si>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</si>
  <si>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</si>
  <si>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</si>
  <si>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</si>
  <si>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</si>
  <si>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</si>
  <si>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</si>
  <si>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</si>
  <si>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</si>
  <si>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</si>
  <si>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</si>
  <si>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</si>
  <si>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</si>
  <si>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</si>
  <si>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</si>
  <si>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</si>
  <si>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</si>
  <si>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</si>
  <si>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</si>
  <si>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</si>
  <si>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</si>
  <si>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</si>
  <si>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</si>
  <si>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</si>
  <si>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</si>
  <si>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</si>
  <si>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</si>
  <si>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</si>
  <si>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</si>
  <si>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</si>
  <si>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</si>
  <si>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</si>
  <si>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</si>
  <si>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</si>
  <si>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</si>
  <si>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</si>
  <si>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</si>
  <si>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</si>
  <si>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</si>
  <si>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</si>
  <si>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</si>
  <si>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</si>
  <si>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</si>
  <si>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</si>
  <si>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</si>
  <si>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</si>
  <si>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</si>
  <si>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</si>
  <si>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</si>
  <si>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</si>
  <si>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</si>
  <si>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</si>
  <si>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</si>
  <si>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</si>
  <si>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</si>
  <si>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</si>
  <si>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</si>
  <si>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</si>
  <si>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</si>
  <si>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</si>
  <si>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</si>
  <si>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</si>
  <si>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</si>
  <si>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</si>
  <si>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</si>
  <si>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</si>
  <si>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</si>
  <si>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</si>
  <si>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</si>
  <si>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</si>
  <si>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</si>
  <si>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</si>
  <si>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</si>
  <si>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</si>
  <si>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</si>
  <si>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</si>
  <si>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</si>
  <si>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</si>
  <si>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</si>
  <si>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</si>
  <si>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</si>
  <si>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</si>
  <si>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</si>
  <si>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</si>
  <si>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</si>
  <si>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</si>
  <si>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</si>
  <si>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</si>
  <si>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</si>
  <si>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</si>
  <si>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</si>
  <si>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</si>
  <si>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</si>
  <si>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</si>
  <si>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</si>
  <si>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</si>
  <si>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</si>
  <si>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</si>
  <si>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</si>
  <si>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</si>
  <si>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</si>
  <si>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</si>
  <si>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</si>
  <si>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</si>
  <si>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</si>
  <si>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</si>
  <si>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</si>
  <si>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</si>
  <si>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</si>
  <si>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</si>
  <si>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</si>
  <si>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</si>
  <si>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</si>
  <si>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</si>
  <si>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</si>
  <si>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</si>
  <si>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</si>
  <si>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</si>
  <si>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</si>
  <si>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</si>
  <si>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</si>
  <si>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</si>
  <si>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</si>
  <si>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</si>
  <si>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</si>
  <si>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</si>
  <si>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</si>
  <si>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</si>
  <si>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</si>
  <si>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</si>
  <si>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</si>
  <si>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</si>
  <si>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</si>
  <si>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</si>
  <si>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</si>
  <si>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</si>
  <si>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</si>
  <si>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</si>
  <si>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</si>
  <si>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</si>
  <si>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</si>
  <si>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</si>
  <si>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</si>
  <si>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</si>
  <si>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</si>
  <si>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</si>
  <si>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</si>
  <si>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</si>
  <si>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</si>
  <si>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</si>
  <si>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</si>
  <si>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</si>
  <si>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</si>
  <si>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</si>
  <si>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</si>
  <si>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</si>
  <si>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</si>
  <si>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</si>
  <si>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</si>
  <si>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</si>
  <si>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</si>
  <si>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</si>
  <si>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</si>
  <si>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</si>
  <si>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</si>
  <si>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</si>
  <si>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</si>
  <si>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</si>
  <si>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</si>
  <si>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</si>
  <si>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</si>
  <si>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</si>
  <si>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</si>
  <si>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</si>
  <si>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</si>
  <si>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</si>
  <si>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</si>
  <si>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</si>
  <si>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</si>
  <si>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</si>
  <si>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</si>
  <si>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</si>
  <si>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</si>
  <si>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</si>
  <si>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</si>
  <si>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</si>
  <si>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</si>
  <si>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</si>
  <si>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</si>
  <si>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</si>
  <si>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</si>
  <si>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</si>
  <si>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</si>
  <si>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</si>
  <si>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</si>
  <si>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</si>
  <si>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</si>
  <si>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</si>
  <si>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</si>
  <si>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</si>
  <si>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</si>
  <si>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</si>
  <si>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</si>
  <si>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</si>
  <si>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</si>
  <si>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</si>
  <si>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</si>
  <si>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</si>
  <si>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</si>
  <si>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</si>
  <si>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</si>
  <si>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</si>
  <si>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</si>
  <si>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</si>
  <si>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</si>
  <si>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</si>
  <si>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</si>
  <si>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</si>
  <si>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</si>
  <si>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</si>
  <si>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</si>
  <si>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</si>
  <si>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</si>
  <si>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</si>
  <si>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</si>
  <si>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</si>
  <si>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</si>
  <si>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</si>
  <si>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</si>
  <si>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</si>
  <si>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</si>
  <si>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</si>
  <si>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</si>
  <si>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</si>
  <si>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</si>
  <si>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</si>
  <si>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</si>
  <si>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</si>
  <si>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</si>
  <si>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</si>
  <si>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</si>
  <si>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</si>
  <si>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</si>
  <si>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</si>
  <si>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</si>
  <si>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</si>
  <si>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</si>
  <si>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</si>
  <si>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</si>
  <si>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</si>
  <si>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</si>
  <si>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</si>
  <si>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</si>
  <si>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</si>
  <si>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</si>
  <si>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</si>
  <si>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</si>
  <si>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</si>
  <si>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</si>
  <si>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</si>
  <si>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</si>
  <si>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</si>
  <si>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</si>
  <si>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</si>
  <si>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</si>
  <si>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</si>
  <si>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</si>
  <si>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</si>
  <si>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</si>
  <si>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</si>
  <si>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</si>
  <si>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</si>
  <si>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</si>
  <si>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</si>
  <si>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</si>
  <si>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</si>
  <si>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</si>
  <si>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</si>
  <si>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</si>
  <si>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</si>
  <si>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</si>
  <si>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</si>
  <si>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</si>
  <si>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</si>
  <si>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</si>
  <si>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</si>
  <si>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</si>
  <si>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</si>
  <si>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</si>
  <si>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</si>
  <si>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</si>
  <si>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</si>
  <si>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</si>
  <si>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</si>
  <si>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</si>
  <si>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</si>
  <si>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</si>
  <si>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</si>
  <si>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</si>
  <si>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</si>
  <si>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</si>
  <si>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</si>
  <si>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</si>
  <si>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</si>
  <si>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</si>
  <si>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</si>
  <si>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</si>
  <si>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</si>
  <si>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</si>
  <si>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</si>
  <si>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</si>
  <si>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</si>
  <si>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</si>
  <si>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</si>
  <si>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</si>
  <si>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</si>
  <si>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</si>
  <si>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</si>
  <si>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</si>
  <si>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</si>
  <si>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</si>
  <si>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</si>
  <si>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</si>
  <si>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</si>
  <si>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</si>
  <si>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</si>
  <si>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</si>
  <si>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</si>
  <si>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</si>
  <si>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</si>
  <si>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</si>
  <si>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</si>
  <si>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</si>
  <si>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</si>
  <si>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</si>
  <si>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</si>
  <si>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</si>
  <si>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</si>
  <si>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</si>
  <si>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</si>
  <si>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</si>
  <si>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</si>
  <si>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</si>
  <si>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</si>
  <si>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</si>
  <si>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</si>
  <si>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</si>
  <si>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</si>
  <si>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</si>
  <si>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</si>
  <si>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</si>
  <si>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</si>
  <si>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</si>
  <si>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</si>
  <si>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</si>
  <si>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</si>
  <si>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</si>
  <si>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</si>
  <si>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</si>
  <si>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</si>
  <si>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</si>
  <si>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</si>
  <si>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</si>
  <si>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</si>
  <si>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</si>
  <si>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</si>
  <si>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</si>
  <si>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</si>
  <si>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</si>
  <si>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</si>
  <si>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</si>
  <si>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</si>
  <si>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</si>
  <si>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</si>
  <si>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</si>
  <si>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</si>
  <si>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</si>
  <si>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</si>
  <si>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</si>
  <si>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</si>
  <si>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</si>
  <si>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</si>
  <si>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</si>
  <si>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</si>
  <si>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</si>
  <si>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</si>
  <si>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</si>
  <si>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</si>
  <si>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</si>
  <si>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</si>
  <si>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</si>
  <si>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</si>
  <si>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</si>
  <si>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</si>
  <si>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</si>
  <si>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</si>
  <si>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</si>
  <si>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</si>
  <si>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</si>
  <si>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</si>
  <si>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</si>
  <si>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</si>
  <si>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</si>
  <si>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</si>
  <si>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</si>
  <si>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</si>
  <si>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</si>
  <si>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</si>
  <si>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</si>
  <si>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</si>
  <si>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</si>
  <si>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</si>
  <si>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</si>
  <si>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</si>
  <si>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Wed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</si>
  <si>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</si>
  <si>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</si>
  <si>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</si>
  <si>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</si>
  <si>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</si>
  <si>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Feb</t>
  </si>
  <si>
    <r>
      <t>S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</si>
  <si>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</si>
  <si>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11_p2hma_58h62d_22h110h_2min-174579-1.</t>
  </si>
  <si>
    <t>2019-11-20T09:20:17.070975667</t>
  </si>
  <si>
    <t>10_02_2021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</si>
</sst>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105.29890182924245</c:v>
                </c:pt>
                <c:pt idx="4">
                  <c:v>105.29890182924245</c:v>
                </c:pt>
                <c:pt idx="5">
                  <c:v>109.24468434362898</c:v>
                </c:pt>
                <c:pt idx="6">
                  <c:v>109.24468434362898</c:v>
                </c:pt>
                <c:pt idx="7">
                  <c:v>111.44042911969179</c:v>
                </c:pt>
                <c:pt idx="8">
                  <c:v>111.44042911969179</c:v>
                </c:pt>
                <c:pt idx="9">
                  <c:v>113.049182918651</c:v>
                </c:pt>
                <c:pt idx="10">
                  <c:v>113.049182918651</c:v>
                </c:pt>
                <c:pt idx="11">
                  <c:v>114.3583647366048</c:v>
                </c:pt>
                <c:pt idx="12">
                  <c:v>114.3583647366048</c:v>
                </c:pt>
                <c:pt idx="13">
                  <c:v>115.48885050477223</c:v>
                </c:pt>
                <c:pt idx="14">
                  <c:v>115.48885050477223</c:v>
                </c:pt>
                <c:pt idx="15">
                  <c:v>116.50441448413582</c:v>
                </c:pt>
                <c:pt idx="16">
                  <c:v>116.50441448413582</c:v>
                </c:pt>
                <c:pt idx="17">
                  <c:v>117.44381154591355</c:v>
                </c:pt>
                <c:pt idx="18">
                  <c:v>117.44381154591355</c:v>
                </c:pt>
                <c:pt idx="19">
                  <c:v>118.33326897387393</c:v>
                </c:pt>
                <c:pt idx="20">
                  <c:v>118.33326897387393</c:v>
                </c:pt>
                <c:pt idx="21">
                  <c:v>119.19231486506222</c:v>
                </c:pt>
                <c:pt idx="22">
                  <c:v>119.19231486506222</c:v>
                </c:pt>
                <c:pt idx="23">
                  <c:v>120.03693024022934</c:v>
                </c:pt>
                <c:pt idx="24">
                  <c:v>120.03693024022934</c:v>
                </c:pt>
                <c:pt idx="25">
                  <c:v>121.96101724319587</c:v>
                </c:pt>
                <c:pt idx="26">
                  <c:v>121.96101724319587</c:v>
                </c:pt>
                <c:pt idx="27">
                  <c:v>125.80919124912893</c:v>
                </c:pt>
                <c:pt idx="28">
                  <c:v>125.80919124912893</c:v>
                </c:pt>
                <c:pt idx="29">
                  <c:v>129.65736525506199</c:v>
                </c:pt>
                <c:pt idx="30">
                  <c:v>129.65736525506199</c:v>
                </c:pt>
                <c:pt idx="31">
                  <c:v>133.50553926099505</c:v>
                </c:pt>
                <c:pt idx="32">
                  <c:v>133.50553926099505</c:v>
                </c:pt>
                <c:pt idx="33">
                  <c:v>137.35371326692811</c:v>
                </c:pt>
                <c:pt idx="34">
                  <c:v>137.35371326692811</c:v>
                </c:pt>
                <c:pt idx="35">
                  <c:v>141.20188727286117</c:v>
                </c:pt>
                <c:pt idx="36">
                  <c:v>141.20188727286117</c:v>
                </c:pt>
                <c:pt idx="37">
                  <c:v>145.05006127879423</c:v>
                </c:pt>
                <c:pt idx="38">
                  <c:v>145.05006127879423</c:v>
                </c:pt>
                <c:pt idx="39">
                  <c:v>148.89823528472729</c:v>
                </c:pt>
                <c:pt idx="40">
                  <c:v>148.89823528472729</c:v>
                </c:pt>
                <c:pt idx="41">
                  <c:v>152.74640929066035</c:v>
                </c:pt>
                <c:pt idx="42">
                  <c:v>152.74640929066035</c:v>
                </c:pt>
                <c:pt idx="43">
                  <c:v>156.59458329659341</c:v>
                </c:pt>
                <c:pt idx="44">
                  <c:v>156.59458329659341</c:v>
                </c:pt>
                <c:pt idx="45">
                  <c:v>160.44275730252647</c:v>
                </c:pt>
                <c:pt idx="46">
                  <c:v>160.44275730252647</c:v>
                </c:pt>
                <c:pt idx="47">
                  <c:v>164.29093130845953</c:v>
                </c:pt>
                <c:pt idx="48">
                  <c:v>164.29093130845953</c:v>
                </c:pt>
                <c:pt idx="49">
                  <c:v>168.13910531439259</c:v>
                </c:pt>
                <c:pt idx="50">
                  <c:v>168.13910531439259</c:v>
                </c:pt>
                <c:pt idx="51">
                  <c:v>171.98727932032565</c:v>
                </c:pt>
                <c:pt idx="52">
                  <c:v>171.98727932032565</c:v>
                </c:pt>
                <c:pt idx="53">
                  <c:v>175.83545332625872</c:v>
                </c:pt>
                <c:pt idx="54">
                  <c:v>175.83545332625872</c:v>
                </c:pt>
                <c:pt idx="55">
                  <c:v>179.68362733219178</c:v>
                </c:pt>
                <c:pt idx="56">
                  <c:v>179.68362733219178</c:v>
                </c:pt>
                <c:pt idx="57">
                  <c:v>183.53180133812484</c:v>
                </c:pt>
                <c:pt idx="58">
                  <c:v>183.53180133812484</c:v>
                </c:pt>
                <c:pt idx="59">
                  <c:v>187.3799753440579</c:v>
                </c:pt>
                <c:pt idx="60">
                  <c:v>187.3799753440579</c:v>
                </c:pt>
                <c:pt idx="61">
                  <c:v>191.22814934999096</c:v>
                </c:pt>
                <c:pt idx="62">
                  <c:v>191.22814934999096</c:v>
                </c:pt>
                <c:pt idx="63">
                  <c:v>195.07632335592402</c:v>
                </c:pt>
                <c:pt idx="64">
                  <c:v>195.07632335592402</c:v>
                </c:pt>
                <c:pt idx="65">
                  <c:v>198.92449736185708</c:v>
                </c:pt>
                <c:pt idx="66">
                  <c:v>198.92449736185708</c:v>
                </c:pt>
                <c:pt idx="67">
                  <c:v>202.77267136779014</c:v>
                </c:pt>
                <c:pt idx="68">
                  <c:v>202.77267136779014</c:v>
                </c:pt>
                <c:pt idx="69">
                  <c:v>204.69675837075667</c:v>
                </c:pt>
                <c:pt idx="70">
                  <c:v>204.69675837075667</c:v>
                </c:pt>
                <c:pt idx="71">
                  <c:v>209.34171802502399</c:v>
                </c:pt>
                <c:pt idx="72">
                  <c:v>209.34171802502399</c:v>
                </c:pt>
                <c:pt idx="73">
                  <c:v>214.06603825770284</c:v>
                </c:pt>
                <c:pt idx="74">
                  <c:v>214.06603825770284</c:v>
                </c:pt>
                <c:pt idx="75">
                  <c:v>218.95760664319056</c:v>
                </c:pt>
                <c:pt idx="76">
                  <c:v>218.95760664319056</c:v>
                </c:pt>
                <c:pt idx="77">
                  <c:v>224.12381789103978</c:v>
                </c:pt>
                <c:pt idx="78">
                  <c:v>224.12381789103978</c:v>
                </c:pt>
                <c:pt idx="79">
                  <c:v>229.70890886755393</c:v>
                </c:pt>
                <c:pt idx="80">
                  <c:v>229.70890886755393</c:v>
                </c:pt>
                <c:pt idx="81">
                  <c:v>235.92601186762903</c:v>
                </c:pt>
                <c:pt idx="82">
                  <c:v>235.92601186762903</c:v>
                </c:pt>
                <c:pt idx="83">
                  <c:v>243.12585324311004</c:v>
                </c:pt>
                <c:pt idx="84">
                  <c:v>243.12585324311004</c:v>
                </c:pt>
                <c:pt idx="85">
                  <c:v>251.97318980543133</c:v>
                </c:pt>
                <c:pt idx="86">
                  <c:v>251.97318980543133</c:v>
                </c:pt>
                <c:pt idx="87">
                  <c:v>264.04868143836762</c:v>
                </c:pt>
                <c:pt idx="88">
                  <c:v>264.04868143836762</c:v>
                </c:pt>
                <c:pt idx="89">
                  <c:v>285.74850022299745</c:v>
                </c:pt>
                <c:pt idx="90">
                  <c:v>285.74850022299745</c:v>
                </c:pt>
                <c:pt idx="91">
                  <c:v>314.88979451199151</c:v>
                </c:pt>
                <c:pt idx="92">
                  <c:v>314.88979451199151</c:v>
                </c:pt>
                <c:pt idx="93">
                  <c:v>1171.9659017921501</c:v>
                </c:pt>
                <c:pt idx="94">
                  <c:v>1171.9659017921501</c:v>
                </c:pt>
                <c:pt idx="95">
                  <c:v>1175.4080649682983</c:v>
                </c:pt>
                <c:pt idx="96">
                  <c:v>1175.4080649682983</c:v>
                </c:pt>
                <c:pt idx="97">
                  <c:v>1177.9712427190461</c:v>
                </c:pt>
                <c:pt idx="98">
                  <c:v>1177.9712427190461</c:v>
                </c:pt>
                <c:pt idx="99">
                  <c:v>1179.397597095093</c:v>
                </c:pt>
                <c:pt idx="100">
                  <c:v>1179.397597095093</c:v>
                </c:pt>
                <c:pt idx="101">
                  <c:v>1180.4426425148263</c:v>
                </c:pt>
                <c:pt idx="102">
                  <c:v>1180.4426425148263</c:v>
                </c:pt>
                <c:pt idx="103">
                  <c:v>1181.2930861708635</c:v>
                </c:pt>
                <c:pt idx="104">
                  <c:v>1181.2930861708635</c:v>
                </c:pt>
                <c:pt idx="105">
                  <c:v>1182.0274489893764</c:v>
                </c:pt>
                <c:pt idx="106">
                  <c:v>1182.0274489893764</c:v>
                </c:pt>
                <c:pt idx="107">
                  <c:v>1182.6871586887514</c:v>
                </c:pt>
                <c:pt idx="108">
                  <c:v>1182.6871586887514</c:v>
                </c:pt>
                <c:pt idx="109">
                  <c:v>1183.2973904080841</c:v>
                </c:pt>
                <c:pt idx="110">
                  <c:v>1183.2973904080841</c:v>
                </c:pt>
                <c:pt idx="111">
                  <c:v>1183.8751813738236</c:v>
                </c:pt>
                <c:pt idx="112">
                  <c:v>1183.8751813738236</c:v>
                </c:pt>
                <c:pt idx="113">
                  <c:v>1184.4332170250884</c:v>
                </c:pt>
                <c:pt idx="114">
                  <c:v>1184.4332170250884</c:v>
                </c:pt>
                <c:pt idx="115">
                  <c:v>1184.9818786225471</c:v>
                </c:pt>
                <c:pt idx="116">
                  <c:v>1184.9818786225471</c:v>
                </c:pt>
                <c:pt idx="117">
                  <c:v>1185.2091513498199</c:v>
                </c:pt>
                <c:pt idx="118">
                  <c:v>1185.2091513498199</c:v>
                </c:pt>
                <c:pt idx="119">
                  <c:v>1185.6636968043654</c:v>
                </c:pt>
                <c:pt idx="120">
                  <c:v>1185.6636968043654</c:v>
                </c:pt>
                <c:pt idx="121">
                  <c:v>1186.1182422589109</c:v>
                </c:pt>
                <c:pt idx="122">
                  <c:v>1186.1182422589109</c:v>
                </c:pt>
                <c:pt idx="123">
                  <c:v>1186.5727877134564</c:v>
                </c:pt>
                <c:pt idx="124">
                  <c:v>1186.5727877134564</c:v>
                </c:pt>
                <c:pt idx="125">
                  <c:v>1187.0273331680019</c:v>
                </c:pt>
                <c:pt idx="126">
                  <c:v>1187.0273331680019</c:v>
                </c:pt>
                <c:pt idx="127">
                  <c:v>1187.4818786225474</c:v>
                </c:pt>
                <c:pt idx="128">
                  <c:v>1187.4818786225474</c:v>
                </c:pt>
                <c:pt idx="129">
                  <c:v>1187.9364240770929</c:v>
                </c:pt>
                <c:pt idx="130">
                  <c:v>1187.9364240770929</c:v>
                </c:pt>
                <c:pt idx="131">
                  <c:v>1188.3909695316383</c:v>
                </c:pt>
                <c:pt idx="132">
                  <c:v>1188.3909695316383</c:v>
                </c:pt>
                <c:pt idx="133">
                  <c:v>1188.8455149861838</c:v>
                </c:pt>
                <c:pt idx="134">
                  <c:v>1188.8455149861838</c:v>
                </c:pt>
                <c:pt idx="135">
                  <c:v>1189.3000604407293</c:v>
                </c:pt>
                <c:pt idx="136">
                  <c:v>1189.3000604407293</c:v>
                </c:pt>
                <c:pt idx="137">
                  <c:v>1189.7546058952748</c:v>
                </c:pt>
                <c:pt idx="138">
                  <c:v>1189.7546058952748</c:v>
                </c:pt>
                <c:pt idx="139">
                  <c:v>1190.2091513498203</c:v>
                </c:pt>
                <c:pt idx="140">
                  <c:v>1190.2091513498203</c:v>
                </c:pt>
                <c:pt idx="141">
                  <c:v>1190.6636968043658</c:v>
                </c:pt>
                <c:pt idx="142">
                  <c:v>1190.6636968043658</c:v>
                </c:pt>
                <c:pt idx="143">
                  <c:v>1191.1182422589113</c:v>
                </c:pt>
                <c:pt idx="144">
                  <c:v>1191.1182422589113</c:v>
                </c:pt>
                <c:pt idx="145">
                  <c:v>1191.5727877134568</c:v>
                </c:pt>
                <c:pt idx="146">
                  <c:v>1191.5727877134568</c:v>
                </c:pt>
                <c:pt idx="147">
                  <c:v>1192.0273331680023</c:v>
                </c:pt>
                <c:pt idx="148">
                  <c:v>1192.0273331680023</c:v>
                </c:pt>
                <c:pt idx="149">
                  <c:v>1192.4818786225478</c:v>
                </c:pt>
                <c:pt idx="150">
                  <c:v>1192.4818786225478</c:v>
                </c:pt>
                <c:pt idx="151">
                  <c:v>1192.9364240770933</c:v>
                </c:pt>
                <c:pt idx="152">
                  <c:v>1192.9364240770933</c:v>
                </c:pt>
                <c:pt idx="153">
                  <c:v>1193.3909695316388</c:v>
                </c:pt>
                <c:pt idx="154">
                  <c:v>1193.3909695316388</c:v>
                </c:pt>
                <c:pt idx="155">
                  <c:v>1193.8455149861843</c:v>
                </c:pt>
                <c:pt idx="156">
                  <c:v>1193.8455149861843</c:v>
                </c:pt>
                <c:pt idx="157">
                  <c:v>1194.3000604407298</c:v>
                </c:pt>
                <c:pt idx="158">
                  <c:v>1194.3000604407298</c:v>
                </c:pt>
                <c:pt idx="159">
                  <c:v>1194.7546058952753</c:v>
                </c:pt>
                <c:pt idx="160">
                  <c:v>1194.7546058952753</c:v>
                </c:pt>
                <c:pt idx="161">
                  <c:v>1194.981878622548</c:v>
                </c:pt>
                <c:pt idx="162">
                  <c:v>1194.981878622548</c:v>
                </c:pt>
                <c:pt idx="163">
                  <c:v>1195.2562094212774</c:v>
                </c:pt>
                <c:pt idx="164">
                  <c:v>1195.2562094212774</c:v>
                </c:pt>
                <c:pt idx="165">
                  <c:v>1195.5352272469097</c:v>
                </c:pt>
                <c:pt idx="166">
                  <c:v>1195.5352272469097</c:v>
                </c:pt>
                <c:pt idx="167">
                  <c:v>1195.8241227297794</c:v>
                </c:pt>
                <c:pt idx="168">
                  <c:v>1195.8241227297794</c:v>
                </c:pt>
                <c:pt idx="169">
                  <c:v>1196.1292385894458</c:v>
                </c:pt>
                <c:pt idx="170">
                  <c:v>1196.1292385894458</c:v>
                </c:pt>
                <c:pt idx="171">
                  <c:v>1196.4590934391333</c:v>
                </c:pt>
                <c:pt idx="172">
                  <c:v>1196.4590934391333</c:v>
                </c:pt>
                <c:pt idx="173">
                  <c:v>1196.8262748483899</c:v>
                </c:pt>
                <c:pt idx="174">
                  <c:v>1196.8262748483899</c:v>
                </c:pt>
                <c:pt idx="175">
                  <c:v>1197.2514966764086</c:v>
                </c:pt>
                <c:pt idx="176">
                  <c:v>1197.2514966764086</c:v>
                </c:pt>
                <c:pt idx="177">
                  <c:v>1197.7740193862753</c:v>
                </c:pt>
                <c:pt idx="178">
                  <c:v>1197.7740193862753</c:v>
                </c:pt>
                <c:pt idx="179">
                  <c:v>1198.4871965742989</c:v>
                </c:pt>
                <c:pt idx="180">
                  <c:v>1198.4871965742989</c:v>
                </c:pt>
                <c:pt idx="181">
                  <c:v>1199.7687854496728</c:v>
                </c:pt>
                <c:pt idx="182">
                  <c:v>1199.7687854496728</c:v>
                </c:pt>
                <c:pt idx="183">
                  <c:v>1201.489867037747</c:v>
                </c:pt>
                <c:pt idx="184">
                  <c:v>1201.489867037747</c:v>
                </c:pt>
                <c:pt idx="185">
                  <c:v>1211.7876698224079</c:v>
                </c:pt>
                <c:pt idx="186">
                  <c:v>1211.7876698224079</c:v>
                </c:pt>
                <c:pt idx="187">
                  <c:v>1213.5087514104821</c:v>
                </c:pt>
                <c:pt idx="188">
                  <c:v>1213.5087514104821</c:v>
                </c:pt>
                <c:pt idx="189">
                  <c:v>1214.790340285856</c:v>
                </c:pt>
                <c:pt idx="190">
                  <c:v>1214.790340285856</c:v>
                </c:pt>
                <c:pt idx="191">
                  <c:v>1215.5035174738796</c:v>
                </c:pt>
                <c:pt idx="192">
                  <c:v>1215.5035174738796</c:v>
                </c:pt>
                <c:pt idx="193">
                  <c:v>1216.0260401837463</c:v>
                </c:pt>
                <c:pt idx="194">
                  <c:v>1216.0260401837463</c:v>
                </c:pt>
                <c:pt idx="195">
                  <c:v>1216.451262011765</c:v>
                </c:pt>
                <c:pt idx="196">
                  <c:v>1216.451262011765</c:v>
                </c:pt>
                <c:pt idx="197">
                  <c:v>1216.8184434210216</c:v>
                </c:pt>
                <c:pt idx="198">
                  <c:v>1216.8184434210216</c:v>
                </c:pt>
                <c:pt idx="199">
                  <c:v>1217.1482982707091</c:v>
                </c:pt>
                <c:pt idx="200">
                  <c:v>1217.1482982707091</c:v>
                </c:pt>
                <c:pt idx="201">
                  <c:v>1217.4534141303754</c:v>
                </c:pt>
                <c:pt idx="202">
                  <c:v>1217.4534141303754</c:v>
                </c:pt>
                <c:pt idx="203">
                  <c:v>1217.7423096132452</c:v>
                </c:pt>
                <c:pt idx="204">
                  <c:v>1217.7423096132452</c:v>
                </c:pt>
                <c:pt idx="205">
                  <c:v>1218.0213274388775</c:v>
                </c:pt>
                <c:pt idx="206">
                  <c:v>1218.0213274388775</c:v>
                </c:pt>
                <c:pt idx="207">
                  <c:v>1218.2956582376069</c:v>
                </c:pt>
                <c:pt idx="208">
                  <c:v>1218.2956582376069</c:v>
                </c:pt>
                <c:pt idx="209">
                  <c:v>1218.5699890363362</c:v>
                </c:pt>
                <c:pt idx="210">
                  <c:v>1218.5699890363362</c:v>
                </c:pt>
                <c:pt idx="211">
                  <c:v>1218.8490068619685</c:v>
                </c:pt>
                <c:pt idx="212">
                  <c:v>1218.8490068619685</c:v>
                </c:pt>
                <c:pt idx="213">
                  <c:v>1219.1379023448383</c:v>
                </c:pt>
                <c:pt idx="214">
                  <c:v>1219.1379023448383</c:v>
                </c:pt>
                <c:pt idx="215">
                  <c:v>1219.4430182045046</c:v>
                </c:pt>
                <c:pt idx="216">
                  <c:v>1219.4430182045046</c:v>
                </c:pt>
                <c:pt idx="217">
                  <c:v>1219.7728730541921</c:v>
                </c:pt>
                <c:pt idx="218">
                  <c:v>1219.7728730541921</c:v>
                </c:pt>
                <c:pt idx="219">
                  <c:v>1220.1400544634487</c:v>
                </c:pt>
                <c:pt idx="220">
                  <c:v>1220.1400544634487</c:v>
                </c:pt>
                <c:pt idx="221">
                  <c:v>1220.5652762914674</c:v>
                </c:pt>
                <c:pt idx="222">
                  <c:v>1220.5652762914674</c:v>
                </c:pt>
                <c:pt idx="223">
                  <c:v>1221.0877990013341</c:v>
                </c:pt>
                <c:pt idx="224">
                  <c:v>1221.0877990013341</c:v>
                </c:pt>
                <c:pt idx="225">
                  <c:v>1221.8009761893577</c:v>
                </c:pt>
                <c:pt idx="226">
                  <c:v>1221.8009761893577</c:v>
                </c:pt>
                <c:pt idx="227">
                  <c:v>1223.0825650647316</c:v>
                </c:pt>
                <c:pt idx="228">
                  <c:v>1223.0825650647316</c:v>
                </c:pt>
                <c:pt idx="229">
                  <c:v>1224.8036466528058</c:v>
                </c:pt>
                <c:pt idx="230">
                  <c:v>1224.8036466528058</c:v>
                </c:pt>
                <c:pt idx="231">
                  <c:v>1324.8036466528058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8.3135081041934727E-9</c:v>
                </c:pt>
                <c:pt idx="3">
                  <c:v>8.3135081041934727E-9</c:v>
                </c:pt>
                <c:pt idx="4">
                  <c:v>6.8480770660811605E-8</c:v>
                </c:pt>
                <c:pt idx="5">
                  <c:v>6.8480770660811605E-8</c:v>
                </c:pt>
                <c:pt idx="6">
                  <c:v>1.5552175045281579E-7</c:v>
                </c:pt>
                <c:pt idx="7">
                  <c:v>1.5552175045281579E-7</c:v>
                </c:pt>
                <c:pt idx="8">
                  <c:v>2.5401317275400549E-7</c:v>
                </c:pt>
                <c:pt idx="9">
                  <c:v>2.5401317275400549E-7</c:v>
                </c:pt>
                <c:pt idx="10">
                  <c:v>3.5795611351445863E-7</c:v>
                </c:pt>
                <c:pt idx="11">
                  <c:v>3.5795611351445863E-7</c:v>
                </c:pt>
                <c:pt idx="12">
                  <c:v>4.6460431292215507E-7</c:v>
                </c:pt>
                <c:pt idx="13">
                  <c:v>4.6460431292215507E-7</c:v>
                </c:pt>
                <c:pt idx="14">
                  <c:v>5.7258872875463596E-7</c:v>
                </c:pt>
                <c:pt idx="15">
                  <c:v>5.7258872875463596E-7</c:v>
                </c:pt>
                <c:pt idx="16">
                  <c:v>6.8120222442184184E-7</c:v>
                </c:pt>
                <c:pt idx="17">
                  <c:v>6.8120222442184184E-7</c:v>
                </c:pt>
                <c:pt idx="18">
                  <c:v>7.9008242204586148E-7</c:v>
                </c:pt>
                <c:pt idx="19">
                  <c:v>7.9008242204586148E-7</c:v>
                </c:pt>
                <c:pt idx="20">
                  <c:v>8.990550042875943E-7</c:v>
                </c:pt>
                <c:pt idx="21">
                  <c:v>8.990550042875943E-7</c:v>
                </c:pt>
                <c:pt idx="22">
                  <c:v>1.0080489046339115E-6</c:v>
                </c:pt>
                <c:pt idx="23">
                  <c:v>1.0080489046339115E-6</c:v>
                </c:pt>
                <c:pt idx="24">
                  <c:v>1.1838355380078769E-6</c:v>
                </c:pt>
                <c:pt idx="25">
                  <c:v>1.1838355380078769E-6</c:v>
                </c:pt>
                <c:pt idx="26">
                  <c:v>1.5304620675542782E-6</c:v>
                </c:pt>
                <c:pt idx="27">
                  <c:v>1.5304620675542782E-6</c:v>
                </c:pt>
                <c:pt idx="28">
                  <c:v>1.8661381360018595E-6</c:v>
                </c:pt>
                <c:pt idx="29">
                  <c:v>1.8661381360018595E-6</c:v>
                </c:pt>
                <c:pt idx="30">
                  <c:v>2.0364657564173486E-6</c:v>
                </c:pt>
                <c:pt idx="31">
                  <c:v>2.0364657564173486E-6</c:v>
                </c:pt>
                <c:pt idx="32">
                  <c:v>2.0971964594417056E-6</c:v>
                </c:pt>
                <c:pt idx="33">
                  <c:v>2.0971964594417056E-6</c:v>
                </c:pt>
                <c:pt idx="34">
                  <c:v>2.1112116703224519E-6</c:v>
                </c:pt>
                <c:pt idx="35">
                  <c:v>2.1112116703224519E-6</c:v>
                </c:pt>
                <c:pt idx="36">
                  <c:v>2.1115026516023129E-6</c:v>
                </c:pt>
                <c:pt idx="37">
                  <c:v>2.1115026516023129E-6</c:v>
                </c:pt>
                <c:pt idx="38">
                  <c:v>2.1086306041054061E-6</c:v>
                </c:pt>
                <c:pt idx="39">
                  <c:v>2.1086306041054061E-6</c:v>
                </c:pt>
                <c:pt idx="40">
                  <c:v>2.1047849695195062E-6</c:v>
                </c:pt>
                <c:pt idx="41">
                  <c:v>2.1047849695195062E-6</c:v>
                </c:pt>
                <c:pt idx="42">
                  <c:v>2.1002294838886542E-6</c:v>
                </c:pt>
                <c:pt idx="43">
                  <c:v>2.1002294838886542E-6</c:v>
                </c:pt>
                <c:pt idx="44">
                  <c:v>2.0949404193364028E-6</c:v>
                </c:pt>
                <c:pt idx="45">
                  <c:v>2.0949404193364028E-6</c:v>
                </c:pt>
                <c:pt idx="46">
                  <c:v>2.0888726134333354E-6</c:v>
                </c:pt>
                <c:pt idx="47">
                  <c:v>2.0888726134333354E-6</c:v>
                </c:pt>
                <c:pt idx="48">
                  <c:v>2.0819907674412171E-6</c:v>
                </c:pt>
                <c:pt idx="49">
                  <c:v>2.0819907674412171E-6</c:v>
                </c:pt>
                <c:pt idx="50">
                  <c:v>2.0742744903301177E-6</c:v>
                </c:pt>
                <c:pt idx="51">
                  <c:v>2.0742744903301177E-6</c:v>
                </c:pt>
                <c:pt idx="52">
                  <c:v>2.0657210544227646E-6</c:v>
                </c:pt>
                <c:pt idx="53">
                  <c:v>2.0657210544227646E-6</c:v>
                </c:pt>
                <c:pt idx="54">
                  <c:v>2.056347521373453E-6</c:v>
                </c:pt>
                <c:pt idx="55">
                  <c:v>2.056347521373453E-6</c:v>
                </c:pt>
                <c:pt idx="56">
                  <c:v>2.0461921488530209E-6</c:v>
                </c:pt>
                <c:pt idx="57">
                  <c:v>2.0461921488530209E-6</c:v>
                </c:pt>
                <c:pt idx="58">
                  <c:v>2.0353149248701639E-6</c:v>
                </c:pt>
                <c:pt idx="59">
                  <c:v>2.0353149248701639E-6</c:v>
                </c:pt>
                <c:pt idx="60">
                  <c:v>2.0237971195577083E-6</c:v>
                </c:pt>
                <c:pt idx="61">
                  <c:v>2.0237971195577083E-6</c:v>
                </c:pt>
                <c:pt idx="62">
                  <c:v>2.0117398033017553E-6</c:v>
                </c:pt>
                <c:pt idx="63">
                  <c:v>2.0117398033017553E-6</c:v>
                </c:pt>
                <c:pt idx="64">
                  <c:v>1.9992613473998937E-6</c:v>
                </c:pt>
                <c:pt idx="65">
                  <c:v>1.9992613473998937E-6</c:v>
                </c:pt>
                <c:pt idx="66">
                  <c:v>1.9864939930934689E-6</c:v>
                </c:pt>
                <c:pt idx="67">
                  <c:v>1.9864939930934689E-6</c:v>
                </c:pt>
                <c:pt idx="68">
                  <c:v>1.9768140188657377E-6</c:v>
                </c:pt>
                <c:pt idx="69">
                  <c:v>1.9768140188657377E-6</c:v>
                </c:pt>
                <c:pt idx="70">
                  <c:v>1.9658084500916729E-6</c:v>
                </c:pt>
                <c:pt idx="71">
                  <c:v>1.9658084500916729E-6</c:v>
                </c:pt>
                <c:pt idx="72">
                  <c:v>1.9502664085251133E-6</c:v>
                </c:pt>
                <c:pt idx="73">
                  <c:v>1.9502664085251133E-6</c:v>
                </c:pt>
                <c:pt idx="74">
                  <c:v>1.9347274068246979E-6</c:v>
                </c:pt>
                <c:pt idx="75">
                  <c:v>1.9347274068246979E-6</c:v>
                </c:pt>
                <c:pt idx="76">
                  <c:v>1.9192015787566052E-6</c:v>
                </c:pt>
                <c:pt idx="77">
                  <c:v>1.9192015787566052E-6</c:v>
                </c:pt>
                <c:pt idx="78">
                  <c:v>1.9037137811919218E-6</c:v>
                </c:pt>
                <c:pt idx="79">
                  <c:v>1.9037137811919218E-6</c:v>
                </c:pt>
                <c:pt idx="80">
                  <c:v>1.888315687591487E-6</c:v>
                </c:pt>
                <c:pt idx="81">
                  <c:v>1.888315687591487E-6</c:v>
                </c:pt>
                <c:pt idx="82">
                  <c:v>1.8731081324629293E-6</c:v>
                </c:pt>
                <c:pt idx="83">
                  <c:v>1.8731081324629293E-6</c:v>
                </c:pt>
                <c:pt idx="84">
                  <c:v>1.8582863350897151E-6</c:v>
                </c:pt>
                <c:pt idx="85">
                  <c:v>1.8582863350897151E-6</c:v>
                </c:pt>
                <c:pt idx="86">
                  <c:v>1.8442418998094763E-6</c:v>
                </c:pt>
                <c:pt idx="87">
                  <c:v>1.8442418998094763E-6</c:v>
                </c:pt>
                <c:pt idx="88">
                  <c:v>1.8318302462983805E-6</c:v>
                </c:pt>
                <c:pt idx="89">
                  <c:v>1.8318302462983805E-6</c:v>
                </c:pt>
                <c:pt idx="90">
                  <c:v>1.8232506643893948E-6</c:v>
                </c:pt>
                <c:pt idx="91">
                  <c:v>1.8232506643893948E-6</c:v>
                </c:pt>
                <c:pt idx="92">
                  <c:v>1.8220651954034354E-6</c:v>
                </c:pt>
                <c:pt idx="93">
                  <c:v>1.8220651954034354E-6</c:v>
                </c:pt>
                <c:pt idx="94">
                  <c:v>1.8182382778520881E-6</c:v>
                </c:pt>
                <c:pt idx="95">
                  <c:v>1.8182382778520881E-6</c:v>
                </c:pt>
                <c:pt idx="96">
                  <c:v>1.7905417687239747E-6</c:v>
                </c:pt>
                <c:pt idx="97">
                  <c:v>1.7905417687239747E-6</c:v>
                </c:pt>
                <c:pt idx="98">
                  <c:v>1.7504746094600699E-6</c:v>
                </c:pt>
                <c:pt idx="99">
                  <c:v>1.7504746094600699E-6</c:v>
                </c:pt>
                <c:pt idx="100">
                  <c:v>1.7051365225853541E-6</c:v>
                </c:pt>
                <c:pt idx="101">
                  <c:v>1.7051365225853541E-6</c:v>
                </c:pt>
                <c:pt idx="102">
                  <c:v>1.6572889642081416E-6</c:v>
                </c:pt>
                <c:pt idx="103">
                  <c:v>1.6572889642081416E-6</c:v>
                </c:pt>
                <c:pt idx="104">
                  <c:v>1.608196107015036E-6</c:v>
                </c:pt>
                <c:pt idx="105">
                  <c:v>1.608196107015036E-6</c:v>
                </c:pt>
                <c:pt idx="106">
                  <c:v>1.5584881556854579E-6</c:v>
                </c:pt>
                <c:pt idx="107">
                  <c:v>1.5584881556854579E-6</c:v>
                </c:pt>
                <c:pt idx="108">
                  <c:v>1.5084906230346693E-6</c:v>
                </c:pt>
                <c:pt idx="109">
                  <c:v>1.5084906230346693E-6</c:v>
                </c:pt>
                <c:pt idx="110">
                  <c:v>1.4583703207435895E-6</c:v>
                </c:pt>
                <c:pt idx="111">
                  <c:v>1.4583703207435895E-6</c:v>
                </c:pt>
                <c:pt idx="112">
                  <c:v>1.4082074914818771E-6</c:v>
                </c:pt>
                <c:pt idx="113">
                  <c:v>1.4082074914818771E-6</c:v>
                </c:pt>
                <c:pt idx="114">
                  <c:v>1.3580348489587144E-6</c:v>
                </c:pt>
                <c:pt idx="115">
                  <c:v>1.3580348489587144E-6</c:v>
                </c:pt>
                <c:pt idx="116">
                  <c:v>1.3225106023902244E-6</c:v>
                </c:pt>
                <c:pt idx="117">
                  <c:v>1.3225106023902244E-6</c:v>
                </c:pt>
                <c:pt idx="118">
                  <c:v>1.2912662063765799E-6</c:v>
                </c:pt>
                <c:pt idx="119">
                  <c:v>1.2912662063765799E-6</c:v>
                </c:pt>
                <c:pt idx="120">
                  <c:v>1.2500644983275659E-6</c:v>
                </c:pt>
                <c:pt idx="121">
                  <c:v>1.2500644983275659E-6</c:v>
                </c:pt>
                <c:pt idx="122">
                  <c:v>1.2098158708612479E-6</c:v>
                </c:pt>
                <c:pt idx="123">
                  <c:v>1.2098158708612479E-6</c:v>
                </c:pt>
                <c:pt idx="124">
                  <c:v>1.1709739419417849E-6</c:v>
                </c:pt>
                <c:pt idx="125">
                  <c:v>1.1709739419417849E-6</c:v>
                </c:pt>
                <c:pt idx="126">
                  <c:v>1.1339773201121999E-6</c:v>
                </c:pt>
                <c:pt idx="127">
                  <c:v>1.1339773201121999E-6</c:v>
                </c:pt>
                <c:pt idx="128">
                  <c:v>1.0992655912283237E-6</c:v>
                </c:pt>
                <c:pt idx="129">
                  <c:v>1.0992655912283237E-6</c:v>
                </c:pt>
                <c:pt idx="130">
                  <c:v>1.0673165945351783E-6</c:v>
                </c:pt>
                <c:pt idx="131">
                  <c:v>1.0673165945351783E-6</c:v>
                </c:pt>
                <c:pt idx="132">
                  <c:v>1.0387119420852871E-6</c:v>
                </c:pt>
                <c:pt idx="133">
                  <c:v>1.0387119420852871E-6</c:v>
                </c:pt>
                <c:pt idx="134">
                  <c:v>1.0142353430086302E-6</c:v>
                </c:pt>
                <c:pt idx="135">
                  <c:v>1.0142353430086302E-6</c:v>
                </c:pt>
                <c:pt idx="136">
                  <c:v>9.9500155020472269E-7</c:v>
                </c:pt>
                <c:pt idx="137">
                  <c:v>9.9500155020472269E-7</c:v>
                </c:pt>
                <c:pt idx="138">
                  <c:v>9.8260143185214048E-7</c:v>
                </c:pt>
                <c:pt idx="139">
                  <c:v>9.8260143185214048E-7</c:v>
                </c:pt>
                <c:pt idx="140">
                  <c:v>9.7923142274310405E-7</c:v>
                </c:pt>
                <c:pt idx="141">
                  <c:v>9.7923142274310405E-7</c:v>
                </c:pt>
                <c:pt idx="142">
                  <c:v>9.8775729377195817E-7</c:v>
                </c:pt>
                <c:pt idx="143">
                  <c:v>9.8775729377195817E-7</c:v>
                </c:pt>
                <c:pt idx="144">
                  <c:v>1.0116503734811152E-6</c:v>
                </c:pt>
                <c:pt idx="145">
                  <c:v>1.0116503734811152E-6</c:v>
                </c:pt>
                <c:pt idx="146">
                  <c:v>1.0547389116116569E-6</c:v>
                </c:pt>
                <c:pt idx="147">
                  <c:v>1.0547389116116569E-6</c:v>
                </c:pt>
                <c:pt idx="148">
                  <c:v>1.1207463981038847E-6</c:v>
                </c:pt>
                <c:pt idx="149">
                  <c:v>1.1207463981038847E-6</c:v>
                </c:pt>
                <c:pt idx="150">
                  <c:v>1.2126434267868568E-6</c:v>
                </c:pt>
                <c:pt idx="151">
                  <c:v>1.2126434267868568E-6</c:v>
                </c:pt>
                <c:pt idx="152">
                  <c:v>1.3319095898563891E-6</c:v>
                </c:pt>
                <c:pt idx="153">
                  <c:v>1.3319095898563891E-6</c:v>
                </c:pt>
                <c:pt idx="154">
                  <c:v>1.4778646240775565E-6</c:v>
                </c:pt>
                <c:pt idx="155">
                  <c:v>1.4778646240775565E-6</c:v>
                </c:pt>
                <c:pt idx="156">
                  <c:v>1.6472559742301444E-6</c:v>
                </c:pt>
                <c:pt idx="157">
                  <c:v>1.6472559742301444E-6</c:v>
                </c:pt>
                <c:pt idx="158">
                  <c:v>1.8342619501366819E-6</c:v>
                </c:pt>
                <c:pt idx="159">
                  <c:v>1.8342619501366819E-6</c:v>
                </c:pt>
                <c:pt idx="160">
                  <c:v>1.9813780323264602E-6</c:v>
                </c:pt>
                <c:pt idx="161">
                  <c:v>1.9813780323264602E-6</c:v>
                </c:pt>
                <c:pt idx="162">
                  <c:v>2.0823394542220977E-6</c:v>
                </c:pt>
                <c:pt idx="163">
                  <c:v>2.0823394542220977E-6</c:v>
                </c:pt>
                <c:pt idx="164">
                  <c:v>2.2031849623988735E-6</c:v>
                </c:pt>
                <c:pt idx="165">
                  <c:v>2.2031849623988735E-6</c:v>
                </c:pt>
                <c:pt idx="166">
                  <c:v>2.3240068344164358E-6</c:v>
                </c:pt>
                <c:pt idx="167">
                  <c:v>2.3240068344164358E-6</c:v>
                </c:pt>
                <c:pt idx="168">
                  <c:v>2.4447262762425861E-6</c:v>
                </c:pt>
                <c:pt idx="169">
                  <c:v>2.4447262762425861E-6</c:v>
                </c:pt>
                <c:pt idx="170">
                  <c:v>2.5651500158927381E-6</c:v>
                </c:pt>
                <c:pt idx="171">
                  <c:v>2.5651500158927381E-6</c:v>
                </c:pt>
                <c:pt idx="172">
                  <c:v>2.6848762718115108E-6</c:v>
                </c:pt>
                <c:pt idx="173">
                  <c:v>2.6848762718115108E-6</c:v>
                </c:pt>
                <c:pt idx="174">
                  <c:v>2.803121015899125E-6</c:v>
                </c:pt>
                <c:pt idx="175">
                  <c:v>2.803121015899125E-6</c:v>
                </c:pt>
                <c:pt idx="176">
                  <c:v>2.9183663411666309E-6</c:v>
                </c:pt>
                <c:pt idx="177">
                  <c:v>2.9183663411666309E-6</c:v>
                </c:pt>
                <c:pt idx="178">
                  <c:v>3.0275673693087792E-6</c:v>
                </c:pt>
                <c:pt idx="179">
                  <c:v>3.0275673693087792E-6</c:v>
                </c:pt>
                <c:pt idx="180">
                  <c:v>3.1240728746787833E-6</c:v>
                </c:pt>
                <c:pt idx="181">
                  <c:v>3.1240728746787833E-6</c:v>
                </c:pt>
                <c:pt idx="182">
                  <c:v>3.1907825106873794E-6</c:v>
                </c:pt>
                <c:pt idx="183">
                  <c:v>3.1907825106873794E-6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3.1957055663356807E-6</c:v>
                </c:pt>
                <c:pt idx="187">
                  <c:v>3.1957055663356807E-6</c:v>
                </c:pt>
                <c:pt idx="188">
                  <c:v>3.1646255078844549E-6</c:v>
                </c:pt>
                <c:pt idx="189">
                  <c:v>3.1646255078844549E-6</c:v>
                </c:pt>
                <c:pt idx="190">
                  <c:v>3.1196635364628398E-6</c:v>
                </c:pt>
                <c:pt idx="191">
                  <c:v>3.1196635364628398E-6</c:v>
                </c:pt>
                <c:pt idx="192">
                  <c:v>3.0687867135529593E-6</c:v>
                </c:pt>
                <c:pt idx="193">
                  <c:v>3.0687867135529593E-6</c:v>
                </c:pt>
                <c:pt idx="194">
                  <c:v>3.015093849075583E-6</c:v>
                </c:pt>
                <c:pt idx="195">
                  <c:v>3.015093849075583E-6</c:v>
                </c:pt>
                <c:pt idx="196">
                  <c:v>2.9600035536148232E-6</c:v>
                </c:pt>
                <c:pt idx="197">
                  <c:v>2.9600035536148232E-6</c:v>
                </c:pt>
                <c:pt idx="198">
                  <c:v>2.904223020925027E-6</c:v>
                </c:pt>
                <c:pt idx="199">
                  <c:v>2.904223020925027E-6</c:v>
                </c:pt>
                <c:pt idx="200">
                  <c:v>2.8481175301566521E-6</c:v>
                </c:pt>
                <c:pt idx="201">
                  <c:v>2.8481175301566521E-6</c:v>
                </c:pt>
                <c:pt idx="202">
                  <c:v>2.791874271571451E-6</c:v>
                </c:pt>
                <c:pt idx="203">
                  <c:v>2.791874271571451E-6</c:v>
                </c:pt>
                <c:pt idx="204">
                  <c:v>2.7355832907001344E-6</c:v>
                </c:pt>
                <c:pt idx="205">
                  <c:v>2.7355832907001344E-6</c:v>
                </c:pt>
                <c:pt idx="206">
                  <c:v>2.6792812977284095E-6</c:v>
                </c:pt>
                <c:pt idx="207">
                  <c:v>2.6792812977284095E-6</c:v>
                </c:pt>
                <c:pt idx="208">
                  <c:v>2.6229780776854336E-6</c:v>
                </c:pt>
                <c:pt idx="209">
                  <c:v>2.6229780776854336E-6</c:v>
                </c:pt>
                <c:pt idx="210">
                  <c:v>2.5666760847137087E-6</c:v>
                </c:pt>
                <c:pt idx="211">
                  <c:v>2.5666760847137087E-6</c:v>
                </c:pt>
                <c:pt idx="212">
                  <c:v>2.510385103842392E-6</c:v>
                </c:pt>
                <c:pt idx="213">
                  <c:v>2.510385103842392E-6</c:v>
                </c:pt>
                <c:pt idx="214">
                  <c:v>2.454141845257191E-6</c:v>
                </c:pt>
                <c:pt idx="215">
                  <c:v>2.454141845257191E-6</c:v>
                </c:pt>
                <c:pt idx="216">
                  <c:v>2.3980363544888161E-6</c:v>
                </c:pt>
                <c:pt idx="217">
                  <c:v>2.3980363544888161E-6</c:v>
                </c:pt>
                <c:pt idx="218">
                  <c:v>2.3422558217990199E-6</c:v>
                </c:pt>
                <c:pt idx="219">
                  <c:v>2.3422558217990199E-6</c:v>
                </c:pt>
                <c:pt idx="220">
                  <c:v>2.28716552633826E-6</c:v>
                </c:pt>
                <c:pt idx="221">
                  <c:v>2.28716552633826E-6</c:v>
                </c:pt>
                <c:pt idx="222">
                  <c:v>2.2334726618608838E-6</c:v>
                </c:pt>
                <c:pt idx="223">
                  <c:v>2.2334726618608838E-6</c:v>
                </c:pt>
                <c:pt idx="224">
                  <c:v>2.1825958389510033E-6</c:v>
                </c:pt>
                <c:pt idx="225">
                  <c:v>2.1825958389510033E-6</c:v>
                </c:pt>
                <c:pt idx="226">
                  <c:v>2.1376338675293882E-6</c:v>
                </c:pt>
                <c:pt idx="227">
                  <c:v>2.1376338675293882E-6</c:v>
                </c:pt>
                <c:pt idx="228">
                  <c:v>2.1065538090781624E-6</c:v>
                </c:pt>
                <c:pt idx="229">
                  <c:v>2.1065538090781624E-6</c:v>
                </c:pt>
                <c:pt idx="230">
                  <c:v>2.1022593754138432E-6</c:v>
                </c:pt>
                <c:pt idx="231">
                  <c:v>2.1022593754138432E-6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7.9418057448799994E-3</c:v>
                </c:pt>
                <c:pt idx="1">
                  <c:v>8.0212238023300002E-3</c:v>
                </c:pt>
                <c:pt idx="2">
                  <c:v>8.1014360403499994E-3</c:v>
                </c:pt>
                <c:pt idx="3">
                  <c:v>8.1824504007600007E-3</c:v>
                </c:pt>
                <c:pt idx="4">
                  <c:v>8.2642749047700005E-3</c:v>
                </c:pt>
                <c:pt idx="5">
                  <c:v>8.3469176538099998E-3</c:v>
                </c:pt>
                <c:pt idx="6">
                  <c:v>8.4303868303500003E-3</c:v>
                </c:pt>
                <c:pt idx="7">
                  <c:v>8.5146906986500008E-3</c:v>
                </c:pt>
                <c:pt idx="8">
                  <c:v>8.5998376056400008E-3</c:v>
                </c:pt>
                <c:pt idx="9">
                  <c:v>8.6858359817000002E-3</c:v>
                </c:pt>
                <c:pt idx="10">
                  <c:v>8.7726943415100001E-3</c:v>
                </c:pt>
                <c:pt idx="11">
                  <c:v>8.86042128493E-3</c:v>
                </c:pt>
                <c:pt idx="12">
                  <c:v>8.9490254977800006E-3</c:v>
                </c:pt>
                <c:pt idx="13">
                  <c:v>9.0385157527600006E-3</c:v>
                </c:pt>
                <c:pt idx="14">
                  <c:v>9.1289009102799995E-3</c:v>
                </c:pt>
                <c:pt idx="15">
                  <c:v>9.2201899193900001E-3</c:v>
                </c:pt>
                <c:pt idx="16">
                  <c:v>9.3123918185800004E-3</c:v>
                </c:pt>
                <c:pt idx="17">
                  <c:v>9.4055157367700006E-3</c:v>
                </c:pt>
                <c:pt idx="18">
                  <c:v>9.4995708941299998E-3</c:v>
                </c:pt>
                <c:pt idx="19">
                  <c:v>9.5945666030799997E-3</c:v>
                </c:pt>
                <c:pt idx="20">
                  <c:v>9.69051226911E-3</c:v>
                </c:pt>
                <c:pt idx="21">
                  <c:v>9.7874173918000001E-3</c:v>
                </c:pt>
                <c:pt idx="22">
                  <c:v>9.8852915657199995E-3</c:v>
                </c:pt>
                <c:pt idx="23">
                  <c:v>9.9841444813699998E-3</c:v>
                </c:pt>
                <c:pt idx="24">
                  <c:v>1.0083985926200001E-2</c:v>
                </c:pt>
                <c:pt idx="25">
                  <c:v>1.01848257854E-2</c:v>
                </c:pt>
                <c:pt idx="26">
                  <c:v>1.02866740433E-2</c:v>
                </c:pt>
                <c:pt idx="27">
                  <c:v>1.03895407837E-2</c:v>
                </c:pt>
                <c:pt idx="28">
                  <c:v>1.04934361916E-2</c:v>
                </c:pt>
                <c:pt idx="29">
                  <c:v>1.05983705535E-2</c:v>
                </c:pt>
                <c:pt idx="30">
                  <c:v>1.0704354259E-2</c:v>
                </c:pt>
                <c:pt idx="31">
                  <c:v>1.08113978016E-2</c:v>
                </c:pt>
                <c:pt idx="32">
                  <c:v>1.0919511779600001E-2</c:v>
                </c:pt>
                <c:pt idx="33">
                  <c:v>1.1028706897400001E-2</c:v>
                </c:pt>
                <c:pt idx="34">
                  <c:v>1.11389939664E-2</c:v>
                </c:pt>
                <c:pt idx="35">
                  <c:v>1.12503839061E-2</c:v>
                </c:pt>
                <c:pt idx="36">
                  <c:v>1.1362887745099999E-2</c:v>
                </c:pt>
                <c:pt idx="37">
                  <c:v>1.14765166226E-2</c:v>
                </c:pt>
                <c:pt idx="38">
                  <c:v>1.1591281788799999E-2</c:v>
                </c:pt>
                <c:pt idx="39">
                  <c:v>1.17071946067E-2</c:v>
                </c:pt>
                <c:pt idx="40">
                  <c:v>1.18242665528E-2</c:v>
                </c:pt>
                <c:pt idx="41">
                  <c:v>1.19425092183E-2</c:v>
                </c:pt>
                <c:pt idx="42">
                  <c:v>1.2061934310500001E-2</c:v>
                </c:pt>
                <c:pt idx="43">
                  <c:v>1.2182553653599999E-2</c:v>
                </c:pt>
                <c:pt idx="44">
                  <c:v>1.2304379190100001E-2</c:v>
                </c:pt>
                <c:pt idx="45">
                  <c:v>1.2427422981999999E-2</c:v>
                </c:pt>
                <c:pt idx="46">
                  <c:v>1.25516972118E-2</c:v>
                </c:pt>
                <c:pt idx="47">
                  <c:v>1.26772141839E-2</c:v>
                </c:pt>
                <c:pt idx="48">
                  <c:v>1.28039863258E-2</c:v>
                </c:pt>
                <c:pt idx="49">
                  <c:v>1.2932026189000001E-2</c:v>
                </c:pt>
                <c:pt idx="50">
                  <c:v>1.3061346450899999E-2</c:v>
                </c:pt>
                <c:pt idx="51">
                  <c:v>1.31919599154E-2</c:v>
                </c:pt>
                <c:pt idx="52">
                  <c:v>1.33238795146E-2</c:v>
                </c:pt>
                <c:pt idx="53">
                  <c:v>1.3457118309700001E-2</c:v>
                </c:pt>
                <c:pt idx="54">
                  <c:v>1.3591689492799999E-2</c:v>
                </c:pt>
                <c:pt idx="55">
                  <c:v>1.37276063878E-2</c:v>
                </c:pt>
                <c:pt idx="56">
                  <c:v>1.3864882451600001E-2</c:v>
                </c:pt>
                <c:pt idx="57">
                  <c:v>1.40035312762E-2</c:v>
                </c:pt>
                <c:pt idx="58">
                  <c:v>1.41435665889E-2</c:v>
                </c:pt>
                <c:pt idx="59">
                  <c:v>1.42850022548E-2</c:v>
                </c:pt>
                <c:pt idx="60">
                  <c:v>1.44278522774E-2</c:v>
                </c:pt>
                <c:pt idx="61">
                  <c:v>1.4572130800099999E-2</c:v>
                </c:pt>
                <c:pt idx="62">
                  <c:v>1.4717852108099999E-2</c:v>
                </c:pt>
                <c:pt idx="63">
                  <c:v>1.4865030629200001E-2</c:v>
                </c:pt>
                <c:pt idx="64">
                  <c:v>1.50136809355E-2</c:v>
                </c:pt>
                <c:pt idx="65">
                  <c:v>1.5163817744900001E-2</c:v>
                </c:pt>
                <c:pt idx="66">
                  <c:v>1.5315455922300001E-2</c:v>
                </c:pt>
                <c:pt idx="67">
                  <c:v>1.54686104815E-2</c:v>
                </c:pt>
                <c:pt idx="68">
                  <c:v>1.56232965864E-2</c:v>
                </c:pt>
                <c:pt idx="69">
                  <c:v>1.5779529552200001E-2</c:v>
                </c:pt>
                <c:pt idx="70">
                  <c:v>1.59373248477E-2</c:v>
                </c:pt>
                <c:pt idx="71">
                  <c:v>1.6096698096199999E-2</c:v>
                </c:pt>
                <c:pt idx="72">
                  <c:v>1.6257665077200001E-2</c:v>
                </c:pt>
                <c:pt idx="73">
                  <c:v>1.6420241727999999E-2</c:v>
                </c:pt>
                <c:pt idx="74">
                  <c:v>1.6584444145200002E-2</c:v>
                </c:pt>
                <c:pt idx="75">
                  <c:v>1.67502885867E-2</c:v>
                </c:pt>
                <c:pt idx="76">
                  <c:v>1.6917791472599999E-2</c:v>
                </c:pt>
                <c:pt idx="77">
                  <c:v>1.7086969387300002E-2</c:v>
                </c:pt>
                <c:pt idx="78">
                  <c:v>1.7257839081199999E-2</c:v>
                </c:pt>
                <c:pt idx="79">
                  <c:v>1.7430417472000002E-2</c:v>
                </c:pt>
                <c:pt idx="80">
                  <c:v>1.7604721646699999E-2</c:v>
                </c:pt>
                <c:pt idx="81">
                  <c:v>1.77807688631E-2</c:v>
                </c:pt>
                <c:pt idx="82">
                  <c:v>1.7958576551799998E-2</c:v>
                </c:pt>
                <c:pt idx="83">
                  <c:v>1.8138162317300002E-2</c:v>
                </c:pt>
                <c:pt idx="84">
                  <c:v>1.8319543940500001E-2</c:v>
                </c:pt>
                <c:pt idx="85">
                  <c:v>1.8502739379900001E-2</c:v>
                </c:pt>
                <c:pt idx="86">
                  <c:v>1.8687766773700001E-2</c:v>
                </c:pt>
                <c:pt idx="87">
                  <c:v>1.8874644441399999E-2</c:v>
                </c:pt>
                <c:pt idx="88">
                  <c:v>1.9063390885799999E-2</c:v>
                </c:pt>
                <c:pt idx="89">
                  <c:v>1.9254024794699998E-2</c:v>
                </c:pt>
                <c:pt idx="90">
                  <c:v>1.9446565042599999E-2</c:v>
                </c:pt>
                <c:pt idx="91">
                  <c:v>1.9641030693100001E-2</c:v>
                </c:pt>
                <c:pt idx="92">
                  <c:v>1.9837441000000001E-2</c:v>
                </c:pt>
                <c:pt idx="93">
                  <c:v>2.0035815410000001E-2</c:v>
                </c:pt>
                <c:pt idx="94">
                  <c:v>2.0236173564099999E-2</c:v>
                </c:pt>
                <c:pt idx="95">
                  <c:v>2.0438535299700002E-2</c:v>
                </c:pt>
                <c:pt idx="96">
                  <c:v>2.06429206527E-2</c:v>
                </c:pt>
                <c:pt idx="97">
                  <c:v>2.0849349859299999E-2</c:v>
                </c:pt>
                <c:pt idx="98">
                  <c:v>2.1057843357800001E-2</c:v>
                </c:pt>
                <c:pt idx="99">
                  <c:v>2.12684217914E-2</c:v>
                </c:pt>
                <c:pt idx="100">
                  <c:v>2.1481106009300002E-2</c:v>
                </c:pt>
                <c:pt idx="101">
                  <c:v>2.1695917069400002E-2</c:v>
                </c:pt>
                <c:pt idx="102">
                  <c:v>2.19128762401E-2</c:v>
                </c:pt>
                <c:pt idx="103">
                  <c:v>2.21320050025E-2</c:v>
                </c:pt>
                <c:pt idx="104">
                  <c:v>2.2353325052600001E-2</c:v>
                </c:pt>
                <c:pt idx="105">
                  <c:v>2.2576858303100002E-2</c:v>
                </c:pt>
                <c:pt idx="106">
                  <c:v>2.2802626886099998E-2</c:v>
                </c:pt>
                <c:pt idx="107">
                  <c:v>2.3030653155000001E-2</c:v>
                </c:pt>
                <c:pt idx="108">
                  <c:v>2.32609596865E-2</c:v>
                </c:pt>
                <c:pt idx="109">
                  <c:v>2.34935692834E-2</c:v>
                </c:pt>
                <c:pt idx="110">
                  <c:v>2.37285049762E-2</c:v>
                </c:pt>
                <c:pt idx="111">
                  <c:v>2.3965790026000001E-2</c:v>
                </c:pt>
                <c:pt idx="112">
                  <c:v>2.42054479262E-2</c:v>
                </c:pt>
                <c:pt idx="113">
                  <c:v>2.4447502405500001E-2</c:v>
                </c:pt>
                <c:pt idx="114">
                  <c:v>2.4691977429599998E-2</c:v>
                </c:pt>
                <c:pt idx="115">
                  <c:v>2.4938897203899999E-2</c:v>
                </c:pt>
                <c:pt idx="116">
                  <c:v>2.51882861759E-2</c:v>
                </c:pt>
                <c:pt idx="117">
                  <c:v>2.5440169037600002E-2</c:v>
                </c:pt>
                <c:pt idx="118">
                  <c:v>2.5694570728E-2</c:v>
                </c:pt>
                <c:pt idx="119">
                  <c:v>2.5951516435299998E-2</c:v>
                </c:pt>
                <c:pt idx="120">
                  <c:v>2.6211031599700001E-2</c:v>
                </c:pt>
                <c:pt idx="121">
                  <c:v>2.6473141915700001E-2</c:v>
                </c:pt>
                <c:pt idx="122">
                  <c:v>2.6737873334799999E-2</c:v>
                </c:pt>
                <c:pt idx="123">
                  <c:v>2.7005252068200002E-2</c:v>
                </c:pt>
                <c:pt idx="124">
                  <c:v>2.7275304588799999E-2</c:v>
                </c:pt>
                <c:pt idx="125">
                  <c:v>2.7548057634700002E-2</c:v>
                </c:pt>
                <c:pt idx="126">
                  <c:v>2.78235382111E-2</c:v>
                </c:pt>
                <c:pt idx="127">
                  <c:v>2.81017735932E-2</c:v>
                </c:pt>
                <c:pt idx="128">
                  <c:v>2.8382791329100002E-2</c:v>
                </c:pt>
                <c:pt idx="129">
                  <c:v>2.86666192424E-2</c:v>
                </c:pt>
                <c:pt idx="130">
                  <c:v>2.89532854348E-2</c:v>
                </c:pt>
                <c:pt idx="131">
                  <c:v>2.9242818289200001E-2</c:v>
                </c:pt>
                <c:pt idx="132">
                  <c:v>2.9535246472099999E-2</c:v>
                </c:pt>
                <c:pt idx="133">
                  <c:v>2.9830598936799999E-2</c:v>
                </c:pt>
                <c:pt idx="134">
                  <c:v>3.01289049262E-2</c:v>
                </c:pt>
                <c:pt idx="135">
                  <c:v>3.0430193975400002E-2</c:v>
                </c:pt>
                <c:pt idx="136">
                  <c:v>3.07344959152E-2</c:v>
                </c:pt>
                <c:pt idx="137">
                  <c:v>3.1041840874300002E-2</c:v>
                </c:pt>
                <c:pt idx="138">
                  <c:v>3.1352259283100002E-2</c:v>
                </c:pt>
                <c:pt idx="139">
                  <c:v>3.1665781875900002E-2</c:v>
                </c:pt>
                <c:pt idx="140">
                  <c:v>3.19824396947E-2</c:v>
                </c:pt>
                <c:pt idx="141">
                  <c:v>3.2302264091600003E-2</c:v>
                </c:pt>
                <c:pt idx="142">
                  <c:v>3.2625286732500001E-2</c:v>
                </c:pt>
                <c:pt idx="143">
                  <c:v>3.29515395999E-2</c:v>
                </c:pt>
                <c:pt idx="144">
                  <c:v>3.3281054995899999E-2</c:v>
                </c:pt>
                <c:pt idx="145">
                  <c:v>3.3613865545800002E-2</c:v>
                </c:pt>
                <c:pt idx="146">
                  <c:v>3.3950004201300003E-2</c:v>
                </c:pt>
                <c:pt idx="147">
                  <c:v>3.4289504243299997E-2</c:v>
                </c:pt>
                <c:pt idx="148">
                  <c:v>3.46323992857E-2</c:v>
                </c:pt>
                <c:pt idx="149">
                  <c:v>3.49787232786E-2</c:v>
                </c:pt>
                <c:pt idx="150">
                  <c:v>3.5328510511399999E-2</c:v>
                </c:pt>
                <c:pt idx="151">
                  <c:v>3.5681795616499999E-2</c:v>
                </c:pt>
                <c:pt idx="152">
                  <c:v>3.6038613572599999E-2</c:v>
                </c:pt>
                <c:pt idx="153">
                  <c:v>3.63989997084E-2</c:v>
                </c:pt>
                <c:pt idx="154">
                  <c:v>3.6762989705399998E-2</c:v>
                </c:pt>
                <c:pt idx="155">
                  <c:v>3.7130619602499998E-2</c:v>
                </c:pt>
                <c:pt idx="156">
                  <c:v>3.7501925798500001E-2</c:v>
                </c:pt>
                <c:pt idx="157">
                  <c:v>3.7876945056500001E-2</c:v>
                </c:pt>
                <c:pt idx="158">
                  <c:v>3.8255714507099997E-2</c:v>
                </c:pt>
                <c:pt idx="159">
                  <c:v>3.8638271652100001E-2</c:v>
                </c:pt>
                <c:pt idx="160">
                  <c:v>3.90246543687E-2</c:v>
                </c:pt>
                <c:pt idx="161">
                  <c:v>3.9414900912399999E-2</c:v>
                </c:pt>
                <c:pt idx="162">
                  <c:v>3.98090499215E-2</c:v>
                </c:pt>
                <c:pt idx="163">
                  <c:v>4.0207140420699998E-2</c:v>
                </c:pt>
                <c:pt idx="164">
                  <c:v>4.0609211824900002E-2</c:v>
                </c:pt>
                <c:pt idx="165">
                  <c:v>4.1015303943099997E-2</c:v>
                </c:pt>
                <c:pt idx="166">
                  <c:v>4.1425456982600001E-2</c:v>
                </c:pt>
                <c:pt idx="167">
                  <c:v>4.1839711552400002E-2</c:v>
                </c:pt>
                <c:pt idx="168">
                  <c:v>4.2258108667900002E-2</c:v>
                </c:pt>
                <c:pt idx="169">
                  <c:v>4.2680689754600001E-2</c:v>
                </c:pt>
                <c:pt idx="170">
                  <c:v>4.3107496652199997E-2</c:v>
                </c:pt>
                <c:pt idx="171">
                  <c:v>4.3538571618699999E-2</c:v>
                </c:pt>
                <c:pt idx="172">
                  <c:v>4.3973957334899998E-2</c:v>
                </c:pt>
                <c:pt idx="173">
                  <c:v>4.4413696908199997E-2</c:v>
                </c:pt>
                <c:pt idx="174">
                  <c:v>4.4857833877300003E-2</c:v>
                </c:pt>
                <c:pt idx="175">
                  <c:v>4.5306412216100003E-2</c:v>
                </c:pt>
                <c:pt idx="176">
                  <c:v>4.5759476338200003E-2</c:v>
                </c:pt>
                <c:pt idx="177">
                  <c:v>4.6217071101599998E-2</c:v>
                </c:pt>
                <c:pt idx="178">
                  <c:v>4.6679241812599997E-2</c:v>
                </c:pt>
                <c:pt idx="179">
                  <c:v>4.71460342308E-2</c:v>
                </c:pt>
                <c:pt idx="180">
                  <c:v>4.7617494573100001E-2</c:v>
                </c:pt>
                <c:pt idx="181">
                  <c:v>4.8093669518800002E-2</c:v>
                </c:pt>
                <c:pt idx="182">
                  <c:v>4.8574606213999998E-2</c:v>
                </c:pt>
                <c:pt idx="183">
                  <c:v>4.9060352276099999E-2</c:v>
                </c:pt>
                <c:pt idx="184">
                  <c:v>4.9550955798900002E-2</c:v>
                </c:pt>
                <c:pt idx="185">
                  <c:v>5.0046465356900001E-2</c:v>
                </c:pt>
                <c:pt idx="186">
                  <c:v>5.0546930010399997E-2</c:v>
                </c:pt>
                <c:pt idx="187">
                  <c:v>5.1052399310499999E-2</c:v>
                </c:pt>
                <c:pt idx="188">
                  <c:v>5.1562923303600003E-2</c:v>
                </c:pt>
                <c:pt idx="189">
                  <c:v>5.2078552536699997E-2</c:v>
                </c:pt>
                <c:pt idx="190">
                  <c:v>5.2599338062100001E-2</c:v>
                </c:pt>
                <c:pt idx="191">
                  <c:v>5.31253314427E-2</c:v>
                </c:pt>
                <c:pt idx="192">
                  <c:v>5.3656584757100001E-2</c:v>
                </c:pt>
                <c:pt idx="193">
                  <c:v>5.4193150604700001E-2</c:v>
                </c:pt>
                <c:pt idx="194">
                  <c:v>5.4735082110700002E-2</c:v>
                </c:pt>
                <c:pt idx="195">
                  <c:v>5.5282432931799998E-2</c:v>
                </c:pt>
                <c:pt idx="196">
                  <c:v>5.5835257261100002E-2</c:v>
                </c:pt>
                <c:pt idx="197">
                  <c:v>5.6393609833799999E-2</c:v>
                </c:pt>
                <c:pt idx="198">
                  <c:v>5.69575459321E-2</c:v>
                </c:pt>
                <c:pt idx="199">
                  <c:v>5.7527121391400003E-2</c:v>
                </c:pt>
                <c:pt idx="200">
                  <c:v>5.81023926053E-2</c:v>
                </c:pt>
                <c:pt idx="201">
                  <c:v>5.8683416531400003E-2</c:v>
                </c:pt>
                <c:pt idx="202">
                  <c:v>5.92702506967E-2</c:v>
                </c:pt>
                <c:pt idx="203">
                  <c:v>5.9862953203699998E-2</c:v>
                </c:pt>
                <c:pt idx="204">
                  <c:v>6.0461582735700001E-2</c:v>
                </c:pt>
                <c:pt idx="205">
                  <c:v>6.1066198563099999E-2</c:v>
                </c:pt>
                <c:pt idx="206">
                  <c:v>6.1676860548700002E-2</c:v>
                </c:pt>
                <c:pt idx="207">
                  <c:v>6.2293629154200003E-2</c:v>
                </c:pt>
                <c:pt idx="208">
                  <c:v>6.2916565445699998E-2</c:v>
                </c:pt>
                <c:pt idx="209">
                  <c:v>6.3545731100199995E-2</c:v>
                </c:pt>
                <c:pt idx="210">
                  <c:v>6.4181188411200005E-2</c:v>
                </c:pt>
                <c:pt idx="211">
                  <c:v>6.4823000295299998E-2</c:v>
                </c:pt>
                <c:pt idx="212">
                  <c:v>6.5471230298199998E-2</c:v>
                </c:pt>
                <c:pt idx="213">
                  <c:v>6.61259426012E-2</c:v>
                </c:pt>
                <c:pt idx="214">
                  <c:v>6.6787202027199996E-2</c:v>
                </c:pt>
                <c:pt idx="215">
                  <c:v>6.7455074047499994E-2</c:v>
                </c:pt>
                <c:pt idx="216">
                  <c:v>6.8129624787999998E-2</c:v>
                </c:pt>
                <c:pt idx="217">
                  <c:v>6.8810921035900002E-2</c:v>
                </c:pt>
                <c:pt idx="218">
                  <c:v>6.9499030246199994E-2</c:v>
                </c:pt>
                <c:pt idx="219">
                  <c:v>7.0194020548699998E-2</c:v>
                </c:pt>
                <c:pt idx="220">
                  <c:v>7.0895960754200002E-2</c:v>
                </c:pt>
                <c:pt idx="221">
                  <c:v>7.1604920361700006E-2</c:v>
                </c:pt>
                <c:pt idx="222">
                  <c:v>7.23209695653E-2</c:v>
                </c:pt>
                <c:pt idx="223">
                  <c:v>7.3044179261E-2</c:v>
                </c:pt>
                <c:pt idx="224">
                  <c:v>7.3774621053599998E-2</c:v>
                </c:pt>
                <c:pt idx="225">
                  <c:v>7.4512367264100002E-2</c:v>
                </c:pt>
                <c:pt idx="226">
                  <c:v>7.5257490936799995E-2</c:v>
                </c:pt>
                <c:pt idx="227">
                  <c:v>7.6010065846099997E-2</c:v>
                </c:pt>
                <c:pt idx="228">
                  <c:v>7.6770166504600001E-2</c:v>
                </c:pt>
                <c:pt idx="229">
                  <c:v>7.7537868169599997E-2</c:v>
                </c:pt>
                <c:pt idx="230">
                  <c:v>7.8313246851300006E-2</c:v>
                </c:pt>
                <c:pt idx="231">
                  <c:v>7.90963793198E-2</c:v>
                </c:pt>
                <c:pt idx="232">
                  <c:v>7.9887343112999998E-2</c:v>
                </c:pt>
                <c:pt idx="233">
                  <c:v>8.0686216544199996E-2</c:v>
                </c:pt>
                <c:pt idx="234">
                  <c:v>8.14930787096E-2</c:v>
                </c:pt>
                <c:pt idx="235">
                  <c:v>8.2308009496700002E-2</c:v>
                </c:pt>
                <c:pt idx="236">
                  <c:v>8.31310895917E-2</c:v>
                </c:pt>
                <c:pt idx="237">
                  <c:v>8.3962400487599995E-2</c:v>
                </c:pt>
                <c:pt idx="238">
                  <c:v>8.4802024492500003E-2</c:v>
                </c:pt>
                <c:pt idx="239">
                  <c:v>8.5650044737399997E-2</c:v>
                </c:pt>
                <c:pt idx="240">
                  <c:v>8.6506545184799999E-2</c:v>
                </c:pt>
                <c:pt idx="241">
                  <c:v>8.7371610636599997E-2</c:v>
                </c:pt>
                <c:pt idx="242">
                  <c:v>8.8245326742999994E-2</c:v>
                </c:pt>
                <c:pt idx="243">
                  <c:v>8.9127780010400004E-2</c:v>
                </c:pt>
                <c:pt idx="244">
                  <c:v>9.00190578105E-2</c:v>
                </c:pt>
                <c:pt idx="245">
                  <c:v>9.0919248388599994E-2</c:v>
                </c:pt>
                <c:pt idx="246">
                  <c:v>9.18284408725E-2</c:v>
                </c:pt>
                <c:pt idx="247">
                  <c:v>9.2746725281199996E-2</c:v>
                </c:pt>
                <c:pt idx="248">
                  <c:v>9.3674192534E-2</c:v>
                </c:pt>
                <c:pt idx="249">
                  <c:v>9.4610934459399998E-2</c:v>
                </c:pt>
                <c:pt idx="250">
                  <c:v>9.5557043804E-2</c:v>
                </c:pt>
                <c:pt idx="251">
                  <c:v>9.6512614242E-2</c:v>
                </c:pt>
                <c:pt idx="252">
                  <c:v>9.7477740384400005E-2</c:v>
                </c:pt>
                <c:pt idx="253">
                  <c:v>9.8452517788299998E-2</c:v>
                </c:pt>
                <c:pt idx="254">
                  <c:v>9.9437042966199998E-2</c:v>
                </c:pt>
                <c:pt idx="255">
                  <c:v>0.10043141339599999</c:v>
                </c:pt>
                <c:pt idx="256">
                  <c:v>0.10143572753000001</c:v>
                </c:pt>
                <c:pt idx="257">
                  <c:v>0.10245008480499999</c:v>
                </c:pt>
                <c:pt idx="258">
                  <c:v>0.103474585653</c:v>
                </c:pt>
                <c:pt idx="259">
                  <c:v>0.10450933151</c:v>
                </c:pt>
                <c:pt idx="260">
                  <c:v>0.10555442482500001</c:v>
                </c:pt>
                <c:pt idx="261">
                  <c:v>0.10660996907299999</c:v>
                </c:pt>
                <c:pt idx="262">
                  <c:v>0.107676068764</c:v>
                </c:pt>
                <c:pt idx="263">
                  <c:v>0.108752829451</c:v>
                </c:pt>
                <c:pt idx="264">
                  <c:v>0.109840357746</c:v>
                </c:pt>
                <c:pt idx="265">
                  <c:v>0.110938761323</c:v>
                </c:pt>
                <c:pt idx="266">
                  <c:v>0.11204814893700001</c:v>
                </c:pt>
                <c:pt idx="267">
                  <c:v>0.11316863042600001</c:v>
                </c:pt>
                <c:pt idx="268">
                  <c:v>0.11430031673</c:v>
                </c:pt>
                <c:pt idx="269">
                  <c:v>0.115443319898</c:v>
                </c:pt>
                <c:pt idx="270">
                  <c:v>0.116597753096</c:v>
                </c:pt>
                <c:pt idx="271">
                  <c:v>0.117763730627</c:v>
                </c:pt>
                <c:pt idx="272">
                  <c:v>0.11894136793399999</c:v>
                </c:pt>
                <c:pt idx="273">
                  <c:v>0.120130781613</c:v>
                </c:pt>
                <c:pt idx="274">
                  <c:v>0.12133208942900001</c:v>
                </c:pt>
                <c:pt idx="275">
                  <c:v>0.122545410323</c:v>
                </c:pt>
                <c:pt idx="276">
                  <c:v>0.123770864427</c:v>
                </c:pt>
                <c:pt idx="277">
                  <c:v>0.125008573071</c:v>
                </c:pt>
                <c:pt idx="278">
                  <c:v>0.12625865880199999</c:v>
                </c:pt>
                <c:pt idx="279">
                  <c:v>0.12752124539000001</c:v>
                </c:pt>
                <c:pt idx="280">
                  <c:v>0.12879645784400001</c:v>
                </c:pt>
                <c:pt idx="281">
                  <c:v>0.130084422422</c:v>
                </c:pt>
                <c:pt idx="282">
                  <c:v>0.131385266646</c:v>
                </c:pt>
                <c:pt idx="283">
                  <c:v>0.13269911931299999</c:v>
                </c:pt>
                <c:pt idx="284">
                  <c:v>0.134026110506</c:v>
                </c:pt>
                <c:pt idx="285">
                  <c:v>0.13536637161100001</c:v>
                </c:pt>
                <c:pt idx="286">
                  <c:v>0.136720035327</c:v>
                </c:pt>
                <c:pt idx="287">
                  <c:v>0.13808723568</c:v>
                </c:pt>
                <c:pt idx="288">
                  <c:v>0.13946810803699999</c:v>
                </c:pt>
                <c:pt idx="289">
                  <c:v>0.14086278911700001</c:v>
                </c:pt>
                <c:pt idx="290">
                  <c:v>0.14227141700900001</c:v>
                </c:pt>
                <c:pt idx="291">
                  <c:v>0.14369413117900001</c:v>
                </c:pt>
                <c:pt idx="292">
                  <c:v>0.14513107249099999</c:v>
                </c:pt>
                <c:pt idx="293">
                  <c:v>0.146582383215</c:v>
                </c:pt>
                <c:pt idx="294">
                  <c:v>0.14804820704800001</c:v>
                </c:pt>
                <c:pt idx="295">
                  <c:v>0.14952868911799999</c:v>
                </c:pt>
                <c:pt idx="296">
                  <c:v>0.151023976009</c:v>
                </c:pt>
                <c:pt idx="297">
                  <c:v>0.152534215769</c:v>
                </c:pt>
                <c:pt idx="298">
                  <c:v>0.15405955792699999</c:v>
                </c:pt>
                <c:pt idx="299">
                  <c:v>0.15560015350600001</c:v>
                </c:pt>
                <c:pt idx="300">
                  <c:v>0.157156155041</c:v>
                </c:pt>
                <c:pt idx="301">
                  <c:v>0.158727716592</c:v>
                </c:pt>
                <c:pt idx="302">
                  <c:v>0.16031499375800001</c:v>
                </c:pt>
                <c:pt idx="303">
                  <c:v>0.16191814369499999</c:v>
                </c:pt>
                <c:pt idx="304">
                  <c:v>0.16353732513200001</c:v>
                </c:pt>
                <c:pt idx="305">
                  <c:v>0.16517269838400001</c:v>
                </c:pt>
                <c:pt idx="306">
                  <c:v>0.16682442536700001</c:v>
                </c:pt>
                <c:pt idx="307">
                  <c:v>0.16849266962100001</c:v>
                </c:pt>
                <c:pt idx="308">
                  <c:v>0.170177596317</c:v>
                </c:pt>
                <c:pt idx="309">
                  <c:v>0.17187937228</c:v>
                </c:pt>
                <c:pt idx="310">
                  <c:v>0.17359816600299999</c:v>
                </c:pt>
                <c:pt idx="311">
                  <c:v>0.17533414766300001</c:v>
                </c:pt>
                <c:pt idx="312">
                  <c:v>0.17708748914</c:v>
                </c:pt>
                <c:pt idx="313">
                  <c:v>0.178858364031</c:v>
                </c:pt>
                <c:pt idx="314">
                  <c:v>0.18064694767200001</c:v>
                </c:pt>
                <c:pt idx="315">
                  <c:v>0.18612073083299999</c:v>
                </c:pt>
                <c:pt idx="316">
                  <c:v>0.187981938141</c:v>
                </c:pt>
                <c:pt idx="317">
                  <c:v>0.189861757523</c:v>
                </c:pt>
                <c:pt idx="318">
                  <c:v>0.19176037509800001</c:v>
                </c:pt>
                <c:pt idx="319">
                  <c:v>0.19367797884900001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3.9538850713085125E-9</c:v>
                </c:pt>
                <c:pt idx="1">
                  <c:v>4.1133988483434574E-9</c:v>
                </c:pt>
                <c:pt idx="2">
                  <c:v>4.2792522607682719E-9</c:v>
                </c:pt>
                <c:pt idx="3">
                  <c:v>4.4516774068358269E-9</c:v>
                </c:pt>
                <c:pt idx="4">
                  <c:v>4.6309126440093666E-9</c:v>
                </c:pt>
                <c:pt idx="5">
                  <c:v>4.8171998840548093E-9</c:v>
                </c:pt>
                <c:pt idx="6">
                  <c:v>5.010781542829642E-9</c:v>
                </c:pt>
                <c:pt idx="7">
                  <c:v>5.2118978105137843E-9</c:v>
                </c:pt>
                <c:pt idx="8">
                  <c:v>5.4207828833721953E-9</c:v>
                </c:pt>
                <c:pt idx="9">
                  <c:v>5.6376592921260565E-9</c:v>
                </c:pt>
                <c:pt idx="10">
                  <c:v>5.8627292831146189E-9</c:v>
                </c:pt>
                <c:pt idx="11">
                  <c:v>6.0961618609094187E-9</c:v>
                </c:pt>
                <c:pt idx="12">
                  <c:v>6.3380728682483904E-9</c:v>
                </c:pt>
                <c:pt idx="13">
                  <c:v>6.588493507750632E-9</c:v>
                </c:pt>
                <c:pt idx="14">
                  <c:v>6.8473188941031576E-9</c:v>
                </c:pt>
                <c:pt idx="15">
                  <c:v>7.1142204282992897E-9</c:v>
                </c:pt>
                <c:pt idx="16">
                  <c:v>7.3884887407266684E-9</c:v>
                </c:pt>
                <c:pt idx="17">
                  <c:v>7.6687335245985814E-9</c:v>
                </c:pt>
                <c:pt idx="18">
                  <c:v>7.9522605463159164E-9</c:v>
                </c:pt>
                <c:pt idx="19">
                  <c:v>8.2336362591470411E-9</c:v>
                </c:pt>
                <c:pt idx="20">
                  <c:v>8.5011101014813364E-9</c:v>
                </c:pt>
                <c:pt idx="21">
                  <c:v>8.7277390886014065E-9</c:v>
                </c:pt>
                <c:pt idx="22">
                  <c:v>8.8531119530451431E-9</c:v>
                </c:pt>
                <c:pt idx="23">
                  <c:v>8.7586824917571607E-9</c:v>
                </c:pt>
                <c:pt idx="24">
                  <c:v>8.2655871211909397E-9</c:v>
                </c:pt>
                <c:pt idx="25">
                  <c:v>7.2303227570036683E-9</c:v>
                </c:pt>
                <c:pt idx="26">
                  <c:v>5.7721129741638407E-9</c:v>
                </c:pt>
                <c:pt idx="27">
                  <c:v>4.3722761986075644E-9</c:v>
                </c:pt>
                <c:pt idx="28">
                  <c:v>3.5062924888001977E-9</c:v>
                </c:pt>
                <c:pt idx="29">
                  <c:v>3.2093539451376668E-9</c:v>
                </c:pt>
                <c:pt idx="30">
                  <c:v>3.2024695146150161E-9</c:v>
                </c:pt>
                <c:pt idx="31">
                  <c:v>3.254604464489921E-9</c:v>
                </c:pt>
                <c:pt idx="32">
                  <c:v>3.2784354745732305E-9</c:v>
                </c:pt>
                <c:pt idx="33">
                  <c:v>3.2584164643730321E-9</c:v>
                </c:pt>
                <c:pt idx="34">
                  <c:v>3.1964236832569392E-9</c:v>
                </c:pt>
                <c:pt idx="35">
                  <c:v>3.0972400748486098E-9</c:v>
                </c:pt>
                <c:pt idx="36">
                  <c:v>2.9657788466064433E-9</c:v>
                </c:pt>
                <c:pt idx="37">
                  <c:v>2.8070534093998588E-9</c:v>
                </c:pt>
                <c:pt idx="38">
                  <c:v>2.6262824001346378E-9</c:v>
                </c:pt>
                <c:pt idx="39">
                  <c:v>2.428945225140926E-9</c:v>
                </c:pt>
                <c:pt idx="40">
                  <c:v>2.2207643284570362E-9</c:v>
                </c:pt>
                <c:pt idx="41">
                  <c:v>2.0076198541814461E-9</c:v>
                </c:pt>
                <c:pt idx="42">
                  <c:v>1.7954102772024827E-9</c:v>
                </c:pt>
                <c:pt idx="43">
                  <c:v>1.5898760208705106E-9</c:v>
                </c:pt>
                <c:pt idx="44">
                  <c:v>1.3964049195443383E-9</c:v>
                </c:pt>
                <c:pt idx="45">
                  <c:v>1.2198387397336439E-9</c:v>
                </c:pt>
                <c:pt idx="46">
                  <c:v>1.0642985904115086E-9</c:v>
                </c:pt>
                <c:pt idx="47">
                  <c:v>9.3304394573123698E-10</c:v>
                </c:pt>
                <c:pt idx="48">
                  <c:v>8.2837554305105266E-10</c:v>
                </c:pt>
                <c:pt idx="49">
                  <c:v>7.513131674149448E-10</c:v>
                </c:pt>
                <c:pt idx="50">
                  <c:v>7.0275063082783697E-10</c:v>
                </c:pt>
                <c:pt idx="51">
                  <c:v>6.8167978367100607E-10</c:v>
                </c:pt>
                <c:pt idx="52">
                  <c:v>6.8654787566628862E-10</c:v>
                </c:pt>
                <c:pt idx="53">
                  <c:v>7.1503404411475223E-10</c:v>
                </c:pt>
                <c:pt idx="54">
                  <c:v>7.6417747204115795E-10</c:v>
                </c:pt>
                <c:pt idx="55">
                  <c:v>8.3051485025196506E-10</c:v>
                </c:pt>
                <c:pt idx="56">
                  <c:v>9.1021988111963494E-10</c:v>
                </c:pt>
                <c:pt idx="57">
                  <c:v>9.9923945602573157E-10</c:v>
                </c:pt>
                <c:pt idx="58">
                  <c:v>1.0934230436807356E-9</c:v>
                </c:pt>
                <c:pt idx="59">
                  <c:v>1.1886434990767904E-9</c:v>
                </c:pt>
                <c:pt idx="60">
                  <c:v>1.2809087697653931E-9</c:v>
                </c:pt>
                <c:pt idx="61">
                  <c:v>1.3664647881782028E-9</c:v>
                </c:pt>
                <c:pt idx="62">
                  <c:v>1.4418901793137929E-9</c:v>
                </c:pt>
                <c:pt idx="63">
                  <c:v>1.5041833378440998E-9</c:v>
                </c:pt>
                <c:pt idx="64">
                  <c:v>1.5508420154006885E-9</c:v>
                </c:pt>
                <c:pt idx="65">
                  <c:v>1.5799348935188201E-9</c:v>
                </c:pt>
                <c:pt idx="66">
                  <c:v>1.5901638108984396E-9</c:v>
                </c:pt>
                <c:pt idx="67">
                  <c:v>1.5809144711304338E-9</c:v>
                </c:pt>
                <c:pt idx="68">
                  <c:v>1.5522926931428562E-9</c:v>
                </c:pt>
                <c:pt idx="69">
                  <c:v>1.505142697969879E-9</c:v>
                </c:pt>
                <c:pt idx="70">
                  <c:v>1.4410436613728036E-9</c:v>
                </c:pt>
                <c:pt idx="71">
                  <c:v>1.3622809041460421E-9</c:v>
                </c:pt>
                <c:pt idx="72">
                  <c:v>1.271788707485786E-9</c:v>
                </c:pt>
                <c:pt idx="73">
                  <c:v>1.1730628655306578E-9</c:v>
                </c:pt>
                <c:pt idx="74">
                  <c:v>1.07004269577758E-9</c:v>
                </c:pt>
                <c:pt idx="75">
                  <c:v>9.669642335638855E-10</c:v>
                </c:pt>
                <c:pt idx="76">
                  <c:v>8.681885896278379E-10</c:v>
                </c:pt>
                <c:pt idx="77">
                  <c:v>7.7801173791309516E-10</c:v>
                </c:pt>
                <c:pt idx="78">
                  <c:v>7.0046409491029528E-10</c:v>
                </c:pt>
                <c:pt idx="79">
                  <c:v>6.3910990071063846E-10</c:v>
                </c:pt>
                <c:pt idx="80">
                  <c:v>5.9685741300633074E-10</c:v>
                </c:pt>
                <c:pt idx="81">
                  <c:v>5.7579114018564202E-10</c:v>
                </c:pt>
                <c:pt idx="82">
                  <c:v>5.7703671454288816E-10</c:v>
                </c:pt>
                <c:pt idx="83">
                  <c:v>6.0066759411927246E-10</c:v>
                </c:pt>
                <c:pt idx="84">
                  <c:v>6.4566071725383391E-10</c:v>
                </c:pt>
                <c:pt idx="85">
                  <c:v>7.0990571747373431E-10</c:v>
                </c:pt>
                <c:pt idx="86">
                  <c:v>7.9026956158148135E-10</c:v>
                </c:pt>
                <c:pt idx="87">
                  <c:v>8.8271571061486025E-10</c:v>
                </c:pt>
                <c:pt idx="88">
                  <c:v>9.8247428610315265E-10</c:v>
                </c:pt>
                <c:pt idx="89">
                  <c:v>1.0842573480253306E-9</c:v>
                </c:pt>
                <c:pt idx="90">
                  <c:v>1.182511286012122E-9</c:v>
                </c:pt>
                <c:pt idx="91">
                  <c:v>1.2716964629873171E-9</c:v>
                </c:pt>
                <c:pt idx="92">
                  <c:v>1.3465825741971574E-9</c:v>
                </c:pt>
                <c:pt idx="93">
                  <c:v>1.4025466525299694E-9</c:v>
                </c:pt>
                <c:pt idx="94">
                  <c:v>1.435859250163745E-9</c:v>
                </c:pt>
                <c:pt idx="95">
                  <c:v>1.4439431382299803E-9</c:v>
                </c:pt>
                <c:pt idx="96">
                  <c:v>1.4255880438040024E-9</c:v>
                </c:pt>
                <c:pt idx="97">
                  <c:v>1.3811047457594675E-9</c:v>
                </c:pt>
                <c:pt idx="98">
                  <c:v>1.3124025952682206E-9</c:v>
                </c:pt>
                <c:pt idx="99">
                  <c:v>1.2229765521180754E-9</c:v>
                </c:pt>
                <c:pt idx="100">
                  <c:v>1.1177934264628137E-9</c:v>
                </c:pt>
                <c:pt idx="101">
                  <c:v>1.0030723386541761E-9</c:v>
                </c:pt>
                <c:pt idx="102">
                  <c:v>8.8596141140198685E-10</c:v>
                </c:pt>
                <c:pt idx="103">
                  <c:v>7.7412105360146625E-10</c:v>
                </c:pt>
                <c:pt idx="104">
                  <c:v>6.7523326826355862E-10</c:v>
                </c:pt>
                <c:pt idx="105">
                  <c:v>5.9646533498844068E-10</c:v>
                </c:pt>
                <c:pt idx="106">
                  <c:v>5.4392393418015945E-10</c:v>
                </c:pt>
                <c:pt idx="107">
                  <c:v>5.2214123146951977E-10</c:v>
                </c:pt>
                <c:pt idx="108">
                  <c:v>5.3363670101009021E-10</c:v>
                </c:pt>
                <c:pt idx="109">
                  <c:v>5.7859692608698398E-10</c:v>
                </c:pt>
                <c:pt idx="110">
                  <c:v>6.5471006836966621E-10</c:v>
                </c:pt>
                <c:pt idx="111">
                  <c:v>7.571823855495411E-10</c:v>
                </c:pt>
                <c:pt idx="112">
                  <c:v>8.7895173509797078E-10</c:v>
                </c:pt>
                <c:pt idx="113">
                  <c:v>1.0110983448204626E-9</c:v>
                </c:pt>
                <c:pt idx="114">
                  <c:v>1.1434373026683756E-9</c:v>
                </c:pt>
                <c:pt idx="115">
                  <c:v>1.2652612865020217E-9</c:v>
                </c:pt>
                <c:pt idx="116">
                  <c:v>1.3661870130862435E-9</c:v>
                </c:pt>
                <c:pt idx="117">
                  <c:v>1.4370456902513117E-9</c:v>
                </c:pt>
                <c:pt idx="118">
                  <c:v>1.4707473644637811E-9</c:v>
                </c:pt>
                <c:pt idx="119">
                  <c:v>1.4630425282612393E-9</c:v>
                </c:pt>
                <c:pt idx="120">
                  <c:v>1.4131028978590133E-9</c:v>
                </c:pt>
                <c:pt idx="121">
                  <c:v>1.323848202538718E-9</c:v>
                </c:pt>
                <c:pt idx="122">
                  <c:v>1.2019583724454203E-9</c:v>
                </c:pt>
                <c:pt idx="123">
                  <c:v>1.0575314765109478E-9</c:v>
                </c:pt>
                <c:pt idx="124">
                  <c:v>9.033771003132977E-10</c:v>
                </c:pt>
                <c:pt idx="125">
                  <c:v>7.5397123038690818E-10</c:v>
                </c:pt>
                <c:pt idx="126">
                  <c:v>6.2413923937926961E-10</c:v>
                </c:pt>
                <c:pt idx="127">
                  <c:v>5.2757379180918348E-10</c:v>
                </c:pt>
                <c:pt idx="128">
                  <c:v>4.7532885068340525E-10</c:v>
                </c:pt>
                <c:pt idx="129">
                  <c:v>4.7445354010395055E-10</c:v>
                </c:pt>
                <c:pt idx="130">
                  <c:v>5.269352140333153E-10</c:v>
                </c:pt>
                <c:pt idx="131">
                  <c:v>6.2910628258363721E-10</c:v>
                </c:pt>
                <c:pt idx="132">
                  <c:v>7.7163331864747456E-10</c:v>
                </c:pt>
                <c:pt idx="133">
                  <c:v>9.401517881044627E-10</c:v>
                </c:pt>
                <c:pt idx="134">
                  <c:v>1.1165401964187478E-9</c:v>
                </c:pt>
                <c:pt idx="135">
                  <c:v>1.2807503866219708E-9</c:v>
                </c:pt>
                <c:pt idx="136">
                  <c:v>1.4130342930462699E-9</c:v>
                </c:pt>
                <c:pt idx="137">
                  <c:v>1.4963403186613132E-9</c:v>
                </c:pt>
                <c:pt idx="138">
                  <c:v>1.5186033349441032E-9</c:v>
                </c:pt>
                <c:pt idx="139">
                  <c:v>1.4746293409054092E-9</c:v>
                </c:pt>
                <c:pt idx="140">
                  <c:v>1.3672863773236405E-9</c:v>
                </c:pt>
                <c:pt idx="141">
                  <c:v>1.2077627738594363E-9</c:v>
                </c:pt>
                <c:pt idx="142">
                  <c:v>1.014744190122667E-9</c:v>
                </c:pt>
                <c:pt idx="143">
                  <c:v>8.1248877516936396E-10</c:v>
                </c:pt>
                <c:pt idx="144">
                  <c:v>6.2793447550750839E-10</c:v>
                </c:pt>
                <c:pt idx="145">
                  <c:v>4.8713544823714663E-10</c:v>
                </c:pt>
                <c:pt idx="146">
                  <c:v>4.1147022400900226E-10</c:v>
                </c:pt>
                <c:pt idx="147">
                  <c:v>4.1416395433638069E-10</c:v>
                </c:pt>
                <c:pt idx="148">
                  <c:v>4.9769430996103848E-10</c:v>
                </c:pt>
                <c:pt idx="149">
                  <c:v>6.5258757463107204E-10</c:v>
                </c:pt>
                <c:pt idx="150">
                  <c:v>8.5795445710557265E-10</c:v>
                </c:pt>
                <c:pt idx="151">
                  <c:v>1.0838772006649479E-9</c:v>
                </c:pt>
                <c:pt idx="152">
                  <c:v>1.2954699059772799E-9</c:v>
                </c:pt>
                <c:pt idx="153">
                  <c:v>1.4581341908644476E-9</c:v>
                </c:pt>
                <c:pt idx="154">
                  <c:v>1.5435264717040745E-9</c:v>
                </c:pt>
                <c:pt idx="155">
                  <c:v>1.5338675025622832E-9</c:v>
                </c:pt>
                <c:pt idx="156">
                  <c:v>1.4270273642342739E-9</c:v>
                </c:pt>
                <c:pt idx="157">
                  <c:v>1.2374063594731834E-9</c:v>
                </c:pt>
                <c:pt idx="158">
                  <c:v>9.9484038236908341E-10</c:v>
                </c:pt>
                <c:pt idx="159">
                  <c:v>7.4042833986590259E-10</c:v>
                </c:pt>
                <c:pt idx="160">
                  <c:v>5.1984673404063257E-10</c:v>
                </c:pt>
                <c:pt idx="161">
                  <c:v>3.7512512082213724E-10</c:v>
                </c:pt>
                <c:pt idx="162">
                  <c:v>3.363058943228435E-10</c:v>
                </c:pt>
                <c:pt idx="163">
                  <c:v>4.146409406785564E-10</c:v>
                </c:pt>
                <c:pt idx="164">
                  <c:v>5.9889264196480569E-10</c:v>
                </c:pt>
                <c:pt idx="165">
                  <c:v>8.5586965890593607E-10</c:v>
                </c:pt>
                <c:pt idx="166">
                  <c:v>1.135577434119075E-9</c:v>
                </c:pt>
                <c:pt idx="167">
                  <c:v>1.3804174923955292E-9</c:v>
                </c:pt>
                <c:pt idx="168">
                  <c:v>1.5369094082642426E-9</c:v>
                </c:pt>
                <c:pt idx="169">
                  <c:v>1.5676467586590345E-9</c:v>
                </c:pt>
                <c:pt idx="170">
                  <c:v>1.4608360186406891E-9</c:v>
                </c:pt>
                <c:pt idx="171">
                  <c:v>1.2349552772974819E-9</c:v>
                </c:pt>
                <c:pt idx="172">
                  <c:v>9.3686387748836608E-10</c:v>
                </c:pt>
                <c:pt idx="173">
                  <c:v>6.3302100136371504E-10</c:v>
                </c:pt>
                <c:pt idx="174">
                  <c:v>3.9510840394385147E-10</c:v>
                </c:pt>
                <c:pt idx="175">
                  <c:v>2.8294223684269416E-10</c:v>
                </c:pt>
                <c:pt idx="176">
                  <c:v>3.2866923723673403E-10</c:v>
                </c:pt>
                <c:pt idx="177">
                  <c:v>5.2647603781127986E-10</c:v>
                </c:pt>
                <c:pt idx="178">
                  <c:v>8.3116631024291145E-10</c:v>
                </c:pt>
                <c:pt idx="179">
                  <c:v>1.1670257816580636E-9</c:v>
                </c:pt>
                <c:pt idx="180">
                  <c:v>1.4457662929741284E-9</c:v>
                </c:pt>
                <c:pt idx="181">
                  <c:v>1.589650227586952E-9</c:v>
                </c:pt>
                <c:pt idx="182">
                  <c:v>1.5539055528487661E-9</c:v>
                </c:pt>
                <c:pt idx="183">
                  <c:v>1.3419412205513459E-9</c:v>
                </c:pt>
                <c:pt idx="184">
                  <c:v>1.0080805407462307E-9</c:v>
                </c:pt>
                <c:pt idx="185">
                  <c:v>6.455143839349737E-10</c:v>
                </c:pt>
                <c:pt idx="186">
                  <c:v>3.6135685007600431E-10</c:v>
                </c:pt>
                <c:pt idx="187">
                  <c:v>2.4497356079555374E-10</c:v>
                </c:pt>
                <c:pt idx="188">
                  <c:v>3.3877164939573657E-10</c:v>
                </c:pt>
                <c:pt idx="189">
                  <c:v>6.2113741669356385E-10</c:v>
                </c:pt>
                <c:pt idx="190">
                  <c:v>1.0085401674325563E-9</c:v>
                </c:pt>
                <c:pt idx="191">
                  <c:v>1.3783404422668303E-9</c:v>
                </c:pt>
                <c:pt idx="192">
                  <c:v>1.6069749670359938E-9</c:v>
                </c:pt>
                <c:pt idx="193">
                  <c:v>1.6121284075592235E-9</c:v>
                </c:pt>
                <c:pt idx="194">
                  <c:v>1.3845441923598763E-9</c:v>
                </c:pt>
                <c:pt idx="195">
                  <c:v>9.9688127269743706E-10</c:v>
                </c:pt>
                <c:pt idx="196">
                  <c:v>5.8368624479105811E-10</c:v>
                </c:pt>
                <c:pt idx="197">
                  <c:v>2.9651675767995299E-10</c:v>
                </c:pt>
                <c:pt idx="198">
                  <c:v>2.4829797424119469E-10</c:v>
                </c:pt>
                <c:pt idx="199">
                  <c:v>4.6715709520493219E-10</c:v>
                </c:pt>
                <c:pt idx="200">
                  <c:v>8.7903472405857744E-10</c:v>
                </c:pt>
                <c:pt idx="201">
                  <c:v>1.3298413182659626E-9</c:v>
                </c:pt>
                <c:pt idx="202">
                  <c:v>1.6403038148104006E-9</c:v>
                </c:pt>
                <c:pt idx="203">
                  <c:v>1.679753470354473E-9</c:v>
                </c:pt>
                <c:pt idx="204">
                  <c:v>1.4237714250664294E-9</c:v>
                </c:pt>
                <c:pt idx="205">
                  <c:v>9.7275253088290247E-10</c:v>
                </c:pt>
                <c:pt idx="206">
                  <c:v>5.1752974070472185E-10</c:v>
                </c:pt>
                <c:pt idx="207">
                  <c:v>2.6141429718480892E-10</c:v>
                </c:pt>
                <c:pt idx="208">
                  <c:v>3.2913574484600883E-10</c:v>
                </c:pt>
                <c:pt idx="209">
                  <c:v>7.0348312063322431E-10</c:v>
                </c:pt>
                <c:pt idx="210">
                  <c:v>1.2228369490296197E-9</c:v>
                </c:pt>
                <c:pt idx="211">
                  <c:v>1.6477636041666976E-9</c:v>
                </c:pt>
                <c:pt idx="212">
                  <c:v>1.7718800179741253E-9</c:v>
                </c:pt>
                <c:pt idx="213">
                  <c:v>1.5266598842381501E-9</c:v>
                </c:pt>
                <c:pt idx="214">
                  <c:v>1.0261963365713612E-9</c:v>
                </c:pt>
                <c:pt idx="215">
                  <c:v>5.2189226680182044E-10</c:v>
                </c:pt>
                <c:pt idx="216">
                  <c:v>2.8071415770210811E-10</c:v>
                </c:pt>
                <c:pt idx="217">
                  <c:v>4.4376157368250845E-10</c:v>
                </c:pt>
                <c:pt idx="218">
                  <c:v>9.4038494231242362E-10</c:v>
                </c:pt>
                <c:pt idx="219">
                  <c:v>1.5120265151198662E-9</c:v>
                </c:pt>
                <c:pt idx="220">
                  <c:v>1.8445562364463201E-9</c:v>
                </c:pt>
                <c:pt idx="221">
                  <c:v>1.7447208931614065E-9</c:v>
                </c:pt>
                <c:pt idx="222">
                  <c:v>1.2617899731179698E-9</c:v>
                </c:pt>
                <c:pt idx="223">
                  <c:v>6.7542230820708993E-10</c:v>
                </c:pt>
                <c:pt idx="224">
                  <c:v>3.4229762761864492E-10</c:v>
                </c:pt>
                <c:pt idx="225">
                  <c:v>4.8117859632446188E-10</c:v>
                </c:pt>
                <c:pt idx="226">
                  <c:v>1.0256591941634635E-9</c:v>
                </c:pt>
                <c:pt idx="227">
                  <c:v>1.6469315408179661E-9</c:v>
                </c:pt>
                <c:pt idx="228">
                  <c:v>1.9501624928329339E-9</c:v>
                </c:pt>
                <c:pt idx="229">
                  <c:v>1.7321442069061556E-9</c:v>
                </c:pt>
                <c:pt idx="230">
                  <c:v>1.1316859588245417E-9</c:v>
                </c:pt>
                <c:pt idx="231">
                  <c:v>5.5714353397379966E-10</c:v>
                </c:pt>
                <c:pt idx="232">
                  <c:v>4.182767341652067E-10</c:v>
                </c:pt>
                <c:pt idx="233">
                  <c:v>8.33953698285841E-10</c:v>
                </c:pt>
                <c:pt idx="234">
                  <c:v>1.5266571917736056E-9</c:v>
                </c:pt>
                <c:pt idx="235">
                  <c:v>2.001880978290206E-9</c:v>
                </c:pt>
                <c:pt idx="236">
                  <c:v>1.9063825801136204E-9</c:v>
                </c:pt>
                <c:pt idx="237">
                  <c:v>1.3078994504217017E-9</c:v>
                </c:pt>
                <c:pt idx="238">
                  <c:v>6.6895613961639458E-10</c:v>
                </c:pt>
                <c:pt idx="239">
                  <c:v>5.0431698719487018E-10</c:v>
                </c:pt>
                <c:pt idx="240">
                  <c:v>9.6813304550471693E-10</c:v>
                </c:pt>
                <c:pt idx="241">
                  <c:v>1.7050510376120068E-9</c:v>
                </c:pt>
                <c:pt idx="242">
                  <c:v>2.1170066693319393E-9</c:v>
                </c:pt>
                <c:pt idx="243">
                  <c:v>1.8584599526235417E-9</c:v>
                </c:pt>
                <c:pt idx="244">
                  <c:v>1.1509698264502953E-9</c:v>
                </c:pt>
                <c:pt idx="245">
                  <c:v>6.2052137122922797E-10</c:v>
                </c:pt>
                <c:pt idx="246">
                  <c:v>7.5825003934589847E-10</c:v>
                </c:pt>
                <c:pt idx="247">
                  <c:v>1.4637720184657166E-9</c:v>
                </c:pt>
                <c:pt idx="248">
                  <c:v>2.1057891222439675E-9</c:v>
                </c:pt>
                <c:pt idx="249">
                  <c:v>2.0908738690812223E-9</c:v>
                </c:pt>
                <c:pt idx="250">
                  <c:v>1.4372429963148978E-9</c:v>
                </c:pt>
                <c:pt idx="251">
                  <c:v>7.8911920398519046E-10</c:v>
                </c:pt>
                <c:pt idx="252">
                  <c:v>8.0646681939280798E-10</c:v>
                </c:pt>
                <c:pt idx="253">
                  <c:v>1.4959209556696229E-9</c:v>
                </c:pt>
                <c:pt idx="254">
                  <c:v>2.171436474122391E-9</c:v>
                </c:pt>
                <c:pt idx="255">
                  <c:v>2.1413430351233665E-9</c:v>
                </c:pt>
                <c:pt idx="256">
                  <c:v>1.4473923618409482E-9</c:v>
                </c:pt>
                <c:pt idx="257">
                  <c:v>8.5356500282427362E-10</c:v>
                </c:pt>
                <c:pt idx="258">
                  <c:v>1.0338679763581799E-9</c:v>
                </c:pt>
                <c:pt idx="259">
                  <c:v>1.8098665622541702E-9</c:v>
                </c:pt>
                <c:pt idx="260">
                  <c:v>2.3179136876514705E-9</c:v>
                </c:pt>
                <c:pt idx="261">
                  <c:v>1.9856607756161579E-9</c:v>
                </c:pt>
                <c:pt idx="262">
                  <c:v>1.2217909100162343E-9</c:v>
                </c:pt>
                <c:pt idx="263">
                  <c:v>9.6310977210310196E-10</c:v>
                </c:pt>
                <c:pt idx="264">
                  <c:v>1.5476715680123353E-9</c:v>
                </c:pt>
                <c:pt idx="265">
                  <c:v>2.2711055325858739E-9</c:v>
                </c:pt>
                <c:pt idx="266">
                  <c:v>2.2406278676049984E-9</c:v>
                </c:pt>
                <c:pt idx="267">
                  <c:v>1.5181168328808261E-9</c:v>
                </c:pt>
                <c:pt idx="268">
                  <c:v>1.0716288888440632E-9</c:v>
                </c:pt>
                <c:pt idx="269">
                  <c:v>1.5164517408836141E-9</c:v>
                </c:pt>
                <c:pt idx="270">
                  <c:v>2.2712510142359896E-9</c:v>
                </c:pt>
                <c:pt idx="271">
                  <c:v>2.3215354573291222E-9</c:v>
                </c:pt>
                <c:pt idx="272">
                  <c:v>1.6256207201094969E-9</c:v>
                </c:pt>
                <c:pt idx="273">
                  <c:v>1.20061127208994E-9</c:v>
                </c:pt>
                <c:pt idx="274">
                  <c:v>1.6810330354167922E-9</c:v>
                </c:pt>
                <c:pt idx="275">
                  <c:v>2.3780960668504469E-9</c:v>
                </c:pt>
                <c:pt idx="276">
                  <c:v>2.2762019333006092E-9</c:v>
                </c:pt>
                <c:pt idx="277">
                  <c:v>1.5645818507371655E-9</c:v>
                </c:pt>
                <c:pt idx="278">
                  <c:v>1.3699389357122137E-9</c:v>
                </c:pt>
                <c:pt idx="279">
                  <c:v>2.0117694195912585E-9</c:v>
                </c:pt>
                <c:pt idx="280">
                  <c:v>2.4816071042714246E-9</c:v>
                </c:pt>
                <c:pt idx="281">
                  <c:v>2.0501905704087511E-9</c:v>
                </c:pt>
                <c:pt idx="282">
                  <c:v>1.4655199706831151E-9</c:v>
                </c:pt>
                <c:pt idx="283">
                  <c:v>1.7244501320143204E-9</c:v>
                </c:pt>
                <c:pt idx="284">
                  <c:v>2.3911057755069553E-9</c:v>
                </c:pt>
                <c:pt idx="285">
                  <c:v>2.3347214647212982E-9</c:v>
                </c:pt>
                <c:pt idx="286">
                  <c:v>1.695044141299757E-9</c:v>
                </c:pt>
                <c:pt idx="287">
                  <c:v>1.6382855199671086E-9</c:v>
                </c:pt>
                <c:pt idx="288">
                  <c:v>2.2649947305370175E-9</c:v>
                </c:pt>
                <c:pt idx="289">
                  <c:v>2.4291107719080915E-9</c:v>
                </c:pt>
                <c:pt idx="290">
                  <c:v>1.8614997217283536E-9</c:v>
                </c:pt>
                <c:pt idx="291">
                  <c:v>1.6689866150540043E-9</c:v>
                </c:pt>
                <c:pt idx="292">
                  <c:v>2.215204285634263E-9</c:v>
                </c:pt>
                <c:pt idx="293">
                  <c:v>2.4262703002202168E-9</c:v>
                </c:pt>
                <c:pt idx="294">
                  <c:v>1.9146823193802724E-9</c:v>
                </c:pt>
                <c:pt idx="295">
                  <c:v>1.7393911194104687E-9</c:v>
                </c:pt>
                <c:pt idx="296">
                  <c:v>2.2438218729517192E-9</c:v>
                </c:pt>
                <c:pt idx="297">
                  <c:v>2.3668732977589836E-9</c:v>
                </c:pt>
                <c:pt idx="298">
                  <c:v>1.8760701120264862E-9</c:v>
                </c:pt>
                <c:pt idx="299">
                  <c:v>1.8372418445645583E-9</c:v>
                </c:pt>
                <c:pt idx="300">
                  <c:v>2.305583816570787E-9</c:v>
                </c:pt>
                <c:pt idx="301">
                  <c:v>2.2343577375947288E-9</c:v>
                </c:pt>
                <c:pt idx="302">
                  <c:v>1.8040969099165973E-9</c:v>
                </c:pt>
                <c:pt idx="303">
                  <c:v>1.9810722522273331E-9</c:v>
                </c:pt>
                <c:pt idx="304">
                  <c:v>2.3135517544030645E-9</c:v>
                </c:pt>
                <c:pt idx="305">
                  <c:v>2.0158310820570219E-9</c:v>
                </c:pt>
                <c:pt idx="306">
                  <c:v>1.7963357008894866E-9</c:v>
                </c:pt>
                <c:pt idx="307">
                  <c:v>2.1349310459554145E-9</c:v>
                </c:pt>
                <c:pt idx="308">
                  <c:v>2.1581865102506121E-9</c:v>
                </c:pt>
                <c:pt idx="309">
                  <c:v>1.800760797159148E-9</c:v>
                </c:pt>
                <c:pt idx="310">
                  <c:v>1.9186773112706715E-9</c:v>
                </c:pt>
                <c:pt idx="311">
                  <c:v>2.1359199976618319E-9</c:v>
                </c:pt>
                <c:pt idx="312">
                  <c:v>1.8568902579599301E-9</c:v>
                </c:pt>
                <c:pt idx="313">
                  <c:v>1.7832236417884834E-9</c:v>
                </c:pt>
                <c:pt idx="314">
                  <c:v>2.2037574270594058E-9</c:v>
                </c:pt>
                <c:pt idx="315">
                  <c:v>2.2046557587673899E-9</c:v>
                </c:pt>
                <c:pt idx="316">
                  <c:v>1.8587121414422706E-9</c:v>
                </c:pt>
                <c:pt idx="317">
                  <c:v>1.6111267057968662E-9</c:v>
                </c:pt>
                <c:pt idx="318">
                  <c:v>1.7466421501184061E-9</c:v>
                </c:pt>
                <c:pt idx="319">
                  <c:v>1.7061361042813707E-9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5.3401504263738009E-10</c:v>
                  </c:pt>
                  <c:pt idx="1">
                    <c:v>4.4990860462959254E-10</c:v>
                  </c:pt>
                  <c:pt idx="2">
                    <c:v>3.6504423174766346E-10</c:v>
                  </c:pt>
                  <c:pt idx="3">
                    <c:v>3.3336843387747038E-10</c:v>
                  </c:pt>
                  <c:pt idx="4">
                    <c:v>3.4454369869801908E-10</c:v>
                  </c:pt>
                  <c:pt idx="5">
                    <c:v>3.6308226350226559E-10</c:v>
                  </c:pt>
                  <c:pt idx="6">
                    <c:v>3.651937527191074E-10</c:v>
                  </c:pt>
                  <c:pt idx="7">
                    <c:v>3.5085803260483733E-10</c:v>
                  </c:pt>
                  <c:pt idx="8">
                    <c:v>3.3781313454856055E-10</c:v>
                  </c:pt>
                  <c:pt idx="9">
                    <c:v>3.5577393611860814E-10</c:v>
                  </c:pt>
                  <c:pt idx="10">
                    <c:v>3.6644893213848052E-10</c:v>
                  </c:pt>
                  <c:pt idx="11">
                    <c:v>3.4973401122431149E-10</c:v>
                  </c:pt>
                  <c:pt idx="12">
                    <c:v>2.9412398159062258E-10</c:v>
                  </c:pt>
                  <c:pt idx="13">
                    <c:v>3.0431627568557509E-10</c:v>
                  </c:pt>
                  <c:pt idx="14">
                    <c:v>2.871718696396016E-10</c:v>
                  </c:pt>
                  <c:pt idx="15">
                    <c:v>3.1441855787351172E-10</c:v>
                  </c:pt>
                  <c:pt idx="16">
                    <c:v>3.14150728388862E-10</c:v>
                  </c:pt>
                  <c:pt idx="17">
                    <c:v>5.3567132111434893E-10</c:v>
                  </c:pt>
                  <c:pt idx="18">
                    <c:v>5.2291238242339948E-10</c:v>
                  </c:pt>
                  <c:pt idx="19">
                    <c:v>5.6635566829474395E-10</c:v>
                  </c:pt>
                  <c:pt idx="20">
                    <c:v>5.6363873882290855E-10</c:v>
                  </c:pt>
                  <c:pt idx="21">
                    <c:v>4.9627963081008235E-10</c:v>
                  </c:pt>
                  <c:pt idx="22">
                    <c:v>5.3396188496128826E-10</c:v>
                  </c:pt>
                  <c:pt idx="23">
                    <c:v>5.1707080655917913E-10</c:v>
                  </c:pt>
                  <c:pt idx="24">
                    <c:v>5.0819942133441962E-10</c:v>
                  </c:pt>
                  <c:pt idx="25">
                    <c:v>4.8949010241280237E-10</c:v>
                  </c:pt>
                  <c:pt idx="26">
                    <c:v>4.0795829679854047E-10</c:v>
                  </c:pt>
                  <c:pt idx="27">
                    <c:v>3.7448991854859201E-10</c:v>
                  </c:pt>
                  <c:pt idx="28">
                    <c:v>3.6171144870341391E-10</c:v>
                  </c:pt>
                  <c:pt idx="29">
                    <c:v>3.5008718617107811E-10</c:v>
                  </c:pt>
                  <c:pt idx="30">
                    <c:v>3.2774222360942304E-10</c:v>
                  </c:pt>
                  <c:pt idx="31">
                    <c:v>3.3270347407318178E-10</c:v>
                  </c:pt>
                  <c:pt idx="32">
                    <c:v>3.2957563509553927E-10</c:v>
                  </c:pt>
                  <c:pt idx="33">
                    <c:v>1.9879506773675279E-10</c:v>
                  </c:pt>
                  <c:pt idx="34">
                    <c:v>1.8184399325001884E-10</c:v>
                  </c:pt>
                  <c:pt idx="35">
                    <c:v>1.9348915666455135E-10</c:v>
                  </c:pt>
                  <c:pt idx="36">
                    <c:v>1.8787376912593627E-10</c:v>
                  </c:pt>
                  <c:pt idx="37">
                    <c:v>1.7653780553614496E-10</c:v>
                  </c:pt>
                  <c:pt idx="38">
                    <c:v>2.0722269997629424E-10</c:v>
                  </c:pt>
                  <c:pt idx="39">
                    <c:v>1.8864907071748991E-10</c:v>
                  </c:pt>
                  <c:pt idx="40">
                    <c:v>1.8608579430244997E-10</c:v>
                  </c:pt>
                  <c:pt idx="41">
                    <c:v>1.7558797565475475E-10</c:v>
                  </c:pt>
                  <c:pt idx="42">
                    <c:v>1.9077647307404666E-10</c:v>
                  </c:pt>
                  <c:pt idx="43">
                    <c:v>1.5511101695934907E-10</c:v>
                  </c:pt>
                  <c:pt idx="44">
                    <c:v>1.5008527064286507E-10</c:v>
                  </c:pt>
                  <c:pt idx="45">
                    <c:v>1.4156557589172719E-10</c:v>
                  </c:pt>
                  <c:pt idx="46">
                    <c:v>1.3562423871179328E-10</c:v>
                  </c:pt>
                  <c:pt idx="47">
                    <c:v>1.2736603688997493E-10</c:v>
                  </c:pt>
                  <c:pt idx="48">
                    <c:v>1.1577636445978023E-10</c:v>
                  </c:pt>
                  <c:pt idx="49">
                    <c:v>1.0748379075210168E-10</c:v>
                  </c:pt>
                  <c:pt idx="50">
                    <c:v>9.8680450674678134E-11</c:v>
                  </c:pt>
                  <c:pt idx="51">
                    <c:v>1.0615587024369815E-10</c:v>
                  </c:pt>
                  <c:pt idx="52">
                    <c:v>1.0902257541284266E-10</c:v>
                  </c:pt>
                  <c:pt idx="53">
                    <c:v>1.0877717654134192E-10</c:v>
                  </c:pt>
                  <c:pt idx="54">
                    <c:v>1.0959425115239924E-10</c:v>
                  </c:pt>
                  <c:pt idx="55">
                    <c:v>1.1427285240439744E-10</c:v>
                  </c:pt>
                  <c:pt idx="56">
                    <c:v>1.2090247018908171E-10</c:v>
                  </c:pt>
                  <c:pt idx="57">
                    <c:v>1.1960762027986326E-10</c:v>
                  </c:pt>
                  <c:pt idx="58">
                    <c:v>1.3074931968027663E-10</c:v>
                  </c:pt>
                  <c:pt idx="59">
                    <c:v>1.2441133664659461E-10</c:v>
                  </c:pt>
                  <c:pt idx="60">
                    <c:v>8.8846406546855683E-11</c:v>
                  </c:pt>
                  <c:pt idx="61">
                    <c:v>8.9261374610011247E-11</c:v>
                  </c:pt>
                  <c:pt idx="62">
                    <c:v>9.6005389870814138E-11</c:v>
                  </c:pt>
                  <c:pt idx="63">
                    <c:v>9.8813640288119299E-11</c:v>
                  </c:pt>
                  <c:pt idx="64">
                    <c:v>1.0002684181101229E-10</c:v>
                  </c:pt>
                  <c:pt idx="65">
                    <c:v>1.0060307261781374E-10</c:v>
                  </c:pt>
                  <c:pt idx="66">
                    <c:v>1.0595918120551583E-10</c:v>
                  </c:pt>
                  <c:pt idx="67">
                    <c:v>1.5578269685141805E-10</c:v>
                  </c:pt>
                  <c:pt idx="68">
                    <c:v>1.4705267755826974E-10</c:v>
                  </c:pt>
                  <c:pt idx="69">
                    <c:v>1.3750031406815979E-10</c:v>
                  </c:pt>
                  <c:pt idx="70">
                    <c:v>1.3819962005761989E-10</c:v>
                  </c:pt>
                  <c:pt idx="71">
                    <c:v>1.3363034050649145E-10</c:v>
                  </c:pt>
                  <c:pt idx="72">
                    <c:v>1.3761760362070101E-10</c:v>
                  </c:pt>
                  <c:pt idx="73">
                    <c:v>1.160428623311792E-10</c:v>
                  </c:pt>
                  <c:pt idx="74">
                    <c:v>1.1643355825932565E-10</c:v>
                  </c:pt>
                  <c:pt idx="75">
                    <c:v>1.1906387497669209E-10</c:v>
                  </c:pt>
                  <c:pt idx="76">
                    <c:v>1.0151093473516785E-10</c:v>
                  </c:pt>
                  <c:pt idx="77">
                    <c:v>9.1295246415031972E-11</c:v>
                  </c:pt>
                  <c:pt idx="78">
                    <c:v>8.9299994854290036E-11</c:v>
                  </c:pt>
                  <c:pt idx="79">
                    <c:v>9.3213345088113365E-11</c:v>
                  </c:pt>
                  <c:pt idx="80">
                    <c:v>9.3290521388698082E-11</c:v>
                  </c:pt>
                  <c:pt idx="81">
                    <c:v>8.7614266503405502E-11</c:v>
                  </c:pt>
                  <c:pt idx="82">
                    <c:v>9.6249674188972677E-11</c:v>
                  </c:pt>
                  <c:pt idx="83">
                    <c:v>8.4908588458628733E-11</c:v>
                  </c:pt>
                  <c:pt idx="84">
                    <c:v>9.3644237746428226E-11</c:v>
                  </c:pt>
                  <c:pt idx="85">
                    <c:v>9.0714566147212896E-11</c:v>
                  </c:pt>
                  <c:pt idx="86">
                    <c:v>1.0546238461059908E-10</c:v>
                  </c:pt>
                  <c:pt idx="87">
                    <c:v>1.0042713940709974E-10</c:v>
                  </c:pt>
                  <c:pt idx="88">
                    <c:v>1.0567607464758985E-10</c:v>
                  </c:pt>
                  <c:pt idx="89">
                    <c:v>1.2683712584881711E-10</c:v>
                  </c:pt>
                  <c:pt idx="90">
                    <c:v>1.2226899643208063E-10</c:v>
                  </c:pt>
                  <c:pt idx="91">
                    <c:v>1.242073818641748E-10</c:v>
                  </c:pt>
                  <c:pt idx="92">
                    <c:v>1.3939130446481928E-10</c:v>
                  </c:pt>
                  <c:pt idx="93">
                    <c:v>1.4072627701653152E-10</c:v>
                  </c:pt>
                  <c:pt idx="94">
                    <c:v>1.3590471955134189E-10</c:v>
                  </c:pt>
                  <c:pt idx="95">
                    <c:v>1.3313362923991319E-10</c:v>
                  </c:pt>
                  <c:pt idx="96">
                    <c:v>1.2874284875114431E-10</c:v>
                  </c:pt>
                  <c:pt idx="97">
                    <c:v>1.3882275361099996E-10</c:v>
                  </c:pt>
                  <c:pt idx="98">
                    <c:v>1.2673465332789111E-10</c:v>
                  </c:pt>
                  <c:pt idx="99">
                    <c:v>5.739285188129966E-11</c:v>
                  </c:pt>
                  <c:pt idx="100">
                    <c:v>5.6536658472240186E-11</c:v>
                  </c:pt>
                  <c:pt idx="101">
                    <c:v>5.307049770214012E-11</c:v>
                  </c:pt>
                  <c:pt idx="102">
                    <c:v>4.3793710743434489E-11</c:v>
                  </c:pt>
                  <c:pt idx="103">
                    <c:v>4.4467600597202618E-11</c:v>
                  </c:pt>
                  <c:pt idx="104">
                    <c:v>4.1032539020837479E-11</c:v>
                  </c:pt>
                  <c:pt idx="105">
                    <c:v>4.0856703004665303E-11</c:v>
                  </c:pt>
                  <c:pt idx="106">
                    <c:v>3.7485451057294344E-11</c:v>
                  </c:pt>
                  <c:pt idx="107">
                    <c:v>3.9261229903830193E-11</c:v>
                  </c:pt>
                  <c:pt idx="108">
                    <c:v>4.3587010008202033E-11</c:v>
                  </c:pt>
                  <c:pt idx="109">
                    <c:v>4.6041951435471623E-11</c:v>
                  </c:pt>
                  <c:pt idx="110">
                    <c:v>5.1451471543155331E-11</c:v>
                  </c:pt>
                  <c:pt idx="111">
                    <c:v>5.38161309772343E-11</c:v>
                  </c:pt>
                  <c:pt idx="112">
                    <c:v>5.4834469123096709E-11</c:v>
                  </c:pt>
                  <c:pt idx="113">
                    <c:v>5.8934006927126167E-11</c:v>
                  </c:pt>
                  <c:pt idx="114">
                    <c:v>6.0356851764835154E-11</c:v>
                  </c:pt>
                  <c:pt idx="115">
                    <c:v>6.7763903249074168E-11</c:v>
                  </c:pt>
                  <c:pt idx="116">
                    <c:v>6.9467341846232938E-11</c:v>
                  </c:pt>
                  <c:pt idx="117">
                    <c:v>7.1605704003481927E-11</c:v>
                  </c:pt>
                  <c:pt idx="118">
                    <c:v>8.2324226647003359E-11</c:v>
                  </c:pt>
                  <c:pt idx="119">
                    <c:v>7.7658276151372482E-11</c:v>
                  </c:pt>
                  <c:pt idx="120">
                    <c:v>7.3341239280689653E-11</c:v>
                  </c:pt>
                  <c:pt idx="121">
                    <c:v>7.7018142637102091E-11</c:v>
                  </c:pt>
                  <c:pt idx="122">
                    <c:v>7.4850721194773196E-11</c:v>
                  </c:pt>
                  <c:pt idx="123">
                    <c:v>6.6837068184871441E-11</c:v>
                  </c:pt>
                  <c:pt idx="124">
                    <c:v>6.2823746388633388E-11</c:v>
                  </c:pt>
                  <c:pt idx="125">
                    <c:v>6.0921026852232197E-11</c:v>
                  </c:pt>
                  <c:pt idx="126">
                    <c:v>5.6814359351854028E-11</c:v>
                  </c:pt>
                  <c:pt idx="127">
                    <c:v>5.5004528535828227E-11</c:v>
                  </c:pt>
                  <c:pt idx="128">
                    <c:v>5.8060570753984987E-11</c:v>
                  </c:pt>
                  <c:pt idx="129">
                    <c:v>5.778534105120343E-11</c:v>
                  </c:pt>
                  <c:pt idx="130">
                    <c:v>6.8022544716023419E-11</c:v>
                  </c:pt>
                  <c:pt idx="131">
                    <c:v>7.5831232042009581E-11</c:v>
                  </c:pt>
                  <c:pt idx="132">
                    <c:v>7.4608407673734544E-11</c:v>
                  </c:pt>
                  <c:pt idx="133">
                    <c:v>7.5295857207531222E-11</c:v>
                  </c:pt>
                  <c:pt idx="134">
                    <c:v>9.2520813114302278E-11</c:v>
                  </c:pt>
                  <c:pt idx="135">
                    <c:v>9.8090091390342099E-11</c:v>
                  </c:pt>
                  <c:pt idx="136">
                    <c:v>1.0507302897900953E-10</c:v>
                  </c:pt>
                  <c:pt idx="137">
                    <c:v>1.0525621035041504E-10</c:v>
                  </c:pt>
                  <c:pt idx="138">
                    <c:v>1.1189290119831374E-10</c:v>
                  </c:pt>
                  <c:pt idx="139">
                    <c:v>1.1141836025781429E-10</c:v>
                  </c:pt>
                  <c:pt idx="140">
                    <c:v>9.9768299016724999E-11</c:v>
                  </c:pt>
                  <c:pt idx="141">
                    <c:v>1.0387799331876165E-10</c:v>
                  </c:pt>
                  <c:pt idx="142">
                    <c:v>9.1346123740354958E-11</c:v>
                  </c:pt>
                  <c:pt idx="143">
                    <c:v>9.3621180118758299E-11</c:v>
                  </c:pt>
                  <c:pt idx="144">
                    <c:v>8.570917865327293E-11</c:v>
                  </c:pt>
                  <c:pt idx="145">
                    <c:v>8.2677602708314918E-11</c:v>
                  </c:pt>
                  <c:pt idx="146">
                    <c:v>7.9586992733899108E-11</c:v>
                  </c:pt>
                  <c:pt idx="147">
                    <c:v>8.360765618432315E-11</c:v>
                  </c:pt>
                  <c:pt idx="148">
                    <c:v>8.9638137282422044E-11</c:v>
                  </c:pt>
                  <c:pt idx="149">
                    <c:v>9.6670625866241095E-11</c:v>
                  </c:pt>
                  <c:pt idx="150">
                    <c:v>1.1065138428247394E-10</c:v>
                  </c:pt>
                  <c:pt idx="151">
                    <c:v>1.2793626221944448E-10</c:v>
                  </c:pt>
                  <c:pt idx="152">
                    <c:v>1.2545893764368582E-10</c:v>
                  </c:pt>
                  <c:pt idx="153">
                    <c:v>1.3434899847419184E-10</c:v>
                  </c:pt>
                  <c:pt idx="154">
                    <c:v>1.2138929756915334E-10</c:v>
                  </c:pt>
                  <c:pt idx="155">
                    <c:v>1.4423342719778625E-10</c:v>
                  </c:pt>
                  <c:pt idx="156">
                    <c:v>1.5008419754582903E-10</c:v>
                  </c:pt>
                  <c:pt idx="157">
                    <c:v>1.3341239827299882E-10</c:v>
                  </c:pt>
                  <c:pt idx="158">
                    <c:v>1.2469727145106937E-10</c:v>
                  </c:pt>
                  <c:pt idx="159">
                    <c:v>1.1535906267705413E-10</c:v>
                  </c:pt>
                  <c:pt idx="160">
                    <c:v>1.2387303772495541E-10</c:v>
                  </c:pt>
                  <c:pt idx="161">
                    <c:v>1.2020863863676513E-10</c:v>
                  </c:pt>
                  <c:pt idx="162">
                    <c:v>1.0746935697756038E-10</c:v>
                  </c:pt>
                  <c:pt idx="163">
                    <c:v>1.1960364184630007E-10</c:v>
                  </c:pt>
                  <c:pt idx="164">
                    <c:v>1.3633957413588025E-10</c:v>
                  </c:pt>
                  <c:pt idx="165">
                    <c:v>1.388367981725923E-10</c:v>
                  </c:pt>
                  <c:pt idx="166">
                    <c:v>1.6490012451991984E-10</c:v>
                  </c:pt>
                  <c:pt idx="167">
                    <c:v>1.7286822956048233E-10</c:v>
                  </c:pt>
                  <c:pt idx="168">
                    <c:v>1.6563724477866303E-10</c:v>
                  </c:pt>
                  <c:pt idx="169">
                    <c:v>2.0291813064159913E-10</c:v>
                  </c:pt>
                  <c:pt idx="170">
                    <c:v>8.2828677584007845E-11</c:v>
                  </c:pt>
                  <c:pt idx="171">
                    <c:v>7.0928308144371322E-11</c:v>
                  </c:pt>
                  <c:pt idx="172">
                    <c:v>6.0891887870820083E-11</c:v>
                  </c:pt>
                  <c:pt idx="173">
                    <c:v>5.5824306093566488E-11</c:v>
                  </c:pt>
                  <c:pt idx="174">
                    <c:v>5.8565852958284223E-11</c:v>
                  </c:pt>
                  <c:pt idx="175">
                    <c:v>5.1373886445318357E-11</c:v>
                  </c:pt>
                  <c:pt idx="176">
                    <c:v>5.5040374218144246E-11</c:v>
                  </c:pt>
                  <c:pt idx="177">
                    <c:v>6.1266705195801047E-11</c:v>
                  </c:pt>
                  <c:pt idx="178">
                    <c:v>6.9946185785075054E-11</c:v>
                  </c:pt>
                  <c:pt idx="179">
                    <c:v>7.6474000693611084E-11</c:v>
                  </c:pt>
                  <c:pt idx="180">
                    <c:v>8.3480759120056358E-11</c:v>
                  </c:pt>
                  <c:pt idx="181">
                    <c:v>9.2444605164442377E-11</c:v>
                  </c:pt>
                  <c:pt idx="182">
                    <c:v>9.1096724272994026E-11</c:v>
                  </c:pt>
                  <c:pt idx="183">
                    <c:v>8.7624436248561343E-11</c:v>
                  </c:pt>
                  <c:pt idx="184">
                    <c:v>7.626588990443239E-11</c:v>
                  </c:pt>
                  <c:pt idx="185">
                    <c:v>7.0860913206546293E-11</c:v>
                  </c:pt>
                  <c:pt idx="186">
                    <c:v>6.6321886087551265E-11</c:v>
                  </c:pt>
                  <c:pt idx="187">
                    <c:v>6.4668793430064231E-11</c:v>
                  </c:pt>
                  <c:pt idx="188">
                    <c:v>7.0016111057259321E-11</c:v>
                  </c:pt>
                  <c:pt idx="189">
                    <c:v>8.3162727904154451E-11</c:v>
                  </c:pt>
                  <c:pt idx="190">
                    <c:v>8.1468071810921313E-11</c:v>
                  </c:pt>
                  <c:pt idx="191">
                    <c:v>9.6369359502782281E-11</c:v>
                  </c:pt>
                  <c:pt idx="192">
                    <c:v>1.0210183560530017E-10</c:v>
                  </c:pt>
                  <c:pt idx="193">
                    <c:v>1.057482654377134E-10</c:v>
                  </c:pt>
                  <c:pt idx="194">
                    <c:v>8.9300494808198671E-11</c:v>
                  </c:pt>
                  <c:pt idx="195">
                    <c:v>9.590007269595022E-11</c:v>
                  </c:pt>
                  <c:pt idx="196">
                    <c:v>8.358508645688627E-11</c:v>
                  </c:pt>
                  <c:pt idx="197">
                    <c:v>8.4703352178507216E-11</c:v>
                  </c:pt>
                  <c:pt idx="198">
                    <c:v>8.0254751913140295E-11</c:v>
                  </c:pt>
                  <c:pt idx="199">
                    <c:v>8.9986637408470351E-11</c:v>
                  </c:pt>
                  <c:pt idx="200">
                    <c:v>1.0568476043641453E-10</c:v>
                  </c:pt>
                  <c:pt idx="201">
                    <c:v>1.1731416923230435E-10</c:v>
                  </c:pt>
                  <c:pt idx="202">
                    <c:v>1.2068846449227642E-10</c:v>
                  </c:pt>
                  <c:pt idx="203">
                    <c:v>1.2690167562073935E-10</c:v>
                  </c:pt>
                  <c:pt idx="204">
                    <c:v>1.128814252192434E-10</c:v>
                  </c:pt>
                  <c:pt idx="205">
                    <c:v>1.2282366779790548E-10</c:v>
                  </c:pt>
                  <c:pt idx="206">
                    <c:v>1.1276516576009057E-10</c:v>
                  </c:pt>
                  <c:pt idx="207">
                    <c:v>1.169365325471669E-10</c:v>
                  </c:pt>
                  <c:pt idx="208">
                    <c:v>1.0953086601274279E-10</c:v>
                  </c:pt>
                  <c:pt idx="209">
                    <c:v>1.2517771782908392E-10</c:v>
                  </c:pt>
                  <c:pt idx="210">
                    <c:v>1.3039603761917614E-10</c:v>
                  </c:pt>
                  <c:pt idx="211">
                    <c:v>1.5017272058290105E-10</c:v>
                  </c:pt>
                  <c:pt idx="212">
                    <c:v>1.6434488209494936E-10</c:v>
                  </c:pt>
                  <c:pt idx="213">
                    <c:v>1.4721840301764834E-10</c:v>
                  </c:pt>
                  <c:pt idx="214">
                    <c:v>1.5756710374213181E-10</c:v>
                  </c:pt>
                  <c:pt idx="215">
                    <c:v>1.3694074177223248E-10</c:v>
                  </c:pt>
                  <c:pt idx="216">
                    <c:v>1.3974732664832372E-10</c:v>
                  </c:pt>
                  <c:pt idx="217">
                    <c:v>1.3096706552446789E-10</c:v>
                  </c:pt>
                  <c:pt idx="218">
                    <c:v>1.3774705160863014E-10</c:v>
                  </c:pt>
                  <c:pt idx="219">
                    <c:v>1.5102073239591149E-10</c:v>
                  </c:pt>
                  <c:pt idx="220">
                    <c:v>1.7813772027699504E-10</c:v>
                  </c:pt>
                  <c:pt idx="221">
                    <c:v>1.8548224669566185E-10</c:v>
                  </c:pt>
                  <c:pt idx="222">
                    <c:v>1.693124514908952E-10</c:v>
                  </c:pt>
                  <c:pt idx="223">
                    <c:v>1.6966320324709726E-10</c:v>
                  </c:pt>
                  <c:pt idx="224">
                    <c:v>1.5200710220049387E-10</c:v>
                  </c:pt>
                  <c:pt idx="225">
                    <c:v>1.5405401427088322E-10</c:v>
                  </c:pt>
                  <c:pt idx="226">
                    <c:v>1.6548025088810299E-10</c:v>
                  </c:pt>
                  <c:pt idx="227">
                    <c:v>1.9260463208084481E-10</c:v>
                  </c:pt>
                  <c:pt idx="228">
                    <c:v>1.8001424658633624E-10</c:v>
                  </c:pt>
                  <c:pt idx="229">
                    <c:v>1.9023604097463817E-10</c:v>
                  </c:pt>
                  <c:pt idx="230">
                    <c:v>2.0109477280553665E-10</c:v>
                  </c:pt>
                  <c:pt idx="231">
                    <c:v>1.8563362450509308E-10</c:v>
                  </c:pt>
                  <c:pt idx="232">
                    <c:v>1.7499595278531732E-10</c:v>
                  </c:pt>
                  <c:pt idx="233">
                    <c:v>1.7426951300627027E-10</c:v>
                  </c:pt>
                  <c:pt idx="234">
                    <c:v>2.0731337092896146E-10</c:v>
                  </c:pt>
                  <c:pt idx="235">
                    <c:v>2.1627246050107708E-10</c:v>
                  </c:pt>
                  <c:pt idx="236">
                    <c:v>2.2312742944354605E-10</c:v>
                  </c:pt>
                  <c:pt idx="237">
                    <c:v>2.4802966066543284E-10</c:v>
                  </c:pt>
                  <c:pt idx="238">
                    <c:v>2.4451301873426635E-10</c:v>
                  </c:pt>
                  <c:pt idx="239">
                    <c:v>2.1237622396414473E-10</c:v>
                  </c:pt>
                  <c:pt idx="240">
                    <c:v>1.4271013689075406E-10</c:v>
                  </c:pt>
                  <c:pt idx="241">
                    <c:v>1.312294899978562E-10</c:v>
                  </c:pt>
                  <c:pt idx="242">
                    <c:v>1.3493130859392493E-10</c:v>
                  </c:pt>
                  <c:pt idx="243">
                    <c:v>1.4070051412150199E-10</c:v>
                  </c:pt>
                  <c:pt idx="244">
                    <c:v>1.4723013856556304E-10</c:v>
                  </c:pt>
                  <c:pt idx="245">
                    <c:v>1.3062665077368812E-10</c:v>
                  </c:pt>
                  <c:pt idx="246">
                    <c:v>1.3070093222135332E-10</c:v>
                  </c:pt>
                  <c:pt idx="247">
                    <c:v>1.390996314617402E-10</c:v>
                  </c:pt>
                  <c:pt idx="248">
                    <c:v>1.4710158594342673E-10</c:v>
                  </c:pt>
                  <c:pt idx="249">
                    <c:v>1.5680446019750845E-10</c:v>
                  </c:pt>
                  <c:pt idx="250">
                    <c:v>1.5647426961972662E-10</c:v>
                  </c:pt>
                  <c:pt idx="251">
                    <c:v>1.4598498250270389E-10</c:v>
                  </c:pt>
                  <c:pt idx="252">
                    <c:v>1.5394266229851654E-10</c:v>
                  </c:pt>
                  <c:pt idx="253">
                    <c:v>1.5959067000874609E-10</c:v>
                  </c:pt>
                  <c:pt idx="254">
                    <c:v>1.7905828494602738E-10</c:v>
                  </c:pt>
                  <c:pt idx="255">
                    <c:v>1.9672950810620472E-10</c:v>
                  </c:pt>
                  <c:pt idx="256">
                    <c:v>1.8632355820146618E-10</c:v>
                  </c:pt>
                  <c:pt idx="257">
                    <c:v>1.8463734414463141E-10</c:v>
                  </c:pt>
                  <c:pt idx="258">
                    <c:v>1.7959626967964648E-10</c:v>
                  </c:pt>
                  <c:pt idx="259">
                    <c:v>2.11513482868602E-10</c:v>
                  </c:pt>
                  <c:pt idx="260">
                    <c:v>2.0646813785558627E-10</c:v>
                  </c:pt>
                  <c:pt idx="261">
                    <c:v>1.9587059771824697E-10</c:v>
                  </c:pt>
                  <c:pt idx="262">
                    <c:v>2.1493529291628935E-10</c:v>
                  </c:pt>
                  <c:pt idx="263">
                    <c:v>2.1000569074802143E-10</c:v>
                  </c:pt>
                  <c:pt idx="264">
                    <c:v>2.029657586891467E-10</c:v>
                  </c:pt>
                  <c:pt idx="265">
                    <c:v>2.2160317528731534E-10</c:v>
                  </c:pt>
                  <c:pt idx="266">
                    <c:v>2.1760213949897151E-10</c:v>
                  </c:pt>
                  <c:pt idx="267">
                    <c:v>2.4062176513110347E-10</c:v>
                  </c:pt>
                  <c:pt idx="268">
                    <c:v>2.2729004904570232E-10</c:v>
                  </c:pt>
                  <c:pt idx="269">
                    <c:v>2.4696925935163866E-10</c:v>
                  </c:pt>
                  <c:pt idx="270">
                    <c:v>2.1863766549117442E-10</c:v>
                  </c:pt>
                  <c:pt idx="271">
                    <c:v>2.6932650363776328E-10</c:v>
                  </c:pt>
                  <c:pt idx="272">
                    <c:v>2.78463032140548E-10</c:v>
                  </c:pt>
                  <c:pt idx="273">
                    <c:v>2.763671225391503E-10</c:v>
                  </c:pt>
                  <c:pt idx="274">
                    <c:v>2.6540372055049677E-10</c:v>
                  </c:pt>
                  <c:pt idx="275">
                    <c:v>3.1309772847271621E-10</c:v>
                  </c:pt>
                  <c:pt idx="276">
                    <c:v>2.8147091792614098E-10</c:v>
                  </c:pt>
                  <c:pt idx="277">
                    <c:v>2.9944164221007855E-10</c:v>
                  </c:pt>
                  <c:pt idx="278">
                    <c:v>3.1580342783611952E-10</c:v>
                  </c:pt>
                  <c:pt idx="279">
                    <c:v>3.0267361100657748E-10</c:v>
                  </c:pt>
                  <c:pt idx="280">
                    <c:v>3.5579912758667973E-10</c:v>
                  </c:pt>
                  <c:pt idx="281">
                    <c:v>3.2796896112903616E-10</c:v>
                  </c:pt>
                  <c:pt idx="282">
                    <c:v>3.5263222031420571E-10</c:v>
                  </c:pt>
                  <c:pt idx="283">
                    <c:v>3.3522705281055249E-10</c:v>
                  </c:pt>
                  <c:pt idx="284">
                    <c:v>3.4413164466727137E-10</c:v>
                  </c:pt>
                  <c:pt idx="285">
                    <c:v>3.5759091830314689E-10</c:v>
                  </c:pt>
                  <c:pt idx="286">
                    <c:v>3.2889775289356146E-10</c:v>
                  </c:pt>
                  <c:pt idx="287">
                    <c:v>3.5381986595795088E-10</c:v>
                  </c:pt>
                  <c:pt idx="288">
                    <c:v>3.8140196748330778E-10</c:v>
                  </c:pt>
                  <c:pt idx="289">
                    <c:v>3.8911926948508788E-10</c:v>
                  </c:pt>
                  <c:pt idx="290">
                    <c:v>4.4986966357897074E-10</c:v>
                  </c:pt>
                  <c:pt idx="291">
                    <c:v>3.7836259492507548E-10</c:v>
                  </c:pt>
                  <c:pt idx="292">
                    <c:v>4.4966051813374107E-10</c:v>
                  </c:pt>
                  <c:pt idx="293">
                    <c:v>3.9709202940236694E-10</c:v>
                  </c:pt>
                  <c:pt idx="294">
                    <c:v>4.2553556853111978E-10</c:v>
                  </c:pt>
                  <c:pt idx="295">
                    <c:v>4.2225171188078127E-10</c:v>
                  </c:pt>
                  <c:pt idx="296">
                    <c:v>4.2178537228890941E-10</c:v>
                  </c:pt>
                  <c:pt idx="297">
                    <c:v>4.2299077068045348E-10</c:v>
                  </c:pt>
                  <c:pt idx="298">
                    <c:v>4.4328510831964045E-10</c:v>
                  </c:pt>
                  <c:pt idx="299">
                    <c:v>4.6250302646764695E-10</c:v>
                  </c:pt>
                  <c:pt idx="300">
                    <c:v>4.7242025185259742E-10</c:v>
                  </c:pt>
                  <c:pt idx="301">
                    <c:v>4.8884082184511111E-10</c:v>
                  </c:pt>
                  <c:pt idx="302">
                    <c:v>5.436073278508291E-10</c:v>
                  </c:pt>
                  <c:pt idx="303">
                    <c:v>4.6769258834793784E-10</c:v>
                  </c:pt>
                  <c:pt idx="304">
                    <c:v>5.1850178287837149E-10</c:v>
                  </c:pt>
                  <c:pt idx="305">
                    <c:v>4.5358097184029109E-10</c:v>
                  </c:pt>
                  <c:pt idx="306">
                    <c:v>5.2574528067463676E-10</c:v>
                  </c:pt>
                  <c:pt idx="307">
                    <c:v>6.2481033945507471E-10</c:v>
                  </c:pt>
                  <c:pt idx="308">
                    <c:v>6.7102623317704446E-10</c:v>
                  </c:pt>
                  <c:pt idx="309">
                    <c:v>6.0163922501270442E-10</c:v>
                  </c:pt>
                  <c:pt idx="310">
                    <c:v>6.2707167808923359E-10</c:v>
                  </c:pt>
                  <c:pt idx="311">
                    <c:v>7.3895732139365784E-10</c:v>
                  </c:pt>
                  <c:pt idx="312">
                    <c:v>6.423687810606093E-10</c:v>
                  </c:pt>
                  <c:pt idx="313">
                    <c:v>6.8832487456296673E-10</c:v>
                  </c:pt>
                  <c:pt idx="314">
                    <c:v>7.4883216868634903E-10</c:v>
                  </c:pt>
                  <c:pt idx="315">
                    <c:v>8.6816841158919269E-10</c:v>
                  </c:pt>
                  <c:pt idx="316">
                    <c:v>7.677891310122253E-10</c:v>
                  </c:pt>
                  <c:pt idx="317">
                    <c:v>7.6147648885559347E-10</c:v>
                  </c:pt>
                  <c:pt idx="318">
                    <c:v>8.2190934425304669E-10</c:v>
                  </c:pt>
                  <c:pt idx="319">
                    <c:v>7.7828264128656746E-10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5.3401504263738009E-10</c:v>
                  </c:pt>
                  <c:pt idx="1">
                    <c:v>4.4990860462959254E-10</c:v>
                  </c:pt>
                  <c:pt idx="2">
                    <c:v>3.6504423174766346E-10</c:v>
                  </c:pt>
                  <c:pt idx="3">
                    <c:v>3.3336843387747038E-10</c:v>
                  </c:pt>
                  <c:pt idx="4">
                    <c:v>3.4454369869801908E-10</c:v>
                  </c:pt>
                  <c:pt idx="5">
                    <c:v>3.6308226350226559E-10</c:v>
                  </c:pt>
                  <c:pt idx="6">
                    <c:v>3.651937527191074E-10</c:v>
                  </c:pt>
                  <c:pt idx="7">
                    <c:v>3.5085803260483733E-10</c:v>
                  </c:pt>
                  <c:pt idx="8">
                    <c:v>3.3781313454856055E-10</c:v>
                  </c:pt>
                  <c:pt idx="9">
                    <c:v>3.5577393611860814E-10</c:v>
                  </c:pt>
                  <c:pt idx="10">
                    <c:v>3.6644893213848052E-10</c:v>
                  </c:pt>
                  <c:pt idx="11">
                    <c:v>3.4973401122431149E-10</c:v>
                  </c:pt>
                  <c:pt idx="12">
                    <c:v>2.9412398159062258E-10</c:v>
                  </c:pt>
                  <c:pt idx="13">
                    <c:v>3.0431627568557509E-10</c:v>
                  </c:pt>
                  <c:pt idx="14">
                    <c:v>2.871718696396016E-10</c:v>
                  </c:pt>
                  <c:pt idx="15">
                    <c:v>3.1441855787351172E-10</c:v>
                  </c:pt>
                  <c:pt idx="16">
                    <c:v>3.14150728388862E-10</c:v>
                  </c:pt>
                  <c:pt idx="17">
                    <c:v>5.3567132111434893E-10</c:v>
                  </c:pt>
                  <c:pt idx="18">
                    <c:v>5.2291238242339948E-10</c:v>
                  </c:pt>
                  <c:pt idx="19">
                    <c:v>5.6635566829474395E-10</c:v>
                  </c:pt>
                  <c:pt idx="20">
                    <c:v>5.6363873882290855E-10</c:v>
                  </c:pt>
                  <c:pt idx="21">
                    <c:v>4.9627963081008235E-10</c:v>
                  </c:pt>
                  <c:pt idx="22">
                    <c:v>5.3396188496128826E-10</c:v>
                  </c:pt>
                  <c:pt idx="23">
                    <c:v>5.1707080655917913E-10</c:v>
                  </c:pt>
                  <c:pt idx="24">
                    <c:v>5.0819942133441962E-10</c:v>
                  </c:pt>
                  <c:pt idx="25">
                    <c:v>4.8949010241280237E-10</c:v>
                  </c:pt>
                  <c:pt idx="26">
                    <c:v>4.0795829679854047E-10</c:v>
                  </c:pt>
                  <c:pt idx="27">
                    <c:v>3.7448991854859201E-10</c:v>
                  </c:pt>
                  <c:pt idx="28">
                    <c:v>3.6171144870341391E-10</c:v>
                  </c:pt>
                  <c:pt idx="29">
                    <c:v>3.5008718617107811E-10</c:v>
                  </c:pt>
                  <c:pt idx="30">
                    <c:v>3.2774222360942304E-10</c:v>
                  </c:pt>
                  <c:pt idx="31">
                    <c:v>3.3270347407318178E-10</c:v>
                  </c:pt>
                  <c:pt idx="32">
                    <c:v>3.2957563509553927E-10</c:v>
                  </c:pt>
                  <c:pt idx="33">
                    <c:v>1.9879506773675279E-10</c:v>
                  </c:pt>
                  <c:pt idx="34">
                    <c:v>1.8184399325001884E-10</c:v>
                  </c:pt>
                  <c:pt idx="35">
                    <c:v>1.9348915666455135E-10</c:v>
                  </c:pt>
                  <c:pt idx="36">
                    <c:v>1.8787376912593627E-10</c:v>
                  </c:pt>
                  <c:pt idx="37">
                    <c:v>1.7653780553614496E-10</c:v>
                  </c:pt>
                  <c:pt idx="38">
                    <c:v>2.0722269997629424E-10</c:v>
                  </c:pt>
                  <c:pt idx="39">
                    <c:v>1.8864907071748991E-10</c:v>
                  </c:pt>
                  <c:pt idx="40">
                    <c:v>1.8608579430244997E-10</c:v>
                  </c:pt>
                  <c:pt idx="41">
                    <c:v>1.7558797565475475E-10</c:v>
                  </c:pt>
                  <c:pt idx="42">
                    <c:v>1.9077647307404666E-10</c:v>
                  </c:pt>
                  <c:pt idx="43">
                    <c:v>1.5511101695934907E-10</c:v>
                  </c:pt>
                  <c:pt idx="44">
                    <c:v>1.5008527064286507E-10</c:v>
                  </c:pt>
                  <c:pt idx="45">
                    <c:v>1.4156557589172719E-10</c:v>
                  </c:pt>
                  <c:pt idx="46">
                    <c:v>1.3562423871179328E-10</c:v>
                  </c:pt>
                  <c:pt idx="47">
                    <c:v>1.2736603688997493E-10</c:v>
                  </c:pt>
                  <c:pt idx="48">
                    <c:v>1.1577636445978023E-10</c:v>
                  </c:pt>
                  <c:pt idx="49">
                    <c:v>1.0748379075210168E-10</c:v>
                  </c:pt>
                  <c:pt idx="50">
                    <c:v>9.8680450674678134E-11</c:v>
                  </c:pt>
                  <c:pt idx="51">
                    <c:v>1.0615587024369815E-10</c:v>
                  </c:pt>
                  <c:pt idx="52">
                    <c:v>1.0902257541284266E-10</c:v>
                  </c:pt>
                  <c:pt idx="53">
                    <c:v>1.0877717654134192E-10</c:v>
                  </c:pt>
                  <c:pt idx="54">
                    <c:v>1.0959425115239924E-10</c:v>
                  </c:pt>
                  <c:pt idx="55">
                    <c:v>1.1427285240439744E-10</c:v>
                  </c:pt>
                  <c:pt idx="56">
                    <c:v>1.2090247018908171E-10</c:v>
                  </c:pt>
                  <c:pt idx="57">
                    <c:v>1.1960762027986326E-10</c:v>
                  </c:pt>
                  <c:pt idx="58">
                    <c:v>1.3074931968027663E-10</c:v>
                  </c:pt>
                  <c:pt idx="59">
                    <c:v>1.2441133664659461E-10</c:v>
                  </c:pt>
                  <c:pt idx="60">
                    <c:v>8.8846406546855683E-11</c:v>
                  </c:pt>
                  <c:pt idx="61">
                    <c:v>8.9261374610011247E-11</c:v>
                  </c:pt>
                  <c:pt idx="62">
                    <c:v>9.6005389870814138E-11</c:v>
                  </c:pt>
                  <c:pt idx="63">
                    <c:v>9.8813640288119299E-11</c:v>
                  </c:pt>
                  <c:pt idx="64">
                    <c:v>1.0002684181101229E-10</c:v>
                  </c:pt>
                  <c:pt idx="65">
                    <c:v>1.0060307261781374E-10</c:v>
                  </c:pt>
                  <c:pt idx="66">
                    <c:v>1.0595918120551583E-10</c:v>
                  </c:pt>
                  <c:pt idx="67">
                    <c:v>1.5578269685141805E-10</c:v>
                  </c:pt>
                  <c:pt idx="68">
                    <c:v>1.4705267755826974E-10</c:v>
                  </c:pt>
                  <c:pt idx="69">
                    <c:v>1.3750031406815979E-10</c:v>
                  </c:pt>
                  <c:pt idx="70">
                    <c:v>1.3819962005761989E-10</c:v>
                  </c:pt>
                  <c:pt idx="71">
                    <c:v>1.3363034050649145E-10</c:v>
                  </c:pt>
                  <c:pt idx="72">
                    <c:v>1.3761760362070101E-10</c:v>
                  </c:pt>
                  <c:pt idx="73">
                    <c:v>1.160428623311792E-10</c:v>
                  </c:pt>
                  <c:pt idx="74">
                    <c:v>1.1643355825932565E-10</c:v>
                  </c:pt>
                  <c:pt idx="75">
                    <c:v>1.1906387497669209E-10</c:v>
                  </c:pt>
                  <c:pt idx="76">
                    <c:v>1.0151093473516785E-10</c:v>
                  </c:pt>
                  <c:pt idx="77">
                    <c:v>9.1295246415031972E-11</c:v>
                  </c:pt>
                  <c:pt idx="78">
                    <c:v>8.9299994854290036E-11</c:v>
                  </c:pt>
                  <c:pt idx="79">
                    <c:v>9.3213345088113365E-11</c:v>
                  </c:pt>
                  <c:pt idx="80">
                    <c:v>9.3290521388698082E-11</c:v>
                  </c:pt>
                  <c:pt idx="81">
                    <c:v>8.7614266503405502E-11</c:v>
                  </c:pt>
                  <c:pt idx="82">
                    <c:v>9.6249674188972677E-11</c:v>
                  </c:pt>
                  <c:pt idx="83">
                    <c:v>8.4908588458628733E-11</c:v>
                  </c:pt>
                  <c:pt idx="84">
                    <c:v>9.3644237746428226E-11</c:v>
                  </c:pt>
                  <c:pt idx="85">
                    <c:v>9.0714566147212896E-11</c:v>
                  </c:pt>
                  <c:pt idx="86">
                    <c:v>1.0546238461059908E-10</c:v>
                  </c:pt>
                  <c:pt idx="87">
                    <c:v>1.0042713940709974E-10</c:v>
                  </c:pt>
                  <c:pt idx="88">
                    <c:v>1.0567607464758985E-10</c:v>
                  </c:pt>
                  <c:pt idx="89">
                    <c:v>1.2683712584881711E-10</c:v>
                  </c:pt>
                  <c:pt idx="90">
                    <c:v>1.2226899643208063E-10</c:v>
                  </c:pt>
                  <c:pt idx="91">
                    <c:v>1.242073818641748E-10</c:v>
                  </c:pt>
                  <c:pt idx="92">
                    <c:v>1.3939130446481928E-10</c:v>
                  </c:pt>
                  <c:pt idx="93">
                    <c:v>1.4072627701653152E-10</c:v>
                  </c:pt>
                  <c:pt idx="94">
                    <c:v>1.3590471955134189E-10</c:v>
                  </c:pt>
                  <c:pt idx="95">
                    <c:v>1.3313362923991319E-10</c:v>
                  </c:pt>
                  <c:pt idx="96">
                    <c:v>1.2874284875114431E-10</c:v>
                  </c:pt>
                  <c:pt idx="97">
                    <c:v>1.3882275361099996E-10</c:v>
                  </c:pt>
                  <c:pt idx="98">
                    <c:v>1.2673465332789111E-10</c:v>
                  </c:pt>
                  <c:pt idx="99">
                    <c:v>5.739285188129966E-11</c:v>
                  </c:pt>
                  <c:pt idx="100">
                    <c:v>5.6536658472240186E-11</c:v>
                  </c:pt>
                  <c:pt idx="101">
                    <c:v>5.307049770214012E-11</c:v>
                  </c:pt>
                  <c:pt idx="102">
                    <c:v>4.3793710743434489E-11</c:v>
                  </c:pt>
                  <c:pt idx="103">
                    <c:v>4.4467600597202618E-11</c:v>
                  </c:pt>
                  <c:pt idx="104">
                    <c:v>4.1032539020837479E-11</c:v>
                  </c:pt>
                  <c:pt idx="105">
                    <c:v>4.0856703004665303E-11</c:v>
                  </c:pt>
                  <c:pt idx="106">
                    <c:v>3.7485451057294344E-11</c:v>
                  </c:pt>
                  <c:pt idx="107">
                    <c:v>3.9261229903830193E-11</c:v>
                  </c:pt>
                  <c:pt idx="108">
                    <c:v>4.3587010008202033E-11</c:v>
                  </c:pt>
                  <c:pt idx="109">
                    <c:v>4.6041951435471623E-11</c:v>
                  </c:pt>
                  <c:pt idx="110">
                    <c:v>5.1451471543155331E-11</c:v>
                  </c:pt>
                  <c:pt idx="111">
                    <c:v>5.38161309772343E-11</c:v>
                  </c:pt>
                  <c:pt idx="112">
                    <c:v>5.4834469123096709E-11</c:v>
                  </c:pt>
                  <c:pt idx="113">
                    <c:v>5.8934006927126167E-11</c:v>
                  </c:pt>
                  <c:pt idx="114">
                    <c:v>6.0356851764835154E-11</c:v>
                  </c:pt>
                  <c:pt idx="115">
                    <c:v>6.7763903249074168E-11</c:v>
                  </c:pt>
                  <c:pt idx="116">
                    <c:v>6.9467341846232938E-11</c:v>
                  </c:pt>
                  <c:pt idx="117">
                    <c:v>7.1605704003481927E-11</c:v>
                  </c:pt>
                  <c:pt idx="118">
                    <c:v>8.2324226647003359E-11</c:v>
                  </c:pt>
                  <c:pt idx="119">
                    <c:v>7.7658276151372482E-11</c:v>
                  </c:pt>
                  <c:pt idx="120">
                    <c:v>7.3341239280689653E-11</c:v>
                  </c:pt>
                  <c:pt idx="121">
                    <c:v>7.7018142637102091E-11</c:v>
                  </c:pt>
                  <c:pt idx="122">
                    <c:v>7.4850721194773196E-11</c:v>
                  </c:pt>
                  <c:pt idx="123">
                    <c:v>6.6837068184871441E-11</c:v>
                  </c:pt>
                  <c:pt idx="124">
                    <c:v>6.2823746388633388E-11</c:v>
                  </c:pt>
                  <c:pt idx="125">
                    <c:v>6.0921026852232197E-11</c:v>
                  </c:pt>
                  <c:pt idx="126">
                    <c:v>5.6814359351854028E-11</c:v>
                  </c:pt>
                  <c:pt idx="127">
                    <c:v>5.5004528535828227E-11</c:v>
                  </c:pt>
                  <c:pt idx="128">
                    <c:v>5.8060570753984987E-11</c:v>
                  </c:pt>
                  <c:pt idx="129">
                    <c:v>5.778534105120343E-11</c:v>
                  </c:pt>
                  <c:pt idx="130">
                    <c:v>6.8022544716023419E-11</c:v>
                  </c:pt>
                  <c:pt idx="131">
                    <c:v>7.5831232042009581E-11</c:v>
                  </c:pt>
                  <c:pt idx="132">
                    <c:v>7.4608407673734544E-11</c:v>
                  </c:pt>
                  <c:pt idx="133">
                    <c:v>7.5295857207531222E-11</c:v>
                  </c:pt>
                  <c:pt idx="134">
                    <c:v>9.2520813114302278E-11</c:v>
                  </c:pt>
                  <c:pt idx="135">
                    <c:v>9.8090091390342099E-11</c:v>
                  </c:pt>
                  <c:pt idx="136">
                    <c:v>1.0507302897900953E-10</c:v>
                  </c:pt>
                  <c:pt idx="137">
                    <c:v>1.0525621035041504E-10</c:v>
                  </c:pt>
                  <c:pt idx="138">
                    <c:v>1.1189290119831374E-10</c:v>
                  </c:pt>
                  <c:pt idx="139">
                    <c:v>1.1141836025781429E-10</c:v>
                  </c:pt>
                  <c:pt idx="140">
                    <c:v>9.9768299016724999E-11</c:v>
                  </c:pt>
                  <c:pt idx="141">
                    <c:v>1.0387799331876165E-10</c:v>
                  </c:pt>
                  <c:pt idx="142">
                    <c:v>9.1346123740354958E-11</c:v>
                  </c:pt>
                  <c:pt idx="143">
                    <c:v>9.3621180118758299E-11</c:v>
                  </c:pt>
                  <c:pt idx="144">
                    <c:v>8.570917865327293E-11</c:v>
                  </c:pt>
                  <c:pt idx="145">
                    <c:v>8.2677602708314918E-11</c:v>
                  </c:pt>
                  <c:pt idx="146">
                    <c:v>7.9586992733899108E-11</c:v>
                  </c:pt>
                  <c:pt idx="147">
                    <c:v>8.360765618432315E-11</c:v>
                  </c:pt>
                  <c:pt idx="148">
                    <c:v>8.9638137282422044E-11</c:v>
                  </c:pt>
                  <c:pt idx="149">
                    <c:v>9.6670625866241095E-11</c:v>
                  </c:pt>
                  <c:pt idx="150">
                    <c:v>1.1065138428247394E-10</c:v>
                  </c:pt>
                  <c:pt idx="151">
                    <c:v>1.2793626221944448E-10</c:v>
                  </c:pt>
                  <c:pt idx="152">
                    <c:v>1.2545893764368582E-10</c:v>
                  </c:pt>
                  <c:pt idx="153">
                    <c:v>1.3434899847419184E-10</c:v>
                  </c:pt>
                  <c:pt idx="154">
                    <c:v>1.2138929756915334E-10</c:v>
                  </c:pt>
                  <c:pt idx="155">
                    <c:v>1.4423342719778625E-10</c:v>
                  </c:pt>
                  <c:pt idx="156">
                    <c:v>1.5008419754582903E-10</c:v>
                  </c:pt>
                  <c:pt idx="157">
                    <c:v>1.3341239827299882E-10</c:v>
                  </c:pt>
                  <c:pt idx="158">
                    <c:v>1.2469727145106937E-10</c:v>
                  </c:pt>
                  <c:pt idx="159">
                    <c:v>1.1535906267705413E-10</c:v>
                  </c:pt>
                  <c:pt idx="160">
                    <c:v>1.2387303772495541E-10</c:v>
                  </c:pt>
                  <c:pt idx="161">
                    <c:v>1.2020863863676513E-10</c:v>
                  </c:pt>
                  <c:pt idx="162">
                    <c:v>1.0746935697756038E-10</c:v>
                  </c:pt>
                  <c:pt idx="163">
                    <c:v>1.1960364184630007E-10</c:v>
                  </c:pt>
                  <c:pt idx="164">
                    <c:v>1.3633957413588025E-10</c:v>
                  </c:pt>
                  <c:pt idx="165">
                    <c:v>1.388367981725923E-10</c:v>
                  </c:pt>
                  <c:pt idx="166">
                    <c:v>1.6490012451991984E-10</c:v>
                  </c:pt>
                  <c:pt idx="167">
                    <c:v>1.7286822956048233E-10</c:v>
                  </c:pt>
                  <c:pt idx="168">
                    <c:v>1.6563724477866303E-10</c:v>
                  </c:pt>
                  <c:pt idx="169">
                    <c:v>2.0291813064159913E-10</c:v>
                  </c:pt>
                  <c:pt idx="170">
                    <c:v>8.2828677584007845E-11</c:v>
                  </c:pt>
                  <c:pt idx="171">
                    <c:v>7.0928308144371322E-11</c:v>
                  </c:pt>
                  <c:pt idx="172">
                    <c:v>6.0891887870820083E-11</c:v>
                  </c:pt>
                  <c:pt idx="173">
                    <c:v>5.5824306093566488E-11</c:v>
                  </c:pt>
                  <c:pt idx="174">
                    <c:v>5.8565852958284223E-11</c:v>
                  </c:pt>
                  <c:pt idx="175">
                    <c:v>5.1373886445318357E-11</c:v>
                  </c:pt>
                  <c:pt idx="176">
                    <c:v>5.5040374218144246E-11</c:v>
                  </c:pt>
                  <c:pt idx="177">
                    <c:v>6.1266705195801047E-11</c:v>
                  </c:pt>
                  <c:pt idx="178">
                    <c:v>6.9946185785075054E-11</c:v>
                  </c:pt>
                  <c:pt idx="179">
                    <c:v>7.6474000693611084E-11</c:v>
                  </c:pt>
                  <c:pt idx="180">
                    <c:v>8.3480759120056358E-11</c:v>
                  </c:pt>
                  <c:pt idx="181">
                    <c:v>9.2444605164442377E-11</c:v>
                  </c:pt>
                  <c:pt idx="182">
                    <c:v>9.1096724272994026E-11</c:v>
                  </c:pt>
                  <c:pt idx="183">
                    <c:v>8.7624436248561343E-11</c:v>
                  </c:pt>
                  <c:pt idx="184">
                    <c:v>7.626588990443239E-11</c:v>
                  </c:pt>
                  <c:pt idx="185">
                    <c:v>7.0860913206546293E-11</c:v>
                  </c:pt>
                  <c:pt idx="186">
                    <c:v>6.6321886087551265E-11</c:v>
                  </c:pt>
                  <c:pt idx="187">
                    <c:v>6.4668793430064231E-11</c:v>
                  </c:pt>
                  <c:pt idx="188">
                    <c:v>7.0016111057259321E-11</c:v>
                  </c:pt>
                  <c:pt idx="189">
                    <c:v>8.3162727904154451E-11</c:v>
                  </c:pt>
                  <c:pt idx="190">
                    <c:v>8.1468071810921313E-11</c:v>
                  </c:pt>
                  <c:pt idx="191">
                    <c:v>9.6369359502782281E-11</c:v>
                  </c:pt>
                  <c:pt idx="192">
                    <c:v>1.0210183560530017E-10</c:v>
                  </c:pt>
                  <c:pt idx="193">
                    <c:v>1.057482654377134E-10</c:v>
                  </c:pt>
                  <c:pt idx="194">
                    <c:v>8.9300494808198671E-11</c:v>
                  </c:pt>
                  <c:pt idx="195">
                    <c:v>9.590007269595022E-11</c:v>
                  </c:pt>
                  <c:pt idx="196">
                    <c:v>8.358508645688627E-11</c:v>
                  </c:pt>
                  <c:pt idx="197">
                    <c:v>8.4703352178507216E-11</c:v>
                  </c:pt>
                  <c:pt idx="198">
                    <c:v>8.0254751913140295E-11</c:v>
                  </c:pt>
                  <c:pt idx="199">
                    <c:v>8.9986637408470351E-11</c:v>
                  </c:pt>
                  <c:pt idx="200">
                    <c:v>1.0568476043641453E-10</c:v>
                  </c:pt>
                  <c:pt idx="201">
                    <c:v>1.1731416923230435E-10</c:v>
                  </c:pt>
                  <c:pt idx="202">
                    <c:v>1.2068846449227642E-10</c:v>
                  </c:pt>
                  <c:pt idx="203">
                    <c:v>1.2690167562073935E-10</c:v>
                  </c:pt>
                  <c:pt idx="204">
                    <c:v>1.128814252192434E-10</c:v>
                  </c:pt>
                  <c:pt idx="205">
                    <c:v>1.2282366779790548E-10</c:v>
                  </c:pt>
                  <c:pt idx="206">
                    <c:v>1.1276516576009057E-10</c:v>
                  </c:pt>
                  <c:pt idx="207">
                    <c:v>1.169365325471669E-10</c:v>
                  </c:pt>
                  <c:pt idx="208">
                    <c:v>1.0953086601274279E-10</c:v>
                  </c:pt>
                  <c:pt idx="209">
                    <c:v>1.2517771782908392E-10</c:v>
                  </c:pt>
                  <c:pt idx="210">
                    <c:v>1.3039603761917614E-10</c:v>
                  </c:pt>
                  <c:pt idx="211">
                    <c:v>1.5017272058290105E-10</c:v>
                  </c:pt>
                  <c:pt idx="212">
                    <c:v>1.6434488209494936E-10</c:v>
                  </c:pt>
                  <c:pt idx="213">
                    <c:v>1.4721840301764834E-10</c:v>
                  </c:pt>
                  <c:pt idx="214">
                    <c:v>1.5756710374213181E-10</c:v>
                  </c:pt>
                  <c:pt idx="215">
                    <c:v>1.3694074177223248E-10</c:v>
                  </c:pt>
                  <c:pt idx="216">
                    <c:v>1.3974732664832372E-10</c:v>
                  </c:pt>
                  <c:pt idx="217">
                    <c:v>1.3096706552446789E-10</c:v>
                  </c:pt>
                  <c:pt idx="218">
                    <c:v>1.3774705160863014E-10</c:v>
                  </c:pt>
                  <c:pt idx="219">
                    <c:v>1.5102073239591149E-10</c:v>
                  </c:pt>
                  <c:pt idx="220">
                    <c:v>1.7813772027699504E-10</c:v>
                  </c:pt>
                  <c:pt idx="221">
                    <c:v>1.8548224669566185E-10</c:v>
                  </c:pt>
                  <c:pt idx="222">
                    <c:v>1.693124514908952E-10</c:v>
                  </c:pt>
                  <c:pt idx="223">
                    <c:v>1.6966320324709726E-10</c:v>
                  </c:pt>
                  <c:pt idx="224">
                    <c:v>1.5200710220049387E-10</c:v>
                  </c:pt>
                  <c:pt idx="225">
                    <c:v>1.5405401427088322E-10</c:v>
                  </c:pt>
                  <c:pt idx="226">
                    <c:v>1.6548025088810299E-10</c:v>
                  </c:pt>
                  <c:pt idx="227">
                    <c:v>1.9260463208084481E-10</c:v>
                  </c:pt>
                  <c:pt idx="228">
                    <c:v>1.8001424658633624E-10</c:v>
                  </c:pt>
                  <c:pt idx="229">
                    <c:v>1.9023604097463817E-10</c:v>
                  </c:pt>
                  <c:pt idx="230">
                    <c:v>2.0109477280553665E-10</c:v>
                  </c:pt>
                  <c:pt idx="231">
                    <c:v>1.8563362450509308E-10</c:v>
                  </c:pt>
                  <c:pt idx="232">
                    <c:v>1.7499595278531732E-10</c:v>
                  </c:pt>
                  <c:pt idx="233">
                    <c:v>1.7426951300627027E-10</c:v>
                  </c:pt>
                  <c:pt idx="234">
                    <c:v>2.0731337092896146E-10</c:v>
                  </c:pt>
                  <c:pt idx="235">
                    <c:v>2.1627246050107708E-10</c:v>
                  </c:pt>
                  <c:pt idx="236">
                    <c:v>2.2312742944354605E-10</c:v>
                  </c:pt>
                  <c:pt idx="237">
                    <c:v>2.4802966066543284E-10</c:v>
                  </c:pt>
                  <c:pt idx="238">
                    <c:v>2.4451301873426635E-10</c:v>
                  </c:pt>
                  <c:pt idx="239">
                    <c:v>2.1237622396414473E-10</c:v>
                  </c:pt>
                  <c:pt idx="240">
                    <c:v>1.4271013689075406E-10</c:v>
                  </c:pt>
                  <c:pt idx="241">
                    <c:v>1.312294899978562E-10</c:v>
                  </c:pt>
                  <c:pt idx="242">
                    <c:v>1.3493130859392493E-10</c:v>
                  </c:pt>
                  <c:pt idx="243">
                    <c:v>1.4070051412150199E-10</c:v>
                  </c:pt>
                  <c:pt idx="244">
                    <c:v>1.4723013856556304E-10</c:v>
                  </c:pt>
                  <c:pt idx="245">
                    <c:v>1.3062665077368812E-10</c:v>
                  </c:pt>
                  <c:pt idx="246">
                    <c:v>1.3070093222135332E-10</c:v>
                  </c:pt>
                  <c:pt idx="247">
                    <c:v>1.390996314617402E-10</c:v>
                  </c:pt>
                  <c:pt idx="248">
                    <c:v>1.4710158594342673E-10</c:v>
                  </c:pt>
                  <c:pt idx="249">
                    <c:v>1.5680446019750845E-10</c:v>
                  </c:pt>
                  <c:pt idx="250">
                    <c:v>1.5647426961972662E-10</c:v>
                  </c:pt>
                  <c:pt idx="251">
                    <c:v>1.4598498250270389E-10</c:v>
                  </c:pt>
                  <c:pt idx="252">
                    <c:v>1.5394266229851654E-10</c:v>
                  </c:pt>
                  <c:pt idx="253">
                    <c:v>1.5959067000874609E-10</c:v>
                  </c:pt>
                  <c:pt idx="254">
                    <c:v>1.7905828494602738E-10</c:v>
                  </c:pt>
                  <c:pt idx="255">
                    <c:v>1.9672950810620472E-10</c:v>
                  </c:pt>
                  <c:pt idx="256">
                    <c:v>1.8632355820146618E-10</c:v>
                  </c:pt>
                  <c:pt idx="257">
                    <c:v>1.8463734414463141E-10</c:v>
                  </c:pt>
                  <c:pt idx="258">
                    <c:v>1.7959626967964648E-10</c:v>
                  </c:pt>
                  <c:pt idx="259">
                    <c:v>2.11513482868602E-10</c:v>
                  </c:pt>
                  <c:pt idx="260">
                    <c:v>2.0646813785558627E-10</c:v>
                  </c:pt>
                  <c:pt idx="261">
                    <c:v>1.9587059771824697E-10</c:v>
                  </c:pt>
                  <c:pt idx="262">
                    <c:v>2.1493529291628935E-10</c:v>
                  </c:pt>
                  <c:pt idx="263">
                    <c:v>2.1000569074802143E-10</c:v>
                  </c:pt>
                  <c:pt idx="264">
                    <c:v>2.029657586891467E-10</c:v>
                  </c:pt>
                  <c:pt idx="265">
                    <c:v>2.2160317528731534E-10</c:v>
                  </c:pt>
                  <c:pt idx="266">
                    <c:v>2.1760213949897151E-10</c:v>
                  </c:pt>
                  <c:pt idx="267">
                    <c:v>2.4062176513110347E-10</c:v>
                  </c:pt>
                  <c:pt idx="268">
                    <c:v>2.2729004904570232E-10</c:v>
                  </c:pt>
                  <c:pt idx="269">
                    <c:v>2.4696925935163866E-10</c:v>
                  </c:pt>
                  <c:pt idx="270">
                    <c:v>2.1863766549117442E-10</c:v>
                  </c:pt>
                  <c:pt idx="271">
                    <c:v>2.6932650363776328E-10</c:v>
                  </c:pt>
                  <c:pt idx="272">
                    <c:v>2.78463032140548E-10</c:v>
                  </c:pt>
                  <c:pt idx="273">
                    <c:v>2.763671225391503E-10</c:v>
                  </c:pt>
                  <c:pt idx="274">
                    <c:v>2.6540372055049677E-10</c:v>
                  </c:pt>
                  <c:pt idx="275">
                    <c:v>3.1309772847271621E-10</c:v>
                  </c:pt>
                  <c:pt idx="276">
                    <c:v>2.8147091792614098E-10</c:v>
                  </c:pt>
                  <c:pt idx="277">
                    <c:v>2.9944164221007855E-10</c:v>
                  </c:pt>
                  <c:pt idx="278">
                    <c:v>3.1580342783611952E-10</c:v>
                  </c:pt>
                  <c:pt idx="279">
                    <c:v>3.0267361100657748E-10</c:v>
                  </c:pt>
                  <c:pt idx="280">
                    <c:v>3.5579912758667973E-10</c:v>
                  </c:pt>
                  <c:pt idx="281">
                    <c:v>3.2796896112903616E-10</c:v>
                  </c:pt>
                  <c:pt idx="282">
                    <c:v>3.5263222031420571E-10</c:v>
                  </c:pt>
                  <c:pt idx="283">
                    <c:v>3.3522705281055249E-10</c:v>
                  </c:pt>
                  <c:pt idx="284">
                    <c:v>3.4413164466727137E-10</c:v>
                  </c:pt>
                  <c:pt idx="285">
                    <c:v>3.5759091830314689E-10</c:v>
                  </c:pt>
                  <c:pt idx="286">
                    <c:v>3.2889775289356146E-10</c:v>
                  </c:pt>
                  <c:pt idx="287">
                    <c:v>3.5381986595795088E-10</c:v>
                  </c:pt>
                  <c:pt idx="288">
                    <c:v>3.8140196748330778E-10</c:v>
                  </c:pt>
                  <c:pt idx="289">
                    <c:v>3.8911926948508788E-10</c:v>
                  </c:pt>
                  <c:pt idx="290">
                    <c:v>4.4986966357897074E-10</c:v>
                  </c:pt>
                  <c:pt idx="291">
                    <c:v>3.7836259492507548E-10</c:v>
                  </c:pt>
                  <c:pt idx="292">
                    <c:v>4.4966051813374107E-10</c:v>
                  </c:pt>
                  <c:pt idx="293">
                    <c:v>3.9709202940236694E-10</c:v>
                  </c:pt>
                  <c:pt idx="294">
                    <c:v>4.2553556853111978E-10</c:v>
                  </c:pt>
                  <c:pt idx="295">
                    <c:v>4.2225171188078127E-10</c:v>
                  </c:pt>
                  <c:pt idx="296">
                    <c:v>4.2178537228890941E-10</c:v>
                  </c:pt>
                  <c:pt idx="297">
                    <c:v>4.2299077068045348E-10</c:v>
                  </c:pt>
                  <c:pt idx="298">
                    <c:v>4.4328510831964045E-10</c:v>
                  </c:pt>
                  <c:pt idx="299">
                    <c:v>4.6250302646764695E-10</c:v>
                  </c:pt>
                  <c:pt idx="300">
                    <c:v>4.7242025185259742E-10</c:v>
                  </c:pt>
                  <c:pt idx="301">
                    <c:v>4.8884082184511111E-10</c:v>
                  </c:pt>
                  <c:pt idx="302">
                    <c:v>5.436073278508291E-10</c:v>
                  </c:pt>
                  <c:pt idx="303">
                    <c:v>4.6769258834793784E-10</c:v>
                  </c:pt>
                  <c:pt idx="304">
                    <c:v>5.1850178287837149E-10</c:v>
                  </c:pt>
                  <c:pt idx="305">
                    <c:v>4.5358097184029109E-10</c:v>
                  </c:pt>
                  <c:pt idx="306">
                    <c:v>5.2574528067463676E-10</c:v>
                  </c:pt>
                  <c:pt idx="307">
                    <c:v>6.2481033945507471E-10</c:v>
                  </c:pt>
                  <c:pt idx="308">
                    <c:v>6.7102623317704446E-10</c:v>
                  </c:pt>
                  <c:pt idx="309">
                    <c:v>6.0163922501270442E-10</c:v>
                  </c:pt>
                  <c:pt idx="310">
                    <c:v>6.2707167808923359E-10</c:v>
                  </c:pt>
                  <c:pt idx="311">
                    <c:v>7.3895732139365784E-10</c:v>
                  </c:pt>
                  <c:pt idx="312">
                    <c:v>6.423687810606093E-10</c:v>
                  </c:pt>
                  <c:pt idx="313">
                    <c:v>6.8832487456296673E-10</c:v>
                  </c:pt>
                  <c:pt idx="314">
                    <c:v>7.4883216868634903E-10</c:v>
                  </c:pt>
                  <c:pt idx="315">
                    <c:v>8.6816841158919269E-10</c:v>
                  </c:pt>
                  <c:pt idx="316">
                    <c:v>7.677891310122253E-10</c:v>
                  </c:pt>
                  <c:pt idx="317">
                    <c:v>7.6147648885559347E-10</c:v>
                  </c:pt>
                  <c:pt idx="318">
                    <c:v>8.2190934425304669E-10</c:v>
                  </c:pt>
                  <c:pt idx="319">
                    <c:v>7.7828264128656746E-10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7.9418057448799994E-3</c:v>
                </c:pt>
                <c:pt idx="1">
                  <c:v>8.0212238023300002E-3</c:v>
                </c:pt>
                <c:pt idx="2">
                  <c:v>8.1014360403499994E-3</c:v>
                </c:pt>
                <c:pt idx="3">
                  <c:v>8.1824504007600007E-3</c:v>
                </c:pt>
                <c:pt idx="4">
                  <c:v>8.2642749047700005E-3</c:v>
                </c:pt>
                <c:pt idx="5">
                  <c:v>8.3469176538099998E-3</c:v>
                </c:pt>
                <c:pt idx="6">
                  <c:v>8.4303868303500003E-3</c:v>
                </c:pt>
                <c:pt idx="7">
                  <c:v>8.5146906986500008E-3</c:v>
                </c:pt>
                <c:pt idx="8">
                  <c:v>8.5998376056400008E-3</c:v>
                </c:pt>
                <c:pt idx="9">
                  <c:v>8.6858359817000002E-3</c:v>
                </c:pt>
                <c:pt idx="10">
                  <c:v>8.7726943415100001E-3</c:v>
                </c:pt>
                <c:pt idx="11">
                  <c:v>8.86042128493E-3</c:v>
                </c:pt>
                <c:pt idx="12">
                  <c:v>8.9490254977800006E-3</c:v>
                </c:pt>
                <c:pt idx="13">
                  <c:v>9.0385157527600006E-3</c:v>
                </c:pt>
                <c:pt idx="14">
                  <c:v>9.1289009102799995E-3</c:v>
                </c:pt>
                <c:pt idx="15">
                  <c:v>9.2201899193900001E-3</c:v>
                </c:pt>
                <c:pt idx="16">
                  <c:v>9.3123918185800004E-3</c:v>
                </c:pt>
                <c:pt idx="17">
                  <c:v>9.4055157367700006E-3</c:v>
                </c:pt>
                <c:pt idx="18">
                  <c:v>9.4995708941299998E-3</c:v>
                </c:pt>
                <c:pt idx="19">
                  <c:v>9.5945666030799997E-3</c:v>
                </c:pt>
                <c:pt idx="20">
                  <c:v>9.69051226911E-3</c:v>
                </c:pt>
                <c:pt idx="21">
                  <c:v>9.7874173918000001E-3</c:v>
                </c:pt>
                <c:pt idx="22">
                  <c:v>9.8852915657199995E-3</c:v>
                </c:pt>
                <c:pt idx="23">
                  <c:v>9.9841444813699998E-3</c:v>
                </c:pt>
                <c:pt idx="24">
                  <c:v>1.0083985926200001E-2</c:v>
                </c:pt>
                <c:pt idx="25">
                  <c:v>1.01848257854E-2</c:v>
                </c:pt>
                <c:pt idx="26">
                  <c:v>1.02866740433E-2</c:v>
                </c:pt>
                <c:pt idx="27">
                  <c:v>1.03895407837E-2</c:v>
                </c:pt>
                <c:pt idx="28">
                  <c:v>1.04934361916E-2</c:v>
                </c:pt>
                <c:pt idx="29">
                  <c:v>1.05983705535E-2</c:v>
                </c:pt>
                <c:pt idx="30">
                  <c:v>1.0704354259E-2</c:v>
                </c:pt>
                <c:pt idx="31">
                  <c:v>1.08113978016E-2</c:v>
                </c:pt>
                <c:pt idx="32">
                  <c:v>1.0919511779600001E-2</c:v>
                </c:pt>
                <c:pt idx="33">
                  <c:v>1.1028706897400001E-2</c:v>
                </c:pt>
                <c:pt idx="34">
                  <c:v>1.11389939664E-2</c:v>
                </c:pt>
                <c:pt idx="35">
                  <c:v>1.12503839061E-2</c:v>
                </c:pt>
                <c:pt idx="36">
                  <c:v>1.1362887745099999E-2</c:v>
                </c:pt>
                <c:pt idx="37">
                  <c:v>1.14765166226E-2</c:v>
                </c:pt>
                <c:pt idx="38">
                  <c:v>1.1591281788799999E-2</c:v>
                </c:pt>
                <c:pt idx="39">
                  <c:v>1.17071946067E-2</c:v>
                </c:pt>
                <c:pt idx="40">
                  <c:v>1.18242665528E-2</c:v>
                </c:pt>
                <c:pt idx="41">
                  <c:v>1.19425092183E-2</c:v>
                </c:pt>
                <c:pt idx="42">
                  <c:v>1.2061934310500001E-2</c:v>
                </c:pt>
                <c:pt idx="43">
                  <c:v>1.2182553653599999E-2</c:v>
                </c:pt>
                <c:pt idx="44">
                  <c:v>1.2304379190100001E-2</c:v>
                </c:pt>
                <c:pt idx="45">
                  <c:v>1.2427422981999999E-2</c:v>
                </c:pt>
                <c:pt idx="46">
                  <c:v>1.25516972118E-2</c:v>
                </c:pt>
                <c:pt idx="47">
                  <c:v>1.26772141839E-2</c:v>
                </c:pt>
                <c:pt idx="48">
                  <c:v>1.28039863258E-2</c:v>
                </c:pt>
                <c:pt idx="49">
                  <c:v>1.2932026189000001E-2</c:v>
                </c:pt>
                <c:pt idx="50">
                  <c:v>1.3061346450899999E-2</c:v>
                </c:pt>
                <c:pt idx="51">
                  <c:v>1.31919599154E-2</c:v>
                </c:pt>
                <c:pt idx="52">
                  <c:v>1.33238795146E-2</c:v>
                </c:pt>
                <c:pt idx="53">
                  <c:v>1.3457118309700001E-2</c:v>
                </c:pt>
                <c:pt idx="54">
                  <c:v>1.3591689492799999E-2</c:v>
                </c:pt>
                <c:pt idx="55">
                  <c:v>1.37276063878E-2</c:v>
                </c:pt>
                <c:pt idx="56">
                  <c:v>1.3864882451600001E-2</c:v>
                </c:pt>
                <c:pt idx="57">
                  <c:v>1.40035312762E-2</c:v>
                </c:pt>
                <c:pt idx="58">
                  <c:v>1.41435665889E-2</c:v>
                </c:pt>
                <c:pt idx="59">
                  <c:v>1.42850022548E-2</c:v>
                </c:pt>
                <c:pt idx="60">
                  <c:v>1.44278522774E-2</c:v>
                </c:pt>
                <c:pt idx="61">
                  <c:v>1.4572130800099999E-2</c:v>
                </c:pt>
                <c:pt idx="62">
                  <c:v>1.4717852108099999E-2</c:v>
                </c:pt>
                <c:pt idx="63">
                  <c:v>1.4865030629200001E-2</c:v>
                </c:pt>
                <c:pt idx="64">
                  <c:v>1.50136809355E-2</c:v>
                </c:pt>
                <c:pt idx="65">
                  <c:v>1.5163817744900001E-2</c:v>
                </c:pt>
                <c:pt idx="66">
                  <c:v>1.5315455922300001E-2</c:v>
                </c:pt>
                <c:pt idx="67">
                  <c:v>1.54686104815E-2</c:v>
                </c:pt>
                <c:pt idx="68">
                  <c:v>1.56232965864E-2</c:v>
                </c:pt>
                <c:pt idx="69">
                  <c:v>1.5779529552200001E-2</c:v>
                </c:pt>
                <c:pt idx="70">
                  <c:v>1.59373248477E-2</c:v>
                </c:pt>
                <c:pt idx="71">
                  <c:v>1.6096698096199999E-2</c:v>
                </c:pt>
                <c:pt idx="72">
                  <c:v>1.6257665077200001E-2</c:v>
                </c:pt>
                <c:pt idx="73">
                  <c:v>1.6420241727999999E-2</c:v>
                </c:pt>
                <c:pt idx="74">
                  <c:v>1.6584444145200002E-2</c:v>
                </c:pt>
                <c:pt idx="75">
                  <c:v>1.67502885867E-2</c:v>
                </c:pt>
                <c:pt idx="76">
                  <c:v>1.6917791472599999E-2</c:v>
                </c:pt>
                <c:pt idx="77">
                  <c:v>1.7086969387300002E-2</c:v>
                </c:pt>
                <c:pt idx="78">
                  <c:v>1.7257839081199999E-2</c:v>
                </c:pt>
                <c:pt idx="79">
                  <c:v>1.7430417472000002E-2</c:v>
                </c:pt>
                <c:pt idx="80">
                  <c:v>1.7604721646699999E-2</c:v>
                </c:pt>
                <c:pt idx="81">
                  <c:v>1.77807688631E-2</c:v>
                </c:pt>
                <c:pt idx="82">
                  <c:v>1.7958576551799998E-2</c:v>
                </c:pt>
                <c:pt idx="83">
                  <c:v>1.8138162317300002E-2</c:v>
                </c:pt>
                <c:pt idx="84">
                  <c:v>1.8319543940500001E-2</c:v>
                </c:pt>
                <c:pt idx="85">
                  <c:v>1.8502739379900001E-2</c:v>
                </c:pt>
                <c:pt idx="86">
                  <c:v>1.8687766773700001E-2</c:v>
                </c:pt>
                <c:pt idx="87">
                  <c:v>1.8874644441399999E-2</c:v>
                </c:pt>
                <c:pt idx="88">
                  <c:v>1.9063390885799999E-2</c:v>
                </c:pt>
                <c:pt idx="89">
                  <c:v>1.9254024794699998E-2</c:v>
                </c:pt>
                <c:pt idx="90">
                  <c:v>1.9446565042599999E-2</c:v>
                </c:pt>
                <c:pt idx="91">
                  <c:v>1.9641030693100001E-2</c:v>
                </c:pt>
                <c:pt idx="92">
                  <c:v>1.9837441000000001E-2</c:v>
                </c:pt>
                <c:pt idx="93">
                  <c:v>2.0035815410000001E-2</c:v>
                </c:pt>
                <c:pt idx="94">
                  <c:v>2.0236173564099999E-2</c:v>
                </c:pt>
                <c:pt idx="95">
                  <c:v>2.0438535299700002E-2</c:v>
                </c:pt>
                <c:pt idx="96">
                  <c:v>2.06429206527E-2</c:v>
                </c:pt>
                <c:pt idx="97">
                  <c:v>2.0849349859299999E-2</c:v>
                </c:pt>
                <c:pt idx="98">
                  <c:v>2.1057843357800001E-2</c:v>
                </c:pt>
                <c:pt idx="99">
                  <c:v>2.12684217914E-2</c:v>
                </c:pt>
                <c:pt idx="100">
                  <c:v>2.1481106009300002E-2</c:v>
                </c:pt>
                <c:pt idx="101">
                  <c:v>2.1695917069400002E-2</c:v>
                </c:pt>
                <c:pt idx="102">
                  <c:v>2.19128762401E-2</c:v>
                </c:pt>
                <c:pt idx="103">
                  <c:v>2.21320050025E-2</c:v>
                </c:pt>
                <c:pt idx="104">
                  <c:v>2.2353325052600001E-2</c:v>
                </c:pt>
                <c:pt idx="105">
                  <c:v>2.2576858303100002E-2</c:v>
                </c:pt>
                <c:pt idx="106">
                  <c:v>2.2802626886099998E-2</c:v>
                </c:pt>
                <c:pt idx="107">
                  <c:v>2.3030653155000001E-2</c:v>
                </c:pt>
                <c:pt idx="108">
                  <c:v>2.32609596865E-2</c:v>
                </c:pt>
                <c:pt idx="109">
                  <c:v>2.34935692834E-2</c:v>
                </c:pt>
                <c:pt idx="110">
                  <c:v>2.37285049762E-2</c:v>
                </c:pt>
                <c:pt idx="111">
                  <c:v>2.3965790026000001E-2</c:v>
                </c:pt>
                <c:pt idx="112">
                  <c:v>2.42054479262E-2</c:v>
                </c:pt>
                <c:pt idx="113">
                  <c:v>2.4447502405500001E-2</c:v>
                </c:pt>
                <c:pt idx="114">
                  <c:v>2.4691977429599998E-2</c:v>
                </c:pt>
                <c:pt idx="115">
                  <c:v>2.4938897203899999E-2</c:v>
                </c:pt>
                <c:pt idx="116">
                  <c:v>2.51882861759E-2</c:v>
                </c:pt>
                <c:pt idx="117">
                  <c:v>2.5440169037600002E-2</c:v>
                </c:pt>
                <c:pt idx="118">
                  <c:v>2.5694570728E-2</c:v>
                </c:pt>
                <c:pt idx="119">
                  <c:v>2.5951516435299998E-2</c:v>
                </c:pt>
                <c:pt idx="120">
                  <c:v>2.6211031599700001E-2</c:v>
                </c:pt>
                <c:pt idx="121">
                  <c:v>2.6473141915700001E-2</c:v>
                </c:pt>
                <c:pt idx="122">
                  <c:v>2.6737873334799999E-2</c:v>
                </c:pt>
                <c:pt idx="123">
                  <c:v>2.7005252068200002E-2</c:v>
                </c:pt>
                <c:pt idx="124">
                  <c:v>2.7275304588799999E-2</c:v>
                </c:pt>
                <c:pt idx="125">
                  <c:v>2.7548057634700002E-2</c:v>
                </c:pt>
                <c:pt idx="126">
                  <c:v>2.78235382111E-2</c:v>
                </c:pt>
                <c:pt idx="127">
                  <c:v>2.81017735932E-2</c:v>
                </c:pt>
                <c:pt idx="128">
                  <c:v>2.8382791329100002E-2</c:v>
                </c:pt>
                <c:pt idx="129">
                  <c:v>2.86666192424E-2</c:v>
                </c:pt>
                <c:pt idx="130">
                  <c:v>2.89532854348E-2</c:v>
                </c:pt>
                <c:pt idx="131">
                  <c:v>2.9242818289200001E-2</c:v>
                </c:pt>
                <c:pt idx="132">
                  <c:v>2.9535246472099999E-2</c:v>
                </c:pt>
                <c:pt idx="133">
                  <c:v>2.9830598936799999E-2</c:v>
                </c:pt>
                <c:pt idx="134">
                  <c:v>3.01289049262E-2</c:v>
                </c:pt>
                <c:pt idx="135">
                  <c:v>3.0430193975400002E-2</c:v>
                </c:pt>
                <c:pt idx="136">
                  <c:v>3.07344959152E-2</c:v>
                </c:pt>
                <c:pt idx="137">
                  <c:v>3.1041840874300002E-2</c:v>
                </c:pt>
                <c:pt idx="138">
                  <c:v>3.1352259283100002E-2</c:v>
                </c:pt>
                <c:pt idx="139">
                  <c:v>3.1665781875900002E-2</c:v>
                </c:pt>
                <c:pt idx="140">
                  <c:v>3.19824396947E-2</c:v>
                </c:pt>
                <c:pt idx="141">
                  <c:v>3.2302264091600003E-2</c:v>
                </c:pt>
                <c:pt idx="142">
                  <c:v>3.2625286732500001E-2</c:v>
                </c:pt>
                <c:pt idx="143">
                  <c:v>3.29515395999E-2</c:v>
                </c:pt>
                <c:pt idx="144">
                  <c:v>3.3281054995899999E-2</c:v>
                </c:pt>
                <c:pt idx="145">
                  <c:v>3.3613865545800002E-2</c:v>
                </c:pt>
                <c:pt idx="146">
                  <c:v>3.3950004201300003E-2</c:v>
                </c:pt>
                <c:pt idx="147">
                  <c:v>3.4289504243299997E-2</c:v>
                </c:pt>
                <c:pt idx="148">
                  <c:v>3.46323992857E-2</c:v>
                </c:pt>
                <c:pt idx="149">
                  <c:v>3.49787232786E-2</c:v>
                </c:pt>
                <c:pt idx="150">
                  <c:v>3.5328510511399999E-2</c:v>
                </c:pt>
                <c:pt idx="151">
                  <c:v>3.5681795616499999E-2</c:v>
                </c:pt>
                <c:pt idx="152">
                  <c:v>3.6038613572599999E-2</c:v>
                </c:pt>
                <c:pt idx="153">
                  <c:v>3.63989997084E-2</c:v>
                </c:pt>
                <c:pt idx="154">
                  <c:v>3.6762989705399998E-2</c:v>
                </c:pt>
                <c:pt idx="155">
                  <c:v>3.7130619602499998E-2</c:v>
                </c:pt>
                <c:pt idx="156">
                  <c:v>3.7501925798500001E-2</c:v>
                </c:pt>
                <c:pt idx="157">
                  <c:v>3.7876945056500001E-2</c:v>
                </c:pt>
                <c:pt idx="158">
                  <c:v>3.8255714507099997E-2</c:v>
                </c:pt>
                <c:pt idx="159">
                  <c:v>3.8638271652100001E-2</c:v>
                </c:pt>
                <c:pt idx="160">
                  <c:v>3.90246543687E-2</c:v>
                </c:pt>
                <c:pt idx="161">
                  <c:v>3.9414900912399999E-2</c:v>
                </c:pt>
                <c:pt idx="162">
                  <c:v>3.98090499215E-2</c:v>
                </c:pt>
                <c:pt idx="163">
                  <c:v>4.0207140420699998E-2</c:v>
                </c:pt>
                <c:pt idx="164">
                  <c:v>4.0609211824900002E-2</c:v>
                </c:pt>
                <c:pt idx="165">
                  <c:v>4.1015303943099997E-2</c:v>
                </c:pt>
                <c:pt idx="166">
                  <c:v>4.1425456982600001E-2</c:v>
                </c:pt>
                <c:pt idx="167">
                  <c:v>4.1839711552400002E-2</c:v>
                </c:pt>
                <c:pt idx="168">
                  <c:v>4.2258108667900002E-2</c:v>
                </c:pt>
                <c:pt idx="169">
                  <c:v>4.2680689754600001E-2</c:v>
                </c:pt>
                <c:pt idx="170">
                  <c:v>4.3107496652199997E-2</c:v>
                </c:pt>
                <c:pt idx="171">
                  <c:v>4.3538571618699999E-2</c:v>
                </c:pt>
                <c:pt idx="172">
                  <c:v>4.3973957334899998E-2</c:v>
                </c:pt>
                <c:pt idx="173">
                  <c:v>4.4413696908199997E-2</c:v>
                </c:pt>
                <c:pt idx="174">
                  <c:v>4.4857833877300003E-2</c:v>
                </c:pt>
                <c:pt idx="175">
                  <c:v>4.5306412216100003E-2</c:v>
                </c:pt>
                <c:pt idx="176">
                  <c:v>4.5759476338200003E-2</c:v>
                </c:pt>
                <c:pt idx="177">
                  <c:v>4.6217071101599998E-2</c:v>
                </c:pt>
                <c:pt idx="178">
                  <c:v>4.6679241812599997E-2</c:v>
                </c:pt>
                <c:pt idx="179">
                  <c:v>4.71460342308E-2</c:v>
                </c:pt>
                <c:pt idx="180">
                  <c:v>4.7617494573100001E-2</c:v>
                </c:pt>
                <c:pt idx="181">
                  <c:v>4.8093669518800002E-2</c:v>
                </c:pt>
                <c:pt idx="182">
                  <c:v>4.8574606213999998E-2</c:v>
                </c:pt>
                <c:pt idx="183">
                  <c:v>4.9060352276099999E-2</c:v>
                </c:pt>
                <c:pt idx="184">
                  <c:v>4.9550955798900002E-2</c:v>
                </c:pt>
                <c:pt idx="185">
                  <c:v>5.0046465356900001E-2</c:v>
                </c:pt>
                <c:pt idx="186">
                  <c:v>5.0546930010399997E-2</c:v>
                </c:pt>
                <c:pt idx="187">
                  <c:v>5.1052399310499999E-2</c:v>
                </c:pt>
                <c:pt idx="188">
                  <c:v>5.1562923303600003E-2</c:v>
                </c:pt>
                <c:pt idx="189">
                  <c:v>5.2078552536699997E-2</c:v>
                </c:pt>
                <c:pt idx="190">
                  <c:v>5.2599338062100001E-2</c:v>
                </c:pt>
                <c:pt idx="191">
                  <c:v>5.31253314427E-2</c:v>
                </c:pt>
                <c:pt idx="192">
                  <c:v>5.3656584757100001E-2</c:v>
                </c:pt>
                <c:pt idx="193">
                  <c:v>5.4193150604700001E-2</c:v>
                </c:pt>
                <c:pt idx="194">
                  <c:v>5.4735082110700002E-2</c:v>
                </c:pt>
                <c:pt idx="195">
                  <c:v>5.5282432931799998E-2</c:v>
                </c:pt>
                <c:pt idx="196">
                  <c:v>5.5835257261100002E-2</c:v>
                </c:pt>
                <c:pt idx="197">
                  <c:v>5.6393609833799999E-2</c:v>
                </c:pt>
                <c:pt idx="198">
                  <c:v>5.69575459321E-2</c:v>
                </c:pt>
                <c:pt idx="199">
                  <c:v>5.7527121391400003E-2</c:v>
                </c:pt>
                <c:pt idx="200">
                  <c:v>5.81023926053E-2</c:v>
                </c:pt>
                <c:pt idx="201">
                  <c:v>5.8683416531400003E-2</c:v>
                </c:pt>
                <c:pt idx="202">
                  <c:v>5.92702506967E-2</c:v>
                </c:pt>
                <c:pt idx="203">
                  <c:v>5.9862953203699998E-2</c:v>
                </c:pt>
                <c:pt idx="204">
                  <c:v>6.0461582735700001E-2</c:v>
                </c:pt>
                <c:pt idx="205">
                  <c:v>6.1066198563099999E-2</c:v>
                </c:pt>
                <c:pt idx="206">
                  <c:v>6.1676860548700002E-2</c:v>
                </c:pt>
                <c:pt idx="207">
                  <c:v>6.2293629154200003E-2</c:v>
                </c:pt>
                <c:pt idx="208">
                  <c:v>6.2916565445699998E-2</c:v>
                </c:pt>
                <c:pt idx="209">
                  <c:v>6.3545731100199995E-2</c:v>
                </c:pt>
                <c:pt idx="210">
                  <c:v>6.4181188411200005E-2</c:v>
                </c:pt>
                <c:pt idx="211">
                  <c:v>6.4823000295299998E-2</c:v>
                </c:pt>
                <c:pt idx="212">
                  <c:v>6.5471230298199998E-2</c:v>
                </c:pt>
                <c:pt idx="213">
                  <c:v>6.61259426012E-2</c:v>
                </c:pt>
                <c:pt idx="214">
                  <c:v>6.6787202027199996E-2</c:v>
                </c:pt>
                <c:pt idx="215">
                  <c:v>6.7455074047499994E-2</c:v>
                </c:pt>
                <c:pt idx="216">
                  <c:v>6.8129624787999998E-2</c:v>
                </c:pt>
                <c:pt idx="217">
                  <c:v>6.8810921035900002E-2</c:v>
                </c:pt>
                <c:pt idx="218">
                  <c:v>6.9499030246199994E-2</c:v>
                </c:pt>
                <c:pt idx="219">
                  <c:v>7.0194020548699998E-2</c:v>
                </c:pt>
                <c:pt idx="220">
                  <c:v>7.0895960754200002E-2</c:v>
                </c:pt>
                <c:pt idx="221">
                  <c:v>7.1604920361700006E-2</c:v>
                </c:pt>
                <c:pt idx="222">
                  <c:v>7.23209695653E-2</c:v>
                </c:pt>
                <c:pt idx="223">
                  <c:v>7.3044179261E-2</c:v>
                </c:pt>
                <c:pt idx="224">
                  <c:v>7.3774621053599998E-2</c:v>
                </c:pt>
                <c:pt idx="225">
                  <c:v>7.4512367264100002E-2</c:v>
                </c:pt>
                <c:pt idx="226">
                  <c:v>7.5257490936799995E-2</c:v>
                </c:pt>
                <c:pt idx="227">
                  <c:v>7.6010065846099997E-2</c:v>
                </c:pt>
                <c:pt idx="228">
                  <c:v>7.6770166504600001E-2</c:v>
                </c:pt>
                <c:pt idx="229">
                  <c:v>7.7537868169599997E-2</c:v>
                </c:pt>
                <c:pt idx="230">
                  <c:v>7.8313246851300006E-2</c:v>
                </c:pt>
                <c:pt idx="231">
                  <c:v>7.90963793198E-2</c:v>
                </c:pt>
                <c:pt idx="232">
                  <c:v>7.9887343112999998E-2</c:v>
                </c:pt>
                <c:pt idx="233">
                  <c:v>8.0686216544199996E-2</c:v>
                </c:pt>
                <c:pt idx="234">
                  <c:v>8.14930787096E-2</c:v>
                </c:pt>
                <c:pt idx="235">
                  <c:v>8.2308009496700002E-2</c:v>
                </c:pt>
                <c:pt idx="236">
                  <c:v>8.31310895917E-2</c:v>
                </c:pt>
                <c:pt idx="237">
                  <c:v>8.3962400487599995E-2</c:v>
                </c:pt>
                <c:pt idx="238">
                  <c:v>8.4802024492500003E-2</c:v>
                </c:pt>
                <c:pt idx="239">
                  <c:v>8.5650044737399997E-2</c:v>
                </c:pt>
                <c:pt idx="240">
                  <c:v>8.6506545184799999E-2</c:v>
                </c:pt>
                <c:pt idx="241">
                  <c:v>8.7371610636599997E-2</c:v>
                </c:pt>
                <c:pt idx="242">
                  <c:v>8.8245326742999994E-2</c:v>
                </c:pt>
                <c:pt idx="243">
                  <c:v>8.9127780010400004E-2</c:v>
                </c:pt>
                <c:pt idx="244">
                  <c:v>9.00190578105E-2</c:v>
                </c:pt>
                <c:pt idx="245">
                  <c:v>9.0919248388599994E-2</c:v>
                </c:pt>
                <c:pt idx="246">
                  <c:v>9.18284408725E-2</c:v>
                </c:pt>
                <c:pt idx="247">
                  <c:v>9.2746725281199996E-2</c:v>
                </c:pt>
                <c:pt idx="248">
                  <c:v>9.3674192534E-2</c:v>
                </c:pt>
                <c:pt idx="249">
                  <c:v>9.4610934459399998E-2</c:v>
                </c:pt>
                <c:pt idx="250">
                  <c:v>9.5557043804E-2</c:v>
                </c:pt>
                <c:pt idx="251">
                  <c:v>9.6512614242E-2</c:v>
                </c:pt>
                <c:pt idx="252">
                  <c:v>9.7477740384400005E-2</c:v>
                </c:pt>
                <c:pt idx="253">
                  <c:v>9.8452517788299998E-2</c:v>
                </c:pt>
                <c:pt idx="254">
                  <c:v>9.9437042966199998E-2</c:v>
                </c:pt>
                <c:pt idx="255">
                  <c:v>0.10043141339599999</c:v>
                </c:pt>
                <c:pt idx="256">
                  <c:v>0.10143572753000001</c:v>
                </c:pt>
                <c:pt idx="257">
                  <c:v>0.10245008480499999</c:v>
                </c:pt>
                <c:pt idx="258">
                  <c:v>0.103474585653</c:v>
                </c:pt>
                <c:pt idx="259">
                  <c:v>0.10450933151</c:v>
                </c:pt>
                <c:pt idx="260">
                  <c:v>0.10555442482500001</c:v>
                </c:pt>
                <c:pt idx="261">
                  <c:v>0.10660996907299999</c:v>
                </c:pt>
                <c:pt idx="262">
                  <c:v>0.107676068764</c:v>
                </c:pt>
                <c:pt idx="263">
                  <c:v>0.108752829451</c:v>
                </c:pt>
                <c:pt idx="264">
                  <c:v>0.109840357746</c:v>
                </c:pt>
                <c:pt idx="265">
                  <c:v>0.110938761323</c:v>
                </c:pt>
                <c:pt idx="266">
                  <c:v>0.11204814893700001</c:v>
                </c:pt>
                <c:pt idx="267">
                  <c:v>0.11316863042600001</c:v>
                </c:pt>
                <c:pt idx="268">
                  <c:v>0.11430031673</c:v>
                </c:pt>
                <c:pt idx="269">
                  <c:v>0.115443319898</c:v>
                </c:pt>
                <c:pt idx="270">
                  <c:v>0.116597753096</c:v>
                </c:pt>
                <c:pt idx="271">
                  <c:v>0.117763730627</c:v>
                </c:pt>
                <c:pt idx="272">
                  <c:v>0.11894136793399999</c:v>
                </c:pt>
                <c:pt idx="273">
                  <c:v>0.120130781613</c:v>
                </c:pt>
                <c:pt idx="274">
                  <c:v>0.12133208942900001</c:v>
                </c:pt>
                <c:pt idx="275">
                  <c:v>0.122545410323</c:v>
                </c:pt>
                <c:pt idx="276">
                  <c:v>0.123770864427</c:v>
                </c:pt>
                <c:pt idx="277">
                  <c:v>0.125008573071</c:v>
                </c:pt>
                <c:pt idx="278">
                  <c:v>0.12625865880199999</c:v>
                </c:pt>
                <c:pt idx="279">
                  <c:v>0.12752124539000001</c:v>
                </c:pt>
                <c:pt idx="280">
                  <c:v>0.12879645784400001</c:v>
                </c:pt>
                <c:pt idx="281">
                  <c:v>0.130084422422</c:v>
                </c:pt>
                <c:pt idx="282">
                  <c:v>0.131385266646</c:v>
                </c:pt>
                <c:pt idx="283">
                  <c:v>0.13269911931299999</c:v>
                </c:pt>
                <c:pt idx="284">
                  <c:v>0.134026110506</c:v>
                </c:pt>
                <c:pt idx="285">
                  <c:v>0.13536637161100001</c:v>
                </c:pt>
                <c:pt idx="286">
                  <c:v>0.136720035327</c:v>
                </c:pt>
                <c:pt idx="287">
                  <c:v>0.13808723568</c:v>
                </c:pt>
                <c:pt idx="288">
                  <c:v>0.13946810803699999</c:v>
                </c:pt>
                <c:pt idx="289">
                  <c:v>0.14086278911700001</c:v>
                </c:pt>
                <c:pt idx="290">
                  <c:v>0.14227141700900001</c:v>
                </c:pt>
                <c:pt idx="291">
                  <c:v>0.14369413117900001</c:v>
                </c:pt>
                <c:pt idx="292">
                  <c:v>0.14513107249099999</c:v>
                </c:pt>
                <c:pt idx="293">
                  <c:v>0.146582383215</c:v>
                </c:pt>
                <c:pt idx="294">
                  <c:v>0.14804820704800001</c:v>
                </c:pt>
                <c:pt idx="295">
                  <c:v>0.14952868911799999</c:v>
                </c:pt>
                <c:pt idx="296">
                  <c:v>0.151023976009</c:v>
                </c:pt>
                <c:pt idx="297">
                  <c:v>0.152534215769</c:v>
                </c:pt>
                <c:pt idx="298">
                  <c:v>0.15405955792699999</c:v>
                </c:pt>
                <c:pt idx="299">
                  <c:v>0.15560015350600001</c:v>
                </c:pt>
                <c:pt idx="300">
                  <c:v>0.157156155041</c:v>
                </c:pt>
                <c:pt idx="301">
                  <c:v>0.158727716592</c:v>
                </c:pt>
                <c:pt idx="302">
                  <c:v>0.16031499375800001</c:v>
                </c:pt>
                <c:pt idx="303">
                  <c:v>0.16191814369499999</c:v>
                </c:pt>
                <c:pt idx="304">
                  <c:v>0.16353732513200001</c:v>
                </c:pt>
                <c:pt idx="305">
                  <c:v>0.16517269838400001</c:v>
                </c:pt>
                <c:pt idx="306">
                  <c:v>0.16682442536700001</c:v>
                </c:pt>
                <c:pt idx="307">
                  <c:v>0.16849266962100001</c:v>
                </c:pt>
                <c:pt idx="308">
                  <c:v>0.170177596317</c:v>
                </c:pt>
                <c:pt idx="309">
                  <c:v>0.17187937228</c:v>
                </c:pt>
                <c:pt idx="310">
                  <c:v>0.17359816600299999</c:v>
                </c:pt>
                <c:pt idx="311">
                  <c:v>0.17533414766300001</c:v>
                </c:pt>
                <c:pt idx="312">
                  <c:v>0.17708748914</c:v>
                </c:pt>
                <c:pt idx="313">
                  <c:v>0.178858364031</c:v>
                </c:pt>
                <c:pt idx="314">
                  <c:v>0.18064694767200001</c:v>
                </c:pt>
                <c:pt idx="315">
                  <c:v>0.18612073083299999</c:v>
                </c:pt>
                <c:pt idx="316">
                  <c:v>0.187981938141</c:v>
                </c:pt>
                <c:pt idx="317">
                  <c:v>0.189861757523</c:v>
                </c:pt>
                <c:pt idx="318">
                  <c:v>0.19176037509800001</c:v>
                </c:pt>
                <c:pt idx="319">
                  <c:v>0.19367797884900001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3.2791686609536538E-9</c:v>
                </c:pt>
                <c:pt idx="1">
                  <c:v>4.5185249628228742E-9</c:v>
                </c:pt>
                <c:pt idx="2">
                  <c:v>3.9393249049568979E-9</c:v>
                </c:pt>
                <c:pt idx="3">
                  <c:v>3.9710176938141625E-9</c:v>
                </c:pt>
                <c:pt idx="4">
                  <c:v>4.727458774700311E-9</c:v>
                </c:pt>
                <c:pt idx="5">
                  <c:v>5.3083858597420361E-9</c:v>
                </c:pt>
                <c:pt idx="6">
                  <c:v>5.5124838364869355E-9</c:v>
                </c:pt>
                <c:pt idx="7">
                  <c:v>5.2555001208282849E-9</c:v>
                </c:pt>
                <c:pt idx="8">
                  <c:v>5.3854258288049518E-9</c:v>
                </c:pt>
                <c:pt idx="9">
                  <c:v>5.8634051332280522E-9</c:v>
                </c:pt>
                <c:pt idx="10">
                  <c:v>6.2206823915385557E-9</c:v>
                </c:pt>
                <c:pt idx="11">
                  <c:v>5.7206657113046057E-9</c:v>
                </c:pt>
                <c:pt idx="12">
                  <c:v>6.1394443959714284E-9</c:v>
                </c:pt>
                <c:pt idx="13">
                  <c:v>7.0775005942529098E-9</c:v>
                </c:pt>
                <c:pt idx="14">
                  <c:v>6.4410309151328304E-9</c:v>
                </c:pt>
                <c:pt idx="15">
                  <c:v>7.7179434302719833E-9</c:v>
                </c:pt>
                <c:pt idx="16">
                  <c:v>7.7695884225220822E-9</c:v>
                </c:pt>
                <c:pt idx="17">
                  <c:v>7.9176319881548864E-9</c:v>
                </c:pt>
                <c:pt idx="18">
                  <c:v>7.7833159113826181E-9</c:v>
                </c:pt>
                <c:pt idx="19">
                  <c:v>8.7684083811734245E-9</c:v>
                </c:pt>
                <c:pt idx="20">
                  <c:v>9.1780716814552303E-9</c:v>
                </c:pt>
                <c:pt idx="21">
                  <c:v>7.4504403816437632E-9</c:v>
                </c:pt>
                <c:pt idx="22">
                  <c:v>8.5558678398031402E-9</c:v>
                </c:pt>
                <c:pt idx="23">
                  <c:v>7.9810741748498309E-9</c:v>
                </c:pt>
                <c:pt idx="24">
                  <c:v>7.7710120205974799E-9</c:v>
                </c:pt>
                <c:pt idx="25">
                  <c:v>7.5220921415620744E-9</c:v>
                </c:pt>
                <c:pt idx="26">
                  <c:v>5.2259581578917661E-9</c:v>
                </c:pt>
                <c:pt idx="27">
                  <c:v>4.3729290768431783E-9</c:v>
                </c:pt>
                <c:pt idx="28">
                  <c:v>4.0906084981912101E-9</c:v>
                </c:pt>
                <c:pt idx="29">
                  <c:v>3.8122236108047728E-9</c:v>
                </c:pt>
                <c:pt idx="30">
                  <c:v>3.402931221420308E-9</c:v>
                </c:pt>
                <c:pt idx="31">
                  <c:v>3.5310807297923664E-9</c:v>
                </c:pt>
                <c:pt idx="32">
                  <c:v>3.3695014546497382E-9</c:v>
                </c:pt>
                <c:pt idx="33">
                  <c:v>3.4413400401033866E-9</c:v>
                </c:pt>
                <c:pt idx="34">
                  <c:v>3.0835504805604941E-9</c:v>
                </c:pt>
                <c:pt idx="35">
                  <c:v>3.4860924743474478E-9</c:v>
                </c:pt>
                <c:pt idx="36">
                  <c:v>3.3801841618264319E-9</c:v>
                </c:pt>
                <c:pt idx="37">
                  <c:v>3.0224070811049875E-9</c:v>
                </c:pt>
                <c:pt idx="38">
                  <c:v>2.7109321090900376E-9</c:v>
                </c:pt>
                <c:pt idx="39">
                  <c:v>2.4458336597455445E-9</c:v>
                </c:pt>
                <c:pt idx="40">
                  <c:v>2.2953278882771049E-9</c:v>
                </c:pt>
                <c:pt idx="41">
                  <c:v>2.1381791416033172E-9</c:v>
                </c:pt>
                <c:pt idx="42">
                  <c:v>2.3670741246855376E-9</c:v>
                </c:pt>
                <c:pt idx="43">
                  <c:v>1.658480120004023E-9</c:v>
                </c:pt>
                <c:pt idx="44">
                  <c:v>1.5613500827139136E-9</c:v>
                </c:pt>
                <c:pt idx="45">
                  <c:v>1.3811469011619226E-9</c:v>
                </c:pt>
                <c:pt idx="46">
                  <c:v>1.3020275574374484E-9</c:v>
                </c:pt>
                <c:pt idx="47">
                  <c:v>1.0878020428750433E-9</c:v>
                </c:pt>
                <c:pt idx="48">
                  <c:v>8.8754328774710607E-10</c:v>
                </c:pt>
                <c:pt idx="49">
                  <c:v>7.0222907895445125E-10</c:v>
                </c:pt>
                <c:pt idx="50">
                  <c:v>6.2777516992683408E-10</c:v>
                </c:pt>
                <c:pt idx="51">
                  <c:v>7.246879320645942E-10</c:v>
                </c:pt>
                <c:pt idx="52">
                  <c:v>7.7066257131907026E-10</c:v>
                </c:pt>
                <c:pt idx="53">
                  <c:v>7.1702357340753678E-10</c:v>
                </c:pt>
                <c:pt idx="54">
                  <c:v>7.7405362207091504E-10</c:v>
                </c:pt>
                <c:pt idx="55">
                  <c:v>8.9056869961237857E-10</c:v>
                </c:pt>
                <c:pt idx="56">
                  <c:v>1.0609157118414856E-9</c:v>
                </c:pt>
                <c:pt idx="57">
                  <c:v>9.8694240885749844E-10</c:v>
                </c:pt>
                <c:pt idx="58">
                  <c:v>1.2695228109048037E-9</c:v>
                </c:pt>
                <c:pt idx="59">
                  <c:v>1.0940584459337552E-9</c:v>
                </c:pt>
                <c:pt idx="60">
                  <c:v>1.1917802503095912E-9</c:v>
                </c:pt>
                <c:pt idx="61">
                  <c:v>1.2146587589213942E-9</c:v>
                </c:pt>
                <c:pt idx="62">
                  <c:v>1.4255231021906392E-9</c:v>
                </c:pt>
                <c:pt idx="63">
                  <c:v>1.5680626942624955E-9</c:v>
                </c:pt>
                <c:pt idx="64">
                  <c:v>1.6615628301776273E-9</c:v>
                </c:pt>
                <c:pt idx="65">
                  <c:v>1.6440897542326706E-9</c:v>
                </c:pt>
                <c:pt idx="66">
                  <c:v>1.7841227332778035E-9</c:v>
                </c:pt>
                <c:pt idx="67">
                  <c:v>1.9496453998300623E-9</c:v>
                </c:pt>
                <c:pt idx="68">
                  <c:v>1.8419971179770846E-9</c:v>
                </c:pt>
                <c:pt idx="69">
                  <c:v>1.6766361940583521E-9</c:v>
                </c:pt>
                <c:pt idx="70">
                  <c:v>1.5756774634823683E-9</c:v>
                </c:pt>
                <c:pt idx="71">
                  <c:v>1.5622906831194326E-9</c:v>
                </c:pt>
                <c:pt idx="72">
                  <c:v>1.4799012031362981E-9</c:v>
                </c:pt>
                <c:pt idx="73">
                  <c:v>1.2246835123059745E-9</c:v>
                </c:pt>
                <c:pt idx="74">
                  <c:v>1.1024555087754137E-9</c:v>
                </c:pt>
                <c:pt idx="75">
                  <c:v>1.1602613901640707E-9</c:v>
                </c:pt>
                <c:pt idx="76">
                  <c:v>8.9575857398589567E-10</c:v>
                </c:pt>
                <c:pt idx="77">
                  <c:v>7.4307909999196167E-10</c:v>
                </c:pt>
                <c:pt idx="78">
                  <c:v>5.633964441144795E-10</c:v>
                </c:pt>
                <c:pt idx="79">
                  <c:v>7.1812811625185623E-10</c:v>
                </c:pt>
                <c:pt idx="80">
                  <c:v>6.7881961126584799E-10</c:v>
                </c:pt>
                <c:pt idx="81">
                  <c:v>5.4273650605804969E-10</c:v>
                </c:pt>
                <c:pt idx="82">
                  <c:v>7.1120369146034692E-10</c:v>
                </c:pt>
                <c:pt idx="83">
                  <c:v>4.7685101813207827E-10</c:v>
                </c:pt>
                <c:pt idx="84">
                  <c:v>6.9950211054150004E-10</c:v>
                </c:pt>
                <c:pt idx="85">
                  <c:v>6.2317930370304658E-10</c:v>
                </c:pt>
                <c:pt idx="86">
                  <c:v>9.0780562700394765E-10</c:v>
                </c:pt>
                <c:pt idx="87">
                  <c:v>7.5959819839916345E-10</c:v>
                </c:pt>
                <c:pt idx="88">
                  <c:v>8.5537384827126169E-10</c:v>
                </c:pt>
                <c:pt idx="89">
                  <c:v>1.2891148425136316E-9</c:v>
                </c:pt>
                <c:pt idx="90">
                  <c:v>1.1110743996677155E-9</c:v>
                </c:pt>
                <c:pt idx="91">
                  <c:v>1.1887245678925062E-9</c:v>
                </c:pt>
                <c:pt idx="92">
                  <c:v>1.4616579408226088E-9</c:v>
                </c:pt>
                <c:pt idx="93">
                  <c:v>1.488419887267874E-9</c:v>
                </c:pt>
                <c:pt idx="94">
                  <c:v>1.3939183497319544E-9</c:v>
                </c:pt>
                <c:pt idx="95">
                  <c:v>1.2995969625660276E-9</c:v>
                </c:pt>
                <c:pt idx="96">
                  <c:v>1.1853408872129506E-9</c:v>
                </c:pt>
                <c:pt idx="97">
                  <c:v>1.4629607260822024E-9</c:v>
                </c:pt>
                <c:pt idx="98">
                  <c:v>1.1901223657120409E-9</c:v>
                </c:pt>
                <c:pt idx="99">
                  <c:v>1.1958997040689441E-9</c:v>
                </c:pt>
                <c:pt idx="100">
                  <c:v>1.1460521903494865E-9</c:v>
                </c:pt>
                <c:pt idx="101">
                  <c:v>1.0638839421193765E-9</c:v>
                </c:pt>
                <c:pt idx="102">
                  <c:v>8.057872997572978E-10</c:v>
                </c:pt>
                <c:pt idx="103">
                  <c:v>7.5859646156176931E-10</c:v>
                </c:pt>
                <c:pt idx="104">
                  <c:v>6.5570236220502052E-10</c:v>
                </c:pt>
                <c:pt idx="105">
                  <c:v>6.3875144481123926E-10</c:v>
                </c:pt>
                <c:pt idx="106">
                  <c:v>5.1023177663526064E-10</c:v>
                </c:pt>
                <c:pt idx="107">
                  <c:v>5.684311050961847E-10</c:v>
                </c:pt>
                <c:pt idx="108">
                  <c:v>5.7092595034208991E-10</c:v>
                </c:pt>
                <c:pt idx="109">
                  <c:v>6.4075702380239421E-10</c:v>
                </c:pt>
                <c:pt idx="110">
                  <c:v>7.6174779809251107E-10</c:v>
                </c:pt>
                <c:pt idx="111">
                  <c:v>8.5611389556498787E-10</c:v>
                </c:pt>
                <c:pt idx="112">
                  <c:v>8.8984803273107979E-10</c:v>
                </c:pt>
                <c:pt idx="113">
                  <c:v>1.0354742959691084E-9</c:v>
                </c:pt>
                <c:pt idx="114">
                  <c:v>1.0061540728495365E-9</c:v>
                </c:pt>
                <c:pt idx="115">
                  <c:v>1.2596790438406937E-9</c:v>
                </c:pt>
                <c:pt idx="116">
                  <c:v>1.3596329416219666E-9</c:v>
                </c:pt>
                <c:pt idx="117">
                  <c:v>1.359164888455027E-9</c:v>
                </c:pt>
                <c:pt idx="118">
                  <c:v>1.5657858651829274E-9</c:v>
                </c:pt>
                <c:pt idx="119">
                  <c:v>1.4046921453229753E-9</c:v>
                </c:pt>
                <c:pt idx="120">
                  <c:v>1.2881039600198842E-9</c:v>
                </c:pt>
                <c:pt idx="121">
                  <c:v>1.3276621321055696E-9</c:v>
                </c:pt>
                <c:pt idx="122">
                  <c:v>1.2220658240513372E-9</c:v>
                </c:pt>
                <c:pt idx="123">
                  <c:v>9.6761107938694976E-10</c:v>
                </c:pt>
                <c:pt idx="124">
                  <c:v>8.5697489393416659E-10</c:v>
                </c:pt>
                <c:pt idx="125">
                  <c:v>7.4313338607581516E-10</c:v>
                </c:pt>
                <c:pt idx="126">
                  <c:v>5.9901244053044145E-10</c:v>
                </c:pt>
                <c:pt idx="127">
                  <c:v>5.9358357236602008E-10</c:v>
                </c:pt>
                <c:pt idx="128">
                  <c:v>5.8941703688628876E-10</c:v>
                </c:pt>
                <c:pt idx="129">
                  <c:v>5.342568600866649E-10</c:v>
                </c:pt>
                <c:pt idx="130">
                  <c:v>7.0661203804190446E-10</c:v>
                </c:pt>
                <c:pt idx="131">
                  <c:v>8.6267055445928689E-10</c:v>
                </c:pt>
                <c:pt idx="132">
                  <c:v>8.7872696048941498E-10</c:v>
                </c:pt>
                <c:pt idx="133">
                  <c:v>8.040041461014348E-10</c:v>
                </c:pt>
                <c:pt idx="134">
                  <c:v>1.2061246913756816E-9</c:v>
                </c:pt>
                <c:pt idx="135">
                  <c:v>1.2902582344983263E-9</c:v>
                </c:pt>
                <c:pt idx="136">
                  <c:v>1.275087141211824E-9</c:v>
                </c:pt>
                <c:pt idx="137">
                  <c:v>1.347577157843209E-9</c:v>
                </c:pt>
                <c:pt idx="138">
                  <c:v>1.4545457378267787E-9</c:v>
                </c:pt>
                <c:pt idx="139">
                  <c:v>1.3617466434242452E-9</c:v>
                </c:pt>
                <c:pt idx="140">
                  <c:v>1.0455642622442285E-9</c:v>
                </c:pt>
                <c:pt idx="141">
                  <c:v>1.1641787233857165E-9</c:v>
                </c:pt>
                <c:pt idx="142">
                  <c:v>8.3912423525166602E-10</c:v>
                </c:pt>
                <c:pt idx="143">
                  <c:v>7.9033641156891483E-10</c:v>
                </c:pt>
                <c:pt idx="144">
                  <c:v>6.2462159783488985E-10</c:v>
                </c:pt>
                <c:pt idx="145">
                  <c:v>6.309640024460927E-10</c:v>
                </c:pt>
                <c:pt idx="146">
                  <c:v>5.3679592522936942E-10</c:v>
                </c:pt>
                <c:pt idx="147">
                  <c:v>5.6650125501358103E-10</c:v>
                </c:pt>
                <c:pt idx="148">
                  <c:v>6.6036631858596329E-10</c:v>
                </c:pt>
                <c:pt idx="149">
                  <c:v>7.6768707043689213E-10</c:v>
                </c:pt>
                <c:pt idx="150">
                  <c:v>8.4954935587464884E-10</c:v>
                </c:pt>
                <c:pt idx="151">
                  <c:v>1.2304176579400606E-9</c:v>
                </c:pt>
                <c:pt idx="152">
                  <c:v>1.1878785522788855E-9</c:v>
                </c:pt>
                <c:pt idx="153">
                  <c:v>1.2997571827787593E-9</c:v>
                </c:pt>
                <c:pt idx="154">
                  <c:v>1.0219249859439294E-9</c:v>
                </c:pt>
                <c:pt idx="155">
                  <c:v>1.5028675261633874E-9</c:v>
                </c:pt>
                <c:pt idx="156">
                  <c:v>1.4709286345110598E-9</c:v>
                </c:pt>
                <c:pt idx="157">
                  <c:v>1.0914170038354318E-9</c:v>
                </c:pt>
                <c:pt idx="158">
                  <c:v>9.3569252030428682E-10</c:v>
                </c:pt>
                <c:pt idx="159">
                  <c:v>7.5905798891419424E-10</c:v>
                </c:pt>
                <c:pt idx="160">
                  <c:v>7.335690339704962E-10</c:v>
                </c:pt>
                <c:pt idx="161">
                  <c:v>7.4808405116757693E-10</c:v>
                </c:pt>
                <c:pt idx="162">
                  <c:v>5.3669295354359764E-10</c:v>
                </c:pt>
                <c:pt idx="163">
                  <c:v>6.3096275505089563E-10</c:v>
                </c:pt>
                <c:pt idx="164">
                  <c:v>7.6615061346391199E-10</c:v>
                </c:pt>
                <c:pt idx="165">
                  <c:v>8.4825866794153912E-10</c:v>
                </c:pt>
                <c:pt idx="166">
                  <c:v>1.1131306216260939E-9</c:v>
                </c:pt>
                <c:pt idx="167">
                  <c:v>1.1766785396236597E-9</c:v>
                </c:pt>
                <c:pt idx="168">
                  <c:v>1.0614976166104418E-9</c:v>
                </c:pt>
                <c:pt idx="169">
                  <c:v>1.3932563446941687E-9</c:v>
                </c:pt>
                <c:pt idx="170">
                  <c:v>1.3977817969949685E-9</c:v>
                </c:pt>
                <c:pt idx="171">
                  <c:v>1.0564006627989137E-9</c:v>
                </c:pt>
                <c:pt idx="172">
                  <c:v>8.2279025875488858E-10</c:v>
                </c:pt>
                <c:pt idx="173">
                  <c:v>7.2328851731800492E-10</c:v>
                </c:pt>
                <c:pt idx="174">
                  <c:v>7.1580182754602637E-10</c:v>
                </c:pt>
                <c:pt idx="175">
                  <c:v>5.6895714874557263E-10</c:v>
                </c:pt>
                <c:pt idx="176">
                  <c:v>5.8357571765187849E-10</c:v>
                </c:pt>
                <c:pt idx="177">
                  <c:v>7.6519360004897874E-10</c:v>
                </c:pt>
                <c:pt idx="178">
                  <c:v>9.880294233539546E-10</c:v>
                </c:pt>
                <c:pt idx="179">
                  <c:v>1.1939086233219982E-9</c:v>
                </c:pt>
                <c:pt idx="180">
                  <c:v>1.341531990929538E-9</c:v>
                </c:pt>
                <c:pt idx="181">
                  <c:v>1.5631600483907538E-9</c:v>
                </c:pt>
                <c:pt idx="182">
                  <c:v>1.3949400836829107E-9</c:v>
                </c:pt>
                <c:pt idx="183">
                  <c:v>1.2955801491838215E-9</c:v>
                </c:pt>
                <c:pt idx="184">
                  <c:v>1.0167331184071528E-9</c:v>
                </c:pt>
                <c:pt idx="185">
                  <c:v>8.1889422696386869E-10</c:v>
                </c:pt>
                <c:pt idx="186">
                  <c:v>7.1145023374271449E-10</c:v>
                </c:pt>
                <c:pt idx="187">
                  <c:v>6.4260494494480259E-10</c:v>
                </c:pt>
                <c:pt idx="188">
                  <c:v>7.310362396521936E-10</c:v>
                </c:pt>
                <c:pt idx="189">
                  <c:v>9.7053719311827645E-10</c:v>
                </c:pt>
                <c:pt idx="190">
                  <c:v>9.0350862677679356E-10</c:v>
                </c:pt>
                <c:pt idx="191">
                  <c:v>1.2805677839274557E-9</c:v>
                </c:pt>
                <c:pt idx="192">
                  <c:v>1.3639024224194169E-9</c:v>
                </c:pt>
                <c:pt idx="193">
                  <c:v>1.41017150793367E-9</c:v>
                </c:pt>
                <c:pt idx="194">
                  <c:v>1.0233575355028199E-9</c:v>
                </c:pt>
                <c:pt idx="195">
                  <c:v>1.0898337887281102E-9</c:v>
                </c:pt>
                <c:pt idx="196">
                  <c:v>7.8814652138242862E-10</c:v>
                </c:pt>
                <c:pt idx="197">
                  <c:v>7.8053131001225989E-10</c:v>
                </c:pt>
                <c:pt idx="198">
                  <c:v>7.1129246283554519E-10</c:v>
                </c:pt>
                <c:pt idx="199">
                  <c:v>8.294962785668139E-10</c:v>
                </c:pt>
                <c:pt idx="200">
                  <c:v>1.086456783030508E-9</c:v>
                </c:pt>
                <c:pt idx="201">
                  <c:v>1.1811534181818046E-9</c:v>
                </c:pt>
                <c:pt idx="202">
                  <c:v>1.1898958995575478E-9</c:v>
                </c:pt>
                <c:pt idx="203">
                  <c:v>1.4480967469009161E-9</c:v>
                </c:pt>
                <c:pt idx="204">
                  <c:v>1.0489410498901477E-9</c:v>
                </c:pt>
                <c:pt idx="205">
                  <c:v>1.17107817410304E-9</c:v>
                </c:pt>
                <c:pt idx="206">
                  <c:v>9.5380412019432903E-10</c:v>
                </c:pt>
                <c:pt idx="207">
                  <c:v>7.504148855024067E-10</c:v>
                </c:pt>
                <c:pt idx="208">
                  <c:v>8.3255005536625854E-10</c:v>
                </c:pt>
                <c:pt idx="209">
                  <c:v>9.4589451877832186E-10</c:v>
                </c:pt>
                <c:pt idx="210">
                  <c:v>1.063011116672422E-9</c:v>
                </c:pt>
                <c:pt idx="211">
                  <c:v>1.3842277160691323E-9</c:v>
                </c:pt>
                <c:pt idx="212">
                  <c:v>1.6197652484582611E-9</c:v>
                </c:pt>
                <c:pt idx="213">
                  <c:v>1.2172865037930114E-9</c:v>
                </c:pt>
                <c:pt idx="214">
                  <c:v>1.3727685445585459E-9</c:v>
                </c:pt>
                <c:pt idx="215">
                  <c:v>9.5932023552182964E-10</c:v>
                </c:pt>
                <c:pt idx="216">
                  <c:v>9.2418467236474417E-10</c:v>
                </c:pt>
                <c:pt idx="217">
                  <c:v>7.135689186283539E-10</c:v>
                </c:pt>
                <c:pt idx="218">
                  <c:v>9.1657636871777463E-10</c:v>
                </c:pt>
                <c:pt idx="219">
                  <c:v>1.075384760400423E-9</c:v>
                </c:pt>
                <c:pt idx="220">
                  <c:v>1.5168953866312271E-9</c:v>
                </c:pt>
                <c:pt idx="221">
                  <c:v>1.6362733994222669E-9</c:v>
                </c:pt>
                <c:pt idx="222">
                  <c:v>1.2149567778052128E-9</c:v>
                </c:pt>
                <c:pt idx="223">
                  <c:v>1.2563836234120652E-9</c:v>
                </c:pt>
                <c:pt idx="224">
                  <c:v>9.9871863328223813E-10</c:v>
                </c:pt>
                <c:pt idx="225">
                  <c:v>9.3749338506640287E-10</c:v>
                </c:pt>
                <c:pt idx="226">
                  <c:v>9.9413571069658323E-10</c:v>
                </c:pt>
                <c:pt idx="227">
                  <c:v>1.1404301226500398E-9</c:v>
                </c:pt>
                <c:pt idx="228">
                  <c:v>1.1793889478063835E-9</c:v>
                </c:pt>
                <c:pt idx="229">
                  <c:v>1.3778643574343277E-9</c:v>
                </c:pt>
                <c:pt idx="230">
                  <c:v>1.388887858985708E-9</c:v>
                </c:pt>
                <c:pt idx="231">
                  <c:v>9.6178788425013537E-10</c:v>
                </c:pt>
                <c:pt idx="232">
                  <c:v>7.9900200946686285E-10</c:v>
                </c:pt>
                <c:pt idx="233">
                  <c:v>6.4363757802760317E-10</c:v>
                </c:pt>
                <c:pt idx="234">
                  <c:v>8.6539054188461809E-10</c:v>
                </c:pt>
                <c:pt idx="235">
                  <c:v>1.3025785601985149E-9</c:v>
                </c:pt>
                <c:pt idx="236">
                  <c:v>1.3067766263266065E-9</c:v>
                </c:pt>
                <c:pt idx="237">
                  <c:v>1.275676387299493E-9</c:v>
                </c:pt>
                <c:pt idx="238">
                  <c:v>1.2629192327256289E-9</c:v>
                </c:pt>
                <c:pt idx="239">
                  <c:v>9.9058163243553997E-10</c:v>
                </c:pt>
                <c:pt idx="240">
                  <c:v>1.4085107468013821E-9</c:v>
                </c:pt>
                <c:pt idx="241">
                  <c:v>1.2222652477684353E-9</c:v>
                </c:pt>
                <c:pt idx="242">
                  <c:v>1.4814170114010539E-9</c:v>
                </c:pt>
                <c:pt idx="243">
                  <c:v>1.5884078745180675E-9</c:v>
                </c:pt>
                <c:pt idx="244">
                  <c:v>1.4668510986096598E-9</c:v>
                </c:pt>
                <c:pt idx="245">
                  <c:v>1.2066229475671285E-9</c:v>
                </c:pt>
                <c:pt idx="246">
                  <c:v>1.1141468679979456E-9</c:v>
                </c:pt>
                <c:pt idx="247">
                  <c:v>1.2751710973180513E-9</c:v>
                </c:pt>
                <c:pt idx="248">
                  <c:v>1.4110427628659008E-9</c:v>
                </c:pt>
                <c:pt idx="249">
                  <c:v>1.5969498841665344E-9</c:v>
                </c:pt>
                <c:pt idx="250">
                  <c:v>1.5207899871805622E-9</c:v>
                </c:pt>
                <c:pt idx="251">
                  <c:v>1.1531446353056867E-9</c:v>
                </c:pt>
                <c:pt idx="252">
                  <c:v>1.4055256692382061E-9</c:v>
                </c:pt>
                <c:pt idx="253">
                  <c:v>1.2258152449915512E-9</c:v>
                </c:pt>
                <c:pt idx="254">
                  <c:v>1.6141179304583384E-9</c:v>
                </c:pt>
                <c:pt idx="255">
                  <c:v>1.8856196661663627E-9</c:v>
                </c:pt>
                <c:pt idx="256">
                  <c:v>1.6520550412188351E-9</c:v>
                </c:pt>
                <c:pt idx="257">
                  <c:v>1.5583356397736541E-9</c:v>
                </c:pt>
                <c:pt idx="258">
                  <c:v>1.4025591567820459E-9</c:v>
                </c:pt>
                <c:pt idx="259">
                  <c:v>1.7963448698259595E-9</c:v>
                </c:pt>
                <c:pt idx="260">
                  <c:v>1.6299213397070325E-9</c:v>
                </c:pt>
                <c:pt idx="261">
                  <c:v>1.5253683099518589E-9</c:v>
                </c:pt>
                <c:pt idx="262">
                  <c:v>1.7212422330571549E-9</c:v>
                </c:pt>
                <c:pt idx="263">
                  <c:v>1.4497745865450732E-9</c:v>
                </c:pt>
                <c:pt idx="264">
                  <c:v>1.4703357644318505E-9</c:v>
                </c:pt>
                <c:pt idx="265">
                  <c:v>1.6522752134617562E-9</c:v>
                </c:pt>
                <c:pt idx="266">
                  <c:v>1.6137647846700523E-9</c:v>
                </c:pt>
                <c:pt idx="267">
                  <c:v>1.6861178302692306E-9</c:v>
                </c:pt>
                <c:pt idx="268">
                  <c:v>1.6791207687630891E-9</c:v>
                </c:pt>
                <c:pt idx="269">
                  <c:v>1.7702155762428992E-9</c:v>
                </c:pt>
                <c:pt idx="270">
                  <c:v>1.2254265148545819E-9</c:v>
                </c:pt>
                <c:pt idx="271">
                  <c:v>1.7095269085417721E-9</c:v>
                </c:pt>
                <c:pt idx="272">
                  <c:v>1.6747571840877417E-9</c:v>
                </c:pt>
                <c:pt idx="273">
                  <c:v>1.9298969255093203E-9</c:v>
                </c:pt>
                <c:pt idx="274">
                  <c:v>1.6445590380802147E-9</c:v>
                </c:pt>
                <c:pt idx="275">
                  <c:v>2.2908328516608721E-9</c:v>
                </c:pt>
                <c:pt idx="276">
                  <c:v>1.5878505332117297E-9</c:v>
                </c:pt>
                <c:pt idx="277">
                  <c:v>1.4922424169770668E-9</c:v>
                </c:pt>
                <c:pt idx="278">
                  <c:v>1.9038807046569401E-9</c:v>
                </c:pt>
                <c:pt idx="279">
                  <c:v>1.3796279023814824E-9</c:v>
                </c:pt>
                <c:pt idx="280">
                  <c:v>2.3355677110829324E-9</c:v>
                </c:pt>
                <c:pt idx="281">
                  <c:v>1.7886389517458937E-9</c:v>
                </c:pt>
                <c:pt idx="282">
                  <c:v>2.1134599933358556E-9</c:v>
                </c:pt>
                <c:pt idx="283">
                  <c:v>1.6768616463559305E-9</c:v>
                </c:pt>
                <c:pt idx="284">
                  <c:v>1.7117116758571361E-9</c:v>
                </c:pt>
                <c:pt idx="285">
                  <c:v>1.6706146534368737E-9</c:v>
                </c:pt>
                <c:pt idx="286">
                  <c:v>1.4106979150702645E-9</c:v>
                </c:pt>
                <c:pt idx="287">
                  <c:v>1.5494387721220337E-9</c:v>
                </c:pt>
                <c:pt idx="288">
                  <c:v>1.7712254607927365E-9</c:v>
                </c:pt>
                <c:pt idx="289">
                  <c:v>2.1647608664507258E-9</c:v>
                </c:pt>
                <c:pt idx="290">
                  <c:v>2.6585142879502221E-9</c:v>
                </c:pt>
                <c:pt idx="291">
                  <c:v>1.5204755135575106E-9</c:v>
                </c:pt>
                <c:pt idx="292">
                  <c:v>2.1596659760848679E-9</c:v>
                </c:pt>
                <c:pt idx="293">
                  <c:v>1.6821998448428062E-9</c:v>
                </c:pt>
                <c:pt idx="294">
                  <c:v>1.9622328797767938E-9</c:v>
                </c:pt>
                <c:pt idx="295">
                  <c:v>1.8872287101710681E-9</c:v>
                </c:pt>
                <c:pt idx="296">
                  <c:v>1.8962348870461614E-9</c:v>
                </c:pt>
                <c:pt idx="297">
                  <c:v>1.465450783621334E-9</c:v>
                </c:pt>
                <c:pt idx="298">
                  <c:v>1.7916226763675799E-9</c:v>
                </c:pt>
                <c:pt idx="299">
                  <c:v>1.8087536930744898E-9</c:v>
                </c:pt>
                <c:pt idx="300">
                  <c:v>1.441446545979545E-9</c:v>
                </c:pt>
                <c:pt idx="301">
                  <c:v>1.7047951221584473E-9</c:v>
                </c:pt>
                <c:pt idx="302">
                  <c:v>2.2299945070371136E-9</c:v>
                </c:pt>
                <c:pt idx="303">
                  <c:v>1.2935617716949756E-9</c:v>
                </c:pt>
                <c:pt idx="304">
                  <c:v>1.5412543603734795E-9</c:v>
                </c:pt>
                <c:pt idx="305">
                  <c:v>7.1892961877956592E-10</c:v>
                </c:pt>
                <c:pt idx="306">
                  <c:v>1.1038208964439194E-9</c:v>
                </c:pt>
                <c:pt idx="307">
                  <c:v>1.8884822201430866E-9</c:v>
                </c:pt>
                <c:pt idx="308">
                  <c:v>2.4435400718901302E-9</c:v>
                </c:pt>
                <c:pt idx="309">
                  <c:v>1.9625358389076855E-9</c:v>
                </c:pt>
                <c:pt idx="310">
                  <c:v>1.2741530795546028E-9</c:v>
                </c:pt>
                <c:pt idx="311">
                  <c:v>2.5039787312541681E-9</c:v>
                </c:pt>
                <c:pt idx="312">
                  <c:v>1.9226006959447232E-9</c:v>
                </c:pt>
                <c:pt idx="313">
                  <c:v>1.5937832563090592E-9</c:v>
                </c:pt>
                <c:pt idx="314">
                  <c:v>1.7969027337280933E-9</c:v>
                </c:pt>
                <c:pt idx="315">
                  <c:v>2.9568184714402084E-9</c:v>
                </c:pt>
                <c:pt idx="316">
                  <c:v>1.5771201301289862E-9</c:v>
                </c:pt>
                <c:pt idx="317">
                  <c:v>1.8675347171239695E-9</c:v>
                </c:pt>
                <c:pt idx="318">
                  <c:v>1.8894126390573054E-9</c:v>
                </c:pt>
                <c:pt idx="319">
                  <c:v>8.3108337373724182E-10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7.94E-03</c:v>
                </c:pt>
                <c:pt idx="1">
                  <c:v>8.02E-03</c:v>
                </c:pt>
                <c:pt idx="2">
                  <c:v>8.10E-03</c:v>
                </c:pt>
                <c:pt idx="3">
                  <c:v>8.18E-03</c:v>
                </c:pt>
                <c:pt idx="4">
                  <c:v>8.26E-03</c:v>
                </c:pt>
                <c:pt idx="5">
                  <c:v>8.35E-03</c:v>
                </c:pt>
                <c:pt idx="6">
                  <c:v>8.43E-03</c:v>
                </c:pt>
                <c:pt idx="7">
                  <c:v>8.51E-03</c:v>
                </c:pt>
                <c:pt idx="8">
                  <c:v>8.60E-03</c:v>
                </c:pt>
                <c:pt idx="9">
                  <c:v>8.69E-03</c:v>
                </c:pt>
                <c:pt idx="10">
                  <c:v>8.77E-03</c:v>
                </c:pt>
                <c:pt idx="11">
                  <c:v>8.86E-03</c:v>
                </c:pt>
                <c:pt idx="12">
                  <c:v>8.95E-03</c:v>
                </c:pt>
                <c:pt idx="13">
                  <c:v>9.04E-03</c:v>
                </c:pt>
                <c:pt idx="14">
                  <c:v>9.13E-03</c:v>
                </c:pt>
                <c:pt idx="15">
                  <c:v>9.22E-03</c:v>
                </c:pt>
                <c:pt idx="16">
                  <c:v>9.31E-03</c:v>
                </c:pt>
                <c:pt idx="17">
                  <c:v>9.41E-03</c:v>
                </c:pt>
                <c:pt idx="18">
                  <c:v>9.50E-03</c:v>
                </c:pt>
                <c:pt idx="19">
                  <c:v>9.59E-03</c:v>
                </c:pt>
                <c:pt idx="20">
                  <c:v>9.69E-03</c:v>
                </c:pt>
                <c:pt idx="21">
                  <c:v>9.79E-03</c:v>
                </c:pt>
                <c:pt idx="22">
                  <c:v>9.89E-03</c:v>
                </c:pt>
                <c:pt idx="23">
                  <c:v>9.98E-03</c:v>
                </c:pt>
                <c:pt idx="24">
                  <c:v>1.01E-02</c:v>
                </c:pt>
                <c:pt idx="25">
                  <c:v>1.02E-02</c:v>
                </c:pt>
                <c:pt idx="26">
                  <c:v>1.03E-02</c:v>
                </c:pt>
                <c:pt idx="27">
                  <c:v>1.04E-02</c:v>
                </c:pt>
                <c:pt idx="28">
                  <c:v>1.05E-02</c:v>
                </c:pt>
                <c:pt idx="29">
                  <c:v>1.06E-02</c:v>
                </c:pt>
                <c:pt idx="30">
                  <c:v>1.07E-02</c:v>
                </c:pt>
                <c:pt idx="31">
                  <c:v>1.08E-02</c:v>
                </c:pt>
                <c:pt idx="32">
                  <c:v>1.09E-02</c:v>
                </c:pt>
                <c:pt idx="33">
                  <c:v>1.10E-02</c:v>
                </c:pt>
                <c:pt idx="34">
                  <c:v>1.11E-02</c:v>
                </c:pt>
                <c:pt idx="35">
                  <c:v>1.13E-02</c:v>
                </c:pt>
                <c:pt idx="36">
                  <c:v>1.14E-02</c:v>
                </c:pt>
                <c:pt idx="37">
                  <c:v>1.15E-02</c:v>
                </c:pt>
                <c:pt idx="38">
                  <c:v>1.16E-02</c:v>
                </c:pt>
                <c:pt idx="39">
                  <c:v>1.17E-02</c:v>
                </c:pt>
                <c:pt idx="40">
                  <c:v>1.18E-02</c:v>
                </c:pt>
                <c:pt idx="41">
                  <c:v>1.19E-02</c:v>
                </c:pt>
                <c:pt idx="42">
                  <c:v>1.21E-02</c:v>
                </c:pt>
                <c:pt idx="43">
                  <c:v>1.22E-02</c:v>
                </c:pt>
                <c:pt idx="44">
                  <c:v>1.23E-02</c:v>
                </c:pt>
                <c:pt idx="45">
                  <c:v>1.24E-02</c:v>
                </c:pt>
                <c:pt idx="46">
                  <c:v>1.26E-02</c:v>
                </c:pt>
                <c:pt idx="47">
                  <c:v>1.27E-02</c:v>
                </c:pt>
                <c:pt idx="48">
                  <c:v>1.28E-02</c:v>
                </c:pt>
                <c:pt idx="49">
                  <c:v>1.29E-02</c:v>
                </c:pt>
                <c:pt idx="50">
                  <c:v>1.31E-02</c:v>
                </c:pt>
                <c:pt idx="51">
                  <c:v>1.32E-02</c:v>
                </c:pt>
                <c:pt idx="52">
                  <c:v>1.33E-02</c:v>
                </c:pt>
                <c:pt idx="53">
                  <c:v>1.35E-02</c:v>
                </c:pt>
                <c:pt idx="54">
                  <c:v>1.36E-02</c:v>
                </c:pt>
                <c:pt idx="55">
                  <c:v>1.37E-02</c:v>
                </c:pt>
                <c:pt idx="56">
                  <c:v>1.39E-02</c:v>
                </c:pt>
                <c:pt idx="57">
                  <c:v>1.40E-02</c:v>
                </c:pt>
                <c:pt idx="58">
                  <c:v>1.41E-02</c:v>
                </c:pt>
                <c:pt idx="59">
                  <c:v>1.43E-02</c:v>
                </c:pt>
                <c:pt idx="60">
                  <c:v>1.44E-02</c:v>
                </c:pt>
                <c:pt idx="61">
                  <c:v>1.46E-02</c:v>
                </c:pt>
                <c:pt idx="62">
                  <c:v>1.47E-02</c:v>
                </c:pt>
                <c:pt idx="63">
                  <c:v>1.49E-02</c:v>
                </c:pt>
                <c:pt idx="64">
                  <c:v>1.50E-02</c:v>
                </c:pt>
                <c:pt idx="65">
                  <c:v>1.52E-02</c:v>
                </c:pt>
                <c:pt idx="66">
                  <c:v>1.53E-02</c:v>
                </c:pt>
                <c:pt idx="67">
                  <c:v>1.55E-02</c:v>
                </c:pt>
                <c:pt idx="68">
                  <c:v>1.56E-02</c:v>
                </c:pt>
                <c:pt idx="69">
                  <c:v>1.58E-02</c:v>
                </c:pt>
                <c:pt idx="70">
                  <c:v>1.59E-02</c:v>
                </c:pt>
                <c:pt idx="71">
                  <c:v>1.61E-02</c:v>
                </c:pt>
                <c:pt idx="72">
                  <c:v>1.63E-02</c:v>
                </c:pt>
                <c:pt idx="73">
                  <c:v>1.64E-02</c:v>
                </c:pt>
                <c:pt idx="74">
                  <c:v>1.66E-02</c:v>
                </c:pt>
                <c:pt idx="75">
                  <c:v>1.68E-02</c:v>
                </c:pt>
                <c:pt idx="76">
                  <c:v>1.69E-02</c:v>
                </c:pt>
                <c:pt idx="77">
                  <c:v>1.71E-02</c:v>
                </c:pt>
                <c:pt idx="78">
                  <c:v>1.73E-02</c:v>
                </c:pt>
                <c:pt idx="79">
                  <c:v>1.74E-02</c:v>
                </c:pt>
                <c:pt idx="80">
                  <c:v>1.76E-02</c:v>
                </c:pt>
                <c:pt idx="81">
                  <c:v>1.78E-02</c:v>
                </c:pt>
                <c:pt idx="82">
                  <c:v>1.80E-02</c:v>
                </c:pt>
                <c:pt idx="83">
                  <c:v>1.81E-02</c:v>
                </c:pt>
                <c:pt idx="84">
                  <c:v>1.83E-02</c:v>
                </c:pt>
                <c:pt idx="85">
                  <c:v>1.85E-02</c:v>
                </c:pt>
                <c:pt idx="86">
                  <c:v>1.87E-02</c:v>
                </c:pt>
                <c:pt idx="87">
                  <c:v>1.89E-02</c:v>
                </c:pt>
                <c:pt idx="88">
                  <c:v>1.91E-02</c:v>
                </c:pt>
                <c:pt idx="89">
                  <c:v>1.93E-02</c:v>
                </c:pt>
                <c:pt idx="90">
                  <c:v>1.94E-02</c:v>
                </c:pt>
                <c:pt idx="91">
                  <c:v>1.96E-02</c:v>
                </c:pt>
                <c:pt idx="92">
                  <c:v>1.98E-02</c:v>
                </c:pt>
                <c:pt idx="93">
                  <c:v>2.00E-02</c:v>
                </c:pt>
                <c:pt idx="94">
                  <c:v>2.02E-02</c:v>
                </c:pt>
                <c:pt idx="95">
                  <c:v>2.04E-02</c:v>
                </c:pt>
                <c:pt idx="96">
                  <c:v>2.06E-02</c:v>
                </c:pt>
                <c:pt idx="97">
                  <c:v>2.08E-02</c:v>
                </c:pt>
                <c:pt idx="98">
                  <c:v>2.11E-02</c:v>
                </c:pt>
                <c:pt idx="99">
                  <c:v>2.13E-02</c:v>
                </c:pt>
                <c:pt idx="100">
                  <c:v>2.15E-02</c:v>
                </c:pt>
                <c:pt idx="101">
                  <c:v>2.17E-02</c:v>
                </c:pt>
                <c:pt idx="102">
                  <c:v>2.19E-02</c:v>
                </c:pt>
                <c:pt idx="103">
                  <c:v>2.21E-02</c:v>
                </c:pt>
                <c:pt idx="104">
                  <c:v>2.24E-02</c:v>
                </c:pt>
                <c:pt idx="105">
                  <c:v>2.26E-02</c:v>
                </c:pt>
                <c:pt idx="106">
                  <c:v>2.28E-02</c:v>
                </c:pt>
                <c:pt idx="107">
                  <c:v>2.30E-02</c:v>
                </c:pt>
                <c:pt idx="108">
                  <c:v>2.33E-02</c:v>
                </c:pt>
                <c:pt idx="109">
                  <c:v>2.35E-02</c:v>
                </c:pt>
                <c:pt idx="110">
                  <c:v>2.37E-02</c:v>
                </c:pt>
                <c:pt idx="111">
                  <c:v>2.40E-02</c:v>
                </c:pt>
                <c:pt idx="112">
                  <c:v>2.42E-02</c:v>
                </c:pt>
                <c:pt idx="113">
                  <c:v>2.44E-02</c:v>
                </c:pt>
                <c:pt idx="114">
                  <c:v>2.47E-02</c:v>
                </c:pt>
                <c:pt idx="115">
                  <c:v>2.49E-02</c:v>
                </c:pt>
                <c:pt idx="116">
                  <c:v>2.52E-02</c:v>
                </c:pt>
                <c:pt idx="117">
                  <c:v>2.54E-02</c:v>
                </c:pt>
                <c:pt idx="118">
                  <c:v>2.57E-02</c:v>
                </c:pt>
                <c:pt idx="119">
                  <c:v>2.60E-02</c:v>
                </c:pt>
                <c:pt idx="120">
                  <c:v>2.62E-02</c:v>
                </c:pt>
                <c:pt idx="121">
                  <c:v>2.65E-02</c:v>
                </c:pt>
                <c:pt idx="122">
                  <c:v>2.67E-02</c:v>
                </c:pt>
                <c:pt idx="123">
                  <c:v>2.70E-02</c:v>
                </c:pt>
                <c:pt idx="124">
                  <c:v>2.73E-02</c:v>
                </c:pt>
                <c:pt idx="125">
                  <c:v>2.75E-02</c:v>
                </c:pt>
                <c:pt idx="126">
                  <c:v>2.78E-02</c:v>
                </c:pt>
                <c:pt idx="127">
                  <c:v>2.81E-02</c:v>
                </c:pt>
                <c:pt idx="128">
                  <c:v>2.84E-02</c:v>
                </c:pt>
                <c:pt idx="129">
                  <c:v>2.87E-02</c:v>
                </c:pt>
                <c:pt idx="130">
                  <c:v>2.90E-02</c:v>
                </c:pt>
                <c:pt idx="131">
                  <c:v>2.92E-02</c:v>
                </c:pt>
                <c:pt idx="132">
                  <c:v>2.95E-02</c:v>
                </c:pt>
                <c:pt idx="133">
                  <c:v>2.98E-02</c:v>
                </c:pt>
                <c:pt idx="134">
                  <c:v>3.01E-02</c:v>
                </c:pt>
                <c:pt idx="135">
                  <c:v>3.04E-02</c:v>
                </c:pt>
                <c:pt idx="136">
                  <c:v>3.07E-02</c:v>
                </c:pt>
                <c:pt idx="137">
                  <c:v>3.10E-02</c:v>
                </c:pt>
                <c:pt idx="138">
                  <c:v>3.14E-02</c:v>
                </c:pt>
                <c:pt idx="139">
                  <c:v>3.17E-02</c:v>
                </c:pt>
                <c:pt idx="140">
                  <c:v>3.20E-02</c:v>
                </c:pt>
                <c:pt idx="141">
                  <c:v>3.23E-02</c:v>
                </c:pt>
                <c:pt idx="142">
                  <c:v>3.26E-02</c:v>
                </c:pt>
                <c:pt idx="143">
                  <c:v>3.30E-02</c:v>
                </c:pt>
                <c:pt idx="144">
                  <c:v>3.33E-02</c:v>
                </c:pt>
                <c:pt idx="145">
                  <c:v>3.36E-02</c:v>
                </c:pt>
                <c:pt idx="146">
                  <c:v>3.40E-02</c:v>
                </c:pt>
                <c:pt idx="147">
                  <c:v>3.43E-02</c:v>
                </c:pt>
                <c:pt idx="148">
                  <c:v>3.46E-02</c:v>
                </c:pt>
                <c:pt idx="149">
                  <c:v>3.50E-02</c:v>
                </c:pt>
                <c:pt idx="150">
                  <c:v>3.53E-02</c:v>
                </c:pt>
                <c:pt idx="151">
                  <c:v>3.57E-02</c:v>
                </c:pt>
                <c:pt idx="152">
                  <c:v>3.60E-02</c:v>
                </c:pt>
                <c:pt idx="153">
                  <c:v>3.64E-02</c:v>
                </c:pt>
                <c:pt idx="154">
                  <c:v>3.68E-02</c:v>
                </c:pt>
                <c:pt idx="155">
                  <c:v>3.71E-02</c:v>
                </c:pt>
                <c:pt idx="156">
                  <c:v>3.75E-02</c:v>
                </c:pt>
                <c:pt idx="157">
                  <c:v>3.79E-02</c:v>
                </c:pt>
                <c:pt idx="158">
                  <c:v>3.83E-02</c:v>
                </c:pt>
                <c:pt idx="159">
                  <c:v>3.86E-02</c:v>
                </c:pt>
                <c:pt idx="160">
                  <c:v>3.90E-02</c:v>
                </c:pt>
                <c:pt idx="161">
                  <c:v>3.94E-02</c:v>
                </c:pt>
                <c:pt idx="162">
                  <c:v>3.98E-02</c:v>
                </c:pt>
                <c:pt idx="163">
                  <c:v>4.02E-02</c:v>
                </c:pt>
                <c:pt idx="164">
                  <c:v>4.06E-02</c:v>
                </c:pt>
                <c:pt idx="165">
                  <c:v>4.10E-02</c:v>
                </c:pt>
                <c:pt idx="166">
                  <c:v>4.14E-02</c:v>
                </c:pt>
                <c:pt idx="167">
                  <c:v>4.18E-02</c:v>
                </c:pt>
                <c:pt idx="168">
                  <c:v>4.23E-02</c:v>
                </c:pt>
                <c:pt idx="169">
                  <c:v>4.27E-02</c:v>
                </c:pt>
                <c:pt idx="170">
                  <c:v>4.31E-02</c:v>
                </c:pt>
                <c:pt idx="171">
                  <c:v>4.35E-02</c:v>
                </c:pt>
                <c:pt idx="172">
                  <c:v>4.40E-02</c:v>
                </c:pt>
                <c:pt idx="173">
                  <c:v>4.44E-02</c:v>
                </c:pt>
                <c:pt idx="174">
                  <c:v>4.49E-02</c:v>
                </c:pt>
                <c:pt idx="175">
                  <c:v>4.53E-02</c:v>
                </c:pt>
                <c:pt idx="176">
                  <c:v>4.58E-02</c:v>
                </c:pt>
                <c:pt idx="177">
                  <c:v>4.62E-02</c:v>
                </c:pt>
                <c:pt idx="178">
                  <c:v>4.67E-02</c:v>
                </c:pt>
                <c:pt idx="179">
                  <c:v>4.71E-02</c:v>
                </c:pt>
                <c:pt idx="180">
                  <c:v>4.76E-02</c:v>
                </c:pt>
                <c:pt idx="181">
                  <c:v>4.81E-02</c:v>
                </c:pt>
                <c:pt idx="182">
                  <c:v>4.86E-02</c:v>
                </c:pt>
                <c:pt idx="183">
                  <c:v>4.91E-02</c:v>
                </c:pt>
                <c:pt idx="184">
                  <c:v>4.96E-02</c:v>
                </c:pt>
                <c:pt idx="185">
                  <c:v>5.00E-02</c:v>
                </c:pt>
                <c:pt idx="186">
                  <c:v>5.05E-02</c:v>
                </c:pt>
                <c:pt idx="187">
                  <c:v>5.11E-02</c:v>
                </c:pt>
                <c:pt idx="188">
                  <c:v>5.16E-02</c:v>
                </c:pt>
                <c:pt idx="189">
                  <c:v>5.21E-02</c:v>
                </c:pt>
                <c:pt idx="190">
                  <c:v>5.26E-02</c:v>
                </c:pt>
                <c:pt idx="191">
                  <c:v>5.31E-02</c:v>
                </c:pt>
                <c:pt idx="192">
                  <c:v>5.37E-02</c:v>
                </c:pt>
                <c:pt idx="193">
                  <c:v>5.42E-02</c:v>
                </c:pt>
                <c:pt idx="194">
                  <c:v>5.47E-02</c:v>
                </c:pt>
                <c:pt idx="195">
                  <c:v>5.53E-02</c:v>
                </c:pt>
                <c:pt idx="196">
                  <c:v>5.58E-02</c:v>
                </c:pt>
                <c:pt idx="197">
                  <c:v>5.64E-02</c:v>
                </c:pt>
                <c:pt idx="198">
                  <c:v>5.70E-02</c:v>
                </c:pt>
                <c:pt idx="199">
                  <c:v>5.75E-02</c:v>
                </c:pt>
                <c:pt idx="200">
                  <c:v>5.81E-02</c:v>
                </c:pt>
                <c:pt idx="201">
                  <c:v>5.87E-02</c:v>
                </c:pt>
                <c:pt idx="202">
                  <c:v>5.93E-02</c:v>
                </c:pt>
                <c:pt idx="203">
                  <c:v>5.99E-02</c:v>
                </c:pt>
                <c:pt idx="204">
                  <c:v>6.05E-02</c:v>
                </c:pt>
                <c:pt idx="205">
                  <c:v>6.11E-02</c:v>
                </c:pt>
                <c:pt idx="206">
                  <c:v>6.17E-02</c:v>
                </c:pt>
                <c:pt idx="207">
                  <c:v>6.23E-02</c:v>
                </c:pt>
                <c:pt idx="208">
                  <c:v>6.29E-02</c:v>
                </c:pt>
                <c:pt idx="209">
                  <c:v>6.35E-02</c:v>
                </c:pt>
                <c:pt idx="210">
                  <c:v>6.42E-02</c:v>
                </c:pt>
                <c:pt idx="211">
                  <c:v>6.48E-02</c:v>
                </c:pt>
                <c:pt idx="212">
                  <c:v>6.55E-02</c:v>
                </c:pt>
                <c:pt idx="213">
                  <c:v>6.61E-02</c:v>
                </c:pt>
                <c:pt idx="214">
                  <c:v>6.68E-02</c:v>
                </c:pt>
                <c:pt idx="215">
                  <c:v>6.75E-02</c:v>
                </c:pt>
                <c:pt idx="216">
                  <c:v>6.81E-02</c:v>
                </c:pt>
                <c:pt idx="217">
                  <c:v>6.88E-02</c:v>
                </c:pt>
                <c:pt idx="218">
                  <c:v>6.95E-02</c:v>
                </c:pt>
                <c:pt idx="219">
                  <c:v>7.02E-02</c:v>
                </c:pt>
                <c:pt idx="220">
                  <c:v>7.09E-02</c:v>
                </c:pt>
                <c:pt idx="221">
                  <c:v>7.16E-02</c:v>
                </c:pt>
                <c:pt idx="222">
                  <c:v>7.23E-02</c:v>
                </c:pt>
                <c:pt idx="223">
                  <c:v>7.30E-02</c:v>
                </c:pt>
                <c:pt idx="224">
                  <c:v>7.38E-02</c:v>
                </c:pt>
                <c:pt idx="225">
                  <c:v>7.45E-02</c:v>
                </c:pt>
                <c:pt idx="226">
                  <c:v>7.53E-02</c:v>
                </c:pt>
                <c:pt idx="227">
                  <c:v>7.60E-02</c:v>
                </c:pt>
                <c:pt idx="228">
                  <c:v>7.68E-02</c:v>
                </c:pt>
                <c:pt idx="229">
                  <c:v>7.75E-02</c:v>
                </c:pt>
                <c:pt idx="230">
                  <c:v>7.83E-02</c:v>
                </c:pt>
                <c:pt idx="231">
                  <c:v>7.91E-02</c:v>
                </c:pt>
                <c:pt idx="232">
                  <c:v>7.99E-02</c:v>
                </c:pt>
                <c:pt idx="233">
                  <c:v>8.07E-02</c:v>
                </c:pt>
                <c:pt idx="234">
                  <c:v>8.15E-02</c:v>
                </c:pt>
                <c:pt idx="235">
                  <c:v>8.23E-02</c:v>
                </c:pt>
                <c:pt idx="236">
                  <c:v>8.31E-02</c:v>
                </c:pt>
                <c:pt idx="237">
                  <c:v>8.40E-02</c:v>
                </c:pt>
                <c:pt idx="238">
                  <c:v>8.48E-02</c:v>
                </c:pt>
                <c:pt idx="239">
                  <c:v>8.57E-02</c:v>
                </c:pt>
                <c:pt idx="240">
                  <c:v>8.65E-02</c:v>
                </c:pt>
                <c:pt idx="241">
                  <c:v>8.74E-02</c:v>
                </c:pt>
                <c:pt idx="242">
                  <c:v>8.82E-02</c:v>
                </c:pt>
                <c:pt idx="243">
                  <c:v>8.91E-02</c:v>
                </c:pt>
                <c:pt idx="244">
                  <c:v>9.00E-02</c:v>
                </c:pt>
                <c:pt idx="245">
                  <c:v>9.09E-02</c:v>
                </c:pt>
                <c:pt idx="246">
                  <c:v>9.18E-02</c:v>
                </c:pt>
                <c:pt idx="247">
                  <c:v>9.27E-02</c:v>
                </c:pt>
                <c:pt idx="248">
                  <c:v>9.37E-02</c:v>
                </c:pt>
                <c:pt idx="249">
                  <c:v>9.46E-02</c:v>
                </c:pt>
                <c:pt idx="250">
                  <c:v>9.56E-02</c:v>
                </c:pt>
                <c:pt idx="251">
                  <c:v>9.65E-02</c:v>
                </c:pt>
                <c:pt idx="252">
                  <c:v>9.75E-02</c:v>
                </c:pt>
                <c:pt idx="253">
                  <c:v>9.85E-02</c:v>
                </c:pt>
                <c:pt idx="254">
                  <c:v>9.94E-02</c:v>
                </c:pt>
                <c:pt idx="255">
                  <c:v>1.00E-01</c:v>
                </c:pt>
                <c:pt idx="256">
                  <c:v>1.01E-01</c:v>
                </c:pt>
                <c:pt idx="257">
                  <c:v>1.02E-01</c:v>
                </c:pt>
                <c:pt idx="258">
                  <c:v>1.03E-01</c:v>
                </c:pt>
                <c:pt idx="259">
                  <c:v>1.05E-01</c:v>
                </c:pt>
                <c:pt idx="260">
                  <c:v>1.06E-01</c:v>
                </c:pt>
                <c:pt idx="261">
                  <c:v>1.07E-01</c:v>
                </c:pt>
                <c:pt idx="262">
                  <c:v>1.08E-01</c:v>
                </c:pt>
                <c:pt idx="263">
                  <c:v>1.09E-01</c:v>
                </c:pt>
                <c:pt idx="264">
                  <c:v>1.10E-01</c:v>
                </c:pt>
                <c:pt idx="265">
                  <c:v>1.11E-01</c:v>
                </c:pt>
                <c:pt idx="266">
                  <c:v>1.12E-01</c:v>
                </c:pt>
                <c:pt idx="267">
                  <c:v>1.13E-01</c:v>
                </c:pt>
                <c:pt idx="268">
                  <c:v>1.14E-01</c:v>
                </c:pt>
                <c:pt idx="269">
                  <c:v>1.15E-01</c:v>
                </c:pt>
                <c:pt idx="270">
                  <c:v>1.17E-01</c:v>
                </c:pt>
                <c:pt idx="271">
                  <c:v>1.18E-01</c:v>
                </c:pt>
                <c:pt idx="272">
                  <c:v>1.19E-01</c:v>
                </c:pt>
                <c:pt idx="273">
                  <c:v>1.20E-01</c:v>
                </c:pt>
                <c:pt idx="274">
                  <c:v>1.21E-01</c:v>
                </c:pt>
                <c:pt idx="275">
                  <c:v>1.23E-01</c:v>
                </c:pt>
                <c:pt idx="276">
                  <c:v>1.24E-01</c:v>
                </c:pt>
                <c:pt idx="277">
                  <c:v>1.25E-01</c:v>
                </c:pt>
                <c:pt idx="278">
                  <c:v>1.26E-01</c:v>
                </c:pt>
                <c:pt idx="279">
                  <c:v>1.28E-01</c:v>
                </c:pt>
                <c:pt idx="280">
                  <c:v>1.29E-01</c:v>
                </c:pt>
                <c:pt idx="281">
                  <c:v>1.30E-01</c:v>
                </c:pt>
                <c:pt idx="282">
                  <c:v>1.31E-01</c:v>
                </c:pt>
                <c:pt idx="283">
                  <c:v>1.33E-01</c:v>
                </c:pt>
                <c:pt idx="284">
                  <c:v>1.34E-01</c:v>
                </c:pt>
                <c:pt idx="285">
                  <c:v>1.35E-01</c:v>
                </c:pt>
                <c:pt idx="286">
                  <c:v>1.37E-01</c:v>
                </c:pt>
                <c:pt idx="287">
                  <c:v>1.38E-01</c:v>
                </c:pt>
                <c:pt idx="288">
                  <c:v>1.39E-01</c:v>
                </c:pt>
                <c:pt idx="289">
                  <c:v>1.41E-01</c:v>
                </c:pt>
                <c:pt idx="290">
                  <c:v>1.42E-01</c:v>
                </c:pt>
                <c:pt idx="291">
                  <c:v>1.44E-01</c:v>
                </c:pt>
                <c:pt idx="292">
                  <c:v>1.45E-01</c:v>
                </c:pt>
                <c:pt idx="293">
                  <c:v>1.47E-01</c:v>
                </c:pt>
                <c:pt idx="294">
                  <c:v>1.48E-01</c:v>
                </c:pt>
                <c:pt idx="295">
                  <c:v>1.50E-01</c:v>
                </c:pt>
                <c:pt idx="296">
                  <c:v>1.51E-01</c:v>
                </c:pt>
                <c:pt idx="297">
                  <c:v>1.53E-01</c:v>
                </c:pt>
                <c:pt idx="298">
                  <c:v>1.54E-01</c:v>
                </c:pt>
                <c:pt idx="299">
                  <c:v>1.56E-01</c:v>
                </c:pt>
                <c:pt idx="300">
                  <c:v>1.57E-01</c:v>
                </c:pt>
                <c:pt idx="301">
                  <c:v>1.59E-01</c:v>
                </c:pt>
                <c:pt idx="302">
                  <c:v>1.60E-01</c:v>
                </c:pt>
                <c:pt idx="303">
                  <c:v>1.62E-01</c:v>
                </c:pt>
                <c:pt idx="304">
                  <c:v>1.64E-01</c:v>
                </c:pt>
                <c:pt idx="305">
                  <c:v>1.65E-01</c:v>
                </c:pt>
                <c:pt idx="306">
                  <c:v>1.67E-01</c:v>
                </c:pt>
                <c:pt idx="307">
                  <c:v>1.68E-01</c:v>
                </c:pt>
                <c:pt idx="308">
                  <c:v>1.70E-01</c:v>
                </c:pt>
                <c:pt idx="309">
                  <c:v>1.72E-01</c:v>
                </c:pt>
                <c:pt idx="310">
                  <c:v>1.74E-01</c:v>
                </c:pt>
                <c:pt idx="311">
                  <c:v>1.75E-01</c:v>
                </c:pt>
                <c:pt idx="312">
                  <c:v>1.77E-01</c:v>
                </c:pt>
                <c:pt idx="313">
                  <c:v>1.79E-01</c:v>
                </c:pt>
                <c:pt idx="314">
                  <c:v>1.81E-01</c:v>
                </c:pt>
                <c:pt idx="315">
                  <c:v>1.86E-01</c:v>
                </c:pt>
                <c:pt idx="316">
                  <c:v>1.88E-01</c:v>
                </c:pt>
                <c:pt idx="317">
                  <c:v>1.90E-01</c:v>
                </c:pt>
                <c:pt idx="318">
                  <c:v>1.92E-01</c:v>
                </c:pt>
                <c:pt idx="319">
                  <c:v>1.94E-01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7.9418057448799994E-3</c:v>
                </c:pt>
                <c:pt idx="1">
                  <c:v>8.0212238023300002E-3</c:v>
                </c:pt>
                <c:pt idx="2">
                  <c:v>8.1014360403499994E-3</c:v>
                </c:pt>
                <c:pt idx="3">
                  <c:v>8.1824504007600007E-3</c:v>
                </c:pt>
                <c:pt idx="4">
                  <c:v>8.2642749047700005E-3</c:v>
                </c:pt>
                <c:pt idx="5">
                  <c:v>8.3469176538099998E-3</c:v>
                </c:pt>
                <c:pt idx="6">
                  <c:v>8.4303868303500003E-3</c:v>
                </c:pt>
                <c:pt idx="7">
                  <c:v>8.5146906986500008E-3</c:v>
                </c:pt>
                <c:pt idx="8">
                  <c:v>8.5998376056400008E-3</c:v>
                </c:pt>
                <c:pt idx="9">
                  <c:v>8.6858359817000002E-3</c:v>
                </c:pt>
                <c:pt idx="10">
                  <c:v>8.7726943415100001E-3</c:v>
                </c:pt>
                <c:pt idx="11">
                  <c:v>8.86042128493E-3</c:v>
                </c:pt>
                <c:pt idx="12">
                  <c:v>8.9490254977800006E-3</c:v>
                </c:pt>
                <c:pt idx="13">
                  <c:v>9.0385157527600006E-3</c:v>
                </c:pt>
                <c:pt idx="14">
                  <c:v>9.1289009102799995E-3</c:v>
                </c:pt>
                <c:pt idx="15">
                  <c:v>9.2201899193900001E-3</c:v>
                </c:pt>
                <c:pt idx="16">
                  <c:v>9.3123918185800004E-3</c:v>
                </c:pt>
                <c:pt idx="17">
                  <c:v>9.4055157367700006E-3</c:v>
                </c:pt>
                <c:pt idx="18">
                  <c:v>9.4995708941299998E-3</c:v>
                </c:pt>
                <c:pt idx="19">
                  <c:v>9.5945666030799997E-3</c:v>
                </c:pt>
                <c:pt idx="20">
                  <c:v>9.69051226911E-3</c:v>
                </c:pt>
                <c:pt idx="21">
                  <c:v>9.7874173918000001E-3</c:v>
                </c:pt>
                <c:pt idx="22">
                  <c:v>9.8852915657199995E-3</c:v>
                </c:pt>
                <c:pt idx="23">
                  <c:v>9.9841444813699998E-3</c:v>
                </c:pt>
                <c:pt idx="24">
                  <c:v>1.0083985926200001E-2</c:v>
                </c:pt>
                <c:pt idx="25">
                  <c:v>1.01848257854E-2</c:v>
                </c:pt>
                <c:pt idx="26">
                  <c:v>1.02866740433E-2</c:v>
                </c:pt>
                <c:pt idx="27">
                  <c:v>1.03895407837E-2</c:v>
                </c:pt>
                <c:pt idx="28">
                  <c:v>1.04934361916E-2</c:v>
                </c:pt>
                <c:pt idx="29">
                  <c:v>1.05983705535E-2</c:v>
                </c:pt>
                <c:pt idx="30">
                  <c:v>1.0704354259E-2</c:v>
                </c:pt>
                <c:pt idx="31">
                  <c:v>1.08113978016E-2</c:v>
                </c:pt>
                <c:pt idx="32">
                  <c:v>1.0919511779600001E-2</c:v>
                </c:pt>
                <c:pt idx="33">
                  <c:v>1.1028706897400001E-2</c:v>
                </c:pt>
                <c:pt idx="34">
                  <c:v>1.11389939664E-2</c:v>
                </c:pt>
                <c:pt idx="35">
                  <c:v>1.12503839061E-2</c:v>
                </c:pt>
                <c:pt idx="36">
                  <c:v>1.1362887745099999E-2</c:v>
                </c:pt>
                <c:pt idx="37">
                  <c:v>1.14765166226E-2</c:v>
                </c:pt>
                <c:pt idx="38">
                  <c:v>1.1591281788799999E-2</c:v>
                </c:pt>
                <c:pt idx="39">
                  <c:v>1.17071946067E-2</c:v>
                </c:pt>
                <c:pt idx="40">
                  <c:v>1.18242665528E-2</c:v>
                </c:pt>
                <c:pt idx="41">
                  <c:v>1.19425092183E-2</c:v>
                </c:pt>
                <c:pt idx="42">
                  <c:v>1.2061934310500001E-2</c:v>
                </c:pt>
                <c:pt idx="43">
                  <c:v>1.2182553653599999E-2</c:v>
                </c:pt>
                <c:pt idx="44">
                  <c:v>1.2304379190100001E-2</c:v>
                </c:pt>
                <c:pt idx="45">
                  <c:v>1.2427422981999999E-2</c:v>
                </c:pt>
                <c:pt idx="46">
                  <c:v>1.25516972118E-2</c:v>
                </c:pt>
                <c:pt idx="47">
                  <c:v>1.26772141839E-2</c:v>
                </c:pt>
                <c:pt idx="48">
                  <c:v>1.28039863258E-2</c:v>
                </c:pt>
                <c:pt idx="49">
                  <c:v>1.2932026189000001E-2</c:v>
                </c:pt>
                <c:pt idx="50">
                  <c:v>1.3061346450899999E-2</c:v>
                </c:pt>
                <c:pt idx="51">
                  <c:v>1.31919599154E-2</c:v>
                </c:pt>
                <c:pt idx="52">
                  <c:v>1.33238795146E-2</c:v>
                </c:pt>
                <c:pt idx="53">
                  <c:v>1.3457118309700001E-2</c:v>
                </c:pt>
                <c:pt idx="54">
                  <c:v>1.3591689492799999E-2</c:v>
                </c:pt>
                <c:pt idx="55">
                  <c:v>1.37276063878E-2</c:v>
                </c:pt>
                <c:pt idx="56">
                  <c:v>1.3864882451600001E-2</c:v>
                </c:pt>
                <c:pt idx="57">
                  <c:v>1.40035312762E-2</c:v>
                </c:pt>
                <c:pt idx="58">
                  <c:v>1.41435665889E-2</c:v>
                </c:pt>
                <c:pt idx="59">
                  <c:v>1.42850022548E-2</c:v>
                </c:pt>
                <c:pt idx="60">
                  <c:v>1.44278522774E-2</c:v>
                </c:pt>
                <c:pt idx="61">
                  <c:v>1.4572130800099999E-2</c:v>
                </c:pt>
                <c:pt idx="62">
                  <c:v>1.4717852108099999E-2</c:v>
                </c:pt>
                <c:pt idx="63">
                  <c:v>1.4865030629200001E-2</c:v>
                </c:pt>
                <c:pt idx="64">
                  <c:v>1.50136809355E-2</c:v>
                </c:pt>
                <c:pt idx="65">
                  <c:v>1.5163817744900001E-2</c:v>
                </c:pt>
                <c:pt idx="66">
                  <c:v>1.5315455922300001E-2</c:v>
                </c:pt>
                <c:pt idx="67">
                  <c:v>1.54686104815E-2</c:v>
                </c:pt>
                <c:pt idx="68">
                  <c:v>1.56232965864E-2</c:v>
                </c:pt>
                <c:pt idx="69">
                  <c:v>1.5779529552200001E-2</c:v>
                </c:pt>
                <c:pt idx="70">
                  <c:v>1.59373248477E-2</c:v>
                </c:pt>
                <c:pt idx="71">
                  <c:v>1.6096698096199999E-2</c:v>
                </c:pt>
                <c:pt idx="72">
                  <c:v>1.6257665077200001E-2</c:v>
                </c:pt>
                <c:pt idx="73">
                  <c:v>1.6420241727999999E-2</c:v>
                </c:pt>
                <c:pt idx="74">
                  <c:v>1.6584444145200002E-2</c:v>
                </c:pt>
                <c:pt idx="75">
                  <c:v>1.67502885867E-2</c:v>
                </c:pt>
                <c:pt idx="76">
                  <c:v>1.6917791472599999E-2</c:v>
                </c:pt>
                <c:pt idx="77">
                  <c:v>1.7086969387300002E-2</c:v>
                </c:pt>
                <c:pt idx="78">
                  <c:v>1.7257839081199999E-2</c:v>
                </c:pt>
                <c:pt idx="79">
                  <c:v>1.7430417472000002E-2</c:v>
                </c:pt>
                <c:pt idx="80">
                  <c:v>1.7604721646699999E-2</c:v>
                </c:pt>
                <c:pt idx="81">
                  <c:v>1.77807688631E-2</c:v>
                </c:pt>
                <c:pt idx="82">
                  <c:v>1.7958576551799998E-2</c:v>
                </c:pt>
                <c:pt idx="83">
                  <c:v>1.8138162317300002E-2</c:v>
                </c:pt>
                <c:pt idx="84">
                  <c:v>1.8319543940500001E-2</c:v>
                </c:pt>
                <c:pt idx="85">
                  <c:v>1.8502739379900001E-2</c:v>
                </c:pt>
                <c:pt idx="86">
                  <c:v>1.8687766773700001E-2</c:v>
                </c:pt>
                <c:pt idx="87">
                  <c:v>1.8874644441399999E-2</c:v>
                </c:pt>
                <c:pt idx="88">
                  <c:v>1.9063390885799999E-2</c:v>
                </c:pt>
                <c:pt idx="89">
                  <c:v>1.9254024794699998E-2</c:v>
                </c:pt>
                <c:pt idx="90">
                  <c:v>1.9446565042599999E-2</c:v>
                </c:pt>
                <c:pt idx="91">
                  <c:v>1.9641030693100001E-2</c:v>
                </c:pt>
                <c:pt idx="92">
                  <c:v>1.9837441000000001E-2</c:v>
                </c:pt>
                <c:pt idx="93">
                  <c:v>2.0035815410000001E-2</c:v>
                </c:pt>
                <c:pt idx="94">
                  <c:v>2.0236173564099999E-2</c:v>
                </c:pt>
                <c:pt idx="95">
                  <c:v>2.0438535299700002E-2</c:v>
                </c:pt>
                <c:pt idx="96">
                  <c:v>2.06429206527E-2</c:v>
                </c:pt>
                <c:pt idx="97">
                  <c:v>2.0849349859299999E-2</c:v>
                </c:pt>
                <c:pt idx="98">
                  <c:v>2.1057843357800001E-2</c:v>
                </c:pt>
                <c:pt idx="99">
                  <c:v>2.12684217914E-2</c:v>
                </c:pt>
                <c:pt idx="100">
                  <c:v>2.1481106009300002E-2</c:v>
                </c:pt>
                <c:pt idx="101">
                  <c:v>2.1695917069400002E-2</c:v>
                </c:pt>
                <c:pt idx="102">
                  <c:v>2.19128762401E-2</c:v>
                </c:pt>
                <c:pt idx="103">
                  <c:v>2.21320050025E-2</c:v>
                </c:pt>
                <c:pt idx="104">
                  <c:v>2.2353325052600001E-2</c:v>
                </c:pt>
                <c:pt idx="105">
                  <c:v>2.2576858303100002E-2</c:v>
                </c:pt>
                <c:pt idx="106">
                  <c:v>2.2802626886099998E-2</c:v>
                </c:pt>
                <c:pt idx="107">
                  <c:v>2.3030653155000001E-2</c:v>
                </c:pt>
                <c:pt idx="108">
                  <c:v>2.32609596865E-2</c:v>
                </c:pt>
                <c:pt idx="109">
                  <c:v>2.34935692834E-2</c:v>
                </c:pt>
                <c:pt idx="110">
                  <c:v>2.37285049762E-2</c:v>
                </c:pt>
                <c:pt idx="111">
                  <c:v>2.3965790026000001E-2</c:v>
                </c:pt>
                <c:pt idx="112">
                  <c:v>2.42054479262E-2</c:v>
                </c:pt>
                <c:pt idx="113">
                  <c:v>2.4447502405500001E-2</c:v>
                </c:pt>
                <c:pt idx="114">
                  <c:v>2.4691977429599998E-2</c:v>
                </c:pt>
                <c:pt idx="115">
                  <c:v>2.4938897203899999E-2</c:v>
                </c:pt>
                <c:pt idx="116">
                  <c:v>2.51882861759E-2</c:v>
                </c:pt>
                <c:pt idx="117">
                  <c:v>2.5440169037600002E-2</c:v>
                </c:pt>
                <c:pt idx="118">
                  <c:v>2.5694570728E-2</c:v>
                </c:pt>
                <c:pt idx="119">
                  <c:v>2.5951516435299998E-2</c:v>
                </c:pt>
                <c:pt idx="120">
                  <c:v>2.6211031599700001E-2</c:v>
                </c:pt>
                <c:pt idx="121">
                  <c:v>2.6473141915700001E-2</c:v>
                </c:pt>
                <c:pt idx="122">
                  <c:v>2.6737873334799999E-2</c:v>
                </c:pt>
                <c:pt idx="123">
                  <c:v>2.7005252068200002E-2</c:v>
                </c:pt>
                <c:pt idx="124">
                  <c:v>2.7275304588799999E-2</c:v>
                </c:pt>
                <c:pt idx="125">
                  <c:v>2.7548057634700002E-2</c:v>
                </c:pt>
                <c:pt idx="126">
                  <c:v>2.78235382111E-2</c:v>
                </c:pt>
                <c:pt idx="127">
                  <c:v>2.81017735932E-2</c:v>
                </c:pt>
                <c:pt idx="128">
                  <c:v>2.8382791329100002E-2</c:v>
                </c:pt>
                <c:pt idx="129">
                  <c:v>2.86666192424E-2</c:v>
                </c:pt>
                <c:pt idx="130">
                  <c:v>2.89532854348E-2</c:v>
                </c:pt>
                <c:pt idx="131">
                  <c:v>2.9242818289200001E-2</c:v>
                </c:pt>
                <c:pt idx="132">
                  <c:v>2.9535246472099999E-2</c:v>
                </c:pt>
                <c:pt idx="133">
                  <c:v>2.9830598936799999E-2</c:v>
                </c:pt>
                <c:pt idx="134">
                  <c:v>3.01289049262E-2</c:v>
                </c:pt>
                <c:pt idx="135">
                  <c:v>3.0430193975400002E-2</c:v>
                </c:pt>
                <c:pt idx="136">
                  <c:v>3.07344959152E-2</c:v>
                </c:pt>
                <c:pt idx="137">
                  <c:v>3.1041840874300002E-2</c:v>
                </c:pt>
                <c:pt idx="138">
                  <c:v>3.1352259283100002E-2</c:v>
                </c:pt>
                <c:pt idx="139">
                  <c:v>3.1665781875900002E-2</c:v>
                </c:pt>
                <c:pt idx="140">
                  <c:v>3.19824396947E-2</c:v>
                </c:pt>
                <c:pt idx="141">
                  <c:v>3.2302264091600003E-2</c:v>
                </c:pt>
                <c:pt idx="142">
                  <c:v>3.2625286732500001E-2</c:v>
                </c:pt>
                <c:pt idx="143">
                  <c:v>3.29515395999E-2</c:v>
                </c:pt>
                <c:pt idx="144">
                  <c:v>3.3281054995899999E-2</c:v>
                </c:pt>
                <c:pt idx="145">
                  <c:v>3.3613865545800002E-2</c:v>
                </c:pt>
                <c:pt idx="146">
                  <c:v>3.3950004201300003E-2</c:v>
                </c:pt>
                <c:pt idx="147">
                  <c:v>3.4289504243299997E-2</c:v>
                </c:pt>
                <c:pt idx="148">
                  <c:v>3.46323992857E-2</c:v>
                </c:pt>
                <c:pt idx="149">
                  <c:v>3.49787232786E-2</c:v>
                </c:pt>
                <c:pt idx="150">
                  <c:v>3.5328510511399999E-2</c:v>
                </c:pt>
                <c:pt idx="151">
                  <c:v>3.5681795616499999E-2</c:v>
                </c:pt>
                <c:pt idx="152">
                  <c:v>3.6038613572599999E-2</c:v>
                </c:pt>
                <c:pt idx="153">
                  <c:v>3.63989997084E-2</c:v>
                </c:pt>
                <c:pt idx="154">
                  <c:v>3.6762989705399998E-2</c:v>
                </c:pt>
                <c:pt idx="155">
                  <c:v>3.7130619602499998E-2</c:v>
                </c:pt>
                <c:pt idx="156">
                  <c:v>3.7501925798500001E-2</c:v>
                </c:pt>
                <c:pt idx="157">
                  <c:v>3.7876945056500001E-2</c:v>
                </c:pt>
                <c:pt idx="158">
                  <c:v>3.8255714507099997E-2</c:v>
                </c:pt>
                <c:pt idx="159">
                  <c:v>3.8638271652100001E-2</c:v>
                </c:pt>
                <c:pt idx="160">
                  <c:v>3.90246543687E-2</c:v>
                </c:pt>
                <c:pt idx="161">
                  <c:v>3.9414900912399999E-2</c:v>
                </c:pt>
                <c:pt idx="162">
                  <c:v>3.98090499215E-2</c:v>
                </c:pt>
                <c:pt idx="163">
                  <c:v>4.0207140420699998E-2</c:v>
                </c:pt>
                <c:pt idx="164">
                  <c:v>4.0609211824900002E-2</c:v>
                </c:pt>
                <c:pt idx="165">
                  <c:v>4.1015303943099997E-2</c:v>
                </c:pt>
                <c:pt idx="166">
                  <c:v>4.1425456982600001E-2</c:v>
                </c:pt>
                <c:pt idx="167">
                  <c:v>4.1839711552400002E-2</c:v>
                </c:pt>
                <c:pt idx="168">
                  <c:v>4.2258108667900002E-2</c:v>
                </c:pt>
                <c:pt idx="169">
                  <c:v>4.2680689754600001E-2</c:v>
                </c:pt>
                <c:pt idx="170">
                  <c:v>4.3107496652199997E-2</c:v>
                </c:pt>
                <c:pt idx="171">
                  <c:v>4.3538571618699999E-2</c:v>
                </c:pt>
                <c:pt idx="172">
                  <c:v>4.3973957334899998E-2</c:v>
                </c:pt>
                <c:pt idx="173">
                  <c:v>4.4413696908199997E-2</c:v>
                </c:pt>
                <c:pt idx="174">
                  <c:v>4.4857833877300003E-2</c:v>
                </c:pt>
                <c:pt idx="175">
                  <c:v>4.5306412216100003E-2</c:v>
                </c:pt>
                <c:pt idx="176">
                  <c:v>4.5759476338200003E-2</c:v>
                </c:pt>
                <c:pt idx="177">
                  <c:v>4.6217071101599998E-2</c:v>
                </c:pt>
                <c:pt idx="178">
                  <c:v>4.6679241812599997E-2</c:v>
                </c:pt>
                <c:pt idx="179">
                  <c:v>4.71460342308E-2</c:v>
                </c:pt>
                <c:pt idx="180">
                  <c:v>4.7617494573100001E-2</c:v>
                </c:pt>
                <c:pt idx="181">
                  <c:v>4.8093669518800002E-2</c:v>
                </c:pt>
                <c:pt idx="182">
                  <c:v>4.8574606213999998E-2</c:v>
                </c:pt>
                <c:pt idx="183">
                  <c:v>4.9060352276099999E-2</c:v>
                </c:pt>
                <c:pt idx="184">
                  <c:v>4.9550955798900002E-2</c:v>
                </c:pt>
                <c:pt idx="185">
                  <c:v>5.0046465356900001E-2</c:v>
                </c:pt>
                <c:pt idx="186">
                  <c:v>5.0546930010399997E-2</c:v>
                </c:pt>
                <c:pt idx="187">
                  <c:v>5.1052399310499999E-2</c:v>
                </c:pt>
                <c:pt idx="188">
                  <c:v>5.1562923303600003E-2</c:v>
                </c:pt>
                <c:pt idx="189">
                  <c:v>5.2078552536699997E-2</c:v>
                </c:pt>
                <c:pt idx="190">
                  <c:v>5.2599338062100001E-2</c:v>
                </c:pt>
                <c:pt idx="191">
                  <c:v>5.31253314427E-2</c:v>
                </c:pt>
                <c:pt idx="192">
                  <c:v>5.3656584757100001E-2</c:v>
                </c:pt>
                <c:pt idx="193">
                  <c:v>5.4193150604700001E-2</c:v>
                </c:pt>
                <c:pt idx="194">
                  <c:v>5.4735082110700002E-2</c:v>
                </c:pt>
                <c:pt idx="195">
                  <c:v>5.5282432931799998E-2</c:v>
                </c:pt>
                <c:pt idx="196">
                  <c:v>5.5835257261100002E-2</c:v>
                </c:pt>
                <c:pt idx="197">
                  <c:v>5.6393609833799999E-2</c:v>
                </c:pt>
                <c:pt idx="198">
                  <c:v>5.69575459321E-2</c:v>
                </c:pt>
                <c:pt idx="199">
                  <c:v>5.7527121391400003E-2</c:v>
                </c:pt>
                <c:pt idx="200">
                  <c:v>5.81023926053E-2</c:v>
                </c:pt>
                <c:pt idx="201">
                  <c:v>5.8683416531400003E-2</c:v>
                </c:pt>
                <c:pt idx="202">
                  <c:v>5.92702506967E-2</c:v>
                </c:pt>
                <c:pt idx="203">
                  <c:v>5.9862953203699998E-2</c:v>
                </c:pt>
                <c:pt idx="204">
                  <c:v>6.0461582735700001E-2</c:v>
                </c:pt>
                <c:pt idx="205">
                  <c:v>6.1066198563099999E-2</c:v>
                </c:pt>
                <c:pt idx="206">
                  <c:v>6.1676860548700002E-2</c:v>
                </c:pt>
                <c:pt idx="207">
                  <c:v>6.2293629154200003E-2</c:v>
                </c:pt>
                <c:pt idx="208">
                  <c:v>6.2916565445699998E-2</c:v>
                </c:pt>
                <c:pt idx="209">
                  <c:v>6.3545731100199995E-2</c:v>
                </c:pt>
                <c:pt idx="210">
                  <c:v>6.4181188411200005E-2</c:v>
                </c:pt>
                <c:pt idx="211">
                  <c:v>6.4823000295299998E-2</c:v>
                </c:pt>
                <c:pt idx="212">
                  <c:v>6.5471230298199998E-2</c:v>
                </c:pt>
                <c:pt idx="213">
                  <c:v>6.61259426012E-2</c:v>
                </c:pt>
                <c:pt idx="214">
                  <c:v>6.6787202027199996E-2</c:v>
                </c:pt>
                <c:pt idx="215">
                  <c:v>6.7455074047499994E-2</c:v>
                </c:pt>
                <c:pt idx="216">
                  <c:v>6.8129624787999998E-2</c:v>
                </c:pt>
                <c:pt idx="217">
                  <c:v>6.8810921035900002E-2</c:v>
                </c:pt>
                <c:pt idx="218">
                  <c:v>6.9499030246199994E-2</c:v>
                </c:pt>
                <c:pt idx="219">
                  <c:v>7.0194020548699998E-2</c:v>
                </c:pt>
                <c:pt idx="220">
                  <c:v>7.0895960754200002E-2</c:v>
                </c:pt>
                <c:pt idx="221">
                  <c:v>7.1604920361700006E-2</c:v>
                </c:pt>
                <c:pt idx="222">
                  <c:v>7.23209695653E-2</c:v>
                </c:pt>
                <c:pt idx="223">
                  <c:v>7.3044179261E-2</c:v>
                </c:pt>
                <c:pt idx="224">
                  <c:v>7.3774621053599998E-2</c:v>
                </c:pt>
                <c:pt idx="225">
                  <c:v>7.4512367264100002E-2</c:v>
                </c:pt>
                <c:pt idx="226">
                  <c:v>7.5257490936799995E-2</c:v>
                </c:pt>
                <c:pt idx="227">
                  <c:v>7.6010065846099997E-2</c:v>
                </c:pt>
                <c:pt idx="228">
                  <c:v>7.6770166504600001E-2</c:v>
                </c:pt>
                <c:pt idx="229">
                  <c:v>7.7537868169599997E-2</c:v>
                </c:pt>
                <c:pt idx="230">
                  <c:v>7.8313246851300006E-2</c:v>
                </c:pt>
                <c:pt idx="231">
                  <c:v>7.90963793198E-2</c:v>
                </c:pt>
                <c:pt idx="232">
                  <c:v>7.9887343112999998E-2</c:v>
                </c:pt>
                <c:pt idx="233">
                  <c:v>8.0686216544199996E-2</c:v>
                </c:pt>
                <c:pt idx="234">
                  <c:v>8.14930787096E-2</c:v>
                </c:pt>
                <c:pt idx="235">
                  <c:v>8.2308009496700002E-2</c:v>
                </c:pt>
                <c:pt idx="236">
                  <c:v>8.31310895917E-2</c:v>
                </c:pt>
                <c:pt idx="237">
                  <c:v>8.3962400487599995E-2</c:v>
                </c:pt>
                <c:pt idx="238">
                  <c:v>8.4802024492500003E-2</c:v>
                </c:pt>
                <c:pt idx="239">
                  <c:v>8.5650044737399997E-2</c:v>
                </c:pt>
                <c:pt idx="240">
                  <c:v>8.6506545184799999E-2</c:v>
                </c:pt>
                <c:pt idx="241">
                  <c:v>8.7371610636599997E-2</c:v>
                </c:pt>
                <c:pt idx="242">
                  <c:v>8.8245326742999994E-2</c:v>
                </c:pt>
                <c:pt idx="243">
                  <c:v>8.9127780010400004E-2</c:v>
                </c:pt>
                <c:pt idx="244">
                  <c:v>9.00190578105E-2</c:v>
                </c:pt>
                <c:pt idx="245">
                  <c:v>9.0919248388599994E-2</c:v>
                </c:pt>
                <c:pt idx="246">
                  <c:v>9.18284408725E-2</c:v>
                </c:pt>
                <c:pt idx="247">
                  <c:v>9.2746725281199996E-2</c:v>
                </c:pt>
                <c:pt idx="248">
                  <c:v>9.3674192534E-2</c:v>
                </c:pt>
                <c:pt idx="249">
                  <c:v>9.4610934459399998E-2</c:v>
                </c:pt>
                <c:pt idx="250">
                  <c:v>9.5557043804E-2</c:v>
                </c:pt>
                <c:pt idx="251">
                  <c:v>9.6512614242E-2</c:v>
                </c:pt>
                <c:pt idx="252">
                  <c:v>9.7477740384400005E-2</c:v>
                </c:pt>
                <c:pt idx="253">
                  <c:v>9.8452517788299998E-2</c:v>
                </c:pt>
                <c:pt idx="254">
                  <c:v>9.9437042966199998E-2</c:v>
                </c:pt>
                <c:pt idx="255">
                  <c:v>0.10043141339599999</c:v>
                </c:pt>
                <c:pt idx="256">
                  <c:v>0.10143572753000001</c:v>
                </c:pt>
                <c:pt idx="257">
                  <c:v>0.10245008480499999</c:v>
                </c:pt>
                <c:pt idx="258">
                  <c:v>0.103474585653</c:v>
                </c:pt>
                <c:pt idx="259">
                  <c:v>0.10450933151</c:v>
                </c:pt>
                <c:pt idx="260">
                  <c:v>0.10555442482500001</c:v>
                </c:pt>
                <c:pt idx="261">
                  <c:v>0.10660996907299999</c:v>
                </c:pt>
                <c:pt idx="262">
                  <c:v>0.107676068764</c:v>
                </c:pt>
                <c:pt idx="263">
                  <c:v>0.108752829451</c:v>
                </c:pt>
                <c:pt idx="264">
                  <c:v>0.109840357746</c:v>
                </c:pt>
                <c:pt idx="265">
                  <c:v>0.110938761323</c:v>
                </c:pt>
                <c:pt idx="266">
                  <c:v>0.11204814893700001</c:v>
                </c:pt>
                <c:pt idx="267">
                  <c:v>0.11316863042600001</c:v>
                </c:pt>
                <c:pt idx="268">
                  <c:v>0.11430031673</c:v>
                </c:pt>
                <c:pt idx="269">
                  <c:v>0.115443319898</c:v>
                </c:pt>
                <c:pt idx="270">
                  <c:v>0.116597753096</c:v>
                </c:pt>
                <c:pt idx="271">
                  <c:v>0.117763730627</c:v>
                </c:pt>
                <c:pt idx="272">
                  <c:v>0.11894136793399999</c:v>
                </c:pt>
                <c:pt idx="273">
                  <c:v>0.120130781613</c:v>
                </c:pt>
                <c:pt idx="274">
                  <c:v>0.12133208942900001</c:v>
                </c:pt>
                <c:pt idx="275">
                  <c:v>0.122545410323</c:v>
                </c:pt>
                <c:pt idx="276">
                  <c:v>0.123770864427</c:v>
                </c:pt>
                <c:pt idx="277">
                  <c:v>0.125008573071</c:v>
                </c:pt>
                <c:pt idx="278">
                  <c:v>0.12625865880199999</c:v>
                </c:pt>
                <c:pt idx="279">
                  <c:v>0.12752124539000001</c:v>
                </c:pt>
                <c:pt idx="280">
                  <c:v>0.12879645784400001</c:v>
                </c:pt>
                <c:pt idx="281">
                  <c:v>0.130084422422</c:v>
                </c:pt>
                <c:pt idx="282">
                  <c:v>0.131385266646</c:v>
                </c:pt>
                <c:pt idx="283">
                  <c:v>0.13269911931299999</c:v>
                </c:pt>
                <c:pt idx="284">
                  <c:v>0.134026110506</c:v>
                </c:pt>
                <c:pt idx="285">
                  <c:v>0.13536637161100001</c:v>
                </c:pt>
                <c:pt idx="286">
                  <c:v>0.136720035327</c:v>
                </c:pt>
                <c:pt idx="287">
                  <c:v>0.13808723568</c:v>
                </c:pt>
                <c:pt idx="288">
                  <c:v>0.13946810803699999</c:v>
                </c:pt>
                <c:pt idx="289">
                  <c:v>0.14086278911700001</c:v>
                </c:pt>
                <c:pt idx="290">
                  <c:v>0.14227141700900001</c:v>
                </c:pt>
                <c:pt idx="291">
                  <c:v>0.14369413117900001</c:v>
                </c:pt>
                <c:pt idx="292">
                  <c:v>0.14513107249099999</c:v>
                </c:pt>
                <c:pt idx="293">
                  <c:v>0.146582383215</c:v>
                </c:pt>
                <c:pt idx="294">
                  <c:v>0.14804820704800001</c:v>
                </c:pt>
                <c:pt idx="295">
                  <c:v>0.14952868911799999</c:v>
                </c:pt>
                <c:pt idx="296">
                  <c:v>0.151023976009</c:v>
                </c:pt>
                <c:pt idx="297">
                  <c:v>0.152534215769</c:v>
                </c:pt>
                <c:pt idx="298">
                  <c:v>0.15405955792699999</c:v>
                </c:pt>
                <c:pt idx="299">
                  <c:v>0.15560015350600001</c:v>
                </c:pt>
                <c:pt idx="300">
                  <c:v>0.157156155041</c:v>
                </c:pt>
                <c:pt idx="301">
                  <c:v>0.158727716592</c:v>
                </c:pt>
                <c:pt idx="302">
                  <c:v>0.16031499375800001</c:v>
                </c:pt>
                <c:pt idx="303">
                  <c:v>0.16191814369499999</c:v>
                </c:pt>
                <c:pt idx="304">
                  <c:v>0.16353732513200001</c:v>
                </c:pt>
                <c:pt idx="305">
                  <c:v>0.16517269838400001</c:v>
                </c:pt>
                <c:pt idx="306">
                  <c:v>0.16682442536700001</c:v>
                </c:pt>
                <c:pt idx="307">
                  <c:v>0.16849266962100001</c:v>
                </c:pt>
                <c:pt idx="308">
                  <c:v>0.170177596317</c:v>
                </c:pt>
                <c:pt idx="309">
                  <c:v>0.17187937228</c:v>
                </c:pt>
                <c:pt idx="310">
                  <c:v>0.17359816600299999</c:v>
                </c:pt>
                <c:pt idx="311">
                  <c:v>0.17533414766300001</c:v>
                </c:pt>
                <c:pt idx="312">
                  <c:v>0.17708748914</c:v>
                </c:pt>
                <c:pt idx="313">
                  <c:v>0.178858364031</c:v>
                </c:pt>
                <c:pt idx="314">
                  <c:v>0.18064694767200001</c:v>
                </c:pt>
                <c:pt idx="315">
                  <c:v>0.18612073083299999</c:v>
                </c:pt>
                <c:pt idx="316">
                  <c:v>0.187981938141</c:v>
                </c:pt>
                <c:pt idx="317">
                  <c:v>0.189861757523</c:v>
                </c:pt>
                <c:pt idx="318">
                  <c:v>0.19176037509800001</c:v>
                </c:pt>
                <c:pt idx="319">
                  <c:v>0.19367797884900001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3.953885166404205E-9</c:v>
                </c:pt>
                <c:pt idx="1">
                  <c:v>4.1133990326540002E-9</c:v>
                </c:pt>
                <c:pt idx="2">
                  <c:v>4.2792525560764457E-9</c:v>
                </c:pt>
                <c:pt idx="3">
                  <c:v>4.451677840121057E-9</c:v>
                </c:pt>
                <c:pt idx="4">
                  <c:v>4.6309132485159543E-9</c:v>
                </c:pt>
                <c:pt idx="5">
                  <c:v>4.8172007007645602E-9</c:v>
                </c:pt>
                <c:pt idx="6">
                  <c:v>5.0107826224039548E-9</c:v>
                </c:pt>
                <c:pt idx="7">
                  <c:v>5.2118992156633886E-9</c:v>
                </c:pt>
                <c:pt idx="8">
                  <c:v>5.4207846916458309E-9</c:v>
                </c:pt>
                <c:pt idx="9">
                  <c:v>5.637661599013374E-9</c:v>
                </c:pt>
                <c:pt idx="10">
                  <c:v>5.8627322050740226E-9</c:v>
                </c:pt>
                <c:pt idx="11">
                  <c:v>6.0961655372068622E-9</c:v>
                </c:pt>
                <c:pt idx="12">
                  <c:v>6.338077458813081E-9</c:v>
                </c:pt>
                <c:pt idx="13">
                  <c:v>6.5884991802168965E-9</c:v>
                </c:pt>
                <c:pt idx="14">
                  <c:v>6.8473257831875719E-9</c:v>
                </c:pt>
                <c:pt idx="15">
                  <c:v>7.1142285245281817E-9</c:v>
                </c:pt>
                <c:pt idx="16">
                  <c:v>7.3884975925754505E-9</c:v>
                </c:pt>
                <c:pt idx="17">
                  <c:v>7.6687414154669847E-9</c:v>
                </c:pt>
                <c:pt idx="18">
                  <c:v>7.9522620520253061E-9</c:v>
                </c:pt>
                <c:pt idx="19">
                  <c:v>8.2336144211138883E-9</c:v>
                </c:pt>
                <c:pt idx="20">
                  <c:v>8.5010163203212582E-9</c:v>
                </c:pt>
                <c:pt idx="21">
                  <c:v>8.7274606781668463E-9</c:v>
                </c:pt>
                <c:pt idx="22">
                  <c:v>8.8525182374907339E-9</c:v>
                </c:pt>
                <c:pt idx="23">
                  <c:v>8.7578536648263806E-9</c:v>
                </c:pt>
                <c:pt idx="24">
                  <c:v>8.2648309863836002E-9</c:v>
                </c:pt>
                <c:pt idx="25">
                  <c:v>7.2295643631013003E-9</c:v>
                </c:pt>
                <c:pt idx="26">
                  <c:v>5.7708405011907625E-9</c:v>
                </c:pt>
                <c:pt idx="27">
                  <c:v>4.3703973472328167E-9</c:v>
                </c:pt>
                <c:pt idx="28">
                  <c:v>3.5041136221810501E-9</c:v>
                </c:pt>
                <c:pt idx="29">
                  <c:v>3.2069847794231269E-9</c:v>
                </c:pt>
                <c:pt idx="30">
                  <c:v>3.1998356712003738E-9</c:v>
                </c:pt>
                <c:pt idx="31">
                  <c:v>3.2516536949472193E-9</c:v>
                </c:pt>
                <c:pt idx="32">
                  <c:v>3.2751674452172318E-9</c:v>
                </c:pt>
                <c:pt idx="33">
                  <c:v>3.2548546776920391E-9</c:v>
                </c:pt>
                <c:pt idx="34">
                  <c:v>3.1926107103480067E-9</c:v>
                </c:pt>
                <c:pt idx="35">
                  <c:v>3.0932399162006056E-9</c:v>
                </c:pt>
                <c:pt idx="36">
                  <c:v>2.9616806376671923E-9</c:v>
                </c:pt>
                <c:pt idx="37">
                  <c:v>2.8029728156083613E-9</c:v>
                </c:pt>
                <c:pt idx="38">
                  <c:v>2.6223600312891791E-9</c:v>
                </c:pt>
                <c:pt idx="39">
                  <c:v>2.4253417326554891E-9</c:v>
                </c:pt>
                <c:pt idx="40">
                  <c:v>2.2176521888516017E-9</c:v>
                </c:pt>
                <c:pt idx="41">
                  <c:v>2.005172278437674E-9</c:v>
                </c:pt>
                <c:pt idx="42">
                  <c:v>1.7937881508104433E-9</c:v>
                </c:pt>
                <c:pt idx="43">
                  <c:v>1.5892141730305634E-9</c:v>
                </c:pt>
                <c:pt idx="44">
                  <c:v>1.3967992444222497E-9</c:v>
                </c:pt>
                <c:pt idx="45">
                  <c:v>1.2213356815773311E-9</c:v>
                </c:pt>
                <c:pt idx="46">
                  <c:v>1.0668882438879663E-9</c:v>
                </c:pt>
                <c:pt idx="47">
                  <c:v>9.3665755796187437E-10</c:v>
                </c:pt>
                <c:pt idx="48">
                  <c:v>8.3288762672076777E-10</c:v>
                </c:pt>
                <c:pt idx="49">
                  <c:v>7.56549271183198E-10</c:v>
                </c:pt>
                <c:pt idx="50">
                  <c:v>7.0849256369657537E-10</c:v>
                </c:pt>
                <c:pt idx="51">
                  <c:v>6.8768247643471935E-10</c:v>
                </c:pt>
                <c:pt idx="52">
                  <c:v>6.9255085797266609E-10</c:v>
                </c:pt>
                <c:pt idx="53">
                  <c:v>7.2077452985962724E-10</c:v>
                </c:pt>
                <c:pt idx="54">
                  <c:v>7.694025085622851E-10</c:v>
                </c:pt>
                <c:pt idx="55">
                  <c:v>8.3499193405241856E-10</c:v>
                </c:pt>
                <c:pt idx="56">
                  <c:v>9.1374574088141173E-10</c:v>
                </c:pt>
                <c:pt idx="57">
                  <c:v>1.0016469591521999E-9</c:v>
                </c:pt>
                <c:pt idx="58">
                  <c:v>1.0945863672558351E-9</c:v>
                </c:pt>
                <c:pt idx="59">
                  <c:v>1.1884818097411514E-9</c:v>
                </c:pt>
                <c:pt idx="60">
                  <c:v>1.2793886836770858E-9</c:v>
                </c:pt>
                <c:pt idx="61">
                  <c:v>1.363601844766173E-9</c:v>
                </c:pt>
                <c:pt idx="62">
                  <c:v>1.4377494783965113E-9</c:v>
                </c:pt>
                <c:pt idx="63">
                  <c:v>1.4988793775031837E-9</c:v>
                </c:pt>
                <c:pt idx="64">
                  <c:v>1.5445376459626313E-9</c:v>
                </c:pt>
                <c:pt idx="65">
                  <c:v>1.5728391884855649E-9</c:v>
                </c:pt>
                <c:pt idx="66">
                  <c:v>1.5825285650090887E-9</c:v>
                </c:pt>
                <c:pt idx="67">
                  <c:v>1.5730289843468332E-9</c:v>
                </c:pt>
                <c:pt idx="68">
                  <c:v>1.5444765011594576E-9</c:v>
                </c:pt>
                <c:pt idx="69">
                  <c:v>1.4977359759348785E-9</c:v>
                </c:pt>
                <c:pt idx="70">
                  <c:v>1.4343951641370339E-9</c:v>
                </c:pt>
                <c:pt idx="71">
                  <c:v>1.3567335123291816E-9</c:v>
                </c:pt>
                <c:pt idx="72">
                  <c:v>1.2676629130018549E-9</c:v>
                </c:pt>
                <c:pt idx="73">
                  <c:v>1.170638830711447E-9</c:v>
                </c:pt>
                <c:pt idx="74">
                  <c:v>1.0695418237517524E-9</c:v>
                </c:pt>
                <c:pt idx="75">
                  <c:v>9.6853145290150848E-10</c:v>
                </c:pt>
                <c:pt idx="76">
                  <c:v>8.7187673951138922E-10</c:v>
                </c:pt>
                <c:pt idx="77">
                  <c:v>7.8376950207671667E-10</c:v>
                </c:pt>
                <c:pt idx="78">
                  <c:v>7.0812884659286886E-10</c:v>
                </c:pt>
                <c:pt idx="79">
                  <c:v>6.48406579769825E-10</c:v>
                </c:pt>
                <c:pt idx="80">
                  <c:v>6.074041759420585E-10</c:v>
                </c:pt>
                <c:pt idx="81">
                  <c:v>5.8711204194083687E-10</c:v>
                </c:pt>
                <c:pt idx="82">
                  <c:v>5.8858115180964753E-10</c:v>
                </c:pt>
                <c:pt idx="83">
                  <c:v>6.1183572433205198E-10</c:v>
                </c:pt>
                <c:pt idx="84">
                  <c:v>6.55833621850092E-10</c:v>
                </c:pt>
                <c:pt idx="85">
                  <c:v>7.1847874382707658E-10</c:v>
                </c:pt>
                <c:pt idx="86">
                  <c:v>7.9668707512574486E-10</c:v>
                </c:pt>
                <c:pt idx="87">
                  <c:v>8.8650541349631005E-10</c:v>
                </c:pt>
                <c:pt idx="88">
                  <c:v>9.8327928772742971E-10</c:v>
                </c:pt>
                <c:pt idx="89">
                  <c:v>1.0818642705996071E-9</c:v>
                </c:pt>
                <c:pt idx="90">
                  <c:v>1.1768728173194452E-9</c:v>
                </c:pt>
                <c:pt idx="91">
                  <c:v>1.2629469006678111E-9</c:v>
                </c:pt>
                <c:pt idx="92">
                  <c:v>1.3350450296707321E-9</c:v>
                </c:pt>
                <c:pt idx="93">
                  <c:v>1.3887307095286393E-9</c:v>
                </c:pt>
                <c:pt idx="94">
                  <c:v>1.4204480369449628E-9</c:v>
                </c:pt>
                <c:pt idx="95">
                  <c:v>1.4277690258637656E-9</c:v>
                </c:pt>
                <c:pt idx="96">
                  <c:v>1.4095965857866191E-9</c:v>
                </c:pt>
                <c:pt idx="97">
                  <c:v>1.3663070803196507E-9</c:v>
                </c:pt>
                <c:pt idx="98">
                  <c:v>1.2998173710812105E-9</c:v>
                </c:pt>
                <c:pt idx="99">
                  <c:v>1.2135634993430672E-9</c:v>
                </c:pt>
                <c:pt idx="100">
                  <c:v>1.1123819113246043E-9</c:v>
                </c:pt>
                <c:pt idx="101">
                  <c:v>1.0022894838854655E-9</c:v>
                </c:pt>
                <c:pt idx="102">
                  <c:v>8.9016545560658432E-10</c:v>
                </c:pt>
                <c:pt idx="103">
                  <c:v>7.8334634779896417E-10</c:v>
                </c:pt>
                <c:pt idx="104">
                  <c:v>6.8915346005755507E-10</c:v>
                </c:pt>
                <c:pt idx="105">
                  <c:v>6.1438071173357055E-10</c:v>
                </c:pt>
                <c:pt idx="106">
                  <c:v>5.6477751949706375E-10</c:v>
                </c:pt>
                <c:pt idx="107">
                  <c:v>5.4456610756537414E-10</c:v>
                </c:pt>
                <c:pt idx="108">
                  <c:v>5.5603434021225205E-10</c:v>
                </c:pt>
                <c:pt idx="109">
                  <c:v>5.9924333657132672E-10</c:v>
                </c:pt>
                <c:pt idx="110">
                  <c:v>6.7188362118451639E-10</c:v>
                </c:pt>
                <c:pt idx="111">
                  <c:v>7.6930461424654889E-10</c:v>
                </c:pt>
                <c:pt idx="112">
                  <c:v>8.8473044366698823E-10</c:v>
                </c:pt>
                <c:pt idx="113">
                  <c:v>1.0096611852350378E-9</c:v>
                </c:pt>
                <c:pt idx="114">
                  <c:v>1.1344436524707738E-9</c:v>
                </c:pt>
                <c:pt idx="115">
                  <c:v>1.2489807611580068E-9</c:v>
                </c:pt>
                <c:pt idx="116">
                  <c:v>1.3435342570662155E-9</c:v>
                </c:pt>
                <c:pt idx="117">
                  <c:v>1.4095631995105304E-9</c:v>
                </c:pt>
                <c:pt idx="118">
                  <c:v>1.4405310464957059E-9</c:v>
                </c:pt>
                <c:pt idx="119">
                  <c:v>1.4326085859571515E-9</c:v>
                </c:pt>
                <c:pt idx="120">
                  <c:v>1.3851994879037338E-9</c:v>
                </c:pt>
                <c:pt idx="121">
                  <c:v>1.3012211038140181E-9</c:v>
                </c:pt>
                <c:pt idx="122">
                  <c:v>1.1870863075449931E-9</c:v>
                </c:pt>
                <c:pt idx="123">
                  <c:v>1.0523531452923958E-9</c:v>
                </c:pt>
                <c:pt idx="124">
                  <c:v>9.0903746327568408E-10</c:v>
                </c:pt>
                <c:pt idx="125">
                  <c:v>7.7061794043293816E-10</c:v>
                </c:pt>
                <c:pt idx="126">
                  <c:v>6.5080015603227801E-10</c:v>
                </c:pt>
                <c:pt idx="127">
                  <c:v>5.6214228650674891E-10</c:v>
                </c:pt>
                <c:pt idx="128">
                  <c:v>5.1467476808879247E-10</c:v>
                </c:pt>
                <c:pt idx="129">
                  <c:v>5.1466466428604941E-10</c:v>
                </c:pt>
                <c:pt idx="130">
                  <c:v>5.6367819697263922E-10</c:v>
                </c:pt>
                <c:pt idx="131">
                  <c:v>6.5807920846440564E-10</c:v>
                </c:pt>
                <c:pt idx="132">
                  <c:v>7.8906672347071514E-10</c:v>
                </c:pt>
                <c:pt idx="133">
                  <c:v>9.4330327095017775E-10</c:v>
                </c:pt>
                <c:pt idx="134">
                  <c:v>1.1041215429427831E-9</c:v>
                </c:pt>
                <c:pt idx="135">
                  <c:v>1.2532265344469553E-9</c:v>
                </c:pt>
                <c:pt idx="136">
                  <c:v>1.3727410190253945E-9</c:v>
                </c:pt>
                <c:pt idx="137">
                  <c:v>1.4473822150047084E-9</c:v>
                </c:pt>
                <c:pt idx="138">
                  <c:v>1.466515037526771E-9</c:v>
                </c:pt>
                <c:pt idx="139">
                  <c:v>1.4258101676910471E-9</c:v>
                </c:pt>
                <c:pt idx="140">
                  <c:v>1.328249849041362E-9</c:v>
                </c:pt>
                <c:pt idx="141">
                  <c:v>1.1842750647197041E-9</c:v>
                </c:pt>
                <c:pt idx="142">
                  <c:v>1.0109550476780156E-9</c:v>
                </c:pt>
                <c:pt idx="143">
                  <c:v>8.301791393971665E-10</c:v>
                </c:pt>
                <c:pt idx="144">
                  <c:v>6.660106255706915E-10</c:v>
                </c:pt>
                <c:pt idx="145">
                  <c:v>5.4148463545691104E-10</c:v>
                </c:pt>
                <c:pt idx="146">
                  <c:v>4.752548280313363E-10</c:v>
                </c:pt>
                <c:pt idx="147">
                  <c:v>4.785720747495332E-10</c:v>
                </c:pt>
                <c:pt idx="148">
                  <c:v>5.5309135335844677E-10</c:v>
                </c:pt>
                <c:pt idx="149">
                  <c:v>6.8993721511513423E-10</c:v>
                </c:pt>
                <c:pt idx="150">
                  <c:v>8.7031210978024495E-10</c:v>
                </c:pt>
                <c:pt idx="151">
                  <c:v>1.0677182266957554E-9</c:v>
                </c:pt>
                <c:pt idx="152">
                  <c:v>1.2516085336826816E-9</c:v>
                </c:pt>
                <c:pt idx="153">
                  <c:v>1.3920232217047483E-9</c:v>
                </c:pt>
                <c:pt idx="154">
                  <c:v>1.4647751153646558E-9</c:v>
                </c:pt>
                <c:pt idx="155">
                  <c:v>1.4550757701729555E-9</c:v>
                </c:pt>
                <c:pt idx="156">
                  <c:v>1.3618279073427444E-9</c:v>
                </c:pt>
                <c:pt idx="157">
                  <c:v>1.1981422062479824E-9</c:v>
                </c:pt>
                <c:pt idx="158">
                  <c:v>9.9017662803665214E-10</c:v>
                </c:pt>
                <c:pt idx="159">
                  <c:v>7.7335532163198572E-10</c:v>
                </c:pt>
                <c:pt idx="160">
                  <c:v>5.8652343721968329E-10</c:v>
                </c:pt>
                <c:pt idx="161">
                  <c:v>4.6491953255153327E-10</c:v>
                </c:pt>
                <c:pt idx="162">
                  <c:v>4.3320052475037527E-10</c:v>
                </c:pt>
                <c:pt idx="163">
                  <c:v>4.9990888984634727E-10</c:v>
                </c:pt>
                <c:pt idx="164">
                  <c:v>6.5465921552946798E-10</c:v>
                </c:pt>
                <c:pt idx="165">
                  <c:v>8.6892018958634512E-10</c:v>
                </c:pt>
                <c:pt idx="166">
                  <c:v>1.100619526843156E-9</c:v>
                </c:pt>
                <c:pt idx="167">
                  <c:v>1.3020072240441091E-9</c:v>
                </c:pt>
                <c:pt idx="168">
                  <c:v>1.4294305696212906E-9</c:v>
                </c:pt>
                <c:pt idx="169">
                  <c:v>1.4530795509355572E-9</c:v>
                </c:pt>
                <c:pt idx="170">
                  <c:v>1.3645190622047878E-9</c:v>
                </c:pt>
                <c:pt idx="171">
                  <c:v>1.1800495083822028E-9</c:v>
                </c:pt>
                <c:pt idx="172">
                  <c:v>9.386577731664407E-10</c:v>
                </c:pt>
                <c:pt idx="173">
                  <c:v>6.9444987345422596E-10</c:v>
                </c:pt>
                <c:pt idx="174">
                  <c:v>5.0478818920611059E-10</c:v>
                </c:pt>
                <c:pt idx="175">
                  <c:v>4.1658659522635703E-10</c:v>
                </c:pt>
                <c:pt idx="176">
                  <c:v>4.5400573615279405E-10</c:v>
                </c:pt>
                <c:pt idx="177">
                  <c:v>6.1084890609104502E-10</c:v>
                </c:pt>
                <c:pt idx="178">
                  <c:v>8.5014439850352282E-10</c:v>
                </c:pt>
                <c:pt idx="179">
                  <c:v>1.1117906427486512E-9</c:v>
                </c:pt>
                <c:pt idx="180">
                  <c:v>1.3270546001307455E-9</c:v>
                </c:pt>
                <c:pt idx="181">
                  <c:v>1.4366637844360875E-9</c:v>
                </c:pt>
                <c:pt idx="182">
                  <c:v>1.4078104894734857E-9</c:v>
                </c:pt>
                <c:pt idx="183">
                  <c:v>1.24510946070326E-9</c:v>
                </c:pt>
                <c:pt idx="184">
                  <c:v>9.9169015603624832E-10</c:v>
                </c:pt>
                <c:pt idx="185">
                  <c:v>7.1905854022431722E-10</c:v>
                </c:pt>
                <c:pt idx="186">
                  <c:v>5.0760043736531258E-10</c:v>
                </c:pt>
                <c:pt idx="187">
                  <c:v>4.22733587599693E-10</c:v>
                </c:pt>
                <c:pt idx="188">
                  <c:v>4.9372073267820989E-10</c:v>
                </c:pt>
                <c:pt idx="189">
                  <c:v>7.0217890831288972E-10</c:v>
                </c:pt>
                <c:pt idx="190">
                  <c:v>9.8501947141466237E-10</c:v>
                </c:pt>
                <c:pt idx="191">
                  <c:v>1.252327608120186E-9</c:v>
                </c:pt>
                <c:pt idx="192">
                  <c:v>1.4156850061617844E-9</c:v>
                </c:pt>
                <c:pt idx="193">
                  <c:v>1.4182847013860963E-9</c:v>
                </c:pt>
                <c:pt idx="194">
                  <c:v>1.2565017211180895E-9</c:v>
                </c:pt>
                <c:pt idx="195">
                  <c:v>9.8438062505949048E-10</c:v>
                </c:pt>
                <c:pt idx="196">
                  <c:v>6.9768911887222237E-10</c:v>
                </c:pt>
                <c:pt idx="197">
                  <c:v>5.0137111388127048E-10</c:v>
                </c:pt>
                <c:pt idx="198">
                  <c:v>4.7098226658895442E-10</c:v>
                </c:pt>
                <c:pt idx="199">
                  <c:v>6.2228896262087116E-10</c:v>
                </c:pt>
                <c:pt idx="200">
                  <c:v>9.0170492313802918E-10</c:v>
                </c:pt>
                <c:pt idx="201">
                  <c:v>1.2036952780310946E-9</c:v>
                </c:pt>
                <c:pt idx="202">
                  <c:v>1.4092165772809377E-9</c:v>
                </c:pt>
                <c:pt idx="203">
                  <c:v>1.4347184552999372E-9</c:v>
                </c:pt>
                <c:pt idx="204">
                  <c:v>1.2683805129464888E-9</c:v>
                </c:pt>
                <c:pt idx="205">
                  <c:v>9.7916524202152285E-10</c:v>
                </c:pt>
                <c:pt idx="206">
                  <c:v>6.9146590266683994E-10</c:v>
                </c:pt>
                <c:pt idx="207">
                  <c:v>5.3340037477990094E-10</c:v>
                </c:pt>
                <c:pt idx="208">
                  <c:v>5.7962031920474658E-10</c:v>
                </c:pt>
                <c:pt idx="209">
                  <c:v>8.1442595518459913E-10</c:v>
                </c:pt>
                <c:pt idx="210">
                  <c:v>1.1343428774475386E-9</c:v>
                </c:pt>
                <c:pt idx="211">
                  <c:v>1.3925591534931934E-9</c:v>
                </c:pt>
                <c:pt idx="212">
                  <c:v>1.4674618932049605E-9</c:v>
                </c:pt>
                <c:pt idx="213">
                  <c:v>1.3235687264351296E-9</c:v>
                </c:pt>
                <c:pt idx="214">
                  <c:v>1.0335019213868953E-9</c:v>
                </c:pt>
                <c:pt idx="215">
                  <c:v>7.4628395208051067E-10</c:v>
                </c:pt>
                <c:pt idx="216">
                  <c:v>6.1377926910620589E-10</c:v>
                </c:pt>
                <c:pt idx="217">
                  <c:v>7.1072233409928899E-10</c:v>
                </c:pt>
                <c:pt idx="218">
                  <c:v>9.9103918429717267E-10</c:v>
                </c:pt>
                <c:pt idx="219">
                  <c:v>1.307605207301786E-9</c:v>
                </c:pt>
                <c:pt idx="220">
                  <c:v>1.4896984428679179E-9</c:v>
                </c:pt>
                <c:pt idx="221">
                  <c:v>1.4387396953246495E-9</c:v>
                </c:pt>
                <c:pt idx="222">
                  <c:v>1.188199552854525E-9</c:v>
                </c:pt>
                <c:pt idx="223">
                  <c:v>8.893454879378225E-10</c:v>
                </c:pt>
                <c:pt idx="224">
                  <c:v>7.2549157242670691E-10</c:v>
                </c:pt>
                <c:pt idx="225">
                  <c:v>8.0167048781798119E-10</c:v>
                </c:pt>
                <c:pt idx="226">
                  <c:v>1.0766294855311305E-9</c:v>
                </c:pt>
                <c:pt idx="227">
                  <c:v>1.3835349318272129E-9</c:v>
                </c:pt>
                <c:pt idx="228">
                  <c:v>1.5326457607207595E-9</c:v>
                </c:pt>
                <c:pt idx="229">
                  <c:v>1.434475148041686E-9</c:v>
                </c:pt>
                <c:pt idx="230">
                  <c:v>1.1625151013377145E-9</c:v>
                </c:pt>
                <c:pt idx="231">
                  <c:v>9.0855251321574419E-10</c:v>
                </c:pt>
                <c:pt idx="232">
                  <c:v>8.5411547616897759E-10</c:v>
                </c:pt>
                <c:pt idx="233">
                  <c:v>1.0430155678181613E-9</c:v>
                </c:pt>
                <c:pt idx="234">
                  <c:v>1.3464884122872523E-9</c:v>
                </c:pt>
                <c:pt idx="235">
                  <c:v>1.5523244387459725E-9</c:v>
                </c:pt>
                <c:pt idx="236">
                  <c:v>1.5195539471673237E-9</c:v>
                </c:pt>
                <c:pt idx="237">
                  <c:v>1.2858050799742606E-9</c:v>
                </c:pt>
                <c:pt idx="238">
                  <c:v>1.0420356070531605E-9</c:v>
                </c:pt>
                <c:pt idx="239">
                  <c:v>9.8683736471076971E-10</c:v>
                </c:pt>
                <c:pt idx="240">
                  <c:v>1.1695650023817909E-9</c:v>
                </c:pt>
                <c:pt idx="241">
                  <c:v>1.4486089104440723E-9</c:v>
                </c:pt>
                <c:pt idx="242">
                  <c:v>1.6050052071660128E-9</c:v>
                </c:pt>
                <c:pt idx="243">
                  <c:v>1.523856863021953E-9</c:v>
                </c:pt>
                <c:pt idx="244">
                  <c:v>1.2922914160325581E-9</c:v>
                </c:pt>
                <c:pt idx="245">
                  <c:v>1.1254853479346878E-9</c:v>
                </c:pt>
                <c:pt idx="246">
                  <c:v>1.1787086661555292E-9</c:v>
                </c:pt>
                <c:pt idx="247">
                  <c:v>1.4091645855201653E-9</c:v>
                </c:pt>
                <c:pt idx="248">
                  <c:v>1.615194977192191E-9</c:v>
                </c:pt>
                <c:pt idx="249">
                  <c:v>1.6225824467001618E-9</c:v>
                </c:pt>
                <c:pt idx="250">
                  <c:v>1.4472530317566293E-9</c:v>
                </c:pt>
                <c:pt idx="251">
                  <c:v>1.2781078989612057E-9</c:v>
                </c:pt>
                <c:pt idx="252">
                  <c:v>1.292123159621676E-9</c:v>
                </c:pt>
                <c:pt idx="253">
                  <c:v>1.4807037282304877E-9</c:v>
                </c:pt>
                <c:pt idx="254">
                  <c:v>1.6619226556872865E-9</c:v>
                </c:pt>
                <c:pt idx="255">
                  <c:v>1.6690842738087169E-9</c:v>
                </c:pt>
                <c:pt idx="256">
                  <c:v>1.5221833628049518E-9</c:v>
                </c:pt>
                <c:pt idx="257">
                  <c:v>1.401386792876308E-9</c:v>
                </c:pt>
                <c:pt idx="258">
                  <c:v>1.4499106212668088E-9</c:v>
                </c:pt>
                <c:pt idx="259">
                  <c:v>1.6205293522066058E-9</c:v>
                </c:pt>
                <c:pt idx="260">
                  <c:v>1.7352643972483725E-9</c:v>
                </c:pt>
                <c:pt idx="261">
                  <c:v>1.6898191451109277E-9</c:v>
                </c:pt>
                <c:pt idx="262">
                  <c:v>1.5680810075425483E-9</c:v>
                </c:pt>
                <c:pt idx="263">
                  <c:v>1.5355010153859767E-9</c:v>
                </c:pt>
                <c:pt idx="264">
                  <c:v>1.6411060942370618E-9</c:v>
                </c:pt>
                <c:pt idx="265">
                  <c:v>1.766715378373558E-9</c:v>
                </c:pt>
                <c:pt idx="266">
                  <c:v>1.7805000720697098E-9</c:v>
                </c:pt>
                <c:pt idx="267">
                  <c:v>1.6988927117788689E-9</c:v>
                </c:pt>
                <c:pt idx="268">
                  <c:v>1.6545041347325133E-9</c:v>
                </c:pt>
                <c:pt idx="269">
                  <c:v>1.719667949128575E-9</c:v>
                </c:pt>
                <c:pt idx="270">
                  <c:v>1.8197529601061974E-9</c:v>
                </c:pt>
                <c:pt idx="271">
                  <c:v>1.8438202670916145E-9</c:v>
                </c:pt>
                <c:pt idx="272">
                  <c:v>1.7935476080977797E-9</c:v>
                </c:pt>
                <c:pt idx="273">
                  <c:v>1.7683737625152693E-9</c:v>
                </c:pt>
                <c:pt idx="274">
                  <c:v>1.8202428759543574E-9</c:v>
                </c:pt>
                <c:pt idx="275">
                  <c:v>1.8890322862785145E-9</c:v>
                </c:pt>
                <c:pt idx="276">
                  <c:v>1.9005607748526586E-9</c:v>
                </c:pt>
                <c:pt idx="277">
                  <c:v>1.8717726596769044E-9</c:v>
                </c:pt>
                <c:pt idx="278">
                  <c:v>1.8724817258068852E-9</c:v>
                </c:pt>
                <c:pt idx="279">
                  <c:v>1.9172175071713802E-9</c:v>
                </c:pt>
                <c:pt idx="280">
                  <c:v>1.9544041322597464E-9</c:v>
                </c:pt>
                <c:pt idx="281">
                  <c:v>1.9538025308788677E-9</c:v>
                </c:pt>
                <c:pt idx="282">
                  <c:v>1.9459482270128474E-9</c:v>
                </c:pt>
                <c:pt idx="283">
                  <c:v>1.9634348537877254E-9</c:v>
                </c:pt>
                <c:pt idx="284">
                  <c:v>1.9923721757164299E-9</c:v>
                </c:pt>
                <c:pt idx="285">
                  <c:v>2.005398903409017E-9</c:v>
                </c:pt>
                <c:pt idx="286">
                  <c:v>2.0060130262800793E-9</c:v>
                </c:pt>
                <c:pt idx="287">
                  <c:v>2.013355979446866E-9</c:v>
                </c:pt>
                <c:pt idx="288">
                  <c:v>2.0285185359239596E-9</c:v>
                </c:pt>
                <c:pt idx="289">
                  <c:v>2.0400723877139007E-9</c:v>
                </c:pt>
                <c:pt idx="290">
                  <c:v>2.0458720146150641E-9</c:v>
                </c:pt>
                <c:pt idx="291">
                  <c:v>2.0513730841411108E-9</c:v>
                </c:pt>
                <c:pt idx="292">
                  <c:v>2.0580005122037052E-9</c:v>
                </c:pt>
                <c:pt idx="293">
                  <c:v>2.0638803904691024E-9</c:v>
                </c:pt>
                <c:pt idx="294">
                  <c:v>2.0684030927240136E-9</c:v>
                </c:pt>
                <c:pt idx="295">
                  <c:v>2.0719756007884966E-9</c:v>
                </c:pt>
                <c:pt idx="296">
                  <c:v>2.074730748293972E-9</c:v>
                </c:pt>
                <c:pt idx="297">
                  <c:v>2.0753977124215754E-9</c:v>
                </c:pt>
                <c:pt idx="298">
                  <c:v>2.0738195552622758E-9</c:v>
                </c:pt>
                <c:pt idx="299">
                  <c:v>2.0741316349141574E-9</c:v>
                </c:pt>
                <c:pt idx="300">
                  <c:v>2.0756517640777832E-9</c:v>
                </c:pt>
                <c:pt idx="301">
                  <c:v>2.069193348311385E-9</c:v>
                </c:pt>
                <c:pt idx="302">
                  <c:v>2.0584239793342594E-9</c:v>
                </c:pt>
                <c:pt idx="303">
                  <c:v>2.0580774575401219E-9</c:v>
                </c:pt>
                <c:pt idx="304">
                  <c:v>2.056788388966458E-9</c:v>
                </c:pt>
                <c:pt idx="305">
                  <c:v>2.036154827367963E-9</c:v>
                </c:pt>
                <c:pt idx="306">
                  <c:v>2.0202893864167986E-9</c:v>
                </c:pt>
                <c:pt idx="307">
                  <c:v>2.0238404596572382E-9</c:v>
                </c:pt>
                <c:pt idx="308">
                  <c:v>2.0068762294088272E-9</c:v>
                </c:pt>
                <c:pt idx="309">
                  <c:v>1.9708541922582849E-9</c:v>
                </c:pt>
                <c:pt idx="310">
                  <c:v>1.9660146267235381E-9</c:v>
                </c:pt>
                <c:pt idx="311">
                  <c:v>1.9609999244354825E-9</c:v>
                </c:pt>
                <c:pt idx="312">
                  <c:v>1.9149070310029012E-9</c:v>
                </c:pt>
                <c:pt idx="313">
                  <c:v>1.901957273744293E-9</c:v>
                </c:pt>
                <c:pt idx="314">
                  <c:v>1.9619503383929656E-9</c:v>
                </c:pt>
                <c:pt idx="315">
                  <c:v>1.8116840065655893E-9</c:v>
                </c:pt>
                <c:pt idx="316">
                  <c:v>1.7585657880921341E-9</c:v>
                </c:pt>
                <c:pt idx="317">
                  <c:v>1.7028188051490502E-9</c:v>
                </c:pt>
                <c:pt idx="318">
                  <c:v>1.7060266800386569E-9</c:v>
                </c:pt>
                <c:pt idx="319">
                  <c:v>1.6641942538972364E-9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1055</c:v>
                </c:pt>
                <c:pt idx="1">
                  <c:v>1059</c:v>
                </c:pt>
                <c:pt idx="2">
                  <c:v>1063</c:v>
                </c:pt>
                <c:pt idx="3">
                  <c:v>1067</c:v>
                </c:pt>
                <c:pt idx="4">
                  <c:v>1071</c:v>
                </c:pt>
                <c:pt idx="5">
                  <c:v>1075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2.4923151609965171</c:v>
                </c:pt>
                <c:pt idx="1">
                  <c:v>1.9483620982209691</c:v>
                </c:pt>
                <c:pt idx="2">
                  <c:v>1.6814716655938984</c:v>
                </c:pt>
                <c:pt idx="3">
                  <c:v>1.6924207785067409</c:v>
                </c:pt>
                <c:pt idx="4">
                  <c:v>1.9720412582174465</c:v>
                </c:pt>
                <c:pt idx="5">
                  <c:v>2.5019131068942566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65</c:v>
                </c:pt>
                <c:pt idx="1">
                  <c:v>72</c:v>
                </c:pt>
                <c:pt idx="2">
                  <c:v>79</c:v>
                </c:pt>
                <c:pt idx="3">
                  <c:v>86</c:v>
                </c:pt>
                <c:pt idx="4">
                  <c:v>93</c:v>
                </c:pt>
                <c:pt idx="5">
                  <c:v>100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1.9394040345184635</c:v>
                </c:pt>
                <c:pt idx="1">
                  <c:v>1.7472673520841087</c:v>
                </c:pt>
                <c:pt idx="2">
                  <c:v>1.6617279766099662</c:v>
                </c:pt>
                <c:pt idx="3">
                  <c:v>1.6592778131183796</c:v>
                </c:pt>
                <c:pt idx="4">
                  <c:v>1.7143220974207984</c:v>
                </c:pt>
                <c:pt idx="5">
                  <c:v>1.8065931668816495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0.08</c:v>
                </c:pt>
                <c:pt idx="1">
                  <c:v>0.108</c:v>
                </c:pt>
                <c:pt idx="2">
                  <c:v>0.13600000000000001</c:v>
                </c:pt>
                <c:pt idx="3">
                  <c:v>0.16400000000000001</c:v>
                </c:pt>
                <c:pt idx="4">
                  <c:v>0.192</c:v>
                </c:pt>
                <c:pt idx="5">
                  <c:v>0.22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3.3524795624544361</c:v>
                </c:pt>
                <c:pt idx="1">
                  <c:v>2.2788311888012718</c:v>
                </c:pt>
                <c:pt idx="2">
                  <c:v>1.7165201423307126</c:v>
                </c:pt>
                <c:pt idx="3">
                  <c:v>1.754362673108355</c:v>
                </c:pt>
                <c:pt idx="4">
                  <c:v>2.4867911559384659</c:v>
                </c:pt>
                <c:pt idx="5">
                  <c:v>4.0139553355007029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-1.7999999999999999E-2</c:v>
                </c:pt>
                <c:pt idx="2">
                  <c:v>-5.9999999999999984E-3</c:v>
                </c:pt>
                <c:pt idx="3">
                  <c:v>6.0000000000000019E-3</c:v>
                </c:pt>
                <c:pt idx="4">
                  <c:v>1.8000000000000002E-2</c:v>
                </c:pt>
                <c:pt idx="5">
                  <c:v>3.0000000000000002E-2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2.6766994993689579</c:v>
                </c:pt>
                <c:pt idx="1">
                  <c:v>2.1746878829555927</c:v>
                </c:pt>
                <c:pt idx="2">
                  <c:v>1.8523324734293216</c:v>
                </c:pt>
                <c:pt idx="3">
                  <c:v>1.7235474488248912</c:v>
                </c:pt>
                <c:pt idx="4">
                  <c:v>1.7932723388774943</c:v>
                </c:pt>
                <c:pt idx="5">
                  <c:v>2.0455900300504761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7</c:v>
                </c:pt>
                <c:pt idx="1">
                  <c:v>13</c:v>
                </c:pt>
                <c:pt idx="2">
                  <c:v>19</c:v>
                </c:pt>
                <c:pt idx="3">
                  <c:v>25</c:v>
                </c:pt>
                <c:pt idx="4">
                  <c:v>31</c:v>
                </c:pt>
                <c:pt idx="5">
                  <c:v>37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2.1751895443445521</c:v>
                </c:pt>
                <c:pt idx="1">
                  <c:v>1.7836279633626733</c:v>
                </c:pt>
                <c:pt idx="2">
                  <c:v>1.7737475162934904</c:v>
                </c:pt>
                <c:pt idx="3">
                  <c:v>2.319845133595507</c:v>
                </c:pt>
                <c:pt idx="4">
                  <c:v>3.3861031180155163</c:v>
                </c:pt>
                <c:pt idx="5">
                  <c:v>4.8690598769468219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2.2884292877527153</c:v>
                </c:pt>
                <c:pt idx="1">
                  <c:v>2.0433237219858249</c:v>
                </c:pt>
                <c:pt idx="2">
                  <c:v>1.8140661256465052</c:v>
                </c:pt>
                <c:pt idx="3">
                  <c:v>1.7219728605723119</c:v>
                </c:pt>
                <c:pt idx="4">
                  <c:v>1.7339571148708182</c:v>
                </c:pt>
                <c:pt idx="5">
                  <c:v>1.8027575540944731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2.024E-6</c:v>
                </c:pt>
                <c:pt idx="2">
                  <c:v>2.0480000000000001E-6</c:v>
                </c:pt>
                <c:pt idx="3">
                  <c:v>2.0719999999999998E-6</c:v>
                </c:pt>
                <c:pt idx="4">
                  <c:v>2.0959999999999999E-6</c:v>
                </c:pt>
                <c:pt idx="5">
                  <c:v>2.12E-6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3.4883180068584694</c:v>
                </c:pt>
                <c:pt idx="1">
                  <c:v>2.6482601451192571</c:v>
                </c:pt>
                <c:pt idx="2">
                  <c:v>2.3147434080015343</c:v>
                </c:pt>
                <c:pt idx="3">
                  <c:v>1.8062002929910137</c:v>
                </c:pt>
                <c:pt idx="4">
                  <c:v>1.6605261132360591</c:v>
                </c:pt>
                <c:pt idx="5">
                  <c:v>1.7674959256194791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2.03E-6</c:v>
                </c:pt>
                <c:pt idx="1">
                  <c:v>2.0700000000000001E-6</c:v>
                </c:pt>
                <c:pt idx="2">
                  <c:v>2.1100000000000001E-6</c:v>
                </c:pt>
                <c:pt idx="3">
                  <c:v>2.1499999999999997E-6</c:v>
                </c:pt>
                <c:pt idx="4">
                  <c:v>2.1899999999999998E-6</c:v>
                </c:pt>
                <c:pt idx="5">
                  <c:v>2.2299999999999998E-6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2.3896504683400028</c:v>
                </c:pt>
                <c:pt idx="1">
                  <c:v>1.9378916985490406</c:v>
                </c:pt>
                <c:pt idx="2">
                  <c:v>1.6929519916180407</c:v>
                </c:pt>
                <c:pt idx="3">
                  <c:v>1.6754967542651609</c:v>
                </c:pt>
                <c:pt idx="4">
                  <c:v>1.9069775080791036</c:v>
                </c:pt>
                <c:pt idx="5">
                  <c:v>2.409640545264538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1.75E-6</c:v>
                </c:pt>
                <c:pt idx="1">
                  <c:v>1.77E-6</c:v>
                </c:pt>
                <c:pt idx="2">
                  <c:v>1.79E-6</c:v>
                </c:pt>
                <c:pt idx="3">
                  <c:v>1.81E-6</c:v>
                </c:pt>
                <c:pt idx="4">
                  <c:v>1.8300000000000001E-6</c:v>
                </c:pt>
                <c:pt idx="5">
                  <c:v>1.8500000000000001E-6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2.2687979463465928</c:v>
                </c:pt>
                <c:pt idx="1">
                  <c:v>1.9634074489999229</c:v>
                </c:pt>
                <c:pt idx="2">
                  <c:v>1.7505926855088887</c:v>
                </c:pt>
                <c:pt idx="3">
                  <c:v>1.6364160845811095</c:v>
                </c:pt>
                <c:pt idx="4">
                  <c:v>1.6252710306818288</c:v>
                </c:pt>
                <c:pt idx="5">
                  <c:v>1.7200951689327999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FDE8A3B2-5F26-4026-8671-07295C63A32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E32" sqref="E32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SUM(Y3:Y322)/319</f>
        <v>1.6171588621528383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7.9418057448799994E-3</v>
      </c>
      <c r="J3" s="109">
        <v>3.2791686609536538E-9</v>
      </c>
      <c r="K3" s="109">
        <v>5.3401504263738009E-10</v>
      </c>
      <c r="L3" s="152">
        <v>3.9538850713085125E-9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3.9536947523855406E-9</v>
      </c>
      <c r="V3" s="127">
        <v>3.9538850713085125E-9</v>
      </c>
      <c r="W3" s="128">
        <v>3.9540757706142561E-9</v>
      </c>
      <c r="X3" s="128">
        <f t="shared" ref="X3:X66" si="0">(U3+2*V3+W3)/4</f>
        <v>3.953885166404205E-9</v>
      </c>
      <c r="Y3" s="139">
        <f t="shared" ref="Y3:Y66" si="1">(J3-X3)*(J3-X3)/(K3*K3)</f>
        <v>1.5963778272228832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2.1250940850767952E-6</v>
      </c>
      <c r="D4" s="19">
        <v>9.9999999999999994E-12</v>
      </c>
      <c r="E4" s="19">
        <v>5.0000000000000001E-9</v>
      </c>
      <c r="F4" s="149">
        <f>H4*H8</f>
        <v>84.659828130527359</v>
      </c>
      <c r="G4" s="107">
        <v>15.394104108602647</v>
      </c>
      <c r="H4" s="107">
        <v>84.659828130527359</v>
      </c>
      <c r="I4" s="109">
        <v>8.0212238023300002E-3</v>
      </c>
      <c r="J4" s="109">
        <v>4.5185249628228742E-9</v>
      </c>
      <c r="K4" s="109">
        <v>4.4990860462959254E-10</v>
      </c>
      <c r="L4" s="152">
        <v>4.1133988483434574E-9</v>
      </c>
      <c r="M4" s="27"/>
      <c r="N4" s="18">
        <v>8.3135081041934727E-9</v>
      </c>
      <c r="O4" s="18">
        <v>3.9120658998460512E-14</v>
      </c>
      <c r="P4" s="18">
        <v>1.9560329499230255E-11</v>
      </c>
      <c r="Q4" s="28">
        <v>5.298901829242447</v>
      </c>
      <c r="R4" s="60">
        <v>100</v>
      </c>
      <c r="S4" s="57">
        <v>0</v>
      </c>
      <c r="U4" s="127">
        <v>4.1131993341288782E-9</v>
      </c>
      <c r="V4" s="127">
        <v>4.1133988483434574E-9</v>
      </c>
      <c r="W4" s="128">
        <v>4.113599099800207E-9</v>
      </c>
      <c r="X4" s="128">
        <f t="shared" si="0"/>
        <v>4.1133990326540002E-9</v>
      </c>
      <c r="Y4" s="139">
        <f t="shared" si="1"/>
        <v>0.81083312729294243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1.8043238258198171E-6</v>
      </c>
      <c r="D5" s="101">
        <v>1.5392483148537927E-10</v>
      </c>
      <c r="E5" s="101">
        <v>5.0509225500401457E-8</v>
      </c>
      <c r="F5" s="149">
        <f>(H10-H4)*H8</f>
        <v>980.28512025179066</v>
      </c>
      <c r="G5" s="107">
        <f>F4</f>
        <v>84.659828130527359</v>
      </c>
      <c r="H5" s="111" t="s">
        <v>599</v>
      </c>
      <c r="I5" s="109">
        <v>8.1014360403499994E-3</v>
      </c>
      <c r="J5" s="109">
        <v>3.9393249049568979E-9</v>
      </c>
      <c r="K5" s="109">
        <v>3.6504423174766346E-10</v>
      </c>
      <c r="L5" s="152">
        <v>4.2792522607682719E-9</v>
      </c>
      <c r="M5" s="27"/>
      <c r="N5" s="18">
        <v>6.8480770660811605E-8</v>
      </c>
      <c r="O5" s="18">
        <v>3.2224818252381934E-13</v>
      </c>
      <c r="P5" s="18">
        <v>1.6112409126190968E-10</v>
      </c>
      <c r="Q5" s="28">
        <v>3.9457825143865231</v>
      </c>
      <c r="R5" s="60">
        <v>100</v>
      </c>
      <c r="S5" s="57">
        <v>8.3135081041934727E-9</v>
      </c>
      <c r="U5" s="127">
        <v>4.279043651606487E-9</v>
      </c>
      <c r="V5" s="127">
        <v>4.2792522607682719E-9</v>
      </c>
      <c r="W5" s="128">
        <v>4.2794620511627511E-9</v>
      </c>
      <c r="X5" s="128">
        <f t="shared" si="0"/>
        <v>4.2792525560764457E-9</v>
      </c>
      <c r="Y5" s="139">
        <f t="shared" si="1"/>
        <v>0.86712559600947237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8.4383076650543174E-7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8.1824504007600007E-3</v>
      </c>
      <c r="J6" s="109">
        <v>3.9710176938141625E-9</v>
      </c>
      <c r="K6" s="109">
        <v>3.3336843387747038E-10</v>
      </c>
      <c r="L6" s="152">
        <v>4.4516774068358269E-9</v>
      </c>
      <c r="M6" s="27"/>
      <c r="N6" s="18">
        <v>1.5552175045281579E-7</v>
      </c>
      <c r="O6" s="18">
        <v>7.318346587332186E-13</v>
      </c>
      <c r="P6" s="18">
        <v>3.6591732936660931E-10</v>
      </c>
      <c r="Q6" s="28">
        <v>2.1957447760628162</v>
      </c>
      <c r="R6" s="60">
        <v>105.29890182924245</v>
      </c>
      <c r="S6" s="57">
        <v>8.3135081041934727E-9</v>
      </c>
      <c r="U6" s="127">
        <v>4.4514600370687019E-9</v>
      </c>
      <c r="V6" s="127">
        <v>4.4516774068358269E-9</v>
      </c>
      <c r="W6" s="128">
        <v>4.4518965097438717E-9</v>
      </c>
      <c r="X6" s="128">
        <f t="shared" si="0"/>
        <v>4.451677840121057E-9</v>
      </c>
      <c r="Y6" s="139">
        <f t="shared" si="1"/>
        <v>2.0788697464227406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23.313779615057957</v>
      </c>
      <c r="G7" s="102">
        <v>5</v>
      </c>
      <c r="H7" s="134" t="s">
        <v>600</v>
      </c>
      <c r="I7" s="109">
        <v>8.2642749047700005E-3</v>
      </c>
      <c r="J7" s="109">
        <v>4.727458774700311E-9</v>
      </c>
      <c r="K7" s="109">
        <v>3.4454369869801908E-10</v>
      </c>
      <c r="L7" s="152">
        <v>4.6309126440093666E-9</v>
      </c>
      <c r="M7" s="27"/>
      <c r="N7" s="18">
        <v>2.5401317275400549E-7</v>
      </c>
      <c r="O7" s="18">
        <v>1.1953031846344163E-12</v>
      </c>
      <c r="P7" s="18">
        <v>5.9765159231720819E-10</v>
      </c>
      <c r="Q7" s="28">
        <v>1.6087537989592182</v>
      </c>
      <c r="R7" s="60">
        <v>105.29890182924245</v>
      </c>
      <c r="S7" s="57">
        <v>6.8480770660811605E-8</v>
      </c>
      <c r="U7" s="127">
        <v>4.630687186551345E-9</v>
      </c>
      <c r="V7" s="127">
        <v>4.6309126440093666E-9</v>
      </c>
      <c r="W7" s="128">
        <v>4.6311405194937382E-9</v>
      </c>
      <c r="X7" s="128">
        <f t="shared" si="0"/>
        <v>4.6309132485159543E-9</v>
      </c>
      <c r="Y7" s="139">
        <f t="shared" si="1"/>
        <v>7.8519167170212956E-2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2.1022593754138432E-6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8.3469176538099998E-3</v>
      </c>
      <c r="J8" s="109">
        <v>5.3083858597420361E-9</v>
      </c>
      <c r="K8" s="109">
        <v>3.6308226350226559E-10</v>
      </c>
      <c r="L8" s="152">
        <v>4.8171998840548093E-9</v>
      </c>
      <c r="M8" s="27"/>
      <c r="N8" s="18">
        <v>3.5795611351445863E-7</v>
      </c>
      <c r="O8" s="18">
        <v>1.6844247792517059E-12</v>
      </c>
      <c r="P8" s="18">
        <v>8.422123896258529E-10</v>
      </c>
      <c r="Q8" s="28">
        <v>1.3091818179537928</v>
      </c>
      <c r="R8" s="60">
        <v>109.24468434362898</v>
      </c>
      <c r="S8" s="57">
        <v>6.8480770660811605E-8</v>
      </c>
      <c r="U8" s="127">
        <v>4.8169674942311562E-9</v>
      </c>
      <c r="V8" s="127">
        <v>4.8171998840548093E-9</v>
      </c>
      <c r="W8" s="128">
        <v>4.8174355407174678E-9</v>
      </c>
      <c r="X8" s="128">
        <f t="shared" si="0"/>
        <v>4.8172007007645602E-9</v>
      </c>
      <c r="Y8" s="139">
        <f t="shared" si="1"/>
        <v>1.8301235267285838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8.4303868303500003E-3</v>
      </c>
      <c r="J9" s="109">
        <v>5.5124838364869355E-9</v>
      </c>
      <c r="K9" s="109">
        <v>3.651937527191074E-10</v>
      </c>
      <c r="L9" s="152">
        <v>5.010781542829642E-9</v>
      </c>
      <c r="M9" s="27"/>
      <c r="N9" s="18">
        <v>4.6460431292215507E-7</v>
      </c>
      <c r="O9" s="18">
        <v>2.1862764391693533E-12</v>
      </c>
      <c r="P9" s="18">
        <v>1.0931382195846767E-9</v>
      </c>
      <c r="Q9" s="28">
        <v>1.130485768167431</v>
      </c>
      <c r="R9" s="60">
        <v>109.24468434362898</v>
      </c>
      <c r="S9" s="57">
        <v>1.5552175045281579E-7</v>
      </c>
      <c r="U9" s="127">
        <v>5.0105440644582134E-9</v>
      </c>
      <c r="V9" s="127">
        <v>5.010781542829642E-9</v>
      </c>
      <c r="W9" s="128">
        <v>5.0110233394983194E-9</v>
      </c>
      <c r="X9" s="128">
        <f t="shared" si="0"/>
        <v>5.0107826224039548E-9</v>
      </c>
      <c r="Y9" s="139">
        <f t="shared" si="1"/>
        <v>1.887311668021584</v>
      </c>
      <c r="AA9" s="73"/>
      <c r="AB9" s="176"/>
      <c r="AC9" s="176"/>
      <c r="AD9" s="176"/>
      <c r="AJ9" s="135"/>
    </row>
    <row r="10" spans="1:36" x14ac:dyDescent="0.35">
      <c r="A10" s="69">
        <v>3.8679764350430048</v>
      </c>
      <c r="B10" s="100"/>
      <c r="C10" s="101"/>
      <c r="D10" s="101"/>
      <c r="E10" s="101"/>
      <c r="F10" s="102"/>
      <c r="G10" s="102"/>
      <c r="H10" s="107">
        <v>1064.944948382318</v>
      </c>
      <c r="I10" s="109">
        <v>8.5146906986500008E-3</v>
      </c>
      <c r="J10" s="109">
        <v>5.2555001208282849E-9</v>
      </c>
      <c r="K10" s="109">
        <v>3.5085803260483733E-10</v>
      </c>
      <c r="L10" s="152">
        <v>5.2118978105137843E-9</v>
      </c>
      <c r="M10" s="27"/>
      <c r="N10" s="18">
        <v>5.7258872875463596E-7</v>
      </c>
      <c r="O10" s="18">
        <v>2.694415897985731E-12</v>
      </c>
      <c r="P10" s="18">
        <v>1.3472079489928657E-9</v>
      </c>
      <c r="Q10" s="28">
        <v>1.015563979363592</v>
      </c>
      <c r="R10" s="60">
        <v>111.44042911969179</v>
      </c>
      <c r="S10" s="57">
        <v>1.5552175045281579E-7</v>
      </c>
      <c r="U10" s="127">
        <v>5.2116580777307908E-9</v>
      </c>
      <c r="V10" s="127">
        <v>5.2118978105137843E-9</v>
      </c>
      <c r="W10" s="128">
        <v>5.2121431638951949E-9</v>
      </c>
      <c r="X10" s="128">
        <f t="shared" si="0"/>
        <v>5.2118992156633886E-9</v>
      </c>
      <c r="Y10" s="139">
        <f t="shared" si="1"/>
        <v>1.5442875253140243E-2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8.5998376056400008E-3</v>
      </c>
      <c r="J11" s="109">
        <v>5.3854258288049518E-9</v>
      </c>
      <c r="K11" s="109">
        <v>3.3781313454856055E-10</v>
      </c>
      <c r="L11" s="152">
        <v>5.4207828833721953E-9</v>
      </c>
      <c r="M11" s="27"/>
      <c r="N11" s="18">
        <v>6.8120222442184184E-7</v>
      </c>
      <c r="O11" s="18">
        <v>3.2055156014291243E-12</v>
      </c>
      <c r="P11" s="18">
        <v>1.6027578007145623E-9</v>
      </c>
      <c r="Q11" s="28">
        <v>0.93939706177772819</v>
      </c>
      <c r="R11" s="60">
        <v>111.44042911969179</v>
      </c>
      <c r="S11" s="57">
        <v>2.5401317275400549E-7</v>
      </c>
      <c r="U11" s="127">
        <v>5.4205451680193405E-9</v>
      </c>
      <c r="V11" s="127">
        <v>5.4207828833721953E-9</v>
      </c>
      <c r="W11" s="128">
        <v>5.4210278318195925E-9</v>
      </c>
      <c r="X11" s="128">
        <f t="shared" si="0"/>
        <v>5.4207846916458309E-9</v>
      </c>
      <c r="Y11" s="139">
        <f t="shared" si="1"/>
        <v>1.0955785381275205E-2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8.6858359817000002E-3</v>
      </c>
      <c r="J12" s="109">
        <v>5.8634051332280522E-9</v>
      </c>
      <c r="K12" s="109">
        <v>3.5577393611860814E-10</v>
      </c>
      <c r="L12" s="152">
        <v>5.6376592921260565E-9</v>
      </c>
      <c r="M12" s="27"/>
      <c r="N12" s="18">
        <v>7.9008242204586148E-7</v>
      </c>
      <c r="O12" s="18">
        <v>3.7178703173384912E-12</v>
      </c>
      <c r="P12" s="18">
        <v>1.8589351586692456E-9</v>
      </c>
      <c r="Q12" s="28">
        <v>0.88945742796038485</v>
      </c>
      <c r="R12" s="60">
        <v>113.049182918651</v>
      </c>
      <c r="S12" s="57">
        <v>2.5401317275400549E-7</v>
      </c>
      <c r="U12" s="127">
        <v>5.63742997684728E-9</v>
      </c>
      <c r="V12" s="127">
        <v>5.6376592921260565E-9</v>
      </c>
      <c r="W12" s="128">
        <v>5.6378978349541011E-9</v>
      </c>
      <c r="X12" s="128">
        <f t="shared" si="0"/>
        <v>5.637661599013374E-9</v>
      </c>
      <c r="Y12" s="139">
        <f t="shared" si="1"/>
        <v>0.40260798378068124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8.7726943415100001E-3</v>
      </c>
      <c r="J13" s="109">
        <v>6.2206823915385557E-9</v>
      </c>
      <c r="K13" s="109">
        <v>3.6644893213848052E-10</v>
      </c>
      <c r="L13" s="152">
        <v>5.8627292831146189E-9</v>
      </c>
      <c r="M13" s="27"/>
      <c r="N13" s="18">
        <v>8.990550042875943E-7</v>
      </c>
      <c r="O13" s="18">
        <v>4.2306597651421388E-12</v>
      </c>
      <c r="P13" s="18">
        <v>2.1153298825710695E-9</v>
      </c>
      <c r="Q13" s="28">
        <v>0.85904589118828922</v>
      </c>
      <c r="R13" s="60">
        <v>113.049182918651</v>
      </c>
      <c r="S13" s="57">
        <v>3.5795611351445863E-7</v>
      </c>
      <c r="U13" s="127">
        <v>5.8625178935239313E-9</v>
      </c>
      <c r="V13" s="127">
        <v>5.8627292831146189E-9</v>
      </c>
      <c r="W13" s="128">
        <v>5.8629523605429213E-9</v>
      </c>
      <c r="X13" s="128">
        <f t="shared" si="0"/>
        <v>5.8627322050740226E-9</v>
      </c>
      <c r="Y13" s="139">
        <f t="shared" si="1"/>
        <v>0.95415353811690606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1.3701415271707418</v>
      </c>
      <c r="I14" s="109">
        <v>8.86042128493E-3</v>
      </c>
      <c r="J14" s="109">
        <v>5.7206657113046057E-9</v>
      </c>
      <c r="K14" s="109">
        <v>3.4973401122431149E-10</v>
      </c>
      <c r="L14" s="152">
        <v>6.0961618609094187E-9</v>
      </c>
      <c r="M14" s="27"/>
      <c r="N14" s="18">
        <v>1.0080489046339115E-6</v>
      </c>
      <c r="O14" s="18">
        <v>4.7435495289964222E-12</v>
      </c>
      <c r="P14" s="18">
        <v>2.3717747644982111E-9</v>
      </c>
      <c r="Q14" s="28">
        <v>0.84461537516713014</v>
      </c>
      <c r="R14" s="60">
        <v>114.3583647366048</v>
      </c>
      <c r="S14" s="57">
        <v>3.5795611351445863E-7</v>
      </c>
      <c r="U14" s="127">
        <v>6.0959826840584602E-9</v>
      </c>
      <c r="V14" s="127">
        <v>6.0961618609094187E-9</v>
      </c>
      <c r="W14" s="128">
        <v>6.0963557429501519E-9</v>
      </c>
      <c r="X14" s="128">
        <f t="shared" si="0"/>
        <v>6.0961655372068622E-9</v>
      </c>
      <c r="Y14" s="139">
        <f t="shared" si="1"/>
        <v>1.1527728566732045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644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8.9490254977800006E-3</v>
      </c>
      <c r="J15" s="109">
        <v>6.1394443959714284E-9</v>
      </c>
      <c r="K15" s="109">
        <v>2.9412398159062258E-10</v>
      </c>
      <c r="L15" s="152">
        <v>6.3380728682483904E-9</v>
      </c>
      <c r="M15" s="27"/>
      <c r="N15" s="18">
        <v>1.1838355380078769E-6</v>
      </c>
      <c r="O15" s="18">
        <v>7.0182158080227815E-12</v>
      </c>
      <c r="P15" s="18">
        <v>3.2456745590675119E-9</v>
      </c>
      <c r="Q15" s="28">
        <v>1.9240870029665309</v>
      </c>
      <c r="R15" s="60">
        <v>114.3583647366048</v>
      </c>
      <c r="S15" s="57">
        <v>4.6460431292215507E-7</v>
      </c>
      <c r="U15" s="127">
        <v>6.3379475572061825E-9</v>
      </c>
      <c r="V15" s="127">
        <v>6.3380728682483904E-9</v>
      </c>
      <c r="W15" s="128">
        <v>6.3382165415493613E-9</v>
      </c>
      <c r="X15" s="128">
        <f t="shared" si="0"/>
        <v>6.338077458813081E-9</v>
      </c>
      <c r="Y15" s="139">
        <f t="shared" si="1"/>
        <v>0.45608123681155327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1.6199999999999999E-6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0.29996142000263898</v>
      </c>
      <c r="I16" s="109">
        <v>9.0385157527600006E-3</v>
      </c>
      <c r="J16" s="109">
        <v>7.0775005942529098E-9</v>
      </c>
      <c r="K16" s="109">
        <v>3.0431627568557509E-10</v>
      </c>
      <c r="L16" s="152">
        <v>6.588493507750632E-9</v>
      </c>
      <c r="M16" s="27"/>
      <c r="N16" s="18">
        <v>1.5304620675542782E-6</v>
      </c>
      <c r="O16" s="18">
        <v>8.9896247887355653E-12</v>
      </c>
      <c r="P16" s="18">
        <v>4.1694464275644977E-9</v>
      </c>
      <c r="Q16" s="28">
        <v>3.8481740059330618</v>
      </c>
      <c r="R16" s="60">
        <v>115.48885050477223</v>
      </c>
      <c r="S16" s="57">
        <v>4.6460431292215507E-7</v>
      </c>
      <c r="U16" s="127">
        <v>6.5884554030146577E-9</v>
      </c>
      <c r="V16" s="127">
        <v>6.588493507750632E-9</v>
      </c>
      <c r="W16" s="128">
        <v>6.5885543023516617E-9</v>
      </c>
      <c r="X16" s="128">
        <f t="shared" si="0"/>
        <v>6.5884991802168965E-9</v>
      </c>
      <c r="Y16" s="139">
        <f t="shared" si="1"/>
        <v>2.5820810441456774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645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9.1289009102799995E-3</v>
      </c>
      <c r="J17" s="109">
        <v>6.4410309151328304E-9</v>
      </c>
      <c r="K17" s="109">
        <v>2.871718696396016E-10</v>
      </c>
      <c r="L17" s="152">
        <v>6.8473188941031576E-9</v>
      </c>
      <c r="M17" s="27"/>
      <c r="N17" s="18">
        <v>1.8661381360018595E-6</v>
      </c>
      <c r="O17" s="18">
        <v>1.1129273312476687E-11</v>
      </c>
      <c r="P17" s="18">
        <v>5.1373411253361239E-9</v>
      </c>
      <c r="Q17" s="28">
        <v>3.8481740059330618</v>
      </c>
      <c r="R17" s="60">
        <v>115.48885050477223</v>
      </c>
      <c r="S17" s="57">
        <v>5.7258872875463596E-7</v>
      </c>
      <c r="U17" s="127">
        <v>6.8474204583825442E-9</v>
      </c>
      <c r="V17" s="127">
        <v>6.8473188941031576E-9</v>
      </c>
      <c r="W17" s="128">
        <v>6.84724488616143E-9</v>
      </c>
      <c r="X17" s="128">
        <f t="shared" si="0"/>
        <v>6.8473257831875719E-9</v>
      </c>
      <c r="Y17" s="139">
        <f t="shared" si="1"/>
        <v>2.0016995067449641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193.24</v>
      </c>
      <c r="D18" s="159">
        <v>44.06</v>
      </c>
      <c r="E18" s="159">
        <v>48.06</v>
      </c>
      <c r="F18" s="104"/>
      <c r="G18" s="104"/>
      <c r="H18" s="160">
        <v>0.14511039064229461</v>
      </c>
      <c r="I18" s="109">
        <v>9.2201899193900001E-3</v>
      </c>
      <c r="J18" s="109">
        <v>7.7179434302719833E-9</v>
      </c>
      <c r="K18" s="109">
        <v>3.1441855787351172E-10</v>
      </c>
      <c r="L18" s="152">
        <v>7.1142204282992897E-9</v>
      </c>
      <c r="N18" s="18">
        <v>2.0364657564173486E-6</v>
      </c>
      <c r="O18" s="18">
        <v>1.2634899663771504E-11</v>
      </c>
      <c r="P18" s="18">
        <v>5.7620076066436166E-9</v>
      </c>
      <c r="Q18" s="28">
        <v>3.8481740059330618</v>
      </c>
      <c r="R18" s="60">
        <v>116.50441448413582</v>
      </c>
      <c r="S18" s="57">
        <v>5.7258872875463596E-7</v>
      </c>
      <c r="U18" s="127">
        <v>7.114546610154732E-9</v>
      </c>
      <c r="V18" s="127">
        <v>7.1142204282992897E-9</v>
      </c>
      <c r="W18" s="128">
        <v>7.1139266313594144E-9</v>
      </c>
      <c r="X18" s="128">
        <f t="shared" si="0"/>
        <v>7.1142285245281817E-9</v>
      </c>
      <c r="Y18" s="139">
        <f t="shared" si="1"/>
        <v>3.6867819675212941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9.3123918185800004E-3</v>
      </c>
      <c r="J19" s="109">
        <v>7.7695884225220822E-9</v>
      </c>
      <c r="K19" s="109">
        <v>3.14150728388862E-10</v>
      </c>
      <c r="L19" s="152">
        <v>7.3884887407266684E-9</v>
      </c>
      <c r="N19" s="18">
        <v>2.0971964594417056E-6</v>
      </c>
      <c r="O19" s="18">
        <v>1.3795830565408341E-11</v>
      </c>
      <c r="P19" s="18">
        <v>6.1831993227319131E-9</v>
      </c>
      <c r="Q19" s="28">
        <v>3.8481740059330618</v>
      </c>
      <c r="R19" s="60">
        <v>116.50441448413582</v>
      </c>
      <c r="S19" s="57">
        <v>6.8120222442184184E-7</v>
      </c>
      <c r="U19" s="127">
        <v>7.3891823246780537E-9</v>
      </c>
      <c r="V19" s="127">
        <v>7.3884887407266684E-9</v>
      </c>
      <c r="W19" s="128">
        <v>7.3878305641704115E-9</v>
      </c>
      <c r="X19" s="128">
        <f t="shared" si="0"/>
        <v>7.3884975925754505E-9</v>
      </c>
      <c r="Y19" s="139">
        <f t="shared" si="1"/>
        <v>1.4715697617315047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7.827144960870001E-3</v>
      </c>
      <c r="I20" s="109">
        <v>9.4055157367700006E-3</v>
      </c>
      <c r="J20" s="109">
        <v>7.9176319881548864E-9</v>
      </c>
      <c r="K20" s="109">
        <v>5.3567132111434893E-10</v>
      </c>
      <c r="L20" s="152">
        <v>7.6687335245985814E-9</v>
      </c>
      <c r="N20" s="18">
        <v>2.1112116703224519E-6</v>
      </c>
      <c r="O20" s="18">
        <v>1.4937131213467719E-11</v>
      </c>
      <c r="P20" s="18">
        <v>6.5581408438497874E-9</v>
      </c>
      <c r="Q20" s="28">
        <v>3.8481740059330618</v>
      </c>
      <c r="R20" s="60">
        <v>117.44381154591355</v>
      </c>
      <c r="S20" s="57">
        <v>6.8120222442184184E-7</v>
      </c>
      <c r="U20" s="127">
        <v>7.6700465971674045E-9</v>
      </c>
      <c r="V20" s="127">
        <v>7.6687335245985814E-9</v>
      </c>
      <c r="W20" s="128">
        <v>7.6674520155033733E-9</v>
      </c>
      <c r="X20" s="128">
        <f t="shared" si="0"/>
        <v>7.6687414154669847E-9</v>
      </c>
      <c r="Y20" s="139">
        <f t="shared" si="1"/>
        <v>0.21588382424590255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9.4995708941299998E-3</v>
      </c>
      <c r="J21" s="109">
        <v>7.7833159113826181E-9</v>
      </c>
      <c r="K21" s="109">
        <v>5.2291238242339948E-10</v>
      </c>
      <c r="L21" s="152">
        <v>7.9522605463159164E-9</v>
      </c>
      <c r="M21" s="31"/>
      <c r="N21" s="18">
        <v>2.1115026516023129E-6</v>
      </c>
      <c r="O21" s="18">
        <v>1.6244807584455276E-11</v>
      </c>
      <c r="P21" s="30">
        <v>6.9742370037482858E-9</v>
      </c>
      <c r="Q21" s="65">
        <v>3.8481740059330618</v>
      </c>
      <c r="R21" s="62">
        <v>117.44381154591355</v>
      </c>
      <c r="S21" s="61">
        <v>7.9008242204586148E-7</v>
      </c>
      <c r="T21" s="75"/>
      <c r="U21" s="127">
        <v>7.9546685239328358E-9</v>
      </c>
      <c r="V21" s="127">
        <v>7.9522605463159164E-9</v>
      </c>
      <c r="W21" s="128">
        <v>7.9498585915365573E-9</v>
      </c>
      <c r="X21" s="128">
        <f t="shared" si="0"/>
        <v>7.9522620520253061E-9</v>
      </c>
      <c r="Y21" s="139">
        <f t="shared" si="1"/>
        <v>0.1043851449934977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9.5945666030799997E-3</v>
      </c>
      <c r="J22" s="109">
        <v>8.7684083811734245E-9</v>
      </c>
      <c r="K22" s="109">
        <v>5.6635566829474395E-10</v>
      </c>
      <c r="L22" s="152">
        <v>8.2336362591470411E-9</v>
      </c>
      <c r="N22" s="18">
        <v>2.1086306041054061E-6</v>
      </c>
      <c r="O22" s="18">
        <v>1.7800102438869188E-11</v>
      </c>
      <c r="P22" s="18">
        <v>7.4663680993835225E-9</v>
      </c>
      <c r="Q22" s="28">
        <v>3.8481740059330618</v>
      </c>
      <c r="R22" s="60">
        <v>118.33326897387393</v>
      </c>
      <c r="S22" s="57">
        <v>7.9008242204586148E-7</v>
      </c>
      <c r="U22" s="127">
        <v>8.2381191671208816E-9</v>
      </c>
      <c r="V22" s="127">
        <v>8.2336362591470411E-9</v>
      </c>
      <c r="W22" s="128">
        <v>8.2290659990405912E-9</v>
      </c>
      <c r="X22" s="128">
        <f t="shared" si="0"/>
        <v>8.2336144211138883E-9</v>
      </c>
      <c r="Y22" s="139">
        <f t="shared" si="1"/>
        <v>0.8916501450051304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9.69051226911E-3</v>
      </c>
      <c r="J23" s="109">
        <v>9.1780716814552303E-9</v>
      </c>
      <c r="K23" s="109">
        <v>5.6363873882290855E-10</v>
      </c>
      <c r="L23" s="152">
        <v>8.5011101014813364E-9</v>
      </c>
      <c r="N23" s="18">
        <v>2.1047849695195062E-6</v>
      </c>
      <c r="O23" s="18">
        <v>1.9644628070521246E-11</v>
      </c>
      <c r="P23" s="18">
        <v>8.0496420902218907E-9</v>
      </c>
      <c r="Q23" s="28">
        <v>3.8481740059330618</v>
      </c>
      <c r="R23" s="60">
        <v>118.33326897387393</v>
      </c>
      <c r="S23" s="57">
        <v>8.990550042875943E-7</v>
      </c>
      <c r="U23" s="127">
        <v>8.5098735357306464E-9</v>
      </c>
      <c r="V23" s="127">
        <v>8.5011101014813364E-9</v>
      </c>
      <c r="W23" s="128">
        <v>8.4919715425917151E-9</v>
      </c>
      <c r="X23" s="128">
        <f t="shared" si="0"/>
        <v>8.5010163203212582E-9</v>
      </c>
      <c r="Y23" s="139">
        <f t="shared" si="1"/>
        <v>1.4429347536539321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9.7874173918000001E-3</v>
      </c>
      <c r="J24" s="109">
        <v>7.4504403816437632E-9</v>
      </c>
      <c r="K24" s="109">
        <v>4.9627963081008235E-10</v>
      </c>
      <c r="L24" s="152">
        <v>8.7277390886014065E-9</v>
      </c>
      <c r="N24" s="18">
        <v>2.1002294838886542E-6</v>
      </c>
      <c r="O24" s="18">
        <v>2.1809485795396023E-11</v>
      </c>
      <c r="P24" s="18">
        <v>8.7341752010456988E-9</v>
      </c>
      <c r="Q24" s="28">
        <v>3.8481740059330618</v>
      </c>
      <c r="R24" s="60">
        <v>119.19231486506222</v>
      </c>
      <c r="S24" s="57">
        <v>8.990550042875943E-7</v>
      </c>
      <c r="U24" s="127">
        <v>8.7456612006571492E-9</v>
      </c>
      <c r="V24" s="127">
        <v>8.7277390886014065E-9</v>
      </c>
      <c r="W24" s="128">
        <v>8.7087033348074245E-9</v>
      </c>
      <c r="X24" s="128">
        <f t="shared" si="0"/>
        <v>8.7274606781668463E-9</v>
      </c>
      <c r="Y24" s="139">
        <f t="shared" si="1"/>
        <v>6.6212913593449771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1.7860352480266717E-6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21.758164262199287</v>
      </c>
      <c r="H25" s="149">
        <v>200</v>
      </c>
      <c r="I25" s="109">
        <v>9.8852915657199995E-3</v>
      </c>
      <c r="J25" s="109">
        <v>8.5558678398031402E-9</v>
      </c>
      <c r="K25" s="109">
        <v>5.3396188496128826E-10</v>
      </c>
      <c r="L25" s="152">
        <v>8.8531119530451431E-9</v>
      </c>
      <c r="N25" s="18">
        <v>2.0949404193364028E-6</v>
      </c>
      <c r="O25" s="18">
        <v>2.432160693463158E-11</v>
      </c>
      <c r="P25" s="18">
        <v>9.5285113921277952E-9</v>
      </c>
      <c r="Q25" s="28">
        <v>3.8481740059330618</v>
      </c>
      <c r="R25" s="60">
        <v>119.19231486506222</v>
      </c>
      <c r="S25" s="57">
        <v>1.0080489046339115E-6</v>
      </c>
      <c r="U25" s="127">
        <v>8.8884581854703231E-9</v>
      </c>
      <c r="V25" s="127">
        <v>8.8531119530451431E-9</v>
      </c>
      <c r="W25" s="128">
        <v>8.8153908584023282E-9</v>
      </c>
      <c r="X25" s="128">
        <f t="shared" si="0"/>
        <v>8.8525182374907339E-9</v>
      </c>
      <c r="Y25" s="139">
        <f t="shared" si="1"/>
        <v>0.30865218428327074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1.7860352480266717E-6</v>
      </c>
      <c r="D26" s="101">
        <v>1.5392483148537927E-10</v>
      </c>
      <c r="E26" s="101">
        <v>5.0509225500401457E-8</v>
      </c>
      <c r="F26" s="149">
        <f>(H31-H25)*H29</f>
        <v>864.86357836635534</v>
      </c>
      <c r="G26" s="149">
        <v>55.42680874121109</v>
      </c>
      <c r="H26" s="111" t="s">
        <v>599</v>
      </c>
      <c r="I26" s="109">
        <v>9.9841444813699998E-3</v>
      </c>
      <c r="J26" s="109">
        <v>7.9810741748498309E-9</v>
      </c>
      <c r="K26" s="109">
        <v>5.1707080655917913E-10</v>
      </c>
      <c r="L26" s="152">
        <v>8.7586824917571607E-9</v>
      </c>
      <c r="N26" s="18">
        <v>2.0888726134333354E-6</v>
      </c>
      <c r="O26" s="18">
        <v>2.7203538558046971E-11</v>
      </c>
      <c r="P26" s="18">
        <v>1.0439782055328802E-8</v>
      </c>
      <c r="Q26" s="28">
        <v>3.8481740059330618</v>
      </c>
      <c r="R26" s="60">
        <v>120.03693024022934</v>
      </c>
      <c r="S26" s="57">
        <v>1.0080489046339115E-6</v>
      </c>
      <c r="U26" s="127">
        <v>8.8143463262942204E-9</v>
      </c>
      <c r="V26" s="127">
        <v>8.7586824917571607E-9</v>
      </c>
      <c r="W26" s="128">
        <v>8.6997033494969823E-9</v>
      </c>
      <c r="X26" s="128">
        <f t="shared" si="0"/>
        <v>8.7578536648263806E-9</v>
      </c>
      <c r="Y26" s="139">
        <f t="shared" si="1"/>
        <v>2.2568124184284897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8.4383076650543174E-7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1.0083985926200001E-2</v>
      </c>
      <c r="J27" s="109">
        <v>7.7710120205974799E-9</v>
      </c>
      <c r="K27" s="109">
        <v>5.0819942133441962E-10</v>
      </c>
      <c r="L27" s="152">
        <v>8.2655871211909397E-9</v>
      </c>
      <c r="N27" s="18">
        <v>2.0819907674412171E-6</v>
      </c>
      <c r="O27" s="18">
        <v>3.0472099982267887E-11</v>
      </c>
      <c r="P27" s="18">
        <v>1.1473305578643126E-8</v>
      </c>
      <c r="Q27" s="28">
        <v>3.8481740059330618</v>
      </c>
      <c r="R27" s="60">
        <v>120.03693024022934</v>
      </c>
      <c r="S27" s="57">
        <v>1.1838355380078769E-6</v>
      </c>
      <c r="U27" s="127">
        <v>8.313413172386237E-9</v>
      </c>
      <c r="V27" s="127">
        <v>8.2655871211909397E-9</v>
      </c>
      <c r="W27" s="128">
        <v>8.2147365307662813E-9</v>
      </c>
      <c r="X27" s="128">
        <f t="shared" si="0"/>
        <v>8.2648309863836002E-9</v>
      </c>
      <c r="Y27" s="139">
        <f t="shared" si="1"/>
        <v>0.94420696295225293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23.313779615057957</v>
      </c>
      <c r="G28" s="102">
        <v>5</v>
      </c>
      <c r="H28" s="134" t="s">
        <v>600</v>
      </c>
      <c r="I28" s="109">
        <v>1.01848257854E-2</v>
      </c>
      <c r="J28" s="109">
        <v>7.5220921415620744E-9</v>
      </c>
      <c r="K28" s="109">
        <v>4.8949010241280237E-10</v>
      </c>
      <c r="L28" s="152">
        <v>7.2303227570036683E-9</v>
      </c>
      <c r="N28" s="18">
        <v>2.0742744903301177E-6</v>
      </c>
      <c r="O28" s="18">
        <v>3.4136977889979167E-11</v>
      </c>
      <c r="P28" s="18">
        <v>1.2632144907564846E-8</v>
      </c>
      <c r="Q28" s="28">
        <v>3.8481740059330618</v>
      </c>
      <c r="R28" s="60">
        <v>121.96101724319587</v>
      </c>
      <c r="S28" s="57">
        <v>1.1838355380078769E-6</v>
      </c>
      <c r="U28" s="127">
        <v>7.2028888602063071E-9</v>
      </c>
      <c r="V28" s="127">
        <v>7.2303227570036683E-9</v>
      </c>
      <c r="W28" s="128">
        <v>7.2547230781915607E-9</v>
      </c>
      <c r="X28" s="128">
        <f t="shared" si="0"/>
        <v>7.2295643631013003E-9</v>
      </c>
      <c r="Y28" s="139">
        <f t="shared" si="1"/>
        <v>0.3571464984997898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42">
        <v>2.0700000000000001E-6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1.02866740433E-2</v>
      </c>
      <c r="J29" s="109">
        <v>5.2259581578917661E-9</v>
      </c>
      <c r="K29" s="109">
        <v>4.0795829679854047E-10</v>
      </c>
      <c r="L29" s="152">
        <v>5.7721129741638407E-9</v>
      </c>
      <c r="N29" s="18">
        <v>2.0657210544227646E-6</v>
      </c>
      <c r="O29" s="18">
        <v>3.8199467848985291E-11</v>
      </c>
      <c r="P29" s="18">
        <v>1.3916709702461325E-8</v>
      </c>
      <c r="Q29" s="28">
        <v>3.8481740059330618</v>
      </c>
      <c r="R29" s="60">
        <v>121.96101724319587</v>
      </c>
      <c r="S29" s="57">
        <v>1.5304620675542782E-6</v>
      </c>
      <c r="U29" s="127">
        <v>5.622602601208434E-9</v>
      </c>
      <c r="V29" s="127">
        <v>5.7721129741638407E-9</v>
      </c>
      <c r="W29" s="128">
        <v>5.9165334552269364E-9</v>
      </c>
      <c r="X29" s="128">
        <f t="shared" si="0"/>
        <v>5.7708405011907625E-9</v>
      </c>
      <c r="Y29" s="139">
        <f t="shared" si="1"/>
        <v>1.7839140666901541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1.03895407837E-2</v>
      </c>
      <c r="J30" s="109">
        <v>4.3729290768431783E-9</v>
      </c>
      <c r="K30" s="109">
        <v>3.7448991854859201E-10</v>
      </c>
      <c r="L30" s="152">
        <v>4.3722761986075644E-9</v>
      </c>
      <c r="N30" s="18">
        <v>2.056347521373453E-6</v>
      </c>
      <c r="O30" s="18">
        <v>4.2651466356451005E-11</v>
      </c>
      <c r="P30" s="18">
        <v>1.5324437624826757E-8</v>
      </c>
      <c r="Q30" s="28">
        <v>3.8481740059330618</v>
      </c>
      <c r="R30" s="60">
        <v>125.80919124912893</v>
      </c>
      <c r="S30" s="57">
        <v>1.5304620675542782E-6</v>
      </c>
      <c r="U30" s="127">
        <v>4.1336595519579355E-9</v>
      </c>
      <c r="V30" s="127">
        <v>4.3722761986075644E-9</v>
      </c>
      <c r="W30" s="128">
        <v>4.6033774397582032E-9</v>
      </c>
      <c r="X30" s="128">
        <f t="shared" si="0"/>
        <v>4.3703973472328167E-9</v>
      </c>
      <c r="Y30" s="139">
        <f t="shared" si="1"/>
        <v>4.570401783026974E-5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1064.8635783663553</v>
      </c>
      <c r="I31" s="109">
        <v>1.04934361916E-2</v>
      </c>
      <c r="J31" s="109">
        <v>4.0906084981912101E-9</v>
      </c>
      <c r="K31" s="109">
        <v>3.6171144870341391E-10</v>
      </c>
      <c r="L31" s="152">
        <v>3.5062924888001977E-9</v>
      </c>
      <c r="N31" s="18">
        <v>2.0461921488530209E-6</v>
      </c>
      <c r="O31" s="18">
        <v>4.7474802772493587E-11</v>
      </c>
      <c r="P31" s="18">
        <v>1.6849583093864728E-8</v>
      </c>
      <c r="Q31" s="28">
        <v>3.8481740059330618</v>
      </c>
      <c r="R31" s="60">
        <v>125.80919124912893</v>
      </c>
      <c r="S31" s="57">
        <v>1.8661381360018595E-6</v>
      </c>
      <c r="U31" s="127">
        <v>3.2506165585421997E-9</v>
      </c>
      <c r="V31" s="127">
        <v>3.5062924888001977E-9</v>
      </c>
      <c r="W31" s="128">
        <v>3.7532529525816052E-9</v>
      </c>
      <c r="X31" s="128">
        <f t="shared" si="0"/>
        <v>3.5041136221810501E-9</v>
      </c>
      <c r="Y31" s="139">
        <f t="shared" si="1"/>
        <v>2.6290808045291834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1.05983705535E-2</v>
      </c>
      <c r="J32" s="109">
        <v>3.8122236108047728E-9</v>
      </c>
      <c r="K32" s="109">
        <v>3.5008718617107811E-10</v>
      </c>
      <c r="L32" s="152">
        <v>3.2093539451376668E-9</v>
      </c>
      <c r="N32" s="18">
        <v>2.0353149248701639E-6</v>
      </c>
      <c r="O32" s="18">
        <v>5.264098554288511E-11</v>
      </c>
      <c r="P32" s="18">
        <v>1.8483137041766488E-8</v>
      </c>
      <c r="Q32" s="28">
        <v>3.8481740059330618</v>
      </c>
      <c r="R32" s="60">
        <v>129.65736525506199</v>
      </c>
      <c r="S32" s="57">
        <v>1.8661381360018595E-6</v>
      </c>
      <c r="U32" s="127">
        <v>2.9805779967951221E-9</v>
      </c>
      <c r="V32" s="127">
        <v>3.2093539451376668E-9</v>
      </c>
      <c r="W32" s="128">
        <v>3.4286532306220513E-9</v>
      </c>
      <c r="X32" s="128">
        <f t="shared" si="0"/>
        <v>3.2069847794231269E-9</v>
      </c>
      <c r="Y32" s="139">
        <f t="shared" si="1"/>
        <v>2.9888294781559419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1.0704354259E-2</v>
      </c>
      <c r="J33" s="109">
        <v>3.402931221420308E-9</v>
      </c>
      <c r="K33" s="109">
        <v>3.2774222360942304E-10</v>
      </c>
      <c r="L33" s="152">
        <v>3.2024695146150161E-9</v>
      </c>
      <c r="N33" s="18">
        <v>2.0237971195577083E-6</v>
      </c>
      <c r="O33" s="18">
        <v>5.8111415080027349E-11</v>
      </c>
      <c r="P33" s="18">
        <v>2.0212894226961826E-8</v>
      </c>
      <c r="Q33" s="28">
        <v>3.8481740059330618</v>
      </c>
      <c r="R33" s="60">
        <v>129.65736525506199</v>
      </c>
      <c r="S33" s="57">
        <v>2.0364657564173486E-6</v>
      </c>
      <c r="U33" s="127">
        <v>3.0102762060587602E-9</v>
      </c>
      <c r="V33" s="127">
        <v>3.2024695146150161E-9</v>
      </c>
      <c r="W33" s="128">
        <v>3.3841274495127029E-9</v>
      </c>
      <c r="X33" s="128">
        <f t="shared" si="0"/>
        <v>3.1998356712003738E-9</v>
      </c>
      <c r="Y33" s="139">
        <f t="shared" si="1"/>
        <v>0.38400424435031738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1.08113978016E-2</v>
      </c>
      <c r="J34" s="109">
        <v>3.5310807297923664E-9</v>
      </c>
      <c r="K34" s="109">
        <v>3.3270347407318178E-10</v>
      </c>
      <c r="L34" s="152">
        <v>3.254604464489921E-9</v>
      </c>
      <c r="N34" s="18">
        <v>2.0117398033017553E-6</v>
      </c>
      <c r="O34" s="18">
        <v>6.3838087583677184E-11</v>
      </c>
      <c r="P34" s="18">
        <v>2.2023675783180105E-8</v>
      </c>
      <c r="Q34" s="28">
        <v>3.8481740059330618</v>
      </c>
      <c r="R34" s="60">
        <v>133.50553926099505</v>
      </c>
      <c r="S34" s="57">
        <v>2.0364657564173486E-6</v>
      </c>
      <c r="U34" s="127">
        <v>3.09662329043536E-9</v>
      </c>
      <c r="V34" s="127">
        <v>3.254604464489921E-9</v>
      </c>
      <c r="W34" s="128">
        <v>3.4007825603736753E-9</v>
      </c>
      <c r="X34" s="128">
        <f t="shared" si="0"/>
        <v>3.2516536949472193E-9</v>
      </c>
      <c r="Y34" s="139">
        <f t="shared" si="1"/>
        <v>0.70537842646746329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1.3701415271707418</v>
      </c>
      <c r="I35" s="109">
        <v>1.0919511779600001E-2</v>
      </c>
      <c r="J35" s="109">
        <v>3.3695014546497382E-9</v>
      </c>
      <c r="K35" s="109">
        <v>3.2957563509553927E-10</v>
      </c>
      <c r="L35" s="152">
        <v>3.2784354745732305E-9</v>
      </c>
      <c r="N35" s="18">
        <v>1.9992613473998937E-6</v>
      </c>
      <c r="O35" s="18">
        <v>6.9764782113723771E-11</v>
      </c>
      <c r="P35" s="18">
        <v>2.3897704573460719E-8</v>
      </c>
      <c r="Q35" s="28">
        <v>3.8481740059330618</v>
      </c>
      <c r="R35" s="60">
        <v>133.50553926099505</v>
      </c>
      <c r="S35" s="57">
        <v>2.0971964594417056E-6</v>
      </c>
      <c r="U35" s="127">
        <v>3.1520013405565284E-9</v>
      </c>
      <c r="V35" s="127">
        <v>3.2784354745732305E-9</v>
      </c>
      <c r="W35" s="128">
        <v>3.391797491165938E-9</v>
      </c>
      <c r="X35" s="128">
        <f t="shared" si="0"/>
        <v>3.2751674452172318E-9</v>
      </c>
      <c r="Y35" s="139">
        <f t="shared" si="1"/>
        <v>8.1926875386505532E-2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644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1.1028706897400001E-2</v>
      </c>
      <c r="J36" s="109">
        <v>3.4413400401033866E-9</v>
      </c>
      <c r="K36" s="109">
        <v>1.9879506773675279E-10</v>
      </c>
      <c r="L36" s="152">
        <v>3.2584164643730321E-9</v>
      </c>
      <c r="N36" s="18">
        <v>1.9864939930934689E-6</v>
      </c>
      <c r="O36" s="18">
        <v>7.5828690142582057E-11</v>
      </c>
      <c r="P36" s="18">
        <v>2.5815120456813969E-8</v>
      </c>
      <c r="Q36" s="28">
        <v>3.8481740059330618</v>
      </c>
      <c r="R36" s="60">
        <v>137.35371326692811</v>
      </c>
      <c r="S36" s="57">
        <v>2.0971964594417056E-6</v>
      </c>
      <c r="U36" s="127">
        <v>3.162047196040402E-9</v>
      </c>
      <c r="V36" s="127">
        <v>3.2584164643730321E-9</v>
      </c>
      <c r="W36" s="128">
        <v>3.3405385859816896E-9</v>
      </c>
      <c r="X36" s="128">
        <f t="shared" si="0"/>
        <v>3.2548546776920391E-9</v>
      </c>
      <c r="Y36" s="139">
        <f t="shared" si="1"/>
        <v>0.8799911160773739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1.6199999999999999E-6</v>
      </c>
      <c r="D37" s="157">
        <v>5.6499999999999999E-7</v>
      </c>
      <c r="E37" s="157">
        <v>5.7300000000000002E-6</v>
      </c>
      <c r="F37" s="102"/>
      <c r="G37" s="102"/>
      <c r="H37" s="160">
        <v>0.29996142000263898</v>
      </c>
      <c r="I37" s="109">
        <v>1.11389939664E-2</v>
      </c>
      <c r="J37" s="109">
        <v>3.0835504805604941E-9</v>
      </c>
      <c r="K37" s="109">
        <v>1.8184399325001884E-10</v>
      </c>
      <c r="L37" s="152">
        <v>3.1964236832569392E-9</v>
      </c>
      <c r="N37" s="18">
        <v>1.9768140188657377E-6</v>
      </c>
      <c r="O37" s="18">
        <v>8.0426234162265537E-11</v>
      </c>
      <c r="P37" s="18">
        <v>2.7268870066109518E-8</v>
      </c>
      <c r="Q37" s="28">
        <v>1.9240870029665309</v>
      </c>
      <c r="R37" s="60">
        <v>137.35371326692811</v>
      </c>
      <c r="S37" s="57">
        <v>2.1112116703224519E-6</v>
      </c>
      <c r="U37" s="127">
        <v>3.1293689478785237E-9</v>
      </c>
      <c r="V37" s="127">
        <v>3.1964236832569392E-9</v>
      </c>
      <c r="W37" s="128">
        <v>3.2482265269996245E-9</v>
      </c>
      <c r="X37" s="128">
        <f t="shared" si="0"/>
        <v>3.1926107103480067E-9</v>
      </c>
      <c r="Y37" s="139">
        <f t="shared" si="1"/>
        <v>0.3596954110309486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645</v>
      </c>
      <c r="D38" s="158" t="s">
        <v>612</v>
      </c>
      <c r="E38" s="158" t="s">
        <v>614</v>
      </c>
      <c r="F38" s="104"/>
      <c r="G38" s="104"/>
      <c r="H38" s="144"/>
      <c r="I38" s="109">
        <v>1.12503839061E-2</v>
      </c>
      <c r="J38" s="109">
        <v>3.4860924743474478E-9</v>
      </c>
      <c r="K38" s="109">
        <v>1.9348915666455135E-10</v>
      </c>
      <c r="L38" s="152">
        <v>3.0972400748486098E-9</v>
      </c>
      <c r="N38" s="18">
        <v>1.9658084500916729E-6</v>
      </c>
      <c r="O38" s="18">
        <v>8.5653374825043235E-11</v>
      </c>
      <c r="P38" s="18">
        <v>2.8921698981659327E-8</v>
      </c>
      <c r="Q38" s="28">
        <v>4.6449596542673222</v>
      </c>
      <c r="R38" s="60">
        <v>141.20188727286117</v>
      </c>
      <c r="S38" s="57">
        <v>2.1112116703224519E-6</v>
      </c>
      <c r="U38" s="127">
        <v>3.0589066542974989E-9</v>
      </c>
      <c r="V38" s="127">
        <v>3.0972400748486098E-9</v>
      </c>
      <c r="W38" s="128">
        <v>3.1195728608077052E-9</v>
      </c>
      <c r="X38" s="128">
        <f t="shared" si="0"/>
        <v>3.0932399162006056E-9</v>
      </c>
      <c r="Y38" s="139">
        <f t="shared" si="1"/>
        <v>4.122359925183809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193.24</v>
      </c>
      <c r="D39" s="159">
        <v>44.06</v>
      </c>
      <c r="E39" s="159">
        <v>48.06</v>
      </c>
      <c r="F39" s="104"/>
      <c r="G39" s="104"/>
      <c r="H39" s="108"/>
      <c r="I39" s="109">
        <v>1.1362887745099999E-2</v>
      </c>
      <c r="J39" s="109">
        <v>3.3801841618264319E-9</v>
      </c>
      <c r="K39" s="109">
        <v>1.8787376912593627E-10</v>
      </c>
      <c r="L39" s="152">
        <v>2.9657788466064433E-9</v>
      </c>
      <c r="N39" s="18">
        <v>1.9502664085251133E-6</v>
      </c>
      <c r="O39" s="18">
        <v>9.3035132108373614E-11</v>
      </c>
      <c r="P39" s="18">
        <v>3.1255820573668549E-8</v>
      </c>
      <c r="Q39" s="28">
        <v>4.7243202326788616</v>
      </c>
      <c r="R39" s="60">
        <v>141.20188727286117</v>
      </c>
      <c r="S39" s="57">
        <v>2.1115026516023129E-6</v>
      </c>
      <c r="U39" s="127">
        <v>2.9553842539815022E-9</v>
      </c>
      <c r="V39" s="127">
        <v>2.9657788466064433E-9</v>
      </c>
      <c r="W39" s="128">
        <v>2.9597806034743816E-9</v>
      </c>
      <c r="X39" s="128">
        <f t="shared" si="0"/>
        <v>2.9616806376671923E-9</v>
      </c>
      <c r="Y39" s="139">
        <f t="shared" si="1"/>
        <v>4.9621049146225209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1.14765166226E-2</v>
      </c>
      <c r="J40" s="109">
        <v>3.0224070811049875E-9</v>
      </c>
      <c r="K40" s="109">
        <v>1.7653780553614496E-10</v>
      </c>
      <c r="L40" s="152">
        <v>2.8070534093998588E-9</v>
      </c>
      <c r="N40" s="18">
        <v>1.9347274068246979E-6</v>
      </c>
      <c r="O40" s="18">
        <v>1.0041544559463568E-10</v>
      </c>
      <c r="P40" s="18">
        <v>3.3589485635100807E-8</v>
      </c>
      <c r="Q40" s="28">
        <v>4.8915683854877052</v>
      </c>
      <c r="R40" s="60">
        <v>145.05006127879423</v>
      </c>
      <c r="S40" s="57">
        <v>2.1115026516023129E-6</v>
      </c>
      <c r="U40" s="127">
        <v>2.8234002608253065E-9</v>
      </c>
      <c r="V40" s="127">
        <v>2.8070534093998588E-9</v>
      </c>
      <c r="W40" s="128">
        <v>2.7743841828084214E-9</v>
      </c>
      <c r="X40" s="128">
        <f t="shared" si="0"/>
        <v>2.8029728156083613E-9</v>
      </c>
      <c r="Y40" s="139">
        <f t="shared" si="1"/>
        <v>1.5450176426433535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1.1591281788799999E-2</v>
      </c>
      <c r="J41" s="109">
        <v>2.7109321090900376E-9</v>
      </c>
      <c r="K41" s="109">
        <v>2.0722269997629424E-10</v>
      </c>
      <c r="L41" s="152">
        <v>2.6262824001346378E-9</v>
      </c>
      <c r="N41" s="18">
        <v>1.9192015787566052E-6</v>
      </c>
      <c r="O41" s="18">
        <v>1.0778950220943518E-10</v>
      </c>
      <c r="P41" s="18">
        <v>3.5921172265352152E-8</v>
      </c>
      <c r="Q41" s="28">
        <v>5.1662112478492181</v>
      </c>
      <c r="R41" s="60">
        <v>145.05006127879423</v>
      </c>
      <c r="S41" s="57">
        <v>2.1086306041054061E-6</v>
      </c>
      <c r="U41" s="127">
        <v>2.6676070903637247E-9</v>
      </c>
      <c r="V41" s="127">
        <v>2.6262824001346378E-9</v>
      </c>
      <c r="W41" s="128">
        <v>2.5692682345237155E-9</v>
      </c>
      <c r="X41" s="128">
        <f t="shared" si="0"/>
        <v>2.6223600312891791E-9</v>
      </c>
      <c r="Y41" s="139">
        <f t="shared" si="1"/>
        <v>0.18269178106401959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1.17071946067E-2</v>
      </c>
      <c r="J42" s="109">
        <v>2.4458336597455445E-9</v>
      </c>
      <c r="K42" s="109">
        <v>1.8864907071748991E-10</v>
      </c>
      <c r="L42" s="152">
        <v>2.428945225140926E-9</v>
      </c>
      <c r="N42" s="18">
        <v>1.9037137811919218E-6</v>
      </c>
      <c r="O42" s="18">
        <v>1.1514549607846696E-10</v>
      </c>
      <c r="P42" s="18">
        <v>3.8247147431071527E-8</v>
      </c>
      <c r="Q42" s="28">
        <v>5.5850909765141559</v>
      </c>
      <c r="R42" s="60">
        <v>148.89823528472729</v>
      </c>
      <c r="S42" s="57">
        <v>2.1086306041054061E-6</v>
      </c>
      <c r="U42" s="127">
        <v>2.4928272429889308E-9</v>
      </c>
      <c r="V42" s="127">
        <v>2.428945225140926E-9</v>
      </c>
      <c r="W42" s="128">
        <v>2.3506492373511736E-9</v>
      </c>
      <c r="X42" s="128">
        <f t="shared" si="0"/>
        <v>2.4253417326554891E-9</v>
      </c>
      <c r="Y42" s="139">
        <f t="shared" si="1"/>
        <v>1.1799300550181262E-2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1.18242665528E-2</v>
      </c>
      <c r="J43" s="109">
        <v>2.2953278882771049E-9</v>
      </c>
      <c r="K43" s="109">
        <v>1.8608579430244997E-10</v>
      </c>
      <c r="L43" s="152">
        <v>2.2207643284570362E-9</v>
      </c>
      <c r="N43" s="18">
        <v>1.888315687591487E-6</v>
      </c>
      <c r="O43" s="18">
        <v>1.2245888467658885E-10</v>
      </c>
      <c r="P43" s="18">
        <v>4.055965075276417E-8</v>
      </c>
      <c r="Q43" s="28">
        <v>6.2171030000750971</v>
      </c>
      <c r="R43" s="60">
        <v>148.89823528472729</v>
      </c>
      <c r="S43" s="57">
        <v>2.1047849695195062E-6</v>
      </c>
      <c r="U43" s="127">
        <v>2.3040937381841543E-9</v>
      </c>
      <c r="V43" s="127">
        <v>2.2207643284570362E-9</v>
      </c>
      <c r="W43" s="128">
        <v>2.124986360308179E-9</v>
      </c>
      <c r="X43" s="128">
        <f t="shared" si="0"/>
        <v>2.2176521888516017E-9</v>
      </c>
      <c r="Y43" s="139">
        <f t="shared" si="1"/>
        <v>0.174238411842222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1.19425092183E-2</v>
      </c>
      <c r="J44" s="109">
        <v>2.1381791416033172E-9</v>
      </c>
      <c r="K44" s="109">
        <v>1.7558797565475475E-10</v>
      </c>
      <c r="L44" s="152">
        <v>2.0076198541814461E-9</v>
      </c>
      <c r="N44" s="18">
        <v>1.8731081324629293E-6</v>
      </c>
      <c r="O44" s="18">
        <v>1.2968177623501939E-10</v>
      </c>
      <c r="P44" s="18">
        <v>4.2843538788658475E-8</v>
      </c>
      <c r="Q44" s="28">
        <v>7.1998413754810038</v>
      </c>
      <c r="R44" s="60">
        <v>152.74640929066035</v>
      </c>
      <c r="S44" s="57">
        <v>2.1047849695195062E-6</v>
      </c>
      <c r="U44" s="127">
        <v>2.1066231770055235E-9</v>
      </c>
      <c r="V44" s="127">
        <v>2.0076198541814461E-9</v>
      </c>
      <c r="W44" s="128">
        <v>1.8988262283822809E-9</v>
      </c>
      <c r="X44" s="128">
        <f t="shared" si="0"/>
        <v>2.005172278437674E-9</v>
      </c>
      <c r="Y44" s="139">
        <f t="shared" si="1"/>
        <v>0.57379737690311583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1.2061934310500001E-2</v>
      </c>
      <c r="J45" s="109">
        <v>2.3670741246855376E-9</v>
      </c>
      <c r="K45" s="109">
        <v>1.9077647307404666E-10</v>
      </c>
      <c r="L45" s="152">
        <v>1.7954102772024827E-9</v>
      </c>
      <c r="N45" s="18">
        <v>1.8582863350897151E-6</v>
      </c>
      <c r="O45" s="18">
        <v>1.3672145054313472E-10</v>
      </c>
      <c r="P45" s="18">
        <v>4.5069493283313893E-8</v>
      </c>
      <c r="Q45" s="28">
        <v>8.8473365623212761</v>
      </c>
      <c r="R45" s="60">
        <v>152.74640929066035</v>
      </c>
      <c r="S45" s="57">
        <v>2.1002294838886542E-6</v>
      </c>
      <c r="U45" s="127">
        <v>1.9057335773274514E-9</v>
      </c>
      <c r="V45" s="127">
        <v>1.7954102772024827E-9</v>
      </c>
      <c r="W45" s="128">
        <v>1.6785984715093567E-9</v>
      </c>
      <c r="X45" s="128">
        <f t="shared" si="0"/>
        <v>1.7937881508104433E-9</v>
      </c>
      <c r="Y45" s="139">
        <f t="shared" si="1"/>
        <v>9.0301091848344992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1.2182553653599999E-2</v>
      </c>
      <c r="J46" s="109">
        <v>1.658480120004023E-9</v>
      </c>
      <c r="K46" s="109">
        <v>1.5511101695934907E-10</v>
      </c>
      <c r="L46" s="152">
        <v>1.5898760208705106E-9</v>
      </c>
      <c r="N46" s="18">
        <v>1.8442418998094763E-6</v>
      </c>
      <c r="O46" s="18">
        <v>1.4339191349204541E-10</v>
      </c>
      <c r="P46" s="18">
        <v>4.717870264907152E-8</v>
      </c>
      <c r="Q46" s="28">
        <v>12.075491632936281</v>
      </c>
      <c r="R46" s="60">
        <v>156.59458329659341</v>
      </c>
      <c r="S46" s="57">
        <v>2.1002294838886542E-6</v>
      </c>
      <c r="U46" s="127">
        <v>1.7067204454668985E-9</v>
      </c>
      <c r="V46" s="127">
        <v>1.5898760208705106E-9</v>
      </c>
      <c r="W46" s="128">
        <v>1.4703842049143341E-9</v>
      </c>
      <c r="X46" s="128">
        <f t="shared" si="0"/>
        <v>1.5892141730305634E-9</v>
      </c>
      <c r="Y46" s="139">
        <f t="shared" si="1"/>
        <v>0.19941336483362337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1.2304379190100001E-2</v>
      </c>
      <c r="J47" s="109">
        <v>1.5613500827139136E-9</v>
      </c>
      <c r="K47" s="109">
        <v>1.5008527064286507E-10</v>
      </c>
      <c r="L47" s="152">
        <v>1.3964049195443383E-9</v>
      </c>
      <c r="N47" s="18">
        <v>1.8318302462983805E-6</v>
      </c>
      <c r="O47" s="18">
        <v>1.4928687994875822E-10</v>
      </c>
      <c r="P47" s="18">
        <v>4.9042698979844353E-8</v>
      </c>
      <c r="Q47" s="28">
        <v>21.699818784629841</v>
      </c>
      <c r="R47" s="60">
        <v>156.59458329659341</v>
      </c>
      <c r="S47" s="57">
        <v>2.0949404193364028E-6</v>
      </c>
      <c r="U47" s="127">
        <v>1.51470560174383E-9</v>
      </c>
      <c r="V47" s="127">
        <v>1.3964049195443383E-9</v>
      </c>
      <c r="W47" s="128">
        <v>1.2796815368564919E-9</v>
      </c>
      <c r="X47" s="128">
        <f t="shared" si="0"/>
        <v>1.3967992444222497E-9</v>
      </c>
      <c r="Y47" s="139">
        <f t="shared" si="1"/>
        <v>1.2020542071889888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1.2427422981999999E-2</v>
      </c>
      <c r="J48" s="109">
        <v>1.3811469011619226E-9</v>
      </c>
      <c r="K48" s="109">
        <v>1.4156557589172719E-10</v>
      </c>
      <c r="L48" s="152">
        <v>1.2198387397336439E-9</v>
      </c>
      <c r="N48" s="18">
        <v>1.8232506643893948E-6</v>
      </c>
      <c r="O48" s="18">
        <v>1.5336178805998422E-10</v>
      </c>
      <c r="P48" s="18">
        <v>5.0331190411192935E-8</v>
      </c>
      <c r="Q48" s="28">
        <v>29.141294288994079</v>
      </c>
      <c r="R48" s="60">
        <v>160.44275730252647</v>
      </c>
      <c r="S48" s="57">
        <v>2.0949404193364028E-6</v>
      </c>
      <c r="U48" s="127">
        <v>1.334473938288857E-9</v>
      </c>
      <c r="V48" s="127">
        <v>1.2198387397336439E-9</v>
      </c>
      <c r="W48" s="128">
        <v>1.1111913085531798E-9</v>
      </c>
      <c r="X48" s="128">
        <f t="shared" si="0"/>
        <v>1.2213356815773311E-9</v>
      </c>
      <c r="Y48" s="139">
        <f t="shared" si="1"/>
        <v>1.2743807761582724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1.25516972118E-2</v>
      </c>
      <c r="J49" s="109">
        <v>1.3020275574374484E-9</v>
      </c>
      <c r="K49" s="109">
        <v>1.3562423871179328E-10</v>
      </c>
      <c r="L49" s="152">
        <v>1.0642985904115086E-9</v>
      </c>
      <c r="N49" s="18">
        <v>1.8220651954034354E-6</v>
      </c>
      <c r="O49" s="18">
        <v>1.5392483148537927E-10</v>
      </c>
      <c r="P49" s="18">
        <v>5.0509225500401457E-8</v>
      </c>
      <c r="Q49" s="28">
        <v>857.07610728015868</v>
      </c>
      <c r="R49" s="60">
        <v>160.44275730252647</v>
      </c>
      <c r="S49" s="57">
        <v>2.0888726134333354E-6</v>
      </c>
      <c r="U49" s="127">
        <v>1.1703130851056807E-9</v>
      </c>
      <c r="V49" s="127">
        <v>1.0642985904115086E-9</v>
      </c>
      <c r="W49" s="128">
        <v>9.6864270962316728E-10</v>
      </c>
      <c r="X49" s="128">
        <f t="shared" si="0"/>
        <v>1.0668882438879663E-9</v>
      </c>
      <c r="Y49" s="139">
        <f t="shared" si="1"/>
        <v>3.0059092523282813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1.26772141839E-2</v>
      </c>
      <c r="J50" s="109">
        <v>1.0878020428750433E-9</v>
      </c>
      <c r="K50" s="109">
        <v>1.2736603688997493E-10</v>
      </c>
      <c r="L50" s="152">
        <v>9.3304394573123698E-10</v>
      </c>
      <c r="N50" s="18">
        <v>1.8182382778520881E-6</v>
      </c>
      <c r="O50" s="18">
        <v>1.5392483148537927E-10</v>
      </c>
      <c r="P50" s="18">
        <v>5.0509225500401457E-8</v>
      </c>
      <c r="Q50" s="28">
        <v>3.4421631761482474</v>
      </c>
      <c r="R50" s="60">
        <v>164.29093130845953</v>
      </c>
      <c r="S50" s="57">
        <v>2.0888726134333354E-6</v>
      </c>
      <c r="U50" s="127">
        <v>1.0258696098621109E-9</v>
      </c>
      <c r="V50" s="127">
        <v>9.3304394573123698E-10</v>
      </c>
      <c r="W50" s="128">
        <v>8.5467273052291212E-10</v>
      </c>
      <c r="X50" s="128">
        <f t="shared" si="0"/>
        <v>9.3665755796187437E-10</v>
      </c>
      <c r="Y50" s="139">
        <f t="shared" si="1"/>
        <v>1.4082421489684025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1.28039863258E-2</v>
      </c>
      <c r="J51" s="109">
        <v>8.8754328774710607E-10</v>
      </c>
      <c r="K51" s="109">
        <v>1.1577636445978023E-10</v>
      </c>
      <c r="L51" s="152">
        <v>8.2837554305105266E-10</v>
      </c>
      <c r="N51" s="18">
        <v>1.7905417687239747E-6</v>
      </c>
      <c r="O51" s="18">
        <v>1.5392483148537927E-10</v>
      </c>
      <c r="P51" s="18">
        <v>5.0509225500401457E-8</v>
      </c>
      <c r="Q51" s="28">
        <v>2.563177750747776</v>
      </c>
      <c r="R51" s="60">
        <v>164.29093130845953</v>
      </c>
      <c r="S51" s="57">
        <v>2.0819907674412171E-6</v>
      </c>
      <c r="U51" s="127">
        <v>9.0403287349640735E-10</v>
      </c>
      <c r="V51" s="127">
        <v>8.2837554305105266E-10</v>
      </c>
      <c r="W51" s="128">
        <v>7.7076654728455832E-10</v>
      </c>
      <c r="X51" s="128">
        <f t="shared" si="0"/>
        <v>8.3288762672076777E-10</v>
      </c>
      <c r="Y51" s="139">
        <f t="shared" si="1"/>
        <v>0.22285915854429919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1.2932026189000001E-2</v>
      </c>
      <c r="J52" s="109">
        <v>7.0222907895445125E-10</v>
      </c>
      <c r="K52" s="109">
        <v>1.0748379075210168E-10</v>
      </c>
      <c r="L52" s="152">
        <v>7.513131674149448E-10</v>
      </c>
      <c r="N52" s="18">
        <v>1.7504746094600699E-6</v>
      </c>
      <c r="O52" s="18">
        <v>1.5392483148537927E-10</v>
      </c>
      <c r="P52" s="18">
        <v>5.0509225500401457E-8</v>
      </c>
      <c r="Q52" s="28">
        <v>1.4263543760469788</v>
      </c>
      <c r="R52" s="60">
        <v>168.13910531439259</v>
      </c>
      <c r="S52" s="57">
        <v>2.0819907674412171E-6</v>
      </c>
      <c r="U52" s="127">
        <v>8.0655172875586486E-10</v>
      </c>
      <c r="V52" s="127">
        <v>7.513131674149448E-10</v>
      </c>
      <c r="W52" s="128">
        <v>7.1701902114703765E-10</v>
      </c>
      <c r="X52" s="128">
        <f t="shared" si="0"/>
        <v>7.56549271183198E-10</v>
      </c>
      <c r="Y52" s="139">
        <f t="shared" si="1"/>
        <v>0.25540926468019359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1.3061346450899999E-2</v>
      </c>
      <c r="J53" s="109">
        <v>6.2777516992683408E-10</v>
      </c>
      <c r="K53" s="109">
        <v>9.8680450674678134E-11</v>
      </c>
      <c r="L53" s="152">
        <v>7.0275063082783697E-10</v>
      </c>
      <c r="N53" s="18">
        <v>1.7051365225853541E-6</v>
      </c>
      <c r="O53" s="18">
        <v>1.5392483148537927E-10</v>
      </c>
      <c r="P53" s="18">
        <v>5.0509225500401457E-8</v>
      </c>
      <c r="Q53" s="28">
        <v>1.0450454197332617</v>
      </c>
      <c r="R53" s="60">
        <v>168.13910531439259</v>
      </c>
      <c r="S53" s="57">
        <v>2.0742744903301177E-6</v>
      </c>
      <c r="U53" s="127">
        <v>7.3525679128608157E-10</v>
      </c>
      <c r="V53" s="127">
        <v>7.0275063082783697E-10</v>
      </c>
      <c r="W53" s="128">
        <v>6.9321220184454608E-10</v>
      </c>
      <c r="X53" s="128">
        <f t="shared" si="0"/>
        <v>7.0849256369657537E-10</v>
      </c>
      <c r="Y53" s="139">
        <f t="shared" si="1"/>
        <v>0.66907070228584054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1.31919599154E-2</v>
      </c>
      <c r="J54" s="109">
        <v>7.246879320645942E-10</v>
      </c>
      <c r="K54" s="109">
        <v>1.0615587024369815E-10</v>
      </c>
      <c r="L54" s="152">
        <v>6.8167978367100607E-10</v>
      </c>
      <c r="N54" s="18">
        <v>1.6572889642081416E-6</v>
      </c>
      <c r="O54" s="18">
        <v>1.5392483148537927E-10</v>
      </c>
      <c r="P54" s="18">
        <v>5.0509225500401457E-8</v>
      </c>
      <c r="Q54" s="28">
        <v>0.8504436560372397</v>
      </c>
      <c r="R54" s="60">
        <v>171.98727932032565</v>
      </c>
      <c r="S54" s="57">
        <v>2.0742744903301177E-6</v>
      </c>
      <c r="U54" s="127">
        <v>6.9008049629051404E-10</v>
      </c>
      <c r="V54" s="127">
        <v>6.8167978367100607E-10</v>
      </c>
      <c r="W54" s="128">
        <v>6.9728984210635142E-10</v>
      </c>
      <c r="X54" s="128">
        <f t="shared" si="0"/>
        <v>6.8768247643471935E-10</v>
      </c>
      <c r="Y54" s="139">
        <f t="shared" si="1"/>
        <v>0.12151880268318678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1.33238795146E-2</v>
      </c>
      <c r="J55" s="109">
        <v>7.7066257131907026E-10</v>
      </c>
      <c r="K55" s="109">
        <v>1.0902257541284266E-10</v>
      </c>
      <c r="L55" s="152">
        <v>6.8654787566628862E-10</v>
      </c>
      <c r="N55" s="18">
        <v>1.608196107015036E-6</v>
      </c>
      <c r="O55" s="18">
        <v>1.5392483148537927E-10</v>
      </c>
      <c r="P55" s="18">
        <v>5.0509225500401457E-8</v>
      </c>
      <c r="Q55" s="28">
        <v>0.73436281851289054</v>
      </c>
      <c r="R55" s="60">
        <v>171.98727932032565</v>
      </c>
      <c r="S55" s="57">
        <v>2.0657210544227646E-6</v>
      </c>
      <c r="U55" s="127">
        <v>6.7046400948871631E-10</v>
      </c>
      <c r="V55" s="127">
        <v>6.8654787566628862E-10</v>
      </c>
      <c r="W55" s="128">
        <v>7.2664367106937082E-10</v>
      </c>
      <c r="X55" s="128">
        <f t="shared" si="0"/>
        <v>6.9255085797266609E-10</v>
      </c>
      <c r="Y55" s="139">
        <f t="shared" si="1"/>
        <v>0.51333331884204514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1.3457118309700001E-2</v>
      </c>
      <c r="J56" s="109">
        <v>7.1702357340753678E-10</v>
      </c>
      <c r="K56" s="109">
        <v>1.0877717654134192E-10</v>
      </c>
      <c r="L56" s="152">
        <v>7.1503404411475223E-10</v>
      </c>
      <c r="N56" s="18">
        <v>1.5584881556854579E-6</v>
      </c>
      <c r="O56" s="18">
        <v>1.5392483148537927E-10</v>
      </c>
      <c r="P56" s="18">
        <v>5.0509225500401457E-8</v>
      </c>
      <c r="Q56" s="28">
        <v>0.6597096993751439</v>
      </c>
      <c r="R56" s="60">
        <v>175.83545332625872</v>
      </c>
      <c r="S56" s="57">
        <v>2.0657210544227646E-6</v>
      </c>
      <c r="U56" s="127">
        <v>6.7506570707036734E-10</v>
      </c>
      <c r="V56" s="127">
        <v>7.1503404411475223E-10</v>
      </c>
      <c r="W56" s="128">
        <v>7.7796432413863729E-10</v>
      </c>
      <c r="X56" s="128">
        <f t="shared" si="0"/>
        <v>7.2077452985962724E-10</v>
      </c>
      <c r="Y56" s="139">
        <f t="shared" si="1"/>
        <v>1.1890728974685277E-3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1.3591689492799999E-2</v>
      </c>
      <c r="J57" s="109">
        <v>7.7405362207091504E-10</v>
      </c>
      <c r="K57" s="109">
        <v>1.0959425115239924E-10</v>
      </c>
      <c r="L57" s="152">
        <v>7.6417747204115795E-10</v>
      </c>
      <c r="N57" s="18">
        <v>1.5084906230346693E-6</v>
      </c>
      <c r="O57" s="18">
        <v>1.5392483148537927E-10</v>
      </c>
      <c r="P57" s="18">
        <v>5.0509225500401457E-8</v>
      </c>
      <c r="Q57" s="28">
        <v>0.61023171933257703</v>
      </c>
      <c r="R57" s="60">
        <v>175.83545332625872</v>
      </c>
      <c r="S57" s="57">
        <v>2.056347521373453E-6</v>
      </c>
      <c r="U57" s="127">
        <v>7.0184962305506594E-10</v>
      </c>
      <c r="V57" s="127">
        <v>7.6417747204115795E-10</v>
      </c>
      <c r="W57" s="128">
        <v>8.4740546711175885E-10</v>
      </c>
      <c r="X57" s="128">
        <f t="shared" si="0"/>
        <v>7.694025085622851E-10</v>
      </c>
      <c r="Y57" s="139">
        <f t="shared" si="1"/>
        <v>1.8011020886117314E-3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1.37276063878E-2</v>
      </c>
      <c r="J58" s="109">
        <v>8.9056869961237857E-10</v>
      </c>
      <c r="K58" s="109">
        <v>1.1427285240439744E-10</v>
      </c>
      <c r="L58" s="152">
        <v>8.3051485025196506E-10</v>
      </c>
      <c r="N58" s="18">
        <v>1.4583703207435895E-6</v>
      </c>
      <c r="O58" s="18">
        <v>1.5392483148537927E-10</v>
      </c>
      <c r="P58" s="18">
        <v>5.0509225500401457E-8</v>
      </c>
      <c r="Q58" s="28">
        <v>0.57779096573949484</v>
      </c>
      <c r="R58" s="60">
        <v>179.68362733219178</v>
      </c>
      <c r="S58" s="57">
        <v>2.056347521373453E-6</v>
      </c>
      <c r="U58" s="127">
        <v>7.4819038090702289E-10</v>
      </c>
      <c r="V58" s="127">
        <v>8.3051485025196506E-10</v>
      </c>
      <c r="W58" s="128">
        <v>9.3074765479872122E-10</v>
      </c>
      <c r="X58" s="128">
        <f t="shared" si="0"/>
        <v>8.3499193405241856E-10</v>
      </c>
      <c r="Y58" s="139">
        <f t="shared" si="1"/>
        <v>0.2365377167223513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1.3864882451600001E-2</v>
      </c>
      <c r="J59" s="109">
        <v>1.0609157118414856E-9</v>
      </c>
      <c r="K59" s="109">
        <v>1.2090247018908171E-10</v>
      </c>
      <c r="L59" s="152">
        <v>9.1021988111963494E-10</v>
      </c>
      <c r="N59" s="18">
        <v>1.4082074914818771E-6</v>
      </c>
      <c r="O59" s="18">
        <v>1.5392483148537927E-10</v>
      </c>
      <c r="P59" s="18">
        <v>5.0509225500401457E-8</v>
      </c>
      <c r="Q59" s="28">
        <v>0.55803565126484422</v>
      </c>
      <c r="R59" s="60">
        <v>179.68362733219178</v>
      </c>
      <c r="S59" s="57">
        <v>2.0461921488530209E-6</v>
      </c>
      <c r="U59" s="127">
        <v>8.1098779725824971E-10</v>
      </c>
      <c r="V59" s="127">
        <v>9.1021988111963494E-10</v>
      </c>
      <c r="W59" s="128">
        <v>1.0235554040281275E-9</v>
      </c>
      <c r="X59" s="128">
        <f t="shared" si="0"/>
        <v>9.1374574088141173E-10</v>
      </c>
      <c r="Y59" s="139">
        <f t="shared" si="1"/>
        <v>1.4817265409041795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1.40035312762E-2</v>
      </c>
      <c r="J60" s="109">
        <v>9.8694240885749844E-10</v>
      </c>
      <c r="K60" s="109">
        <v>1.1960762027986326E-10</v>
      </c>
      <c r="L60" s="152">
        <v>9.9923945602573157E-10</v>
      </c>
      <c r="N60" s="18">
        <v>1.3580348489587144E-6</v>
      </c>
      <c r="O60" s="18">
        <v>1.5392483148537927E-10</v>
      </c>
      <c r="P60" s="18">
        <v>5.0509225500401457E-8</v>
      </c>
      <c r="Q60" s="28">
        <v>0.54866159745868937</v>
      </c>
      <c r="R60" s="60">
        <v>183.53180133812484</v>
      </c>
      <c r="S60" s="57">
        <v>2.0461921488530209E-6</v>
      </c>
      <c r="U60" s="127">
        <v>8.8678537335409687E-10</v>
      </c>
      <c r="V60" s="127">
        <v>9.9923945602573157E-10</v>
      </c>
      <c r="W60" s="128">
        <v>1.1213235512032396E-9</v>
      </c>
      <c r="X60" s="128">
        <f t="shared" si="0"/>
        <v>1.0016469591521999E-9</v>
      </c>
      <c r="Y60" s="139">
        <f t="shared" si="1"/>
        <v>1.5114221927549895E-2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1.41435665889E-2</v>
      </c>
      <c r="J61" s="109">
        <v>1.2695228109048037E-9</v>
      </c>
      <c r="K61" s="109">
        <v>1.3074931968027663E-10</v>
      </c>
      <c r="L61" s="152">
        <v>1.0934230436807356E-9</v>
      </c>
      <c r="N61" s="18">
        <v>1.3225106023902244E-6</v>
      </c>
      <c r="O61" s="18">
        <v>1.5392462373247677E-10</v>
      </c>
      <c r="P61" s="18">
        <v>5.050914391620612E-8</v>
      </c>
      <c r="Q61" s="28">
        <v>0.22727272727272727</v>
      </c>
      <c r="R61" s="60">
        <v>183.53180133812484</v>
      </c>
      <c r="S61" s="57">
        <v>2.0353149248701639E-6</v>
      </c>
      <c r="U61" s="127">
        <v>9.7188821974049439E-10</v>
      </c>
      <c r="V61" s="127">
        <v>1.0934230436807356E-9</v>
      </c>
      <c r="W61" s="128">
        <v>1.2196111619213746E-9</v>
      </c>
      <c r="X61" s="128">
        <f t="shared" si="0"/>
        <v>1.0945863672558351E-9</v>
      </c>
      <c r="Y61" s="139">
        <f t="shared" si="1"/>
        <v>1.7901182125015414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1.42850022548E-2</v>
      </c>
      <c r="J62" s="109">
        <v>1.0940584459337552E-9</v>
      </c>
      <c r="K62" s="109">
        <v>1.2441133664659461E-10</v>
      </c>
      <c r="L62" s="152">
        <v>1.1886434990767904E-9</v>
      </c>
      <c r="N62" s="18">
        <v>1.2912662063765799E-6</v>
      </c>
      <c r="O62" s="18">
        <v>1.5392438425026633E-10</v>
      </c>
      <c r="P62" s="18">
        <v>5.0509049871967987E-8</v>
      </c>
      <c r="Q62" s="28">
        <v>0.45454545454545453</v>
      </c>
      <c r="R62" s="60">
        <v>187.3799753440579</v>
      </c>
      <c r="S62" s="57">
        <v>2.0353149248701639E-6</v>
      </c>
      <c r="U62" s="127">
        <v>1.0624773552539529E-9</v>
      </c>
      <c r="V62" s="127">
        <v>1.1886434990767904E-9</v>
      </c>
      <c r="W62" s="128">
        <v>1.3141628855570721E-9</v>
      </c>
      <c r="X62" s="128">
        <f t="shared" si="0"/>
        <v>1.1884818097411514E-9</v>
      </c>
      <c r="Y62" s="139">
        <f t="shared" si="1"/>
        <v>0.57602193781452871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1.44278522774E-2</v>
      </c>
      <c r="J63" s="109">
        <v>1.1917802503095912E-9</v>
      </c>
      <c r="K63" s="109">
        <v>8.8846406546855683E-11</v>
      </c>
      <c r="L63" s="152">
        <v>1.2809087697653931E-9</v>
      </c>
      <c r="N63" s="18">
        <v>1.2500644983275659E-6</v>
      </c>
      <c r="O63" s="18">
        <v>1.5392363528405696E-10</v>
      </c>
      <c r="P63" s="18">
        <v>5.0508755754269556E-8</v>
      </c>
      <c r="Q63" s="28">
        <v>0.45454545454545453</v>
      </c>
      <c r="R63" s="60">
        <v>187.3799753440579</v>
      </c>
      <c r="S63" s="57">
        <v>2.0237971195577083E-6</v>
      </c>
      <c r="U63" s="127">
        <v>1.1547185766310145E-9</v>
      </c>
      <c r="V63" s="127">
        <v>1.2809087697653931E-9</v>
      </c>
      <c r="W63" s="128">
        <v>1.4010186185465424E-9</v>
      </c>
      <c r="X63" s="128">
        <f t="shared" si="0"/>
        <v>1.2793886836770858E-9</v>
      </c>
      <c r="Y63" s="139">
        <f t="shared" si="1"/>
        <v>0.97232643713732914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1.4572130800099999E-2</v>
      </c>
      <c r="J64" s="109">
        <v>1.2146587589213942E-9</v>
      </c>
      <c r="K64" s="109">
        <v>8.9261374610011247E-11</v>
      </c>
      <c r="L64" s="152">
        <v>1.3664647881782028E-9</v>
      </c>
      <c r="N64" s="18">
        <v>1.2098158708612479E-6</v>
      </c>
      <c r="O64" s="18">
        <v>1.5392176934880552E-10</v>
      </c>
      <c r="P64" s="18">
        <v>5.0508023004814749E-8</v>
      </c>
      <c r="Q64" s="28">
        <v>0.45454545454545453</v>
      </c>
      <c r="R64" s="60">
        <v>191.22814934999096</v>
      </c>
      <c r="S64" s="57">
        <v>2.0237971195577083E-6</v>
      </c>
      <c r="U64" s="127">
        <v>1.2448650966153977E-9</v>
      </c>
      <c r="V64" s="127">
        <v>1.3664647881782028E-9</v>
      </c>
      <c r="W64" s="128">
        <v>1.4766127060928885E-9</v>
      </c>
      <c r="X64" s="128">
        <f t="shared" si="0"/>
        <v>1.363601844766173E-9</v>
      </c>
      <c r="Y64" s="139">
        <f t="shared" si="1"/>
        <v>2.7842841405892198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1.4717852108099999E-2</v>
      </c>
      <c r="J65" s="109">
        <v>1.4255231021906392E-9</v>
      </c>
      <c r="K65" s="109">
        <v>9.6005389870814138E-11</v>
      </c>
      <c r="L65" s="152">
        <v>1.4418901793137929E-9</v>
      </c>
      <c r="N65" s="18">
        <v>1.1709739419417849E-6</v>
      </c>
      <c r="O65" s="18">
        <v>1.5391732796236246E-10</v>
      </c>
      <c r="P65" s="18">
        <v>5.0506278880257284E-8</v>
      </c>
      <c r="Q65" s="28">
        <v>0.45454545454545453</v>
      </c>
      <c r="R65" s="60">
        <v>191.22814934999096</v>
      </c>
      <c r="S65" s="57">
        <v>2.0117398033017553E-6</v>
      </c>
      <c r="U65" s="127">
        <v>1.3293538144178186E-9</v>
      </c>
      <c r="V65" s="127">
        <v>1.4418901793137929E-9</v>
      </c>
      <c r="W65" s="128">
        <v>1.5378637405406411E-9</v>
      </c>
      <c r="X65" s="128">
        <f t="shared" si="0"/>
        <v>1.4377494783965113E-9</v>
      </c>
      <c r="Y65" s="139">
        <f t="shared" si="1"/>
        <v>1.6218260753575076E-2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1.4865030629200001E-2</v>
      </c>
      <c r="J66" s="109">
        <v>1.5680626942624955E-9</v>
      </c>
      <c r="K66" s="109">
        <v>9.8813640288119299E-11</v>
      </c>
      <c r="L66" s="152">
        <v>1.5041833378440998E-9</v>
      </c>
      <c r="N66" s="18">
        <v>1.1339773201121999E-6</v>
      </c>
      <c r="O66" s="18">
        <v>1.5390722782781785E-10</v>
      </c>
      <c r="P66" s="18">
        <v>5.0502312575384026E-8</v>
      </c>
      <c r="Q66" s="28">
        <v>0.45454545454545453</v>
      </c>
      <c r="R66" s="60">
        <v>195.07632335592402</v>
      </c>
      <c r="S66" s="57">
        <v>2.0117398033017553E-6</v>
      </c>
      <c r="U66" s="127">
        <v>1.4048954017326406E-9</v>
      </c>
      <c r="V66" s="127">
        <v>1.5041833378440998E-9</v>
      </c>
      <c r="W66" s="128">
        <v>1.5822554325918952E-9</v>
      </c>
      <c r="X66" s="128">
        <f t="shared" si="0"/>
        <v>1.4988793775031837E-9</v>
      </c>
      <c r="Y66" s="139">
        <f t="shared" si="1"/>
        <v>0.49019509350242912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1.50136809355E-2</v>
      </c>
      <c r="J67" s="109">
        <v>1.6615628301776273E-9</v>
      </c>
      <c r="K67" s="109">
        <v>1.0002684181101229E-10</v>
      </c>
      <c r="L67" s="152">
        <v>1.5508420154006885E-9</v>
      </c>
      <c r="N67" s="18">
        <v>1.0992655912283237E-6</v>
      </c>
      <c r="O67" s="18">
        <v>1.5388528355918637E-10</v>
      </c>
      <c r="P67" s="18">
        <v>5.0493695100118872E-8</v>
      </c>
      <c r="Q67" s="28">
        <v>0.45454545454545453</v>
      </c>
      <c r="R67" s="60">
        <v>195.07632335592402</v>
      </c>
      <c r="S67" s="57">
        <v>1.9992613473998937E-6</v>
      </c>
      <c r="U67" s="127">
        <v>1.4685583831478676E-9</v>
      </c>
      <c r="V67" s="127">
        <v>1.5508420154006885E-9</v>
      </c>
      <c r="W67" s="128">
        <v>1.6079081699012801E-9</v>
      </c>
      <c r="X67" s="128">
        <f t="shared" ref="X67:X130" si="2">(U67+2*V67+W67)/4</f>
        <v>1.5445376459626313E-9</v>
      </c>
      <c r="Y67" s="139">
        <f t="shared" ref="Y67:Y130" si="3">(J67-X67)*(J67-X67)/(K67*K67)</f>
        <v>1.3687544784583063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1.5163817744900001E-2</v>
      </c>
      <c r="J68" s="109">
        <v>1.6440897542326706E-9</v>
      </c>
      <c r="K68" s="109">
        <v>1.0060307261781374E-10</v>
      </c>
      <c r="L68" s="152">
        <v>1.5799348935188201E-9</v>
      </c>
      <c r="N68" s="18">
        <v>1.0673165945351783E-6</v>
      </c>
      <c r="O68" s="18">
        <v>1.5383973244666914E-10</v>
      </c>
      <c r="P68" s="18">
        <v>5.0475807259242999E-8</v>
      </c>
      <c r="Q68" s="28">
        <v>0.45454545454545453</v>
      </c>
      <c r="R68" s="60">
        <v>198.92449736185708</v>
      </c>
      <c r="S68" s="57">
        <v>1.9992613473998937E-6</v>
      </c>
      <c r="U68" s="127">
        <v>1.5178471005795331E-9</v>
      </c>
      <c r="V68" s="127">
        <v>1.5799348935188201E-9</v>
      </c>
      <c r="W68" s="128">
        <v>1.6136398663250858E-9</v>
      </c>
      <c r="X68" s="128">
        <f t="shared" si="2"/>
        <v>1.5728391884855649E-9</v>
      </c>
      <c r="Y68" s="139">
        <f t="shared" si="3"/>
        <v>0.50159609168784924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1.5315455922300001E-2</v>
      </c>
      <c r="J69" s="109">
        <v>1.7841227332778035E-9</v>
      </c>
      <c r="K69" s="109">
        <v>1.0595918120551583E-10</v>
      </c>
      <c r="L69" s="152">
        <v>1.5901638108984396E-9</v>
      </c>
      <c r="N69" s="18">
        <v>1.0387119420852871E-6</v>
      </c>
      <c r="O69" s="18">
        <v>1.5374939678812531E-10</v>
      </c>
      <c r="P69" s="18">
        <v>5.0440332606788841E-8</v>
      </c>
      <c r="Q69" s="28">
        <v>0.45454545454545453</v>
      </c>
      <c r="R69" s="60">
        <v>198.92449736185708</v>
      </c>
      <c r="S69" s="57">
        <v>1.9864939930934689E-6</v>
      </c>
      <c r="U69" s="127">
        <v>1.5507729491405936E-9</v>
      </c>
      <c r="V69" s="127">
        <v>1.5901638108984396E-9</v>
      </c>
      <c r="W69" s="128">
        <v>1.5990136890988822E-9</v>
      </c>
      <c r="X69" s="128">
        <f t="shared" si="2"/>
        <v>1.5825285650090887E-9</v>
      </c>
      <c r="Y69" s="139">
        <f t="shared" si="3"/>
        <v>3.6197513770896146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1.54686104815E-2</v>
      </c>
      <c r="J70" s="109">
        <v>1.9496453998300623E-9</v>
      </c>
      <c r="K70" s="109">
        <v>1.5578269685141805E-10</v>
      </c>
      <c r="L70" s="152">
        <v>1.5809144711304338E-9</v>
      </c>
      <c r="N70" s="18">
        <v>1.0142353430086302E-6</v>
      </c>
      <c r="O70" s="18">
        <v>1.5357823763804676E-10</v>
      </c>
      <c r="P70" s="18">
        <v>5.0373118712948229E-8</v>
      </c>
      <c r="Q70" s="28">
        <v>0.45454545454545453</v>
      </c>
      <c r="R70" s="60">
        <v>202.77267136779014</v>
      </c>
      <c r="S70" s="57">
        <v>1.9864939930934689E-6</v>
      </c>
      <c r="U70" s="127">
        <v>1.5659176295811138E-9</v>
      </c>
      <c r="V70" s="127">
        <v>1.5809144711304338E-9</v>
      </c>
      <c r="W70" s="128">
        <v>1.5643693655453507E-9</v>
      </c>
      <c r="X70" s="128">
        <f t="shared" si="2"/>
        <v>1.5730289843468332E-9</v>
      </c>
      <c r="Y70" s="139">
        <f t="shared" si="3"/>
        <v>5.8446708093958062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1.56232965864E-2</v>
      </c>
      <c r="J71" s="109">
        <v>1.8419971179770846E-9</v>
      </c>
      <c r="K71" s="109">
        <v>1.4705267755826974E-10</v>
      </c>
      <c r="L71" s="152">
        <v>1.5522926931428562E-9</v>
      </c>
      <c r="N71" s="18">
        <v>9.9500155020472269E-7</v>
      </c>
      <c r="O71" s="18">
        <v>1.5326841009825541E-10</v>
      </c>
      <c r="P71" s="18">
        <v>5.0251449989079967E-8</v>
      </c>
      <c r="Q71" s="28">
        <v>0.45454545454545453</v>
      </c>
      <c r="R71" s="60">
        <v>202.77267136779014</v>
      </c>
      <c r="S71" s="57">
        <v>1.9768140188657377E-6</v>
      </c>
      <c r="U71" s="127">
        <v>1.5624864649287253E-9</v>
      </c>
      <c r="V71" s="127">
        <v>1.5522926931428562E-9</v>
      </c>
      <c r="W71" s="128">
        <v>1.5108341534233924E-9</v>
      </c>
      <c r="X71" s="128">
        <f t="shared" si="2"/>
        <v>1.5444765011594576E-9</v>
      </c>
      <c r="Y71" s="139">
        <f t="shared" si="3"/>
        <v>4.0934383897821061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1.5779529552200001E-2</v>
      </c>
      <c r="J72" s="109">
        <v>1.6766361940583521E-9</v>
      </c>
      <c r="K72" s="109">
        <v>1.3750031406815979E-10</v>
      </c>
      <c r="L72" s="152">
        <v>1.505142697969879E-9</v>
      </c>
      <c r="N72" s="18">
        <v>9.8260143185214048E-7</v>
      </c>
      <c r="O72" s="18">
        <v>1.5273259210709308E-10</v>
      </c>
      <c r="P72" s="18">
        <v>5.0041035216867413E-8</v>
      </c>
      <c r="Q72" s="28">
        <v>0.45454545454545453</v>
      </c>
      <c r="R72" s="60">
        <v>204.69675837075667</v>
      </c>
      <c r="S72" s="57">
        <v>1.9768140188657377E-6</v>
      </c>
      <c r="U72" s="127">
        <v>1.5403491707951118E-9</v>
      </c>
      <c r="V72" s="127">
        <v>1.505142697969879E-9</v>
      </c>
      <c r="W72" s="128">
        <v>1.4403093370046437E-9</v>
      </c>
      <c r="X72" s="128">
        <f t="shared" si="2"/>
        <v>1.4977359759348785E-9</v>
      </c>
      <c r="Y72" s="139">
        <f t="shared" si="3"/>
        <v>1.6928339483777919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1.59373248477E-2</v>
      </c>
      <c r="J73" s="109">
        <v>1.5756774634823683E-9</v>
      </c>
      <c r="K73" s="109">
        <v>1.3819962005761989E-10</v>
      </c>
      <c r="L73" s="152">
        <v>1.4410436613728036E-9</v>
      </c>
      <c r="N73" s="18">
        <v>9.7923142274310405E-7</v>
      </c>
      <c r="O73" s="18">
        <v>1.5184729200633146E-10</v>
      </c>
      <c r="P73" s="18">
        <v>4.9693379441746038E-8</v>
      </c>
      <c r="Q73" s="28">
        <v>0.45454545454545453</v>
      </c>
      <c r="R73" s="60">
        <v>204.69675837075667</v>
      </c>
      <c r="S73" s="57">
        <v>1.9658084500916729E-6</v>
      </c>
      <c r="U73" s="127">
        <v>1.5000649433167004E-9</v>
      </c>
      <c r="V73" s="127">
        <v>1.4410436613728036E-9</v>
      </c>
      <c r="W73" s="128">
        <v>1.3554283904858278E-9</v>
      </c>
      <c r="X73" s="128">
        <f t="shared" si="2"/>
        <v>1.4343951641370339E-9</v>
      </c>
      <c r="Y73" s="139">
        <f t="shared" si="3"/>
        <v>1.0451095363718172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1.6096698096199999E-2</v>
      </c>
      <c r="J74" s="109">
        <v>1.5622906831194326E-9</v>
      </c>
      <c r="K74" s="109">
        <v>1.3363034050649145E-10</v>
      </c>
      <c r="L74" s="152">
        <v>1.3622809041460421E-9</v>
      </c>
      <c r="N74" s="18">
        <v>9.8775729377195817E-7</v>
      </c>
      <c r="O74" s="18">
        <v>1.5044983463714939E-10</v>
      </c>
      <c r="P74" s="18">
        <v>4.9144600418153815E-8</v>
      </c>
      <c r="Q74" s="28">
        <v>0.45454545454545453</v>
      </c>
      <c r="R74" s="60">
        <v>209.34171802502399</v>
      </c>
      <c r="S74" s="57">
        <v>1.9658084500916729E-6</v>
      </c>
      <c r="U74" s="127">
        <v>1.4428884352068974E-9</v>
      </c>
      <c r="V74" s="127">
        <v>1.3622809041460421E-9</v>
      </c>
      <c r="W74" s="128">
        <v>1.2594838058177447E-9</v>
      </c>
      <c r="X74" s="128">
        <f t="shared" si="2"/>
        <v>1.3567335123291816E-9</v>
      </c>
      <c r="Y74" s="139">
        <f t="shared" si="3"/>
        <v>2.3662199578750256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1.6257665077200001E-2</v>
      </c>
      <c r="J75" s="109">
        <v>1.4799012031362981E-9</v>
      </c>
      <c r="K75" s="109">
        <v>1.3761760362070101E-10</v>
      </c>
      <c r="L75" s="152">
        <v>1.271788707485786E-9</v>
      </c>
      <c r="N75" s="18">
        <v>1.0116503734811152E-6</v>
      </c>
      <c r="O75" s="18">
        <v>1.4834236768904425E-10</v>
      </c>
      <c r="P75" s="18">
        <v>4.8317001895623606E-8</v>
      </c>
      <c r="Q75" s="28">
        <v>0.45454545454545453</v>
      </c>
      <c r="R75" s="60">
        <v>209.34171802502399</v>
      </c>
      <c r="S75" s="57">
        <v>1.9502664085251133E-6</v>
      </c>
      <c r="U75" s="127">
        <v>1.3707532147788504E-9</v>
      </c>
      <c r="V75" s="127">
        <v>1.271788707485786E-9</v>
      </c>
      <c r="W75" s="128">
        <v>1.1563210222569968E-9</v>
      </c>
      <c r="X75" s="128">
        <f t="shared" si="2"/>
        <v>1.2676629130018549E-9</v>
      </c>
      <c r="Y75" s="139">
        <f t="shared" si="3"/>
        <v>2.378479946771352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1.6420241727999999E-2</v>
      </c>
      <c r="J76" s="109">
        <v>1.2246835123059745E-9</v>
      </c>
      <c r="K76" s="109">
        <v>1.160428623311792E-10</v>
      </c>
      <c r="L76" s="152">
        <v>1.1730628655306578E-9</v>
      </c>
      <c r="N76" s="18">
        <v>1.0547389116116569E-6</v>
      </c>
      <c r="O76" s="18">
        <v>1.4530598180669824E-10</v>
      </c>
      <c r="P76" s="18">
        <v>4.7124618559637941E-8</v>
      </c>
      <c r="Q76" s="28">
        <v>0.45454545454545453</v>
      </c>
      <c r="R76" s="60">
        <v>214.06603825770284</v>
      </c>
      <c r="S76" s="57">
        <v>1.9502664085251133E-6</v>
      </c>
      <c r="U76" s="127">
        <v>1.2862297178483967E-9</v>
      </c>
      <c r="V76" s="127">
        <v>1.1730628655306578E-9</v>
      </c>
      <c r="W76" s="128">
        <v>1.0501998739360761E-9</v>
      </c>
      <c r="X76" s="128">
        <f t="shared" si="2"/>
        <v>1.170638830711447E-9</v>
      </c>
      <c r="Y76" s="139">
        <f t="shared" si="3"/>
        <v>0.21690474852456082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1.6584444145200002E-2</v>
      </c>
      <c r="J77" s="109">
        <v>1.1024555087754137E-9</v>
      </c>
      <c r="K77" s="109">
        <v>1.1643355825932565E-10</v>
      </c>
      <c r="L77" s="152">
        <v>1.07004269577758E-9</v>
      </c>
      <c r="N77" s="18">
        <v>1.1207463981038847E-6</v>
      </c>
      <c r="O77" s="18">
        <v>1.4112645118160966E-10</v>
      </c>
      <c r="P77" s="18">
        <v>4.5483324316184636E-8</v>
      </c>
      <c r="Q77" s="28">
        <v>0.45454545454545453</v>
      </c>
      <c r="R77" s="60">
        <v>214.06603825770284</v>
      </c>
      <c r="S77" s="57">
        <v>1.9347274068246979E-6</v>
      </c>
      <c r="U77" s="127">
        <v>1.1924555496274441E-9</v>
      </c>
      <c r="V77" s="127">
        <v>1.07004269577758E-9</v>
      </c>
      <c r="W77" s="128">
        <v>9.456263538244055E-10</v>
      </c>
      <c r="X77" s="128">
        <f t="shared" si="2"/>
        <v>1.0695418237517524E-9</v>
      </c>
      <c r="Y77" s="139">
        <f t="shared" si="3"/>
        <v>7.9909180655821907E-2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1.67502885867E-2</v>
      </c>
      <c r="J78" s="109">
        <v>1.1602613901640707E-9</v>
      </c>
      <c r="K78" s="109">
        <v>1.1906387497669209E-10</v>
      </c>
      <c r="L78" s="152">
        <v>9.669642335638855E-10</v>
      </c>
      <c r="N78" s="18">
        <v>1.2126434267868568E-6</v>
      </c>
      <c r="O78" s="18">
        <v>1.3563011623289256E-10</v>
      </c>
      <c r="P78" s="18">
        <v>4.3324923356691892E-8</v>
      </c>
      <c r="Q78" s="28">
        <v>0.45454545454545453</v>
      </c>
      <c r="R78" s="60">
        <v>218.95760664319056</v>
      </c>
      <c r="S78" s="57">
        <v>1.9347274068246979E-6</v>
      </c>
      <c r="U78" s="127">
        <v>1.0930372722881741E-9</v>
      </c>
      <c r="V78" s="127">
        <v>9.669642335638855E-10</v>
      </c>
      <c r="W78" s="128">
        <v>8.4716007219008889E-10</v>
      </c>
      <c r="X78" s="128">
        <f t="shared" si="2"/>
        <v>9.6853145290150848E-10</v>
      </c>
      <c r="Y78" s="139">
        <f t="shared" si="3"/>
        <v>2.5931034016671188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1.6917791472599999E-2</v>
      </c>
      <c r="J79" s="109">
        <v>8.9575857398589567E-10</v>
      </c>
      <c r="K79" s="109">
        <v>1.0151093473516785E-10</v>
      </c>
      <c r="L79" s="152">
        <v>8.681885896278379E-10</v>
      </c>
      <c r="N79" s="18">
        <v>1.3319095898563891E-6</v>
      </c>
      <c r="O79" s="18">
        <v>1.2872462070995875E-10</v>
      </c>
      <c r="P79" s="18">
        <v>4.0613147545803174E-8</v>
      </c>
      <c r="Q79" s="28">
        <v>0.45454545454545453</v>
      </c>
      <c r="R79" s="60">
        <v>218.95760664319056</v>
      </c>
      <c r="S79" s="57">
        <v>1.9192015787566052E-6</v>
      </c>
      <c r="U79" s="127">
        <v>9.9192447482891796E-10</v>
      </c>
      <c r="V79" s="127">
        <v>8.681885896278379E-10</v>
      </c>
      <c r="W79" s="128">
        <v>7.5920530396096321E-10</v>
      </c>
      <c r="X79" s="128">
        <f t="shared" si="2"/>
        <v>8.7187673951138922E-10</v>
      </c>
      <c r="Y79" s="139">
        <f t="shared" si="3"/>
        <v>5.5348991750026867E-2</v>
      </c>
      <c r="AA79" s="73"/>
      <c r="AB79" s="176"/>
      <c r="AC79" s="176"/>
      <c r="AD79" s="176"/>
      <c r="AJ79" s="135"/>
    </row>
    <row r="80" spans="2:36" x14ac:dyDescent="0.35">
      <c r="I80" s="109">
        <v>1.7086969387300002E-2</v>
      </c>
      <c r="J80" s="109">
        <v>7.4307909999196167E-10</v>
      </c>
      <c r="K80" s="109">
        <v>9.1295246415031972E-11</v>
      </c>
      <c r="L80" s="152">
        <v>7.7801173791309516E-10</v>
      </c>
      <c r="N80" s="18">
        <v>1.4778646240775565E-6</v>
      </c>
      <c r="O80" s="18">
        <v>1.2043579780249245E-10</v>
      </c>
      <c r="P80" s="18">
        <v>3.7358141531164883E-8</v>
      </c>
      <c r="Q80" s="28">
        <v>0.45454545454545453</v>
      </c>
      <c r="R80" s="60">
        <v>224.12381789103978</v>
      </c>
      <c r="S80" s="57">
        <v>1.9192015787566052E-6</v>
      </c>
      <c r="U80" s="127">
        <v>8.93258854026726E-10</v>
      </c>
      <c r="V80" s="127">
        <v>7.7801173791309516E-10</v>
      </c>
      <c r="W80" s="128">
        <v>6.8579567845395046E-10</v>
      </c>
      <c r="X80" s="128">
        <f t="shared" si="2"/>
        <v>7.8376950207671667E-10</v>
      </c>
      <c r="Y80" s="139">
        <f t="shared" si="3"/>
        <v>0.19864957143020387</v>
      </c>
      <c r="AA80" s="73"/>
      <c r="AB80" s="176"/>
      <c r="AC80" s="176"/>
      <c r="AD80" s="176"/>
      <c r="AJ80" s="135"/>
    </row>
    <row r="81" spans="2:36" x14ac:dyDescent="0.35">
      <c r="I81" s="109">
        <v>1.7257839081199999E-2</v>
      </c>
      <c r="J81" s="109">
        <v>5.633964441144795E-10</v>
      </c>
      <c r="K81" s="109">
        <v>8.9299994854290036E-11</v>
      </c>
      <c r="L81" s="152">
        <v>7.0046409491029528E-10</v>
      </c>
      <c r="N81" s="18">
        <v>1.6472559742301444E-6</v>
      </c>
      <c r="O81" s="18">
        <v>1.1093048112340735E-10</v>
      </c>
      <c r="P81" s="18">
        <v>3.3625420575865659E-8</v>
      </c>
      <c r="Q81" s="28">
        <v>0.45454545454545453</v>
      </c>
      <c r="R81" s="60">
        <v>224.12381789103978</v>
      </c>
      <c r="S81" s="57">
        <v>1.9037137811919218E-6</v>
      </c>
      <c r="U81" s="127">
        <v>8.0120309142526838E-10</v>
      </c>
      <c r="V81" s="127">
        <v>7.0046409491029528E-10</v>
      </c>
      <c r="W81" s="128">
        <v>6.3038410512561641E-10</v>
      </c>
      <c r="X81" s="128">
        <f t="shared" si="2"/>
        <v>7.0812884659286886E-10</v>
      </c>
      <c r="Y81" s="139">
        <f t="shared" si="3"/>
        <v>2.6268100833115851</v>
      </c>
      <c r="AA81" s="73"/>
      <c r="AB81" s="176"/>
      <c r="AC81" s="176"/>
      <c r="AD81" s="176"/>
      <c r="AJ81" s="135"/>
    </row>
    <row r="82" spans="2:36" x14ac:dyDescent="0.35">
      <c r="I82" s="109">
        <v>1.7430417472000002E-2</v>
      </c>
      <c r="J82" s="109">
        <v>7.1812811625185623E-10</v>
      </c>
      <c r="K82" s="109">
        <v>9.3213345088113365E-11</v>
      </c>
      <c r="L82" s="152">
        <v>6.3910990071063846E-10</v>
      </c>
      <c r="N82" s="18">
        <v>1.8342619501366819E-6</v>
      </c>
      <c r="O82" s="18">
        <v>1.0051655036892841E-10</v>
      </c>
      <c r="P82" s="18">
        <v>2.9535888489069367E-8</v>
      </c>
      <c r="Q82" s="28">
        <v>0.45454545454545453</v>
      </c>
      <c r="R82" s="60">
        <v>229.70890886755393</v>
      </c>
      <c r="S82" s="57">
        <v>1.9037137811919218E-6</v>
      </c>
      <c r="U82" s="127">
        <v>7.1975628897717755E-10</v>
      </c>
      <c r="V82" s="127">
        <v>6.3910990071063846E-10</v>
      </c>
      <c r="W82" s="128">
        <v>5.9565022868084544E-10</v>
      </c>
      <c r="X82" s="128">
        <f t="shared" si="2"/>
        <v>6.48406579769825E-10</v>
      </c>
      <c r="Y82" s="139">
        <f t="shared" si="3"/>
        <v>0.5594711695255159</v>
      </c>
      <c r="AA82" s="73"/>
      <c r="AB82" s="176"/>
      <c r="AC82" s="176"/>
      <c r="AD82" s="176"/>
      <c r="AJ82" s="135"/>
    </row>
    <row r="83" spans="2:36" x14ac:dyDescent="0.35">
      <c r="I83" s="109">
        <v>1.7604721646699999E-2</v>
      </c>
      <c r="J83" s="109">
        <v>6.7881961126584799E-10</v>
      </c>
      <c r="K83" s="109">
        <v>9.3290521388698082E-11</v>
      </c>
      <c r="L83" s="152">
        <v>5.9685741300633074E-10</v>
      </c>
      <c r="N83" s="18">
        <v>1.9813780323264602E-6</v>
      </c>
      <c r="O83" s="18">
        <v>9.2360844852852474E-11</v>
      </c>
      <c r="P83" s="18">
        <v>2.6333157437289582E-8</v>
      </c>
      <c r="Q83" s="28">
        <v>0.22727272727272727</v>
      </c>
      <c r="R83" s="60">
        <v>229.70890886755393</v>
      </c>
      <c r="S83" s="57">
        <v>1.888315687591487E-6</v>
      </c>
      <c r="U83" s="127">
        <v>6.5256442075605881E-10</v>
      </c>
      <c r="V83" s="127">
        <v>5.9685741300633074E-10</v>
      </c>
      <c r="W83" s="128">
        <v>5.8333745699951362E-10</v>
      </c>
      <c r="X83" s="128">
        <f t="shared" si="2"/>
        <v>6.074041759420585E-10</v>
      </c>
      <c r="Y83" s="139">
        <f t="shared" si="3"/>
        <v>0.58601554307115922</v>
      </c>
      <c r="AA83" s="73"/>
      <c r="AB83" s="176"/>
      <c r="AC83" s="176"/>
      <c r="AD83" s="176"/>
      <c r="AJ83" s="135"/>
    </row>
    <row r="84" spans="2:36" x14ac:dyDescent="0.35">
      <c r="I84" s="109">
        <v>1.77807688631E-2</v>
      </c>
      <c r="J84" s="109">
        <v>5.4273650605804969E-10</v>
      </c>
      <c r="K84" s="109">
        <v>8.7614266503405502E-11</v>
      </c>
      <c r="L84" s="152">
        <v>5.7579114018564202E-10</v>
      </c>
      <c r="N84" s="18">
        <v>2.0823394542220977E-6</v>
      </c>
      <c r="O84" s="18">
        <v>8.6317846783659503E-11</v>
      </c>
      <c r="P84" s="18">
        <v>2.3960082842590184E-8</v>
      </c>
      <c r="Q84" s="28">
        <v>0.27433079872934468</v>
      </c>
      <c r="R84" s="60">
        <v>235.92601186762903</v>
      </c>
      <c r="S84" s="57">
        <v>1.888315687591487E-6</v>
      </c>
      <c r="U84" s="127">
        <v>6.0273547793317525E-10</v>
      </c>
      <c r="V84" s="127">
        <v>5.7579114018564202E-10</v>
      </c>
      <c r="W84" s="128">
        <v>5.9413040945888808E-10</v>
      </c>
      <c r="X84" s="128">
        <f t="shared" si="2"/>
        <v>5.8711204194083687E-10</v>
      </c>
      <c r="Y84" s="139">
        <f t="shared" si="3"/>
        <v>0.2565296463569619</v>
      </c>
      <c r="AA84" s="73"/>
      <c r="AB84" s="176"/>
      <c r="AC84" s="176"/>
      <c r="AD84" s="176"/>
      <c r="AJ84" s="135"/>
    </row>
    <row r="85" spans="2:36" x14ac:dyDescent="0.35">
      <c r="I85" s="109">
        <v>1.7958576551799998E-2</v>
      </c>
      <c r="J85" s="109">
        <v>7.1120369146034692E-10</v>
      </c>
      <c r="K85" s="109">
        <v>9.6249674188972677E-11</v>
      </c>
      <c r="L85" s="152">
        <v>5.7703671454288816E-10</v>
      </c>
      <c r="N85" s="18">
        <v>2.2031849623988735E-6</v>
      </c>
      <c r="O85" s="18">
        <v>7.9721203172187416E-11</v>
      </c>
      <c r="P85" s="18">
        <v>2.1369592628059781E-8</v>
      </c>
      <c r="Q85" s="28">
        <v>0.27901782563242211</v>
      </c>
      <c r="R85" s="60">
        <v>235.92601186762903</v>
      </c>
      <c r="S85" s="57">
        <v>1.8731081324629293E-6</v>
      </c>
      <c r="U85" s="127">
        <v>5.7266957125374803E-10</v>
      </c>
      <c r="V85" s="127">
        <v>5.7703671454288816E-10</v>
      </c>
      <c r="W85" s="128">
        <v>6.2758160689906579E-10</v>
      </c>
      <c r="X85" s="128">
        <f t="shared" si="2"/>
        <v>5.8858115180964753E-10</v>
      </c>
      <c r="Y85" s="139">
        <f t="shared" si="3"/>
        <v>1.6230880381108628</v>
      </c>
      <c r="AA85" s="73"/>
      <c r="AB85" s="176"/>
      <c r="AC85" s="176"/>
      <c r="AD85" s="176"/>
      <c r="AJ85" s="135"/>
    </row>
    <row r="86" spans="2:36" x14ac:dyDescent="0.35">
      <c r="I86" s="109">
        <v>1.8138162317300002E-2</v>
      </c>
      <c r="J86" s="109">
        <v>4.7685101813207827E-10</v>
      </c>
      <c r="K86" s="109">
        <v>8.4908588458628733E-11</v>
      </c>
      <c r="L86" s="152">
        <v>6.0066759411927246E-10</v>
      </c>
      <c r="N86" s="18">
        <v>2.3240068344164358E-6</v>
      </c>
      <c r="O86" s="18">
        <v>7.3125849797489764E-11</v>
      </c>
      <c r="P86" s="18">
        <v>1.8779609087216092E-8</v>
      </c>
      <c r="Q86" s="28">
        <v>0.28889548286974742</v>
      </c>
      <c r="R86" s="60">
        <v>243.12585324311004</v>
      </c>
      <c r="S86" s="57">
        <v>1.8731081324629293E-6</v>
      </c>
      <c r="U86" s="127">
        <v>5.639141274915913E-10</v>
      </c>
      <c r="V86" s="127">
        <v>6.0066759411927246E-10</v>
      </c>
      <c r="W86" s="128">
        <v>6.8209358159807189E-10</v>
      </c>
      <c r="X86" s="128">
        <f t="shared" si="2"/>
        <v>6.1183572433205198E-10</v>
      </c>
      <c r="Y86" s="139">
        <f t="shared" si="3"/>
        <v>2.5273529075964016</v>
      </c>
      <c r="AA86" s="73"/>
      <c r="AB86" s="176"/>
      <c r="AC86" s="176"/>
      <c r="AD86" s="176"/>
      <c r="AJ86" s="135"/>
    </row>
    <row r="87" spans="2:36" x14ac:dyDescent="0.35">
      <c r="I87" s="109">
        <v>1.8319543940500001E-2</v>
      </c>
      <c r="J87" s="109">
        <v>6.9950211054150004E-10</v>
      </c>
      <c r="K87" s="109">
        <v>9.3644237746428226E-11</v>
      </c>
      <c r="L87" s="152">
        <v>6.4566071725383391E-10</v>
      </c>
      <c r="N87" s="18">
        <v>2.4447262762425861E-6</v>
      </c>
      <c r="O87" s="18">
        <v>6.6536087821909837E-11</v>
      </c>
      <c r="P87" s="18">
        <v>1.619182127886201E-8</v>
      </c>
      <c r="Q87" s="28">
        <v>0.30511585966628851</v>
      </c>
      <c r="R87" s="60">
        <v>243.12585324311004</v>
      </c>
      <c r="S87" s="57">
        <v>1.8582863350897151E-6</v>
      </c>
      <c r="U87" s="127">
        <v>5.7705346371887768E-10</v>
      </c>
      <c r="V87" s="127">
        <v>6.4566071725383391E-10</v>
      </c>
      <c r="W87" s="128">
        <v>7.5495958917382232E-10</v>
      </c>
      <c r="X87" s="128">
        <f t="shared" si="2"/>
        <v>6.55833621850092E-10</v>
      </c>
      <c r="Y87" s="139">
        <f t="shared" si="3"/>
        <v>0.21745740736988423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1.8502739379900001E-2</v>
      </c>
      <c r="J88" s="109">
        <v>6.2317930370304658E-10</v>
      </c>
      <c r="K88" s="109">
        <v>9.0714566147212896E-11</v>
      </c>
      <c r="L88" s="152">
        <v>7.0990571747373431E-10</v>
      </c>
      <c r="N88" s="18">
        <v>2.5651500158927381E-6</v>
      </c>
      <c r="O88" s="18">
        <v>5.9962467463007486E-11</v>
      </c>
      <c r="P88" s="18">
        <v>1.3610372254670404E-8</v>
      </c>
      <c r="Q88" s="28">
        <v>0.32985484968757195</v>
      </c>
      <c r="R88" s="60">
        <v>251.97318980543133</v>
      </c>
      <c r="S88" s="57">
        <v>1.8582863350897151E-6</v>
      </c>
      <c r="U88" s="127">
        <v>6.1164052141751616E-10</v>
      </c>
      <c r="V88" s="127">
        <v>7.0990571747373431E-10</v>
      </c>
      <c r="W88" s="128">
        <v>8.4246301894332166E-10</v>
      </c>
      <c r="X88" s="128">
        <f t="shared" si="2"/>
        <v>7.1847874382707658E-10</v>
      </c>
      <c r="Y88" s="139">
        <f t="shared" si="3"/>
        <v>1.1036379928878024</v>
      </c>
      <c r="AA88" s="73"/>
      <c r="AB88" s="176"/>
      <c r="AC88" s="176"/>
      <c r="AD88" s="176"/>
      <c r="AJ88" s="135"/>
    </row>
    <row r="89" spans="2:36" x14ac:dyDescent="0.35">
      <c r="I89" s="109">
        <v>1.8687766773700001E-2</v>
      </c>
      <c r="J89" s="109">
        <v>9.0780562700394765E-10</v>
      </c>
      <c r="K89" s="109">
        <v>1.0546238461059908E-10</v>
      </c>
      <c r="L89" s="152">
        <v>7.9026956158148135E-10</v>
      </c>
      <c r="N89" s="18">
        <v>2.6848762718115108E-6</v>
      </c>
      <c r="O89" s="18">
        <v>5.3426920936307296E-11</v>
      </c>
      <c r="P89" s="18">
        <v>1.1043874756672797E-8</v>
      </c>
      <c r="Q89" s="28">
        <v>0.36718140925644527</v>
      </c>
      <c r="R89" s="60">
        <v>251.97318980543133</v>
      </c>
      <c r="S89" s="57">
        <v>1.8442418998094763E-6</v>
      </c>
      <c r="U89" s="127">
        <v>6.6617652497943867E-10</v>
      </c>
      <c r="V89" s="127">
        <v>7.9026956158148135E-10</v>
      </c>
      <c r="W89" s="128">
        <v>9.4003265236057818E-10</v>
      </c>
      <c r="X89" s="128">
        <f t="shared" si="2"/>
        <v>7.9668707512574486E-10</v>
      </c>
      <c r="Y89" s="139">
        <f t="shared" si="3"/>
        <v>1.1101405643845499</v>
      </c>
      <c r="AA89" s="73"/>
      <c r="AB89" s="176"/>
      <c r="AC89" s="176"/>
      <c r="AD89" s="176"/>
      <c r="AJ89" s="135"/>
    </row>
    <row r="90" spans="2:36" x14ac:dyDescent="0.35">
      <c r="I90" s="109">
        <v>1.8874644441399999E-2</v>
      </c>
      <c r="J90" s="109">
        <v>7.5959819839916345E-10</v>
      </c>
      <c r="K90" s="109">
        <v>1.0042713940709974E-10</v>
      </c>
      <c r="L90" s="152">
        <v>8.8271571061486025E-10</v>
      </c>
      <c r="N90" s="18">
        <v>2.803121015899125E-6</v>
      </c>
      <c r="O90" s="18">
        <v>4.69722463071545E-11</v>
      </c>
      <c r="P90" s="18">
        <v>8.5091355090167258E-9</v>
      </c>
      <c r="Q90" s="28">
        <v>0.42522182801861985</v>
      </c>
      <c r="R90" s="60">
        <v>264.04868143836762</v>
      </c>
      <c r="S90" s="57">
        <v>1.8442418998094763E-6</v>
      </c>
      <c r="U90" s="127">
        <v>7.3814197594524369E-10</v>
      </c>
      <c r="V90" s="127">
        <v>8.8271571061486025E-10</v>
      </c>
      <c r="W90" s="128">
        <v>1.0424482568102761E-9</v>
      </c>
      <c r="X90" s="128">
        <f t="shared" si="2"/>
        <v>8.8650541349631005E-10</v>
      </c>
      <c r="Y90" s="139">
        <f t="shared" si="3"/>
        <v>1.5968732399482837</v>
      </c>
      <c r="AA90" s="73"/>
      <c r="AB90" s="176"/>
      <c r="AC90" s="176"/>
      <c r="AD90" s="176"/>
      <c r="AJ90" s="135"/>
    </row>
    <row r="91" spans="2:36" x14ac:dyDescent="0.35">
      <c r="I91" s="109">
        <v>1.9063390885799999E-2</v>
      </c>
      <c r="J91" s="109">
        <v>8.5537384827126169E-10</v>
      </c>
      <c r="K91" s="109">
        <v>1.0567607464758985E-10</v>
      </c>
      <c r="L91" s="152">
        <v>9.8247428610315265E-10</v>
      </c>
      <c r="N91" s="18">
        <v>2.9183663411666309E-6</v>
      </c>
      <c r="O91" s="18">
        <v>4.0681302190590146E-11</v>
      </c>
      <c r="P91" s="18">
        <v>6.038692942470242E-9</v>
      </c>
      <c r="Q91" s="28">
        <v>0.52252270986663085</v>
      </c>
      <c r="R91" s="60">
        <v>264.04868143836762</v>
      </c>
      <c r="S91" s="57">
        <v>1.8318302462983805E-6</v>
      </c>
      <c r="U91" s="127">
        <v>8.2407988875633916E-10</v>
      </c>
      <c r="V91" s="127">
        <v>9.8247428610315265E-10</v>
      </c>
      <c r="W91" s="128">
        <v>1.144088689947074E-9</v>
      </c>
      <c r="X91" s="128">
        <f t="shared" si="2"/>
        <v>9.8327928772742971E-10</v>
      </c>
      <c r="Y91" s="139">
        <f t="shared" si="3"/>
        <v>1.4649563426467396</v>
      </c>
      <c r="AA91" s="73"/>
      <c r="AB91" s="176"/>
      <c r="AC91" s="176"/>
      <c r="AD91" s="176"/>
      <c r="AJ91" s="135"/>
    </row>
    <row r="92" spans="2:36" x14ac:dyDescent="0.35">
      <c r="I92" s="109">
        <v>1.9254024794699998E-2</v>
      </c>
      <c r="J92" s="109">
        <v>1.2891148425136316E-9</v>
      </c>
      <c r="K92" s="109">
        <v>1.2683712584881711E-10</v>
      </c>
      <c r="L92" s="152">
        <v>1.0842573480253306E-9</v>
      </c>
      <c r="N92" s="18">
        <v>3.0275673693087792E-6</v>
      </c>
      <c r="O92" s="18">
        <v>3.4720300614873111E-11</v>
      </c>
      <c r="P92" s="18">
        <v>3.6978182249334949E-9</v>
      </c>
      <c r="Q92" s="28">
        <v>0.71317718802348939</v>
      </c>
      <c r="R92" s="60">
        <v>285.74850022299745</v>
      </c>
      <c r="S92" s="57">
        <v>1.8318302462983805E-6</v>
      </c>
      <c r="U92" s="127">
        <v>9.197296785380595E-10</v>
      </c>
      <c r="V92" s="127">
        <v>1.0842573480253306E-9</v>
      </c>
      <c r="W92" s="128">
        <v>1.2392127078097076E-9</v>
      </c>
      <c r="X92" s="128">
        <f t="shared" si="2"/>
        <v>1.0818642705996071E-9</v>
      </c>
      <c r="Y92" s="139">
        <f t="shared" si="3"/>
        <v>2.6699227184399423</v>
      </c>
      <c r="AA92" s="73"/>
      <c r="AB92" s="176"/>
      <c r="AC92" s="176"/>
      <c r="AD92" s="176"/>
      <c r="AJ92" s="135"/>
    </row>
    <row r="93" spans="2:36" x14ac:dyDescent="0.35">
      <c r="I93" s="109">
        <v>1.9446565042599999E-2</v>
      </c>
      <c r="J93" s="109">
        <v>1.1110743996677155E-9</v>
      </c>
      <c r="K93" s="109">
        <v>1.2226899643208063E-10</v>
      </c>
      <c r="L93" s="152">
        <v>1.182511286012122E-9</v>
      </c>
      <c r="N93" s="18">
        <v>3.1240728746787833E-6</v>
      </c>
      <c r="O93" s="18">
        <v>2.9452314778447387E-11</v>
      </c>
      <c r="P93" s="18">
        <v>1.6290895557337576E-9</v>
      </c>
      <c r="Q93" s="28">
        <v>1.281588875373888</v>
      </c>
      <c r="R93" s="60">
        <v>285.74850022299745</v>
      </c>
      <c r="S93" s="57">
        <v>1.8232506643893948E-6</v>
      </c>
      <c r="U93" s="127">
        <v>1.0202077456346559E-9</v>
      </c>
      <c r="V93" s="127">
        <v>1.182511286012122E-9</v>
      </c>
      <c r="W93" s="128">
        <v>1.3222609516188806E-9</v>
      </c>
      <c r="X93" s="128">
        <f t="shared" si="2"/>
        <v>1.1768728173194452E-9</v>
      </c>
      <c r="Y93" s="139">
        <f t="shared" si="3"/>
        <v>0.28959976432980322</v>
      </c>
      <c r="AA93" s="73"/>
      <c r="AB93" s="176"/>
      <c r="AC93" s="176"/>
      <c r="AD93" s="176"/>
      <c r="AJ93" s="135"/>
    </row>
    <row r="94" spans="2:36" x14ac:dyDescent="0.35">
      <c r="I94" s="109">
        <v>1.9641030693100001E-2</v>
      </c>
      <c r="J94" s="109">
        <v>1.1887245678925062E-9</v>
      </c>
      <c r="K94" s="109">
        <v>1.242073818641748E-10</v>
      </c>
      <c r="L94" s="152">
        <v>1.2716964629873171E-9</v>
      </c>
      <c r="N94" s="18">
        <v>3.1907825106873794E-6</v>
      </c>
      <c r="O94" s="18">
        <v>2.5810808355585536E-11</v>
      </c>
      <c r="P94" s="18">
        <v>1.990764596544104E-10</v>
      </c>
      <c r="Q94" s="28">
        <v>1.7210815880741237</v>
      </c>
      <c r="R94" s="60">
        <v>314.88979451199151</v>
      </c>
      <c r="S94" s="57">
        <v>1.8232506643893948E-6</v>
      </c>
      <c r="U94" s="127">
        <v>1.1202286274335128E-9</v>
      </c>
      <c r="V94" s="127">
        <v>1.2716964629873171E-9</v>
      </c>
      <c r="W94" s="128">
        <v>1.3881660492630974E-9</v>
      </c>
      <c r="X94" s="128">
        <f t="shared" si="2"/>
        <v>1.2629469006678111E-9</v>
      </c>
      <c r="Y94" s="139">
        <f t="shared" si="3"/>
        <v>0.35708728378495752</v>
      </c>
      <c r="AA94" s="73"/>
      <c r="AB94" s="176"/>
      <c r="AC94" s="176"/>
      <c r="AD94" s="176"/>
      <c r="AJ94" s="135"/>
    </row>
    <row r="95" spans="2:36" x14ac:dyDescent="0.35">
      <c r="I95" s="109">
        <v>1.9837441000000001E-2</v>
      </c>
      <c r="J95" s="109">
        <v>1.4616579408226088E-9</v>
      </c>
      <c r="K95" s="109">
        <v>1.3939130446481928E-10</v>
      </c>
      <c r="L95" s="152">
        <v>1.3465825741971574E-9</v>
      </c>
      <c r="N95" s="18">
        <v>3.1999999999999999E-6</v>
      </c>
      <c r="O95" s="18">
        <v>2.5307649463664093E-11</v>
      </c>
      <c r="P95" s="18">
        <v>1.486857631694136E-12</v>
      </c>
      <c r="Q95" s="28">
        <v>10.297802784660814</v>
      </c>
      <c r="R95" s="60">
        <v>314.88979451199151</v>
      </c>
      <c r="S95" s="57">
        <v>1.8220651954034354E-6</v>
      </c>
      <c r="U95" s="127">
        <v>1.2143586143300036E-9</v>
      </c>
      <c r="V95" s="127">
        <v>1.3465825741971574E-9</v>
      </c>
      <c r="W95" s="128">
        <v>1.4326563559586104E-9</v>
      </c>
      <c r="X95" s="128">
        <f t="shared" si="2"/>
        <v>1.3350450296707321E-9</v>
      </c>
      <c r="Y95" s="139">
        <f t="shared" si="3"/>
        <v>0.82505827440881574</v>
      </c>
      <c r="AA95" s="73"/>
      <c r="AB95" s="176"/>
      <c r="AC95" s="176"/>
      <c r="AD95" s="176"/>
      <c r="AJ95" s="135"/>
    </row>
    <row r="96" spans="2:36" x14ac:dyDescent="0.35">
      <c r="I96" s="109">
        <v>2.0035815410000001E-2</v>
      </c>
      <c r="J96" s="109">
        <v>1.488419887267874E-9</v>
      </c>
      <c r="K96" s="109">
        <v>1.4072627701653152E-10</v>
      </c>
      <c r="L96" s="152">
        <v>1.4025466525299694E-9</v>
      </c>
      <c r="N96" s="18">
        <v>3.1957055663356807E-6</v>
      </c>
      <c r="O96" s="18">
        <v>2.5394460155846639E-11</v>
      </c>
      <c r="P96" s="18">
        <v>1.4888560802367562E-12</v>
      </c>
      <c r="Q96" s="28">
        <v>1.7210815880741237</v>
      </c>
      <c r="R96" s="60">
        <v>1171.9659017921501</v>
      </c>
      <c r="S96" s="57">
        <v>1.8220651954034354E-6</v>
      </c>
      <c r="U96" s="127">
        <v>1.2972919345603783E-9</v>
      </c>
      <c r="V96" s="127">
        <v>1.4025466525299694E-9</v>
      </c>
      <c r="W96" s="128">
        <v>1.4525375984942398E-9</v>
      </c>
      <c r="X96" s="128">
        <f t="shared" si="2"/>
        <v>1.3887307095286393E-9</v>
      </c>
      <c r="Y96" s="139">
        <f t="shared" si="3"/>
        <v>0.50181730184657802</v>
      </c>
      <c r="AA96" s="73"/>
      <c r="AB96" s="176"/>
      <c r="AC96" s="176"/>
      <c r="AD96" s="176"/>
      <c r="AJ96" s="135"/>
    </row>
    <row r="97" spans="9:36" x14ac:dyDescent="0.35">
      <c r="I97" s="109">
        <v>2.0236173564099999E-2</v>
      </c>
      <c r="J97" s="109">
        <v>1.3939183497319544E-9</v>
      </c>
      <c r="K97" s="109">
        <v>1.3590471955134189E-10</v>
      </c>
      <c r="L97" s="152">
        <v>1.435859250163745E-9</v>
      </c>
      <c r="N97" s="18">
        <v>3.1646255078844549E-6</v>
      </c>
      <c r="O97" s="18">
        <v>2.6022734242286083E-11</v>
      </c>
      <c r="P97" s="18">
        <v>1.5033194303246767E-12</v>
      </c>
      <c r="Q97" s="28">
        <v>1.281588875373888</v>
      </c>
      <c r="R97" s="60">
        <v>1171.9659017921501</v>
      </c>
      <c r="S97" s="57">
        <v>1.8182382778520881E-6</v>
      </c>
      <c r="U97" s="127">
        <v>1.3641379574906535E-9</v>
      </c>
      <c r="V97" s="127">
        <v>1.435859250163745E-9</v>
      </c>
      <c r="W97" s="128">
        <v>1.4459356899617076E-9</v>
      </c>
      <c r="X97" s="128">
        <f t="shared" si="2"/>
        <v>1.4204480369449628E-9</v>
      </c>
      <c r="Y97" s="139">
        <f t="shared" si="3"/>
        <v>3.8106159583559673E-2</v>
      </c>
      <c r="AA97" s="73"/>
      <c r="AB97" s="176"/>
      <c r="AC97" s="176"/>
      <c r="AD97" s="176"/>
      <c r="AJ97" s="135"/>
    </row>
    <row r="98" spans="9:36" x14ac:dyDescent="0.35">
      <c r="I98" s="109">
        <v>2.0438535299700002E-2</v>
      </c>
      <c r="J98" s="109">
        <v>1.2995969625660276E-9</v>
      </c>
      <c r="K98" s="109">
        <v>1.3313362923991319E-10</v>
      </c>
      <c r="L98" s="152">
        <v>1.4439431382299803E-9</v>
      </c>
      <c r="N98" s="18">
        <v>3.1196635364628398E-6</v>
      </c>
      <c r="O98" s="18">
        <v>2.6931627047740807E-11</v>
      </c>
      <c r="P98" s="18">
        <v>1.5242428379924715E-12</v>
      </c>
      <c r="Q98" s="28">
        <v>0.71317718802348939</v>
      </c>
      <c r="R98" s="60">
        <v>1175.4080649682983</v>
      </c>
      <c r="S98" s="57">
        <v>1.8182382778520881E-6</v>
      </c>
      <c r="U98" s="127">
        <v>1.4107063446585052E-9</v>
      </c>
      <c r="V98" s="127">
        <v>1.4439431382299803E-9</v>
      </c>
      <c r="W98" s="128">
        <v>1.4124834823365971E-9</v>
      </c>
      <c r="X98" s="128">
        <f t="shared" si="2"/>
        <v>1.4277690258637656E-9</v>
      </c>
      <c r="Y98" s="139">
        <f t="shared" si="3"/>
        <v>0.92685374486062699</v>
      </c>
      <c r="AA98" s="73"/>
      <c r="AB98" s="176"/>
      <c r="AC98" s="176"/>
      <c r="AD98" s="176"/>
      <c r="AJ98" s="135"/>
    </row>
    <row r="99" spans="9:36" x14ac:dyDescent="0.35">
      <c r="I99" s="109">
        <v>2.06429206527E-2</v>
      </c>
      <c r="J99" s="109">
        <v>1.1853408872129506E-9</v>
      </c>
      <c r="K99" s="109">
        <v>1.2874284875114431E-10</v>
      </c>
      <c r="L99" s="152">
        <v>1.4255880438040024E-9</v>
      </c>
      <c r="N99" s="18">
        <v>3.0687867135529593E-6</v>
      </c>
      <c r="O99" s="18">
        <v>2.7960086807068764E-11</v>
      </c>
      <c r="P99" s="18">
        <v>1.5479187684049419E-12</v>
      </c>
      <c r="Q99" s="28">
        <v>0.52252270986663085</v>
      </c>
      <c r="R99" s="60">
        <v>1175.4080649682983</v>
      </c>
      <c r="S99" s="57">
        <v>1.7905417687239747E-6</v>
      </c>
      <c r="U99" s="127">
        <v>1.4337757192953159E-9</v>
      </c>
      <c r="V99" s="127">
        <v>1.4255880438040024E-9</v>
      </c>
      <c r="W99" s="128">
        <v>1.3534345362431565E-9</v>
      </c>
      <c r="X99" s="128">
        <f t="shared" si="2"/>
        <v>1.4095965857866191E-9</v>
      </c>
      <c r="Y99" s="139">
        <f t="shared" si="3"/>
        <v>3.0341758407583819</v>
      </c>
      <c r="AA99" s="73"/>
      <c r="AB99" s="176"/>
      <c r="AC99" s="176"/>
      <c r="AD99" s="176"/>
      <c r="AJ99" s="135"/>
    </row>
    <row r="100" spans="9:36" x14ac:dyDescent="0.35">
      <c r="I100" s="109">
        <v>2.0849349859299999E-2</v>
      </c>
      <c r="J100" s="109">
        <v>1.4629607260822024E-9</v>
      </c>
      <c r="K100" s="109">
        <v>1.3882275361099996E-10</v>
      </c>
      <c r="L100" s="152">
        <v>1.3811047457594675E-9</v>
      </c>
      <c r="N100" s="18">
        <v>3.015093849075583E-6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1177.9712427190461</v>
      </c>
      <c r="S100" s="57">
        <v>1.7905417687239747E-6</v>
      </c>
      <c r="U100" s="127">
        <v>1.4313303432971292E-9</v>
      </c>
      <c r="V100" s="127">
        <v>1.3811047457594675E-9</v>
      </c>
      <c r="W100" s="128">
        <v>1.271688486462539E-9</v>
      </c>
      <c r="X100" s="128">
        <f t="shared" si="2"/>
        <v>1.3663070803196507E-9</v>
      </c>
      <c r="Y100" s="139">
        <f t="shared" si="3"/>
        <v>0.48474704604798197</v>
      </c>
      <c r="AA100" s="73"/>
      <c r="AB100" s="176"/>
      <c r="AC100" s="176"/>
      <c r="AD100" s="176"/>
      <c r="AJ100" s="135"/>
    </row>
    <row r="101" spans="9:36" x14ac:dyDescent="0.35">
      <c r="I101" s="109">
        <v>2.1057843357800001E-2</v>
      </c>
      <c r="J101" s="109">
        <v>1.1901223657120409E-9</v>
      </c>
      <c r="K101" s="109">
        <v>1.2673465332789111E-10</v>
      </c>
      <c r="L101" s="152">
        <v>1.3124025952682206E-9</v>
      </c>
      <c r="N101" s="18">
        <v>2.9600035536148232E-6</v>
      </c>
      <c r="O101" s="18">
        <v>3.015910585130201E-11</v>
      </c>
      <c r="P101" s="18">
        <v>1.5985418690121882E-12</v>
      </c>
      <c r="Q101" s="28">
        <v>0.36718140925644527</v>
      </c>
      <c r="R101" s="60">
        <v>1177.9712427190461</v>
      </c>
      <c r="S101" s="57">
        <v>1.7504746094600699E-6</v>
      </c>
      <c r="U101" s="127">
        <v>1.4027486740411642E-9</v>
      </c>
      <c r="V101" s="127">
        <v>1.3124025952682206E-9</v>
      </c>
      <c r="W101" s="128">
        <v>1.1717156197472367E-9</v>
      </c>
      <c r="X101" s="128">
        <f t="shared" si="2"/>
        <v>1.2998173710812105E-9</v>
      </c>
      <c r="Y101" s="139">
        <f t="shared" si="3"/>
        <v>0.74917442826805059</v>
      </c>
      <c r="AA101" s="73"/>
      <c r="AB101" s="176"/>
      <c r="AC101" s="176"/>
      <c r="AD101" s="176"/>
      <c r="AJ101" s="135"/>
    </row>
    <row r="102" spans="9:36" x14ac:dyDescent="0.35">
      <c r="I102" s="109">
        <v>2.12684217914E-2</v>
      </c>
      <c r="J102" s="109">
        <v>1.1958997040689441E-9</v>
      </c>
      <c r="K102" s="109">
        <v>5.739285188129966E-11</v>
      </c>
      <c r="L102" s="152">
        <v>1.2229765521180754E-9</v>
      </c>
      <c r="N102" s="18">
        <v>2.904223020925027E-6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1179.397597095093</v>
      </c>
      <c r="S102" s="57">
        <v>1.7504746094600699E-6</v>
      </c>
      <c r="U102" s="127">
        <v>1.3489277846714842E-9</v>
      </c>
      <c r="V102" s="127">
        <v>1.2229765521180754E-9</v>
      </c>
      <c r="W102" s="128">
        <v>1.0593731084646335E-9</v>
      </c>
      <c r="X102" s="128">
        <f t="shared" si="2"/>
        <v>1.2135634993430672E-9</v>
      </c>
      <c r="Y102" s="139">
        <f t="shared" si="3"/>
        <v>9.4722343412773594E-2</v>
      </c>
      <c r="AA102" s="73"/>
      <c r="AB102" s="176"/>
      <c r="AC102" s="176"/>
      <c r="AD102" s="176"/>
      <c r="AJ102" s="135"/>
    </row>
    <row r="103" spans="9:36" x14ac:dyDescent="0.35">
      <c r="I103" s="109">
        <v>2.1481106009300002E-2</v>
      </c>
      <c r="J103" s="109">
        <v>1.1460521903494865E-9</v>
      </c>
      <c r="K103" s="109">
        <v>5.6536658472240186E-11</v>
      </c>
      <c r="L103" s="152">
        <v>1.1177934264628137E-9</v>
      </c>
      <c r="N103" s="18">
        <v>2.8481175301566521E-6</v>
      </c>
      <c r="O103" s="18">
        <v>3.242084835361548E-11</v>
      </c>
      <c r="P103" s="18">
        <v>1.6506089116067295E-12</v>
      </c>
      <c r="Q103" s="28">
        <v>0.30511585966628851</v>
      </c>
      <c r="R103" s="60">
        <v>1179.397597095093</v>
      </c>
      <c r="S103" s="57">
        <v>1.7051365225853541E-6</v>
      </c>
      <c r="U103" s="127">
        <v>1.2723287785761259E-9</v>
      </c>
      <c r="V103" s="127">
        <v>1.1177934264628137E-9</v>
      </c>
      <c r="W103" s="128">
        <v>9.4161201379666417E-10</v>
      </c>
      <c r="X103" s="128">
        <f t="shared" si="2"/>
        <v>1.1123819113246043E-9</v>
      </c>
      <c r="Y103" s="139">
        <f t="shared" si="3"/>
        <v>0.35467710734493368</v>
      </c>
      <c r="AA103" s="73"/>
      <c r="AB103" s="176"/>
      <c r="AC103" s="176"/>
      <c r="AD103" s="176"/>
      <c r="AJ103" s="135"/>
    </row>
    <row r="104" spans="9:36" x14ac:dyDescent="0.35">
      <c r="I104" s="109">
        <v>2.1695917069400002E-2</v>
      </c>
      <c r="J104" s="109">
        <v>1.0638839421193765E-9</v>
      </c>
      <c r="K104" s="109">
        <v>5.307049770214012E-11</v>
      </c>
      <c r="L104" s="152">
        <v>1.0030723386541761E-9</v>
      </c>
      <c r="N104" s="18">
        <v>2.791874271571451E-6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1180.4426425148263</v>
      </c>
      <c r="S104" s="57">
        <v>1.7051365225853541E-6</v>
      </c>
      <c r="U104" s="127">
        <v>1.1769308074286266E-9</v>
      </c>
      <c r="V104" s="127">
        <v>1.0030723386541761E-9</v>
      </c>
      <c r="W104" s="128">
        <v>8.260824508048835E-10</v>
      </c>
      <c r="X104" s="128">
        <f t="shared" si="2"/>
        <v>1.0022894838854655E-9</v>
      </c>
      <c r="Y104" s="139">
        <f t="shared" si="3"/>
        <v>1.3470290390124338</v>
      </c>
      <c r="AA104" s="73"/>
      <c r="AB104" s="176"/>
      <c r="AC104" s="176"/>
      <c r="AD104" s="176"/>
      <c r="AJ104" s="135"/>
    </row>
    <row r="105" spans="9:36" x14ac:dyDescent="0.35">
      <c r="I105" s="109">
        <v>2.19128762401E-2</v>
      </c>
      <c r="J105" s="109">
        <v>8.057872997572978E-10</v>
      </c>
      <c r="K105" s="109">
        <v>4.3793710743434489E-11</v>
      </c>
      <c r="L105" s="152">
        <v>8.8596141140198685E-10</v>
      </c>
      <c r="N105" s="18">
        <v>2.7355832907001344E-6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1180.4426425148263</v>
      </c>
      <c r="S105" s="57">
        <v>1.6572889642081416E-6</v>
      </c>
      <c r="U105" s="127">
        <v>1.068085340799069E-9</v>
      </c>
      <c r="V105" s="127">
        <v>8.8596141140198685E-10</v>
      </c>
      <c r="W105" s="128">
        <v>7.206536588232949E-10</v>
      </c>
      <c r="X105" s="128">
        <f t="shared" si="2"/>
        <v>8.9016545560658432E-10</v>
      </c>
      <c r="Y105" s="139">
        <f t="shared" si="3"/>
        <v>3.7122444577236551</v>
      </c>
      <c r="AA105" s="73"/>
      <c r="AB105" s="176"/>
      <c r="AC105" s="176"/>
      <c r="AD105" s="176"/>
      <c r="AJ105" s="135"/>
    </row>
    <row r="106" spans="9:36" x14ac:dyDescent="0.35">
      <c r="I106" s="109">
        <v>2.21320050025E-2</v>
      </c>
      <c r="J106" s="109">
        <v>7.5859646156176931E-10</v>
      </c>
      <c r="K106" s="109">
        <v>4.4467600597202618E-11</v>
      </c>
      <c r="L106" s="152">
        <v>7.7412105360146625E-10</v>
      </c>
      <c r="N106" s="18">
        <v>2.6792812977284095E-6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1181.2930861708635</v>
      </c>
      <c r="S106" s="57">
        <v>1.6572889642081416E-6</v>
      </c>
      <c r="U106" s="127">
        <v>9.5226800687451469E-10</v>
      </c>
      <c r="V106" s="127">
        <v>7.7412105360146625E-10</v>
      </c>
      <c r="W106" s="128">
        <v>6.3287527711840938E-10</v>
      </c>
      <c r="X106" s="128">
        <f t="shared" si="2"/>
        <v>7.8334634779896417E-10</v>
      </c>
      <c r="Y106" s="139">
        <f t="shared" si="3"/>
        <v>0.30978402743257599</v>
      </c>
      <c r="AA106" s="73"/>
      <c r="AB106" s="176"/>
      <c r="AC106" s="176"/>
      <c r="AD106" s="176"/>
      <c r="AJ106" s="135"/>
    </row>
    <row r="107" spans="9:36" x14ac:dyDescent="0.35">
      <c r="I107" s="109">
        <v>2.2353325052600001E-2</v>
      </c>
      <c r="J107" s="109">
        <v>6.5570236220502052E-10</v>
      </c>
      <c r="K107" s="109">
        <v>4.1032539020837479E-11</v>
      </c>
      <c r="L107" s="152">
        <v>6.7523326826355862E-10</v>
      </c>
      <c r="N107" s="18">
        <v>2.6229780776854336E-6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1181.2930861708635</v>
      </c>
      <c r="S107" s="57">
        <v>1.608196107015036E-6</v>
      </c>
      <c r="U107" s="127">
        <v>8.367324913164202E-10</v>
      </c>
      <c r="V107" s="127">
        <v>6.7523326826355862E-10</v>
      </c>
      <c r="W107" s="128">
        <v>5.6941481238668306E-10</v>
      </c>
      <c r="X107" s="128">
        <f t="shared" si="2"/>
        <v>6.8915346005755507E-10</v>
      </c>
      <c r="Y107" s="139">
        <f t="shared" si="3"/>
        <v>0.66460555830249168</v>
      </c>
      <c r="AA107" s="73"/>
      <c r="AB107" s="176"/>
      <c r="AC107" s="176"/>
      <c r="AD107" s="176"/>
      <c r="AJ107" s="135"/>
    </row>
    <row r="108" spans="9:36" x14ac:dyDescent="0.35">
      <c r="I108" s="109">
        <v>2.2576858303100002E-2</v>
      </c>
      <c r="J108" s="109">
        <v>6.3875144481123926E-10</v>
      </c>
      <c r="K108" s="109">
        <v>4.0856703004665303E-11</v>
      </c>
      <c r="L108" s="152">
        <v>5.9646533498844068E-10</v>
      </c>
      <c r="N108" s="18">
        <v>2.5666760847137087E-6</v>
      </c>
      <c r="O108" s="18">
        <v>3.8110103002198277E-11</v>
      </c>
      <c r="P108" s="18">
        <v>1.781579905791945E-12</v>
      </c>
      <c r="Q108" s="28">
        <v>0.27901782563242211</v>
      </c>
      <c r="R108" s="60">
        <v>1182.0274489893764</v>
      </c>
      <c r="S108" s="57">
        <v>1.608196107015036E-6</v>
      </c>
      <c r="U108" s="127">
        <v>7.2907924455590935E-10</v>
      </c>
      <c r="V108" s="127">
        <v>5.9646533498844068E-10</v>
      </c>
      <c r="W108" s="128">
        <v>5.3551293240149119E-10</v>
      </c>
      <c r="X108" s="128">
        <f t="shared" si="2"/>
        <v>6.1438071173357055E-10</v>
      </c>
      <c r="Y108" s="139">
        <f t="shared" si="3"/>
        <v>0.35580377443547734</v>
      </c>
      <c r="AA108" s="73"/>
      <c r="AB108" s="176"/>
      <c r="AC108" s="176"/>
      <c r="AD108" s="176"/>
      <c r="AJ108" s="135"/>
    </row>
    <row r="109" spans="9:36" x14ac:dyDescent="0.35">
      <c r="I109" s="109">
        <v>2.2802626886099998E-2</v>
      </c>
      <c r="J109" s="109">
        <v>5.1023177663526064E-10</v>
      </c>
      <c r="K109" s="109">
        <v>3.7485451057294344E-11</v>
      </c>
      <c r="L109" s="152">
        <v>5.4392393418015945E-10</v>
      </c>
      <c r="N109" s="18">
        <v>2.510385103842392E-6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1182.0274489893764</v>
      </c>
      <c r="S109" s="57">
        <v>1.5584881556854579E-6</v>
      </c>
      <c r="U109" s="127">
        <v>6.3676044418731883E-10</v>
      </c>
      <c r="V109" s="127">
        <v>5.4392393418015945E-10</v>
      </c>
      <c r="W109" s="128">
        <v>5.3450176544061706E-10</v>
      </c>
      <c r="X109" s="128">
        <f t="shared" si="2"/>
        <v>5.6477751949706375E-10</v>
      </c>
      <c r="Y109" s="139">
        <f t="shared" si="3"/>
        <v>2.1173674848183865</v>
      </c>
      <c r="AA109" s="73"/>
      <c r="AB109" s="176"/>
      <c r="AC109" s="176"/>
      <c r="AD109" s="176"/>
      <c r="AJ109" s="135"/>
    </row>
    <row r="110" spans="9:36" x14ac:dyDescent="0.35">
      <c r="I110" s="109">
        <v>2.3030653155000001E-2</v>
      </c>
      <c r="J110" s="109">
        <v>5.684311050961847E-10</v>
      </c>
      <c r="K110" s="109">
        <v>3.9261229903830193E-11</v>
      </c>
      <c r="L110" s="152">
        <v>5.2214123146951977E-10</v>
      </c>
      <c r="N110" s="18">
        <v>2.454141845257191E-6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1182.6871586887514</v>
      </c>
      <c r="S110" s="57">
        <v>1.5584881556854579E-6</v>
      </c>
      <c r="U110" s="127">
        <v>5.6655091574602108E-10</v>
      </c>
      <c r="V110" s="127">
        <v>5.2214123146951977E-10</v>
      </c>
      <c r="W110" s="128">
        <v>5.6743105157643585E-10</v>
      </c>
      <c r="X110" s="128">
        <f t="shared" si="2"/>
        <v>5.4456610756537414E-10</v>
      </c>
      <c r="Y110" s="139">
        <f t="shared" si="3"/>
        <v>0.36948344735035826</v>
      </c>
      <c r="AA110" s="73"/>
      <c r="AB110" s="176"/>
      <c r="AC110" s="176"/>
      <c r="AD110" s="176"/>
      <c r="AJ110" s="135"/>
    </row>
    <row r="111" spans="9:36" x14ac:dyDescent="0.35">
      <c r="I111" s="109">
        <v>2.32609596865E-2</v>
      </c>
      <c r="J111" s="109">
        <v>5.7092595034208991E-10</v>
      </c>
      <c r="K111" s="109">
        <v>4.3587010008202033E-11</v>
      </c>
      <c r="L111" s="152">
        <v>5.3363670101009021E-10</v>
      </c>
      <c r="N111" s="18">
        <v>2.3980363544888161E-6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1182.6871586887514</v>
      </c>
      <c r="S111" s="57">
        <v>1.5084906230346693E-6</v>
      </c>
      <c r="U111" s="127">
        <v>5.2402153339451339E-10</v>
      </c>
      <c r="V111" s="127">
        <v>5.3363670101009021E-10</v>
      </c>
      <c r="W111" s="128">
        <v>6.3284242543431439E-10</v>
      </c>
      <c r="X111" s="128">
        <f t="shared" si="2"/>
        <v>5.5603434021225205E-10</v>
      </c>
      <c r="Y111" s="139">
        <f t="shared" si="3"/>
        <v>0.11672641810523619</v>
      </c>
      <c r="AA111" s="73"/>
      <c r="AB111" s="176"/>
      <c r="AC111" s="176"/>
      <c r="AD111" s="176"/>
      <c r="AJ111" s="135"/>
    </row>
    <row r="112" spans="9:36" x14ac:dyDescent="0.35">
      <c r="I112" s="109">
        <v>2.34935692834E-2</v>
      </c>
      <c r="J112" s="109">
        <v>6.4075702380239421E-10</v>
      </c>
      <c r="K112" s="109">
        <v>4.6041951435471623E-11</v>
      </c>
      <c r="L112" s="152">
        <v>5.7859692608698398E-10</v>
      </c>
      <c r="N112" s="18">
        <v>2.3422558217990199E-6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1183.2973904080841</v>
      </c>
      <c r="S112" s="57">
        <v>1.5084906230346693E-6</v>
      </c>
      <c r="U112" s="127">
        <v>5.1305603972905443E-10</v>
      </c>
      <c r="V112" s="127">
        <v>5.7859692608698398E-10</v>
      </c>
      <c r="W112" s="128">
        <v>7.2672345438228461E-10</v>
      </c>
      <c r="X112" s="128">
        <f t="shared" si="2"/>
        <v>5.9924333657132672E-10</v>
      </c>
      <c r="Y112" s="139">
        <f t="shared" si="3"/>
        <v>0.81297122318039416</v>
      </c>
      <c r="AA112" s="73"/>
      <c r="AB112" s="176"/>
      <c r="AC112" s="176"/>
      <c r="AD112" s="176"/>
      <c r="AJ112" s="135"/>
    </row>
    <row r="113" spans="9:36" x14ac:dyDescent="0.35">
      <c r="I113" s="109">
        <v>2.37285049762E-2</v>
      </c>
      <c r="J113" s="109">
        <v>7.6174779809251107E-10</v>
      </c>
      <c r="K113" s="109">
        <v>5.1451471543155331E-11</v>
      </c>
      <c r="L113" s="152">
        <v>6.5471006836966621E-10</v>
      </c>
      <c r="N113" s="18">
        <v>2.28716552633826E-6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1183.2973904080841</v>
      </c>
      <c r="S113" s="57">
        <v>1.4583703207435895E-6</v>
      </c>
      <c r="U113" s="127">
        <v>5.3545344521592215E-10</v>
      </c>
      <c r="V113" s="127">
        <v>6.5471006836966621E-10</v>
      </c>
      <c r="W113" s="128">
        <v>8.4266090278281068E-10</v>
      </c>
      <c r="X113" s="128">
        <f t="shared" si="2"/>
        <v>6.7188362118451639E-10</v>
      </c>
      <c r="Y113" s="139">
        <f t="shared" si="3"/>
        <v>3.0505461596532557</v>
      </c>
      <c r="AA113" s="73"/>
      <c r="AB113" s="176"/>
      <c r="AC113" s="176"/>
      <c r="AD113" s="176"/>
      <c r="AJ113" s="135"/>
    </row>
    <row r="114" spans="9:36" x14ac:dyDescent="0.35">
      <c r="I114" s="109">
        <v>2.3965790026000001E-2</v>
      </c>
      <c r="J114" s="109">
        <v>8.5611389556498787E-10</v>
      </c>
      <c r="K114" s="109">
        <v>5.38161309772343E-11</v>
      </c>
      <c r="L114" s="152">
        <v>7.571823855495411E-10</v>
      </c>
      <c r="N114" s="18">
        <v>2.2334726618608838E-6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1183.8751813738236</v>
      </c>
      <c r="S114" s="57">
        <v>1.4583703207435895E-6</v>
      </c>
      <c r="U114" s="127">
        <v>5.9065570452756055E-10</v>
      </c>
      <c r="V114" s="127">
        <v>7.571823855495411E-10</v>
      </c>
      <c r="W114" s="128">
        <v>9.7219798135955293E-10</v>
      </c>
      <c r="X114" s="128">
        <f t="shared" si="2"/>
        <v>7.6930461424654889E-10</v>
      </c>
      <c r="Y114" s="139">
        <f t="shared" si="3"/>
        <v>2.6020005152947223</v>
      </c>
      <c r="AA114" s="73"/>
      <c r="AB114" s="176"/>
      <c r="AC114" s="176"/>
      <c r="AD114" s="176"/>
      <c r="AJ114" s="135"/>
    </row>
    <row r="115" spans="9:36" x14ac:dyDescent="0.35">
      <c r="I115" s="109">
        <v>2.42054479262E-2</v>
      </c>
      <c r="J115" s="109">
        <v>8.8984803273107979E-10</v>
      </c>
      <c r="K115" s="109">
        <v>5.4834469123096709E-11</v>
      </c>
      <c r="L115" s="152">
        <v>8.7895173509797078E-10</v>
      </c>
      <c r="N115" s="18">
        <v>2.1825958389510033E-6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1183.8751813738236</v>
      </c>
      <c r="S115" s="57">
        <v>1.4082074914818771E-6</v>
      </c>
      <c r="U115" s="127">
        <v>6.7563412492214353E-10</v>
      </c>
      <c r="V115" s="127">
        <v>8.7895173509797078E-10</v>
      </c>
      <c r="W115" s="128">
        <v>1.1053841795498681E-9</v>
      </c>
      <c r="X115" s="128">
        <f t="shared" si="2"/>
        <v>8.8473044366698823E-10</v>
      </c>
      <c r="Y115" s="139">
        <f t="shared" si="3"/>
        <v>8.7101078561649028E-3</v>
      </c>
      <c r="AA115" s="73"/>
      <c r="AB115" s="176"/>
      <c r="AC115" s="176"/>
      <c r="AD115" s="176"/>
      <c r="AJ115" s="135"/>
    </row>
    <row r="116" spans="9:36" x14ac:dyDescent="0.35">
      <c r="I116" s="109">
        <v>2.4447502405500001E-2</v>
      </c>
      <c r="J116" s="109">
        <v>1.0354742959691084E-9</v>
      </c>
      <c r="K116" s="109">
        <v>5.8934006927126167E-11</v>
      </c>
      <c r="L116" s="152">
        <v>1.0110983448204626E-9</v>
      </c>
      <c r="N116" s="18">
        <v>2.1376338675293882E-6</v>
      </c>
      <c r="O116" s="18">
        <v>4.6783063108384949E-11</v>
      </c>
      <c r="P116" s="18">
        <v>1.9812380820908275E-12</v>
      </c>
      <c r="Q116" s="28">
        <v>1.281588875373888</v>
      </c>
      <c r="R116" s="60">
        <v>1184.4332170250884</v>
      </c>
      <c r="S116" s="57">
        <v>1.4082074914818771E-6</v>
      </c>
      <c r="U116" s="127">
        <v>7.8495824060650998E-10</v>
      </c>
      <c r="V116" s="127">
        <v>1.0110983448204626E-9</v>
      </c>
      <c r="W116" s="128">
        <v>1.2314898106927158E-9</v>
      </c>
      <c r="X116" s="128">
        <f t="shared" si="2"/>
        <v>1.0096611852350378E-9</v>
      </c>
      <c r="Y116" s="139">
        <f t="shared" si="3"/>
        <v>0.19184423336602369</v>
      </c>
      <c r="AA116" s="73"/>
      <c r="AB116" s="176"/>
      <c r="AC116" s="176"/>
      <c r="AD116" s="176"/>
      <c r="AJ116" s="135"/>
    </row>
    <row r="117" spans="9:36" x14ac:dyDescent="0.35">
      <c r="I117" s="109">
        <v>2.4691977429599998E-2</v>
      </c>
      <c r="J117" s="109">
        <v>1.0061540728495365E-9</v>
      </c>
      <c r="K117" s="109">
        <v>6.0356851764835154E-11</v>
      </c>
      <c r="L117" s="152">
        <v>1.1434373026683756E-9</v>
      </c>
      <c r="N117" s="18">
        <v>2.1065538090781624E-6</v>
      </c>
      <c r="O117" s="18">
        <v>4.7411337194824393E-11</v>
      </c>
      <c r="P117" s="18">
        <v>1.995701432178748E-12</v>
      </c>
      <c r="Q117" s="28">
        <v>1.7210815880741237</v>
      </c>
      <c r="R117" s="60">
        <v>1184.4332170250884</v>
      </c>
      <c r="S117" s="57">
        <v>1.3580348489587144E-6</v>
      </c>
      <c r="U117" s="127">
        <v>9.1105833014463538E-10</v>
      </c>
      <c r="V117" s="127">
        <v>1.1434373026683756E-9</v>
      </c>
      <c r="W117" s="128">
        <v>1.3398416744017087E-9</v>
      </c>
      <c r="X117" s="128">
        <f t="shared" si="2"/>
        <v>1.1344436524707738E-9</v>
      </c>
      <c r="Y117" s="139">
        <f t="shared" si="3"/>
        <v>4.5178271044063827</v>
      </c>
      <c r="AA117" s="73"/>
      <c r="AB117" s="176"/>
      <c r="AC117" s="176"/>
      <c r="AD117" s="176"/>
      <c r="AJ117" s="135"/>
    </row>
    <row r="118" spans="9:36" x14ac:dyDescent="0.35">
      <c r="I118" s="109">
        <v>2.4938897203899999E-2</v>
      </c>
      <c r="J118" s="109">
        <v>1.2596790438406937E-9</v>
      </c>
      <c r="K118" s="109">
        <v>6.7763903249074168E-11</v>
      </c>
      <c r="L118" s="152">
        <v>1.2652612865020217E-9</v>
      </c>
      <c r="N118" s="18">
        <v>2.1022593754138432E-6</v>
      </c>
      <c r="O118" s="18">
        <v>4.7498147887006942E-11</v>
      </c>
      <c r="P118" s="18">
        <v>1.9976998807213682E-12</v>
      </c>
      <c r="Q118" s="28">
        <v>100</v>
      </c>
      <c r="R118" s="60">
        <v>1184.9818786225471</v>
      </c>
      <c r="S118" s="57">
        <v>1.3580348489587144E-6</v>
      </c>
      <c r="U118" s="127">
        <v>1.0446782427635901E-9</v>
      </c>
      <c r="V118" s="127">
        <v>1.2652612865020217E-9</v>
      </c>
      <c r="W118" s="128">
        <v>1.4207222288643936E-9</v>
      </c>
      <c r="X118" s="128">
        <f t="shared" si="2"/>
        <v>1.2489807611580068E-9</v>
      </c>
      <c r="Y118" s="139">
        <f t="shared" si="3"/>
        <v>2.4924778691610614E-2</v>
      </c>
      <c r="AA118" s="73"/>
      <c r="AB118" s="176"/>
      <c r="AC118" s="176"/>
      <c r="AD118" s="176"/>
      <c r="AJ118" s="135"/>
    </row>
    <row r="119" spans="9:36" x14ac:dyDescent="0.35">
      <c r="I119" s="109">
        <v>2.51882861759E-2</v>
      </c>
      <c r="J119" s="109">
        <v>1.3596329416219666E-9</v>
      </c>
      <c r="K119" s="109">
        <v>6.9467341846232938E-11</v>
      </c>
      <c r="L119" s="152">
        <v>1.3661870130862435E-9</v>
      </c>
      <c r="R119" s="60">
        <v>1184.9818786225471</v>
      </c>
      <c r="S119" s="57">
        <v>1.3225106023902244E-6</v>
      </c>
      <c r="U119" s="127">
        <v>1.1754997184640283E-9</v>
      </c>
      <c r="V119" s="127">
        <v>1.3661870130862435E-9</v>
      </c>
      <c r="W119" s="128">
        <v>1.4662632836283475E-9</v>
      </c>
      <c r="X119" s="128">
        <f t="shared" si="2"/>
        <v>1.3435342570662155E-9</v>
      </c>
      <c r="Y119" s="139">
        <f t="shared" si="3"/>
        <v>5.3705581023290302E-2</v>
      </c>
      <c r="AA119" s="73"/>
      <c r="AB119" s="176"/>
      <c r="AC119" s="176"/>
      <c r="AD119" s="176"/>
      <c r="AJ119" s="135"/>
    </row>
    <row r="120" spans="9:36" x14ac:dyDescent="0.35">
      <c r="I120" s="109">
        <v>2.5440169037600002E-2</v>
      </c>
      <c r="J120" s="109">
        <v>1.359164888455027E-9</v>
      </c>
      <c r="K120" s="109">
        <v>7.1605704003481927E-11</v>
      </c>
      <c r="L120" s="152">
        <v>1.4370456902513117E-9</v>
      </c>
      <c r="R120" s="60">
        <v>1185.2091513498199</v>
      </c>
      <c r="S120" s="57">
        <v>1.3225106023902244E-6</v>
      </c>
      <c r="U120" s="127">
        <v>1.2929039429510743E-9</v>
      </c>
      <c r="V120" s="127">
        <v>1.4370456902513117E-9</v>
      </c>
      <c r="W120" s="128">
        <v>1.4712574745884241E-9</v>
      </c>
      <c r="X120" s="128">
        <f t="shared" si="2"/>
        <v>1.4095631995105304E-9</v>
      </c>
      <c r="Y120" s="139">
        <f t="shared" si="3"/>
        <v>0.49537801367396872</v>
      </c>
      <c r="AA120" s="73"/>
      <c r="AB120" s="176"/>
      <c r="AC120" s="176"/>
      <c r="AD120" s="176"/>
      <c r="AJ120" s="135"/>
    </row>
    <row r="121" spans="9:36" x14ac:dyDescent="0.35">
      <c r="I121" s="109">
        <v>2.5694570728E-2</v>
      </c>
      <c r="J121" s="109">
        <v>1.5657858651829274E-9</v>
      </c>
      <c r="K121" s="109">
        <v>8.2324226647003359E-11</v>
      </c>
      <c r="L121" s="152">
        <v>1.4707473644637811E-9</v>
      </c>
      <c r="R121" s="60">
        <v>1185.2091513498199</v>
      </c>
      <c r="S121" s="57">
        <v>1.2912662063765799E-6</v>
      </c>
      <c r="U121" s="127">
        <v>1.3868216404962793E-9</v>
      </c>
      <c r="V121" s="127">
        <v>1.4707473644637811E-9</v>
      </c>
      <c r="W121" s="128">
        <v>1.4338078165589816E-9</v>
      </c>
      <c r="X121" s="128">
        <f t="shared" si="2"/>
        <v>1.4405310464957059E-9</v>
      </c>
      <c r="Y121" s="139">
        <f t="shared" si="3"/>
        <v>2.314907094859918</v>
      </c>
      <c r="AA121" s="73"/>
      <c r="AB121" s="176"/>
      <c r="AC121" s="176"/>
      <c r="AD121" s="176"/>
      <c r="AJ121" s="135"/>
    </row>
    <row r="122" spans="9:36" x14ac:dyDescent="0.35">
      <c r="I122" s="109">
        <v>2.5951516435299998E-2</v>
      </c>
      <c r="J122" s="109">
        <v>1.4046921453229753E-9</v>
      </c>
      <c r="K122" s="109">
        <v>7.7658276151372482E-11</v>
      </c>
      <c r="L122" s="152">
        <v>1.4630425282612393E-9</v>
      </c>
      <c r="R122" s="60">
        <v>1185.6636968043654</v>
      </c>
      <c r="S122" s="57">
        <v>1.2912662063765799E-6</v>
      </c>
      <c r="U122" s="127">
        <v>1.4486105307864849E-9</v>
      </c>
      <c r="V122" s="127">
        <v>1.4630425282612393E-9</v>
      </c>
      <c r="W122" s="128">
        <v>1.3557387565196425E-9</v>
      </c>
      <c r="X122" s="128">
        <f t="shared" si="2"/>
        <v>1.4326085859571515E-9</v>
      </c>
      <c r="Y122" s="139">
        <f t="shared" si="3"/>
        <v>0.12922442174323906</v>
      </c>
      <c r="AA122" s="73"/>
      <c r="AB122" s="176"/>
      <c r="AC122" s="176"/>
      <c r="AD122" s="176"/>
      <c r="AJ122" s="135"/>
    </row>
    <row r="123" spans="9:36" x14ac:dyDescent="0.35">
      <c r="I123" s="109">
        <v>2.6211031599700001E-2</v>
      </c>
      <c r="J123" s="109">
        <v>1.2881039600198842E-9</v>
      </c>
      <c r="K123" s="109">
        <v>7.3341239280689653E-11</v>
      </c>
      <c r="L123" s="152">
        <v>1.4131028978590133E-9</v>
      </c>
      <c r="R123" s="60">
        <v>1185.6636968043654</v>
      </c>
      <c r="S123" s="57">
        <v>1.2500644983275659E-6</v>
      </c>
      <c r="U123" s="127">
        <v>1.4718894608953956E-9</v>
      </c>
      <c r="V123" s="127">
        <v>1.4131028978590133E-9</v>
      </c>
      <c r="W123" s="128">
        <v>1.2427026950015137E-9</v>
      </c>
      <c r="X123" s="128">
        <f t="shared" si="2"/>
        <v>1.3851994879037338E-9</v>
      </c>
      <c r="Y123" s="139">
        <f t="shared" si="3"/>
        <v>1.7526773171688388</v>
      </c>
      <c r="AA123" s="73"/>
      <c r="AB123" s="176"/>
      <c r="AC123" s="176"/>
      <c r="AD123" s="176"/>
      <c r="AJ123" s="135"/>
    </row>
    <row r="124" spans="9:36" x14ac:dyDescent="0.35">
      <c r="I124" s="109">
        <v>2.6473141915700001E-2</v>
      </c>
      <c r="J124" s="109">
        <v>1.3276621321055696E-9</v>
      </c>
      <c r="K124" s="109">
        <v>7.7018142637102091E-11</v>
      </c>
      <c r="L124" s="152">
        <v>1.323848202538718E-9</v>
      </c>
      <c r="R124" s="60">
        <v>1186.1182422589109</v>
      </c>
      <c r="S124" s="57">
        <v>1.2500644983275659E-6</v>
      </c>
      <c r="U124" s="127">
        <v>1.4532530810763142E-9</v>
      </c>
      <c r="V124" s="127">
        <v>1.323848202538718E-9</v>
      </c>
      <c r="W124" s="128">
        <v>1.1039349291023217E-9</v>
      </c>
      <c r="X124" s="128">
        <f t="shared" si="2"/>
        <v>1.3012211038140181E-9</v>
      </c>
      <c r="Y124" s="139">
        <f t="shared" si="3"/>
        <v>0.11786112975499298</v>
      </c>
      <c r="AA124" s="73"/>
      <c r="AB124" s="176"/>
      <c r="AC124" s="176"/>
      <c r="AD124" s="176"/>
      <c r="AJ124" s="135"/>
    </row>
    <row r="125" spans="9:36" x14ac:dyDescent="0.35">
      <c r="I125" s="109">
        <v>2.6737873334799999E-2</v>
      </c>
      <c r="J125" s="109">
        <v>1.2220658240513372E-9</v>
      </c>
      <c r="K125" s="109">
        <v>7.4850721194773196E-11</v>
      </c>
      <c r="L125" s="152">
        <v>1.2019583724454203E-9</v>
      </c>
      <c r="R125" s="60">
        <v>1186.1182422589109</v>
      </c>
      <c r="S125" s="57">
        <v>1.2098158708612479E-6</v>
      </c>
      <c r="U125" s="127">
        <v>1.3927908072926825E-9</v>
      </c>
      <c r="V125" s="127">
        <v>1.2019583724454203E-9</v>
      </c>
      <c r="W125" s="128">
        <v>9.5163767799644886E-10</v>
      </c>
      <c r="X125" s="128">
        <f t="shared" si="2"/>
        <v>1.1870863075449931E-9</v>
      </c>
      <c r="Y125" s="139">
        <f t="shared" si="3"/>
        <v>0.2183914471988834</v>
      </c>
      <c r="AA125" s="73"/>
      <c r="AB125" s="176"/>
      <c r="AC125" s="176"/>
      <c r="AD125" s="176"/>
      <c r="AJ125" s="135"/>
    </row>
    <row r="126" spans="9:36" x14ac:dyDescent="0.35">
      <c r="I126" s="109">
        <v>2.7005252068200002E-2</v>
      </c>
      <c r="J126" s="109">
        <v>9.6761107938694976E-10</v>
      </c>
      <c r="K126" s="109">
        <v>6.6837068184871441E-11</v>
      </c>
      <c r="L126" s="152">
        <v>1.0575314765109478E-9</v>
      </c>
      <c r="R126" s="60">
        <v>1186.5727877134564</v>
      </c>
      <c r="S126" s="57">
        <v>1.2098158708612479E-6</v>
      </c>
      <c r="U126" s="127">
        <v>1.2943402876887897E-9</v>
      </c>
      <c r="V126" s="127">
        <v>1.0575314765109478E-9</v>
      </c>
      <c r="W126" s="128">
        <v>8.0000934045889764E-10</v>
      </c>
      <c r="X126" s="128">
        <f t="shared" si="2"/>
        <v>1.0523531452923958E-9</v>
      </c>
      <c r="Y126" s="139">
        <f t="shared" si="3"/>
        <v>1.6075456410964317</v>
      </c>
      <c r="AA126" s="73"/>
      <c r="AB126" s="176"/>
      <c r="AC126" s="176"/>
      <c r="AD126" s="176"/>
      <c r="AJ126" s="135"/>
    </row>
    <row r="127" spans="9:36" x14ac:dyDescent="0.35">
      <c r="I127" s="109">
        <v>2.7275304588799999E-2</v>
      </c>
      <c r="J127" s="109">
        <v>8.5697489393416659E-10</v>
      </c>
      <c r="K127" s="109">
        <v>6.2823746388633388E-11</v>
      </c>
      <c r="L127" s="152">
        <v>9.033771003132977E-10</v>
      </c>
      <c r="R127" s="60">
        <v>1186.5727877134564</v>
      </c>
      <c r="S127" s="57">
        <v>1.1709739419417849E-6</v>
      </c>
      <c r="U127" s="127">
        <v>1.1654197798563387E-9</v>
      </c>
      <c r="V127" s="127">
        <v>9.033771003132977E-10</v>
      </c>
      <c r="W127" s="128">
        <v>6.63975872619802E-10</v>
      </c>
      <c r="X127" s="128">
        <f t="shared" si="2"/>
        <v>9.0903746327568408E-10</v>
      </c>
      <c r="Y127" s="139">
        <f t="shared" si="3"/>
        <v>0.68675769110716622</v>
      </c>
      <c r="AA127" s="73"/>
      <c r="AB127" s="176"/>
      <c r="AC127" s="176"/>
      <c r="AD127" s="176"/>
      <c r="AJ127" s="135"/>
    </row>
    <row r="128" spans="9:36" x14ac:dyDescent="0.35">
      <c r="I128" s="109">
        <v>2.7548057634700002E-2</v>
      </c>
      <c r="J128" s="109">
        <v>7.4313338607581516E-10</v>
      </c>
      <c r="K128" s="109">
        <v>6.0921026852232197E-11</v>
      </c>
      <c r="L128" s="152">
        <v>7.5397123038690818E-10</v>
      </c>
      <c r="R128" s="60">
        <v>1187.0273331680019</v>
      </c>
      <c r="S128" s="57">
        <v>1.1709739419417849E-6</v>
      </c>
      <c r="U128" s="127">
        <v>1.0168063441915717E-9</v>
      </c>
      <c r="V128" s="127">
        <v>7.5397123038690818E-10</v>
      </c>
      <c r="W128" s="128">
        <v>5.5772295676636473E-10</v>
      </c>
      <c r="X128" s="128">
        <f t="shared" si="2"/>
        <v>7.7061794043293816E-10</v>
      </c>
      <c r="Y128" s="139">
        <f t="shared" si="3"/>
        <v>0.20353681263612242</v>
      </c>
      <c r="AA128" s="73"/>
      <c r="AB128" s="176"/>
      <c r="AC128" s="176"/>
      <c r="AD128" s="176"/>
      <c r="AJ128" s="135"/>
    </row>
    <row r="129" spans="9:36" x14ac:dyDescent="0.35">
      <c r="I129" s="109">
        <v>2.78235382111E-2</v>
      </c>
      <c r="J129" s="109">
        <v>5.9901244053044145E-10</v>
      </c>
      <c r="K129" s="109">
        <v>5.6814359351854028E-11</v>
      </c>
      <c r="L129" s="152">
        <v>6.2413923937926961E-10</v>
      </c>
      <c r="R129" s="60">
        <v>1187.0273331680019</v>
      </c>
      <c r="S129" s="57">
        <v>1.1339773201121999E-6</v>
      </c>
      <c r="U129" s="127">
        <v>8.6175723714652513E-10</v>
      </c>
      <c r="V129" s="127">
        <v>6.2413923937926961E-10</v>
      </c>
      <c r="W129" s="128">
        <v>4.931649082240474E-10</v>
      </c>
      <c r="X129" s="128">
        <f t="shared" si="2"/>
        <v>6.5080015603227801E-10</v>
      </c>
      <c r="Y129" s="139">
        <f t="shared" si="3"/>
        <v>0.83087803720060027</v>
      </c>
      <c r="AA129" s="73"/>
      <c r="AB129" s="176"/>
      <c r="AC129" s="176"/>
      <c r="AD129" s="176"/>
      <c r="AJ129" s="135"/>
    </row>
    <row r="130" spans="9:36" x14ac:dyDescent="0.35">
      <c r="I130" s="109">
        <v>2.81017735932E-2</v>
      </c>
      <c r="J130" s="109">
        <v>5.9358357236602008E-10</v>
      </c>
      <c r="K130" s="109">
        <v>5.5004528535828227E-11</v>
      </c>
      <c r="L130" s="152">
        <v>5.2757379180918348E-10</v>
      </c>
      <c r="R130" s="60">
        <v>1187.4818786225474</v>
      </c>
      <c r="S130" s="57">
        <v>1.1339773201121999E-6</v>
      </c>
      <c r="U130" s="127">
        <v>7.1490869455440116E-10</v>
      </c>
      <c r="V130" s="127">
        <v>5.2757379180918348E-10</v>
      </c>
      <c r="W130" s="127">
        <v>4.7851286785422763E-10</v>
      </c>
      <c r="X130" s="128">
        <f t="shared" si="2"/>
        <v>5.6214228650674891E-10</v>
      </c>
      <c r="Y130" s="139">
        <f t="shared" si="3"/>
        <v>0.32674105366652212</v>
      </c>
      <c r="AA130" s="73"/>
      <c r="AB130" s="176"/>
      <c r="AC130" s="176"/>
      <c r="AD130" s="176"/>
      <c r="AJ130" s="135"/>
    </row>
    <row r="131" spans="9:36" x14ac:dyDescent="0.35">
      <c r="I131" s="109">
        <v>2.8382791329100002E-2</v>
      </c>
      <c r="J131" s="49">
        <v>5.8941703688628876E-10</v>
      </c>
      <c r="K131" s="49">
        <v>5.8060570753984987E-11</v>
      </c>
      <c r="L131" s="152">
        <v>4.7532885068340525E-10</v>
      </c>
      <c r="R131" s="60">
        <v>1187.4818786225474</v>
      </c>
      <c r="S131" s="57">
        <v>1.0992655912283237E-6</v>
      </c>
      <c r="U131" s="127">
        <v>5.909262838953114E-10</v>
      </c>
      <c r="V131" s="127">
        <v>4.7532885068340525E-10</v>
      </c>
      <c r="W131" s="127">
        <v>5.1711508709304798E-10</v>
      </c>
      <c r="X131" s="128">
        <f t="shared" ref="X131:X194" si="4">(U131+2*V131+W131)/4</f>
        <v>5.1467476808879247E-10</v>
      </c>
      <c r="Y131" s="139">
        <f t="shared" ref="Y131:Y194" si="5">(J131-X131)*(J131-X131)/(K131*K131)</f>
        <v>1.6571810247983896</v>
      </c>
      <c r="AA131" s="73"/>
      <c r="AB131" s="176"/>
      <c r="AC131" s="176"/>
      <c r="AD131" s="176"/>
      <c r="AJ131" s="135"/>
    </row>
    <row r="132" spans="9:36" x14ac:dyDescent="0.35">
      <c r="I132" s="109">
        <v>2.86666192424E-2</v>
      </c>
      <c r="J132" s="49">
        <v>5.342568600866649E-10</v>
      </c>
      <c r="K132" s="49">
        <v>5.778534105120343E-11</v>
      </c>
      <c r="L132" s="152">
        <v>4.7445354010395055E-10</v>
      </c>
      <c r="R132" s="60">
        <v>1187.9364240770929</v>
      </c>
      <c r="S132" s="57">
        <v>1.0992655912283237E-6</v>
      </c>
      <c r="U132" s="127">
        <v>5.0301959996205677E-10</v>
      </c>
      <c r="V132" s="127">
        <v>4.7445354010395055E-10</v>
      </c>
      <c r="W132" s="127">
        <v>6.0673197697423987E-10</v>
      </c>
      <c r="X132" s="128">
        <f t="shared" si="4"/>
        <v>5.1466466428604941E-10</v>
      </c>
      <c r="Y132" s="139">
        <f t="shared" si="5"/>
        <v>0.11495579337570462</v>
      </c>
      <c r="AA132" s="73"/>
      <c r="AB132" s="176"/>
      <c r="AC132" s="176"/>
      <c r="AD132" s="176"/>
      <c r="AJ132" s="135"/>
    </row>
    <row r="133" spans="9:36" x14ac:dyDescent="0.35">
      <c r="I133" s="109">
        <v>2.89532854348E-2</v>
      </c>
      <c r="J133" s="49">
        <v>7.0661203804190446E-10</v>
      </c>
      <c r="K133" s="49">
        <v>6.8022544716023419E-11</v>
      </c>
      <c r="L133" s="152">
        <v>5.269352140333153E-10</v>
      </c>
      <c r="R133" s="60">
        <v>1187.9364240770929</v>
      </c>
      <c r="S133" s="57">
        <v>1.0673165945351783E-6</v>
      </c>
      <c r="U133" s="127">
        <v>4.6146576725151471E-10</v>
      </c>
      <c r="V133" s="127">
        <v>5.269352140333153E-10</v>
      </c>
      <c r="W133" s="127">
        <v>7.3937659257241145E-10</v>
      </c>
      <c r="X133" s="128">
        <f t="shared" si="4"/>
        <v>5.6367819697263922E-10</v>
      </c>
      <c r="Y133" s="139">
        <f t="shared" si="5"/>
        <v>4.4153423182933835</v>
      </c>
      <c r="AA133" s="73"/>
      <c r="AB133" s="176"/>
      <c r="AC133" s="176"/>
      <c r="AD133" s="176"/>
      <c r="AJ133" s="135"/>
    </row>
    <row r="134" spans="9:36" x14ac:dyDescent="0.35">
      <c r="I134" s="109">
        <v>2.9242818289200001E-2</v>
      </c>
      <c r="J134" s="49">
        <v>8.6267055445928689E-10</v>
      </c>
      <c r="K134" s="49">
        <v>7.5831232042009581E-11</v>
      </c>
      <c r="L134" s="152">
        <v>6.2910628258363721E-10</v>
      </c>
      <c r="R134" s="60">
        <v>1188.3909695316383</v>
      </c>
      <c r="S134" s="57">
        <v>1.0673165945351783E-6</v>
      </c>
      <c r="U134" s="127">
        <v>4.7230535276428382E-10</v>
      </c>
      <c r="V134" s="127">
        <v>6.2910628258363721E-10</v>
      </c>
      <c r="W134" s="127">
        <v>9.0179891592606453E-10</v>
      </c>
      <c r="X134" s="128">
        <f t="shared" si="4"/>
        <v>6.5807920846440564E-10</v>
      </c>
      <c r="Y134" s="139">
        <f t="shared" si="5"/>
        <v>7.2791102101621172</v>
      </c>
      <c r="AA134" s="73"/>
      <c r="AB134" s="176"/>
      <c r="AC134" s="176"/>
      <c r="AD134" s="176"/>
      <c r="AJ134" s="135"/>
    </row>
    <row r="135" spans="9:36" x14ac:dyDescent="0.35">
      <c r="I135" s="109">
        <v>2.9535246472099999E-2</v>
      </c>
      <c r="J135" s="49">
        <v>8.7872696048941498E-10</v>
      </c>
      <c r="K135" s="49">
        <v>7.4608407673734544E-11</v>
      </c>
      <c r="L135" s="152">
        <v>7.7163331864747456E-10</v>
      </c>
      <c r="R135" s="60">
        <v>1188.3909695316383</v>
      </c>
      <c r="S135" s="57">
        <v>1.0387119420852871E-6</v>
      </c>
      <c r="U135" s="127">
        <v>5.3637611946680325E-10</v>
      </c>
      <c r="V135" s="127">
        <v>7.7163331864747456E-10</v>
      </c>
      <c r="W135" s="127">
        <v>1.0766241371211081E-9</v>
      </c>
      <c r="X135" s="128">
        <f t="shared" si="4"/>
        <v>7.8906672347071514E-10</v>
      </c>
      <c r="Y135" s="139">
        <f t="shared" si="5"/>
        <v>1.4441896320493521</v>
      </c>
      <c r="AA135" s="73"/>
      <c r="AB135" s="176"/>
      <c r="AC135" s="176"/>
      <c r="AD135" s="176"/>
      <c r="AJ135" s="135"/>
    </row>
    <row r="136" spans="9:36" x14ac:dyDescent="0.35">
      <c r="I136" s="109">
        <v>2.9830598936799999E-2</v>
      </c>
      <c r="J136" s="49">
        <v>8.040041461014348E-10</v>
      </c>
      <c r="K136" s="49">
        <v>7.5295857207531222E-11</v>
      </c>
      <c r="L136" s="152">
        <v>9.401517881044627E-10</v>
      </c>
      <c r="R136" s="60">
        <v>1188.8455149861838</v>
      </c>
      <c r="S136" s="57">
        <v>1.0387119420852871E-6</v>
      </c>
      <c r="U136" s="127">
        <v>6.4883165465080855E-10</v>
      </c>
      <c r="V136" s="127">
        <v>9.401517881044627E-10</v>
      </c>
      <c r="W136" s="127">
        <v>1.244077852940977E-9</v>
      </c>
      <c r="X136" s="128">
        <f t="shared" si="4"/>
        <v>9.4330327095017775E-10</v>
      </c>
      <c r="Y136" s="139">
        <f t="shared" si="5"/>
        <v>3.4225879118393738</v>
      </c>
      <c r="AA136" s="73"/>
      <c r="AB136" s="176"/>
      <c r="AC136" s="176"/>
      <c r="AD136" s="176"/>
      <c r="AJ136" s="135"/>
    </row>
    <row r="137" spans="9:36" x14ac:dyDescent="0.35">
      <c r="I137" s="109">
        <v>3.01289049262E-2</v>
      </c>
      <c r="J137" s="49">
        <v>1.2061246913756816E-9</v>
      </c>
      <c r="K137" s="49">
        <v>9.2520813114302278E-11</v>
      </c>
      <c r="L137" s="152">
        <v>1.1165401964187478E-9</v>
      </c>
      <c r="R137" s="60">
        <v>1188.8455149861838</v>
      </c>
      <c r="S137" s="57">
        <v>1.0142353430086302E-6</v>
      </c>
      <c r="U137" s="127">
        <v>7.9925293351918876E-10</v>
      </c>
      <c r="V137" s="127">
        <v>1.1165401964187478E-9</v>
      </c>
      <c r="W137" s="127">
        <v>1.3841528454144479E-9</v>
      </c>
      <c r="X137" s="128">
        <f t="shared" si="4"/>
        <v>1.1041215429427831E-9</v>
      </c>
      <c r="Y137" s="139">
        <f t="shared" si="5"/>
        <v>1.2154812730835387</v>
      </c>
      <c r="AA137" s="73"/>
      <c r="AB137" s="176"/>
      <c r="AC137" s="176"/>
      <c r="AD137" s="176"/>
      <c r="AJ137" s="135"/>
    </row>
    <row r="138" spans="9:36" x14ac:dyDescent="0.35">
      <c r="I138" s="109">
        <v>3.0430193975400002E-2</v>
      </c>
      <c r="J138" s="49">
        <v>1.2902582344983263E-9</v>
      </c>
      <c r="K138" s="49">
        <v>9.8090091390342099E-11</v>
      </c>
      <c r="L138" s="152">
        <v>1.2807503866219708E-9</v>
      </c>
      <c r="R138" s="60">
        <v>1189.3000604407293</v>
      </c>
      <c r="S138" s="57">
        <v>1.0142353430086302E-6</v>
      </c>
      <c r="U138" s="127">
        <v>9.7240375761774266E-10</v>
      </c>
      <c r="V138" s="127">
        <v>1.2807503866219708E-9</v>
      </c>
      <c r="W138" s="127">
        <v>1.4790016069261374E-9</v>
      </c>
      <c r="X138" s="128">
        <f t="shared" si="4"/>
        <v>1.2532265344469553E-9</v>
      </c>
      <c r="Y138" s="139">
        <f t="shared" si="5"/>
        <v>0.14252695994293713</v>
      </c>
      <c r="AA138" s="73"/>
      <c r="AB138" s="176"/>
      <c r="AC138" s="176"/>
      <c r="AD138" s="176"/>
      <c r="AJ138" s="135"/>
    </row>
    <row r="139" spans="9:36" x14ac:dyDescent="0.35">
      <c r="I139" s="109">
        <v>3.07344959152E-2</v>
      </c>
      <c r="J139" s="49">
        <v>1.275087141211824E-9</v>
      </c>
      <c r="K139" s="49">
        <v>1.0507302897900953E-10</v>
      </c>
      <c r="L139" s="152">
        <v>1.4130342930462699E-9</v>
      </c>
      <c r="R139" s="60">
        <v>1189.3000604407293</v>
      </c>
      <c r="S139" s="57">
        <v>9.9500155020472269E-7</v>
      </c>
      <c r="U139" s="127">
        <v>1.1496107192818571E-9</v>
      </c>
      <c r="V139" s="127">
        <v>1.4130342930462699E-9</v>
      </c>
      <c r="W139" s="127">
        <v>1.5152847707271814E-9</v>
      </c>
      <c r="X139" s="128">
        <f t="shared" si="4"/>
        <v>1.3727410190253945E-9</v>
      </c>
      <c r="Y139" s="139">
        <f t="shared" si="5"/>
        <v>0.86376675233687905</v>
      </c>
      <c r="AA139" s="73"/>
      <c r="AB139" s="176"/>
      <c r="AC139" s="176"/>
      <c r="AD139" s="176"/>
      <c r="AJ139" s="135"/>
    </row>
    <row r="140" spans="9:36" x14ac:dyDescent="0.35">
      <c r="I140" s="109">
        <v>3.1041840874300002E-2</v>
      </c>
      <c r="J140" s="49">
        <v>1.347577157843209E-9</v>
      </c>
      <c r="K140" s="49">
        <v>1.0525621035041504E-10</v>
      </c>
      <c r="L140" s="152">
        <v>1.4963403186613132E-9</v>
      </c>
      <c r="R140" s="60">
        <v>1189.7546058952748</v>
      </c>
      <c r="S140" s="57">
        <v>9.9500155020472269E-7</v>
      </c>
      <c r="U140" s="127">
        <v>1.3106717973952316E-9</v>
      </c>
      <c r="V140" s="127">
        <v>1.4963403186613132E-9</v>
      </c>
      <c r="W140" s="127">
        <v>1.4861764253009763E-9</v>
      </c>
      <c r="X140" s="128">
        <f t="shared" si="4"/>
        <v>1.4473822150047084E-9</v>
      </c>
      <c r="Y140" s="139">
        <f t="shared" si="5"/>
        <v>0.89910339224565605</v>
      </c>
      <c r="AA140" s="73"/>
      <c r="AB140" s="176"/>
      <c r="AC140" s="176"/>
      <c r="AD140" s="176"/>
      <c r="AJ140" s="135"/>
    </row>
    <row r="141" spans="9:36" x14ac:dyDescent="0.35">
      <c r="I141" s="109">
        <v>3.1352259283100002E-2</v>
      </c>
      <c r="J141" s="49">
        <v>1.4545457378267787E-9</v>
      </c>
      <c r="K141" s="49">
        <v>1.1189290119831374E-10</v>
      </c>
      <c r="L141" s="152">
        <v>1.5186033349441032E-9</v>
      </c>
      <c r="R141" s="60">
        <v>1189.7546058952748</v>
      </c>
      <c r="S141" s="57">
        <v>9.8260143185214048E-7</v>
      </c>
      <c r="U141" s="127">
        <v>1.4361230027572731E-9</v>
      </c>
      <c r="V141" s="127">
        <v>1.5186033349441032E-9</v>
      </c>
      <c r="W141" s="127">
        <v>1.3927304774616047E-9</v>
      </c>
      <c r="X141" s="128">
        <f t="shared" si="4"/>
        <v>1.466515037526771E-9</v>
      </c>
      <c r="Y141" s="139">
        <f t="shared" si="5"/>
        <v>1.1442802806319608E-2</v>
      </c>
      <c r="AA141" s="73"/>
      <c r="AB141" s="176"/>
      <c r="AC141" s="176"/>
      <c r="AD141" s="176"/>
      <c r="AJ141" s="135"/>
    </row>
    <row r="142" spans="9:36" x14ac:dyDescent="0.35">
      <c r="I142" s="109">
        <v>3.1665781875900002E-2</v>
      </c>
      <c r="J142" s="49">
        <v>1.3617466434242452E-9</v>
      </c>
      <c r="K142" s="49">
        <v>1.1141836025781429E-10</v>
      </c>
      <c r="L142" s="152">
        <v>1.4746293409054092E-9</v>
      </c>
      <c r="R142" s="60">
        <v>1190.2091513498203</v>
      </c>
      <c r="S142" s="57">
        <v>9.8260143185214048E-7</v>
      </c>
      <c r="U142" s="127">
        <v>1.5096282787245916E-9</v>
      </c>
      <c r="V142" s="127">
        <v>1.4746293409054092E-9</v>
      </c>
      <c r="W142" s="127">
        <v>1.2443537102287784E-9</v>
      </c>
      <c r="X142" s="128">
        <f t="shared" si="4"/>
        <v>1.4258101676910471E-9</v>
      </c>
      <c r="Y142" s="139">
        <f t="shared" si="5"/>
        <v>0.33060401803112938</v>
      </c>
      <c r="AA142" s="73"/>
      <c r="AB142" s="176"/>
      <c r="AC142" s="176"/>
      <c r="AD142" s="176"/>
      <c r="AJ142" s="135"/>
    </row>
    <row r="143" spans="9:36" x14ac:dyDescent="0.35">
      <c r="I143" s="109">
        <v>3.19824396947E-2</v>
      </c>
      <c r="J143" s="49">
        <v>1.0455642622442285E-9</v>
      </c>
      <c r="K143" s="49">
        <v>9.9768299016724999E-11</v>
      </c>
      <c r="L143" s="152">
        <v>1.3672863773236405E-9</v>
      </c>
      <c r="R143" s="60">
        <v>1190.2091513498203</v>
      </c>
      <c r="S143" s="57">
        <v>9.7923142274310405E-7</v>
      </c>
      <c r="U143" s="127">
        <v>1.5202127651000914E-9</v>
      </c>
      <c r="V143" s="127">
        <v>1.3672863773236405E-9</v>
      </c>
      <c r="W143" s="127">
        <v>1.0582138764180754E-9</v>
      </c>
      <c r="X143" s="128">
        <f t="shared" si="4"/>
        <v>1.328249849041362E-9</v>
      </c>
      <c r="Y143" s="139">
        <f t="shared" si="5"/>
        <v>8.0282741786403893</v>
      </c>
      <c r="AA143" s="73"/>
      <c r="AB143" s="176"/>
      <c r="AC143" s="176"/>
      <c r="AD143" s="176"/>
      <c r="AJ143" s="135"/>
    </row>
    <row r="144" spans="9:36" x14ac:dyDescent="0.35">
      <c r="I144" s="109">
        <v>3.2302264091600003E-2</v>
      </c>
      <c r="J144" s="49">
        <v>1.1641787233857165E-9</v>
      </c>
      <c r="K144" s="49">
        <v>1.0387799331876165E-10</v>
      </c>
      <c r="L144" s="152">
        <v>1.2077627738594363E-9</v>
      </c>
      <c r="O144" s="30"/>
      <c r="R144" s="60">
        <v>1190.6636968043658</v>
      </c>
      <c r="S144" s="57">
        <v>9.7923142274310405E-7</v>
      </c>
      <c r="U144" s="127">
        <v>1.4640417080837147E-9</v>
      </c>
      <c r="V144" s="127">
        <v>1.2077627738594363E-9</v>
      </c>
      <c r="W144" s="127">
        <v>8.5753300307622944E-10</v>
      </c>
      <c r="X144" s="128">
        <f t="shared" si="4"/>
        <v>1.1842750647197041E-9</v>
      </c>
      <c r="Y144" s="139">
        <f t="shared" si="5"/>
        <v>3.7427161756139464E-2</v>
      </c>
      <c r="AA144" s="73"/>
      <c r="AB144" s="176"/>
      <c r="AC144" s="176"/>
      <c r="AD144" s="176"/>
      <c r="AJ144" s="135"/>
    </row>
    <row r="145" spans="9:36" x14ac:dyDescent="0.35">
      <c r="I145" s="109">
        <v>3.2625286732500001E-2</v>
      </c>
      <c r="J145" s="49">
        <v>8.3912423525166602E-10</v>
      </c>
      <c r="K145" s="49">
        <v>9.1346123740354958E-11</v>
      </c>
      <c r="L145" s="152">
        <v>1.014744190122667E-9</v>
      </c>
      <c r="R145" s="60">
        <v>1190.6636968043658</v>
      </c>
      <c r="S145" s="57">
        <v>9.8775729377195817E-7</v>
      </c>
      <c r="U145" s="127">
        <v>1.3454638378126914E-9</v>
      </c>
      <c r="V145" s="127">
        <v>1.014744190122667E-9</v>
      </c>
      <c r="W145" s="127">
        <v>6.6886797265403665E-10</v>
      </c>
      <c r="X145" s="128">
        <f t="shared" si="4"/>
        <v>1.0109550476780156E-9</v>
      </c>
      <c r="Y145" s="139">
        <f t="shared" si="5"/>
        <v>3.5385215204779801</v>
      </c>
      <c r="AA145" s="73"/>
      <c r="AB145" s="176"/>
      <c r="AC145" s="176"/>
      <c r="AD145" s="176"/>
      <c r="AJ145" s="135"/>
    </row>
    <row r="146" spans="9:36" x14ac:dyDescent="0.35">
      <c r="I146" s="109">
        <v>3.29515395999E-2</v>
      </c>
      <c r="J146" s="49">
        <v>7.9033641156891483E-10</v>
      </c>
      <c r="K146" s="49">
        <v>9.3621180118758299E-11</v>
      </c>
      <c r="L146" s="152">
        <v>8.1248877516936396E-10</v>
      </c>
      <c r="R146" s="60">
        <v>1191.1182422589113</v>
      </c>
      <c r="S146" s="57">
        <v>9.8775729377195817E-7</v>
      </c>
      <c r="U146" s="127">
        <v>1.1770938476898615E-9</v>
      </c>
      <c r="V146" s="127">
        <v>8.1248877516936396E-10</v>
      </c>
      <c r="W146" s="127">
        <v>5.1864515956007682E-10</v>
      </c>
      <c r="X146" s="128">
        <f t="shared" si="4"/>
        <v>8.301791393971665E-10</v>
      </c>
      <c r="Y146" s="139">
        <f t="shared" si="5"/>
        <v>0.18111311783712916</v>
      </c>
      <c r="AA146" s="73"/>
      <c r="AB146" s="176"/>
      <c r="AC146" s="176"/>
      <c r="AD146" s="176"/>
      <c r="AJ146" s="135"/>
    </row>
    <row r="147" spans="9:36" x14ac:dyDescent="0.35">
      <c r="I147" s="109">
        <v>3.3281054995899999E-2</v>
      </c>
      <c r="J147" s="49">
        <v>6.2462159783488985E-10</v>
      </c>
      <c r="K147" s="49">
        <v>8.570917865327293E-11</v>
      </c>
      <c r="L147" s="152">
        <v>6.2793447550750839E-10</v>
      </c>
      <c r="R147" s="60">
        <v>1191.1182422589113</v>
      </c>
      <c r="S147" s="57">
        <v>1.0116503734811152E-6</v>
      </c>
      <c r="U147" s="127">
        <v>9.7880484690467036E-10</v>
      </c>
      <c r="V147" s="127">
        <v>6.2793447550750839E-10</v>
      </c>
      <c r="W147" s="127">
        <v>4.29368704363079E-10</v>
      </c>
      <c r="X147" s="128">
        <f t="shared" si="4"/>
        <v>6.660106255706915E-10</v>
      </c>
      <c r="Y147" s="139">
        <f t="shared" si="5"/>
        <v>0.23319314654576478</v>
      </c>
      <c r="AA147" s="73"/>
      <c r="AB147" s="176"/>
      <c r="AC147" s="176"/>
      <c r="AD147" s="176"/>
      <c r="AJ147" s="135"/>
    </row>
    <row r="148" spans="9:36" x14ac:dyDescent="0.35">
      <c r="I148" s="109">
        <v>3.3613865545800002E-2</v>
      </c>
      <c r="J148" s="49">
        <v>6.309640024460927E-10</v>
      </c>
      <c r="K148" s="49">
        <v>8.2677602708314918E-11</v>
      </c>
      <c r="L148" s="152">
        <v>4.8713544823714663E-10</v>
      </c>
      <c r="R148" s="60">
        <v>1191.5727877134568</v>
      </c>
      <c r="S148" s="57">
        <v>1.0116503734811152E-6</v>
      </c>
      <c r="U148" s="127">
        <v>7.7563377860670155E-10</v>
      </c>
      <c r="V148" s="127">
        <v>4.8713544823714663E-10</v>
      </c>
      <c r="W148" s="127">
        <v>4.1603386674664921E-10</v>
      </c>
      <c r="X148" s="128">
        <f t="shared" si="4"/>
        <v>5.4148463545691104E-10</v>
      </c>
      <c r="Y148" s="139">
        <f t="shared" si="5"/>
        <v>1.1713051564230625</v>
      </c>
      <c r="AA148" s="73"/>
      <c r="AB148" s="176"/>
      <c r="AC148" s="176"/>
      <c r="AD148" s="176"/>
      <c r="AJ148" s="135"/>
    </row>
    <row r="149" spans="9:36" x14ac:dyDescent="0.35">
      <c r="I149" s="109">
        <v>3.3950004201300003E-2</v>
      </c>
      <c r="J149" s="49">
        <v>5.3679592522936942E-10</v>
      </c>
      <c r="K149" s="49">
        <v>7.9586992733899108E-11</v>
      </c>
      <c r="L149" s="152">
        <v>4.1147022400900226E-10</v>
      </c>
      <c r="R149" s="60">
        <v>1191.5727877134568</v>
      </c>
      <c r="S149" s="57">
        <v>1.0547389116116569E-6</v>
      </c>
      <c r="U149" s="127">
        <v>5.9475896897962451E-10</v>
      </c>
      <c r="V149" s="127">
        <v>4.1147022400900226E-10</v>
      </c>
      <c r="W149" s="127">
        <v>4.8331989512771616E-10</v>
      </c>
      <c r="X149" s="128">
        <f t="shared" si="4"/>
        <v>4.752548280313363E-10</v>
      </c>
      <c r="Y149" s="139">
        <f t="shared" si="5"/>
        <v>0.5979244051888698</v>
      </c>
      <c r="AA149" s="73"/>
      <c r="AB149" s="176"/>
      <c r="AC149" s="176"/>
      <c r="AD149" s="176"/>
      <c r="AJ149" s="135"/>
    </row>
    <row r="150" spans="9:36" x14ac:dyDescent="0.35">
      <c r="I150" s="109">
        <v>3.4289504243299997E-2</v>
      </c>
      <c r="J150" s="49">
        <v>5.6650125501358103E-10</v>
      </c>
      <c r="K150" s="49">
        <v>8.360765618432315E-11</v>
      </c>
      <c r="L150" s="152">
        <v>4.1416395433638069E-10</v>
      </c>
      <c r="R150" s="60">
        <v>1192.0273331680023</v>
      </c>
      <c r="S150" s="57">
        <v>1.0547389116116569E-6</v>
      </c>
      <c r="U150" s="127">
        <v>4.6186960348092605E-10</v>
      </c>
      <c r="V150" s="127">
        <v>4.1416395433638069E-10</v>
      </c>
      <c r="W150" s="127">
        <v>6.2409078684444562E-10</v>
      </c>
      <c r="X150" s="128">
        <f t="shared" si="4"/>
        <v>4.785720747495332E-10</v>
      </c>
      <c r="Y150" s="139">
        <f t="shared" si="5"/>
        <v>1.1060479398366492</v>
      </c>
      <c r="AA150" s="73"/>
      <c r="AB150" s="176"/>
      <c r="AC150" s="176"/>
      <c r="AD150" s="176"/>
      <c r="AJ150" s="135"/>
    </row>
    <row r="151" spans="9:36" x14ac:dyDescent="0.35">
      <c r="I151" s="109">
        <v>3.46323992857E-2</v>
      </c>
      <c r="J151" s="49">
        <v>6.6036631858596329E-10</v>
      </c>
      <c r="K151" s="49">
        <v>8.9638137282422044E-11</v>
      </c>
      <c r="L151" s="152">
        <v>4.9769430996103848E-10</v>
      </c>
      <c r="R151" s="60">
        <v>1192.0273331680023</v>
      </c>
      <c r="S151" s="57">
        <v>1.1207463981038847E-6</v>
      </c>
      <c r="U151" s="127">
        <v>3.9738618413068356E-10</v>
      </c>
      <c r="V151" s="127">
        <v>4.9769430996103848E-10</v>
      </c>
      <c r="W151" s="127">
        <v>8.1959060938102663E-10</v>
      </c>
      <c r="X151" s="128">
        <f t="shared" si="4"/>
        <v>5.5309135335844677E-10</v>
      </c>
      <c r="Y151" s="139">
        <f t="shared" si="5"/>
        <v>1.4322245658890405</v>
      </c>
      <c r="AA151" s="73"/>
      <c r="AB151" s="176"/>
      <c r="AC151" s="176"/>
      <c r="AD151" s="176"/>
      <c r="AJ151" s="135"/>
    </row>
    <row r="152" spans="9:36" x14ac:dyDescent="0.35">
      <c r="I152" s="109">
        <v>3.49787232786E-2</v>
      </c>
      <c r="J152" s="49">
        <v>7.6768707043689213E-10</v>
      </c>
      <c r="K152" s="49">
        <v>9.6670625866241095E-11</v>
      </c>
      <c r="L152" s="152">
        <v>6.5258757463107204E-10</v>
      </c>
      <c r="R152" s="60">
        <v>1192.4818786225478</v>
      </c>
      <c r="S152" s="57">
        <v>1.1207463981038847E-6</v>
      </c>
      <c r="U152" s="127">
        <v>4.1308061727976533E-10</v>
      </c>
      <c r="V152" s="127">
        <v>6.5258757463107204E-10</v>
      </c>
      <c r="W152" s="127">
        <v>1.0414930939186275E-9</v>
      </c>
      <c r="X152" s="128">
        <f t="shared" si="4"/>
        <v>6.8993721511513423E-10</v>
      </c>
      <c r="Y152" s="139">
        <f t="shared" si="5"/>
        <v>0.64685973496220284</v>
      </c>
      <c r="AA152" s="73"/>
      <c r="AB152" s="176"/>
      <c r="AC152" s="176"/>
      <c r="AD152" s="176"/>
      <c r="AJ152" s="135"/>
    </row>
    <row r="153" spans="9:36" x14ac:dyDescent="0.35">
      <c r="I153" s="109">
        <v>3.5328510511399999E-2</v>
      </c>
      <c r="J153" s="49">
        <v>8.4954935587464884E-10</v>
      </c>
      <c r="K153" s="49">
        <v>1.1065138428247394E-10</v>
      </c>
      <c r="L153" s="152">
        <v>8.5795445710557265E-10</v>
      </c>
      <c r="R153" s="60">
        <v>1192.4818786225478</v>
      </c>
      <c r="S153" s="57">
        <v>1.2126434267868568E-6</v>
      </c>
      <c r="U153" s="127">
        <v>5.0965935664352174E-10</v>
      </c>
      <c r="V153" s="127">
        <v>8.5795445710557265E-10</v>
      </c>
      <c r="W153" s="127">
        <v>1.2556801682663129E-9</v>
      </c>
      <c r="X153" s="128">
        <f t="shared" si="4"/>
        <v>8.7031210978024495E-10</v>
      </c>
      <c r="Y153" s="139">
        <f t="shared" si="5"/>
        <v>3.5209204258775259E-2</v>
      </c>
      <c r="AA153" s="73"/>
      <c r="AB153" s="176"/>
      <c r="AC153" s="176"/>
      <c r="AD153" s="176"/>
      <c r="AJ153" s="135"/>
    </row>
    <row r="154" spans="9:36" x14ac:dyDescent="0.35">
      <c r="I154" s="109">
        <v>3.5681795616499999E-2</v>
      </c>
      <c r="J154" s="49">
        <v>1.2304176579400606E-9</v>
      </c>
      <c r="K154" s="49">
        <v>1.2793626221944448E-10</v>
      </c>
      <c r="L154" s="152">
        <v>1.0838772006649479E-9</v>
      </c>
      <c r="R154" s="60">
        <v>1192.9364240770933</v>
      </c>
      <c r="S154" s="57">
        <v>1.2126434267868568E-6</v>
      </c>
      <c r="U154" s="127">
        <v>6.7579712332889023E-10</v>
      </c>
      <c r="V154" s="127">
        <v>1.0838772006649479E-9</v>
      </c>
      <c r="W154" s="127">
        <v>1.4273213821242359E-9</v>
      </c>
      <c r="X154" s="128">
        <f t="shared" si="4"/>
        <v>1.0677182266957554E-9</v>
      </c>
      <c r="Y154" s="139">
        <f t="shared" si="5"/>
        <v>1.6172782763278539</v>
      </c>
      <c r="AA154" s="73"/>
      <c r="AB154" s="176"/>
      <c r="AC154" s="176"/>
      <c r="AD154" s="176"/>
      <c r="AJ154" s="135"/>
    </row>
    <row r="155" spans="9:36" x14ac:dyDescent="0.35">
      <c r="I155" s="109">
        <v>3.6038613572599999E-2</v>
      </c>
      <c r="J155" s="49">
        <v>1.1878785522788855E-9</v>
      </c>
      <c r="K155" s="49">
        <v>1.2545893764368582E-10</v>
      </c>
      <c r="L155" s="152">
        <v>1.2954699059772799E-9</v>
      </c>
      <c r="R155" s="60">
        <v>1192.9364240770933</v>
      </c>
      <c r="S155" s="57">
        <v>1.3319095898563891E-6</v>
      </c>
      <c r="U155" s="127">
        <v>8.8894052899712614E-10</v>
      </c>
      <c r="V155" s="127">
        <v>1.2954699059772799E-9</v>
      </c>
      <c r="W155" s="127">
        <v>1.5265537937790406E-9</v>
      </c>
      <c r="X155" s="128">
        <f t="shared" si="4"/>
        <v>1.2516085336826816E-9</v>
      </c>
      <c r="Y155" s="139">
        <f t="shared" si="5"/>
        <v>0.25803841886225409</v>
      </c>
      <c r="AA155" s="73"/>
      <c r="AB155" s="176"/>
      <c r="AC155" s="176"/>
      <c r="AD155" s="176"/>
      <c r="AJ155" s="135"/>
    </row>
    <row r="156" spans="9:36" x14ac:dyDescent="0.35">
      <c r="I156" s="109">
        <v>3.63989997084E-2</v>
      </c>
      <c r="J156" s="49">
        <v>1.2997571827787593E-9</v>
      </c>
      <c r="K156" s="49">
        <v>1.3434899847419184E-10</v>
      </c>
      <c r="L156" s="152">
        <v>1.4581341908644476E-9</v>
      </c>
      <c r="R156" s="60">
        <v>1193.3909695316388</v>
      </c>
      <c r="S156" s="57">
        <v>1.3319095898563891E-6</v>
      </c>
      <c r="U156" s="127">
        <v>1.1179554045122511E-9</v>
      </c>
      <c r="V156" s="127">
        <v>1.4581341908644476E-9</v>
      </c>
      <c r="W156" s="127">
        <v>1.5338691005778474E-9</v>
      </c>
      <c r="X156" s="128">
        <f t="shared" si="4"/>
        <v>1.3920232217047483E-9</v>
      </c>
      <c r="Y156" s="139">
        <f t="shared" si="5"/>
        <v>0.47164462134925178</v>
      </c>
      <c r="AA156" s="73"/>
      <c r="AB156" s="176"/>
      <c r="AC156" s="176"/>
      <c r="AD156" s="176"/>
      <c r="AJ156" s="135"/>
    </row>
    <row r="157" spans="9:36" x14ac:dyDescent="0.35">
      <c r="I157" s="109">
        <v>3.6762989705399998E-2</v>
      </c>
      <c r="J157" s="49">
        <v>1.0219249859439294E-9</v>
      </c>
      <c r="K157" s="49">
        <v>1.2138929756915334E-10</v>
      </c>
      <c r="L157" s="152">
        <v>1.5435264717040745E-9</v>
      </c>
      <c r="R157" s="60">
        <v>1193.3909695316388</v>
      </c>
      <c r="S157" s="57">
        <v>1.4778646240775565E-6</v>
      </c>
      <c r="U157" s="127">
        <v>1.3274319731644248E-9</v>
      </c>
      <c r="V157" s="127">
        <v>1.5435264717040745E-9</v>
      </c>
      <c r="W157" s="127">
        <v>1.4446155448860493E-9</v>
      </c>
      <c r="X157" s="128">
        <f t="shared" si="4"/>
        <v>1.4647751153646558E-9</v>
      </c>
      <c r="Y157" s="139">
        <f t="shared" si="5"/>
        <v>13.309224634342295</v>
      </c>
      <c r="AA157" s="73"/>
      <c r="AB157" s="176"/>
      <c r="AC157" s="176"/>
      <c r="AD157" s="176"/>
      <c r="AJ157" s="135"/>
    </row>
    <row r="158" spans="9:36" x14ac:dyDescent="0.35">
      <c r="I158" s="109">
        <v>3.7130619602499998E-2</v>
      </c>
      <c r="J158" s="49">
        <v>1.5028675261633874E-9</v>
      </c>
      <c r="K158" s="49">
        <v>1.4423342719778625E-10</v>
      </c>
      <c r="L158" s="152">
        <v>1.5338675025622832E-9</v>
      </c>
      <c r="R158" s="60">
        <v>1193.8455149861843</v>
      </c>
      <c r="S158" s="57">
        <v>1.4778646240775565E-6</v>
      </c>
      <c r="U158" s="127">
        <v>1.4830609757433692E-9</v>
      </c>
      <c r="V158" s="127">
        <v>1.5338675025622832E-9</v>
      </c>
      <c r="W158" s="127">
        <v>1.269507099823887E-9</v>
      </c>
      <c r="X158" s="128">
        <f t="shared" si="4"/>
        <v>1.4550757701729555E-9</v>
      </c>
      <c r="Y158" s="139">
        <f t="shared" si="5"/>
        <v>0.1097928679338054</v>
      </c>
      <c r="AA158" s="73"/>
      <c r="AB158" s="176"/>
      <c r="AC158" s="176"/>
      <c r="AD158" s="176"/>
      <c r="AJ158" s="135"/>
    </row>
    <row r="159" spans="9:36" x14ac:dyDescent="0.35">
      <c r="I159" s="109">
        <v>3.7501925798500001E-2</v>
      </c>
      <c r="J159" s="49">
        <v>1.4709286345110598E-9</v>
      </c>
      <c r="K159" s="49">
        <v>1.5008419754582903E-10</v>
      </c>
      <c r="L159" s="152">
        <v>1.4270273642342739E-9</v>
      </c>
      <c r="R159" s="60">
        <v>1193.8455149861843</v>
      </c>
      <c r="S159" s="57">
        <v>1.6472559742301444E-6</v>
      </c>
      <c r="U159" s="127">
        <v>1.5571658288758662E-9</v>
      </c>
      <c r="V159" s="127">
        <v>1.4270273642342739E-9</v>
      </c>
      <c r="W159" s="127">
        <v>1.0360910720265639E-9</v>
      </c>
      <c r="X159" s="128">
        <f t="shared" si="4"/>
        <v>1.3618279073427444E-9</v>
      </c>
      <c r="Y159" s="139">
        <f t="shared" si="5"/>
        <v>0.52842743264977632</v>
      </c>
      <c r="AA159" s="73"/>
      <c r="AB159" s="176"/>
      <c r="AC159" s="176"/>
      <c r="AD159" s="176"/>
      <c r="AJ159" s="135"/>
    </row>
    <row r="160" spans="9:36" x14ac:dyDescent="0.35">
      <c r="I160" s="109">
        <v>3.7876945056500001E-2</v>
      </c>
      <c r="J160" s="49">
        <v>1.0914170038354318E-9</v>
      </c>
      <c r="K160" s="49">
        <v>1.3341239827299882E-10</v>
      </c>
      <c r="L160" s="153">
        <v>1.2374063594731834E-9</v>
      </c>
      <c r="M160" s="32"/>
      <c r="R160" s="60">
        <v>1194.3000604407298</v>
      </c>
      <c r="S160" s="57">
        <v>1.6472559742301444E-6</v>
      </c>
      <c r="U160" s="127">
        <v>1.5340966083238013E-9</v>
      </c>
      <c r="V160" s="127">
        <v>1.2374063594731834E-9</v>
      </c>
      <c r="W160" s="127">
        <v>7.8365949772176117E-10</v>
      </c>
      <c r="X160" s="128">
        <f t="shared" si="4"/>
        <v>1.1981422062479824E-9</v>
      </c>
      <c r="Y160" s="139">
        <f t="shared" si="5"/>
        <v>0.63994344031938177</v>
      </c>
      <c r="AA160" s="73"/>
      <c r="AB160" s="176"/>
      <c r="AC160" s="176"/>
      <c r="AD160" s="176"/>
      <c r="AJ160" s="135"/>
    </row>
    <row r="161" spans="1:36" x14ac:dyDescent="0.35">
      <c r="I161" s="109">
        <v>3.8255714507099997E-2</v>
      </c>
      <c r="J161" s="49">
        <v>9.3569252030428682E-10</v>
      </c>
      <c r="K161" s="49">
        <v>1.2469727145106937E-10</v>
      </c>
      <c r="L161" s="153">
        <v>9.9484038236908341E-10</v>
      </c>
      <c r="M161" s="32"/>
      <c r="R161" s="60">
        <v>1194.3000604407298</v>
      </c>
      <c r="S161" s="57">
        <v>1.8342619501366819E-6</v>
      </c>
      <c r="U161" s="127">
        <v>1.4137457165187673E-9</v>
      </c>
      <c r="V161" s="127">
        <v>9.9484038236908341E-10</v>
      </c>
      <c r="W161" s="127">
        <v>5.5728003088967431E-10</v>
      </c>
      <c r="X161" s="128">
        <f t="shared" si="4"/>
        <v>9.9017662803665214E-10</v>
      </c>
      <c r="Y161" s="139">
        <f t="shared" si="5"/>
        <v>0.19090872833405023</v>
      </c>
      <c r="AA161" s="73"/>
      <c r="AB161" s="176"/>
      <c r="AC161" s="176"/>
      <c r="AD161" s="176"/>
      <c r="AJ161" s="135"/>
    </row>
    <row r="162" spans="1:36" x14ac:dyDescent="0.35">
      <c r="I162" s="109">
        <v>3.8638271652100001E-2</v>
      </c>
      <c r="J162" s="49">
        <v>7.5905798891419424E-10</v>
      </c>
      <c r="K162" s="49">
        <v>1.1535906267705413E-10</v>
      </c>
      <c r="L162" s="153">
        <v>7.4042833986590259E-10</v>
      </c>
      <c r="M162" s="32"/>
      <c r="R162" s="60">
        <v>1194.7546058952753</v>
      </c>
      <c r="S162" s="57">
        <v>1.8342619501366819E-6</v>
      </c>
      <c r="U162" s="127">
        <v>1.2127935596793989E-9</v>
      </c>
      <c r="V162" s="127">
        <v>7.4042833986590259E-10</v>
      </c>
      <c r="W162" s="127">
        <v>3.997710471167387E-10</v>
      </c>
      <c r="X162" s="128">
        <f t="shared" si="4"/>
        <v>7.7335532163198572E-10</v>
      </c>
      <c r="Y162" s="139">
        <f t="shared" si="5"/>
        <v>1.5360544489807901E-2</v>
      </c>
      <c r="AA162" s="73"/>
      <c r="AB162" s="176"/>
      <c r="AC162" s="176"/>
      <c r="AD162" s="176"/>
      <c r="AJ162" s="135"/>
    </row>
    <row r="163" spans="1:36" x14ac:dyDescent="0.35">
      <c r="I163" s="109">
        <v>3.90246543687E-2</v>
      </c>
      <c r="J163" s="49">
        <v>7.335690339704962E-10</v>
      </c>
      <c r="K163" s="49">
        <v>1.2387303772495541E-10</v>
      </c>
      <c r="L163" s="153">
        <v>5.1984673404063257E-10</v>
      </c>
      <c r="M163" s="32"/>
      <c r="R163" s="60">
        <v>1194.7546058952753</v>
      </c>
      <c r="S163" s="57">
        <v>1.9813780323264602E-6</v>
      </c>
      <c r="U163" s="127">
        <v>9.6308726440392284E-10</v>
      </c>
      <c r="V163" s="127">
        <v>5.1984673404063257E-10</v>
      </c>
      <c r="W163" s="127">
        <v>3.433130163935453E-10</v>
      </c>
      <c r="X163" s="128">
        <f t="shared" si="4"/>
        <v>5.8652343721968329E-10</v>
      </c>
      <c r="Y163" s="139">
        <f t="shared" si="5"/>
        <v>1.4091280908116126</v>
      </c>
      <c r="AA163" s="73"/>
      <c r="AB163" s="176"/>
      <c r="AC163" s="176"/>
      <c r="AD163" s="176"/>
      <c r="AJ163" s="135"/>
    </row>
    <row r="164" spans="1:36" x14ac:dyDescent="0.35">
      <c r="I164" s="109">
        <v>3.9414900912399999E-2</v>
      </c>
      <c r="J164" s="49">
        <v>7.4808405116757693E-10</v>
      </c>
      <c r="K164" s="49">
        <v>1.2020863863676513E-10</v>
      </c>
      <c r="L164" s="153">
        <v>3.7512512082213724E-10</v>
      </c>
      <c r="M164" s="32"/>
      <c r="R164" s="60">
        <v>1194.981878622548</v>
      </c>
      <c r="S164" s="57">
        <v>1.9813780323264602E-6</v>
      </c>
      <c r="U164" s="127">
        <v>7.0709774281876469E-10</v>
      </c>
      <c r="V164" s="127">
        <v>3.7512512082213724E-10</v>
      </c>
      <c r="W164" s="127">
        <v>4.0233014574309385E-10</v>
      </c>
      <c r="X164" s="128">
        <f t="shared" si="4"/>
        <v>4.6491953255153327E-10</v>
      </c>
      <c r="Y164" s="139">
        <f t="shared" si="5"/>
        <v>5.5488924897091234</v>
      </c>
      <c r="AA164" s="73"/>
      <c r="AB164" s="176"/>
      <c r="AC164" s="176"/>
      <c r="AD164" s="176"/>
      <c r="AJ164" s="135"/>
    </row>
    <row r="165" spans="1:36" x14ac:dyDescent="0.35">
      <c r="I165" s="109">
        <v>3.98090499215E-2</v>
      </c>
      <c r="J165" s="49">
        <v>5.3669295354359764E-10</v>
      </c>
      <c r="K165" s="49">
        <v>1.0746935697756038E-10</v>
      </c>
      <c r="L165" s="153">
        <v>3.363058943228435E-10</v>
      </c>
      <c r="M165" s="32"/>
      <c r="R165" s="60">
        <v>1194.981878622548</v>
      </c>
      <c r="S165" s="57">
        <v>2.0823394542220977E-6</v>
      </c>
      <c r="U165" s="127">
        <v>4.9094662505943293E-10</v>
      </c>
      <c r="V165" s="127">
        <v>3.363058943228435E-10</v>
      </c>
      <c r="W165" s="127">
        <v>5.6924368529638105E-10</v>
      </c>
      <c r="X165" s="128">
        <f t="shared" si="4"/>
        <v>4.3320052475037527E-10</v>
      </c>
      <c r="Y165" s="139">
        <f t="shared" si="5"/>
        <v>0.92735892863461866</v>
      </c>
      <c r="AA165" s="73"/>
      <c r="AB165" s="176"/>
      <c r="AC165" s="176"/>
      <c r="AD165" s="176"/>
      <c r="AJ165" s="135"/>
    </row>
    <row r="166" spans="1:36" x14ac:dyDescent="0.35">
      <c r="I166" s="109">
        <v>4.0207140420699998E-2</v>
      </c>
      <c r="J166" s="49">
        <v>6.3096275505089563E-10</v>
      </c>
      <c r="K166" s="49">
        <v>1.1960364184630007E-10</v>
      </c>
      <c r="L166" s="153">
        <v>4.146409406785564E-10</v>
      </c>
      <c r="M166" s="32"/>
      <c r="R166" s="60">
        <v>1195.2562094212774</v>
      </c>
      <c r="S166" s="57">
        <v>2.0823394542220977E-6</v>
      </c>
      <c r="U166" s="127">
        <v>3.5604001393250647E-10</v>
      </c>
      <c r="V166" s="127">
        <v>4.146409406785564E-10</v>
      </c>
      <c r="W166" s="127">
        <v>8.1431366409577014E-10</v>
      </c>
      <c r="X166" s="128">
        <f t="shared" si="4"/>
        <v>4.9990888984634727E-10</v>
      </c>
      <c r="Y166" s="139">
        <f t="shared" si="5"/>
        <v>1.2006346168340085</v>
      </c>
      <c r="AA166" s="73"/>
      <c r="AB166" s="176"/>
      <c r="AC166" s="176"/>
      <c r="AD166" s="176"/>
      <c r="AJ166" s="135"/>
    </row>
    <row r="167" spans="1:36" x14ac:dyDescent="0.35">
      <c r="I167" s="109">
        <v>4.0609211824900002E-2</v>
      </c>
      <c r="J167" s="49">
        <v>7.6615061346391199E-10</v>
      </c>
      <c r="K167" s="49">
        <v>1.3633957413588025E-10</v>
      </c>
      <c r="L167" s="153">
        <v>5.9889264196480569E-10</v>
      </c>
      <c r="M167" s="32"/>
      <c r="R167" s="60">
        <v>1195.2562094212774</v>
      </c>
      <c r="S167" s="57">
        <v>2.2031849623988735E-6</v>
      </c>
      <c r="U167" s="127">
        <v>3.3077540623508609E-10</v>
      </c>
      <c r="V167" s="127">
        <v>5.9889264196480569E-10</v>
      </c>
      <c r="W167" s="127">
        <v>1.0900761719531746E-9</v>
      </c>
      <c r="X167" s="128">
        <f t="shared" si="4"/>
        <v>6.5465921552946798E-10</v>
      </c>
      <c r="Y167" s="139">
        <f t="shared" si="5"/>
        <v>0.66871159794024104</v>
      </c>
      <c r="AA167" s="73"/>
      <c r="AB167" s="176"/>
      <c r="AC167" s="176"/>
      <c r="AD167" s="176"/>
      <c r="AJ167" s="135"/>
    </row>
    <row r="168" spans="1:36" x14ac:dyDescent="0.35">
      <c r="I168" s="109">
        <v>4.1015303943099997E-2</v>
      </c>
      <c r="J168" s="49">
        <v>8.4825866794153912E-10</v>
      </c>
      <c r="K168" s="49">
        <v>1.388367981725923E-10</v>
      </c>
      <c r="L168" s="153">
        <v>8.5586965890593607E-10</v>
      </c>
      <c r="M168" s="32"/>
      <c r="R168" s="60">
        <v>1195.5352272469097</v>
      </c>
      <c r="S168" s="57">
        <v>2.2031849623988735E-6</v>
      </c>
      <c r="U168" s="127">
        <v>4.2398484383305934E-10</v>
      </c>
      <c r="V168" s="127">
        <v>8.5586965890593607E-10</v>
      </c>
      <c r="W168" s="127">
        <v>1.3399565967004489E-9</v>
      </c>
      <c r="X168" s="128">
        <f t="shared" si="4"/>
        <v>8.6892018958634512E-10</v>
      </c>
      <c r="Y168" s="139">
        <f t="shared" si="5"/>
        <v>2.2147026540178666E-2</v>
      </c>
      <c r="AA168" s="73"/>
      <c r="AB168" s="176"/>
      <c r="AC168" s="176"/>
      <c r="AD168" s="176"/>
      <c r="AJ168" s="135"/>
    </row>
    <row r="169" spans="1:36" x14ac:dyDescent="0.35">
      <c r="I169" s="109">
        <v>4.1425456982600001E-2</v>
      </c>
      <c r="J169" s="49">
        <v>1.1131306216260939E-9</v>
      </c>
      <c r="K169" s="49">
        <v>1.6490012451991984E-10</v>
      </c>
      <c r="L169" s="153">
        <v>1.135577434119075E-9</v>
      </c>
      <c r="M169" s="32"/>
      <c r="R169" s="60">
        <v>1195.5352272469097</v>
      </c>
      <c r="S169" s="57">
        <v>2.3240068344164358E-6</v>
      </c>
      <c r="U169" s="127">
        <v>6.2165330993925059E-10</v>
      </c>
      <c r="V169" s="127">
        <v>1.135577434119075E-9</v>
      </c>
      <c r="W169" s="127">
        <v>1.5096699291952239E-9</v>
      </c>
      <c r="X169" s="128">
        <f t="shared" si="4"/>
        <v>1.100619526843156E-9</v>
      </c>
      <c r="Y169" s="139">
        <f t="shared" si="5"/>
        <v>5.7563694729681038E-3</v>
      </c>
      <c r="AA169" s="73"/>
      <c r="AB169" s="176"/>
      <c r="AC169" s="176"/>
      <c r="AD169" s="176"/>
      <c r="AJ169" s="135"/>
    </row>
    <row r="170" spans="1:36" x14ac:dyDescent="0.35">
      <c r="I170" s="109">
        <v>4.1839711552400002E-2</v>
      </c>
      <c r="J170" s="49">
        <v>1.1766785396236597E-9</v>
      </c>
      <c r="K170" s="49">
        <v>1.7286822956048233E-10</v>
      </c>
      <c r="L170" s="153">
        <v>1.3804174923955292E-9</v>
      </c>
      <c r="M170" s="32"/>
      <c r="R170" s="60">
        <v>1195.8241227297794</v>
      </c>
      <c r="S170" s="57">
        <v>2.3240068344164358E-6</v>
      </c>
      <c r="U170" s="127">
        <v>8.8797640508497066E-10</v>
      </c>
      <c r="V170" s="127">
        <v>1.3804174923955292E-9</v>
      </c>
      <c r="W170" s="127">
        <v>1.5592175063004074E-9</v>
      </c>
      <c r="X170" s="128">
        <f t="shared" si="4"/>
        <v>1.3020072240441091E-9</v>
      </c>
      <c r="Y170" s="139">
        <f t="shared" si="5"/>
        <v>0.52561844059766971</v>
      </c>
      <c r="AA170" s="73"/>
      <c r="AB170" s="176"/>
      <c r="AC170" s="176"/>
      <c r="AD170" s="176"/>
      <c r="AJ170" s="135"/>
    </row>
    <row r="171" spans="1:36" x14ac:dyDescent="0.35">
      <c r="I171" s="109">
        <v>4.2258108667900002E-2</v>
      </c>
      <c r="J171" s="49">
        <v>1.0614976166104418E-9</v>
      </c>
      <c r="K171" s="49">
        <v>1.6563724477866303E-10</v>
      </c>
      <c r="L171" s="153">
        <v>1.5369094082642426E-9</v>
      </c>
      <c r="M171" s="32"/>
      <c r="R171" s="60">
        <v>1195.8241227297794</v>
      </c>
      <c r="S171" s="57">
        <v>2.4447262762425861E-6</v>
      </c>
      <c r="U171" s="127">
        <v>1.1710421602191258E-9</v>
      </c>
      <c r="V171" s="127">
        <v>1.5369094082642426E-9</v>
      </c>
      <c r="W171" s="127">
        <v>1.4728613017375518E-9</v>
      </c>
      <c r="X171" s="128">
        <f t="shared" si="4"/>
        <v>1.4294305696212906E-9</v>
      </c>
      <c r="Y171" s="139">
        <f t="shared" si="5"/>
        <v>4.9342525765831615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4.2680689754600001E-2</v>
      </c>
      <c r="J172" s="49">
        <v>1.3932563446941687E-9</v>
      </c>
      <c r="K172" s="49">
        <v>2.0291813064159913E-10</v>
      </c>
      <c r="L172" s="153">
        <v>1.5676467586590345E-9</v>
      </c>
      <c r="M172" s="32"/>
      <c r="N172" s="18"/>
      <c r="O172" s="18"/>
      <c r="P172" s="30"/>
      <c r="Q172" s="65"/>
      <c r="R172" s="62">
        <v>1196.1292385894458</v>
      </c>
      <c r="S172" s="61">
        <v>2.4447262762425861E-6</v>
      </c>
      <c r="T172" s="75"/>
      <c r="U172" s="127">
        <v>1.4124634158357888E-9</v>
      </c>
      <c r="V172" s="127">
        <v>1.5676467586590345E-9</v>
      </c>
      <c r="W172" s="127">
        <v>1.264561270588371E-9</v>
      </c>
      <c r="X172" s="128">
        <f t="shared" si="4"/>
        <v>1.4530795509355572E-9</v>
      </c>
      <c r="Y172" s="139">
        <f t="shared" si="5"/>
        <v>8.6915586549107055E-2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4.3107496652199997E-2</v>
      </c>
      <c r="J173" s="49">
        <v>1.3977817969949685E-9</v>
      </c>
      <c r="K173" s="49">
        <v>8.2828677584007845E-11</v>
      </c>
      <c r="L173" s="153">
        <v>1.4608360186406891E-9</v>
      </c>
      <c r="M173" s="32"/>
      <c r="R173" s="60">
        <v>1196.1292385894458</v>
      </c>
      <c r="S173" s="57">
        <v>2.5651500158927381E-6</v>
      </c>
      <c r="U173" s="127">
        <v>1.5593349065777542E-9</v>
      </c>
      <c r="V173" s="127">
        <v>1.4608360186406891E-9</v>
      </c>
      <c r="W173" s="127">
        <v>9.7706930496001877E-10</v>
      </c>
      <c r="X173" s="128">
        <f t="shared" si="4"/>
        <v>1.3645190622047878E-9</v>
      </c>
      <c r="Y173" s="139">
        <f t="shared" si="5"/>
        <v>0.16127032122411744</v>
      </c>
      <c r="AA173" s="73"/>
      <c r="AB173" s="176"/>
      <c r="AC173" s="176"/>
      <c r="AD173" s="176"/>
      <c r="AJ173" s="135"/>
    </row>
    <row r="174" spans="1:36" x14ac:dyDescent="0.35">
      <c r="I174" s="109">
        <v>4.3538571618699999E-2</v>
      </c>
      <c r="J174" s="49">
        <v>1.0564006627989137E-9</v>
      </c>
      <c r="K174" s="49">
        <v>7.0928308144371322E-11</v>
      </c>
      <c r="L174" s="153">
        <v>1.2349552772974819E-9</v>
      </c>
      <c r="M174" s="32"/>
      <c r="R174" s="60">
        <v>1196.4590934391333</v>
      </c>
      <c r="S174" s="57">
        <v>2.5651500158927381E-6</v>
      </c>
      <c r="U174" s="127">
        <v>1.5761561671065228E-9</v>
      </c>
      <c r="V174" s="127">
        <v>1.2349552772974819E-9</v>
      </c>
      <c r="W174" s="127">
        <v>6.7413131182732425E-10</v>
      </c>
      <c r="X174" s="128">
        <f t="shared" si="4"/>
        <v>1.1800495083822028E-9</v>
      </c>
      <c r="Y174" s="139">
        <f t="shared" si="5"/>
        <v>3.0390715895436906</v>
      </c>
      <c r="AA174" s="73"/>
      <c r="AB174" s="176"/>
      <c r="AC174" s="176"/>
      <c r="AD174" s="176"/>
      <c r="AJ174" s="135"/>
    </row>
    <row r="175" spans="1:36" x14ac:dyDescent="0.35">
      <c r="I175" s="109">
        <v>4.3973957334899998E-2</v>
      </c>
      <c r="J175" s="49">
        <v>8.2279025875488858E-10</v>
      </c>
      <c r="K175" s="49">
        <v>6.0891887870820083E-11</v>
      </c>
      <c r="L175" s="153">
        <v>9.3686387748836608E-10</v>
      </c>
      <c r="M175" s="32"/>
      <c r="R175" s="60">
        <v>1196.4590934391333</v>
      </c>
      <c r="S175" s="57">
        <v>2.6848762718115108E-6</v>
      </c>
      <c r="U175" s="127">
        <v>1.4540476121223803E-9</v>
      </c>
      <c r="V175" s="127">
        <v>9.3686387748836608E-10</v>
      </c>
      <c r="W175" s="127">
        <v>4.2685572556665015E-10</v>
      </c>
      <c r="X175" s="128">
        <f t="shared" si="4"/>
        <v>9.386577731664407E-10</v>
      </c>
      <c r="Y175" s="139">
        <f t="shared" si="5"/>
        <v>3.6207997215707546</v>
      </c>
      <c r="AA175" s="73"/>
      <c r="AB175" s="176"/>
      <c r="AC175" s="176"/>
      <c r="AD175" s="176"/>
      <c r="AJ175" s="135"/>
    </row>
    <row r="176" spans="1:36" x14ac:dyDescent="0.35">
      <c r="I176" s="109">
        <v>4.4413696908199997E-2</v>
      </c>
      <c r="J176" s="49">
        <v>7.2328851731800492E-10</v>
      </c>
      <c r="K176" s="49">
        <v>5.5824306093566488E-11</v>
      </c>
      <c r="L176" s="153">
        <v>6.3302100136371504E-10</v>
      </c>
      <c r="M176" s="32"/>
      <c r="R176" s="60">
        <v>1196.8262748483899</v>
      </c>
      <c r="S176" s="57">
        <v>2.6848762718115108E-6</v>
      </c>
      <c r="U176" s="127">
        <v>1.2148360680821294E-9</v>
      </c>
      <c r="V176" s="127">
        <v>6.3302100136371504E-10</v>
      </c>
      <c r="W176" s="127">
        <v>2.9692142300734401E-10</v>
      </c>
      <c r="X176" s="128">
        <f t="shared" si="4"/>
        <v>6.9444987345422596E-10</v>
      </c>
      <c r="Y176" s="139">
        <f t="shared" si="5"/>
        <v>0.26687199417076696</v>
      </c>
      <c r="AA176" s="73"/>
      <c r="AB176" s="176"/>
      <c r="AC176" s="176"/>
      <c r="AD176" s="176"/>
      <c r="AJ176" s="135"/>
    </row>
    <row r="177" spans="9:36" x14ac:dyDescent="0.35">
      <c r="I177" s="109">
        <v>4.4857833877300003E-2</v>
      </c>
      <c r="J177" s="49">
        <v>7.1580182754602637E-10</v>
      </c>
      <c r="K177" s="49">
        <v>5.8565852958284223E-11</v>
      </c>
      <c r="L177" s="152">
        <v>3.9510840394385147E-10</v>
      </c>
      <c r="M177" s="33"/>
      <c r="R177" s="60">
        <v>1196.8262748483899</v>
      </c>
      <c r="S177" s="57">
        <v>2.803121015899125E-6</v>
      </c>
      <c r="U177" s="127">
        <v>9.0844260999413008E-10</v>
      </c>
      <c r="V177" s="127">
        <v>3.9510840394385147E-10</v>
      </c>
      <c r="W177" s="127">
        <v>3.2049333894260901E-10</v>
      </c>
      <c r="X177" s="128">
        <f t="shared" si="4"/>
        <v>5.0478818920611059E-10</v>
      </c>
      <c r="Y177" s="139">
        <f t="shared" si="5"/>
        <v>12.981716062019352</v>
      </c>
      <c r="AA177" s="73"/>
      <c r="AB177" s="176"/>
      <c r="AC177" s="176"/>
      <c r="AD177" s="176"/>
      <c r="AJ177" s="135"/>
    </row>
    <row r="178" spans="9:36" x14ac:dyDescent="0.35">
      <c r="I178" s="109">
        <v>4.5306412216100003E-2</v>
      </c>
      <c r="J178" s="49">
        <v>5.6895714874557263E-10</v>
      </c>
      <c r="K178" s="49">
        <v>5.1373886445318357E-11</v>
      </c>
      <c r="L178" s="152">
        <v>2.8294223684269416E-10</v>
      </c>
      <c r="M178" s="33"/>
      <c r="R178" s="60">
        <v>1197.2514966764086</v>
      </c>
      <c r="S178" s="57">
        <v>2.803121015899125E-6</v>
      </c>
      <c r="U178" s="127">
        <v>6.0338156194175433E-10</v>
      </c>
      <c r="V178" s="127">
        <v>2.8294223684269416E-10</v>
      </c>
      <c r="W178" s="127">
        <v>4.9708034527828557E-10</v>
      </c>
      <c r="X178" s="128">
        <f t="shared" si="4"/>
        <v>4.1658659522635703E-10</v>
      </c>
      <c r="Y178" s="139">
        <f t="shared" si="5"/>
        <v>8.7966486815634255</v>
      </c>
      <c r="AA178" s="73"/>
      <c r="AB178" s="176"/>
      <c r="AC178" s="176"/>
      <c r="AD178" s="176"/>
      <c r="AJ178" s="135"/>
    </row>
    <row r="179" spans="9:36" x14ac:dyDescent="0.35">
      <c r="I179" s="109">
        <v>4.5759476338200003E-2</v>
      </c>
      <c r="J179" s="49">
        <v>5.8357571765187849E-10</v>
      </c>
      <c r="K179" s="49">
        <v>5.5040374218144246E-11</v>
      </c>
      <c r="L179" s="152">
        <v>3.2866923723673403E-10</v>
      </c>
      <c r="M179" s="33"/>
      <c r="R179" s="60">
        <v>1197.2514966764086</v>
      </c>
      <c r="S179" s="57">
        <v>2.9183663411666309E-6</v>
      </c>
      <c r="U179" s="127">
        <v>3.7183715741477494E-10</v>
      </c>
      <c r="V179" s="127">
        <v>3.2866923723673403E-10</v>
      </c>
      <c r="W179" s="127">
        <v>7.8684731272293324E-10</v>
      </c>
      <c r="X179" s="128">
        <f t="shared" si="4"/>
        <v>4.5400573615279405E-10</v>
      </c>
      <c r="Y179" s="139">
        <f t="shared" si="5"/>
        <v>5.5417386123009109</v>
      </c>
      <c r="AA179" s="73"/>
      <c r="AB179" s="176"/>
      <c r="AC179" s="176"/>
      <c r="AD179" s="176"/>
      <c r="AJ179" s="135"/>
    </row>
    <row r="180" spans="9:36" x14ac:dyDescent="0.35">
      <c r="I180" s="109">
        <v>4.6217071101599998E-2</v>
      </c>
      <c r="J180" s="49">
        <v>7.6519360004897874E-10</v>
      </c>
      <c r="K180" s="49">
        <v>6.1266705195801047E-11</v>
      </c>
      <c r="L180" s="152">
        <v>5.2647603781127986E-10</v>
      </c>
      <c r="M180" s="33"/>
      <c r="R180" s="60">
        <v>1197.7740193862753</v>
      </c>
      <c r="S180" s="57">
        <v>2.9183663411666309E-6</v>
      </c>
      <c r="U180" s="127">
        <v>2.723544686086832E-10</v>
      </c>
      <c r="V180" s="127">
        <v>5.2647603781127986E-10</v>
      </c>
      <c r="W180" s="127">
        <v>1.1180890801329375E-9</v>
      </c>
      <c r="X180" s="128">
        <f t="shared" si="4"/>
        <v>6.1084890609104502E-10</v>
      </c>
      <c r="Y180" s="139">
        <f t="shared" si="5"/>
        <v>6.346501061327932</v>
      </c>
      <c r="AA180" s="73"/>
      <c r="AB180" s="176"/>
      <c r="AC180" s="176"/>
      <c r="AD180" s="176"/>
      <c r="AJ180" s="135"/>
    </row>
    <row r="181" spans="9:36" x14ac:dyDescent="0.35">
      <c r="I181" s="109">
        <v>4.6679241812599997E-2</v>
      </c>
      <c r="J181" s="49">
        <v>9.880294233539546E-10</v>
      </c>
      <c r="K181" s="49">
        <v>6.9946185785075054E-11</v>
      </c>
      <c r="L181" s="152">
        <v>8.3116631024291145E-10</v>
      </c>
      <c r="M181" s="33"/>
      <c r="R181" s="60">
        <v>1197.7740193862753</v>
      </c>
      <c r="S181" s="57">
        <v>3.0275673693087792E-6</v>
      </c>
      <c r="U181" s="127">
        <v>3.3422941681484737E-10</v>
      </c>
      <c r="V181" s="127">
        <v>8.3116631024291145E-10</v>
      </c>
      <c r="W181" s="127">
        <v>1.4040155567134211E-9</v>
      </c>
      <c r="X181" s="128">
        <f t="shared" si="4"/>
        <v>8.5014439850352282E-10</v>
      </c>
      <c r="Y181" s="139">
        <f t="shared" si="5"/>
        <v>3.8860298233379504</v>
      </c>
      <c r="AA181" s="73"/>
      <c r="AB181" s="176"/>
      <c r="AC181" s="176"/>
      <c r="AD181" s="176"/>
      <c r="AJ181" s="135"/>
    </row>
    <row r="182" spans="9:36" x14ac:dyDescent="0.35">
      <c r="I182" s="109">
        <v>4.71460342308E-2</v>
      </c>
      <c r="J182" s="49">
        <v>1.1939086233219982E-9</v>
      </c>
      <c r="K182" s="49">
        <v>7.6474000693611084E-11</v>
      </c>
      <c r="L182" s="152">
        <v>1.1670257816580636E-9</v>
      </c>
      <c r="M182" s="33"/>
      <c r="R182" s="60">
        <v>1198.4871965742989</v>
      </c>
      <c r="S182" s="57">
        <v>3.0275673693087792E-6</v>
      </c>
      <c r="U182" s="127">
        <v>5.4782123835739458E-10</v>
      </c>
      <c r="V182" s="127">
        <v>1.1670257816580636E-9</v>
      </c>
      <c r="W182" s="127">
        <v>1.5652897693210829E-9</v>
      </c>
      <c r="X182" s="128">
        <f t="shared" si="4"/>
        <v>1.1117906427486512E-9</v>
      </c>
      <c r="Y182" s="139">
        <f t="shared" si="5"/>
        <v>1.1530520180419557</v>
      </c>
      <c r="AA182" s="73"/>
      <c r="AB182" s="176"/>
      <c r="AC182" s="176"/>
      <c r="AD182" s="176"/>
      <c r="AJ182" s="135"/>
    </row>
    <row r="183" spans="9:36" x14ac:dyDescent="0.35">
      <c r="I183" s="109">
        <v>4.7617494573100001E-2</v>
      </c>
      <c r="J183" s="49">
        <v>1.341531990929538E-9</v>
      </c>
      <c r="K183" s="49">
        <v>8.3480759120056358E-11</v>
      </c>
      <c r="L183" s="152">
        <v>1.4457662929741284E-9</v>
      </c>
      <c r="M183" s="33"/>
      <c r="R183" s="60">
        <v>1198.4871965742989</v>
      </c>
      <c r="S183" s="57">
        <v>3.1240728746787833E-6</v>
      </c>
      <c r="U183" s="127">
        <v>8.6403008280190714E-10</v>
      </c>
      <c r="V183" s="127">
        <v>1.4457662929741284E-9</v>
      </c>
      <c r="W183" s="127">
        <v>1.5526557317728179E-9</v>
      </c>
      <c r="X183" s="128">
        <f t="shared" si="4"/>
        <v>1.3270546001307455E-9</v>
      </c>
      <c r="Y183" s="139">
        <f t="shared" si="5"/>
        <v>3.0075150990354765E-2</v>
      </c>
      <c r="AA183" s="73"/>
      <c r="AB183" s="176"/>
      <c r="AC183" s="176"/>
      <c r="AD183" s="176"/>
      <c r="AJ183" s="135"/>
    </row>
    <row r="184" spans="9:36" x14ac:dyDescent="0.35">
      <c r="I184" s="109">
        <v>4.8093669518800002E-2</v>
      </c>
      <c r="J184" s="49">
        <v>1.5631600483907538E-9</v>
      </c>
      <c r="K184" s="49">
        <v>9.2444605164442377E-11</v>
      </c>
      <c r="L184" s="152">
        <v>1.589650227586952E-9</v>
      </c>
      <c r="M184" s="33"/>
      <c r="R184" s="60">
        <v>1199.7687854496728</v>
      </c>
      <c r="S184" s="57">
        <v>3.1240728746787833E-6</v>
      </c>
      <c r="U184" s="127">
        <v>1.2041567408422031E-9</v>
      </c>
      <c r="V184" s="127">
        <v>1.589650227586952E-9</v>
      </c>
      <c r="W184" s="127">
        <v>1.3631979417282433E-9</v>
      </c>
      <c r="X184" s="128">
        <f t="shared" si="4"/>
        <v>1.4366637844360875E-9</v>
      </c>
      <c r="Y184" s="139">
        <f t="shared" si="5"/>
        <v>1.8723725003125578</v>
      </c>
      <c r="AA184" s="73"/>
      <c r="AB184" s="176"/>
      <c r="AC184" s="176"/>
      <c r="AD184" s="176"/>
      <c r="AJ184" s="135"/>
    </row>
    <row r="185" spans="9:36" x14ac:dyDescent="0.35">
      <c r="I185" s="109">
        <v>4.8574606213999998E-2</v>
      </c>
      <c r="J185" s="49">
        <v>1.3949400836829107E-9</v>
      </c>
      <c r="K185" s="49">
        <v>9.1096724272994026E-11</v>
      </c>
      <c r="L185" s="152">
        <v>1.5539055528487661E-9</v>
      </c>
      <c r="M185" s="33"/>
      <c r="R185" s="60">
        <v>1199.7687854496728</v>
      </c>
      <c r="S185" s="57">
        <v>3.1907825106873794E-6</v>
      </c>
      <c r="U185" s="127">
        <v>1.4786837884621294E-9</v>
      </c>
      <c r="V185" s="127">
        <v>1.5539055528487661E-9</v>
      </c>
      <c r="W185" s="127">
        <v>1.0447470637342813E-9</v>
      </c>
      <c r="X185" s="128">
        <f t="shared" si="4"/>
        <v>1.4078104894734857E-9</v>
      </c>
      <c r="Y185" s="139">
        <f t="shared" si="5"/>
        <v>1.9960846680698641E-2</v>
      </c>
      <c r="AA185" s="73"/>
      <c r="AB185" s="176"/>
      <c r="AC185" s="176"/>
      <c r="AD185" s="176"/>
      <c r="AJ185" s="135"/>
    </row>
    <row r="186" spans="9:36" x14ac:dyDescent="0.35">
      <c r="I186" s="109">
        <v>4.9060352276099999E-2</v>
      </c>
      <c r="J186" s="49">
        <v>1.2955801491838215E-9</v>
      </c>
      <c r="K186" s="49">
        <v>8.7624436248561343E-11</v>
      </c>
      <c r="L186" s="152">
        <v>1.3419412205513459E-9</v>
      </c>
      <c r="M186" s="33"/>
      <c r="R186" s="60">
        <v>1201.489867037747</v>
      </c>
      <c r="S186" s="57">
        <v>3.1907825106873794E-6</v>
      </c>
      <c r="U186" s="127">
        <v>1.610839571888249E-9</v>
      </c>
      <c r="V186" s="127">
        <v>1.3419412205513459E-9</v>
      </c>
      <c r="W186" s="127">
        <v>6.8571582982209932E-10</v>
      </c>
      <c r="X186" s="128">
        <f t="shared" si="4"/>
        <v>1.24510946070326E-9</v>
      </c>
      <c r="Y186" s="139">
        <f t="shared" si="5"/>
        <v>0.33176302666819757</v>
      </c>
      <c r="AA186" s="73"/>
      <c r="AB186" s="176"/>
      <c r="AC186" s="176"/>
      <c r="AD186" s="176"/>
      <c r="AJ186" s="135"/>
    </row>
    <row r="187" spans="9:36" x14ac:dyDescent="0.35">
      <c r="I187" s="109">
        <v>4.9550955798900002E-2</v>
      </c>
      <c r="J187" s="49">
        <v>1.0167331184071528E-9</v>
      </c>
      <c r="K187" s="49">
        <v>7.626588990443239E-11</v>
      </c>
      <c r="L187" s="152">
        <v>1.0080805407462307E-9</v>
      </c>
      <c r="M187" s="33"/>
      <c r="R187" s="60">
        <v>1201.489867037747</v>
      </c>
      <c r="S187" s="57">
        <v>3.1999999999999999E-6</v>
      </c>
      <c r="U187" s="127">
        <v>1.5588938461614257E-9</v>
      </c>
      <c r="V187" s="127">
        <v>1.0080805407462307E-9</v>
      </c>
      <c r="W187" s="127">
        <v>3.9170569649110616E-10</v>
      </c>
      <c r="X187" s="128">
        <f t="shared" si="4"/>
        <v>9.9169015603624832E-10</v>
      </c>
      <c r="Y187" s="139">
        <f t="shared" si="5"/>
        <v>0.10782282778797136</v>
      </c>
      <c r="AA187" s="73"/>
      <c r="AB187" s="176"/>
      <c r="AC187" s="176"/>
      <c r="AD187" s="176"/>
      <c r="AJ187" s="135"/>
    </row>
    <row r="188" spans="9:36" x14ac:dyDescent="0.35">
      <c r="I188" s="109">
        <v>5.0046465356900001E-2</v>
      </c>
      <c r="J188" s="49">
        <v>8.1889422696386869E-10</v>
      </c>
      <c r="K188" s="49">
        <v>7.0860913206546293E-11</v>
      </c>
      <c r="L188" s="152">
        <v>6.455143839349737E-10</v>
      </c>
      <c r="M188" s="33"/>
      <c r="R188" s="60">
        <v>1211.7876698224079</v>
      </c>
      <c r="S188" s="57">
        <v>3.1999999999999999E-6</v>
      </c>
      <c r="U188" s="127">
        <v>1.3306679619168624E-9</v>
      </c>
      <c r="V188" s="127">
        <v>6.455143839349737E-10</v>
      </c>
      <c r="W188" s="127">
        <v>2.5453743111045891E-10</v>
      </c>
      <c r="X188" s="128">
        <f t="shared" si="4"/>
        <v>7.1905854022431722E-10</v>
      </c>
      <c r="Y188" s="139">
        <f t="shared" si="5"/>
        <v>1.9849891145313441</v>
      </c>
      <c r="AA188" s="73"/>
      <c r="AB188" s="176"/>
      <c r="AC188" s="176"/>
      <c r="AD188" s="176"/>
      <c r="AJ188" s="135"/>
    </row>
    <row r="189" spans="9:36" x14ac:dyDescent="0.35">
      <c r="I189" s="109">
        <v>5.0546930010399997E-2</v>
      </c>
      <c r="J189" s="49">
        <v>7.1145023374271449E-10</v>
      </c>
      <c r="K189" s="49">
        <v>6.6321886087551265E-11</v>
      </c>
      <c r="L189" s="152">
        <v>3.6135685007600431E-10</v>
      </c>
      <c r="M189" s="33"/>
      <c r="R189" s="60">
        <v>1211.7876698224079</v>
      </c>
      <c r="S189" s="57">
        <v>3.1957055663356807E-6</v>
      </c>
      <c r="U189" s="127">
        <v>9.8511360857120046E-10</v>
      </c>
      <c r="V189" s="127">
        <v>3.6135685007600431E-10</v>
      </c>
      <c r="W189" s="127">
        <v>3.2257444073804123E-10</v>
      </c>
      <c r="X189" s="128">
        <f t="shared" si="4"/>
        <v>5.0760043736531258E-10</v>
      </c>
      <c r="Y189" s="139">
        <f t="shared" si="5"/>
        <v>9.4472808704203253</v>
      </c>
      <c r="AA189" s="73"/>
      <c r="AB189" s="176"/>
      <c r="AC189" s="176"/>
      <c r="AD189" s="176"/>
      <c r="AJ189" s="135"/>
    </row>
    <row r="190" spans="9:36" x14ac:dyDescent="0.35">
      <c r="I190" s="109">
        <v>5.1052399310499999E-2</v>
      </c>
      <c r="J190" s="49">
        <v>6.4260494494480259E-10</v>
      </c>
      <c r="K190" s="49">
        <v>6.4668793430064231E-11</v>
      </c>
      <c r="L190" s="152">
        <v>2.4497356079555374E-10</v>
      </c>
      <c r="M190" s="33"/>
      <c r="R190" s="60">
        <v>1213.5087514104821</v>
      </c>
      <c r="S190" s="57">
        <v>3.1957055663356807E-6</v>
      </c>
      <c r="U190" s="127">
        <v>6.189481382067932E-10</v>
      </c>
      <c r="V190" s="127">
        <v>2.4497356079555374E-10</v>
      </c>
      <c r="W190" s="127">
        <v>5.820390906008712E-10</v>
      </c>
      <c r="X190" s="128">
        <f t="shared" si="4"/>
        <v>4.22733587599693E-10</v>
      </c>
      <c r="Y190" s="139">
        <f t="shared" si="5"/>
        <v>11.559732884199086</v>
      </c>
      <c r="AA190" s="73"/>
      <c r="AB190" s="176"/>
      <c r="AC190" s="176"/>
      <c r="AD190" s="176"/>
      <c r="AJ190" s="135"/>
    </row>
    <row r="191" spans="9:36" x14ac:dyDescent="0.35">
      <c r="I191" s="109">
        <v>5.1562923303600003E-2</v>
      </c>
      <c r="J191" s="49">
        <v>7.310362396521936E-10</v>
      </c>
      <c r="K191" s="49">
        <v>7.0016111057259321E-11</v>
      </c>
      <c r="L191" s="152">
        <v>3.3877164939573657E-10</v>
      </c>
      <c r="M191" s="33"/>
      <c r="R191" s="60">
        <v>1213.5087514104821</v>
      </c>
      <c r="S191" s="57">
        <v>3.1646255078844549E-6</v>
      </c>
      <c r="U191" s="127">
        <v>3.4060296853563517E-10</v>
      </c>
      <c r="V191" s="127">
        <v>3.3877164939573657E-10</v>
      </c>
      <c r="W191" s="127">
        <v>9.5673666338573127E-10</v>
      </c>
      <c r="X191" s="128">
        <f t="shared" si="4"/>
        <v>4.9372073267820989E-10</v>
      </c>
      <c r="Y191" s="139">
        <f t="shared" si="5"/>
        <v>11.488313148246794</v>
      </c>
      <c r="AA191" s="73"/>
      <c r="AB191" s="176"/>
      <c r="AC191" s="176"/>
      <c r="AD191" s="176"/>
      <c r="AJ191" s="135"/>
    </row>
    <row r="192" spans="9:36" x14ac:dyDescent="0.35">
      <c r="I192" s="109">
        <v>5.2078552536699997E-2</v>
      </c>
      <c r="J192" s="49">
        <v>9.7053719311827645E-10</v>
      </c>
      <c r="K192" s="49">
        <v>8.3162727904154451E-11</v>
      </c>
      <c r="L192" s="152">
        <v>6.2113741669356385E-10</v>
      </c>
      <c r="M192" s="33"/>
      <c r="R192" s="60">
        <v>1214.790340285856</v>
      </c>
      <c r="S192" s="57">
        <v>3.1646255078844549E-6</v>
      </c>
      <c r="U192" s="127">
        <v>2.3801429652202442E-10</v>
      </c>
      <c r="V192" s="127">
        <v>6.2113741669356385E-10</v>
      </c>
      <c r="W192" s="127">
        <v>1.3284265033424067E-9</v>
      </c>
      <c r="X192" s="128">
        <f t="shared" si="4"/>
        <v>7.0217890831288972E-10</v>
      </c>
      <c r="Y192" s="139">
        <f t="shared" si="5"/>
        <v>10.412920715175751</v>
      </c>
      <c r="AA192" s="73"/>
      <c r="AB192" s="176"/>
      <c r="AC192" s="176"/>
      <c r="AD192" s="176"/>
      <c r="AJ192" s="135"/>
    </row>
    <row r="193" spans="9:36" x14ac:dyDescent="0.35">
      <c r="I193" s="109">
        <v>5.2599338062100001E-2</v>
      </c>
      <c r="J193" s="49">
        <v>9.0350862677679356E-10</v>
      </c>
      <c r="K193" s="49">
        <v>8.1468071810921313E-11</v>
      </c>
      <c r="L193" s="152">
        <v>1.0085401674325563E-9</v>
      </c>
      <c r="M193" s="33"/>
      <c r="R193" s="60">
        <v>1214.790340285856</v>
      </c>
      <c r="S193" s="57">
        <v>3.1196635364628398E-6</v>
      </c>
      <c r="U193" s="127">
        <v>3.4967244951265418E-10</v>
      </c>
      <c r="V193" s="127">
        <v>1.0085401674325563E-9</v>
      </c>
      <c r="W193" s="127">
        <v>1.5733251012808826E-9</v>
      </c>
      <c r="X193" s="128">
        <f t="shared" si="4"/>
        <v>9.8501947141466237E-10</v>
      </c>
      <c r="Y193" s="139">
        <f t="shared" si="5"/>
        <v>1.0010503269418802</v>
      </c>
      <c r="AA193" s="73"/>
      <c r="AB193" s="176"/>
      <c r="AC193" s="176"/>
      <c r="AD193" s="176"/>
      <c r="AJ193" s="135"/>
    </row>
    <row r="194" spans="9:36" x14ac:dyDescent="0.35">
      <c r="I194" s="109">
        <v>5.31253314427E-2</v>
      </c>
      <c r="J194" s="49">
        <v>1.2805677839274557E-9</v>
      </c>
      <c r="K194" s="49">
        <v>9.6369359502782281E-11</v>
      </c>
      <c r="L194" s="152">
        <v>1.3783404422668303E-9</v>
      </c>
      <c r="M194" s="33"/>
      <c r="R194" s="60">
        <v>1215.5035174738796</v>
      </c>
      <c r="S194" s="57">
        <v>3.1196635364628398E-6</v>
      </c>
      <c r="U194" s="127">
        <v>6.486177607129196E-10</v>
      </c>
      <c r="V194" s="127">
        <v>1.3783404422668303E-9</v>
      </c>
      <c r="W194" s="127">
        <v>1.6040117872341645E-9</v>
      </c>
      <c r="X194" s="128">
        <f t="shared" si="4"/>
        <v>1.252327608120186E-9</v>
      </c>
      <c r="Y194" s="139">
        <f t="shared" si="5"/>
        <v>8.5873041846404652E-2</v>
      </c>
      <c r="AA194" s="73"/>
      <c r="AB194" s="176"/>
      <c r="AC194" s="176"/>
      <c r="AD194" s="176"/>
      <c r="AJ194" s="135"/>
    </row>
    <row r="195" spans="9:36" x14ac:dyDescent="0.35">
      <c r="I195" s="109">
        <v>5.3656584757100001E-2</v>
      </c>
      <c r="J195" s="49">
        <v>1.3639024224194169E-9</v>
      </c>
      <c r="K195" s="49">
        <v>1.0210183560530017E-10</v>
      </c>
      <c r="L195" s="152">
        <v>1.6069749670359938E-9</v>
      </c>
      <c r="M195" s="33"/>
      <c r="R195" s="60">
        <v>1215.5035174738796</v>
      </c>
      <c r="S195" s="57">
        <v>3.0687867135529593E-6</v>
      </c>
      <c r="U195" s="127">
        <v>1.0461453615741346E-9</v>
      </c>
      <c r="V195" s="127">
        <v>1.6069749670359938E-9</v>
      </c>
      <c r="W195" s="127">
        <v>1.4026447290010156E-9</v>
      </c>
      <c r="X195" s="128">
        <f t="shared" ref="X195:X254" si="6">(U195+2*V195+W195)/4</f>
        <v>1.4156850061617844E-9</v>
      </c>
      <c r="Y195" s="139">
        <f t="shared" ref="Y195:Y254" si="7">(J195-X195)*(J195-X195)/(K195*K195)</f>
        <v>0.25721739313958553</v>
      </c>
      <c r="AA195" s="73"/>
      <c r="AB195" s="176"/>
      <c r="AC195" s="176"/>
      <c r="AD195" s="176"/>
      <c r="AJ195" s="135"/>
    </row>
    <row r="196" spans="9:36" x14ac:dyDescent="0.35">
      <c r="I196" s="109">
        <v>5.4193150604700001E-2</v>
      </c>
      <c r="J196" s="49">
        <v>1.41017150793367E-9</v>
      </c>
      <c r="K196" s="49">
        <v>1.057482654377134E-10</v>
      </c>
      <c r="L196" s="152">
        <v>1.6121284075592235E-9</v>
      </c>
      <c r="M196" s="33"/>
      <c r="R196" s="60">
        <v>1216.0260401837463</v>
      </c>
      <c r="S196" s="57">
        <v>3.0687867135529593E-6</v>
      </c>
      <c r="U196" s="127">
        <v>1.4162922101840129E-9</v>
      </c>
      <c r="V196" s="127">
        <v>1.6121284075592235E-9</v>
      </c>
      <c r="W196" s="127">
        <v>1.0325897802419248E-9</v>
      </c>
      <c r="X196" s="128">
        <f t="shared" si="6"/>
        <v>1.4182847013860963E-9</v>
      </c>
      <c r="Y196" s="139">
        <f t="shared" si="7"/>
        <v>5.8862290540112874E-3</v>
      </c>
      <c r="AA196" s="73"/>
      <c r="AB196" s="176"/>
      <c r="AC196" s="176"/>
      <c r="AD196" s="176"/>
      <c r="AJ196" s="135"/>
    </row>
    <row r="197" spans="9:36" x14ac:dyDescent="0.35">
      <c r="I197" s="109">
        <v>5.4735082110700002E-2</v>
      </c>
      <c r="J197" s="49">
        <v>1.0233575355028199E-9</v>
      </c>
      <c r="K197" s="49">
        <v>8.9300494808198671E-11</v>
      </c>
      <c r="L197" s="152">
        <v>1.3845441923598763E-9</v>
      </c>
      <c r="M197" s="33"/>
      <c r="R197" s="60">
        <v>1216.0260401837463</v>
      </c>
      <c r="S197" s="57">
        <v>3.015093849075583E-6</v>
      </c>
      <c r="U197" s="127">
        <v>1.6352316391329751E-9</v>
      </c>
      <c r="V197" s="127">
        <v>1.3845441923598763E-9</v>
      </c>
      <c r="W197" s="127">
        <v>6.2168686061963047E-10</v>
      </c>
      <c r="X197" s="128">
        <f t="shared" si="6"/>
        <v>1.2565017211180895E-9</v>
      </c>
      <c r="Y197" s="139">
        <f t="shared" si="7"/>
        <v>6.8161862287689692</v>
      </c>
      <c r="AA197" s="73"/>
      <c r="AB197" s="176"/>
      <c r="AC197" s="176"/>
      <c r="AD197" s="176"/>
      <c r="AJ197" s="135"/>
    </row>
    <row r="198" spans="9:36" x14ac:dyDescent="0.35">
      <c r="I198" s="109">
        <v>5.5282432931799998E-2</v>
      </c>
      <c r="J198" s="49">
        <v>1.0898337887281102E-9</v>
      </c>
      <c r="K198" s="49">
        <v>9.590007269595022E-11</v>
      </c>
      <c r="L198" s="152">
        <v>9.9688127269743706E-10</v>
      </c>
      <c r="M198" s="33"/>
      <c r="R198" s="60">
        <v>1216.451262011765</v>
      </c>
      <c r="S198" s="57">
        <v>3.015093849075583E-6</v>
      </c>
      <c r="U198" s="127">
        <v>1.6237294826597231E-9</v>
      </c>
      <c r="V198" s="127">
        <v>9.9688127269743706E-10</v>
      </c>
      <c r="W198" s="127">
        <v>3.2003047218336433E-10</v>
      </c>
      <c r="X198" s="128">
        <f t="shared" si="6"/>
        <v>9.8438062505949048E-10</v>
      </c>
      <c r="Y198" s="139">
        <f t="shared" si="7"/>
        <v>1.2091532681864285</v>
      </c>
      <c r="AA198" s="73"/>
      <c r="AB198" s="176"/>
      <c r="AC198" s="176"/>
      <c r="AD198" s="176"/>
      <c r="AJ198" s="135"/>
    </row>
    <row r="199" spans="9:36" x14ac:dyDescent="0.35">
      <c r="I199" s="109">
        <v>5.5835257261100002E-2</v>
      </c>
      <c r="J199" s="49">
        <v>7.8814652138242862E-10</v>
      </c>
      <c r="K199" s="49">
        <v>8.358508645688627E-11</v>
      </c>
      <c r="L199" s="152">
        <v>5.8368624479105811E-10</v>
      </c>
      <c r="M199" s="33"/>
      <c r="R199" s="60">
        <v>1216.451262011765</v>
      </c>
      <c r="S199" s="57">
        <v>2.9600035536148232E-6</v>
      </c>
      <c r="U199" s="127">
        <v>1.378118613619124E-9</v>
      </c>
      <c r="V199" s="127">
        <v>5.8368624479105811E-10</v>
      </c>
      <c r="W199" s="127">
        <v>2.4526537228764907E-10</v>
      </c>
      <c r="X199" s="128">
        <f t="shared" si="6"/>
        <v>6.9768911887222237E-10</v>
      </c>
      <c r="Y199" s="139">
        <f t="shared" si="7"/>
        <v>1.1711988399878592</v>
      </c>
      <c r="AA199" s="73"/>
      <c r="AB199" s="176"/>
      <c r="AC199" s="176"/>
      <c r="AD199" s="176"/>
      <c r="AJ199" s="135"/>
    </row>
    <row r="200" spans="9:36" x14ac:dyDescent="0.35">
      <c r="I200" s="109">
        <v>5.6393609833799999E-2</v>
      </c>
      <c r="J200" s="49">
        <v>7.8053131001225989E-10</v>
      </c>
      <c r="K200" s="49">
        <v>8.4703352178507216E-11</v>
      </c>
      <c r="L200" s="152">
        <v>2.9651675767995299E-10</v>
      </c>
      <c r="M200" s="33"/>
      <c r="R200" s="60">
        <v>1216.8184434210216</v>
      </c>
      <c r="S200" s="57">
        <v>2.9600035536148232E-6</v>
      </c>
      <c r="U200" s="127">
        <v>9.7737176518384276E-10</v>
      </c>
      <c r="V200" s="127">
        <v>2.9651675767995299E-10</v>
      </c>
      <c r="W200" s="127">
        <v>4.3507917498133318E-10</v>
      </c>
      <c r="X200" s="128">
        <f t="shared" si="6"/>
        <v>5.0137111388127048E-10</v>
      </c>
      <c r="Y200" s="139">
        <f t="shared" si="7"/>
        <v>10.86189983033883</v>
      </c>
      <c r="AA200" s="73"/>
      <c r="AB200" s="176"/>
      <c r="AC200" s="176"/>
      <c r="AD200" s="176"/>
      <c r="AJ200" s="135"/>
    </row>
    <row r="201" spans="9:36" x14ac:dyDescent="0.35">
      <c r="I201" s="109">
        <v>5.69575459321E-2</v>
      </c>
      <c r="J201" s="49">
        <v>7.1129246283554519E-10</v>
      </c>
      <c r="K201" s="49">
        <v>8.0254751913140295E-11</v>
      </c>
      <c r="L201" s="152">
        <v>2.4829797424119469E-10</v>
      </c>
      <c r="M201" s="33"/>
      <c r="R201" s="60">
        <v>1216.8184434210216</v>
      </c>
      <c r="S201" s="57">
        <v>2.904223020925027E-6</v>
      </c>
      <c r="U201" s="127">
        <v>5.6087849399953078E-10</v>
      </c>
      <c r="V201" s="127">
        <v>2.4829797424119469E-10</v>
      </c>
      <c r="W201" s="127">
        <v>8.2645462387389761E-10</v>
      </c>
      <c r="X201" s="128">
        <f t="shared" si="6"/>
        <v>4.7098226658895442E-10</v>
      </c>
      <c r="Y201" s="139">
        <f t="shared" si="7"/>
        <v>8.9660856466769303</v>
      </c>
      <c r="AA201" s="73"/>
      <c r="AB201" s="176"/>
      <c r="AC201" s="176"/>
      <c r="AD201" s="176"/>
      <c r="AJ201" s="135"/>
    </row>
    <row r="202" spans="9:36" x14ac:dyDescent="0.35">
      <c r="I202" s="109">
        <v>5.7527121391400003E-2</v>
      </c>
      <c r="J202" s="49">
        <v>8.294962785668139E-10</v>
      </c>
      <c r="K202" s="49">
        <v>8.9986637408470351E-11</v>
      </c>
      <c r="L202" s="152">
        <v>4.6715709520493219E-10</v>
      </c>
      <c r="M202" s="33"/>
      <c r="R202" s="60">
        <v>1217.1482982707091</v>
      </c>
      <c r="S202" s="57">
        <v>2.904223020925027E-6</v>
      </c>
      <c r="U202" s="127">
        <v>2.8172057647673516E-10</v>
      </c>
      <c r="V202" s="127">
        <v>4.6715709520493219E-10</v>
      </c>
      <c r="W202" s="127">
        <v>1.273121083596885E-9</v>
      </c>
      <c r="X202" s="128">
        <f t="shared" si="6"/>
        <v>6.2228896262087116E-10</v>
      </c>
      <c r="Y202" s="139">
        <f t="shared" si="7"/>
        <v>5.3021758000579666</v>
      </c>
      <c r="AA202" s="73"/>
      <c r="AB202" s="176"/>
      <c r="AC202" s="176"/>
      <c r="AD202" s="176"/>
      <c r="AJ202" s="135"/>
    </row>
    <row r="203" spans="9:36" x14ac:dyDescent="0.35">
      <c r="I203" s="109">
        <v>5.81023926053E-2</v>
      </c>
      <c r="J203" s="49">
        <v>1.086456783030508E-9</v>
      </c>
      <c r="K203" s="49">
        <v>1.0568476043641453E-10</v>
      </c>
      <c r="L203" s="152">
        <v>8.7903472405857744E-10</v>
      </c>
      <c r="M203" s="33"/>
      <c r="R203" s="60">
        <v>1217.1482982707091</v>
      </c>
      <c r="S203" s="57">
        <v>2.8481175301566521E-6</v>
      </c>
      <c r="U203" s="127">
        <v>2.5025415190514907E-10</v>
      </c>
      <c r="V203" s="127">
        <v>8.7903472405857744E-10</v>
      </c>
      <c r="W203" s="127">
        <v>1.5984960925298128E-9</v>
      </c>
      <c r="X203" s="128">
        <f t="shared" si="6"/>
        <v>9.0170492313802918E-10</v>
      </c>
      <c r="Y203" s="139">
        <f t="shared" si="7"/>
        <v>3.0559968598899108</v>
      </c>
      <c r="AA203" s="73"/>
      <c r="AB203" s="176"/>
      <c r="AC203" s="176"/>
      <c r="AD203" s="176"/>
      <c r="AJ203" s="135"/>
    </row>
    <row r="204" spans="9:36" x14ac:dyDescent="0.35">
      <c r="I204" s="109">
        <v>5.8683416531400003E-2</v>
      </c>
      <c r="J204" s="49">
        <v>1.1811534181818046E-9</v>
      </c>
      <c r="K204" s="49">
        <v>1.1731416923230435E-10</v>
      </c>
      <c r="L204" s="152">
        <v>1.3298413182659626E-9</v>
      </c>
      <c r="M204" s="33"/>
      <c r="R204" s="60">
        <v>1217.4534141303754</v>
      </c>
      <c r="S204" s="57">
        <v>2.8481175301566521E-6</v>
      </c>
      <c r="U204" s="127">
        <v>4.8841368122981349E-10</v>
      </c>
      <c r="V204" s="127">
        <v>1.3298413182659626E-9</v>
      </c>
      <c r="W204" s="127">
        <v>1.6666847943626394E-9</v>
      </c>
      <c r="X204" s="128">
        <f t="shared" si="6"/>
        <v>1.2036952780310946E-9</v>
      </c>
      <c r="Y204" s="139">
        <f t="shared" si="7"/>
        <v>3.6921433260438681E-2</v>
      </c>
      <c r="AA204" s="73"/>
      <c r="AB204" s="176"/>
      <c r="AC204" s="176"/>
      <c r="AD204" s="176"/>
      <c r="AJ204" s="135"/>
    </row>
    <row r="205" spans="9:36" x14ac:dyDescent="0.35">
      <c r="I205" s="109">
        <v>5.92702506967E-2</v>
      </c>
      <c r="J205" s="49">
        <v>1.1898958995575478E-9</v>
      </c>
      <c r="K205" s="49">
        <v>1.2068846449227642E-10</v>
      </c>
      <c r="L205" s="152">
        <v>1.6403038148104006E-9</v>
      </c>
      <c r="M205" s="33"/>
      <c r="R205" s="60">
        <v>1217.4534141303754</v>
      </c>
      <c r="S205" s="57">
        <v>2.791874271571451E-6</v>
      </c>
      <c r="U205" s="127">
        <v>9.1572359161768381E-10</v>
      </c>
      <c r="V205" s="127">
        <v>1.6403038148104006E-9</v>
      </c>
      <c r="W205" s="127">
        <v>1.4405350878852657E-9</v>
      </c>
      <c r="X205" s="128">
        <f t="shared" si="6"/>
        <v>1.4092165772809377E-9</v>
      </c>
      <c r="Y205" s="139">
        <f t="shared" si="7"/>
        <v>3.3023844814229824</v>
      </c>
      <c r="AA205" s="73"/>
      <c r="AB205" s="176"/>
      <c r="AC205" s="176"/>
      <c r="AD205" s="176"/>
      <c r="AJ205" s="135"/>
    </row>
    <row r="206" spans="9:36" x14ac:dyDescent="0.35">
      <c r="I206" s="109">
        <v>5.9862953203699998E-2</v>
      </c>
      <c r="J206" s="49">
        <v>1.4480967469009161E-9</v>
      </c>
      <c r="K206" s="49">
        <v>1.2690167562073935E-10</v>
      </c>
      <c r="L206" s="152">
        <v>1.679753470354473E-9</v>
      </c>
      <c r="M206" s="33"/>
      <c r="R206" s="60">
        <v>1217.7423096132452</v>
      </c>
      <c r="S206" s="57">
        <v>2.791874271571451E-6</v>
      </c>
      <c r="U206" s="127">
        <v>1.3711250407234036E-9</v>
      </c>
      <c r="V206" s="127">
        <v>1.679753470354473E-9</v>
      </c>
      <c r="W206" s="127">
        <v>1.0082418397673992E-9</v>
      </c>
      <c r="X206" s="128">
        <f t="shared" si="6"/>
        <v>1.4347184552999372E-9</v>
      </c>
      <c r="Y206" s="139">
        <f t="shared" si="7"/>
        <v>1.111390301254288E-2</v>
      </c>
      <c r="AA206" s="73"/>
      <c r="AB206" s="176"/>
      <c r="AC206" s="176"/>
      <c r="AD206" s="176"/>
      <c r="AJ206" s="135"/>
    </row>
    <row r="207" spans="9:36" x14ac:dyDescent="0.35">
      <c r="I207" s="109">
        <v>6.0461582735700001E-2</v>
      </c>
      <c r="J207" s="49">
        <v>1.0489410498901477E-9</v>
      </c>
      <c r="K207" s="49">
        <v>1.128814252192434E-10</v>
      </c>
      <c r="L207" s="152">
        <v>1.4237714250664294E-9</v>
      </c>
      <c r="M207" s="33"/>
      <c r="R207" s="60">
        <v>1217.7423096132452</v>
      </c>
      <c r="S207" s="57">
        <v>2.7355832907001344E-6</v>
      </c>
      <c r="U207" s="127">
        <v>1.6739840295182721E-9</v>
      </c>
      <c r="V207" s="127">
        <v>1.4237714250664294E-9</v>
      </c>
      <c r="W207" s="127">
        <v>5.5199517213482417E-10</v>
      </c>
      <c r="X207" s="128">
        <f t="shared" si="6"/>
        <v>1.2683805129464888E-9</v>
      </c>
      <c r="Y207" s="139">
        <f t="shared" si="7"/>
        <v>3.779066164283337</v>
      </c>
      <c r="AA207" s="73"/>
      <c r="AB207" s="176"/>
      <c r="AC207" s="176"/>
      <c r="AD207" s="176"/>
      <c r="AJ207" s="135"/>
    </row>
    <row r="208" spans="9:36" x14ac:dyDescent="0.35">
      <c r="I208" s="109">
        <v>6.1066198563099999E-2</v>
      </c>
      <c r="J208" s="49">
        <v>1.17107817410304E-9</v>
      </c>
      <c r="K208" s="49">
        <v>1.2282366779790548E-10</v>
      </c>
      <c r="L208" s="152">
        <v>9.7275253088290247E-10</v>
      </c>
      <c r="M208" s="33"/>
      <c r="R208" s="60">
        <v>1218.0213274388775</v>
      </c>
      <c r="S208" s="57">
        <v>2.7355832907001344E-6</v>
      </c>
      <c r="U208" s="127">
        <v>1.696422007050267E-9</v>
      </c>
      <c r="V208" s="127">
        <v>9.7275253088290247E-10</v>
      </c>
      <c r="W208" s="127">
        <v>2.7473389927001926E-10</v>
      </c>
      <c r="X208" s="128">
        <f t="shared" si="6"/>
        <v>9.7916524202152285E-10</v>
      </c>
      <c r="Y208" s="139">
        <f t="shared" si="7"/>
        <v>2.4414304500804866</v>
      </c>
      <c r="AA208" s="73"/>
      <c r="AB208" s="176"/>
      <c r="AC208" s="176"/>
      <c r="AD208" s="176"/>
      <c r="AJ208" s="135"/>
    </row>
    <row r="209" spans="9:36" x14ac:dyDescent="0.35">
      <c r="I209" s="109">
        <v>6.1676860548700002E-2</v>
      </c>
      <c r="J209" s="49">
        <v>9.5380412019432903E-10</v>
      </c>
      <c r="K209" s="49">
        <v>1.1276516576009057E-10</v>
      </c>
      <c r="L209" s="152">
        <v>5.1752974070472185E-10</v>
      </c>
      <c r="M209" s="33"/>
      <c r="R209" s="60">
        <v>1218.0213274388775</v>
      </c>
      <c r="S209" s="57">
        <v>2.6792812977284095E-6</v>
      </c>
      <c r="U209" s="127">
        <v>1.4209353867741976E-9</v>
      </c>
      <c r="V209" s="127">
        <v>5.1752974070472185E-10</v>
      </c>
      <c r="W209" s="127">
        <v>3.0986874248371826E-10</v>
      </c>
      <c r="X209" s="128">
        <f t="shared" si="6"/>
        <v>6.9146590266683994E-10</v>
      </c>
      <c r="Y209" s="139">
        <f t="shared" si="7"/>
        <v>5.4121920808013577</v>
      </c>
      <c r="AA209" s="73"/>
      <c r="AB209" s="176"/>
      <c r="AC209" s="176"/>
      <c r="AD209" s="176"/>
      <c r="AJ209" s="135"/>
    </row>
    <row r="210" spans="9:36" x14ac:dyDescent="0.35">
      <c r="I210" s="109">
        <v>6.2293629154200003E-2</v>
      </c>
      <c r="J210" s="49">
        <v>7.504148855024067E-10</v>
      </c>
      <c r="K210" s="49">
        <v>1.169365325471669E-10</v>
      </c>
      <c r="L210" s="153">
        <v>2.6141429718480892E-10</v>
      </c>
      <c r="M210" s="18"/>
      <c r="R210" s="60">
        <v>1218.2956582376069</v>
      </c>
      <c r="S210" s="57">
        <v>2.6792812977284095E-6</v>
      </c>
      <c r="U210" s="127">
        <v>9.5617961837315397E-10</v>
      </c>
      <c r="V210" s="127">
        <v>2.6141429718480892E-10</v>
      </c>
      <c r="W210" s="127">
        <v>6.5459328637683186E-10</v>
      </c>
      <c r="X210" s="128">
        <f t="shared" si="6"/>
        <v>5.3340037477990094E-10</v>
      </c>
      <c r="Y210" s="139">
        <f t="shared" si="7"/>
        <v>3.4441108776316529</v>
      </c>
      <c r="AA210" s="73"/>
      <c r="AB210" s="176"/>
      <c r="AC210" s="176"/>
      <c r="AD210" s="176"/>
      <c r="AJ210" s="135"/>
    </row>
    <row r="211" spans="9:36" x14ac:dyDescent="0.35">
      <c r="I211" s="49">
        <v>6.2916565445699998E-2</v>
      </c>
      <c r="J211" s="49">
        <v>8.3255005536625854E-10</v>
      </c>
      <c r="K211" s="49">
        <v>1.0953086601274279E-10</v>
      </c>
      <c r="L211" s="153">
        <v>3.2913574484600883E-10</v>
      </c>
      <c r="M211" s="18"/>
      <c r="R211" s="60">
        <v>1218.2956582376069</v>
      </c>
      <c r="S211" s="57">
        <v>2.6229780776854336E-6</v>
      </c>
      <c r="U211" s="127">
        <v>4.9913305545075623E-10</v>
      </c>
      <c r="V211" s="127">
        <v>3.2913574484600883E-10</v>
      </c>
      <c r="W211" s="127">
        <v>1.1610767316762126E-9</v>
      </c>
      <c r="X211" s="128">
        <f t="shared" si="6"/>
        <v>5.7962031920474658E-10</v>
      </c>
      <c r="Y211" s="139">
        <f t="shared" si="7"/>
        <v>5.3324493506795978</v>
      </c>
      <c r="AA211" s="73"/>
      <c r="AB211" s="176"/>
      <c r="AC211" s="176"/>
      <c r="AD211" s="176"/>
      <c r="AJ211" s="135"/>
    </row>
    <row r="212" spans="9:36" x14ac:dyDescent="0.35">
      <c r="I212" s="49">
        <v>6.3545731100199995E-2</v>
      </c>
      <c r="J212" s="49">
        <v>9.4589451877832186E-10</v>
      </c>
      <c r="K212" s="49">
        <v>1.2517771782908392E-10</v>
      </c>
      <c r="L212" s="153">
        <v>7.0348312063322431E-10</v>
      </c>
      <c r="M212" s="18"/>
      <c r="R212" s="60">
        <v>1218.5699890363362</v>
      </c>
      <c r="S212" s="57">
        <v>2.6229780776854336E-6</v>
      </c>
      <c r="U212" s="127">
        <v>2.5431662574411805E-10</v>
      </c>
      <c r="V212" s="127">
        <v>7.0348312063322431E-10</v>
      </c>
      <c r="W212" s="127">
        <v>1.5964209537278297E-9</v>
      </c>
      <c r="X212" s="128">
        <f t="shared" si="6"/>
        <v>8.1442595518459913E-10</v>
      </c>
      <c r="Y212" s="139">
        <f t="shared" si="7"/>
        <v>1.1030362287691333</v>
      </c>
      <c r="AA212" s="73"/>
      <c r="AB212" s="176"/>
      <c r="AC212" s="176"/>
      <c r="AD212" s="176"/>
      <c r="AJ212" s="135"/>
    </row>
    <row r="213" spans="9:36" x14ac:dyDescent="0.35">
      <c r="I213" s="49">
        <v>6.4181188411200005E-2</v>
      </c>
      <c r="J213" s="49">
        <v>1.063011116672422E-9</v>
      </c>
      <c r="K213" s="49">
        <v>1.3039603761917614E-10</v>
      </c>
      <c r="L213" s="153">
        <v>1.2228369490296197E-9</v>
      </c>
      <c r="M213" s="18"/>
      <c r="R213" s="60">
        <v>1218.5699890363362</v>
      </c>
      <c r="S213" s="57">
        <v>2.5666760847137087E-6</v>
      </c>
      <c r="U213" s="127">
        <v>3.4188838022192177E-10</v>
      </c>
      <c r="V213" s="127">
        <v>1.2228369490296197E-9</v>
      </c>
      <c r="W213" s="127">
        <v>1.7498092315089934E-9</v>
      </c>
      <c r="X213" s="128">
        <f t="shared" si="6"/>
        <v>1.1343428774475386E-9</v>
      </c>
      <c r="Y213" s="139">
        <f t="shared" si="7"/>
        <v>0.29925202622816544</v>
      </c>
      <c r="AA213" s="73"/>
      <c r="AB213" s="176"/>
      <c r="AC213" s="176"/>
      <c r="AD213" s="176"/>
      <c r="AJ213" s="135"/>
    </row>
    <row r="214" spans="9:36" x14ac:dyDescent="0.35">
      <c r="I214" s="49">
        <v>6.4823000295299998E-2</v>
      </c>
      <c r="J214" s="49">
        <v>1.3842277160691323E-9</v>
      </c>
      <c r="K214" s="49">
        <v>1.5017272058290105E-10</v>
      </c>
      <c r="L214" s="153">
        <v>1.6477636041666976E-9</v>
      </c>
      <c r="M214" s="18"/>
      <c r="R214" s="60">
        <v>1218.8490068619685</v>
      </c>
      <c r="S214" s="57">
        <v>2.5666760847137087E-6</v>
      </c>
      <c r="U214" s="127">
        <v>7.3600479041675011E-10</v>
      </c>
      <c r="V214" s="127">
        <v>1.6477636041666976E-9</v>
      </c>
      <c r="W214" s="127">
        <v>1.5387046152226281E-9</v>
      </c>
      <c r="X214" s="128">
        <f t="shared" si="6"/>
        <v>1.3925591534931934E-9</v>
      </c>
      <c r="Y214" s="139">
        <f t="shared" si="7"/>
        <v>3.0779231788239554E-3</v>
      </c>
      <c r="AA214" s="73"/>
      <c r="AB214" s="176"/>
      <c r="AC214" s="176"/>
      <c r="AD214" s="176"/>
      <c r="AJ214" s="135"/>
    </row>
    <row r="215" spans="9:36" x14ac:dyDescent="0.35">
      <c r="I215" s="49">
        <v>6.5471230298199998E-2</v>
      </c>
      <c r="J215" s="49">
        <v>1.6197652484582611E-9</v>
      </c>
      <c r="K215" s="49">
        <v>1.6434488209494936E-10</v>
      </c>
      <c r="L215" s="153">
        <v>1.7718800179741253E-9</v>
      </c>
      <c r="M215" s="18"/>
      <c r="R215" s="60">
        <v>1218.8490068619685</v>
      </c>
      <c r="S215" s="57">
        <v>2.510385103842392E-6</v>
      </c>
      <c r="U215" s="127">
        <v>1.2660973556279127E-9</v>
      </c>
      <c r="V215" s="127">
        <v>1.7718800179741253E-9</v>
      </c>
      <c r="W215" s="127">
        <v>1.059990181243678E-9</v>
      </c>
      <c r="X215" s="128">
        <f t="shared" si="6"/>
        <v>1.4674618932049605E-9</v>
      </c>
      <c r="Y215" s="139">
        <f t="shared" si="7"/>
        <v>0.85882874856307923</v>
      </c>
      <c r="AA215" s="73"/>
      <c r="AB215" s="176"/>
      <c r="AC215" s="176"/>
      <c r="AD215" s="176"/>
      <c r="AJ215" s="135"/>
    </row>
    <row r="216" spans="9:36" x14ac:dyDescent="0.35">
      <c r="I216" s="49">
        <v>6.61259426012E-2</v>
      </c>
      <c r="J216" s="49">
        <v>1.2172865037930114E-9</v>
      </c>
      <c r="K216" s="49">
        <v>1.4721840301764834E-10</v>
      </c>
      <c r="L216" s="153">
        <v>1.5266598842381501E-9</v>
      </c>
      <c r="M216" s="18"/>
      <c r="R216" s="60">
        <v>1219.1379023448383</v>
      </c>
      <c r="S216" s="57">
        <v>2.510385103842392E-6</v>
      </c>
      <c r="U216" s="127">
        <v>1.6876640693441916E-9</v>
      </c>
      <c r="V216" s="127">
        <v>1.5266598842381501E-9</v>
      </c>
      <c r="W216" s="127">
        <v>5.532910679200265E-10</v>
      </c>
      <c r="X216" s="128">
        <f t="shared" si="6"/>
        <v>1.3235687264351296E-9</v>
      </c>
      <c r="Y216" s="139">
        <f t="shared" si="7"/>
        <v>0.521191172653934</v>
      </c>
      <c r="AA216" s="73"/>
      <c r="AB216" s="176"/>
      <c r="AC216" s="176"/>
      <c r="AD216" s="176"/>
      <c r="AJ216" s="135"/>
    </row>
    <row r="217" spans="9:36" x14ac:dyDescent="0.35">
      <c r="I217" s="49">
        <v>6.6787202027199996E-2</v>
      </c>
      <c r="J217" s="49">
        <v>1.3727685445585459E-9</v>
      </c>
      <c r="K217" s="49">
        <v>1.5756710374213181E-10</v>
      </c>
      <c r="L217" s="153">
        <v>1.0261963365713612E-9</v>
      </c>
      <c r="M217" s="18"/>
      <c r="R217" s="60">
        <v>1219.1379023448383</v>
      </c>
      <c r="S217" s="57">
        <v>2.454141845257191E-6</v>
      </c>
      <c r="U217" s="127">
        <v>1.7958028912923365E-9</v>
      </c>
      <c r="V217" s="127">
        <v>1.0261963365713612E-9</v>
      </c>
      <c r="W217" s="127">
        <v>2.8581212111252225E-10</v>
      </c>
      <c r="X217" s="128">
        <f t="shared" si="6"/>
        <v>1.0335019213868953E-9</v>
      </c>
      <c r="Y217" s="139">
        <f t="shared" si="7"/>
        <v>4.6360826282516499</v>
      </c>
      <c r="AA217" s="73"/>
      <c r="AB217" s="176"/>
      <c r="AC217" s="176"/>
      <c r="AD217" s="176"/>
      <c r="AJ217" s="135"/>
    </row>
    <row r="218" spans="9:36" x14ac:dyDescent="0.35">
      <c r="I218" s="49">
        <v>6.7455074047499994E-2</v>
      </c>
      <c r="J218" s="49">
        <v>9.5932023552182964E-10</v>
      </c>
      <c r="K218" s="49">
        <v>1.3694074177223248E-10</v>
      </c>
      <c r="L218" s="153">
        <v>5.2189226680182044E-10</v>
      </c>
      <c r="M218" s="18"/>
      <c r="R218" s="60">
        <v>1219.4430182045046</v>
      </c>
      <c r="S218" s="57">
        <v>2.454141845257191E-6</v>
      </c>
      <c r="U218" s="127">
        <v>1.529691268669948E-9</v>
      </c>
      <c r="V218" s="127">
        <v>5.2189226680182044E-10</v>
      </c>
      <c r="W218" s="127">
        <v>4.1166000604845383E-10</v>
      </c>
      <c r="X218" s="128">
        <f t="shared" si="6"/>
        <v>7.4628395208051067E-10</v>
      </c>
      <c r="Y218" s="139">
        <f t="shared" si="7"/>
        <v>2.4201473121418813</v>
      </c>
      <c r="AA218" s="73"/>
      <c r="AB218" s="176"/>
      <c r="AC218" s="176"/>
      <c r="AD218" s="176"/>
      <c r="AJ218" s="135"/>
    </row>
    <row r="219" spans="9:36" x14ac:dyDescent="0.35">
      <c r="I219" s="49">
        <v>6.8129624787999998E-2</v>
      </c>
      <c r="J219" s="49">
        <v>9.2418467236474417E-10</v>
      </c>
      <c r="K219" s="49">
        <v>1.3974732664832372E-10</v>
      </c>
      <c r="L219" s="153">
        <v>2.8071415770210811E-10</v>
      </c>
      <c r="M219" s="18"/>
      <c r="R219" s="60">
        <v>1219.4430182045046</v>
      </c>
      <c r="S219" s="57">
        <v>2.3980363544888161E-6</v>
      </c>
      <c r="U219" s="127">
        <v>1.0138856688010266E-9</v>
      </c>
      <c r="V219" s="127">
        <v>2.8071415770210811E-10</v>
      </c>
      <c r="W219" s="127">
        <v>8.7980309221958068E-10</v>
      </c>
      <c r="X219" s="128">
        <f t="shared" si="6"/>
        <v>6.1377926910620589E-10</v>
      </c>
      <c r="Y219" s="139">
        <f t="shared" si="7"/>
        <v>4.9336862488816653</v>
      </c>
      <c r="AA219" s="73"/>
      <c r="AB219" s="176"/>
      <c r="AC219" s="176"/>
      <c r="AD219" s="176"/>
      <c r="AJ219" s="135"/>
    </row>
    <row r="220" spans="9:36" x14ac:dyDescent="0.35">
      <c r="I220" s="49">
        <v>6.8810921035900002E-2</v>
      </c>
      <c r="J220" s="49">
        <v>7.135689186283539E-10</v>
      </c>
      <c r="K220" s="49">
        <v>1.3096706552446789E-10</v>
      </c>
      <c r="L220" s="153">
        <v>4.4376157368250845E-10</v>
      </c>
      <c r="M220" s="18"/>
      <c r="R220" s="60">
        <v>1219.7728730541921</v>
      </c>
      <c r="S220" s="57">
        <v>2.3980363544888161E-6</v>
      </c>
      <c r="U220" s="127">
        <v>5.0786275126182627E-10</v>
      </c>
      <c r="V220" s="127">
        <v>4.4376157368250845E-10</v>
      </c>
      <c r="W220" s="127">
        <v>1.4475034377703126E-9</v>
      </c>
      <c r="X220" s="128">
        <f t="shared" si="6"/>
        <v>7.1072233409928899E-10</v>
      </c>
      <c r="Y220" s="139">
        <f t="shared" si="7"/>
        <v>4.7241532319963769E-4</v>
      </c>
      <c r="AA220" s="73"/>
      <c r="AB220" s="176"/>
      <c r="AC220" s="176"/>
      <c r="AD220" s="176"/>
      <c r="AJ220" s="135"/>
    </row>
    <row r="221" spans="9:36" x14ac:dyDescent="0.35">
      <c r="I221" s="49">
        <v>6.9499030246199994E-2</v>
      </c>
      <c r="J221" s="49">
        <v>9.1657636871777463E-10</v>
      </c>
      <c r="K221" s="49">
        <v>1.3774705160863014E-10</v>
      </c>
      <c r="L221" s="153">
        <v>9.4038494231242362E-10</v>
      </c>
      <c r="M221" s="18"/>
      <c r="R221" s="60">
        <v>1219.7728730541921</v>
      </c>
      <c r="S221" s="57">
        <v>2.3422558217990199E-6</v>
      </c>
      <c r="U221" s="127">
        <v>2.799508350671104E-10</v>
      </c>
      <c r="V221" s="127">
        <v>9.4038494231242362E-10</v>
      </c>
      <c r="W221" s="127">
        <v>1.8034360174967325E-9</v>
      </c>
      <c r="X221" s="128">
        <f t="shared" si="6"/>
        <v>9.9103918429717267E-10</v>
      </c>
      <c r="Y221" s="139">
        <f t="shared" si="7"/>
        <v>0.2922229251598692</v>
      </c>
      <c r="AA221" s="73"/>
      <c r="AB221" s="176"/>
      <c r="AC221" s="176"/>
      <c r="AD221" s="176"/>
      <c r="AJ221" s="135"/>
    </row>
    <row r="222" spans="9:36" x14ac:dyDescent="0.35">
      <c r="I222" s="49">
        <v>7.0194020548699998E-2</v>
      </c>
      <c r="J222" s="49">
        <v>1.075384760400423E-9</v>
      </c>
      <c r="K222" s="49">
        <v>1.5102073239591149E-10</v>
      </c>
      <c r="L222" s="153">
        <v>1.5120265151198662E-9</v>
      </c>
      <c r="M222" s="18"/>
      <c r="R222" s="60">
        <v>1220.1400544634487</v>
      </c>
      <c r="S222" s="57">
        <v>2.3422558217990199E-6</v>
      </c>
      <c r="U222" s="127">
        <v>4.6478365506214832E-10</v>
      </c>
      <c r="V222" s="127">
        <v>1.5120265151198662E-9</v>
      </c>
      <c r="W222" s="127">
        <v>1.7415841439052637E-9</v>
      </c>
      <c r="X222" s="128">
        <f t="shared" si="6"/>
        <v>1.307605207301786E-9</v>
      </c>
      <c r="Y222" s="139">
        <f t="shared" si="7"/>
        <v>2.3644371197720284</v>
      </c>
      <c r="AA222" s="73"/>
      <c r="AB222" s="176"/>
      <c r="AC222" s="176"/>
      <c r="AD222" s="176"/>
      <c r="AJ222" s="135"/>
    </row>
    <row r="223" spans="9:36" x14ac:dyDescent="0.35">
      <c r="I223" s="49">
        <v>7.0895960754200002E-2</v>
      </c>
      <c r="J223" s="49">
        <v>1.5168953866312271E-9</v>
      </c>
      <c r="K223" s="49">
        <v>1.7813772027699504E-10</v>
      </c>
      <c r="L223" s="153">
        <v>1.8445562364463201E-9</v>
      </c>
      <c r="M223" s="18"/>
      <c r="R223" s="60">
        <v>1220.1400544634487</v>
      </c>
      <c r="S223" s="57">
        <v>2.28716552633826E-6</v>
      </c>
      <c r="U223" s="127">
        <v>9.8043227941871776E-10</v>
      </c>
      <c r="V223" s="127">
        <v>1.8445562364463201E-9</v>
      </c>
      <c r="W223" s="127">
        <v>1.2892490191603137E-9</v>
      </c>
      <c r="X223" s="128">
        <f t="shared" si="6"/>
        <v>1.4896984428679179E-9</v>
      </c>
      <c r="Y223" s="139">
        <f t="shared" si="7"/>
        <v>2.3309256784551244E-2</v>
      </c>
      <c r="AA223" s="73"/>
      <c r="AB223" s="176"/>
      <c r="AC223" s="176"/>
      <c r="AD223" s="176"/>
      <c r="AJ223" s="135"/>
    </row>
    <row r="224" spans="9:36" x14ac:dyDescent="0.35">
      <c r="I224" s="49">
        <v>7.1604920361700006E-2</v>
      </c>
      <c r="J224" s="49">
        <v>1.6362733994222669E-9</v>
      </c>
      <c r="K224" s="49">
        <v>1.8548224669566185E-10</v>
      </c>
      <c r="L224" s="153">
        <v>1.7447208931614065E-9</v>
      </c>
      <c r="M224" s="18"/>
      <c r="R224" s="60">
        <v>1220.5652762914674</v>
      </c>
      <c r="S224" s="57">
        <v>2.28716552633826E-6</v>
      </c>
      <c r="U224" s="127">
        <v>1.5581368736129742E-9</v>
      </c>
      <c r="V224" s="127">
        <v>1.7447208931614065E-9</v>
      </c>
      <c r="W224" s="127">
        <v>7.0738012136281078E-10</v>
      </c>
      <c r="X224" s="128">
        <f t="shared" si="6"/>
        <v>1.4387396953246495E-9</v>
      </c>
      <c r="Y224" s="139">
        <f t="shared" si="7"/>
        <v>1.1341688616892556</v>
      </c>
      <c r="AA224" s="73"/>
      <c r="AB224" s="176"/>
      <c r="AC224" s="176"/>
      <c r="AD224" s="176"/>
      <c r="AJ224" s="135"/>
    </row>
    <row r="225" spans="9:36" x14ac:dyDescent="0.35">
      <c r="I225" s="49">
        <v>7.23209695653E-2</v>
      </c>
      <c r="J225" s="49">
        <v>1.2149567778052128E-9</v>
      </c>
      <c r="K225" s="49">
        <v>1.693124514908952E-10</v>
      </c>
      <c r="L225" s="153">
        <v>1.2617899731179698E-9</v>
      </c>
      <c r="M225" s="18"/>
      <c r="R225" s="60">
        <v>1220.5652762914674</v>
      </c>
      <c r="S225" s="57">
        <v>2.2334726618608838E-6</v>
      </c>
      <c r="U225" s="127">
        <v>1.8803893333794895E-9</v>
      </c>
      <c r="V225" s="127">
        <v>1.2617899731179698E-9</v>
      </c>
      <c r="W225" s="127">
        <v>3.4882893180267105E-10</v>
      </c>
      <c r="X225" s="128">
        <f t="shared" si="6"/>
        <v>1.188199552854525E-9</v>
      </c>
      <c r="Y225" s="139">
        <f t="shared" si="7"/>
        <v>2.4974933685127709E-2</v>
      </c>
      <c r="AA225" s="73"/>
      <c r="AB225" s="176"/>
      <c r="AC225" s="176"/>
      <c r="AD225" s="176"/>
      <c r="AJ225" s="135"/>
    </row>
    <row r="226" spans="9:36" x14ac:dyDescent="0.35">
      <c r="I226" s="49">
        <v>7.3044179261E-2</v>
      </c>
      <c r="J226" s="49">
        <v>1.2563836234120652E-9</v>
      </c>
      <c r="K226" s="49">
        <v>1.6966320324709726E-10</v>
      </c>
      <c r="L226" s="153">
        <v>6.7542230820708993E-10</v>
      </c>
      <c r="M226" s="18"/>
      <c r="R226" s="60">
        <v>1221.0877990013341</v>
      </c>
      <c r="S226" s="57">
        <v>2.2334726618608838E-6</v>
      </c>
      <c r="U226" s="127">
        <v>1.7596915124944271E-9</v>
      </c>
      <c r="V226" s="127">
        <v>6.7542230820708993E-10</v>
      </c>
      <c r="W226" s="127">
        <v>4.4684582284268321E-10</v>
      </c>
      <c r="X226" s="128">
        <f t="shared" si="6"/>
        <v>8.893454879378225E-10</v>
      </c>
      <c r="Y226" s="139">
        <f t="shared" si="7"/>
        <v>4.6800129586872448</v>
      </c>
      <c r="AA226" s="73"/>
      <c r="AB226" s="176"/>
      <c r="AC226" s="176"/>
      <c r="AD226" s="176"/>
      <c r="AJ226" s="135"/>
    </row>
    <row r="227" spans="9:36" x14ac:dyDescent="0.35">
      <c r="I227" s="49">
        <v>7.3774621053599998E-2</v>
      </c>
      <c r="J227" s="49">
        <v>9.9871863328223813E-10</v>
      </c>
      <c r="K227" s="49">
        <v>1.5200710220049387E-10</v>
      </c>
      <c r="L227" s="153">
        <v>3.4229762761864492E-10</v>
      </c>
      <c r="M227" s="18"/>
      <c r="R227" s="60">
        <v>1221.0877990013341</v>
      </c>
      <c r="S227" s="57">
        <v>2.1825958389510033E-6</v>
      </c>
      <c r="U227" s="127">
        <v>1.2573943411113503E-9</v>
      </c>
      <c r="V227" s="127">
        <v>3.4229762761864492E-10</v>
      </c>
      <c r="W227" s="127">
        <v>9.5997669335818782E-10</v>
      </c>
      <c r="X227" s="128">
        <f t="shared" si="6"/>
        <v>7.2549157242670691E-10</v>
      </c>
      <c r="Y227" s="139">
        <f t="shared" si="7"/>
        <v>3.2308713186823454</v>
      </c>
      <c r="AA227" s="73"/>
      <c r="AB227" s="176"/>
      <c r="AC227" s="176"/>
      <c r="AD227" s="176"/>
      <c r="AJ227" s="135"/>
    </row>
    <row r="228" spans="9:36" x14ac:dyDescent="0.35">
      <c r="I228" s="49">
        <v>7.4512367264100002E-2</v>
      </c>
      <c r="J228" s="49">
        <v>9.3749338506640287E-10</v>
      </c>
      <c r="K228" s="49">
        <v>1.5405401427088322E-10</v>
      </c>
      <c r="L228" s="153">
        <v>4.8117859632446188E-10</v>
      </c>
      <c r="M228" s="18"/>
      <c r="R228" s="60">
        <v>1221.8009761893577</v>
      </c>
      <c r="S228" s="57">
        <v>2.1825958389510033E-6</v>
      </c>
      <c r="U228" s="127">
        <v>6.6480485321252488E-10</v>
      </c>
      <c r="V228" s="127">
        <v>4.8117859632446188E-10</v>
      </c>
      <c r="W228" s="127">
        <v>1.5795199054104764E-9</v>
      </c>
      <c r="X228" s="128">
        <f t="shared" si="6"/>
        <v>8.0167048781798119E-10</v>
      </c>
      <c r="Y228" s="139">
        <f t="shared" si="7"/>
        <v>0.77732017807521137</v>
      </c>
      <c r="AA228" s="73"/>
      <c r="AB228" s="176"/>
      <c r="AC228" s="176"/>
      <c r="AD228" s="176"/>
      <c r="AJ228" s="135"/>
    </row>
    <row r="229" spans="9:36" x14ac:dyDescent="0.35">
      <c r="I229" s="49">
        <v>7.5257490936799995E-2</v>
      </c>
      <c r="J229" s="49">
        <v>9.9413571069658323E-10</v>
      </c>
      <c r="K229" s="49">
        <v>1.6548025088810299E-10</v>
      </c>
      <c r="L229" s="153">
        <v>1.0256591941634635E-9</v>
      </c>
      <c r="M229" s="18"/>
      <c r="R229" s="60">
        <v>1221.8009761893577</v>
      </c>
      <c r="S229" s="57">
        <v>2.1376338675293882E-6</v>
      </c>
      <c r="U229" s="127">
        <v>3.4280219135540128E-10</v>
      </c>
      <c r="V229" s="127">
        <v>1.0256591941634635E-9</v>
      </c>
      <c r="W229" s="127">
        <v>1.9123973624421936E-9</v>
      </c>
      <c r="X229" s="128">
        <f t="shared" si="6"/>
        <v>1.0766294855311305E-9</v>
      </c>
      <c r="Y229" s="139">
        <f t="shared" si="7"/>
        <v>0.24851351526364332</v>
      </c>
      <c r="AA229" s="73"/>
      <c r="AB229" s="176"/>
      <c r="AC229" s="176"/>
      <c r="AD229" s="176"/>
      <c r="AJ229" s="135"/>
    </row>
    <row r="230" spans="9:36" x14ac:dyDescent="0.35">
      <c r="I230" s="49">
        <v>7.6010065846099997E-2</v>
      </c>
      <c r="J230" s="49">
        <v>1.1404301226500398E-9</v>
      </c>
      <c r="K230" s="49">
        <v>1.9260463208084481E-10</v>
      </c>
      <c r="L230" s="153">
        <v>1.6469315408179661E-9</v>
      </c>
      <c r="M230" s="27"/>
      <c r="R230" s="60">
        <v>1223.0825650647316</v>
      </c>
      <c r="S230" s="57">
        <v>2.1376338675293882E-6</v>
      </c>
      <c r="U230" s="127">
        <v>5.0392026321580088E-10</v>
      </c>
      <c r="V230" s="127">
        <v>1.6469315408179661E-9</v>
      </c>
      <c r="W230" s="127">
        <v>1.7363563824571189E-9</v>
      </c>
      <c r="X230" s="128">
        <f t="shared" si="6"/>
        <v>1.3835349318272129E-9</v>
      </c>
      <c r="Y230" s="139">
        <f t="shared" si="7"/>
        <v>1.5931389125823969</v>
      </c>
      <c r="AA230" s="73"/>
      <c r="AB230" s="176"/>
      <c r="AC230" s="176"/>
      <c r="AD230" s="176"/>
      <c r="AJ230" s="135"/>
    </row>
    <row r="231" spans="9:36" x14ac:dyDescent="0.35">
      <c r="I231" s="49">
        <v>7.6770166504600001E-2</v>
      </c>
      <c r="J231" s="49">
        <v>1.1793889478063835E-9</v>
      </c>
      <c r="K231" s="49">
        <v>1.8001424658633624E-10</v>
      </c>
      <c r="L231" s="153">
        <v>1.9501624928329339E-9</v>
      </c>
      <c r="M231" s="27"/>
      <c r="R231" s="60">
        <v>1223.0825650647316</v>
      </c>
      <c r="S231" s="57">
        <v>2.1065538090781624E-6</v>
      </c>
      <c r="U231" s="127">
        <v>1.0684051230074254E-9</v>
      </c>
      <c r="V231" s="127">
        <v>1.9501624928329339E-9</v>
      </c>
      <c r="W231" s="127">
        <v>1.1618529342097456E-9</v>
      </c>
      <c r="X231" s="128">
        <f t="shared" si="6"/>
        <v>1.5326457607207595E-9</v>
      </c>
      <c r="Y231" s="139">
        <f t="shared" si="7"/>
        <v>3.8509451997666431</v>
      </c>
      <c r="AA231" s="73"/>
      <c r="AB231" s="176"/>
      <c r="AC231" s="176"/>
      <c r="AD231" s="176"/>
      <c r="AJ231" s="135"/>
    </row>
    <row r="232" spans="9:36" x14ac:dyDescent="0.35">
      <c r="I232" s="49">
        <v>7.7537868169599997E-2</v>
      </c>
      <c r="J232" s="49">
        <v>1.3778643574343277E-9</v>
      </c>
      <c r="K232" s="49">
        <v>1.9023604097463817E-10</v>
      </c>
      <c r="L232" s="153">
        <v>1.7321442069061556E-9</v>
      </c>
      <c r="M232" s="27"/>
      <c r="R232" s="60">
        <v>1224.8036466528058</v>
      </c>
      <c r="S232" s="57">
        <v>2.1065538090781624E-6</v>
      </c>
      <c r="U232" s="127">
        <v>1.6950610384248132E-9</v>
      </c>
      <c r="V232" s="127">
        <v>1.7321442069061556E-9</v>
      </c>
      <c r="W232" s="127">
        <v>5.7855113992961928E-10</v>
      </c>
      <c r="X232" s="128">
        <f t="shared" si="6"/>
        <v>1.434475148041686E-9</v>
      </c>
      <c r="Y232" s="139">
        <f t="shared" si="7"/>
        <v>8.8554949932914462E-2</v>
      </c>
      <c r="AA232" s="73"/>
      <c r="AB232" s="176"/>
      <c r="AC232" s="176"/>
      <c r="AD232" s="176"/>
      <c r="AJ232" s="135"/>
    </row>
    <row r="233" spans="9:36" x14ac:dyDescent="0.35">
      <c r="I233" s="49">
        <v>7.8313246851300006E-2</v>
      </c>
      <c r="J233" s="49">
        <v>1.388887858985708E-9</v>
      </c>
      <c r="K233" s="49">
        <v>2.0109477280553665E-10</v>
      </c>
      <c r="L233" s="153">
        <v>1.1316859588245417E-9</v>
      </c>
      <c r="M233" s="27"/>
      <c r="R233" s="60">
        <v>1224.8036466528058</v>
      </c>
      <c r="S233" s="57">
        <v>2.1022593754138432E-6</v>
      </c>
      <c r="U233" s="127">
        <v>1.9856762172563187E-9</v>
      </c>
      <c r="V233" s="127">
        <v>1.1316859588245417E-9</v>
      </c>
      <c r="W233" s="127">
        <v>4.0101227044545679E-10</v>
      </c>
      <c r="X233" s="128">
        <f t="shared" si="6"/>
        <v>1.1625151013377145E-9</v>
      </c>
      <c r="Y233" s="139">
        <f t="shared" si="7"/>
        <v>1.2672046536992301</v>
      </c>
      <c r="AA233" s="73"/>
      <c r="AB233" s="176"/>
      <c r="AC233" s="176"/>
      <c r="AD233" s="176"/>
      <c r="AJ233" s="135"/>
    </row>
    <row r="234" spans="9:36" x14ac:dyDescent="0.35">
      <c r="I234" s="49">
        <v>7.90963793198E-2</v>
      </c>
      <c r="J234" s="49">
        <v>9.6178788425013537E-10</v>
      </c>
      <c r="K234" s="49">
        <v>1.8563362450509308E-10</v>
      </c>
      <c r="L234" s="153">
        <v>5.5714353397379966E-10</v>
      </c>
      <c r="M234" s="27"/>
      <c r="R234" s="60">
        <v>1324.8036466528058</v>
      </c>
      <c r="S234" s="57">
        <v>2.1022593754138432E-6</v>
      </c>
      <c r="U234" s="127">
        <v>1.7453691715617412E-9</v>
      </c>
      <c r="V234" s="127">
        <v>5.5714353397379966E-10</v>
      </c>
      <c r="W234" s="127">
        <v>7.7455381335363618E-10</v>
      </c>
      <c r="X234" s="128">
        <f t="shared" si="6"/>
        <v>9.0855251321574419E-10</v>
      </c>
      <c r="Y234" s="139">
        <f t="shared" si="7"/>
        <v>8.2240791591324761E-2</v>
      </c>
      <c r="AA234" s="73"/>
      <c r="AB234" s="176"/>
      <c r="AC234" s="176"/>
      <c r="AD234" s="176"/>
      <c r="AJ234" s="135"/>
    </row>
    <row r="235" spans="9:36" x14ac:dyDescent="0.35">
      <c r="I235" s="49">
        <v>7.9887343112999998E-2</v>
      </c>
      <c r="J235" s="49">
        <v>7.9900200946686285E-10</v>
      </c>
      <c r="K235" s="49">
        <v>1.7499595278531732E-10</v>
      </c>
      <c r="L235" s="153">
        <v>4.182767341652067E-10</v>
      </c>
      <c r="M235" s="27"/>
      <c r="U235" s="127">
        <v>1.1280128423275716E-9</v>
      </c>
      <c r="V235" s="127">
        <v>4.182767341652067E-10</v>
      </c>
      <c r="W235" s="127">
        <v>1.4518955940179249E-9</v>
      </c>
      <c r="X235" s="128">
        <f t="shared" si="6"/>
        <v>8.5411547616897759E-10</v>
      </c>
      <c r="Y235" s="139">
        <f t="shared" si="7"/>
        <v>9.9188072251371134E-2</v>
      </c>
      <c r="AA235" s="73"/>
      <c r="AB235" s="176"/>
      <c r="AC235" s="176"/>
      <c r="AD235" s="176"/>
      <c r="AJ235" s="135"/>
    </row>
    <row r="236" spans="9:36" x14ac:dyDescent="0.35">
      <c r="I236" s="49">
        <v>8.0686216544199996E-2</v>
      </c>
      <c r="J236" s="49">
        <v>6.4363757802760317E-10</v>
      </c>
      <c r="K236" s="49">
        <v>1.7426951300627027E-10</v>
      </c>
      <c r="L236" s="153">
        <v>8.33953698285841E-10</v>
      </c>
      <c r="M236" s="27"/>
      <c r="U236" s="127">
        <v>5.5383353278861821E-10</v>
      </c>
      <c r="V236" s="127">
        <v>8.33953698285841E-10</v>
      </c>
      <c r="W236" s="127">
        <v>1.9503213419123445E-9</v>
      </c>
      <c r="X236" s="128">
        <f t="shared" si="6"/>
        <v>1.0430155678181613E-9</v>
      </c>
      <c r="Y236" s="139">
        <f t="shared" si="7"/>
        <v>5.2520084753344207</v>
      </c>
      <c r="AA236" s="73"/>
      <c r="AB236" s="176"/>
      <c r="AC236" s="176"/>
      <c r="AD236" s="176"/>
      <c r="AJ236" s="135"/>
    </row>
    <row r="237" spans="9:36" x14ac:dyDescent="0.35">
      <c r="I237" s="49">
        <v>8.14930787096E-2</v>
      </c>
      <c r="J237" s="49">
        <v>8.6539054188461809E-10</v>
      </c>
      <c r="K237" s="49">
        <v>2.0731337092896146E-10</v>
      </c>
      <c r="L237" s="153">
        <v>1.5266571917736056E-9</v>
      </c>
      <c r="M237" s="27"/>
      <c r="U237" s="127">
        <v>4.3285991491935581E-10</v>
      </c>
      <c r="V237" s="127">
        <v>1.5266571917736056E-9</v>
      </c>
      <c r="W237" s="127">
        <v>1.8997793506824422E-9</v>
      </c>
      <c r="X237" s="128">
        <f t="shared" si="6"/>
        <v>1.3464884122872523E-9</v>
      </c>
      <c r="Y237" s="139">
        <f t="shared" si="7"/>
        <v>5.3853290242005709</v>
      </c>
      <c r="AA237" s="73"/>
      <c r="AB237" s="176"/>
      <c r="AC237" s="176"/>
      <c r="AD237" s="176"/>
      <c r="AJ237" s="135"/>
    </row>
    <row r="238" spans="9:36" x14ac:dyDescent="0.35">
      <c r="I238" s="49">
        <v>8.2308009496700002E-2</v>
      </c>
      <c r="J238" s="49">
        <v>1.3025785601985149E-9</v>
      </c>
      <c r="K238" s="49">
        <v>2.1627246050107708E-10</v>
      </c>
      <c r="L238" s="153">
        <v>2.001880978290206E-9</v>
      </c>
      <c r="M238" s="27"/>
      <c r="U238" s="127">
        <v>8.7186219285701976E-10</v>
      </c>
      <c r="V238" s="127">
        <v>2.001880978290206E-9</v>
      </c>
      <c r="W238" s="127">
        <v>1.3336736055464581E-9</v>
      </c>
      <c r="X238" s="128">
        <f t="shared" si="6"/>
        <v>1.5523244387459725E-9</v>
      </c>
      <c r="Y238" s="139">
        <f t="shared" si="7"/>
        <v>1.33350367713856</v>
      </c>
      <c r="AA238" s="73"/>
      <c r="AB238" s="176"/>
      <c r="AC238" s="176"/>
      <c r="AD238" s="176"/>
      <c r="AJ238" s="135"/>
    </row>
    <row r="239" spans="9:36" x14ac:dyDescent="0.35">
      <c r="I239" s="49">
        <v>8.31310895917E-2</v>
      </c>
      <c r="J239" s="49">
        <v>1.3067766263266065E-9</v>
      </c>
      <c r="K239" s="49">
        <v>2.2312742944354605E-10</v>
      </c>
      <c r="L239" s="153">
        <v>1.9063825801136204E-9</v>
      </c>
      <c r="M239" s="27"/>
      <c r="U239" s="127">
        <v>1.5769719306975646E-9</v>
      </c>
      <c r="V239" s="127">
        <v>1.9063825801136204E-9</v>
      </c>
      <c r="W239" s="127">
        <v>6.8847869774448876E-10</v>
      </c>
      <c r="X239" s="128">
        <f t="shared" si="6"/>
        <v>1.5195539471673237E-9</v>
      </c>
      <c r="Y239" s="139">
        <f t="shared" si="7"/>
        <v>0.90937863817196363</v>
      </c>
      <c r="AA239" s="73"/>
      <c r="AB239" s="176"/>
      <c r="AC239" s="176"/>
      <c r="AD239" s="176"/>
      <c r="AJ239" s="135"/>
    </row>
    <row r="240" spans="9:36" x14ac:dyDescent="0.35">
      <c r="I240" s="49">
        <v>8.3962400487599995E-2</v>
      </c>
      <c r="J240" s="49">
        <v>1.275676387299493E-9</v>
      </c>
      <c r="K240" s="49">
        <v>2.4802966066543284E-10</v>
      </c>
      <c r="L240" s="153">
        <v>1.3078994504217017E-9</v>
      </c>
      <c r="M240" s="27"/>
      <c r="U240" s="127">
        <v>2.0448678359742138E-9</v>
      </c>
      <c r="V240" s="127">
        <v>1.3078994504217017E-9</v>
      </c>
      <c r="W240" s="127">
        <v>4.8255358307942476E-10</v>
      </c>
      <c r="X240" s="128">
        <f t="shared" si="6"/>
        <v>1.2858050799742606E-9</v>
      </c>
      <c r="Y240" s="139">
        <f t="shared" si="7"/>
        <v>1.6676294254934572E-3</v>
      </c>
      <c r="AA240" s="73"/>
      <c r="AB240" s="176"/>
      <c r="AC240" s="176"/>
      <c r="AD240" s="176"/>
      <c r="AJ240" s="135"/>
    </row>
    <row r="241" spans="9:36" x14ac:dyDescent="0.35">
      <c r="I241" s="49">
        <v>8.4802024492500003E-2</v>
      </c>
      <c r="J241" s="49">
        <v>1.2629192327256289E-9</v>
      </c>
      <c r="K241" s="49">
        <v>2.4451301873426635E-10</v>
      </c>
      <c r="L241" s="153">
        <v>6.6895613961639458E-10</v>
      </c>
      <c r="M241" s="27"/>
      <c r="U241" s="127">
        <v>1.9279642446398301E-9</v>
      </c>
      <c r="V241" s="127">
        <v>6.6895613961639458E-10</v>
      </c>
      <c r="W241" s="127">
        <v>9.0226590434002287E-10</v>
      </c>
      <c r="X241" s="128">
        <f t="shared" si="6"/>
        <v>1.0420356070531605E-9</v>
      </c>
      <c r="Y241" s="139">
        <f t="shared" si="7"/>
        <v>0.81606183933325538</v>
      </c>
      <c r="AA241" s="73"/>
      <c r="AB241" s="176"/>
      <c r="AC241" s="176"/>
      <c r="AD241" s="176"/>
      <c r="AJ241" s="135"/>
    </row>
    <row r="242" spans="9:36" x14ac:dyDescent="0.35">
      <c r="I242" s="49">
        <v>8.5650044737399997E-2</v>
      </c>
      <c r="J242" s="49">
        <v>9.9058163243553997E-10</v>
      </c>
      <c r="K242" s="49">
        <v>2.1237622396414473E-10</v>
      </c>
      <c r="L242" s="153">
        <v>5.0431698719487018E-10</v>
      </c>
      <c r="M242" s="27"/>
      <c r="U242" s="127">
        <v>1.3104903865768842E-9</v>
      </c>
      <c r="V242" s="127">
        <v>5.0431698719487018E-10</v>
      </c>
      <c r="W242" s="127">
        <v>1.6282250978764542E-9</v>
      </c>
      <c r="X242" s="128">
        <f t="shared" si="6"/>
        <v>9.8683736471076971E-10</v>
      </c>
      <c r="Y242" s="139">
        <f t="shared" si="7"/>
        <v>3.1082933486337991E-4</v>
      </c>
      <c r="AA242" s="73"/>
      <c r="AB242" s="176"/>
      <c r="AC242" s="176"/>
      <c r="AD242" s="176"/>
      <c r="AJ242" s="135"/>
    </row>
    <row r="243" spans="9:36" x14ac:dyDescent="0.35">
      <c r="I243" s="49">
        <v>8.6506545184799999E-2</v>
      </c>
      <c r="J243" s="49">
        <v>1.4085107468013821E-9</v>
      </c>
      <c r="K243" s="49">
        <v>1.4271013689075406E-10</v>
      </c>
      <c r="L243" s="153">
        <v>9.6813304550471693E-10</v>
      </c>
      <c r="M243" s="27"/>
      <c r="U243" s="127">
        <v>6.7001392283851022E-10</v>
      </c>
      <c r="V243" s="127">
        <v>9.6813304550471693E-10</v>
      </c>
      <c r="W243" s="127">
        <v>2.0719799956792193E-9</v>
      </c>
      <c r="X243" s="128">
        <f t="shared" si="6"/>
        <v>1.1695650023817909E-9</v>
      </c>
      <c r="Y243" s="139">
        <f t="shared" si="7"/>
        <v>2.8034250844052551</v>
      </c>
      <c r="AA243" s="73"/>
      <c r="AB243" s="176"/>
      <c r="AC243" s="176"/>
      <c r="AD243" s="176"/>
      <c r="AJ243" s="135"/>
    </row>
    <row r="244" spans="9:36" x14ac:dyDescent="0.35">
      <c r="I244" s="49">
        <v>8.7371610636599997E-2</v>
      </c>
      <c r="J244" s="49">
        <v>1.2222652477684353E-9</v>
      </c>
      <c r="K244" s="49">
        <v>1.312294899978562E-10</v>
      </c>
      <c r="L244" s="153">
        <v>1.7050510376120068E-9</v>
      </c>
      <c r="M244" s="27"/>
      <c r="U244" s="127">
        <v>5.2296774173785091E-10</v>
      </c>
      <c r="V244" s="127">
        <v>1.7050510376120068E-9</v>
      </c>
      <c r="W244" s="127">
        <v>1.8613658248144238E-9</v>
      </c>
      <c r="X244" s="128">
        <f t="shared" si="6"/>
        <v>1.4486089104440723E-9</v>
      </c>
      <c r="Y244" s="139">
        <f t="shared" si="7"/>
        <v>2.9749097607812849</v>
      </c>
      <c r="AA244" s="73"/>
      <c r="AB244" s="176"/>
      <c r="AC244" s="176"/>
      <c r="AD244" s="176"/>
      <c r="AJ244" s="135"/>
    </row>
    <row r="245" spans="9:36" x14ac:dyDescent="0.35">
      <c r="I245" s="49">
        <v>8.8245326742999994E-2</v>
      </c>
      <c r="J245" s="49">
        <v>1.4814170114010539E-9</v>
      </c>
      <c r="K245" s="49">
        <v>1.3493130859392493E-10</v>
      </c>
      <c r="L245" s="153">
        <v>2.1170066693319393E-9</v>
      </c>
      <c r="M245" s="27"/>
      <c r="U245" s="127">
        <v>1.009884179575377E-9</v>
      </c>
      <c r="V245" s="127">
        <v>2.1170066693319393E-9</v>
      </c>
      <c r="W245" s="127">
        <v>1.1761233104247956E-9</v>
      </c>
      <c r="X245" s="128">
        <f t="shared" si="6"/>
        <v>1.6050052071660128E-9</v>
      </c>
      <c r="Y245" s="139">
        <f t="shared" si="7"/>
        <v>0.83893539862774169</v>
      </c>
      <c r="AA245" s="73"/>
      <c r="AB245" s="176"/>
      <c r="AC245" s="176"/>
      <c r="AD245" s="176"/>
      <c r="AJ245" s="135"/>
    </row>
    <row r="246" spans="9:36" x14ac:dyDescent="0.35">
      <c r="I246" s="49">
        <v>8.9127780010400004E-2</v>
      </c>
      <c r="J246" s="49">
        <v>1.5884078745180675E-9</v>
      </c>
      <c r="K246" s="49">
        <v>1.4070051412150199E-10</v>
      </c>
      <c r="L246" s="153">
        <v>1.8584599526235417E-9</v>
      </c>
      <c r="M246" s="27"/>
      <c r="U246" s="127">
        <v>1.7569973161484451E-9</v>
      </c>
      <c r="V246" s="127">
        <v>1.8584599526235417E-9</v>
      </c>
      <c r="W246" s="127">
        <v>6.2151023069228322E-10</v>
      </c>
      <c r="X246" s="128">
        <f t="shared" si="6"/>
        <v>1.523856863021953E-9</v>
      </c>
      <c r="Y246" s="139">
        <f t="shared" si="7"/>
        <v>0.21048189016855756</v>
      </c>
      <c r="AA246" s="73"/>
      <c r="AB246" s="176"/>
      <c r="AC246" s="176"/>
      <c r="AD246" s="176"/>
      <c r="AJ246" s="135"/>
    </row>
    <row r="247" spans="9:36" x14ac:dyDescent="0.35">
      <c r="I247" s="49">
        <v>9.00190578105E-2</v>
      </c>
      <c r="J247" s="49">
        <v>1.4668510986096598E-9</v>
      </c>
      <c r="K247" s="49">
        <v>1.4723013856556304E-10</v>
      </c>
      <c r="L247" s="153">
        <v>1.1509698264502953E-9</v>
      </c>
      <c r="M247" s="27"/>
      <c r="U247" s="127">
        <v>2.1581613360479164E-9</v>
      </c>
      <c r="V247" s="127">
        <v>1.1509698264502953E-9</v>
      </c>
      <c r="W247" s="127">
        <v>7.0906467518172566E-10</v>
      </c>
      <c r="X247" s="128">
        <f t="shared" si="6"/>
        <v>1.2922914160325581E-9</v>
      </c>
      <c r="Y247" s="139">
        <f t="shared" si="7"/>
        <v>1.4057058279345207</v>
      </c>
      <c r="AA247" s="73"/>
      <c r="AB247" s="176"/>
      <c r="AC247" s="176"/>
      <c r="AD247" s="176"/>
      <c r="AJ247" s="135"/>
    </row>
    <row r="248" spans="9:36" x14ac:dyDescent="0.35">
      <c r="I248" s="49">
        <v>9.0919248388599994E-2</v>
      </c>
      <c r="J248" s="49">
        <v>1.2066229475671285E-9</v>
      </c>
      <c r="K248" s="49">
        <v>1.3062665077368812E-10</v>
      </c>
      <c r="L248" s="153">
        <v>6.2052137122922797E-10</v>
      </c>
      <c r="M248" s="27"/>
      <c r="U248" s="127">
        <v>1.8773375423347725E-9</v>
      </c>
      <c r="V248" s="127">
        <v>6.2052137122922797E-10</v>
      </c>
      <c r="W248" s="127">
        <v>1.3835611069455222E-9</v>
      </c>
      <c r="X248" s="128">
        <f t="shared" si="6"/>
        <v>1.1254853479346878E-9</v>
      </c>
      <c r="Y248" s="139">
        <f t="shared" si="7"/>
        <v>0.38581643806797794</v>
      </c>
      <c r="AA248" s="73"/>
      <c r="AB248" s="176"/>
      <c r="AC248" s="176"/>
      <c r="AD248" s="176"/>
      <c r="AJ248" s="135"/>
    </row>
    <row r="249" spans="9:36" x14ac:dyDescent="0.35">
      <c r="I249" s="49">
        <v>9.18284408725E-2</v>
      </c>
      <c r="J249" s="49">
        <v>1.1141468679979456E-9</v>
      </c>
      <c r="K249" s="49">
        <v>1.3070093222135332E-10</v>
      </c>
      <c r="L249" s="153">
        <v>7.5825003934589847E-10</v>
      </c>
      <c r="M249" s="27"/>
      <c r="U249" s="127">
        <v>1.1556467303199489E-9</v>
      </c>
      <c r="V249" s="127">
        <v>7.5825003934589847E-10</v>
      </c>
      <c r="W249" s="127">
        <v>2.0426878556103705E-9</v>
      </c>
      <c r="X249" s="128">
        <f t="shared" si="6"/>
        <v>1.1787086661555292E-9</v>
      </c>
      <c r="Y249" s="139">
        <f t="shared" si="7"/>
        <v>0.24400226910749581</v>
      </c>
      <c r="AA249" s="73"/>
      <c r="AB249" s="176"/>
      <c r="AC249" s="176"/>
      <c r="AD249" s="176"/>
      <c r="AJ249" s="135"/>
    </row>
    <row r="250" spans="9:36" x14ac:dyDescent="0.35">
      <c r="I250" s="49">
        <v>9.2746725281199996E-2</v>
      </c>
      <c r="J250" s="49">
        <v>1.2751710973180513E-9</v>
      </c>
      <c r="K250" s="49">
        <v>1.390996314617402E-10</v>
      </c>
      <c r="L250" s="153">
        <v>1.4637720184657166E-9</v>
      </c>
      <c r="M250" s="27"/>
      <c r="U250" s="127">
        <v>6.3189264269651869E-10</v>
      </c>
      <c r="V250" s="127">
        <v>1.4637720184657166E-9</v>
      </c>
      <c r="W250" s="127">
        <v>2.0772216624527092E-9</v>
      </c>
      <c r="X250" s="128">
        <f t="shared" si="6"/>
        <v>1.4091645855201653E-9</v>
      </c>
      <c r="Y250" s="139">
        <f t="shared" si="7"/>
        <v>0.92793045250269224</v>
      </c>
      <c r="AA250" s="73"/>
      <c r="AB250" s="176"/>
      <c r="AC250" s="176"/>
      <c r="AD250" s="176"/>
      <c r="AJ250" s="135"/>
    </row>
    <row r="251" spans="9:36" x14ac:dyDescent="0.35">
      <c r="I251" s="49">
        <v>9.3674192534E-2</v>
      </c>
      <c r="J251" s="49">
        <v>1.4110427628659008E-9</v>
      </c>
      <c r="K251" s="49">
        <v>1.4710158594342673E-10</v>
      </c>
      <c r="L251" s="153">
        <v>2.1057891222439675E-9</v>
      </c>
      <c r="M251" s="27"/>
      <c r="U251" s="127">
        <v>7.9158692647040484E-10</v>
      </c>
      <c r="V251" s="127">
        <v>2.1057891222439675E-9</v>
      </c>
      <c r="W251" s="127">
        <v>1.4576147378104243E-9</v>
      </c>
      <c r="X251" s="128">
        <f t="shared" si="6"/>
        <v>1.615194977192191E-9</v>
      </c>
      <c r="Y251" s="139">
        <f t="shared" si="7"/>
        <v>1.9260762658644235</v>
      </c>
      <c r="AA251" s="73"/>
      <c r="AB251" s="176"/>
      <c r="AC251" s="176"/>
      <c r="AD251" s="176"/>
      <c r="AJ251" s="135"/>
    </row>
    <row r="252" spans="9:36" x14ac:dyDescent="0.35">
      <c r="I252" s="49">
        <v>9.4610934459399998E-2</v>
      </c>
      <c r="J252" s="49">
        <v>1.5969498841665344E-9</v>
      </c>
      <c r="K252" s="49">
        <v>1.5680446019750845E-10</v>
      </c>
      <c r="L252" s="153">
        <v>2.0908738690812223E-9</v>
      </c>
      <c r="M252" s="27"/>
      <c r="U252" s="127">
        <v>1.5147627423098002E-9</v>
      </c>
      <c r="V252" s="127">
        <v>2.0908738690812223E-9</v>
      </c>
      <c r="W252" s="127">
        <v>7.9381930632840177E-10</v>
      </c>
      <c r="X252" s="128">
        <f t="shared" si="6"/>
        <v>1.6225824467001618E-9</v>
      </c>
      <c r="Y252" s="139">
        <f t="shared" si="7"/>
        <v>2.6721893429700373E-2</v>
      </c>
      <c r="AA252" s="73"/>
      <c r="AB252" s="176"/>
      <c r="AC252" s="176"/>
      <c r="AD252" s="176"/>
      <c r="AJ252" s="135"/>
    </row>
    <row r="253" spans="9:36" x14ac:dyDescent="0.35">
      <c r="I253" s="49">
        <v>9.5557043804E-2</v>
      </c>
      <c r="J253" s="49">
        <v>1.5207899871805622E-9</v>
      </c>
      <c r="K253" s="49">
        <v>1.5647426961972662E-10</v>
      </c>
      <c r="L253" s="153">
        <v>1.4372429963148978E-9</v>
      </c>
      <c r="M253" s="27"/>
      <c r="U253" s="127">
        <v>2.1542559729897939E-9</v>
      </c>
      <c r="V253" s="127">
        <v>1.4372429963148978E-9</v>
      </c>
      <c r="W253" s="127">
        <v>7.6027016140692771E-10</v>
      </c>
      <c r="X253" s="128">
        <f t="shared" si="6"/>
        <v>1.4472530317566293E-9</v>
      </c>
      <c r="Y253" s="139">
        <f t="shared" si="7"/>
        <v>0.22086424975708799</v>
      </c>
      <c r="AA253" s="73"/>
      <c r="AB253" s="176"/>
      <c r="AC253" s="176"/>
      <c r="AD253" s="176"/>
      <c r="AJ253" s="135"/>
    </row>
    <row r="254" spans="9:36" x14ac:dyDescent="0.35">
      <c r="I254" s="49">
        <v>9.6512614242E-2</v>
      </c>
      <c r="J254" s="49">
        <v>1.1531446353056867E-9</v>
      </c>
      <c r="K254" s="49">
        <v>1.4598498250270389E-10</v>
      </c>
      <c r="L254" s="153">
        <v>7.8911920398519046E-10</v>
      </c>
      <c r="M254" s="27"/>
      <c r="U254" s="127">
        <v>2.1195638835672321E-9</v>
      </c>
      <c r="V254" s="127">
        <v>7.8911920398519046E-10</v>
      </c>
      <c r="W254" s="127">
        <v>1.4146293043072096E-9</v>
      </c>
      <c r="X254" s="128">
        <f t="shared" si="6"/>
        <v>1.2781078989612057E-9</v>
      </c>
      <c r="Y254" s="139">
        <f t="shared" si="7"/>
        <v>0.73273739123996806</v>
      </c>
      <c r="AA254" s="73"/>
      <c r="AB254" s="176"/>
      <c r="AC254" s="176"/>
      <c r="AD254" s="176"/>
      <c r="AJ254" s="135"/>
    </row>
    <row r="255" spans="9:36" x14ac:dyDescent="0.35">
      <c r="I255" s="49">
        <v>9.7477740384400005E-2</v>
      </c>
      <c r="J255" s="49">
        <v>1.4055256692382061E-9</v>
      </c>
      <c r="K255" s="49">
        <v>1.5394266229851654E-10</v>
      </c>
      <c r="L255" s="153">
        <v>8.0646681939280798E-10</v>
      </c>
      <c r="M255" s="27"/>
      <c r="U255" s="127">
        <v>1.4483778823955963E-9</v>
      </c>
      <c r="V255" s="127">
        <v>8.0646681939280798E-10</v>
      </c>
      <c r="W255" s="127">
        <v>2.1071811173054916E-9</v>
      </c>
      <c r="X255" s="128">
        <f t="shared" ref="X255:X277" si="8">(U255+2*V255+W255)/4</f>
        <v>1.292123159621676E-9</v>
      </c>
      <c r="Y255" s="139">
        <f t="shared" ref="Y255:Y277" si="9">(J255-X255)*(J255-X255)/(K255*K255)</f>
        <v>0.54265941875322776</v>
      </c>
      <c r="AA255" s="73"/>
      <c r="AB255" s="176"/>
      <c r="AC255" s="176"/>
      <c r="AD255" s="176"/>
      <c r="AJ255" s="135"/>
    </row>
    <row r="256" spans="9:36" x14ac:dyDescent="0.35">
      <c r="I256" s="49">
        <v>9.8452517788299998E-2</v>
      </c>
      <c r="J256" s="49">
        <v>1.2258152449915512E-9</v>
      </c>
      <c r="K256" s="49">
        <v>1.5959067000874609E-10</v>
      </c>
      <c r="L256" s="153">
        <v>1.4959209556696229E-9</v>
      </c>
      <c r="M256" s="27"/>
      <c r="U256" s="127">
        <v>8.0239565667400627E-10</v>
      </c>
      <c r="V256" s="127">
        <v>1.4959209556696229E-9</v>
      </c>
      <c r="W256" s="127">
        <v>2.1285773449086989E-9</v>
      </c>
      <c r="X256" s="128">
        <f t="shared" si="8"/>
        <v>1.4807037282304877E-9</v>
      </c>
      <c r="Y256" s="139">
        <f t="shared" si="9"/>
        <v>2.5508529879597921</v>
      </c>
      <c r="AA256" s="73"/>
      <c r="AB256" s="176"/>
      <c r="AC256" s="176"/>
      <c r="AD256" s="176"/>
      <c r="AJ256" s="135"/>
    </row>
    <row r="257" spans="9:36" x14ac:dyDescent="0.35">
      <c r="I257" s="49">
        <v>9.9437042966199998E-2</v>
      </c>
      <c r="J257" s="49">
        <v>1.6141179304583384E-9</v>
      </c>
      <c r="K257" s="49">
        <v>1.7905828494602738E-10</v>
      </c>
      <c r="L257" s="153">
        <v>2.171436474122391E-9</v>
      </c>
      <c r="M257" s="27"/>
      <c r="U257" s="127">
        <v>8.3962431568958815E-10</v>
      </c>
      <c r="V257" s="127">
        <v>2.171436474122391E-9</v>
      </c>
      <c r="W257" s="127">
        <v>1.4651933588147751E-9</v>
      </c>
      <c r="X257" s="128">
        <f t="shared" si="8"/>
        <v>1.6619226556872865E-9</v>
      </c>
      <c r="Y257" s="139">
        <f t="shared" si="9"/>
        <v>7.1277557934858168E-2</v>
      </c>
      <c r="AA257" s="73"/>
      <c r="AB257" s="176"/>
      <c r="AC257" s="176"/>
      <c r="AD257" s="176"/>
      <c r="AJ257" s="136"/>
    </row>
    <row r="258" spans="9:36" x14ac:dyDescent="0.35">
      <c r="I258" s="49">
        <v>0.10043141339599999</v>
      </c>
      <c r="J258" s="49">
        <v>1.8856196661663627E-9</v>
      </c>
      <c r="K258" s="49">
        <v>1.9672950810620472E-10</v>
      </c>
      <c r="L258" s="153">
        <v>2.1413430351233665E-9</v>
      </c>
      <c r="M258" s="27"/>
      <c r="U258" s="127">
        <v>1.5467895571239086E-9</v>
      </c>
      <c r="V258" s="127">
        <v>2.1413430351233665E-9</v>
      </c>
      <c r="W258" s="127">
        <v>8.4686146786422549E-10</v>
      </c>
      <c r="X258" s="128">
        <f t="shared" si="8"/>
        <v>1.6690842738087169E-9</v>
      </c>
      <c r="Y258" s="139">
        <f t="shared" si="9"/>
        <v>1.2114870336330605</v>
      </c>
      <c r="AA258" s="73"/>
      <c r="AB258" s="176"/>
      <c r="AC258" s="176"/>
      <c r="AD258" s="176"/>
      <c r="AJ258" s="136"/>
    </row>
    <row r="259" spans="9:36" x14ac:dyDescent="0.35">
      <c r="I259" s="49">
        <v>0.10143572753000001</v>
      </c>
      <c r="J259" s="49">
        <v>1.6520550412188351E-9</v>
      </c>
      <c r="K259" s="49">
        <v>1.8632355820146618E-10</v>
      </c>
      <c r="L259" s="153">
        <v>1.4473923618409482E-9</v>
      </c>
      <c r="M259" s="27"/>
      <c r="U259" s="127">
        <v>2.2200591780138893E-9</v>
      </c>
      <c r="V259" s="127">
        <v>1.4473923618409482E-9</v>
      </c>
      <c r="W259" s="127">
        <v>9.7388954952402073E-10</v>
      </c>
      <c r="X259" s="128">
        <f t="shared" si="8"/>
        <v>1.5221833628049518E-9</v>
      </c>
      <c r="Y259" s="139">
        <f t="shared" si="9"/>
        <v>0.48584011162765844</v>
      </c>
      <c r="AA259" s="73"/>
      <c r="AB259" s="176"/>
      <c r="AC259" s="176"/>
      <c r="AD259" s="176"/>
      <c r="AJ259" s="136"/>
    </row>
    <row r="260" spans="9:36" x14ac:dyDescent="0.35">
      <c r="I260" s="49">
        <v>0.10245008480499999</v>
      </c>
      <c r="J260" s="49">
        <v>1.5583356397736541E-9</v>
      </c>
      <c r="K260" s="49">
        <v>1.8463734414463141E-10</v>
      </c>
      <c r="L260" s="153">
        <v>8.5356500282427362E-10</v>
      </c>
      <c r="M260" s="27"/>
      <c r="U260" s="127">
        <v>2.1707934679031717E-9</v>
      </c>
      <c r="V260" s="127">
        <v>8.5356500282427362E-10</v>
      </c>
      <c r="W260" s="127">
        <v>1.7276236979535128E-9</v>
      </c>
      <c r="X260" s="128">
        <f t="shared" si="8"/>
        <v>1.401386792876308E-9</v>
      </c>
      <c r="Y260" s="139">
        <f t="shared" si="9"/>
        <v>0.72256541314764922</v>
      </c>
      <c r="AA260" s="73"/>
      <c r="AB260" s="176"/>
      <c r="AC260" s="176"/>
      <c r="AD260" s="176"/>
      <c r="AJ260" s="136"/>
    </row>
    <row r="261" spans="9:36" x14ac:dyDescent="0.35">
      <c r="I261" s="49">
        <v>0.103474585653</v>
      </c>
      <c r="J261" s="49">
        <v>1.4025591567820459E-9</v>
      </c>
      <c r="K261" s="49">
        <v>1.7959626967964648E-10</v>
      </c>
      <c r="L261" s="153">
        <v>1.0338679763581799E-9</v>
      </c>
      <c r="M261" s="27"/>
      <c r="U261" s="127">
        <v>1.46179391612362E-9</v>
      </c>
      <c r="V261" s="127">
        <v>1.0338679763581799E-9</v>
      </c>
      <c r="W261" s="127">
        <v>2.2701126162272555E-9</v>
      </c>
      <c r="X261" s="128">
        <f t="shared" si="8"/>
        <v>1.4499106212668088E-9</v>
      </c>
      <c r="Y261" s="139">
        <f t="shared" si="9"/>
        <v>6.9513988392833223E-2</v>
      </c>
      <c r="AA261" s="73"/>
      <c r="AB261" s="176"/>
      <c r="AC261" s="176"/>
      <c r="AD261" s="176"/>
      <c r="AJ261" s="136"/>
    </row>
    <row r="262" spans="9:36" x14ac:dyDescent="0.35">
      <c r="I262" s="49">
        <v>0.10450933151</v>
      </c>
      <c r="J262" s="49">
        <v>1.7963448698259595E-9</v>
      </c>
      <c r="K262" s="49">
        <v>2.11513482868602E-10</v>
      </c>
      <c r="L262" s="153">
        <v>1.8098665622541702E-9</v>
      </c>
      <c r="M262" s="27"/>
      <c r="U262" s="127">
        <v>8.7359397314608135E-10</v>
      </c>
      <c r="V262" s="127">
        <v>1.8098665622541702E-9</v>
      </c>
      <c r="W262" s="127">
        <v>1.9887903111720017E-9</v>
      </c>
      <c r="X262" s="128">
        <f t="shared" si="8"/>
        <v>1.6205293522066058E-9</v>
      </c>
      <c r="Y262" s="139">
        <f t="shared" si="9"/>
        <v>0.69093675195781068</v>
      </c>
      <c r="AA262" s="73"/>
      <c r="AB262" s="176"/>
      <c r="AC262" s="176"/>
      <c r="AD262" s="176"/>
      <c r="AJ262" s="136"/>
    </row>
    <row r="263" spans="9:36" x14ac:dyDescent="0.35">
      <c r="I263" s="49">
        <v>0.10555442482500001</v>
      </c>
      <c r="J263" s="49">
        <v>1.6299213397070325E-9</v>
      </c>
      <c r="K263" s="49">
        <v>2.0646813785558627E-10</v>
      </c>
      <c r="L263" s="153">
        <v>2.3179136876514705E-9</v>
      </c>
      <c r="M263" s="27"/>
      <c r="U263" s="127">
        <v>1.0738751341430169E-9</v>
      </c>
      <c r="V263" s="127">
        <v>2.3179136876514705E-9</v>
      </c>
      <c r="W263" s="127">
        <v>1.2313550795475318E-9</v>
      </c>
      <c r="X263" s="128">
        <f t="shared" si="8"/>
        <v>1.7352643972483725E-9</v>
      </c>
      <c r="Y263" s="139">
        <f t="shared" si="9"/>
        <v>0.26031893396392963</v>
      </c>
      <c r="AA263" s="73"/>
      <c r="AB263" s="176"/>
      <c r="AC263" s="176"/>
      <c r="AD263" s="176"/>
      <c r="AJ263" s="136"/>
    </row>
    <row r="264" spans="9:36" x14ac:dyDescent="0.35">
      <c r="I264" s="49">
        <v>0.10660996907299999</v>
      </c>
      <c r="J264" s="49">
        <v>1.5253683099518589E-9</v>
      </c>
      <c r="K264" s="49">
        <v>1.9587059771824697E-10</v>
      </c>
      <c r="L264" s="153">
        <v>1.9856607756161579E-9</v>
      </c>
      <c r="M264" s="27"/>
      <c r="U264" s="127">
        <v>1.8617457675895064E-9</v>
      </c>
      <c r="V264" s="127">
        <v>1.9856607756161579E-9</v>
      </c>
      <c r="W264" s="127">
        <v>9.2620926162188876E-10</v>
      </c>
      <c r="X264" s="128">
        <f t="shared" si="8"/>
        <v>1.6898191451109277E-9</v>
      </c>
      <c r="Y264" s="139">
        <f t="shared" si="9"/>
        <v>0.70490999661425491</v>
      </c>
      <c r="AA264" s="73"/>
      <c r="AB264" s="176"/>
      <c r="AC264" s="176"/>
      <c r="AD264" s="176"/>
      <c r="AJ264" s="136"/>
    </row>
    <row r="265" spans="9:36" x14ac:dyDescent="0.35">
      <c r="I265" s="49">
        <v>0.107676068764</v>
      </c>
      <c r="J265" s="49">
        <v>1.7212422330571549E-9</v>
      </c>
      <c r="K265" s="49">
        <v>2.1493529291628935E-10</v>
      </c>
      <c r="L265" s="153">
        <v>1.2217909100162343E-9</v>
      </c>
      <c r="M265" s="27"/>
      <c r="U265" s="127">
        <v>2.3604512163415887E-9</v>
      </c>
      <c r="V265" s="127">
        <v>1.2217909100162343E-9</v>
      </c>
      <c r="W265" s="127">
        <v>1.4682909937961357E-9</v>
      </c>
      <c r="X265" s="128">
        <f t="shared" si="8"/>
        <v>1.5680810075425483E-9</v>
      </c>
      <c r="Y265" s="139">
        <f t="shared" si="9"/>
        <v>0.50778772491161694</v>
      </c>
      <c r="AA265" s="73"/>
      <c r="AB265" s="176"/>
      <c r="AC265" s="176"/>
      <c r="AD265" s="176"/>
      <c r="AJ265" s="136"/>
    </row>
    <row r="266" spans="9:36" x14ac:dyDescent="0.35">
      <c r="I266" s="49">
        <v>0.108752829451</v>
      </c>
      <c r="J266" s="49">
        <v>1.4497745865450732E-9</v>
      </c>
      <c r="K266" s="49">
        <v>2.1000569074802143E-10</v>
      </c>
      <c r="L266" s="153">
        <v>9.6310977210310196E-10</v>
      </c>
      <c r="M266" s="27"/>
      <c r="U266" s="127">
        <v>2.0092767434694208E-9</v>
      </c>
      <c r="V266" s="127">
        <v>9.6310977210310196E-10</v>
      </c>
      <c r="W266" s="127">
        <v>2.2065077738682823E-9</v>
      </c>
      <c r="X266" s="128">
        <f t="shared" si="8"/>
        <v>1.5355010153859767E-9</v>
      </c>
      <c r="Y266" s="139">
        <f t="shared" si="9"/>
        <v>0.16663542672842616</v>
      </c>
      <c r="AA266" s="73"/>
      <c r="AB266" s="176"/>
      <c r="AC266" s="176"/>
      <c r="AD266" s="176"/>
      <c r="AJ266" s="136"/>
    </row>
    <row r="267" spans="9:36" x14ac:dyDescent="0.35">
      <c r="I267" s="49">
        <v>0.109840357746</v>
      </c>
      <c r="J267" s="49">
        <v>1.4703357644318505E-9</v>
      </c>
      <c r="K267" s="49">
        <v>2.029657586891467E-10</v>
      </c>
      <c r="L267" s="152">
        <v>1.5476715680123353E-9</v>
      </c>
      <c r="M267" s="34"/>
      <c r="U267" s="127">
        <v>1.2397531748397424E-9</v>
      </c>
      <c r="V267" s="127">
        <v>1.5476715680123353E-9</v>
      </c>
      <c r="W267" s="127">
        <v>2.2293280660838338E-9</v>
      </c>
      <c r="X267" s="128">
        <f t="shared" si="8"/>
        <v>1.6411060942370618E-9</v>
      </c>
      <c r="Y267" s="139">
        <f t="shared" si="9"/>
        <v>0.70791201157238381</v>
      </c>
      <c r="AA267" s="73"/>
      <c r="AB267" s="176"/>
      <c r="AC267" s="176"/>
      <c r="AD267" s="176"/>
      <c r="AJ267" s="136"/>
    </row>
    <row r="268" spans="9:36" x14ac:dyDescent="0.35">
      <c r="I268" s="49">
        <v>0.110938761323</v>
      </c>
      <c r="J268" s="49">
        <v>1.6522752134617562E-9</v>
      </c>
      <c r="K268" s="49">
        <v>2.2160317528731534E-10</v>
      </c>
      <c r="L268" s="152">
        <v>2.2711055325858739E-9</v>
      </c>
      <c r="M268" s="34"/>
      <c r="U268" s="127">
        <v>9.9527006975741142E-10</v>
      </c>
      <c r="V268" s="127">
        <v>2.2711055325858739E-9</v>
      </c>
      <c r="W268" s="127">
        <v>1.5293803785650722E-9</v>
      </c>
      <c r="X268" s="128">
        <f t="shared" si="8"/>
        <v>1.766715378373558E-9</v>
      </c>
      <c r="Y268" s="139">
        <f t="shared" si="9"/>
        <v>0.26668893187375475</v>
      </c>
      <c r="AA268" s="73"/>
      <c r="AB268" s="176"/>
      <c r="AC268" s="176"/>
      <c r="AD268" s="176"/>
      <c r="AJ268" s="136"/>
    </row>
    <row r="269" spans="9:36" x14ac:dyDescent="0.35">
      <c r="I269" s="49">
        <v>0.11204814893700001</v>
      </c>
      <c r="J269" s="49">
        <v>1.6137647846700523E-9</v>
      </c>
      <c r="K269" s="49">
        <v>2.1760213949897151E-10</v>
      </c>
      <c r="L269" s="152">
        <v>2.2406278676049984E-9</v>
      </c>
      <c r="M269" s="33"/>
      <c r="U269" s="127">
        <v>1.5959859431673487E-9</v>
      </c>
      <c r="V269" s="127">
        <v>2.2406278676049984E-9</v>
      </c>
      <c r="W269" s="127">
        <v>1.0447586099014938E-9</v>
      </c>
      <c r="X269" s="128">
        <f t="shared" si="8"/>
        <v>1.7805000720697098E-9</v>
      </c>
      <c r="Y269" s="139">
        <f t="shared" si="9"/>
        <v>0.58712249831799379</v>
      </c>
      <c r="AA269" s="73"/>
      <c r="AB269" s="176"/>
      <c r="AC269" s="176"/>
      <c r="AD269" s="176"/>
      <c r="AJ269" s="136"/>
    </row>
    <row r="270" spans="9:36" x14ac:dyDescent="0.35">
      <c r="I270" s="49">
        <v>0.11316863042600001</v>
      </c>
      <c r="J270" s="49">
        <v>1.6861178302692306E-9</v>
      </c>
      <c r="K270" s="49">
        <v>2.4062176513110347E-10</v>
      </c>
      <c r="L270" s="152">
        <v>1.5181168328808261E-9</v>
      </c>
      <c r="M270" s="34"/>
      <c r="U270" s="127">
        <v>2.3173805973899473E-9</v>
      </c>
      <c r="V270" s="127">
        <v>1.5181168328808261E-9</v>
      </c>
      <c r="W270" s="127">
        <v>1.4419565839638767E-9</v>
      </c>
      <c r="X270" s="128">
        <f t="shared" si="8"/>
        <v>1.6988927117788689E-9</v>
      </c>
      <c r="Y270" s="139">
        <f t="shared" si="9"/>
        <v>2.8186681271430568E-3</v>
      </c>
      <c r="AA270" s="73"/>
      <c r="AB270" s="176"/>
      <c r="AC270" s="176"/>
      <c r="AD270" s="176"/>
      <c r="AJ270" s="136"/>
    </row>
    <row r="271" spans="9:36" x14ac:dyDescent="0.35">
      <c r="I271" s="49">
        <v>0.11430031673</v>
      </c>
      <c r="J271" s="49">
        <v>1.6791207687630891E-9</v>
      </c>
      <c r="K271" s="49">
        <v>2.2729004904570232E-10</v>
      </c>
      <c r="L271" s="152">
        <v>1.0716288888440632E-9</v>
      </c>
      <c r="M271" s="35"/>
      <c r="U271" s="127">
        <v>2.2698916160856892E-9</v>
      </c>
      <c r="V271" s="127">
        <v>1.0716288888440632E-9</v>
      </c>
      <c r="W271" s="127">
        <v>2.2048671451562375E-9</v>
      </c>
      <c r="X271" s="128">
        <f t="shared" si="8"/>
        <v>1.6545041347325133E-9</v>
      </c>
      <c r="Y271" s="139">
        <f t="shared" si="9"/>
        <v>1.1729958985889799E-2</v>
      </c>
      <c r="AA271" s="73"/>
      <c r="AB271" s="176"/>
      <c r="AC271" s="176"/>
      <c r="AD271" s="176"/>
      <c r="AJ271" s="136"/>
    </row>
    <row r="272" spans="9:36" x14ac:dyDescent="0.35">
      <c r="I272" s="49">
        <v>0.115443319898</v>
      </c>
      <c r="J272" s="49">
        <v>1.7702155762428992E-9</v>
      </c>
      <c r="K272" s="49">
        <v>2.4696925935163866E-10</v>
      </c>
      <c r="L272" s="152">
        <v>1.5164517408836141E-9</v>
      </c>
      <c r="M272" s="34"/>
      <c r="U272" s="127">
        <v>1.5378750099571832E-9</v>
      </c>
      <c r="V272" s="127">
        <v>1.5164517408836141E-9</v>
      </c>
      <c r="W272" s="127">
        <v>2.3078933047898884E-9</v>
      </c>
      <c r="X272" s="128">
        <f t="shared" si="8"/>
        <v>1.719667949128575E-9</v>
      </c>
      <c r="Y272" s="139">
        <f t="shared" si="9"/>
        <v>4.1890519623646608E-2</v>
      </c>
      <c r="AA272" s="73"/>
      <c r="AB272" s="176"/>
      <c r="AC272" s="176"/>
      <c r="AD272" s="176"/>
      <c r="AJ272" s="136"/>
    </row>
    <row r="273" spans="9:36" x14ac:dyDescent="0.35">
      <c r="I273" s="49">
        <v>0.116597753096</v>
      </c>
      <c r="J273" s="49">
        <v>1.2254265148545819E-9</v>
      </c>
      <c r="K273" s="49">
        <v>2.1863766549117442E-10</v>
      </c>
      <c r="L273" s="152">
        <v>2.2712510142359896E-9</v>
      </c>
      <c r="M273" s="33"/>
      <c r="U273" s="127">
        <v>1.1015144262989228E-9</v>
      </c>
      <c r="V273" s="127">
        <v>2.2712510142359896E-9</v>
      </c>
      <c r="W273" s="127">
        <v>1.6349953856538878E-9</v>
      </c>
      <c r="X273" s="128">
        <f t="shared" si="8"/>
        <v>1.8197529601061974E-9</v>
      </c>
      <c r="Y273" s="139">
        <f t="shared" si="9"/>
        <v>7.3892463752077635</v>
      </c>
      <c r="AA273" s="73"/>
      <c r="AB273" s="176"/>
      <c r="AC273" s="176"/>
      <c r="AD273" s="176"/>
      <c r="AJ273" s="136"/>
    </row>
    <row r="274" spans="9:36" x14ac:dyDescent="0.35">
      <c r="I274" s="49">
        <v>0.117763730627</v>
      </c>
      <c r="J274" s="49">
        <v>1.7095269085417721E-9</v>
      </c>
      <c r="K274" s="49">
        <v>2.6932650363776328E-10</v>
      </c>
      <c r="L274" s="152">
        <v>2.3215354573291222E-9</v>
      </c>
      <c r="M274" s="34"/>
      <c r="U274" s="127">
        <v>1.5616146813847228E-9</v>
      </c>
      <c r="V274" s="127">
        <v>2.3215354573291222E-9</v>
      </c>
      <c r="W274" s="127">
        <v>1.1705954723234903E-9</v>
      </c>
      <c r="X274" s="128">
        <f t="shared" si="8"/>
        <v>1.8438202670916145E-9</v>
      </c>
      <c r="Y274" s="139">
        <f t="shared" si="9"/>
        <v>0.24862848530578166</v>
      </c>
      <c r="AA274" s="73"/>
      <c r="AB274" s="176"/>
      <c r="AC274" s="176"/>
      <c r="AD274" s="176"/>
      <c r="AJ274" s="136"/>
    </row>
    <row r="275" spans="9:36" x14ac:dyDescent="0.35">
      <c r="I275" s="49">
        <v>0.11894136793399999</v>
      </c>
      <c r="J275" s="49">
        <v>1.6747571840877417E-9</v>
      </c>
      <c r="K275" s="49">
        <v>2.78463032140548E-10</v>
      </c>
      <c r="L275" s="152">
        <v>1.6256207201094969E-9</v>
      </c>
      <c r="M275" s="34"/>
      <c r="U275" s="127">
        <v>2.3155757782641042E-9</v>
      </c>
      <c r="V275" s="127">
        <v>1.6256207201094969E-9</v>
      </c>
      <c r="W275" s="127">
        <v>1.6073732139080198E-9</v>
      </c>
      <c r="X275" s="128">
        <f t="shared" si="8"/>
        <v>1.7935476080977797E-9</v>
      </c>
      <c r="Y275" s="139">
        <f t="shared" si="9"/>
        <v>0.18198172166482243</v>
      </c>
      <c r="AA275" s="73"/>
      <c r="AB275" s="176"/>
      <c r="AC275" s="176"/>
      <c r="AD275" s="176"/>
      <c r="AJ275" s="136"/>
    </row>
    <row r="276" spans="9:36" x14ac:dyDescent="0.35">
      <c r="I276" s="49">
        <v>0.120130781613</v>
      </c>
      <c r="J276" s="49">
        <v>1.9298969255093203E-9</v>
      </c>
      <c r="K276" s="49">
        <v>2.763671225391503E-10</v>
      </c>
      <c r="L276" s="152">
        <v>1.20061127208994E-9</v>
      </c>
      <c r="M276" s="33"/>
      <c r="U276" s="127">
        <v>2.350419133203998E-9</v>
      </c>
      <c r="V276" s="127">
        <v>1.20061127208994E-9</v>
      </c>
      <c r="W276" s="127">
        <v>2.3218533726771991E-9</v>
      </c>
      <c r="X276" s="128">
        <f t="shared" si="8"/>
        <v>1.7683737625152693E-9</v>
      </c>
      <c r="Y276" s="139">
        <f t="shared" si="9"/>
        <v>0.34158348680670453</v>
      </c>
      <c r="AA276" s="73"/>
      <c r="AB276" s="176"/>
      <c r="AC276" s="176"/>
      <c r="AD276" s="176"/>
      <c r="AJ276" s="136"/>
    </row>
    <row r="277" spans="9:36" x14ac:dyDescent="0.35">
      <c r="I277" s="49">
        <v>0.12133208942900001</v>
      </c>
      <c r="J277" s="49">
        <v>1.6445590380802147E-9</v>
      </c>
      <c r="K277" s="49">
        <v>2.6540372055049677E-10</v>
      </c>
      <c r="L277" s="152">
        <v>1.6810330354167922E-9</v>
      </c>
      <c r="M277" s="34"/>
      <c r="U277" s="127">
        <v>1.6464828141480419E-9</v>
      </c>
      <c r="V277" s="127">
        <v>1.6810330354167922E-9</v>
      </c>
      <c r="W277" s="127">
        <v>2.2724226188358028E-9</v>
      </c>
      <c r="X277" s="128">
        <f t="shared" si="8"/>
        <v>1.8202428759543574E-9</v>
      </c>
      <c r="Y277" s="139">
        <f t="shared" si="9"/>
        <v>0.43817702959970595</v>
      </c>
      <c r="AA277" s="73"/>
      <c r="AB277" s="176"/>
      <c r="AC277" s="176"/>
      <c r="AD277" s="176"/>
      <c r="AJ277" s="136"/>
    </row>
    <row r="278" spans="9:36" x14ac:dyDescent="0.35">
      <c r="I278" s="49">
        <v>0.122545410323</v>
      </c>
      <c r="J278" s="49">
        <v>2.2908328516608721E-9</v>
      </c>
      <c r="K278" s="49">
        <v>3.1309772847271621E-10</v>
      </c>
      <c r="L278" s="152">
        <v>2.3780960668504469E-9</v>
      </c>
      <c r="M278" s="34"/>
      <c r="U278" s="127">
        <v>1.2315724444352403E-9</v>
      </c>
      <c r="V278" s="127">
        <v>2.3780960668504469E-9</v>
      </c>
      <c r="W278" s="127">
        <v>1.5683645669779246E-9</v>
      </c>
      <c r="X278" s="128">
        <f t="shared" ref="X278:X279" si="10">(U278+2*V278+W278)/4</f>
        <v>1.8890322862785145E-9</v>
      </c>
      <c r="Y278" s="139">
        <f t="shared" ref="Y278:Y279" si="11">(J278-X278)*(J278-X278)/(K278*K278)</f>
        <v>1.6468773378449102</v>
      </c>
      <c r="AA278" s="73"/>
      <c r="AB278" s="176"/>
      <c r="AC278" s="176"/>
      <c r="AD278" s="176"/>
      <c r="AJ278" s="136"/>
    </row>
    <row r="279" spans="9:36" x14ac:dyDescent="0.35">
      <c r="I279" s="49">
        <v>0.123770864427</v>
      </c>
      <c r="J279" s="49">
        <v>1.5878505332117297E-9</v>
      </c>
      <c r="K279" s="49">
        <v>2.8147091792614098E-10</v>
      </c>
      <c r="L279" s="152">
        <v>2.2762019333006092E-9</v>
      </c>
      <c r="M279" s="35"/>
      <c r="U279" s="127">
        <v>1.7240177519027256E-9</v>
      </c>
      <c r="V279" s="127">
        <v>2.2762019333006092E-9</v>
      </c>
      <c r="W279" s="127">
        <v>1.3258214809066907E-9</v>
      </c>
      <c r="X279" s="128">
        <f t="shared" si="10"/>
        <v>1.9005607748526586E-9</v>
      </c>
      <c r="Y279" s="139">
        <f t="shared" si="11"/>
        <v>1.2342898323413152</v>
      </c>
      <c r="AA279" s="73"/>
      <c r="AB279" s="176"/>
      <c r="AC279" s="176"/>
      <c r="AD279" s="176"/>
      <c r="AJ279" s="136"/>
    </row>
    <row r="280" spans="9:36" x14ac:dyDescent="0.35">
      <c r="I280" s="49">
        <v>0.125008573071</v>
      </c>
      <c r="J280" s="49">
        <v>1.4922424169770668E-9</v>
      </c>
      <c r="K280" s="49">
        <v>2.9944164221007855E-10</v>
      </c>
      <c r="L280" s="152">
        <v>1.5645818507371655E-9</v>
      </c>
      <c r="M280" s="33"/>
      <c r="U280" s="127">
        <v>2.4163334162142793E-9</v>
      </c>
      <c r="V280" s="127">
        <v>1.5645818507371655E-9</v>
      </c>
      <c r="W280" s="127">
        <v>1.9415935210190072E-9</v>
      </c>
      <c r="X280" s="128">
        <f t="shared" ref="X280:X319" si="12">(U280+2*V280+W280)/4</f>
        <v>1.8717726596769044E-9</v>
      </c>
      <c r="Y280" s="139">
        <f t="shared" ref="Y280:Y319" si="13">(J280-X280)*(J280-X280)/(K280*K280)</f>
        <v>1.60645433405602</v>
      </c>
      <c r="AA280" s="73"/>
      <c r="AB280" s="176"/>
      <c r="AC280" s="176"/>
      <c r="AD280" s="176"/>
      <c r="AJ280" s="136"/>
    </row>
    <row r="281" spans="9:36" x14ac:dyDescent="0.35">
      <c r="I281" s="49">
        <v>0.12625865880199999</v>
      </c>
      <c r="J281" s="49">
        <v>1.9038807046569401E-9</v>
      </c>
      <c r="K281" s="49">
        <v>3.1580342783611952E-10</v>
      </c>
      <c r="L281" s="152">
        <v>1.3699389357122137E-9</v>
      </c>
      <c r="M281" s="34"/>
      <c r="U281" s="127">
        <v>2.3001073726181618E-9</v>
      </c>
      <c r="V281" s="127">
        <v>1.3699389357122137E-9</v>
      </c>
      <c r="W281" s="127">
        <v>2.4499416591849507E-9</v>
      </c>
      <c r="X281" s="128">
        <f t="shared" si="12"/>
        <v>1.8724817258068852E-9</v>
      </c>
      <c r="Y281" s="139">
        <f t="shared" si="13"/>
        <v>9.8854710641158687E-3</v>
      </c>
      <c r="AA281" s="73"/>
      <c r="AB281" s="176"/>
      <c r="AC281" s="176"/>
      <c r="AD281" s="176"/>
      <c r="AJ281" s="136"/>
    </row>
    <row r="282" spans="9:36" x14ac:dyDescent="0.35">
      <c r="I282" s="49">
        <v>0.12752124539000001</v>
      </c>
      <c r="J282" s="49">
        <v>1.3796279023814824E-9</v>
      </c>
      <c r="K282" s="49">
        <v>3.0267361100657748E-10</v>
      </c>
      <c r="L282" s="152">
        <v>2.0117694195912585E-9</v>
      </c>
      <c r="M282" s="34"/>
      <c r="U282" s="127">
        <v>1.5862216728652818E-9</v>
      </c>
      <c r="V282" s="127">
        <v>2.0117694195912585E-9</v>
      </c>
      <c r="W282" s="127">
        <v>2.0591095166377216E-9</v>
      </c>
      <c r="X282" s="128">
        <f t="shared" si="12"/>
        <v>1.9172175071713802E-9</v>
      </c>
      <c r="Y282" s="139">
        <f t="shared" si="13"/>
        <v>3.1546603583830728</v>
      </c>
      <c r="AA282" s="73"/>
      <c r="AB282" s="176"/>
      <c r="AC282" s="176"/>
      <c r="AD282" s="176"/>
      <c r="AJ282" s="136"/>
    </row>
    <row r="283" spans="9:36" x14ac:dyDescent="0.35">
      <c r="I283" s="49">
        <v>0.12879645784400001</v>
      </c>
      <c r="J283" s="49">
        <v>2.3355677110829324E-9</v>
      </c>
      <c r="K283" s="49">
        <v>3.5579912758667973E-10</v>
      </c>
      <c r="L283" s="152">
        <v>2.4816071042714246E-9</v>
      </c>
      <c r="M283" s="33"/>
      <c r="U283" s="127">
        <v>1.4032716942699445E-9</v>
      </c>
      <c r="V283" s="127">
        <v>2.4816071042714246E-9</v>
      </c>
      <c r="W283" s="127">
        <v>1.4511306262261924E-9</v>
      </c>
      <c r="X283" s="128">
        <f t="shared" si="12"/>
        <v>1.9544041322597464E-9</v>
      </c>
      <c r="Y283" s="139">
        <f t="shared" si="13"/>
        <v>1.1476594424340925</v>
      </c>
      <c r="AA283" s="73"/>
      <c r="AB283" s="176"/>
      <c r="AC283" s="176"/>
      <c r="AD283" s="176"/>
      <c r="AJ283" s="136"/>
    </row>
    <row r="284" spans="9:36" x14ac:dyDescent="0.35">
      <c r="I284" s="49">
        <v>0.130084422422</v>
      </c>
      <c r="J284" s="49">
        <v>1.7886389517458937E-9</v>
      </c>
      <c r="K284" s="49">
        <v>3.2796896112903616E-10</v>
      </c>
      <c r="L284" s="152">
        <v>2.0501905704087511E-9</v>
      </c>
      <c r="M284" s="34"/>
      <c r="U284" s="127">
        <v>2.050135040320269E-9</v>
      </c>
      <c r="V284" s="127">
        <v>2.0501905704087511E-9</v>
      </c>
      <c r="W284" s="127">
        <v>1.6646939423777004E-9</v>
      </c>
      <c r="X284" s="128">
        <f t="shared" si="12"/>
        <v>1.9538025308788677E-9</v>
      </c>
      <c r="Y284" s="139">
        <f t="shared" si="13"/>
        <v>0.25360807804508168</v>
      </c>
      <c r="AA284" s="73"/>
      <c r="AB284" s="176"/>
      <c r="AC284" s="176"/>
      <c r="AD284" s="176"/>
      <c r="AJ284" s="136"/>
    </row>
    <row r="285" spans="9:36" x14ac:dyDescent="0.35">
      <c r="I285" s="49">
        <v>0.131385266646</v>
      </c>
      <c r="J285" s="49">
        <v>2.1134599933358556E-9</v>
      </c>
      <c r="K285" s="49">
        <v>3.5263222031420571E-10</v>
      </c>
      <c r="L285" s="152">
        <v>1.4655199706831151E-9</v>
      </c>
      <c r="M285" s="34"/>
      <c r="U285" s="127">
        <v>2.5091293653606358E-9</v>
      </c>
      <c r="V285" s="127">
        <v>1.4655199706831151E-9</v>
      </c>
      <c r="W285" s="127">
        <v>2.3436236013245239E-9</v>
      </c>
      <c r="X285" s="128">
        <f t="shared" si="12"/>
        <v>1.9459482270128474E-9</v>
      </c>
      <c r="Y285" s="139">
        <f t="shared" si="13"/>
        <v>0.22565587909154708</v>
      </c>
      <c r="AA285" s="73"/>
      <c r="AB285" s="176"/>
      <c r="AC285" s="176"/>
      <c r="AD285" s="176"/>
      <c r="AJ285" s="136"/>
    </row>
    <row r="286" spans="9:36" x14ac:dyDescent="0.35">
      <c r="I286" s="49">
        <v>0.13269911931299999</v>
      </c>
      <c r="J286" s="49">
        <v>1.6768616463559305E-9</v>
      </c>
      <c r="K286" s="49">
        <v>3.3522705281055249E-10</v>
      </c>
      <c r="L286" s="152">
        <v>1.7244501320143204E-9</v>
      </c>
      <c r="M286" s="34"/>
      <c r="U286" s="127">
        <v>2.0682883990816765E-9</v>
      </c>
      <c r="V286" s="127">
        <v>1.7244501320143204E-9</v>
      </c>
      <c r="W286" s="127">
        <v>2.3365507520405847E-9</v>
      </c>
      <c r="X286" s="128">
        <f t="shared" si="12"/>
        <v>1.9634348537877254E-9</v>
      </c>
      <c r="Y286" s="139">
        <f t="shared" si="13"/>
        <v>0.73079076603322535</v>
      </c>
      <c r="AA286" s="73"/>
      <c r="AB286" s="176"/>
      <c r="AC286" s="176"/>
      <c r="AD286" s="176"/>
      <c r="AJ286" s="136"/>
    </row>
    <row r="287" spans="9:36" x14ac:dyDescent="0.35">
      <c r="I287" s="49">
        <v>0.134026110506</v>
      </c>
      <c r="J287" s="49">
        <v>1.7117116758571361E-9</v>
      </c>
      <c r="K287" s="49">
        <v>3.4413164466727137E-10</v>
      </c>
      <c r="L287" s="152">
        <v>2.3911057755069553E-9</v>
      </c>
      <c r="M287" s="33"/>
      <c r="U287" s="127">
        <v>1.4898039580840156E-9</v>
      </c>
      <c r="V287" s="127">
        <v>2.3911057755069553E-9</v>
      </c>
      <c r="W287" s="127">
        <v>1.6974731937677939E-9</v>
      </c>
      <c r="X287" s="128">
        <f t="shared" si="12"/>
        <v>1.9923721757164299E-9</v>
      </c>
      <c r="Y287" s="139">
        <f t="shared" si="13"/>
        <v>0.66514046329119869</v>
      </c>
      <c r="AA287" s="73"/>
      <c r="AB287" s="176"/>
      <c r="AC287" s="176"/>
      <c r="AD287" s="176"/>
      <c r="AJ287" s="136"/>
    </row>
    <row r="288" spans="9:36" x14ac:dyDescent="0.35">
      <c r="I288" s="49">
        <v>0.13536637161100001</v>
      </c>
      <c r="J288" s="49">
        <v>1.6706146534368737E-9</v>
      </c>
      <c r="K288" s="49">
        <v>3.5759091830314689E-10</v>
      </c>
      <c r="L288" s="152">
        <v>2.3347214647212982E-9</v>
      </c>
      <c r="M288" s="35"/>
      <c r="U288" s="127">
        <v>1.7572528572636595E-9</v>
      </c>
      <c r="V288" s="127">
        <v>2.3347214647212982E-9</v>
      </c>
      <c r="W288" s="127">
        <v>1.5948998269298131E-9</v>
      </c>
      <c r="X288" s="128">
        <f t="shared" si="12"/>
        <v>2.005398903409017E-9</v>
      </c>
      <c r="Y288" s="139">
        <f t="shared" si="13"/>
        <v>0.87651040410334446</v>
      </c>
      <c r="AA288" s="73"/>
      <c r="AB288" s="176"/>
      <c r="AC288" s="176"/>
      <c r="AD288" s="176"/>
      <c r="AJ288" s="136"/>
    </row>
    <row r="289" spans="9:36" x14ac:dyDescent="0.35">
      <c r="I289" s="49">
        <v>0.136720035327</v>
      </c>
      <c r="J289" s="49">
        <v>1.4106979150702645E-9</v>
      </c>
      <c r="K289" s="49">
        <v>3.2889775289356146E-10</v>
      </c>
      <c r="L289" s="152">
        <v>1.695044141299757E-9</v>
      </c>
      <c r="M289" s="34"/>
      <c r="U289" s="127">
        <v>2.4176579246740125E-9</v>
      </c>
      <c r="V289" s="127">
        <v>1.695044141299757E-9</v>
      </c>
      <c r="W289" s="127">
        <v>2.2163058978467911E-9</v>
      </c>
      <c r="X289" s="128">
        <f t="shared" si="12"/>
        <v>2.0060130262800793E-9</v>
      </c>
      <c r="Y289" s="139">
        <f t="shared" si="13"/>
        <v>3.2762120299090149</v>
      </c>
      <c r="AA289" s="73"/>
      <c r="AB289" s="176"/>
      <c r="AC289" s="176"/>
      <c r="AD289" s="176"/>
      <c r="AJ289" s="136"/>
    </row>
    <row r="290" spans="9:36" x14ac:dyDescent="0.35">
      <c r="I290" s="49">
        <v>0.13808723568</v>
      </c>
      <c r="J290" s="49">
        <v>1.5494387721220337E-9</v>
      </c>
      <c r="K290" s="49">
        <v>3.5381986595795088E-10</v>
      </c>
      <c r="L290" s="152">
        <v>1.6382855199671086E-9</v>
      </c>
      <c r="M290" s="34"/>
      <c r="U290" s="127">
        <v>2.3498883125097137E-9</v>
      </c>
      <c r="V290" s="127">
        <v>1.6382855199671086E-9</v>
      </c>
      <c r="W290" s="127">
        <v>2.4269645653435323E-9</v>
      </c>
      <c r="X290" s="128">
        <f t="shared" si="12"/>
        <v>2.013355979446866E-9</v>
      </c>
      <c r="Y290" s="139">
        <f t="shared" si="13"/>
        <v>1.7191609410611104</v>
      </c>
      <c r="AA290" s="73"/>
      <c r="AB290" s="176"/>
      <c r="AC290" s="176"/>
      <c r="AD290" s="176"/>
      <c r="AJ290" s="136"/>
    </row>
    <row r="291" spans="9:36" x14ac:dyDescent="0.35">
      <c r="I291" s="49">
        <v>0.13946810803699999</v>
      </c>
      <c r="J291" s="49">
        <v>1.7712254607927365E-9</v>
      </c>
      <c r="K291" s="49">
        <v>3.8140196748330778E-10</v>
      </c>
      <c r="L291" s="152">
        <v>2.2649947305370175E-9</v>
      </c>
      <c r="M291" s="33"/>
      <c r="U291" s="127">
        <v>1.7122396940175324E-9</v>
      </c>
      <c r="V291" s="127">
        <v>2.2649947305370175E-9</v>
      </c>
      <c r="W291" s="127">
        <v>1.8718449886042718E-9</v>
      </c>
      <c r="X291" s="128">
        <f t="shared" si="12"/>
        <v>2.0285185359239596E-9</v>
      </c>
      <c r="Y291" s="139">
        <f t="shared" si="13"/>
        <v>0.45508271159991498</v>
      </c>
      <c r="AA291" s="73"/>
      <c r="AB291" s="176"/>
      <c r="AC291" s="176"/>
      <c r="AD291" s="176"/>
      <c r="AJ291" s="136"/>
    </row>
    <row r="292" spans="9:36" x14ac:dyDescent="0.35">
      <c r="I292" s="49">
        <v>0.14086278911700001</v>
      </c>
      <c r="J292" s="49">
        <v>2.1647608664507258E-9</v>
      </c>
      <c r="K292" s="49">
        <v>3.8911926948508788E-10</v>
      </c>
      <c r="L292" s="152">
        <v>2.4291107719080915E-9</v>
      </c>
      <c r="M292" s="34"/>
      <c r="U292" s="127">
        <v>1.6639572528314589E-9</v>
      </c>
      <c r="V292" s="127">
        <v>2.4291107719080915E-9</v>
      </c>
      <c r="W292" s="127">
        <v>1.6381107542079611E-9</v>
      </c>
      <c r="X292" s="128">
        <f t="shared" si="12"/>
        <v>2.0400723877139007E-9</v>
      </c>
      <c r="Y292" s="139">
        <f t="shared" si="13"/>
        <v>0.10268031134196651</v>
      </c>
      <c r="AA292" s="73"/>
      <c r="AB292" s="176"/>
      <c r="AC292" s="176"/>
      <c r="AD292" s="176"/>
      <c r="AJ292" s="136"/>
    </row>
    <row r="293" spans="9:36" x14ac:dyDescent="0.35">
      <c r="I293" s="49">
        <v>0.14227141700900001</v>
      </c>
      <c r="J293" s="49">
        <v>2.6585142879502221E-9</v>
      </c>
      <c r="K293" s="49">
        <v>4.4986966357897074E-10</v>
      </c>
      <c r="L293" s="152">
        <v>1.8614997217283536E-9</v>
      </c>
      <c r="M293" s="34"/>
      <c r="U293" s="127">
        <v>2.2864171874529783E-9</v>
      </c>
      <c r="V293" s="127">
        <v>1.8614997217283536E-9</v>
      </c>
      <c r="W293" s="127">
        <v>2.1740714275505719E-9</v>
      </c>
      <c r="X293" s="128">
        <f t="shared" si="12"/>
        <v>2.0458720146150641E-9</v>
      </c>
      <c r="Y293" s="139">
        <f t="shared" si="13"/>
        <v>1.854558362579845</v>
      </c>
      <c r="AA293" s="73"/>
      <c r="AB293" s="176"/>
      <c r="AC293" s="176"/>
      <c r="AD293" s="176"/>
      <c r="AJ293" s="136"/>
    </row>
    <row r="294" spans="9:36" x14ac:dyDescent="0.35">
      <c r="I294" s="49">
        <v>0.14369413117900001</v>
      </c>
      <c r="J294" s="49">
        <v>1.5204755135575106E-9</v>
      </c>
      <c r="K294" s="49">
        <v>3.7836259492507548E-10</v>
      </c>
      <c r="L294" s="152">
        <v>1.6689866150540043E-9</v>
      </c>
      <c r="M294" s="33"/>
      <c r="U294" s="127">
        <v>2.4390521649590668E-9</v>
      </c>
      <c r="V294" s="127">
        <v>1.6689866150540043E-9</v>
      </c>
      <c r="W294" s="127">
        <v>2.4284669414973686E-9</v>
      </c>
      <c r="X294" s="128">
        <f t="shared" si="12"/>
        <v>2.0513730841411108E-9</v>
      </c>
      <c r="Y294" s="139">
        <f t="shared" si="13"/>
        <v>1.9688157970335853</v>
      </c>
      <c r="AA294" s="73"/>
      <c r="AB294" s="176"/>
      <c r="AC294" s="176"/>
      <c r="AD294" s="176"/>
      <c r="AJ294" s="136"/>
    </row>
    <row r="295" spans="9:36" x14ac:dyDescent="0.35">
      <c r="I295" s="49">
        <v>0.14513107249099999</v>
      </c>
      <c r="J295" s="49">
        <v>2.1596659760848679E-9</v>
      </c>
      <c r="K295" s="49">
        <v>4.4966051813374107E-10</v>
      </c>
      <c r="L295" s="152">
        <v>2.215204285634263E-9</v>
      </c>
      <c r="M295" s="34"/>
      <c r="U295" s="127">
        <v>1.8721344394463736E-9</v>
      </c>
      <c r="V295" s="127">
        <v>2.215204285634263E-9</v>
      </c>
      <c r="W295" s="127">
        <v>1.929459038099921E-9</v>
      </c>
      <c r="X295" s="128">
        <f t="shared" si="12"/>
        <v>2.0580005122037052E-9</v>
      </c>
      <c r="Y295" s="139">
        <f t="shared" si="13"/>
        <v>5.1118415073256374E-2</v>
      </c>
      <c r="AA295" s="73"/>
      <c r="AB295" s="176"/>
      <c r="AC295" s="176"/>
      <c r="AD295" s="176"/>
      <c r="AJ295" s="136"/>
    </row>
    <row r="296" spans="9:36" x14ac:dyDescent="0.35">
      <c r="I296" s="49">
        <v>0.146582383215</v>
      </c>
      <c r="J296" s="49">
        <v>1.6821998448428062E-9</v>
      </c>
      <c r="K296" s="49">
        <v>3.9709202940236694E-10</v>
      </c>
      <c r="L296" s="152">
        <v>2.4262703002202168E-9</v>
      </c>
      <c r="M296" s="35"/>
      <c r="U296" s="127">
        <v>1.6872021683873358E-9</v>
      </c>
      <c r="V296" s="127">
        <v>2.4262703002202168E-9</v>
      </c>
      <c r="W296" s="127">
        <v>1.7157787930486399E-9</v>
      </c>
      <c r="X296" s="128">
        <f t="shared" si="12"/>
        <v>2.0638803904691024E-9</v>
      </c>
      <c r="Y296" s="139">
        <f t="shared" si="13"/>
        <v>0.92388455987267049</v>
      </c>
      <c r="AA296" s="73"/>
      <c r="AB296" s="176"/>
      <c r="AC296" s="176"/>
      <c r="AD296" s="176"/>
      <c r="AJ296" s="136"/>
    </row>
    <row r="297" spans="9:36" x14ac:dyDescent="0.35">
      <c r="I297" s="49">
        <v>0.14804820704800001</v>
      </c>
      <c r="J297" s="49">
        <v>1.9622328797767938E-9</v>
      </c>
      <c r="K297" s="49">
        <v>4.2553556853111978E-10</v>
      </c>
      <c r="L297" s="152">
        <v>1.9146823193802724E-9</v>
      </c>
      <c r="M297" s="34"/>
      <c r="U297" s="127">
        <v>2.2284265853831574E-9</v>
      </c>
      <c r="V297" s="127">
        <v>1.9146823193802724E-9</v>
      </c>
      <c r="W297" s="127">
        <v>2.2158211467523527E-9</v>
      </c>
      <c r="X297" s="128">
        <f t="shared" si="12"/>
        <v>2.0684030927240136E-9</v>
      </c>
      <c r="Y297" s="139">
        <f t="shared" si="13"/>
        <v>6.2249181259035481E-2</v>
      </c>
      <c r="AA297" s="73"/>
      <c r="AB297" s="176"/>
      <c r="AC297" s="176"/>
      <c r="AD297" s="176"/>
      <c r="AJ297" s="136"/>
    </row>
    <row r="298" spans="9:36" x14ac:dyDescent="0.35">
      <c r="I298" s="109">
        <v>0.14952868911799999</v>
      </c>
      <c r="J298" s="109">
        <v>1.8872287101710681E-9</v>
      </c>
      <c r="K298" s="109">
        <v>4.2225171188078127E-10</v>
      </c>
      <c r="L298" s="152">
        <v>1.7393911194104687E-9</v>
      </c>
      <c r="M298" s="33"/>
      <c r="U298" s="127">
        <v>2.4282587872871448E-9</v>
      </c>
      <c r="V298" s="127">
        <v>1.7393911194104687E-9</v>
      </c>
      <c r="W298" s="127">
        <v>2.3808613770459035E-9</v>
      </c>
      <c r="X298" s="128">
        <f t="shared" si="12"/>
        <v>2.0719756007884966E-9</v>
      </c>
      <c r="Y298" s="139">
        <f t="shared" si="13"/>
        <v>0.19143063394799675</v>
      </c>
      <c r="AA298" s="73"/>
      <c r="AB298" s="176"/>
      <c r="AC298" s="176"/>
      <c r="AD298" s="176"/>
      <c r="AJ298" s="136"/>
    </row>
    <row r="299" spans="9:36" x14ac:dyDescent="0.35">
      <c r="I299" s="109">
        <v>0.151023976009</v>
      </c>
      <c r="J299" s="109">
        <v>1.8962348870461614E-9</v>
      </c>
      <c r="K299" s="109">
        <v>4.2178537228890941E-10</v>
      </c>
      <c r="L299" s="152">
        <v>2.2438218729517192E-9</v>
      </c>
      <c r="M299" s="34"/>
      <c r="U299" s="127">
        <v>1.9184709560177698E-9</v>
      </c>
      <c r="V299" s="127">
        <v>2.2438218729517192E-9</v>
      </c>
      <c r="W299" s="127">
        <v>1.8928082912546794E-9</v>
      </c>
      <c r="X299" s="128">
        <f t="shared" si="12"/>
        <v>2.074730748293972E-9</v>
      </c>
      <c r="Y299" s="139">
        <f t="shared" si="13"/>
        <v>0.17909079859298799</v>
      </c>
      <c r="AA299" s="73"/>
      <c r="AB299" s="176"/>
      <c r="AC299" s="176"/>
      <c r="AD299" s="176"/>
      <c r="AJ299" s="136"/>
    </row>
    <row r="300" spans="9:36" x14ac:dyDescent="0.35">
      <c r="I300" s="109">
        <v>0.152534215769</v>
      </c>
      <c r="J300" s="109">
        <v>1.465450783621334E-9</v>
      </c>
      <c r="K300" s="109">
        <v>4.2299077068045348E-10</v>
      </c>
      <c r="L300" s="152">
        <v>2.3668732977589836E-9</v>
      </c>
      <c r="M300" s="34"/>
      <c r="U300" s="127">
        <v>1.7494003908774689E-9</v>
      </c>
      <c r="V300" s="127">
        <v>2.3668732977589836E-9</v>
      </c>
      <c r="W300" s="127">
        <v>1.8184438632908649E-9</v>
      </c>
      <c r="X300" s="128">
        <f t="shared" si="12"/>
        <v>2.0753977124215754E-9</v>
      </c>
      <c r="Y300" s="139">
        <f t="shared" si="13"/>
        <v>2.0793247106510777</v>
      </c>
      <c r="AA300" s="73"/>
      <c r="AB300" s="176"/>
      <c r="AC300" s="176"/>
      <c r="AD300" s="176"/>
      <c r="AJ300" s="136"/>
    </row>
    <row r="301" spans="9:36" x14ac:dyDescent="0.35">
      <c r="I301" s="109">
        <v>0.15405955792699999</v>
      </c>
      <c r="J301" s="109">
        <v>1.7916226763675799E-9</v>
      </c>
      <c r="K301" s="109">
        <v>4.4328510831964045E-10</v>
      </c>
      <c r="L301" s="152">
        <v>1.8760701120264862E-9</v>
      </c>
      <c r="M301" s="33"/>
      <c r="U301" s="127">
        <v>2.2459326096630473E-9</v>
      </c>
      <c r="V301" s="127">
        <v>1.8760701120264862E-9</v>
      </c>
      <c r="W301" s="127">
        <v>2.2972053873330842E-9</v>
      </c>
      <c r="X301" s="128">
        <f t="shared" si="12"/>
        <v>2.0738195552622758E-9</v>
      </c>
      <c r="Y301" s="139">
        <f t="shared" si="13"/>
        <v>0.40526409502717209</v>
      </c>
      <c r="AA301" s="73"/>
      <c r="AB301" s="176"/>
      <c r="AC301" s="176"/>
      <c r="AD301" s="176"/>
      <c r="AJ301" s="136"/>
    </row>
    <row r="302" spans="9:36" x14ac:dyDescent="0.35">
      <c r="I302" s="109">
        <v>0.15560015350600001</v>
      </c>
      <c r="J302" s="109">
        <v>1.8087536930744898E-9</v>
      </c>
      <c r="K302" s="109">
        <v>4.6250302646764695E-10</v>
      </c>
      <c r="L302" s="152">
        <v>1.8372418445645583E-9</v>
      </c>
      <c r="M302" s="34"/>
      <c r="U302" s="127">
        <v>2.3589941970685001E-9</v>
      </c>
      <c r="V302" s="127">
        <v>1.8372418445645583E-9</v>
      </c>
      <c r="W302" s="127">
        <v>2.2630486534590132E-9</v>
      </c>
      <c r="X302" s="128">
        <f t="shared" si="12"/>
        <v>2.0741316349141574E-9</v>
      </c>
      <c r="Y302" s="139">
        <f t="shared" si="13"/>
        <v>0.32923082114756325</v>
      </c>
      <c r="AA302" s="73"/>
      <c r="AB302" s="176"/>
      <c r="AC302" s="176"/>
      <c r="AD302" s="176"/>
      <c r="AJ302" s="136"/>
    </row>
    <row r="303" spans="9:36" x14ac:dyDescent="0.35">
      <c r="I303" s="109">
        <v>0.157156155041</v>
      </c>
      <c r="J303" s="109">
        <v>1.441446545979545E-9</v>
      </c>
      <c r="K303" s="109">
        <v>4.7242025185259742E-10</v>
      </c>
      <c r="L303" s="152">
        <v>2.305583816570787E-9</v>
      </c>
      <c r="M303" s="34"/>
      <c r="U303" s="127">
        <v>1.8728302003272245E-9</v>
      </c>
      <c r="V303" s="127">
        <v>2.305583816570787E-9</v>
      </c>
      <c r="W303" s="127">
        <v>1.8186092228423349E-9</v>
      </c>
      <c r="X303" s="128">
        <f t="shared" si="12"/>
        <v>2.0756517640777832E-9</v>
      </c>
      <c r="Y303" s="139">
        <f t="shared" si="13"/>
        <v>1.8021984355587024</v>
      </c>
      <c r="AA303" s="73"/>
      <c r="AB303" s="176"/>
      <c r="AC303" s="176"/>
      <c r="AD303" s="176"/>
      <c r="AJ303" s="136"/>
    </row>
    <row r="304" spans="9:36" x14ac:dyDescent="0.35">
      <c r="I304" s="109">
        <v>0.158727716592</v>
      </c>
      <c r="J304" s="109">
        <v>1.7047951221584473E-9</v>
      </c>
      <c r="K304" s="109">
        <v>4.8884082184511111E-10</v>
      </c>
      <c r="L304" s="152">
        <v>2.2343577375947288E-9</v>
      </c>
      <c r="M304" s="35"/>
      <c r="U304" s="127">
        <v>1.837006770781051E-9</v>
      </c>
      <c r="V304" s="127">
        <v>2.2343577375947288E-9</v>
      </c>
      <c r="W304" s="127">
        <v>1.9710511472750314E-9</v>
      </c>
      <c r="X304" s="128">
        <f t="shared" si="12"/>
        <v>2.069193348311385E-9</v>
      </c>
      <c r="Y304" s="139">
        <f t="shared" si="13"/>
        <v>0.55567080215724485</v>
      </c>
      <c r="AA304" s="73"/>
      <c r="AB304" s="176"/>
      <c r="AC304" s="176"/>
      <c r="AD304" s="176"/>
      <c r="AJ304" s="136"/>
    </row>
    <row r="305" spans="9:36" x14ac:dyDescent="0.35">
      <c r="I305" s="109">
        <v>0.16031499375800001</v>
      </c>
      <c r="J305" s="109">
        <v>2.2299945070371136E-9</v>
      </c>
      <c r="K305" s="109">
        <v>5.436073278508291E-10</v>
      </c>
      <c r="L305" s="152">
        <v>1.8040969099165973E-9</v>
      </c>
      <c r="M305" s="33"/>
      <c r="U305" s="127">
        <v>2.2936130867288773E-9</v>
      </c>
      <c r="V305" s="127">
        <v>1.8040969099165973E-9</v>
      </c>
      <c r="W305" s="127">
        <v>2.3318890107749647E-9</v>
      </c>
      <c r="X305" s="128">
        <f t="shared" si="12"/>
        <v>2.0584239793342594E-9</v>
      </c>
      <c r="Y305" s="139">
        <f t="shared" si="13"/>
        <v>9.961271317831491E-2</v>
      </c>
      <c r="AA305" s="73"/>
      <c r="AB305" s="176"/>
      <c r="AC305" s="176"/>
      <c r="AD305" s="176"/>
      <c r="AJ305" s="136"/>
    </row>
    <row r="306" spans="9:36" x14ac:dyDescent="0.35">
      <c r="I306" s="109">
        <v>0.16191814369499999</v>
      </c>
      <c r="J306" s="109">
        <v>1.2935617716949756E-9</v>
      </c>
      <c r="K306" s="109">
        <v>4.6769258834793784E-10</v>
      </c>
      <c r="L306" s="152">
        <v>1.9810722522273331E-9</v>
      </c>
      <c r="M306" s="34"/>
      <c r="U306" s="127">
        <v>2.2165433387922128E-9</v>
      </c>
      <c r="V306" s="127">
        <v>1.9810722522273331E-9</v>
      </c>
      <c r="W306" s="127">
        <v>2.0536219869136081E-9</v>
      </c>
      <c r="X306" s="128">
        <f t="shared" si="12"/>
        <v>2.0580774575401219E-9</v>
      </c>
      <c r="Y306" s="139">
        <f t="shared" si="13"/>
        <v>2.6720945772203275</v>
      </c>
      <c r="AA306" s="73"/>
      <c r="AB306" s="176"/>
      <c r="AC306" s="176"/>
      <c r="AD306" s="176"/>
      <c r="AJ306" s="136"/>
    </row>
    <row r="307" spans="9:36" x14ac:dyDescent="0.35">
      <c r="I307" s="109">
        <v>0.16353732513200001</v>
      </c>
      <c r="J307" s="109">
        <v>1.5412543603734795E-9</v>
      </c>
      <c r="K307" s="109">
        <v>5.1850178287837149E-10</v>
      </c>
      <c r="L307" s="152">
        <v>2.3135517544030645E-9</v>
      </c>
      <c r="M307" s="34"/>
      <c r="U307" s="127">
        <v>1.7933960689168625E-9</v>
      </c>
      <c r="V307" s="127">
        <v>2.3135517544030645E-9</v>
      </c>
      <c r="W307" s="127">
        <v>1.8066539781428409E-9</v>
      </c>
      <c r="X307" s="128">
        <f t="shared" si="12"/>
        <v>2.056788388966458E-9</v>
      </c>
      <c r="Y307" s="139">
        <f t="shared" si="13"/>
        <v>0.98858533914676572</v>
      </c>
      <c r="AA307" s="73"/>
      <c r="AB307" s="176"/>
      <c r="AC307" s="176"/>
      <c r="AD307" s="176"/>
      <c r="AJ307" s="136"/>
    </row>
    <row r="308" spans="9:36" x14ac:dyDescent="0.35">
      <c r="I308" s="109">
        <v>0.16517269838400001</v>
      </c>
      <c r="J308" s="109">
        <v>7.1892961877956592E-10</v>
      </c>
      <c r="K308" s="109">
        <v>4.5358097184029109E-10</v>
      </c>
      <c r="L308" s="152">
        <v>2.0158310820570219E-9</v>
      </c>
      <c r="M308" s="33"/>
      <c r="U308" s="127">
        <v>1.9666232659082542E-9</v>
      </c>
      <c r="V308" s="127">
        <v>2.0158310820570219E-9</v>
      </c>
      <c r="W308" s="127">
        <v>2.1463338794495542E-9</v>
      </c>
      <c r="X308" s="128">
        <f t="shared" si="12"/>
        <v>2.036154827367963E-9</v>
      </c>
      <c r="Y308" s="139">
        <f t="shared" si="13"/>
        <v>8.4335497770995822</v>
      </c>
      <c r="AA308" s="73"/>
      <c r="AB308" s="176"/>
      <c r="AC308" s="176"/>
      <c r="AD308" s="176"/>
      <c r="AJ308" s="136"/>
    </row>
    <row r="309" spans="9:36" x14ac:dyDescent="0.35">
      <c r="I309" s="109">
        <v>0.16682442536700001</v>
      </c>
      <c r="J309" s="109">
        <v>1.1038208964439194E-9</v>
      </c>
      <c r="K309" s="109">
        <v>5.2574528067463676E-10</v>
      </c>
      <c r="L309" s="152">
        <v>1.7963357008894866E-9</v>
      </c>
      <c r="M309" s="34"/>
      <c r="U309" s="127">
        <v>2.2861365823663178E-9</v>
      </c>
      <c r="V309" s="127">
        <v>1.7963357008894866E-9</v>
      </c>
      <c r="W309" s="127">
        <v>2.2023495615219028E-9</v>
      </c>
      <c r="X309" s="128">
        <f t="shared" si="12"/>
        <v>2.0202893864167986E-9</v>
      </c>
      <c r="Y309" s="139">
        <f t="shared" si="13"/>
        <v>3.0386753957367612</v>
      </c>
      <c r="AA309" s="73"/>
      <c r="AB309" s="176"/>
      <c r="AC309" s="176"/>
      <c r="AD309" s="176"/>
      <c r="AJ309" s="136"/>
    </row>
    <row r="310" spans="9:36" x14ac:dyDescent="0.35">
      <c r="I310" s="109">
        <v>0.16849266962100001</v>
      </c>
      <c r="J310" s="109">
        <v>1.8884822201430866E-9</v>
      </c>
      <c r="K310" s="109">
        <v>6.2481033945507471E-10</v>
      </c>
      <c r="L310" s="152">
        <v>2.1349310459554145E-9</v>
      </c>
      <c r="M310" s="34"/>
      <c r="U310" s="127">
        <v>1.9902153454487819E-9</v>
      </c>
      <c r="V310" s="127">
        <v>2.1349310459554145E-9</v>
      </c>
      <c r="W310" s="127">
        <v>1.8352844012693418E-9</v>
      </c>
      <c r="X310" s="128">
        <f t="shared" si="12"/>
        <v>2.0238404596572382E-9</v>
      </c>
      <c r="Y310" s="139">
        <f t="shared" si="13"/>
        <v>4.693242330209578E-2</v>
      </c>
      <c r="AA310" s="73"/>
      <c r="AB310" s="176"/>
      <c r="AC310" s="176"/>
      <c r="AD310" s="176"/>
      <c r="AJ310" s="136"/>
    </row>
    <row r="311" spans="9:36" x14ac:dyDescent="0.35">
      <c r="I311" s="109">
        <v>0.170177596317</v>
      </c>
      <c r="J311" s="109">
        <v>2.4435400718901302E-9</v>
      </c>
      <c r="K311" s="109">
        <v>6.7102623317704446E-10</v>
      </c>
      <c r="L311" s="152">
        <v>2.1581865102506121E-9</v>
      </c>
      <c r="M311" s="34"/>
      <c r="U311" s="127">
        <v>1.7751576530364154E-9</v>
      </c>
      <c r="V311" s="127">
        <v>2.1581865102506121E-9</v>
      </c>
      <c r="W311" s="127">
        <v>1.9359742440976701E-9</v>
      </c>
      <c r="X311" s="128">
        <f t="shared" si="12"/>
        <v>2.0068762294088272E-9</v>
      </c>
      <c r="Y311" s="139">
        <f t="shared" si="13"/>
        <v>0.42346299660998699</v>
      </c>
      <c r="AA311" s="73"/>
      <c r="AB311" s="176"/>
      <c r="AC311" s="176"/>
      <c r="AD311" s="176"/>
      <c r="AJ311" s="136"/>
    </row>
    <row r="312" spans="9:36" x14ac:dyDescent="0.35">
      <c r="I312" s="109">
        <v>0.17187937228</v>
      </c>
      <c r="J312" s="109">
        <v>1.9625358389076855E-9</v>
      </c>
      <c r="K312" s="109">
        <v>6.0163922501270442E-10</v>
      </c>
      <c r="L312" s="152">
        <v>1.800760797159148E-9</v>
      </c>
      <c r="M312" s="33"/>
      <c r="U312" s="127">
        <v>2.1017907865942307E-9</v>
      </c>
      <c r="V312" s="127">
        <v>1.800760797159148E-9</v>
      </c>
      <c r="W312" s="127">
        <v>2.1801043881206132E-9</v>
      </c>
      <c r="X312" s="128">
        <f t="shared" si="12"/>
        <v>1.9708541922582849E-9</v>
      </c>
      <c r="Y312" s="139">
        <f t="shared" si="13"/>
        <v>1.9116238611974442E-4</v>
      </c>
      <c r="AA312" s="73"/>
      <c r="AB312" s="176"/>
      <c r="AC312" s="176"/>
      <c r="AD312" s="176"/>
      <c r="AJ312" s="136"/>
    </row>
    <row r="313" spans="9:36" x14ac:dyDescent="0.35">
      <c r="I313" s="109">
        <v>0.17359816600299999</v>
      </c>
      <c r="J313" s="109">
        <v>1.2741530795546028E-9</v>
      </c>
      <c r="K313" s="109">
        <v>6.2707167808923359E-10</v>
      </c>
      <c r="L313" s="152">
        <v>1.9186773112706715E-9</v>
      </c>
      <c r="M313" s="34"/>
      <c r="U313" s="127">
        <v>2.1186227791951717E-9</v>
      </c>
      <c r="V313" s="127">
        <v>1.9186773112706715E-9</v>
      </c>
      <c r="W313" s="127">
        <v>1.9080811051576368E-9</v>
      </c>
      <c r="X313" s="128">
        <f t="shared" si="12"/>
        <v>1.9660146267235381E-9</v>
      </c>
      <c r="Y313" s="139">
        <f t="shared" si="13"/>
        <v>1.2173179195596098</v>
      </c>
      <c r="AA313" s="73"/>
      <c r="AB313" s="176"/>
      <c r="AC313" s="176"/>
      <c r="AD313" s="176"/>
      <c r="AJ313" s="136"/>
    </row>
    <row r="314" spans="9:36" x14ac:dyDescent="0.35">
      <c r="I314" s="109">
        <v>0.17533414766300001</v>
      </c>
      <c r="J314" s="109">
        <v>2.5039787312541681E-9</v>
      </c>
      <c r="K314" s="109">
        <v>7.3895732139365784E-10</v>
      </c>
      <c r="L314" s="152">
        <v>2.1359199976618319E-9</v>
      </c>
      <c r="M314" s="34"/>
      <c r="U314" s="127">
        <v>1.7682691205207099E-9</v>
      </c>
      <c r="V314" s="127">
        <v>2.1359199976618319E-9</v>
      </c>
      <c r="W314" s="127">
        <v>1.8038905818975554E-9</v>
      </c>
      <c r="X314" s="128">
        <f t="shared" si="12"/>
        <v>1.9609999244354825E-9</v>
      </c>
      <c r="Y314" s="139">
        <f t="shared" si="13"/>
        <v>0.53991705334148954</v>
      </c>
      <c r="AA314" s="73"/>
      <c r="AB314" s="176"/>
      <c r="AC314" s="176"/>
      <c r="AD314" s="176"/>
      <c r="AJ314" s="136"/>
    </row>
    <row r="315" spans="9:36" x14ac:dyDescent="0.35">
      <c r="I315" s="109">
        <v>0.17708748914</v>
      </c>
      <c r="J315" s="109">
        <v>1.9226006959447232E-9</v>
      </c>
      <c r="K315" s="109">
        <v>6.423687810606093E-10</v>
      </c>
      <c r="L315" s="152">
        <v>1.8568902579599301E-9</v>
      </c>
      <c r="M315" s="33"/>
      <c r="U315" s="127">
        <v>1.8833675116061607E-9</v>
      </c>
      <c r="V315" s="127">
        <v>1.8568902579599301E-9</v>
      </c>
      <c r="W315" s="127">
        <v>2.0624800964855843E-9</v>
      </c>
      <c r="X315" s="128">
        <f t="shared" si="12"/>
        <v>1.9149070310029012E-9</v>
      </c>
      <c r="Y315" s="139">
        <f t="shared" si="13"/>
        <v>1.4344905296596246E-4</v>
      </c>
      <c r="AA315" s="73"/>
      <c r="AB315" s="176"/>
      <c r="AC315" s="176"/>
      <c r="AD315" s="176"/>
      <c r="AJ315" s="136"/>
    </row>
    <row r="316" spans="9:36" x14ac:dyDescent="0.35">
      <c r="I316" s="109">
        <v>0.178858364031</v>
      </c>
      <c r="J316" s="109">
        <v>1.5937832563090592E-9</v>
      </c>
      <c r="K316" s="109">
        <v>6.8832487456296673E-10</v>
      </c>
      <c r="L316" s="152">
        <v>1.7832236417884834E-9</v>
      </c>
      <c r="M316" s="34"/>
      <c r="U316" s="127">
        <v>2.1402346648876798E-9</v>
      </c>
      <c r="V316" s="127">
        <v>1.7832236417884834E-9</v>
      </c>
      <c r="W316" s="127">
        <v>1.9011471465125244E-9</v>
      </c>
      <c r="X316" s="128">
        <f t="shared" si="12"/>
        <v>1.901957273744293E-9</v>
      </c>
      <c r="Y316" s="139">
        <f t="shared" si="13"/>
        <v>0.20044956188273161</v>
      </c>
      <c r="AA316" s="73"/>
      <c r="AB316" s="176"/>
      <c r="AC316" s="176"/>
      <c r="AD316" s="176"/>
      <c r="AJ316" s="136"/>
    </row>
    <row r="317" spans="9:36" x14ac:dyDescent="0.35">
      <c r="I317" s="109">
        <v>0.18064694767200001</v>
      </c>
      <c r="J317" s="109">
        <v>1.7969027337280933E-9</v>
      </c>
      <c r="K317" s="109">
        <v>7.4883216868634903E-10</v>
      </c>
      <c r="L317" s="152">
        <v>2.2037574270594058E-9</v>
      </c>
      <c r="M317" s="34"/>
      <c r="U317" s="127">
        <v>1.9893724266120303E-9</v>
      </c>
      <c r="V317" s="127">
        <v>2.2037574270594058E-9</v>
      </c>
      <c r="W317" s="127">
        <v>1.4509140728410203E-9</v>
      </c>
      <c r="X317" s="128">
        <f t="shared" si="12"/>
        <v>1.9619503383929656E-9</v>
      </c>
      <c r="Y317" s="139">
        <f t="shared" si="13"/>
        <v>4.8579100166264218E-2</v>
      </c>
      <c r="AA317" s="73"/>
      <c r="AB317" s="176"/>
      <c r="AC317" s="176"/>
      <c r="AD317" s="176"/>
      <c r="AJ317" s="136"/>
    </row>
    <row r="318" spans="9:36" x14ac:dyDescent="0.35">
      <c r="I318" s="109">
        <v>0.18612073083299999</v>
      </c>
      <c r="J318" s="109">
        <v>2.9568184714402084E-9</v>
      </c>
      <c r="K318" s="109">
        <v>8.6816841158919269E-10</v>
      </c>
      <c r="L318" s="152">
        <v>2.2046557587673899E-9</v>
      </c>
      <c r="M318" s="33"/>
      <c r="U318" s="127">
        <v>1.4666752099585772E-9</v>
      </c>
      <c r="V318" s="127">
        <v>2.2046557587673899E-9</v>
      </c>
      <c r="W318" s="127">
        <v>1.3707492987690002E-9</v>
      </c>
      <c r="X318" s="128">
        <f t="shared" si="12"/>
        <v>1.8116840065655893E-9</v>
      </c>
      <c r="Y318" s="139">
        <f t="shared" si="13"/>
        <v>1.7398227748641253</v>
      </c>
      <c r="AA318" s="73"/>
      <c r="AB318" s="176"/>
      <c r="AC318" s="176"/>
      <c r="AD318" s="176"/>
      <c r="AJ318" s="136"/>
    </row>
    <row r="319" spans="9:36" x14ac:dyDescent="0.35">
      <c r="I319" s="109">
        <v>0.187981938141</v>
      </c>
      <c r="J319" s="109">
        <v>1.5771201301289862E-9</v>
      </c>
      <c r="K319" s="109">
        <v>7.677891310122253E-10</v>
      </c>
      <c r="L319" s="152">
        <v>1.8587121414422706E-9</v>
      </c>
      <c r="M319" s="34"/>
      <c r="U319" s="127">
        <v>1.5453976720890325E-9</v>
      </c>
      <c r="V319" s="127">
        <v>1.8587121414422706E-9</v>
      </c>
      <c r="W319" s="127">
        <v>1.7714411973949636E-9</v>
      </c>
      <c r="X319" s="128">
        <f t="shared" si="12"/>
        <v>1.7585657880921341E-9</v>
      </c>
      <c r="Y319" s="139">
        <f t="shared" si="13"/>
        <v>5.5848207689863608E-2</v>
      </c>
      <c r="AA319" s="73"/>
      <c r="AB319" s="176"/>
      <c r="AC319" s="176"/>
      <c r="AD319" s="176"/>
      <c r="AJ319" s="136"/>
    </row>
    <row r="320" spans="9:36" x14ac:dyDescent="0.35">
      <c r="I320" s="109">
        <v>0.189861757523</v>
      </c>
      <c r="J320" s="109">
        <v>1.8675347171239695E-9</v>
      </c>
      <c r="K320" s="109">
        <v>7.6147648885559347E-10</v>
      </c>
      <c r="L320" s="152">
        <v>1.6111267057968662E-9</v>
      </c>
      <c r="M320" s="34"/>
      <c r="U320" s="127">
        <v>1.8024757019407217E-9</v>
      </c>
      <c r="V320" s="127">
        <v>1.6111267057968662E-9</v>
      </c>
      <c r="W320" s="127">
        <v>1.7865461070617468E-9</v>
      </c>
      <c r="X320" s="128">
        <f t="shared" ref="X320:X322" si="14">(U320+2*V320+W320)/4</f>
        <v>1.7028188051490502E-9</v>
      </c>
      <c r="Y320" s="139">
        <f t="shared" ref="Y320:Y322" si="15">(J320-X320)*(J320-X320)/(K320*K320)</f>
        <v>4.6790545982522296E-2</v>
      </c>
      <c r="AA320" s="73"/>
      <c r="AB320" s="176"/>
      <c r="AC320" s="176"/>
      <c r="AD320" s="176"/>
      <c r="AJ320" s="136"/>
    </row>
    <row r="321" spans="9:36" x14ac:dyDescent="0.35">
      <c r="I321" s="109">
        <v>0.19176037509800001</v>
      </c>
      <c r="J321" s="109">
        <v>1.8894126390573054E-9</v>
      </c>
      <c r="K321" s="109">
        <v>8.2190934425304669E-10</v>
      </c>
      <c r="L321" s="152">
        <v>1.7466421501184061E-9</v>
      </c>
      <c r="M321" s="33"/>
      <c r="U321" s="127">
        <v>1.7390083960429025E-9</v>
      </c>
      <c r="V321" s="127">
        <v>1.7466421501184061E-9</v>
      </c>
      <c r="W321" s="127">
        <v>1.5918140238749129E-9</v>
      </c>
      <c r="X321" s="128">
        <f t="shared" si="14"/>
        <v>1.7060266800386569E-9</v>
      </c>
      <c r="Y321" s="139">
        <f t="shared" si="15"/>
        <v>4.9783373844736294E-2</v>
      </c>
      <c r="AA321" s="73"/>
      <c r="AB321" s="176"/>
      <c r="AC321" s="176"/>
      <c r="AD321" s="176"/>
      <c r="AJ321" s="136"/>
    </row>
    <row r="322" spans="9:36" x14ac:dyDescent="0.35">
      <c r="I322" s="109">
        <v>0.19367797884900001</v>
      </c>
      <c r="J322" s="109">
        <v>8.3108337373724182E-10</v>
      </c>
      <c r="K322" s="109">
        <v>7.7828264128656746E-10</v>
      </c>
      <c r="L322" s="152">
        <v>1.7061361042813707E-9</v>
      </c>
      <c r="M322" s="34"/>
      <c r="U322" s="127">
        <v>1.5442048847456732E-9</v>
      </c>
      <c r="V322" s="127">
        <v>1.7061361042813707E-9</v>
      </c>
      <c r="W322" s="127">
        <v>1.7002999222805308E-9</v>
      </c>
      <c r="X322" s="128">
        <f t="shared" si="14"/>
        <v>1.6641942538972364E-9</v>
      </c>
      <c r="Y322" s="139">
        <f t="shared" si="15"/>
        <v>1.1458583247720433</v>
      </c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84.659828130527359</v>
      </c>
      <c r="C2" s="165">
        <f>dDstack!D4</f>
        <v>37.186076232221708</v>
      </c>
      <c r="D2" s="169"/>
    </row>
    <row r="3" spans="1:4" ht="18" x14ac:dyDescent="0.35">
      <c r="A3" s="93" t="s">
        <v>628</v>
      </c>
      <c r="B3" s="165">
        <f>Reflectivity!H10</f>
        <v>1064.944948382318</v>
      </c>
      <c r="C3" s="165">
        <f>dTotal!D4</f>
        <v>10.890101709254642</v>
      </c>
      <c r="D3" s="169"/>
    </row>
    <row r="4" spans="1:4" ht="18" x14ac:dyDescent="0.35">
      <c r="A4" s="93" t="s">
        <v>629</v>
      </c>
      <c r="B4" s="165">
        <f>B3-B2</f>
        <v>980.28512025179066</v>
      </c>
      <c r="C4" s="165">
        <f>SQRT(C2^2+C3^2)</f>
        <v>38.747884855647477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15.394104108602647</v>
      </c>
      <c r="C6" s="165">
        <f>sigDstack!D4</f>
        <v>12.140806336642902</v>
      </c>
      <c r="D6" s="169"/>
    </row>
    <row r="7" spans="1:4" ht="18" x14ac:dyDescent="0.35">
      <c r="A7" s="93" t="s">
        <v>624</v>
      </c>
      <c r="B7" s="165">
        <f>Reflectivity!G5</f>
        <v>84.659828130527359</v>
      </c>
      <c r="C7" s="165">
        <f>sigHstack!D4</f>
        <v>117.51359021105762</v>
      </c>
      <c r="D7" s="167"/>
    </row>
    <row r="9" spans="1:4" ht="18" x14ac:dyDescent="0.35">
      <c r="A9" s="93" t="s">
        <v>622</v>
      </c>
      <c r="B9" s="167">
        <f>Reflectivity!H18</f>
        <v>0.14511039064229461</v>
      </c>
      <c r="C9" s="167">
        <f>'f_d^D'!D4</f>
        <v>4.9138175386001556E-2</v>
      </c>
      <c r="D9" s="165"/>
    </row>
    <row r="10" spans="1:4" ht="18" x14ac:dyDescent="0.35">
      <c r="A10" s="93" t="s">
        <v>619</v>
      </c>
      <c r="B10" s="167">
        <f>Reflectivity!H20</f>
        <v>7.827144960870001E-3</v>
      </c>
      <c r="C10" s="167">
        <f>'f_d^H'!D4</f>
        <v>3.8860281568144493E-2</v>
      </c>
      <c r="D10" s="165"/>
    </row>
    <row r="11" spans="1:4" ht="18" x14ac:dyDescent="0.35">
      <c r="A11" s="93" t="s">
        <v>616</v>
      </c>
      <c r="B11" s="167">
        <f>Reflectivity!H16</f>
        <v>0.29996142000263898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1.3701415271707418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2.1250940850767952E-6</v>
      </c>
      <c r="C14" s="168">
        <f>SQRT(C12^2*B15^2+C11^2*B16^2+C9^2*B17^2)</f>
        <v>1.3944403456931438E-7</v>
      </c>
      <c r="D14" s="168">
        <f>NbDstack!D4</f>
        <v>1.1583441180143485E-7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1.5510033401184359E-6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-3.1515782575964114E-7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2.3365579511526695E-6</v>
      </c>
      <c r="C17" s="168"/>
      <c r="D17" s="167"/>
    </row>
    <row r="19" spans="1:4" ht="18" x14ac:dyDescent="0.35">
      <c r="A19" s="93" t="s">
        <v>639</v>
      </c>
      <c r="B19" s="168">
        <f>Reflectivity!C5</f>
        <v>1.8043238258198171E-6</v>
      </c>
      <c r="C19" s="168">
        <f>SQRT(C12^2*B20^2+C11^2*B21^2+C10^2*B22^2)</f>
        <v>1.318040488686088E-7</v>
      </c>
      <c r="D19" s="168">
        <f>NbHstack!D4</f>
        <v>8.9319161784696334E-8</v>
      </c>
    </row>
    <row r="20" spans="1:4" ht="18" x14ac:dyDescent="0.35">
      <c r="A20" s="93" t="s">
        <v>640</v>
      </c>
      <c r="B20" s="168">
        <f>B19/B12</f>
        <v>1.3168886498503809E-6</v>
      </c>
      <c r="C20" s="168"/>
      <c r="D20" s="167"/>
    </row>
    <row r="21" spans="1:4" ht="18" x14ac:dyDescent="0.35">
      <c r="A21" s="93" t="s">
        <v>641</v>
      </c>
      <c r="B21" s="168">
        <f>B12*(-Reflectivity!C16+(1-B10)*Reflectivity!D16+B10*(Reflectivity!E18/Reflectivity!D18)*Reflectivity!E16)</f>
        <v>-1.3845295444765213E-6</v>
      </c>
      <c r="C21" s="168"/>
      <c r="D21" s="167"/>
    </row>
    <row r="22" spans="1:4" ht="18" x14ac:dyDescent="0.35">
      <c r="A22" s="93" t="s">
        <v>642</v>
      </c>
      <c r="B22" s="168">
        <f>B12*B11*(-Reflectivity!D16+(Reflectivity!E18/Reflectivity!D18)*Reflectivity!E16)</f>
        <v>2.3365579511526695E-6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1055</v>
      </c>
      <c r="C2" s="105">
        <v>1075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1055</v>
      </c>
      <c r="B4" s="94">
        <v>2.4923151609965171</v>
      </c>
      <c r="C4" s="106">
        <v>1064.944948382318</v>
      </c>
      <c r="D4" s="106">
        <v>10.890101709254642</v>
      </c>
    </row>
    <row r="5" spans="1:5" x14ac:dyDescent="0.35">
      <c r="A5" s="106">
        <v>1059</v>
      </c>
      <c r="B5" s="94">
        <v>1.9483620982209691</v>
      </c>
      <c r="C5" s="94"/>
      <c r="D5" s="94"/>
    </row>
    <row r="6" spans="1:5" x14ac:dyDescent="0.35">
      <c r="A6" s="106">
        <v>1063</v>
      </c>
      <c r="B6" s="94">
        <v>1.6814716655938984</v>
      </c>
      <c r="C6" s="94"/>
      <c r="D6" s="94"/>
    </row>
    <row r="7" spans="1:5" x14ac:dyDescent="0.35">
      <c r="A7" s="106">
        <v>1067</v>
      </c>
      <c r="B7" s="94">
        <v>1.6924207785067409</v>
      </c>
      <c r="C7" s="94"/>
      <c r="D7" s="94"/>
    </row>
    <row r="8" spans="1:5" x14ac:dyDescent="0.35">
      <c r="A8" s="106">
        <v>1071</v>
      </c>
      <c r="B8" s="94">
        <v>1.9720412582174465</v>
      </c>
      <c r="C8" s="94"/>
      <c r="D8" s="94"/>
    </row>
    <row r="9" spans="1:5" x14ac:dyDescent="0.35">
      <c r="A9" s="106">
        <v>1075</v>
      </c>
      <c r="B9" s="94">
        <v>2.5019131068942566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65</v>
      </c>
      <c r="C2" s="105">
        <v>100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65</v>
      </c>
      <c r="B4" s="94">
        <v>1.9394040345184635</v>
      </c>
      <c r="C4" s="106">
        <v>84.659828130527359</v>
      </c>
      <c r="D4" s="106">
        <v>37.186076232221708</v>
      </c>
    </row>
    <row r="5" spans="1:5" x14ac:dyDescent="0.35">
      <c r="A5" s="106">
        <v>72</v>
      </c>
      <c r="B5" s="94">
        <v>1.7472673520841087</v>
      </c>
      <c r="C5" s="94"/>
      <c r="D5" s="94"/>
    </row>
    <row r="6" spans="1:5" x14ac:dyDescent="0.35">
      <c r="A6" s="106">
        <v>79</v>
      </c>
      <c r="B6" s="94">
        <v>1.6617279766099662</v>
      </c>
      <c r="C6" s="94"/>
      <c r="D6" s="94"/>
    </row>
    <row r="7" spans="1:5" x14ac:dyDescent="0.35">
      <c r="A7" s="106">
        <v>86</v>
      </c>
      <c r="B7" s="94">
        <v>1.6592778131183796</v>
      </c>
      <c r="C7" s="94"/>
      <c r="D7" s="94"/>
    </row>
    <row r="8" spans="1:5" x14ac:dyDescent="0.35">
      <c r="A8" s="106">
        <v>93</v>
      </c>
      <c r="B8" s="94">
        <v>1.7143220974207984</v>
      </c>
      <c r="C8" s="94"/>
      <c r="D8" s="94"/>
    </row>
    <row r="9" spans="1:5" x14ac:dyDescent="0.35">
      <c r="A9" s="106">
        <v>100</v>
      </c>
      <c r="B9" s="94">
        <v>1.8065931668816495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0.08</v>
      </c>
      <c r="C2" s="162">
        <v>0.22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0.08</v>
      </c>
      <c r="B4" s="94">
        <v>3.3524795624544361</v>
      </c>
      <c r="C4" s="161">
        <v>0.14511039064229461</v>
      </c>
      <c r="D4" s="161">
        <v>4.9138175386001556E-2</v>
      </c>
    </row>
    <row r="5" spans="1:5" x14ac:dyDescent="0.35">
      <c r="A5" s="161">
        <v>0.108</v>
      </c>
      <c r="B5" s="94">
        <v>2.2788311888012718</v>
      </c>
      <c r="C5" s="94"/>
      <c r="D5" s="94"/>
    </row>
    <row r="6" spans="1:5" x14ac:dyDescent="0.35">
      <c r="A6" s="161">
        <v>0.13600000000000001</v>
      </c>
      <c r="B6" s="94">
        <v>1.7165201423307126</v>
      </c>
      <c r="C6" s="94"/>
      <c r="D6" s="94"/>
    </row>
    <row r="7" spans="1:5" x14ac:dyDescent="0.35">
      <c r="A7" s="161">
        <v>0.16400000000000001</v>
      </c>
      <c r="B7" s="94">
        <v>1.754362673108355</v>
      </c>
      <c r="C7" s="94"/>
      <c r="D7" s="94"/>
    </row>
    <row r="8" spans="1:5" x14ac:dyDescent="0.35">
      <c r="A8" s="161">
        <v>0.192</v>
      </c>
      <c r="B8" s="94">
        <v>2.4867911559384659</v>
      </c>
      <c r="C8" s="94"/>
      <c r="D8" s="94"/>
    </row>
    <row r="9" spans="1:5" x14ac:dyDescent="0.35">
      <c r="A9" s="161">
        <v>0.22</v>
      </c>
      <c r="B9" s="94">
        <v>4.0139553355007029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638</v>
      </c>
      <c r="B2" s="162">
        <v>-0.03</v>
      </c>
      <c r="C2" s="162">
        <v>0.03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2.6766994993689579</v>
      </c>
      <c r="C4" s="161">
        <v>7.827144960870001E-3</v>
      </c>
      <c r="D4" s="161">
        <v>3.8860281568144493E-2</v>
      </c>
    </row>
    <row r="5" spans="1:5" x14ac:dyDescent="0.35">
      <c r="A5" s="161">
        <v>-1.7999999999999999E-2</v>
      </c>
      <c r="B5" s="94">
        <v>2.1746878829555927</v>
      </c>
      <c r="C5" s="94"/>
      <c r="D5" s="94"/>
    </row>
    <row r="6" spans="1:5" x14ac:dyDescent="0.35">
      <c r="A6" s="161">
        <v>-5.9999999999999984E-3</v>
      </c>
      <c r="B6" s="94">
        <v>1.8523324734293216</v>
      </c>
      <c r="C6" s="94"/>
      <c r="D6" s="94"/>
    </row>
    <row r="7" spans="1:5" x14ac:dyDescent="0.35">
      <c r="A7" s="161">
        <v>6.0000000000000019E-3</v>
      </c>
      <c r="B7" s="94">
        <v>1.7235474488248912</v>
      </c>
      <c r="C7" s="94"/>
      <c r="D7" s="94"/>
    </row>
    <row r="8" spans="1:5" x14ac:dyDescent="0.35">
      <c r="A8" s="161">
        <v>1.8000000000000002E-2</v>
      </c>
      <c r="B8" s="94">
        <v>1.7932723388774943</v>
      </c>
      <c r="C8" s="94"/>
      <c r="D8" s="94"/>
    </row>
    <row r="9" spans="1:5" x14ac:dyDescent="0.35">
      <c r="A9" s="161">
        <v>3.0000000000000002E-2</v>
      </c>
      <c r="B9" s="94">
        <v>2.0455900300504761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7</v>
      </c>
      <c r="C2" s="105">
        <v>37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7</v>
      </c>
      <c r="B4" s="94">
        <v>2.1751895443445521</v>
      </c>
      <c r="C4" s="106">
        <v>15.394104108602647</v>
      </c>
      <c r="D4" s="106">
        <v>12.140806336642902</v>
      </c>
    </row>
    <row r="5" spans="1:5" x14ac:dyDescent="0.35">
      <c r="A5" s="106">
        <v>13</v>
      </c>
      <c r="B5" s="94">
        <v>1.7836279633626733</v>
      </c>
      <c r="C5" s="94"/>
      <c r="D5" s="94"/>
    </row>
    <row r="6" spans="1:5" x14ac:dyDescent="0.35">
      <c r="A6" s="106">
        <v>19</v>
      </c>
      <c r="B6" s="94">
        <v>1.7737475162934904</v>
      </c>
      <c r="C6" s="94"/>
      <c r="D6" s="94"/>
    </row>
    <row r="7" spans="1:5" x14ac:dyDescent="0.35">
      <c r="A7" s="106">
        <v>25</v>
      </c>
      <c r="B7" s="94">
        <v>2.319845133595507</v>
      </c>
      <c r="C7" s="94"/>
      <c r="D7" s="94"/>
    </row>
    <row r="8" spans="1:5" x14ac:dyDescent="0.35">
      <c r="A8" s="106">
        <v>31</v>
      </c>
      <c r="B8" s="94">
        <v>3.3861031180155163</v>
      </c>
      <c r="C8" s="94"/>
      <c r="D8" s="94"/>
    </row>
    <row r="9" spans="1:5" x14ac:dyDescent="0.35">
      <c r="A9" s="106">
        <v>37</v>
      </c>
      <c r="B9" s="94">
        <v>4.8690598769468219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B2" sqref="B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2.2884292877527153</v>
      </c>
      <c r="C4" s="106">
        <v>94.712903965000891</v>
      </c>
      <c r="D4" s="106">
        <v>117.51359021105762</v>
      </c>
    </row>
    <row r="5" spans="1:5" x14ac:dyDescent="0.35">
      <c r="A5" s="106">
        <v>30</v>
      </c>
      <c r="B5" s="94">
        <v>2.0433237219858249</v>
      </c>
      <c r="C5" s="94"/>
      <c r="D5" s="94"/>
    </row>
    <row r="6" spans="1:5" x14ac:dyDescent="0.35">
      <c r="A6" s="106">
        <v>55</v>
      </c>
      <c r="B6" s="94">
        <v>1.8140661256465052</v>
      </c>
      <c r="C6" s="94"/>
      <c r="D6" s="94"/>
    </row>
    <row r="7" spans="1:5" x14ac:dyDescent="0.35">
      <c r="A7" s="106">
        <v>80</v>
      </c>
      <c r="B7" s="94">
        <v>1.7219728605723119</v>
      </c>
      <c r="C7" s="94"/>
      <c r="D7" s="94"/>
    </row>
    <row r="8" spans="1:5" x14ac:dyDescent="0.35">
      <c r="A8" s="106">
        <v>105</v>
      </c>
      <c r="B8" s="94">
        <v>1.7339571148708182</v>
      </c>
      <c r="C8" s="94"/>
      <c r="D8" s="94"/>
    </row>
    <row r="9" spans="1:5" x14ac:dyDescent="0.35">
      <c r="A9" s="106">
        <v>130</v>
      </c>
      <c r="B9" s="94">
        <v>1.8027575540944731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3.4883180068584694</v>
      </c>
      <c r="C4" s="99">
        <v>2.1022593754138432E-6</v>
      </c>
      <c r="D4" s="99">
        <v>7.6675606857613029E-8</v>
      </c>
    </row>
    <row r="5" spans="1:5" x14ac:dyDescent="0.35">
      <c r="A5" s="99">
        <v>2.024E-6</v>
      </c>
      <c r="B5" s="94">
        <v>2.6482601451192571</v>
      </c>
      <c r="C5" s="94"/>
      <c r="D5" s="94"/>
    </row>
    <row r="6" spans="1:5" x14ac:dyDescent="0.35">
      <c r="A6" s="99">
        <v>2.0480000000000001E-6</v>
      </c>
      <c r="B6" s="94">
        <v>2.3147434080015343</v>
      </c>
      <c r="C6" s="94"/>
      <c r="D6" s="94"/>
    </row>
    <row r="7" spans="1:5" x14ac:dyDescent="0.35">
      <c r="A7" s="99">
        <v>2.0719999999999998E-6</v>
      </c>
      <c r="B7" s="94">
        <v>1.8062002929910137</v>
      </c>
      <c r="C7" s="94"/>
      <c r="D7" s="94"/>
    </row>
    <row r="8" spans="1:5" x14ac:dyDescent="0.35">
      <c r="A8" s="99">
        <v>2.0959999999999999E-6</v>
      </c>
      <c r="B8" s="94">
        <v>1.6605261132360591</v>
      </c>
      <c r="C8" s="94"/>
      <c r="D8" s="94"/>
    </row>
    <row r="9" spans="1:5" x14ac:dyDescent="0.35">
      <c r="A9" s="99">
        <v>2.12E-6</v>
      </c>
      <c r="B9" s="94">
        <v>1.7674959256194791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2.03E-6</v>
      </c>
      <c r="C2" s="119">
        <v>2.2299999999999998E-6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2.03E-6</v>
      </c>
      <c r="B4" s="94">
        <v>2.3896504683400028</v>
      </c>
      <c r="C4" s="99">
        <v>2.1300491056964399E-6</v>
      </c>
      <c r="D4" s="99">
        <v>1.1583441180143485E-7</v>
      </c>
    </row>
    <row r="5" spans="1:5" x14ac:dyDescent="0.35">
      <c r="A5" s="99">
        <v>2.0700000000000001E-6</v>
      </c>
      <c r="B5" s="94">
        <v>1.9378916985490406</v>
      </c>
      <c r="C5" s="94"/>
      <c r="D5" s="94"/>
    </row>
    <row r="6" spans="1:5" x14ac:dyDescent="0.35">
      <c r="A6" s="99">
        <v>2.1100000000000001E-6</v>
      </c>
      <c r="B6" s="94">
        <v>1.6929519916180407</v>
      </c>
      <c r="C6" s="94"/>
      <c r="D6" s="94"/>
    </row>
    <row r="7" spans="1:5" x14ac:dyDescent="0.35">
      <c r="A7" s="99">
        <v>2.1499999999999997E-6</v>
      </c>
      <c r="B7" s="94">
        <v>1.6754967542651609</v>
      </c>
      <c r="C7" s="94"/>
      <c r="D7" s="94"/>
    </row>
    <row r="8" spans="1:5" x14ac:dyDescent="0.35">
      <c r="A8" s="99">
        <v>2.1899999999999998E-6</v>
      </c>
      <c r="B8" s="94">
        <v>1.9069775080791036</v>
      </c>
      <c r="C8" s="94"/>
      <c r="D8" s="94"/>
    </row>
    <row r="9" spans="1:5" x14ac:dyDescent="0.35">
      <c r="A9" s="99">
        <v>2.2299999999999998E-6</v>
      </c>
      <c r="B9" s="94">
        <v>2.409640545264538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1.75E-6</v>
      </c>
      <c r="C2" s="119">
        <v>1.8500000000000001E-6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1.75E-6</v>
      </c>
      <c r="B4" s="94">
        <v>2.2687979463465928</v>
      </c>
      <c r="C4" s="99">
        <v>1.8220651954034354E-6</v>
      </c>
      <c r="D4" s="99">
        <v>8.9319161784696334E-8</v>
      </c>
    </row>
    <row r="5" spans="1:5" x14ac:dyDescent="0.35">
      <c r="A5" s="99">
        <v>1.77E-6</v>
      </c>
      <c r="B5" s="94">
        <v>1.9634074489999229</v>
      </c>
      <c r="C5" s="94"/>
      <c r="D5" s="94"/>
    </row>
    <row r="6" spans="1:5" x14ac:dyDescent="0.35">
      <c r="A6" s="99">
        <v>1.79E-6</v>
      </c>
      <c r="B6" s="94">
        <v>1.7505926855088887</v>
      </c>
      <c r="C6" s="94"/>
      <c r="D6" s="94"/>
    </row>
    <row r="7" spans="1:5" x14ac:dyDescent="0.35">
      <c r="A7" s="99">
        <v>1.81E-6</v>
      </c>
      <c r="B7" s="94">
        <v>1.6364160845811095</v>
      </c>
      <c r="C7" s="94"/>
      <c r="D7" s="94"/>
    </row>
    <row r="8" spans="1:5" x14ac:dyDescent="0.35">
      <c r="A8" s="99">
        <v>1.8300000000000001E-6</v>
      </c>
      <c r="B8" s="94">
        <v>1.6252710306818288</v>
      </c>
      <c r="C8" s="94"/>
      <c r="D8" s="94"/>
    </row>
    <row r="9" spans="1:5" x14ac:dyDescent="0.35">
      <c r="A9" s="99">
        <v>1.8500000000000001E-6</v>
      </c>
      <c r="B9" s="94">
        <v>1.7200951689327999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34D86-06D1-4487-A6F0-A58352416253}">
  <sheetPr codeName="Sheet4"/>
  <dimension ref="A1:AY495"/>
  <sheetViews>
    <sheetView workbookViewId="0">
      <selection activeCell="B69" sqref="B69"/>
    </sheetView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8.33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174579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646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647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637</v>
      </c>
      <c r="E4" s="1" t="s">
        <v>643</v>
      </c>
      <c r="F4" s="1">
        <v>10</v>
      </c>
      <c r="G4" s="117">
        <v>0.7431712962962963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174579</v>
      </c>
      <c r="C8" s="1">
        <v>174452</v>
      </c>
      <c r="D8" s="1">
        <v>1.1428499999999999</v>
      </c>
      <c r="E8" s="1">
        <v>13.2996</v>
      </c>
      <c r="F8" s="1">
        <v>16.700600000000001</v>
      </c>
      <c r="G8" s="1">
        <v>7.4999999999999997E-3</v>
      </c>
      <c r="H8" s="1">
        <v>9.4000000000000004E-3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174580</v>
      </c>
      <c r="C9" s="1">
        <v>174453</v>
      </c>
      <c r="D9" s="1">
        <v>1.1416500000000001</v>
      </c>
      <c r="E9" s="1">
        <v>10.685600000000001</v>
      </c>
      <c r="F9" s="1">
        <v>14.086499999999999</v>
      </c>
      <c r="G9" s="1">
        <v>8.8000000000000005E-3</v>
      </c>
      <c r="H9" s="1">
        <v>1.17E-2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174581</v>
      </c>
      <c r="C10" s="1">
        <v>174454</v>
      </c>
      <c r="D10" s="1">
        <v>1.1416500000000001</v>
      </c>
      <c r="E10" s="1">
        <v>8.0395699999999994</v>
      </c>
      <c r="F10" s="1">
        <v>11.4405</v>
      </c>
      <c r="G10" s="1">
        <v>1.09E-2</v>
      </c>
      <c r="H10" s="1">
        <v>1.55E-2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174582</v>
      </c>
      <c r="C11" s="1">
        <v>174455</v>
      </c>
      <c r="D11" s="1">
        <v>1.1417200000000001</v>
      </c>
      <c r="E11" s="1">
        <v>5.3425500000000001</v>
      </c>
      <c r="F11" s="1">
        <v>8.7435200000000002</v>
      </c>
      <c r="G11" s="1">
        <v>1.43E-2</v>
      </c>
      <c r="H11" s="1">
        <v>2.3400000000000001E-2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174583</v>
      </c>
      <c r="C12" s="1">
        <v>174456</v>
      </c>
      <c r="D12" s="1">
        <v>1.1416500000000001</v>
      </c>
      <c r="E12" s="1">
        <v>2.5495399999999999</v>
      </c>
      <c r="F12" s="1">
        <v>5.9504999999999999</v>
      </c>
      <c r="G12" s="1">
        <v>2.1000000000000001E-2</v>
      </c>
      <c r="H12" s="1">
        <v>4.9099999999999998E-2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174584</v>
      </c>
      <c r="C13" s="1">
        <v>174456</v>
      </c>
      <c r="D13" s="1">
        <v>2.3091200000000001</v>
      </c>
      <c r="E13" s="1">
        <v>2.5495399999999999</v>
      </c>
      <c r="F13" s="1">
        <v>5.9504999999999999</v>
      </c>
      <c r="G13" s="1">
        <v>4.2500000000000003E-2</v>
      </c>
      <c r="H13" s="1">
        <v>9.9299999999999999E-2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174585</v>
      </c>
      <c r="C14" s="1">
        <v>174456</v>
      </c>
      <c r="D14" s="1">
        <v>4.6298599999999999</v>
      </c>
      <c r="E14" s="1">
        <v>2.5495399999999999</v>
      </c>
      <c r="F14" s="1">
        <v>5.9504999999999999</v>
      </c>
      <c r="G14" s="1">
        <v>8.5300000000000001E-2</v>
      </c>
      <c r="H14" s="1">
        <v>0.19900000000000001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174579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1.0153725501199999</v>
      </c>
      <c r="K22" s="1">
        <v>6084</v>
      </c>
      <c r="L22" s="1">
        <v>41.664351000000003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174580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1.0153725501199999</v>
      </c>
      <c r="K23" s="1">
        <v>6176</v>
      </c>
      <c r="L23" s="1">
        <v>23.291370000000001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174581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1.0153725501199999</v>
      </c>
      <c r="K24" s="1">
        <v>6046</v>
      </c>
      <c r="L24" s="1">
        <v>47.027999999999999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174582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1.0153725501199999</v>
      </c>
      <c r="K25" s="1">
        <v>6073</v>
      </c>
      <c r="L25" s="1">
        <v>54.191408000000003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174583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5.1700000000000003E-2</v>
      </c>
      <c r="J26" s="1">
        <v>1.0153725501199999</v>
      </c>
      <c r="K26" s="1">
        <v>18017</v>
      </c>
      <c r="L26" s="1">
        <v>272.19824299999999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174584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1.0153725501199999</v>
      </c>
      <c r="K27" s="1">
        <v>17997</v>
      </c>
      <c r="L27" s="1">
        <v>767.29058099999997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174585</v>
      </c>
      <c r="D28" s="1">
        <v>174456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</v>
      </c>
      <c r="J28" s="1">
        <v>1.0153725501199999</v>
      </c>
      <c r="K28" s="1">
        <v>36032</v>
      </c>
      <c r="L28" s="1">
        <v>964.70887900000002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7.8631740048299998E-3</v>
      </c>
      <c r="B41" s="1">
        <v>1.07539404028</v>
      </c>
      <c r="C41" s="1">
        <v>0.247245891898</v>
      </c>
      <c r="D41" s="1">
        <v>5.8085300211099995E-4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7.9418057448799994E-3</v>
      </c>
      <c r="B42" s="1">
        <v>0.82430268485400005</v>
      </c>
      <c r="C42" s="1">
        <v>0.13423830211599999</v>
      </c>
      <c r="D42" s="1">
        <v>5.8266153213199997E-4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8.0212238023300002E-3</v>
      </c>
      <c r="B43" s="1">
        <v>1.0915261643600001</v>
      </c>
      <c r="C43" s="1">
        <v>0.10868303651400001</v>
      </c>
      <c r="D43" s="1">
        <v>5.8448814745400005E-4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8.1014360403499994E-3</v>
      </c>
      <c r="B44" s="1">
        <v>0.91447907214099999</v>
      </c>
      <c r="C44" s="1">
        <v>8.4741756111299998E-2</v>
      </c>
      <c r="D44" s="1">
        <v>5.8633302892800005E-4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8.1824504007600007E-3</v>
      </c>
      <c r="B45" s="1">
        <v>0.88586653614999999</v>
      </c>
      <c r="C45" s="1">
        <v>7.4368829995600003E-2</v>
      </c>
      <c r="D45" s="1">
        <v>5.8819635921700004E-4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8.2642749047700005E-3</v>
      </c>
      <c r="B46" s="1">
        <v>1.01346494045</v>
      </c>
      <c r="C46" s="1">
        <v>7.3862719004999994E-2</v>
      </c>
      <c r="D46" s="1">
        <v>5.9007832281000004E-4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8.3469176538099998E-3</v>
      </c>
      <c r="B47" s="1">
        <v>1.0935986554799999</v>
      </c>
      <c r="C47" s="1">
        <v>7.4799814046299998E-2</v>
      </c>
      <c r="D47" s="1">
        <v>5.9197910603799996E-4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8.4303868303500003E-3</v>
      </c>
      <c r="B48" s="1">
        <v>1.0913330758599999</v>
      </c>
      <c r="C48" s="1">
        <v>7.2299172797900005E-2</v>
      </c>
      <c r="D48" s="1">
        <v>5.9389889709799998E-4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8.5146906986500008E-3</v>
      </c>
      <c r="B49" s="1">
        <v>0.99985850261599996</v>
      </c>
      <c r="C49" s="1">
        <v>6.6750714308000003E-2</v>
      </c>
      <c r="D49" s="1">
        <v>5.9583788606899996E-4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8.5998376056400008E-3</v>
      </c>
      <c r="B50" s="1">
        <v>0.98459822270200004</v>
      </c>
      <c r="C50" s="1">
        <v>6.1761172181200003E-2</v>
      </c>
      <c r="D50" s="1">
        <v>5.9779626492999997E-4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8.6858359817000002E-3</v>
      </c>
      <c r="B51" s="1">
        <v>1.0301569724699999</v>
      </c>
      <c r="C51" s="1">
        <v>6.2506852688499995E-2</v>
      </c>
      <c r="D51" s="1">
        <v>5.9977422757899999E-4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8.7726943415100001E-3</v>
      </c>
      <c r="B52" s="1">
        <v>1.0502822757400001</v>
      </c>
      <c r="C52" s="1">
        <v>6.1870192715900003E-2</v>
      </c>
      <c r="D52" s="1">
        <v>6.0177196985499999E-4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8.86042128493E-3</v>
      </c>
      <c r="B53" s="1">
        <v>0.92817332630000005</v>
      </c>
      <c r="C53" s="1">
        <v>5.6744056880800003E-2</v>
      </c>
      <c r="D53" s="1">
        <v>6.0378968955299996E-4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8.9490254977800006E-3</v>
      </c>
      <c r="B54" s="1">
        <v>0.95725157247600001</v>
      </c>
      <c r="C54" s="1">
        <v>4.5859303500699999E-2</v>
      </c>
      <c r="D54" s="1">
        <v>6.0582758644900001E-4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9.0385157527600006E-3</v>
      </c>
      <c r="B55" s="1">
        <v>1.0604530302199999</v>
      </c>
      <c r="C55" s="1">
        <v>4.5597045510400003E-2</v>
      </c>
      <c r="D55" s="1">
        <v>6.0788586231300004E-4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9.1289009102799995E-3</v>
      </c>
      <c r="B56" s="1">
        <v>0.92743057944399998</v>
      </c>
      <c r="C56" s="1">
        <v>4.1349277308100001E-2</v>
      </c>
      <c r="D56" s="1">
        <v>6.0996472093700004E-4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9.2201899193900001E-3</v>
      </c>
      <c r="B57" s="1">
        <v>1.0679283694999999</v>
      </c>
      <c r="C57" s="1">
        <v>4.3505954777199998E-2</v>
      </c>
      <c r="D57" s="1">
        <v>6.1206436814599996E-4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9.3123918185800004E-3</v>
      </c>
      <c r="B58" s="1">
        <v>1.03312542867</v>
      </c>
      <c r="C58" s="1">
        <v>4.1772754010099999E-2</v>
      </c>
      <c r="D58" s="1">
        <v>6.1418501182700005E-4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9.4055157367700006E-3</v>
      </c>
      <c r="B59" s="1">
        <v>1.0117305271899999</v>
      </c>
      <c r="C59" s="1">
        <v>6.84491308667E-2</v>
      </c>
      <c r="D59" s="1">
        <v>6.1632686194599997E-4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9.4995708941299998E-3</v>
      </c>
      <c r="B60" s="1">
        <v>0.95575968014900003</v>
      </c>
      <c r="C60" s="1">
        <v>6.4211523348300006E-2</v>
      </c>
      <c r="D60" s="1">
        <v>6.1849013056499997E-4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9.5945666030799997E-3</v>
      </c>
      <c r="B61" s="1">
        <v>1.0347116064899999</v>
      </c>
      <c r="C61" s="1">
        <v>6.6832514854599998E-2</v>
      </c>
      <c r="D61" s="1">
        <v>6.2067503187099998E-4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9.69051226911E-3</v>
      </c>
      <c r="B62" s="1">
        <v>1.04079333456</v>
      </c>
      <c r="C62" s="1">
        <v>6.3916633343800003E-2</v>
      </c>
      <c r="D62" s="1">
        <v>6.2288178218900003E-4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9.7874173918000001E-3</v>
      </c>
      <c r="B63" s="1">
        <v>0.81191301968399998</v>
      </c>
      <c r="C63" s="1">
        <v>5.4082157968999997E-2</v>
      </c>
      <c r="D63" s="1">
        <v>6.2511060001099999E-4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9.8852915657199995E-3</v>
      </c>
      <c r="B64" s="1">
        <v>0.89599613085899998</v>
      </c>
      <c r="C64" s="1">
        <v>5.5918089422299998E-2</v>
      </c>
      <c r="D64" s="1">
        <v>6.2736170601099999E-4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9.9841444813699998E-3</v>
      </c>
      <c r="B65" s="1">
        <v>0.80318930831699997</v>
      </c>
      <c r="C65" s="1">
        <v>5.2036321724699998E-2</v>
      </c>
      <c r="D65" s="1">
        <v>6.2963532307199995E-4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1.0083985926200001E-2</v>
      </c>
      <c r="B66" s="1">
        <v>0.75153404160000004</v>
      </c>
      <c r="C66" s="1">
        <v>4.9147931317299998E-2</v>
      </c>
      <c r="D66" s="1">
        <v>6.3193167630200004E-4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1.01848257854E-2</v>
      </c>
      <c r="B67" s="1">
        <v>0.69907573883200003</v>
      </c>
      <c r="C67" s="1">
        <v>4.54914202798E-2</v>
      </c>
      <c r="D67" s="1">
        <v>6.3425099306499996E-4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1.02866740433E-2</v>
      </c>
      <c r="B68" s="1">
        <v>0.46673031971000001</v>
      </c>
      <c r="C68" s="1">
        <v>3.6434755223900002E-2</v>
      </c>
      <c r="D68" s="1">
        <v>6.3659350299599996E-4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1.03895407837E-2</v>
      </c>
      <c r="B69" s="1">
        <v>0.37530731121900002</v>
      </c>
      <c r="C69" s="1">
        <v>3.2140654911000002E-2</v>
      </c>
      <c r="D69" s="1">
        <v>6.3895943802600005E-4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1.04934361916E-2</v>
      </c>
      <c r="B70" s="1">
        <v>0.33737819642400002</v>
      </c>
      <c r="C70" s="1">
        <v>2.9832616893899998E-2</v>
      </c>
      <c r="D70" s="1">
        <v>6.4134903240600002E-4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1.05983705535E-2</v>
      </c>
      <c r="B71" s="1">
        <v>0.30214956103700003</v>
      </c>
      <c r="C71" s="1">
        <v>2.7747241616799999E-2</v>
      </c>
      <c r="D71" s="1">
        <v>6.4376252273E-4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1.0704354259E-2</v>
      </c>
      <c r="B72" s="1">
        <v>0.25918584353200003</v>
      </c>
      <c r="C72" s="1">
        <v>2.4962639312999999E-2</v>
      </c>
      <c r="D72" s="1">
        <v>6.46200147958E-4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1.08113978016E-2</v>
      </c>
      <c r="B73" s="1">
        <v>0.25845221430799997</v>
      </c>
      <c r="C73" s="1">
        <v>2.43517370919E-2</v>
      </c>
      <c r="D73" s="1">
        <v>6.4866214943700004E-4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1.0919511779600001E-2</v>
      </c>
      <c r="B74" s="1">
        <v>0.23700241077299999</v>
      </c>
      <c r="C74" s="1">
        <v>2.31815362305E-2</v>
      </c>
      <c r="D74" s="1">
        <v>6.5114877093200004E-4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1.1028706897400001E-2</v>
      </c>
      <c r="B75" s="1">
        <v>0.232610442714</v>
      </c>
      <c r="C75" s="1">
        <v>1.34371518585E-2</v>
      </c>
      <c r="D75" s="1">
        <v>6.5366025864100003E-4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1.11389939664E-2</v>
      </c>
      <c r="B76" s="1">
        <v>0.200293653195</v>
      </c>
      <c r="C76" s="1">
        <v>1.18117728084E-2</v>
      </c>
      <c r="D76" s="1">
        <v>6.5619686122700004E-4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1.12503839061E-2</v>
      </c>
      <c r="B77" s="1">
        <v>0.217605332323</v>
      </c>
      <c r="C77" s="1">
        <v>1.2077784094E-2</v>
      </c>
      <c r="D77" s="1">
        <v>6.5875882983899999E-4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1.1362887745099999E-2</v>
      </c>
      <c r="B78" s="1">
        <v>0.20276150093799999</v>
      </c>
      <c r="C78" s="1">
        <v>1.12696721809E-2</v>
      </c>
      <c r="D78" s="1">
        <v>6.6134641813799997E-4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1.14765166226E-2</v>
      </c>
      <c r="B79" s="1">
        <v>0.174225852352</v>
      </c>
      <c r="C79" s="1">
        <v>1.0176474848199999E-2</v>
      </c>
      <c r="D79" s="1">
        <v>6.6395988231899997E-4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1.1591281788799999E-2</v>
      </c>
      <c r="B80" s="1">
        <v>0.15017332138799999</v>
      </c>
      <c r="C80" s="1">
        <v>1.1479196036699999E-2</v>
      </c>
      <c r="D80" s="1">
        <v>6.6659948114199997E-4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1.17071946067E-2</v>
      </c>
      <c r="B81" s="1">
        <v>0.13020137391299999</v>
      </c>
      <c r="C81" s="1">
        <v>1.00425342079E-2</v>
      </c>
      <c r="D81" s="1">
        <v>6.69265475954E-4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1.18242665528E-2</v>
      </c>
      <c r="B82" s="1">
        <v>0.117421571332</v>
      </c>
      <c r="C82" s="1">
        <v>9.5195490287700007E-3</v>
      </c>
      <c r="D82" s="1">
        <v>6.7195813071299995E-4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1.19425092183E-2</v>
      </c>
      <c r="B83" s="1">
        <v>0.105114286775</v>
      </c>
      <c r="C83" s="1">
        <v>8.6320198659200001E-3</v>
      </c>
      <c r="D83" s="1">
        <v>6.7467771202100004E-4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1.2061934310500001E-2</v>
      </c>
      <c r="B84" s="1">
        <v>0.111826317134</v>
      </c>
      <c r="C84" s="1">
        <v>9.0127428445100008E-3</v>
      </c>
      <c r="D84" s="1">
        <v>6.7742448914099999E-4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1.2182553653599999E-2</v>
      </c>
      <c r="B85" s="1">
        <v>7.5293405231800004E-2</v>
      </c>
      <c r="C85" s="1">
        <v>7.0418912563199997E-3</v>
      </c>
      <c r="D85" s="1">
        <v>6.8019873403200003E-4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1.2304379190100001E-2</v>
      </c>
      <c r="B86" s="1">
        <v>6.8117933534500005E-2</v>
      </c>
      <c r="C86" s="1">
        <v>6.5478579104999999E-3</v>
      </c>
      <c r="D86" s="1">
        <v>6.8300072137200002E-4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1.2427422981999999E-2</v>
      </c>
      <c r="B87" s="1">
        <v>5.7904931487000003E-2</v>
      </c>
      <c r="C87" s="1">
        <v>5.9351724034800001E-3</v>
      </c>
      <c r="D87" s="1">
        <v>6.8583072858600003E-4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1.25516972118E-2</v>
      </c>
      <c r="B88" s="1">
        <v>5.2457834643699998E-2</v>
      </c>
      <c r="C88" s="1">
        <v>5.4642114503500004E-3</v>
      </c>
      <c r="D88" s="1">
        <v>6.8868903587199996E-4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1.26772141839E-2</v>
      </c>
      <c r="B89" s="1">
        <v>4.21167216562E-2</v>
      </c>
      <c r="C89" s="1">
        <v>4.9312648006899999E-3</v>
      </c>
      <c r="D89" s="1">
        <v>6.9157592623100004E-4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1.28039863258E-2</v>
      </c>
      <c r="B90" s="1">
        <v>3.3022407873200002E-2</v>
      </c>
      <c r="C90" s="1">
        <v>4.3076370268900002E-3</v>
      </c>
      <c r="D90" s="1">
        <v>6.9449168549300003E-4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1.2932026189000001E-2</v>
      </c>
      <c r="B91" s="1">
        <v>2.51080224126E-2</v>
      </c>
      <c r="C91" s="1">
        <v>3.8430556467599999E-3</v>
      </c>
      <c r="D91" s="1">
        <v>6.9743660234799999E-4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1.3061346450899999E-2</v>
      </c>
      <c r="B92" s="1">
        <v>2.15701088833E-2</v>
      </c>
      <c r="C92" s="1">
        <v>3.3906216232700002E-3</v>
      </c>
      <c r="D92" s="86">
        <v>7.0041096837200004E-4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1.31919599154E-2</v>
      </c>
      <c r="B93" s="1">
        <v>2.39284042554E-2</v>
      </c>
      <c r="C93" s="1">
        <v>3.5051509275699998E-3</v>
      </c>
      <c r="D93" s="1">
        <v>7.0341507805499995E-4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1.33238795146E-2</v>
      </c>
      <c r="B94" s="1">
        <v>2.4453525453099999E-2</v>
      </c>
      <c r="C94" s="1">
        <v>3.4593431964099999E-3</v>
      </c>
      <c r="D94" s="1">
        <v>7.0644922883600001E-4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1.3457118309700001E-2</v>
      </c>
      <c r="B95" s="1">
        <v>2.1863775121799999E-2</v>
      </c>
      <c r="C95" s="1">
        <v>3.3168780141800002E-3</v>
      </c>
      <c r="D95" s="1">
        <v>7.0951372112399997E-4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1.3591689492799999E-2</v>
      </c>
      <c r="B96" s="1">
        <v>2.2681787105599999E-2</v>
      </c>
      <c r="C96" s="1">
        <v>3.2113969907999998E-3</v>
      </c>
      <c r="D96" s="1">
        <v>7.1260885833499996E-4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1.37276063878E-2</v>
      </c>
      <c r="B97" s="1">
        <v>2.5077726092899998E-2</v>
      </c>
      <c r="C97" s="1">
        <v>3.21783518071E-3</v>
      </c>
      <c r="D97" s="1">
        <v>7.1573494691900001E-4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1.3864882451600001E-2</v>
      </c>
      <c r="B98" s="1">
        <v>2.8708870980299998E-2</v>
      </c>
      <c r="C98" s="1">
        <v>3.2716768911200001E-3</v>
      </c>
      <c r="D98" s="1">
        <v>7.1889229638800003E-4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1.40035312762E-2</v>
      </c>
      <c r="B99" s="1">
        <v>2.5665016520999999E-2</v>
      </c>
      <c r="C99" s="1">
        <v>3.1103451660100001E-3</v>
      </c>
      <c r="D99" s="1">
        <v>7.2208121935199996E-4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1.41435665889E-2</v>
      </c>
      <c r="B100" s="1">
        <v>3.1725227916100003E-2</v>
      </c>
      <c r="C100" s="1">
        <v>3.2674103459200002E-3</v>
      </c>
      <c r="D100" s="1">
        <v>7.2530203154500005E-4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1.42850022548E-2</v>
      </c>
      <c r="B101" s="1">
        <v>2.6273581023800001E-2</v>
      </c>
      <c r="C101" s="1">
        <v>2.98771180444E-3</v>
      </c>
      <c r="D101" s="1">
        <v>7.2855505186099996E-4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1.44278522774E-2</v>
      </c>
      <c r="B102" s="1">
        <v>2.75035932098E-2</v>
      </c>
      <c r="C102" s="1">
        <v>2.05037415512E-3</v>
      </c>
      <c r="D102" s="1">
        <v>7.3184060237899997E-4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1.4572130800099999E-2</v>
      </c>
      <c r="B103" s="1">
        <v>2.69377949582E-2</v>
      </c>
      <c r="C103" s="1">
        <v>1.9795721137900002E-3</v>
      </c>
      <c r="D103" s="1">
        <v>7.3515900840299996E-4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1.4717852108099999E-2</v>
      </c>
      <c r="B104" s="1">
        <v>3.0380612226200001E-2</v>
      </c>
      <c r="C104" s="1">
        <v>2.0460577010699998E-3</v>
      </c>
      <c r="D104" s="1">
        <v>7.3851059848700003E-4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1.4865030629200001E-2</v>
      </c>
      <c r="B105" s="1">
        <v>3.2114427851099997E-2</v>
      </c>
      <c r="C105" s="1">
        <v>2.02373510533E-3</v>
      </c>
      <c r="D105" s="1">
        <v>7.4189570447199995E-4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1.50136809355E-2</v>
      </c>
      <c r="B106" s="1">
        <v>3.2701527528599998E-2</v>
      </c>
      <c r="C106" s="1">
        <v>1.96864690379E-3</v>
      </c>
      <c r="D106" s="1">
        <v>7.4531466151699999E-4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1.5163817744900001E-2</v>
      </c>
      <c r="B107" s="1">
        <v>3.1095052830100001E-2</v>
      </c>
      <c r="C107" s="1">
        <v>1.9027293673399999E-3</v>
      </c>
      <c r="D107" s="1">
        <v>7.4876780813200002E-4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1.5315455922300001E-2</v>
      </c>
      <c r="B108" s="1">
        <v>3.2426868325200003E-2</v>
      </c>
      <c r="C108" s="1">
        <v>1.9258341103499999E-3</v>
      </c>
      <c r="D108" s="1">
        <v>7.5225548621300005E-4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1.54686104815E-2</v>
      </c>
      <c r="B109" s="1">
        <v>3.4052610841800002E-2</v>
      </c>
      <c r="C109" s="1">
        <v>2.7209089161699999E-3</v>
      </c>
      <c r="D109" s="1">
        <v>7.5577804107499998E-4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1.56232965864E-2</v>
      </c>
      <c r="B110" s="1">
        <v>3.0917063439000001E-2</v>
      </c>
      <c r="C110" s="1">
        <v>2.4682106809899998E-3</v>
      </c>
      <c r="D110" s="1">
        <v>7.5933582148599997E-4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1.5779529552200001E-2</v>
      </c>
      <c r="B111" s="1">
        <v>2.7043483498700002E-2</v>
      </c>
      <c r="C111" s="1">
        <v>2.2178260780399998E-3</v>
      </c>
      <c r="D111" s="1">
        <v>7.6292917970100004E-4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1.59373248477E-2</v>
      </c>
      <c r="B112" s="1">
        <v>2.4423371975E-2</v>
      </c>
      <c r="C112" s="1">
        <v>2.1421266761099999E-3</v>
      </c>
      <c r="D112" s="1">
        <v>7.6655847149800001E-4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1.6096698096199999E-2</v>
      </c>
      <c r="B113" s="1">
        <v>2.3270978673999999E-2</v>
      </c>
      <c r="C113" s="1">
        <v>1.9904802849599998E-3</v>
      </c>
      <c r="D113" s="1">
        <v>7.7022405621299998E-4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1.6257665077200001E-2</v>
      </c>
      <c r="B114" s="1">
        <v>2.1183612985399999E-2</v>
      </c>
      <c r="C114" s="1">
        <v>1.96988694171E-3</v>
      </c>
      <c r="D114" s="1">
        <v>7.7392629677499995E-4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1.6420241727999999E-2</v>
      </c>
      <c r="B115" s="1">
        <v>1.6846344832499999E-2</v>
      </c>
      <c r="C115" s="1">
        <v>1.5962475648100001E-3</v>
      </c>
      <c r="D115" s="1">
        <v>7.7766555974299997E-4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1.6584444145200002E-2</v>
      </c>
      <c r="B116" s="1">
        <v>1.4573282774199999E-2</v>
      </c>
      <c r="C116" s="1">
        <v>1.5391271170699999E-3</v>
      </c>
      <c r="D116" s="1">
        <v>7.8144221533999999E-4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1.67502885867E-2</v>
      </c>
      <c r="B117" s="1">
        <v>1.47389540656E-2</v>
      </c>
      <c r="C117" s="1">
        <v>1.51248416868E-3</v>
      </c>
      <c r="D117" s="1">
        <v>7.8525663749399999E-4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1.6917791472599999E-2</v>
      </c>
      <c r="B118" s="1">
        <v>1.0934937459700001E-2</v>
      </c>
      <c r="C118" s="1">
        <v>1.2391907317899999E-3</v>
      </c>
      <c r="D118" s="1">
        <v>7.8910920386899999E-4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1.7086969387300002E-2</v>
      </c>
      <c r="B119" s="1">
        <v>8.7171572625899998E-3</v>
      </c>
      <c r="C119" s="1">
        <v>1.07099637217E-3</v>
      </c>
      <c r="D119" s="1">
        <v>7.9300029590700005E-4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1.7257839081199999E-2</v>
      </c>
      <c r="B120" s="1">
        <v>6.35138502926E-3</v>
      </c>
      <c r="C120" s="1">
        <v>1.0067132236199999E-3</v>
      </c>
      <c r="D120" s="1">
        <v>7.9693029886600004E-4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1.7430417472000002E-2</v>
      </c>
      <c r="B121" s="1">
        <v>7.7798419621100002E-3</v>
      </c>
      <c r="C121" s="1">
        <v>1.00982690572E-3</v>
      </c>
      <c r="D121" s="1">
        <v>8.0089960185499996E-4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1.7604721646699999E-2</v>
      </c>
      <c r="B122" s="1">
        <v>7.0670429357999999E-3</v>
      </c>
      <c r="C122" s="1">
        <v>9.7122727336600005E-4</v>
      </c>
      <c r="D122" s="1">
        <v>8.0490859787399999E-4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1.77807688631E-2</v>
      </c>
      <c r="B123" s="1">
        <v>5.4298382000199999E-3</v>
      </c>
      <c r="C123" s="1">
        <v>8.7654190535699998E-4</v>
      </c>
      <c r="D123" s="1">
        <v>8.08957683852E-4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1.7958576551799998E-2</v>
      </c>
      <c r="B124" s="1">
        <v>6.8376420387799997E-3</v>
      </c>
      <c r="C124" s="1">
        <v>9.2536192704799998E-4</v>
      </c>
      <c r="D124" s="1">
        <v>8.1304726069100005E-4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1.8138162317300002E-2</v>
      </c>
      <c r="B125" s="1">
        <v>4.4056457970799998E-3</v>
      </c>
      <c r="C125" s="1">
        <v>7.8447387476300004E-4</v>
      </c>
      <c r="D125" s="1">
        <v>8.17177733298E-4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1.8319543940500001E-2</v>
      </c>
      <c r="B126" s="1">
        <v>6.2105547946200001E-3</v>
      </c>
      <c r="C126" s="1">
        <v>8.3142375263799996E-4</v>
      </c>
      <c r="D126" s="1">
        <v>8.2134951063100002E-4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1.8502739379900001E-2</v>
      </c>
      <c r="B127" s="1">
        <v>5.31702736082E-3</v>
      </c>
      <c r="C127" s="1">
        <v>7.7398563681999998E-4</v>
      </c>
      <c r="D127" s="1">
        <v>8.2556300573700004E-4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1.8687766773700001E-2</v>
      </c>
      <c r="B128" s="1">
        <v>7.4432610146200002E-3</v>
      </c>
      <c r="C128" s="1">
        <v>8.6470499028699997E-4</v>
      </c>
      <c r="D128" s="1">
        <v>8.2981863579399998E-4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1.8874644441399999E-2</v>
      </c>
      <c r="B129" s="1">
        <v>5.98506414439E-3</v>
      </c>
      <c r="C129" s="1">
        <v>7.9129054341599996E-4</v>
      </c>
      <c r="D129" s="1">
        <v>8.34116822152E-4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1.9063390885799999E-2</v>
      </c>
      <c r="B130" s="1">
        <v>6.4767234931799996E-3</v>
      </c>
      <c r="C130" s="1">
        <v>8.0015857010399996E-4</v>
      </c>
      <c r="D130" s="1">
        <v>8.3845799037399996E-4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1.9254024794699998E-2</v>
      </c>
      <c r="B131" s="1">
        <v>9.3800575249900001E-3</v>
      </c>
      <c r="C131" s="1">
        <v>9.2291198388999996E-4</v>
      </c>
      <c r="D131" s="1">
        <v>8.4284257027799996E-4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1.9446565042599999E-2</v>
      </c>
      <c r="B132" s="1">
        <v>7.7691148026699996E-3</v>
      </c>
      <c r="C132" s="1">
        <v>8.5495793114500002E-4</v>
      </c>
      <c r="D132" s="1">
        <v>8.4727099597999998E-4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1.9641030693100001E-2</v>
      </c>
      <c r="B133" s="1">
        <v>7.9877440665199993E-3</v>
      </c>
      <c r="C133" s="1">
        <v>8.3462292637100002E-4</v>
      </c>
      <c r="D133" s="1">
        <v>8.5174370594E-4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1.9837441000000001E-2</v>
      </c>
      <c r="B134" s="1">
        <v>9.4385038636799999E-3</v>
      </c>
      <c r="C134" s="1">
        <v>9.0010482549300001E-4</v>
      </c>
      <c r="D134" s="1">
        <v>8.5626114299999995E-4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2.0035815410000001E-2</v>
      </c>
      <c r="B135" s="1">
        <v>9.2362860917100005E-3</v>
      </c>
      <c r="C135" s="1">
        <v>8.7326712459600002E-4</v>
      </c>
      <c r="D135" s="1">
        <v>8.6082375442999995E-4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2.0236173564099999E-2</v>
      </c>
      <c r="B136" s="1">
        <v>8.3123486839699993E-3</v>
      </c>
      <c r="C136" s="1">
        <v>8.1044016453699996E-4</v>
      </c>
      <c r="D136" s="1">
        <v>8.6543199197399996E-4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2.0438535299700002E-2</v>
      </c>
      <c r="B137" s="1">
        <v>7.4474845315599999E-3</v>
      </c>
      <c r="C137" s="1">
        <v>7.6293702813600003E-4</v>
      </c>
      <c r="D137" s="1">
        <v>8.7008631189400005E-4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2.06429206527E-2</v>
      </c>
      <c r="B138" s="1">
        <v>6.5276775357300003E-3</v>
      </c>
      <c r="C138" s="1">
        <v>7.0898744044399996E-4</v>
      </c>
      <c r="D138" s="1">
        <v>8.7478717501299999E-4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2.0849349859299999E-2</v>
      </c>
      <c r="B139" s="1">
        <v>7.7421681495599996E-3</v>
      </c>
      <c r="C139" s="1">
        <v>7.3466709138499998E-4</v>
      </c>
      <c r="D139" s="1">
        <v>8.7953504676300002E-4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2.1057843357800001E-2</v>
      </c>
      <c r="B140" s="1">
        <v>6.0525174984299998E-3</v>
      </c>
      <c r="C140" s="1">
        <v>6.4452507491999996E-4</v>
      </c>
      <c r="D140" s="1">
        <v>8.8433039722999999E-4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2.12684217914E-2</v>
      </c>
      <c r="B141" s="1">
        <v>5.8445852825299996E-3</v>
      </c>
      <c r="C141" s="1">
        <v>2.8048958979300001E-4</v>
      </c>
      <c r="D141" s="1">
        <v>8.8917370120300001E-4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2.1481106009300002E-2</v>
      </c>
      <c r="B142" s="1">
        <v>5.3824232044199999E-3</v>
      </c>
      <c r="C142" s="1">
        <v>2.6552387842700002E-4</v>
      </c>
      <c r="D142" s="1">
        <v>8.9406543821499997E-4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2.1695917069400002E-2</v>
      </c>
      <c r="B143" s="1">
        <v>4.8015582878999999E-3</v>
      </c>
      <c r="C143" s="1">
        <v>2.3951962991100001E-4</v>
      </c>
      <c r="D143" s="1">
        <v>8.9900609259699999E-4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2.19128762401E-2</v>
      </c>
      <c r="B144" s="1">
        <v>3.4948044044500002E-3</v>
      </c>
      <c r="C144" s="1">
        <v>1.8993902390800001E-4</v>
      </c>
      <c r="D144" s="1">
        <v>9.0399615352299999E-4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2.21320050025E-2</v>
      </c>
      <c r="B145" s="1">
        <v>3.1617517950899999E-3</v>
      </c>
      <c r="C145" s="1">
        <v>1.8533637201800001E-4</v>
      </c>
      <c r="D145" s="1">
        <v>9.0903611505800002E-4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2.2353325052600001E-2</v>
      </c>
      <c r="B146" s="1">
        <v>2.6262629945799998E-3</v>
      </c>
      <c r="C146" s="1">
        <v>1.6434627205199999E-4</v>
      </c>
      <c r="D146" s="1">
        <v>9.1412647620899999E-4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2.2576858303100002E-2</v>
      </c>
      <c r="B147" s="1">
        <v>2.4585433276700002E-3</v>
      </c>
      <c r="C147" s="1">
        <v>1.5725674732899999E-4</v>
      </c>
      <c r="D147" s="1">
        <v>9.1926774097100003E-4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2.2802626886099998E-2</v>
      </c>
      <c r="B148" s="1">
        <v>1.8872436737799999E-3</v>
      </c>
      <c r="C148" s="1">
        <v>1.3865106723300001E-4</v>
      </c>
      <c r="D148" s="1">
        <v>9.2446041838000002E-4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2.3030653155000001E-2</v>
      </c>
      <c r="B149" s="1">
        <v>2.0204719035300002E-3</v>
      </c>
      <c r="C149" s="1">
        <v>1.39552904842E-4</v>
      </c>
      <c r="D149" s="1">
        <v>9.29705022564E-4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2.32609596865E-2</v>
      </c>
      <c r="B150" s="1">
        <v>1.95015562042E-3</v>
      </c>
      <c r="C150" s="1">
        <v>1.4888349792800001E-4</v>
      </c>
      <c r="D150" s="1">
        <v>9.3500207279000004E-4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2.34935692834E-2</v>
      </c>
      <c r="B151" s="1">
        <v>2.1032813256499998E-3</v>
      </c>
      <c r="C151" s="1">
        <v>1.5113244654900001E-4</v>
      </c>
      <c r="D151" s="1">
        <v>9.4035209351799997E-4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2.37285049762E-2</v>
      </c>
      <c r="B152" s="1">
        <v>2.40286683266E-3</v>
      </c>
      <c r="C152" s="1">
        <v>1.6229916879599999E-4</v>
      </c>
      <c r="D152" s="1">
        <v>9.4575561445300004E-4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2.3965790026000001E-2</v>
      </c>
      <c r="B153" s="1">
        <v>2.5951624355999999E-3</v>
      </c>
      <c r="C153" s="1">
        <v>1.6313437063100001E-4</v>
      </c>
      <c r="D153" s="86">
        <v>9.5121317059800004E-4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2.42054479262E-2</v>
      </c>
      <c r="B154" s="1">
        <v>2.5921692214499999E-3</v>
      </c>
      <c r="C154" s="1">
        <v>1.5973539065900001E-4</v>
      </c>
      <c r="D154" s="1">
        <v>9.5672530230299997E-4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2.4447502405500001E-2</v>
      </c>
      <c r="B155" s="1">
        <v>2.8986870650699998E-3</v>
      </c>
      <c r="C155" s="1">
        <v>1.6497873895799999E-4</v>
      </c>
      <c r="D155" s="1">
        <v>9.62292555327E-4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2.4691977429599998E-2</v>
      </c>
      <c r="B156" s="1">
        <v>2.7067054927800002E-3</v>
      </c>
      <c r="C156" s="1">
        <v>1.62368991596E-4</v>
      </c>
      <c r="D156" s="1">
        <v>9.6791548087999996E-4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2.4938897203899999E-2</v>
      </c>
      <c r="B157" s="1">
        <v>3.2564988118200001E-3</v>
      </c>
      <c r="C157" s="1">
        <v>1.7518198107200001E-4</v>
      </c>
      <c r="D157" s="1">
        <v>9.7359463568899996E-4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2.51882861759E-2</v>
      </c>
      <c r="B158" s="1">
        <v>3.3777476674100001E-3</v>
      </c>
      <c r="C158" s="1">
        <v>1.72578307497E-4</v>
      </c>
      <c r="D158" s="1">
        <v>9.7933058204499992E-4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2.5440169037600002E-2</v>
      </c>
      <c r="B159" s="1">
        <v>3.24483170018E-3</v>
      </c>
      <c r="C159" s="1">
        <v>1.70949426547E-4</v>
      </c>
      <c r="D159" s="1">
        <v>9.8512388786599998E-4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2.5694570728E-2</v>
      </c>
      <c r="B160" s="1">
        <v>3.5922528867900001E-3</v>
      </c>
      <c r="C160" s="1">
        <v>1.8886965797899999E-4</v>
      </c>
      <c r="D160" s="1">
        <v>9.9097512674499997E-4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2.5951516435299998E-2</v>
      </c>
      <c r="B161" s="1">
        <v>3.09692147108E-3</v>
      </c>
      <c r="C161" s="1">
        <v>1.71213018896E-4</v>
      </c>
      <c r="D161" s="1">
        <v>9.9688487801200009E-4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2.6211031599700001E-2</v>
      </c>
      <c r="B162" s="1">
        <v>2.7290686425099999E-3</v>
      </c>
      <c r="C162" s="1">
        <v>1.55385964593E-4</v>
      </c>
      <c r="D162" s="1">
        <v>1.0028537267900001E-3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2.6473141915700001E-2</v>
      </c>
      <c r="B163" s="1">
        <v>2.7031218135899998E-3</v>
      </c>
      <c r="C163" s="1">
        <v>1.56809037759E-4</v>
      </c>
      <c r="D163" s="1">
        <v>1.00888226406E-3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2.6737873334799999E-2</v>
      </c>
      <c r="B164" s="1">
        <v>2.39104171259E-3</v>
      </c>
      <c r="C164" s="1">
        <v>1.46449719051E-4</v>
      </c>
      <c r="D164" s="1">
        <v>1.0149710867E-3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2.7005252068200002E-2</v>
      </c>
      <c r="B165" s="1">
        <v>1.8193149615899999E-3</v>
      </c>
      <c r="C165" s="1">
        <v>1.25667926637E-4</v>
      </c>
      <c r="D165" s="1">
        <v>1.02112079757E-3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2.7275304588799999E-2</v>
      </c>
      <c r="B166" s="1">
        <v>1.5484231738500001E-3</v>
      </c>
      <c r="C166" s="1">
        <v>1.13512945904E-4</v>
      </c>
      <c r="D166" s="1">
        <v>1.02733200554E-3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2.7548057634700002E-2</v>
      </c>
      <c r="B167" s="1">
        <v>1.2903360804200001E-3</v>
      </c>
      <c r="C167" s="1">
        <v>1.05779931943E-4</v>
      </c>
      <c r="D167" s="1">
        <v>1.0336053256E-3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2.78235382111E-2</v>
      </c>
      <c r="B168" s="1">
        <v>9.9950832386300008E-4</v>
      </c>
      <c r="C168" s="1">
        <v>9.4800076333699995E-5</v>
      </c>
      <c r="D168" s="1">
        <v>1.0399413788499999E-3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2.81017735932E-2</v>
      </c>
      <c r="B169" s="1">
        <v>9.5180274117599999E-4</v>
      </c>
      <c r="C169" s="1">
        <v>8.8198972267399998E-5</v>
      </c>
      <c r="D169" s="1">
        <v>1.0463407926400001E-3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2.8382791329100002E-2</v>
      </c>
      <c r="B170" s="1">
        <v>9.0824343577399999E-4</v>
      </c>
      <c r="C170" s="1">
        <v>8.9466589807399996E-5</v>
      </c>
      <c r="D170" s="1">
        <v>1.0528042005699999E-3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2.86666192424E-2</v>
      </c>
      <c r="B171" s="1">
        <v>7.91123335935E-4</v>
      </c>
      <c r="C171" s="1">
        <v>8.5568076324099999E-5</v>
      </c>
      <c r="D171" s="1">
        <v>1.05933224258E-3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2.89532854348E-2</v>
      </c>
      <c r="B172" s="1">
        <v>1.00551747946E-3</v>
      </c>
      <c r="C172" s="1">
        <v>9.6796904138299995E-5</v>
      </c>
      <c r="D172" s="1">
        <v>1.065925565E-3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2.9242818289200001E-2</v>
      </c>
      <c r="B173" s="1">
        <v>1.17969047272E-3</v>
      </c>
      <c r="C173" s="1">
        <v>1.0369819801099999E-4</v>
      </c>
      <c r="D173" s="1">
        <v>1.0725848206499999E-3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2.9535246472099999E-2</v>
      </c>
      <c r="B174" s="1">
        <v>1.1547595263700001E-3</v>
      </c>
      <c r="C174" s="1">
        <v>9.8044982551300004E-5</v>
      </c>
      <c r="D174" s="1">
        <v>1.0793106688599999E-3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2.9830598936799999E-2</v>
      </c>
      <c r="B175" s="1">
        <v>1.0153374277100001E-3</v>
      </c>
      <c r="C175" s="1">
        <v>9.5087447427999997E-5</v>
      </c>
      <c r="D175" s="1">
        <v>1.08610377555E-3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3.01289049262E-2</v>
      </c>
      <c r="B176" s="1">
        <v>1.46372274149E-3</v>
      </c>
      <c r="C176" s="1">
        <v>1.12280943409E-4</v>
      </c>
      <c r="D176" s="1">
        <v>1.0929648132999999E-3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3.0430193975400002E-2</v>
      </c>
      <c r="B177" s="1">
        <v>1.50472714779E-3</v>
      </c>
      <c r="C177" s="1">
        <v>1.1439479283899999E-4</v>
      </c>
      <c r="D177" s="1">
        <v>1.09989446143E-3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3.07344959152E-2</v>
      </c>
      <c r="B178" s="1">
        <v>1.4290107238999999E-3</v>
      </c>
      <c r="C178" s="1">
        <v>1.17757038206E-4</v>
      </c>
      <c r="D178" s="1">
        <v>1.1068934060499999E-3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3.1041840874300002E-2</v>
      </c>
      <c r="B179" s="1">
        <v>1.4513219631699999E-3</v>
      </c>
      <c r="C179" s="1">
        <v>1.13359482945E-4</v>
      </c>
      <c r="D179" s="1">
        <v>1.1139623401100001E-3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3.1352259283100002E-2</v>
      </c>
      <c r="B180" s="1">
        <v>1.50540035351E-3</v>
      </c>
      <c r="C180" s="1">
        <v>1.1580496139700001E-4</v>
      </c>
      <c r="D180" s="1">
        <v>1.1211019635100001E-3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3.1665781875900002E-2</v>
      </c>
      <c r="B181" s="1">
        <v>1.3543641513799999E-3</v>
      </c>
      <c r="C181" s="1">
        <v>1.10814323404E-4</v>
      </c>
      <c r="D181" s="1">
        <v>1.12831298315E-3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3.19824396947E-2</v>
      </c>
      <c r="B182" s="1">
        <v>9.9931952261100008E-4</v>
      </c>
      <c r="C182" s="1">
        <v>9.5355601320099993E-5</v>
      </c>
      <c r="D182" s="1">
        <v>1.1355961129799999E-3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3.2302264091600003E-2</v>
      </c>
      <c r="B183" s="1">
        <v>1.0692710386E-3</v>
      </c>
      <c r="C183" s="1">
        <v>9.5409517089099994E-5</v>
      </c>
      <c r="D183" s="1">
        <v>1.1429520741100001E-3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3.2625286732500001E-2</v>
      </c>
      <c r="B184" s="1">
        <v>7.4064298790799999E-4</v>
      </c>
      <c r="C184" s="1">
        <v>8.0625565534500003E-5</v>
      </c>
      <c r="D184" s="1">
        <v>1.15038159485E-3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3.29515395999E-2</v>
      </c>
      <c r="B185" s="1">
        <v>6.7036162757800005E-4</v>
      </c>
      <c r="C185" s="1">
        <v>7.9409281619200004E-5</v>
      </c>
      <c r="D185" s="1">
        <v>1.1578854107999999E-3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3.3281054995899999E-2</v>
      </c>
      <c r="B186" s="1">
        <v>5.0912996435899997E-4</v>
      </c>
      <c r="C186" s="1">
        <v>6.9861675011300003E-5</v>
      </c>
      <c r="D186" s="1">
        <v>1.1654642648999999E-3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3.3613865545800002E-2</v>
      </c>
      <c r="B187" s="1">
        <v>4.9423187164099997E-4</v>
      </c>
      <c r="C187" s="1">
        <v>6.4761073802799998E-5</v>
      </c>
      <c r="D187" s="1">
        <v>1.1731189075499999E-3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3.3950004201300003E-2</v>
      </c>
      <c r="B188" s="1">
        <v>4.04063741587E-4</v>
      </c>
      <c r="C188" s="1">
        <v>5.9907716423099997E-5</v>
      </c>
      <c r="D188" s="1">
        <v>1.18085009663E-3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3.4289504243299997E-2</v>
      </c>
      <c r="B189" s="1">
        <v>4.0978499486500001E-4</v>
      </c>
      <c r="C189" s="1">
        <v>6.0478529671299997E-5</v>
      </c>
      <c r="D189" s="1">
        <v>1.1886585976000001E-3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3.46323992857E-2</v>
      </c>
      <c r="B190" s="1">
        <v>4.5904429530499999E-4</v>
      </c>
      <c r="C190" s="1">
        <v>6.2310681818800005E-5</v>
      </c>
      <c r="D190" s="1">
        <v>1.1965451835699999E-3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3.49787232786E-2</v>
      </c>
      <c r="B191" s="1">
        <v>5.1282408208799997E-4</v>
      </c>
      <c r="C191" s="1">
        <v>6.4577126388899999E-5</v>
      </c>
      <c r="D191" s="1">
        <v>1.20451063541E-3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3.5328510511399999E-2</v>
      </c>
      <c r="B192" s="1">
        <v>5.4536505309799998E-4</v>
      </c>
      <c r="C192" s="1">
        <v>7.1032245092399996E-5</v>
      </c>
      <c r="D192" s="1">
        <v>1.2125557417599999E-3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3.5681795616499999E-2</v>
      </c>
      <c r="B193" s="1">
        <v>7.5904189986800001E-4</v>
      </c>
      <c r="C193" s="1">
        <v>7.8923593879199998E-5</v>
      </c>
      <c r="D193" s="1">
        <v>1.2206812991799999E-3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3.6038613572599999E-2</v>
      </c>
      <c r="B194" s="1">
        <v>7.04206032015E-4</v>
      </c>
      <c r="C194" s="1">
        <v>7.4375398469300001E-5</v>
      </c>
      <c r="D194" s="1">
        <v>1.2288881121700001E-3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3.63989997084E-2</v>
      </c>
      <c r="B195" s="1">
        <v>7.4046482180999997E-4</v>
      </c>
      <c r="C195" s="1">
        <v>7.6537916876800004E-5</v>
      </c>
      <c r="D195" s="1">
        <v>1.2371769932899999E-3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3.6762989705399998E-2</v>
      </c>
      <c r="B196" s="1">
        <v>5.5946861332199999E-4</v>
      </c>
      <c r="C196" s="1">
        <v>6.64564453529E-5</v>
      </c>
      <c r="D196" s="1">
        <v>1.24554876323E-3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3.7130619602499998E-2</v>
      </c>
      <c r="B197" s="1">
        <v>7.9066390806999999E-4</v>
      </c>
      <c r="C197" s="1">
        <v>7.5881714946400002E-5</v>
      </c>
      <c r="D197" s="1">
        <v>1.2540042508600001E-3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3.7501925798500001E-2</v>
      </c>
      <c r="B198" s="1">
        <v>7.4366496481599999E-4</v>
      </c>
      <c r="C198" s="1">
        <v>7.5878840664800001E-5</v>
      </c>
      <c r="D198" s="1">
        <v>1.2625442933699999E-3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3.7876945056500001E-2</v>
      </c>
      <c r="B199" s="1">
        <v>5.3026253018699997E-4</v>
      </c>
      <c r="C199" s="1">
        <v>6.4818117747799997E-5</v>
      </c>
      <c r="D199" s="1">
        <v>1.2711697363000001E-3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3.8255714507099997E-2</v>
      </c>
      <c r="B200" s="1">
        <v>4.3686563855400003E-4</v>
      </c>
      <c r="C200" s="1">
        <v>5.8219930090600003E-5</v>
      </c>
      <c r="D200" s="1">
        <v>1.2798814336599999E-3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3.8638271652100001E-2</v>
      </c>
      <c r="B201" s="1">
        <v>3.4056827478200002E-4</v>
      </c>
      <c r="C201" s="1">
        <v>5.17584130991E-5</v>
      </c>
      <c r="D201" s="1">
        <v>1.288680248E-3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3.90246543687E-2</v>
      </c>
      <c r="B202" s="1">
        <v>3.1628946670700001E-4</v>
      </c>
      <c r="C202" s="1">
        <v>5.3409747722500002E-5</v>
      </c>
      <c r="D202" s="1">
        <v>1.2975670504800001E-3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3.9414900912399999E-2</v>
      </c>
      <c r="B203" s="1">
        <v>3.09962132034E-4</v>
      </c>
      <c r="C203" s="1">
        <v>4.98074058157E-5</v>
      </c>
      <c r="D203" s="1">
        <v>1.30654272098E-3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3.98090499215E-2</v>
      </c>
      <c r="B204" s="1">
        <v>2.13697106498E-4</v>
      </c>
      <c r="C204" s="1">
        <v>4.2791489009999998E-5</v>
      </c>
      <c r="D204" s="1">
        <v>1.31560814819E-3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4.0207140420699998E-2</v>
      </c>
      <c r="B205" s="1">
        <v>2.4142985718299999E-4</v>
      </c>
      <c r="C205" s="1">
        <v>4.5764809314600001E-5</v>
      </c>
      <c r="D205" s="1">
        <v>1.32476422968E-3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4.0609211824900002E-2</v>
      </c>
      <c r="B206" s="1">
        <v>2.8171885322699999E-4</v>
      </c>
      <c r="C206" s="1">
        <v>5.0132999700099998E-5</v>
      </c>
      <c r="D206" s="1">
        <v>1.3340118719700001E-3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4.1015303943099997E-2</v>
      </c>
      <c r="B207" s="1">
        <v>2.9973990771799998E-4</v>
      </c>
      <c r="C207" s="1">
        <v>4.90592441255E-5</v>
      </c>
      <c r="D207" s="1">
        <v>1.3433519906900001E-3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4.1425456982600001E-2</v>
      </c>
      <c r="B208" s="1">
        <v>3.7798703006600002E-4</v>
      </c>
      <c r="C208" s="1">
        <v>5.59953226637E-5</v>
      </c>
      <c r="D208" s="1">
        <v>1.3527855106E-3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4.1839711552400002E-2</v>
      </c>
      <c r="B209" s="1">
        <v>3.8397513843200002E-4</v>
      </c>
      <c r="C209" s="1">
        <v>5.6410565962400003E-5</v>
      </c>
      <c r="D209" s="1">
        <v>1.36231336571E-3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4.2258108667900002E-2</v>
      </c>
      <c r="B210" s="1">
        <v>3.3287317704099999E-4</v>
      </c>
      <c r="C210" s="1">
        <v>5.1941893267600001E-5</v>
      </c>
      <c r="D210" s="1">
        <v>1.37193649936E-3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4.2680689754600001E-2</v>
      </c>
      <c r="B211" s="1">
        <v>4.19860783629E-4</v>
      </c>
      <c r="C211" s="1">
        <v>6.1149813290399999E-5</v>
      </c>
      <c r="D211" s="1">
        <v>1.3816558643600001E-3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4.3107496652199997E-2</v>
      </c>
      <c r="B212" s="1">
        <v>4.04788501988E-4</v>
      </c>
      <c r="C212" s="1">
        <v>2.3986645407E-5</v>
      </c>
      <c r="D212" s="1">
        <v>1.391472423E-3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4.3538571618699999E-2</v>
      </c>
      <c r="B213" s="1">
        <v>2.9398959320999998E-4</v>
      </c>
      <c r="C213" s="1">
        <v>1.9738897553499998E-5</v>
      </c>
      <c r="D213" s="1">
        <v>1.4013871472299999E-3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4.3973957334899998E-2</v>
      </c>
      <c r="B214" s="1">
        <v>2.2004268643599999E-4</v>
      </c>
      <c r="C214" s="1">
        <v>1.6284605276599998E-5</v>
      </c>
      <c r="D214" s="1">
        <v>1.4114010186999999E-3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4.4413696908199997E-2</v>
      </c>
      <c r="B215" s="1">
        <v>1.8588479742300001E-4</v>
      </c>
      <c r="C215" s="1">
        <v>1.43468195347E-5</v>
      </c>
      <c r="D215" s="1">
        <v>1.4215150288899999E-3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4.4857833877300003E-2</v>
      </c>
      <c r="B216" s="1">
        <v>1.76782637797E-4</v>
      </c>
      <c r="C216" s="1">
        <v>1.44640954694E-5</v>
      </c>
      <c r="D216" s="1">
        <v>1.43173017918E-3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4.5306412216100003E-2</v>
      </c>
      <c r="B217" s="1">
        <v>1.3503329659999999E-4</v>
      </c>
      <c r="C217" s="1">
        <v>1.2192807949E-5</v>
      </c>
      <c r="D217" s="1">
        <v>1.4420474809700001E-3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4.5759476338200003E-2</v>
      </c>
      <c r="B218" s="1">
        <v>1.3309845965499999E-4</v>
      </c>
      <c r="C218" s="1">
        <v>1.25532793872E-5</v>
      </c>
      <c r="D218" s="1">
        <v>1.4524679557800001E-3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4.6217071101599998E-2</v>
      </c>
      <c r="B219" s="1">
        <v>1.6771103939999999E-4</v>
      </c>
      <c r="C219" s="1">
        <v>1.34281086621E-5</v>
      </c>
      <c r="D219" s="1">
        <v>1.46299263534E-3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4.6679241812599997E-2</v>
      </c>
      <c r="B220" s="1">
        <v>2.0810125742200001E-4</v>
      </c>
      <c r="C220" s="1">
        <v>1.47322426536E-5</v>
      </c>
      <c r="D220" s="1">
        <v>1.47362256169E-3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4.71460342308E-2</v>
      </c>
      <c r="B221" s="1">
        <v>2.41652014688E-4</v>
      </c>
      <c r="C221" s="1">
        <v>1.5478652199899999E-5</v>
      </c>
      <c r="D221" s="1">
        <v>1.48435878731E-3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4.7617494573100001E-2</v>
      </c>
      <c r="B222" s="1">
        <v>2.6093652216100001E-4</v>
      </c>
      <c r="C222" s="1">
        <v>1.6237539693000001E-5</v>
      </c>
      <c r="D222" s="1">
        <v>1.4952023751800001E-3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4.8093669518800002E-2</v>
      </c>
      <c r="B223" s="1">
        <v>2.92180876595E-4</v>
      </c>
      <c r="C223" s="1">
        <v>1.7279449920199999E-5</v>
      </c>
      <c r="D223" s="1">
        <v>1.5061543989299999E-3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4.8574606213999998E-2</v>
      </c>
      <c r="B224" s="1">
        <v>2.5056384208100002E-4</v>
      </c>
      <c r="C224" s="1">
        <v>1.63631008255E-5</v>
      </c>
      <c r="D224" s="1">
        <v>1.51721594292E-3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4.9060352276099999E-2</v>
      </c>
      <c r="B225" s="1">
        <v>2.2363595885900001E-4</v>
      </c>
      <c r="C225" s="1">
        <v>1.51252509019E-5</v>
      </c>
      <c r="D225" s="1">
        <v>1.5283881023500001E-3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4.9550955798900002E-2</v>
      </c>
      <c r="B226" s="1">
        <v>1.6865484655200001E-4</v>
      </c>
      <c r="C226" s="1">
        <v>1.26509225736E-5</v>
      </c>
      <c r="D226" s="1">
        <v>1.5396719833700001E-3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5.0046465356900001E-2</v>
      </c>
      <c r="B227" s="1">
        <v>1.3053716302500001E-4</v>
      </c>
      <c r="C227" s="1">
        <v>1.1295698851900001E-5</v>
      </c>
      <c r="D227" s="1">
        <v>1.5510687032100001E-3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5.0546930010399997E-2</v>
      </c>
      <c r="B228" s="1">
        <v>1.08984664534E-4</v>
      </c>
      <c r="C228" s="1">
        <v>1.0159626300900001E-5</v>
      </c>
      <c r="D228" s="1">
        <v>1.56257939024E-3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5.1052399310499999E-2</v>
      </c>
      <c r="B229" s="1">
        <v>9.4597450833300002E-5</v>
      </c>
      <c r="C229" s="1">
        <v>9.5198505008000003E-6</v>
      </c>
      <c r="D229" s="1">
        <v>1.5742051841400001E-3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5.1562923303600003E-2</v>
      </c>
      <c r="B230" s="1">
        <v>1.03416249089E-4</v>
      </c>
      <c r="C230" s="1">
        <v>9.9048490192300004E-6</v>
      </c>
      <c r="D230" s="1">
        <v>1.58594723598E-3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5.2078552536699997E-2</v>
      </c>
      <c r="B231" s="1">
        <v>1.3194002532599999E-4</v>
      </c>
      <c r="C231" s="1">
        <v>1.13055867448E-5</v>
      </c>
      <c r="D231" s="1">
        <v>1.5978067083399999E-3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5.2599338062100001E-2</v>
      </c>
      <c r="B232" s="1">
        <v>1.1803510437799999E-4</v>
      </c>
      <c r="C232" s="1">
        <v>1.06430553895E-5</v>
      </c>
      <c r="D232" s="1">
        <v>1.6097847754299999E-3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5.31253314427E-2</v>
      </c>
      <c r="B233" s="1">
        <v>1.6076664974199999E-4</v>
      </c>
      <c r="C233" s="1">
        <v>1.2098523217200001E-5</v>
      </c>
      <c r="D233" s="1">
        <v>1.6218826231800001E-3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5.3656584757100001E-2</v>
      </c>
      <c r="B234" s="1">
        <v>1.6454746473299999E-4</v>
      </c>
      <c r="C234" s="1">
        <v>1.2318035306099999E-5</v>
      </c>
      <c r="D234" s="1">
        <v>1.6341014494100001E-3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5.4193150604700001E-2</v>
      </c>
      <c r="B235" s="1">
        <v>1.6349118252300001E-4</v>
      </c>
      <c r="C235" s="1">
        <v>1.2260146279299999E-5</v>
      </c>
      <c r="D235" s="1">
        <v>1.64644246391E-3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5.4735082110700002E-2</v>
      </c>
      <c r="B236" s="1">
        <v>1.14015605013E-4</v>
      </c>
      <c r="C236" s="1">
        <v>9.9492597555500001E-6</v>
      </c>
      <c r="D236" s="1">
        <v>1.65890688855E-3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5.5282432931799998E-2</v>
      </c>
      <c r="B237" s="1">
        <v>1.16684099148E-4</v>
      </c>
      <c r="C237" s="1">
        <v>1.0267633199199999E-5</v>
      </c>
      <c r="D237" s="1">
        <v>1.6714959574299999E-3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5.5835257261100002E-2</v>
      </c>
      <c r="B238" s="1">
        <v>8.1091041265300001E-5</v>
      </c>
      <c r="C238" s="1">
        <v>8.5999259162500001E-6</v>
      </c>
      <c r="D238" s="1">
        <v>1.6842109170100001E-3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5.6393609833799999E-2</v>
      </c>
      <c r="B239" s="1">
        <v>7.7173953281800003E-5</v>
      </c>
      <c r="C239" s="1">
        <v>8.3749267453899994E-6</v>
      </c>
      <c r="D239" s="1">
        <v>1.69705302618E-3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5.69575459321E-2</v>
      </c>
      <c r="B240" s="1">
        <v>6.7583881471800004E-5</v>
      </c>
      <c r="C240" s="1">
        <v>7.6254535570699997E-6</v>
      </c>
      <c r="D240" s="1">
        <v>1.7100235564399999E-3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5.7527121391400003E-2</v>
      </c>
      <c r="B241" s="1">
        <v>7.5739750578699997E-5</v>
      </c>
      <c r="C241" s="1">
        <v>8.2165112114900002E-6</v>
      </c>
      <c r="D241" s="1">
        <v>1.7231237920000001E-3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5.81023926053E-2</v>
      </c>
      <c r="B242" s="1">
        <v>9.5331491807000004E-5</v>
      </c>
      <c r="C242" s="1">
        <v>9.2733425121300008E-6</v>
      </c>
      <c r="D242" s="1">
        <v>1.73635502992E-3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5.8683416531400003E-2</v>
      </c>
      <c r="B243" s="1">
        <v>9.9596654267200001E-5</v>
      </c>
      <c r="C243" s="1">
        <v>9.8921093346699996E-6</v>
      </c>
      <c r="D243" s="1">
        <v>1.74971858022E-3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5.92702506967E-2</v>
      </c>
      <c r="B244" s="1">
        <v>9.6418841981400004E-5</v>
      </c>
      <c r="C244" s="1">
        <v>9.7795462537399994E-6</v>
      </c>
      <c r="D244" s="1">
        <v>1.7632157660200001E-3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5.9862953203699998E-2</v>
      </c>
      <c r="B245" s="1">
        <v>1.12762585735E-4</v>
      </c>
      <c r="C245" s="1">
        <v>9.8817714408399998E-6</v>
      </c>
      <c r="D245" s="1">
        <v>1.7768479236799999E-3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6.0461582735700001E-2</v>
      </c>
      <c r="B246" s="1">
        <v>7.8493380732199994E-5</v>
      </c>
      <c r="C246" s="1">
        <v>8.4470377894499993E-6</v>
      </c>
      <c r="D246" s="1">
        <v>1.79061640292E-3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6.1066198563099999E-2</v>
      </c>
      <c r="B247" s="1">
        <v>8.4213621641899999E-5</v>
      </c>
      <c r="C247" s="1">
        <v>8.8323957506299998E-6</v>
      </c>
      <c r="D247" s="1">
        <v>1.80452256695E-3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6.1676860548700002E-2</v>
      </c>
      <c r="B248" s="1">
        <v>6.5912860078000006E-5</v>
      </c>
      <c r="C248" s="1">
        <v>7.7926635407100002E-6</v>
      </c>
      <c r="D248" s="1">
        <v>1.8185677926199999E-3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6.2293629154200003E-2</v>
      </c>
      <c r="B249" s="1">
        <v>4.9834133108199997E-5</v>
      </c>
      <c r="C249" s="1">
        <v>7.7656118511899994E-6</v>
      </c>
      <c r="D249" s="1">
        <v>1.8327534705499999E-3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6.2916565445699998E-2</v>
      </c>
      <c r="B250" s="1">
        <v>5.31312858421E-5</v>
      </c>
      <c r="C250" s="1">
        <v>6.9899890260600002E-6</v>
      </c>
      <c r="D250" s="1">
        <v>1.8470810052500001E-3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6.3545731100199995E-2</v>
      </c>
      <c r="B251" s="1">
        <v>5.8009241405799999E-5</v>
      </c>
      <c r="C251" s="1">
        <v>7.6768226351000007E-6</v>
      </c>
      <c r="D251" s="1">
        <v>1.8615518153E-3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6.4181188411200005E-2</v>
      </c>
      <c r="B252" s="1">
        <v>6.2647939056399994E-5</v>
      </c>
      <c r="C252" s="1">
        <v>7.6848142882400007E-6</v>
      </c>
      <c r="D252" s="1">
        <v>1.87616733346E-3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6.4823000295299998E-2</v>
      </c>
      <c r="B253" s="1">
        <v>7.8395480773600006E-5</v>
      </c>
      <c r="C253" s="1">
        <v>8.5050042652000002E-6</v>
      </c>
      <c r="D253" s="1">
        <v>1.8909290067899999E-3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6.5471230298199998E-2</v>
      </c>
      <c r="B254" s="1">
        <v>8.8155633162400004E-5</v>
      </c>
      <c r="C254" s="1">
        <v>8.9444610272200006E-6</v>
      </c>
      <c r="D254" s="1">
        <v>1.9058382968600001E-3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6.61259426012E-2</v>
      </c>
      <c r="B255" s="1">
        <v>6.3665668526100005E-5</v>
      </c>
      <c r="C255" s="1">
        <v>7.6997140921700004E-6</v>
      </c>
      <c r="D255" s="1">
        <v>1.9208966798300001E-3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6.6787202027199996E-2</v>
      </c>
      <c r="B256" s="1">
        <v>6.8996064726099997E-5</v>
      </c>
      <c r="C256" s="1">
        <v>7.9194050093799999E-6</v>
      </c>
      <c r="D256" s="1">
        <v>1.93610564663E-3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6.7455074047499994E-2</v>
      </c>
      <c r="B257" s="1">
        <v>4.6334567329899998E-5</v>
      </c>
      <c r="C257" s="1">
        <v>6.6141521724499997E-6</v>
      </c>
      <c r="D257" s="1">
        <v>1.9514667030900001E-3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6.8129624787999998E-2</v>
      </c>
      <c r="B258" s="1">
        <v>4.28958001097E-5</v>
      </c>
      <c r="C258" s="1">
        <v>6.48633716726E-6</v>
      </c>
      <c r="D258" s="1">
        <v>1.9669813701200002E-3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6.8810921035900002E-2</v>
      </c>
      <c r="B259" s="1">
        <v>3.18277868714E-5</v>
      </c>
      <c r="C259" s="1">
        <v>5.84161072584E-6</v>
      </c>
      <c r="D259" s="1">
        <v>1.9826511838199998E-3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6.9499030246199994E-2</v>
      </c>
      <c r="B260" s="1">
        <v>3.9287435152199998E-5</v>
      </c>
      <c r="C260" s="1">
        <v>5.9042852752699998E-6</v>
      </c>
      <c r="D260" s="1">
        <v>1.9984776956599999E-3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7.0194020548699998E-2</v>
      </c>
      <c r="B261" s="1">
        <v>4.4295887110899999E-5</v>
      </c>
      <c r="C261" s="1">
        <v>6.2206547460499999E-6</v>
      </c>
      <c r="D261" s="1">
        <v>2.0144624726199998E-3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7.0895960754200002E-2</v>
      </c>
      <c r="B262" s="1">
        <v>6.0044006238099999E-5</v>
      </c>
      <c r="C262" s="1">
        <v>7.0513118319299998E-6</v>
      </c>
      <c r="D262" s="1">
        <v>2.0306070973499998E-3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7.1604920361700006E-2</v>
      </c>
      <c r="B263" s="1">
        <v>6.2242124218500006E-5</v>
      </c>
      <c r="C263" s="1">
        <v>7.05555015637E-6</v>
      </c>
      <c r="D263" s="1">
        <v>2.0469131683199999E-3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7.23209695653E-2</v>
      </c>
      <c r="B264" s="1">
        <v>4.4412361768999998E-5</v>
      </c>
      <c r="C264" s="1">
        <v>6.18916325665E-6</v>
      </c>
      <c r="D264" s="1">
        <v>2.0633823E-3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7.3044179261E-2</v>
      </c>
      <c r="B265" s="1">
        <v>4.4134662754600001E-5</v>
      </c>
      <c r="C265" s="1">
        <v>5.9599855630400002E-6</v>
      </c>
      <c r="D265" s="1">
        <v>2.080016123E-3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7.3774621053599998E-2</v>
      </c>
      <c r="B266" s="1">
        <v>3.3714381982300001E-5</v>
      </c>
      <c r="C266" s="1">
        <v>5.1314007136999999E-6</v>
      </c>
      <c r="D266" s="1">
        <v>2.0968162842299998E-3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7.4512367264100002E-2</v>
      </c>
      <c r="B267" s="1">
        <v>3.0412685247099999E-5</v>
      </c>
      <c r="C267" s="1">
        <v>4.9975779260999999E-6</v>
      </c>
      <c r="D267" s="1">
        <v>2.11378444707E-3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7.5257490936799995E-2</v>
      </c>
      <c r="B268" s="1">
        <v>3.0991795282499999E-5</v>
      </c>
      <c r="C268" s="1">
        <v>5.15878265275E-6</v>
      </c>
      <c r="D268" s="1">
        <v>2.1309222915499998E-3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7.6010065846099997E-2</v>
      </c>
      <c r="B269" s="1">
        <v>3.4165221837199999E-5</v>
      </c>
      <c r="C269" s="1">
        <v>5.7700860852600004E-6</v>
      </c>
      <c r="D269" s="1">
        <v>2.1482315144599998E-3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7.6770166504600001E-2</v>
      </c>
      <c r="B270" s="1">
        <v>3.3953701281299997E-5</v>
      </c>
      <c r="C270" s="1">
        <v>5.1824717929900003E-6</v>
      </c>
      <c r="D270" s="1">
        <v>2.1657138296100002E-3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7.7537868169599997E-2</v>
      </c>
      <c r="B271" s="1">
        <v>3.8119837505099999E-5</v>
      </c>
      <c r="C271" s="1">
        <v>5.2630485217499998E-6</v>
      </c>
      <c r="D271" s="1">
        <v>2.1833709679000002E-3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7.8313246851300006E-2</v>
      </c>
      <c r="B272" s="1">
        <v>3.6925489491899999E-5</v>
      </c>
      <c r="C272" s="1">
        <v>5.3463804669799996E-6</v>
      </c>
      <c r="D272" s="1">
        <v>2.2012046775799999E-3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7.90963793198E-2</v>
      </c>
      <c r="B273" s="1">
        <v>2.4572700444299998E-5</v>
      </c>
      <c r="C273" s="1">
        <v>4.7427499577100002E-6</v>
      </c>
      <c r="D273" s="1">
        <v>2.2192167243599999E-3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7.9887343112999998E-2</v>
      </c>
      <c r="B274" s="1">
        <v>1.96171521688E-5</v>
      </c>
      <c r="C274" s="1">
        <v>4.2965126420699998E-6</v>
      </c>
      <c r="D274" s="1">
        <v>2.2374088916000002E-3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8.0686216544199996E-2</v>
      </c>
      <c r="B275" s="1">
        <v>1.51860206516E-5</v>
      </c>
      <c r="C275" s="1">
        <v>4.1117245384699998E-6</v>
      </c>
      <c r="D275" s="1">
        <v>2.2557829805199998E-3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8.14930787096E-2</v>
      </c>
      <c r="B276" s="1">
        <v>1.9621366208699999E-5</v>
      </c>
      <c r="C276" s="1">
        <v>4.7005038466200001E-6</v>
      </c>
      <c r="D276" s="1">
        <v>2.27434081032E-3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8.2308009496700002E-2</v>
      </c>
      <c r="B277" s="1">
        <v>2.83815120765E-5</v>
      </c>
      <c r="C277" s="1">
        <v>4.7122988486700003E-6</v>
      </c>
      <c r="D277" s="1">
        <v>2.2930842184199999E-3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8.31310895917E-2</v>
      </c>
      <c r="B278" s="1">
        <v>2.7361976569600002E-5</v>
      </c>
      <c r="C278" s="1">
        <v>4.6719595173900001E-6</v>
      </c>
      <c r="D278" s="1">
        <v>2.3120150606099998E-3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8.3962400487599995E-2</v>
      </c>
      <c r="B279" s="1">
        <v>2.5668537834400001E-5</v>
      </c>
      <c r="C279" s="1">
        <v>4.9907318127300002E-6</v>
      </c>
      <c r="D279" s="1">
        <v>2.3311352112099998E-3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8.4802024492500003E-2</v>
      </c>
      <c r="B280" s="1">
        <v>2.4420283172400001E-5</v>
      </c>
      <c r="C280" s="1">
        <v>4.7279960603199997E-6</v>
      </c>
      <c r="D280" s="1">
        <v>2.3504465633299998E-3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8.5650044737399997E-2</v>
      </c>
      <c r="B281" s="1">
        <v>1.8406867850100001E-5</v>
      </c>
      <c r="C281" s="1">
        <v>3.9463492568499999E-6</v>
      </c>
      <c r="D281" s="1">
        <v>2.3699510289600001E-3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8.6506545184799999E-2</v>
      </c>
      <c r="B282" s="1">
        <v>2.5151523302700001E-5</v>
      </c>
      <c r="C282" s="1">
        <v>2.5483492700999999E-6</v>
      </c>
      <c r="D282" s="1">
        <v>2.3896505392499998E-3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8.7371610636599997E-2</v>
      </c>
      <c r="B283" s="1">
        <v>2.09741368323E-5</v>
      </c>
      <c r="C283" s="1">
        <v>2.2519050465299998E-6</v>
      </c>
      <c r="D283" s="1">
        <v>2.4095470446400002E-3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8.8245326742999994E-2</v>
      </c>
      <c r="B284" s="1">
        <v>2.4429268647699999E-5</v>
      </c>
      <c r="C284" s="1">
        <v>2.2250812305100002E-6</v>
      </c>
      <c r="D284" s="1">
        <v>2.4296425150899998E-3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8.9127780010400004E-2</v>
      </c>
      <c r="B285" s="1">
        <v>2.5171533492100001E-5</v>
      </c>
      <c r="C285" s="1">
        <v>2.22968405054E-6</v>
      </c>
      <c r="D285" s="1">
        <v>2.44993894024E-3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9.00190578105E-2</v>
      </c>
      <c r="B286" s="1">
        <v>2.23382001667E-5</v>
      </c>
      <c r="C286" s="1">
        <v>2.2421200822399999E-6</v>
      </c>
      <c r="D286" s="1">
        <v>2.4704383296399999E-3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9.0919248388599994E-2</v>
      </c>
      <c r="B287" s="1">
        <v>1.76582732564E-5</v>
      </c>
      <c r="C287" s="1">
        <v>1.91165027864E-6</v>
      </c>
      <c r="D287" s="1">
        <v>2.49114271294E-3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9.18284408725E-2</v>
      </c>
      <c r="B288" s="1">
        <v>1.56687229397E-5</v>
      </c>
      <c r="C288" s="1">
        <v>1.838102995E-6</v>
      </c>
      <c r="D288" s="1">
        <v>2.51205414007E-3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9.2746725281199996E-2</v>
      </c>
      <c r="B289" s="1">
        <v>1.7233525175699999E-5</v>
      </c>
      <c r="C289" s="1">
        <v>1.8798865546500001E-6</v>
      </c>
      <c r="D289" s="1">
        <v>2.5331746814699998E-3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9.3674192534E-2</v>
      </c>
      <c r="B290" s="1">
        <v>1.8325690302199999E-5</v>
      </c>
      <c r="C290" s="1">
        <v>1.91045812211E-6</v>
      </c>
      <c r="D290" s="1">
        <v>2.5545064282799998E-3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9.4610934459399998E-2</v>
      </c>
      <c r="B291" s="1">
        <v>1.9930856364799999E-5</v>
      </c>
      <c r="C291" s="1">
        <v>1.9570101758E-6</v>
      </c>
      <c r="D291" s="1">
        <v>2.5760514925700002E-3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9.5557043804E-2</v>
      </c>
      <c r="B292" s="1">
        <v>1.8239730681499998E-5</v>
      </c>
      <c r="C292" s="1">
        <v>1.8766881426800001E-6</v>
      </c>
      <c r="D292" s="1">
        <v>2.5978120074900001E-3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9.6512614242E-2</v>
      </c>
      <c r="B293" s="1">
        <v>1.32906880529E-5</v>
      </c>
      <c r="C293" s="1">
        <v>1.68256505164E-6</v>
      </c>
      <c r="D293" s="1">
        <v>2.61979012757E-3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9.7477740384400005E-2</v>
      </c>
      <c r="B294" s="1">
        <v>1.5567431675100002E-5</v>
      </c>
      <c r="C294" s="1">
        <v>1.70505023826E-6</v>
      </c>
      <c r="D294" s="1">
        <v>2.6419880288399999E-3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9.8452517788299998E-2</v>
      </c>
      <c r="B295" s="1">
        <v>1.30472117187E-5</v>
      </c>
      <c r="C295" s="1">
        <v>1.6986354741800001E-6</v>
      </c>
      <c r="D295" s="1">
        <v>2.6644079091300002E-3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9.9437042966199998E-2</v>
      </c>
      <c r="B296" s="1">
        <v>1.6509824562499999E-5</v>
      </c>
      <c r="C296" s="1">
        <v>1.8314776232500001E-6</v>
      </c>
      <c r="D296" s="1">
        <v>2.68705198822E-3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0.10043141339599999</v>
      </c>
      <c r="B297" s="1">
        <v>1.8534283443100001E-5</v>
      </c>
      <c r="C297" s="1">
        <v>1.9337093955300001E-6</v>
      </c>
      <c r="D297" s="1">
        <v>2.7099225081E-3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0.10143572753000001</v>
      </c>
      <c r="B298" s="1">
        <v>1.5604890254799999E-5</v>
      </c>
      <c r="C298" s="1">
        <v>1.7599647742200001E-6</v>
      </c>
      <c r="D298" s="1">
        <v>2.73302173319E-3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0.10245008480499999</v>
      </c>
      <c r="B299" s="1">
        <v>1.41452853997E-5</v>
      </c>
      <c r="C299" s="1">
        <v>1.6759854948499999E-6</v>
      </c>
      <c r="D299" s="1">
        <v>2.7563519505200001E-3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0.103474585653</v>
      </c>
      <c r="B300" s="1">
        <v>1.2234505029299999E-5</v>
      </c>
      <c r="C300" s="1">
        <v>1.5666158921099999E-6</v>
      </c>
      <c r="D300" s="1">
        <v>2.7799154700199999E-3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0.10450933151</v>
      </c>
      <c r="B301" s="1">
        <v>1.50580744073E-5</v>
      </c>
      <c r="C301" s="1">
        <v>1.7730369132800001E-6</v>
      </c>
      <c r="D301" s="1">
        <v>2.8037146247199998E-3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0.10555442482500001</v>
      </c>
      <c r="B302" s="1">
        <v>1.3129883463499999E-5</v>
      </c>
      <c r="C302" s="1">
        <v>1.6632106856500001E-6</v>
      </c>
      <c r="D302" s="1">
        <v>2.82775177097E-3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0.10660996907299999</v>
      </c>
      <c r="B303" s="1">
        <v>1.18081931951E-5</v>
      </c>
      <c r="C303" s="1">
        <v>1.5162750163400001E-6</v>
      </c>
      <c r="D303" s="1">
        <v>2.8520292886799999E-3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0.107676068764</v>
      </c>
      <c r="B304" s="1">
        <v>1.28045767898E-5</v>
      </c>
      <c r="C304" s="1">
        <v>1.59893558857E-6</v>
      </c>
      <c r="D304" s="1">
        <v>2.87654958157E-3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0.108752829451</v>
      </c>
      <c r="B305" s="1">
        <v>1.03642581783E-5</v>
      </c>
      <c r="C305" s="1">
        <v>1.5013045600500001E-6</v>
      </c>
      <c r="D305" s="1">
        <v>2.9013150773800002E-3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0.109840357746</v>
      </c>
      <c r="B306" s="1">
        <v>1.01011022254E-5</v>
      </c>
      <c r="C306" s="1">
        <v>1.3943603402499999E-6</v>
      </c>
      <c r="D306" s="1">
        <v>2.9263282281600002E-3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0.110938761323</v>
      </c>
      <c r="B307" s="1">
        <v>1.0908100683299999E-5</v>
      </c>
      <c r="C307" s="1">
        <v>1.46299461983E-6</v>
      </c>
      <c r="D307" s="1">
        <v>2.9515915104400001E-3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0.11204814893700001</v>
      </c>
      <c r="B308" s="1">
        <v>1.02381500204E-5</v>
      </c>
      <c r="C308" s="1">
        <v>1.3805254459099999E-6</v>
      </c>
      <c r="D308" s="1">
        <v>2.97710742554E-3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0.11316863042600001</v>
      </c>
      <c r="B309" s="1">
        <v>1.02797766959E-5</v>
      </c>
      <c r="C309" s="1">
        <v>1.4670018721799999E-6</v>
      </c>
      <c r="D309" s="1">
        <v>3.0028784998000001E-3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0.11430031673</v>
      </c>
      <c r="B310" s="1">
        <v>9.83766881632E-6</v>
      </c>
      <c r="C310" s="1">
        <v>1.33165182002E-6</v>
      </c>
      <c r="D310" s="1">
        <v>3.0289072847900001E-3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0.115443319898</v>
      </c>
      <c r="B311" s="1">
        <v>9.9666894712799997E-6</v>
      </c>
      <c r="C311" s="1">
        <v>1.39048935618E-6</v>
      </c>
      <c r="D311" s="1">
        <v>3.0551963576400001E-3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0.116597753096</v>
      </c>
      <c r="B312" s="1">
        <v>6.6301987529400001E-6</v>
      </c>
      <c r="C312" s="1">
        <v>1.18294419087E-6</v>
      </c>
      <c r="D312" s="1">
        <v>3.0817483212199999E-3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0.117763730627</v>
      </c>
      <c r="B313" s="1">
        <v>8.8885254526900008E-6</v>
      </c>
      <c r="C313" s="1">
        <v>1.4003379945099999E-6</v>
      </c>
      <c r="D313" s="1">
        <v>3.1085658044299998E-3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0.11894136793399999</v>
      </c>
      <c r="B314" s="1">
        <v>8.3679703660300007E-6</v>
      </c>
      <c r="C314" s="1">
        <v>1.39134820446E-6</v>
      </c>
      <c r="D314" s="1">
        <v>3.1356514624800002E-3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0.120130781613</v>
      </c>
      <c r="B315" s="1">
        <v>9.2665250315300004E-6</v>
      </c>
      <c r="C315" s="1">
        <v>1.3269946311899999E-6</v>
      </c>
      <c r="D315" s="1">
        <v>3.1630079771000001E-3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0.12133208942900001</v>
      </c>
      <c r="B316" s="1">
        <v>7.5883396720500001E-6</v>
      </c>
      <c r="C316" s="1">
        <v>1.2246283259699999E-6</v>
      </c>
      <c r="D316" s="1">
        <v>3.19063805687E-3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0.122545410323</v>
      </c>
      <c r="B317" s="1">
        <v>1.01579296608E-5</v>
      </c>
      <c r="C317" s="1">
        <v>1.38832682641E-6</v>
      </c>
      <c r="D317" s="1">
        <v>3.2185444374399999E-3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0.123770864427</v>
      </c>
      <c r="B318" s="1">
        <v>6.76606121668E-6</v>
      </c>
      <c r="C318" s="1">
        <v>1.1993883691E-6</v>
      </c>
      <c r="D318" s="1">
        <v>3.2467298818099999E-3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0.125008573071</v>
      </c>
      <c r="B319" s="1">
        <v>6.1105484101799998E-6</v>
      </c>
      <c r="C319" s="1">
        <v>1.2261765447299999E-6</v>
      </c>
      <c r="D319" s="1">
        <v>3.2751971806300002E-3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0.12625865880199999</v>
      </c>
      <c r="B320" s="1">
        <v>7.4919530264900002E-6</v>
      </c>
      <c r="C320" s="1">
        <v>1.2427167527699999E-6</v>
      </c>
      <c r="D320" s="1">
        <v>3.3039491524399999E-3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0.12752124539000001</v>
      </c>
      <c r="B321" s="1">
        <v>5.2171315475500003E-6</v>
      </c>
      <c r="C321" s="1">
        <v>1.14457531764E-6</v>
      </c>
      <c r="D321" s="1">
        <v>3.3329886439600002E-3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0.12879645784400001</v>
      </c>
      <c r="B322" s="1">
        <v>8.4874413379299996E-6</v>
      </c>
      <c r="C322" s="1">
        <v>1.2929722436E-6</v>
      </c>
      <c r="D322" s="1">
        <v>3.3623185304E-3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0.130084422422</v>
      </c>
      <c r="B323" s="1">
        <v>6.2462809191700001E-6</v>
      </c>
      <c r="C323" s="1">
        <v>1.14533246745E-6</v>
      </c>
      <c r="D323" s="1">
        <v>3.3919417157099998E-3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0.131385266646</v>
      </c>
      <c r="B324" s="1">
        <v>7.0926309703000004E-6</v>
      </c>
      <c r="C324" s="1">
        <v>1.1834102442499999E-6</v>
      </c>
      <c r="D324" s="1">
        <v>3.4218611328599999E-3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0.13269911931299999</v>
      </c>
      <c r="B325" s="1">
        <v>5.4078553833800001E-6</v>
      </c>
      <c r="C325" s="1">
        <v>1.0811025621200001E-6</v>
      </c>
      <c r="D325" s="1">
        <v>3.4520797441899998E-3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0.134026110506</v>
      </c>
      <c r="B326" s="1">
        <v>5.30484813496E-6</v>
      </c>
      <c r="C326" s="1">
        <v>1.0665149622699999E-6</v>
      </c>
      <c r="D326" s="1">
        <v>3.4826005416300002E-3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0.13536637161100001</v>
      </c>
      <c r="B327" s="1">
        <v>4.9754587938700002E-6</v>
      </c>
      <c r="C327" s="1">
        <v>1.06498460038E-6</v>
      </c>
      <c r="D327" s="1">
        <v>3.51342654705E-3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0.136720035327</v>
      </c>
      <c r="B328" s="1">
        <v>4.0374334495000004E-6</v>
      </c>
      <c r="C328" s="1">
        <v>9.4130910297100001E-7</v>
      </c>
      <c r="D328" s="1">
        <v>3.5445608125200001E-3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0.13808723568</v>
      </c>
      <c r="B329" s="1">
        <v>4.2614782520699997E-6</v>
      </c>
      <c r="C329" s="1">
        <v>9.7312374716500001E-7</v>
      </c>
      <c r="D329" s="1">
        <v>3.5760064206500001E-3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0.13946810803699999</v>
      </c>
      <c r="B330" s="1">
        <v>4.6813833744799998E-6</v>
      </c>
      <c r="C330" s="1">
        <v>1.00805282506E-6</v>
      </c>
      <c r="D330" s="1">
        <v>3.6077664848500001E-3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0.14086278911700001</v>
      </c>
      <c r="B331" s="1">
        <v>5.49825395436E-6</v>
      </c>
      <c r="C331" s="1">
        <v>9.8832004741099998E-7</v>
      </c>
      <c r="D331" s="1">
        <v>3.6398441496999999E-3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0.14227141700900001</v>
      </c>
      <c r="B332" s="1">
        <v>6.4888594968100001E-6</v>
      </c>
      <c r="C332" s="1">
        <v>1.0980347376999999E-6</v>
      </c>
      <c r="D332" s="1">
        <v>3.6722425912E-3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0.14369413117900001</v>
      </c>
      <c r="B333" s="1">
        <v>3.5663446186599999E-6</v>
      </c>
      <c r="C333" s="1">
        <v>8.8746671174999995E-7</v>
      </c>
      <c r="D333" s="1">
        <v>3.7049650171100002E-3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0.14513107249099999</v>
      </c>
      <c r="B334" s="1">
        <v>4.8679372109000001E-6</v>
      </c>
      <c r="C334" s="1">
        <v>1.0135452392800001E-6</v>
      </c>
      <c r="D334" s="1">
        <v>3.7380146672799999E-3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0.146582383215</v>
      </c>
      <c r="B335" s="1">
        <v>3.6437659650400001E-6</v>
      </c>
      <c r="C335" s="1">
        <v>8.6012992223299997E-7</v>
      </c>
      <c r="D335" s="1">
        <v>3.7713948139499998E-3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0.14804820704800001</v>
      </c>
      <c r="B336" s="1">
        <v>4.0844909660799998E-6</v>
      </c>
      <c r="C336" s="1">
        <v>8.8577467196899995E-7</v>
      </c>
      <c r="D336" s="1">
        <v>3.8051087620899998E-3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0.14952868911799999</v>
      </c>
      <c r="B337" s="1">
        <v>3.7750823594899998E-6</v>
      </c>
      <c r="C337" s="1">
        <v>8.4464324869300001E-7</v>
      </c>
      <c r="D337" s="1">
        <v>3.8391598497200001E-3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0.151023976009</v>
      </c>
      <c r="B338" s="1">
        <v>3.6450923301500002E-6</v>
      </c>
      <c r="C338" s="1">
        <v>8.1078912533600005E-7</v>
      </c>
      <c r="D338" s="1">
        <v>3.8735514482100002E-3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0.152534215769</v>
      </c>
      <c r="B339" s="1">
        <v>2.70708656384E-6</v>
      </c>
      <c r="C339" s="1">
        <v>7.81379111967E-7</v>
      </c>
      <c r="D339" s="1">
        <v>3.9082869626900002E-3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0.15405955792699999</v>
      </c>
      <c r="B340" s="1">
        <v>3.1804748181399999E-6</v>
      </c>
      <c r="C340" s="1">
        <v>7.8691632053100003E-7</v>
      </c>
      <c r="D340" s="1">
        <v>3.9433698323199998E-3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0.15560015350600001</v>
      </c>
      <c r="B341" s="1">
        <v>3.0855980148299999E-6</v>
      </c>
      <c r="C341" s="1">
        <v>7.8899544243399996E-7</v>
      </c>
      <c r="D341" s="1">
        <v>3.9788035306400002E-3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0.157156155041</v>
      </c>
      <c r="B342" s="1">
        <v>2.3630502789699998E-6</v>
      </c>
      <c r="C342" s="1">
        <v>7.7446701790299997E-7</v>
      </c>
      <c r="D342" s="1">
        <v>4.0145915659500001E-3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0.158727716592</v>
      </c>
      <c r="B343" s="1">
        <v>2.6857223878299999E-6</v>
      </c>
      <c r="C343" s="1">
        <v>7.7011643349400004E-7</v>
      </c>
      <c r="D343" s="1">
        <v>4.0507374816099997E-3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0.16031499375800001</v>
      </c>
      <c r="B344" s="1">
        <v>3.3760372005900002E-6</v>
      </c>
      <c r="C344" s="1">
        <v>8.2297896050699995E-7</v>
      </c>
      <c r="D344" s="1">
        <v>4.0872448564300001E-3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0.16191814369499999</v>
      </c>
      <c r="B345" s="1">
        <v>1.8819371158200001E-6</v>
      </c>
      <c r="C345" s="1">
        <v>6.8042211826699999E-7</v>
      </c>
      <c r="D345" s="1">
        <v>4.1241173049900003E-3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0.16353732513200001</v>
      </c>
      <c r="B346" s="1">
        <v>2.1547989646600002E-6</v>
      </c>
      <c r="C346" s="1">
        <v>7.2490766848499996E-7</v>
      </c>
      <c r="D346" s="1">
        <v>4.1613584780400004E-3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0.16517269838400001</v>
      </c>
      <c r="B347" s="1">
        <v>9.6590256871900004E-7</v>
      </c>
      <c r="C347" s="1">
        <v>6.0939904877799995E-7</v>
      </c>
      <c r="D347" s="1">
        <v>4.1989720628199997E-3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0.16682442536700001</v>
      </c>
      <c r="B348" s="1">
        <v>1.42514830662E-6</v>
      </c>
      <c r="C348" s="1">
        <v>6.7879218347899997E-7</v>
      </c>
      <c r="D348" s="1">
        <v>4.2369617834500002E-3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0.16849266962100001</v>
      </c>
      <c r="B349" s="1">
        <v>2.3430893761200001E-6</v>
      </c>
      <c r="C349" s="1">
        <v>7.7521856062600001E-7</v>
      </c>
      <c r="D349" s="1">
        <v>4.27533140128E-3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0.170177596317</v>
      </c>
      <c r="B350" s="1">
        <v>2.9134658028799999E-6</v>
      </c>
      <c r="C350" s="1">
        <v>8.0007363320399998E-7</v>
      </c>
      <c r="D350" s="1">
        <v>4.3140847152999999E-3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0.17187937228</v>
      </c>
      <c r="B351" s="1">
        <v>2.2486536111200001E-6</v>
      </c>
      <c r="C351" s="1">
        <v>6.8935210715400005E-7</v>
      </c>
      <c r="D351" s="1">
        <v>4.3532255624500003E-3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0.17359816600299999</v>
      </c>
      <c r="B352" s="1">
        <v>1.40294639479E-6</v>
      </c>
      <c r="C352" s="1">
        <v>6.9045702919600001E-7</v>
      </c>
      <c r="D352" s="1">
        <v>4.3927578180700004E-3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0.17533414766300001</v>
      </c>
      <c r="B353" s="1">
        <v>2.6495041840699998E-6</v>
      </c>
      <c r="C353" s="1">
        <v>7.8190381189900005E-7</v>
      </c>
      <c r="D353" s="1">
        <v>4.4326853962600001E-3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0.17708748914</v>
      </c>
      <c r="B354" s="1">
        <v>1.9549586416699998E-6</v>
      </c>
      <c r="C354" s="1">
        <v>6.5318004010000004E-7</v>
      </c>
      <c r="D354" s="1">
        <v>4.4730122502200003E-3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0.178858364031</v>
      </c>
      <c r="B355" s="1">
        <v>1.55737157502E-6</v>
      </c>
      <c r="C355" s="1">
        <v>6.7259935739700003E-7</v>
      </c>
      <c r="D355" s="1">
        <v>4.5137423727200001E-3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0.18064694767200001</v>
      </c>
      <c r="B356" s="1">
        <v>1.68733788652E-6</v>
      </c>
      <c r="C356" s="1">
        <v>7.0317266769799999E-7</v>
      </c>
      <c r="D356" s="1">
        <v>4.5548797964500001E-3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0.18612073083299999</v>
      </c>
      <c r="B357" s="1">
        <v>2.46402815443E-6</v>
      </c>
      <c r="C357" s="1">
        <v>7.2347742332000003E-7</v>
      </c>
      <c r="D357" s="1">
        <v>4.6807768091599996E-3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0.187981938141</v>
      </c>
      <c r="B358" s="1">
        <v>1.26299107951E-6</v>
      </c>
      <c r="C358" s="1">
        <v>6.1486173747200005E-7</v>
      </c>
      <c r="D358" s="1">
        <v>4.7235845772499998E-3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0.189861757523</v>
      </c>
      <c r="B359" s="1">
        <v>1.4372049257099999E-6</v>
      </c>
      <c r="C359" s="1">
        <v>5.8601200318299999E-7</v>
      </c>
      <c r="D359" s="1">
        <v>4.7668204230199998E-3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0.19176037509800001</v>
      </c>
      <c r="B360" s="1">
        <v>1.39730538913E-6</v>
      </c>
      <c r="C360" s="1">
        <v>6.0783882374900004E-7</v>
      </c>
      <c r="D360" s="1">
        <v>4.8104886272500001E-3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A361">
        <v>0.19367797884900001</v>
      </c>
      <c r="B361" s="1">
        <v>5.9064103550700004E-7</v>
      </c>
      <c r="C361" s="1">
        <v>5.5311618508199999E-7</v>
      </c>
      <c r="D361" s="1">
        <v>4.8545935135299997E-3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2021-06-28T14:38:27Z</dcterms:modified>
</cp:coreProperties>
</file>